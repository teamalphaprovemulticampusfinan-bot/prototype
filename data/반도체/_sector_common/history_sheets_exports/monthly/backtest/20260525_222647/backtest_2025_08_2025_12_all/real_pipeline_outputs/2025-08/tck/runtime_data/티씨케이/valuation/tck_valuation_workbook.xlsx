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4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5.xml" ContentType="application/vnd.openxmlformats-officedocument.drawing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_발표용_원페이지" sheetId="1" state="visible" r:id="rId1"/>
    <sheet xmlns:r="http://schemas.openxmlformats.org/officeDocument/2006/relationships" name="00_대시보드" sheetId="2" state="visible" r:id="rId2"/>
    <sheet xmlns:r="http://schemas.openxmlformats.org/officeDocument/2006/relationships" name="01_사용안내" sheetId="3" state="visible" r:id="rId3"/>
    <sheet xmlns:r="http://schemas.openxmlformats.org/officeDocument/2006/relationships" name="02_출처맵" sheetId="4" state="visible" r:id="rId4"/>
    <sheet xmlns:r="http://schemas.openxmlformats.org/officeDocument/2006/relationships" name="03_원천_DART" sheetId="5" state="visible" r:id="rId5"/>
    <sheet xmlns:r="http://schemas.openxmlformats.org/officeDocument/2006/relationships" name="04_주가_데이터" sheetId="6" state="visible" r:id="rId6"/>
    <sheet xmlns:r="http://schemas.openxmlformats.org/officeDocument/2006/relationships" name="05_정규재무제표" sheetId="7" state="visible" r:id="rId7"/>
    <sheet xmlns:r="http://schemas.openxmlformats.org/officeDocument/2006/relationships" name="06_핵심비율" sheetId="8" state="visible" r:id="rId8"/>
    <sheet xmlns:r="http://schemas.openxmlformats.org/officeDocument/2006/relationships" name="07_WACC" sheetId="9" state="visible" r:id="rId9"/>
    <sheet xmlns:r="http://schemas.openxmlformats.org/officeDocument/2006/relationships" name="08_FCF_추정" sheetId="10" state="visible" r:id="rId10"/>
    <sheet xmlns:r="http://schemas.openxmlformats.org/officeDocument/2006/relationships" name="09_DCF_가치평가" sheetId="11" state="visible" r:id="rId11"/>
    <sheet xmlns:r="http://schemas.openxmlformats.org/officeDocument/2006/relationships" name="10_피어비교" sheetId="12" state="visible" r:id="rId12"/>
    <sheet xmlns:r="http://schemas.openxmlformats.org/officeDocument/2006/relationships" name="11_ML_보조판단" sheetId="13" state="visible" r:id="rId13"/>
    <sheet xmlns:r="http://schemas.openxmlformats.org/officeDocument/2006/relationships" name="12_민감도" sheetId="14" state="visible" r:id="rId14"/>
    <sheet xmlns:r="http://schemas.openxmlformats.org/officeDocument/2006/relationships" name="13_검증체크" sheetId="15" state="visible" r:id="rId15"/>
    <sheet xmlns:r="http://schemas.openxmlformats.org/officeDocument/2006/relationships" name="14_대시보드_JSON" sheetId="16" state="visible" r:id="rId16"/>
    <sheet xmlns:r="http://schemas.openxmlformats.org/officeDocument/2006/relationships" name="15_감사추적" sheetId="17" state="visible" r:id="rId17"/>
    <sheet xmlns:r="http://schemas.openxmlformats.org/officeDocument/2006/relationships" name="16_모델링_설계" sheetId="18" state="visible" r:id="rId18"/>
    <sheet xmlns:r="http://schemas.openxmlformats.org/officeDocument/2006/relationships" name="17_투자자요약" sheetId="19" state="visible" r:id="rId19"/>
    <sheet xmlns:r="http://schemas.openxmlformats.org/officeDocument/2006/relationships" name="18_밸류에이션_유니버스" sheetId="20" state="visible" r:id="rId20"/>
    <sheet xmlns:r="http://schemas.openxmlformats.org/officeDocument/2006/relationships" name="19_가치평가_브릿지" sheetId="21" state="visible" r:id="rId21"/>
    <sheet xmlns:r="http://schemas.openxmlformats.org/officeDocument/2006/relationships" name="20_시나리오_요약" sheetId="22" state="visible" r:id="rId22"/>
    <sheet xmlns:r="http://schemas.openxmlformats.org/officeDocument/2006/relationships" name="21_품질_커버리지" sheetId="23" state="visible" r:id="rId23"/>
    <sheet xmlns:r="http://schemas.openxmlformats.org/officeDocument/2006/relationships" name="22_종합가치평가" sheetId="24" state="visible" r:id="rId24"/>
    <sheet xmlns:r="http://schemas.openxmlformats.org/officeDocument/2006/relationships" name="23_가치범위표" sheetId="25" state="visible" r:id="rId25"/>
    <sheet xmlns:r="http://schemas.openxmlformats.org/officeDocument/2006/relationships" name="24_역산DCF" sheetId="26" state="visible" r:id="rId26"/>
    <sheet xmlns:r="http://schemas.openxmlformats.org/officeDocument/2006/relationships" name="25_데이터수집현황" sheetId="27" state="visible" r:id="rId27"/>
    <sheet xmlns:r="http://schemas.openxmlformats.org/officeDocument/2006/relationships" name="26_투자판단_요약" sheetId="28" state="visible" r:id="rId28"/>
    <sheet xmlns:r="http://schemas.openxmlformats.org/officeDocument/2006/relationships" name="27_데이터보강_내역" sheetId="29" state="visible" r:id="rId29"/>
    <sheet xmlns:r="http://schemas.openxmlformats.org/officeDocument/2006/relationships" name="28_대시보드_연동키" sheetId="30" state="visible" r:id="rId30"/>
    <sheet xmlns:r="http://schemas.openxmlformats.org/officeDocument/2006/relationships" name="29_시장위치_맵" sheetId="31" state="visible" r:id="rId31"/>
    <sheet xmlns:r="http://schemas.openxmlformats.org/officeDocument/2006/relationships" name="99_표시개선_점검" sheetId="32" state="visible" r:id="rId32"/>
  </sheets>
  <definedNames>
    <definedName name="_xlnm._FilterDatabase" localSheetId="2" hidden="1">'01_사용안내'!$A$5:$B$11</definedName>
    <definedName name="_xlnm._FilterDatabase" localSheetId="3" hidden="1">'02_출처맵'!$A$7:$I$23</definedName>
    <definedName name="_xlnm._FilterDatabase" localSheetId="4" hidden="1">'03_원천_DART'!$A$2:$Q$550</definedName>
    <definedName name="_xlnm._FilterDatabase" localSheetId="5" hidden="1">'04_주가_데이터'!$A$18:$AE$718</definedName>
    <definedName name="_xlnm._FilterDatabase" localSheetId="6" hidden="1">'05_정규재무제표'!$A$2:$AK$7</definedName>
    <definedName name="_xlnm._FilterDatabase" localSheetId="7" hidden="1">'06_핵심비율'!$A$2:$L$7</definedName>
    <definedName name="_xlnm._FilterDatabase" localSheetId="9" hidden="1">'08_FCF_추정'!$A$2:$J$7</definedName>
    <definedName name="_xlnm._FilterDatabase" localSheetId="10" hidden="1">'09_DCF_가치평가'!$A$5:$C$21</definedName>
    <definedName name="_xlnm._FilterDatabase" localSheetId="11" hidden="1">'10_피어비교'!$A$2:$AI$7</definedName>
    <definedName name="_xlnm._FilterDatabase" localSheetId="12" hidden="1">'11_ML_보조판단'!$A$16:$B$21</definedName>
    <definedName name="_xlnm._FilterDatabase" localSheetId="13" hidden="1">'12_민감도'!$A$2:$C$27</definedName>
    <definedName name="_xlnm._FilterDatabase" localSheetId="14" hidden="1">'13_검증체크'!$A$2:$C$3</definedName>
    <definedName name="_xlnm._FilterDatabase" localSheetId="15" hidden="1">'14_대시보드_JSON'!$A$2:$D$205</definedName>
    <definedName name="_xlnm._FilterDatabase" localSheetId="16" hidden="1">'15_감사추적'!$A$2:$F$8</definedName>
    <definedName name="_xlnm._FilterDatabase" localSheetId="17" hidden="1">'16_모델링_설계'!$A$2:$G$11</definedName>
    <definedName name="_xlnm._FilterDatabase" localSheetId="18" hidden="1">'17_투자자요약'!$A$23:$B$28</definedName>
    <definedName name="_xlnm._FilterDatabase" localSheetId="19" hidden="1">'18_밸류에이션_유니버스'!$A$66:$AF$274</definedName>
    <definedName name="_xlnm._FilterDatabase" localSheetId="20" hidden="1">'19_가치평가_브릿지'!$A$29:$C$34</definedName>
    <definedName name="_xlnm._FilterDatabase" localSheetId="21" hidden="1">'20_시나리오_요약'!$A$12:$B$14</definedName>
    <definedName name="_xlnm._FilterDatabase" localSheetId="22" hidden="1">'21_품질_커버리지'!$A$15:$C$16</definedName>
    <definedName name="_xlnm._FilterDatabase" localSheetId="23" hidden="1">'22_종합가치평가'!$A$34:$D$42</definedName>
    <definedName name="_xlnm._FilterDatabase" localSheetId="24" hidden="1">'23_가치범위표'!$A$21:$B$23</definedName>
    <definedName name="_xlnm._FilterDatabase" localSheetId="25" hidden="1">'24_역산DCF'!$A$20:$B$23</definedName>
    <definedName name="_xlnm._FilterDatabase" localSheetId="26" hidden="1">'25_데이터수집현황'!$A$15:$C$29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(#,##0);-"/>
    <numFmt numFmtId="165" formatCode="0.0x;[Red](0.0x);-"/>
    <numFmt numFmtId="166" formatCode="0.0%;[Red](0.0%);-"/>
    <numFmt numFmtId="167" formatCode="0.0%"/>
    <numFmt numFmtId="168" formatCode="0.0"/>
  </numFmts>
  <fonts count="17">
    <font>
      <name val="Calibri"/>
      <family val="2"/>
      <color theme="1"/>
      <sz val="11"/>
      <scheme val="minor"/>
    </font>
    <font>
      <b val="1"/>
      <color rgb="00FFFFFF"/>
      <sz val="16"/>
    </font>
    <font>
      <color rgb="000B1F33"/>
      <sz val="10"/>
    </font>
    <font>
      <b val="1"/>
      <color rgb="00FFFFFF"/>
      <sz val="10"/>
    </font>
    <font>
      <b val="1"/>
      <color rgb="000B1F33"/>
      <sz val="13"/>
    </font>
    <font>
      <color rgb="00475569"/>
      <sz val="9"/>
    </font>
    <font>
      <b val="1"/>
      <color rgb="00FFFFFF"/>
    </font>
    <font>
      <b val="1"/>
      <color rgb="000B1F33"/>
    </font>
    <font>
      <color rgb="000000FF"/>
    </font>
    <font>
      <color rgb="00000000"/>
    </font>
    <font>
      <b val="1"/>
      <color rgb="00FFFFFF"/>
      <sz val="18"/>
    </font>
    <font>
      <color rgb="00243B53"/>
      <sz val="10"/>
    </font>
    <font>
      <b val="1"/>
      <color rgb="00102A43"/>
      <sz val="11"/>
    </font>
    <font>
      <b val="1"/>
      <color rgb="00FFFFFF"/>
      <sz val="12"/>
    </font>
    <font>
      <color rgb="00102A43"/>
      <sz val="11"/>
    </font>
    <font>
      <b val="1"/>
      <color rgb="00FFFFFF"/>
      <sz val="15"/>
    </font>
    <font>
      <b val="1"/>
      <color rgb="00102A43"/>
    </font>
  </fonts>
  <fills count="20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E6EEF8"/>
      </patternFill>
    </fill>
    <fill>
      <patternFill patternType="solid">
        <fgColor rgb="00F3F6F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24476B"/>
      </patternFill>
    </fill>
    <fill>
      <patternFill patternType="solid">
        <fgColor rgb="00F8FAFC"/>
      </patternFill>
    </fill>
    <fill>
      <patternFill patternType="solid">
        <fgColor rgb="00FFF2CC"/>
      </patternFill>
    </fill>
    <fill>
      <patternFill patternType="solid">
        <fgColor rgb="00EEF6FF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7C3AED"/>
      </patternFill>
    </fill>
    <fill>
      <patternFill patternType="solid">
        <fgColor rgb="00F59E0B"/>
      </patternFill>
    </fill>
    <fill>
      <patternFill patternType="solid">
        <fgColor rgb="00DDF7EC"/>
      </patternFill>
    </fill>
    <fill>
      <patternFill patternType="solid">
        <fgColor rgb="00F2EEFF"/>
      </patternFill>
    </fill>
    <fill>
      <patternFill patternType="solid">
        <fgColor rgb="00243B53"/>
      </patternFill>
    </fill>
    <fill>
      <patternFill patternType="solid">
        <fgColor rgb="00102A43"/>
      </patternFill>
    </fill>
    <fill>
      <patternFill patternType="solid">
        <fgColor rgb="00FFF7E6"/>
      </patternFill>
    </fill>
  </fills>
  <borders count="8">
    <border>
      <left/>
      <right/>
      <top/>
      <bottom/>
      <diagonal/>
    </border>
    <border>
      <left style="medium">
        <color rgb="009FB3C8"/>
      </left>
      <right style="medium">
        <color rgb="009FB3C8"/>
      </right>
      <top style="medium">
        <color rgb="009FB3C8"/>
      </top>
      <bottom style="medium">
        <color rgb="009FB3C8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8E1EA"/>
      </left>
      <right style="thin">
        <color rgb="00D8E1EA"/>
      </right>
      <top style="thin">
        <color rgb="00D8E1EA"/>
      </top>
      <bottom style="thin">
        <color rgb="00D8E1EA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0" fillId="2" borderId="7" applyAlignment="1" pivotButton="0" quotePrefix="0" xfId="0">
      <alignment horizontal="left" vertical="center" wrapText="1"/>
    </xf>
    <xf numFmtId="0" fontId="11" fillId="10" borderId="7" applyAlignment="1" pivotButton="0" quotePrefix="0" xfId="0">
      <alignment horizontal="left" vertical="center" wrapText="1"/>
    </xf>
    <xf numFmtId="0" fontId="6" fillId="11" borderId="7" applyAlignment="1" pivotButton="0" quotePrefix="0" xfId="0">
      <alignment horizontal="left" vertical="center" wrapText="1"/>
    </xf>
    <xf numFmtId="0" fontId="12" fillId="15" borderId="7" applyAlignment="1" pivotButton="0" quotePrefix="0" xfId="0">
      <alignment horizontal="left" vertical="center" wrapText="1"/>
    </xf>
    <xf numFmtId="0" fontId="6" fillId="12" borderId="7" applyAlignment="1" pivotButton="0" quotePrefix="0" xfId="0">
      <alignment horizontal="left" vertical="center" wrapText="1"/>
    </xf>
    <xf numFmtId="0" fontId="6" fillId="13" borderId="7" applyAlignment="1" pivotButton="0" quotePrefix="0" xfId="0">
      <alignment horizontal="left" vertical="center" wrapText="1"/>
    </xf>
    <xf numFmtId="0" fontId="6" fillId="14" borderId="7" applyAlignment="1" pivotButton="0" quotePrefix="0" xfId="0">
      <alignment horizontal="left" vertical="center" wrapText="1"/>
    </xf>
    <xf numFmtId="0" fontId="12" fillId="10" borderId="7" applyAlignment="1" pivotButton="0" quotePrefix="0" xfId="0">
      <alignment horizontal="left" vertical="center" wrapText="1"/>
    </xf>
    <xf numFmtId="0" fontId="12" fillId="16" borderId="7" applyAlignment="1" pivotButton="0" quotePrefix="0" xfId="0">
      <alignment horizontal="left" vertical="center" wrapText="1"/>
    </xf>
    <xf numFmtId="0" fontId="13" fillId="2" borderId="7" applyAlignment="1" pivotButton="0" quotePrefix="0" xfId="0">
      <alignment horizontal="left" vertical="center" wrapText="1"/>
    </xf>
    <xf numFmtId="0" fontId="14" fillId="6" borderId="7" applyAlignment="1" pivotButton="0" quotePrefix="0" xfId="0">
      <alignment horizontal="left" vertical="center" wrapText="1"/>
    </xf>
    <xf numFmtId="0" fontId="6" fillId="17" borderId="7" applyAlignment="1" pivotButton="0" quotePrefix="0" xfId="0">
      <alignment horizontal="left" vertical="center" wrapText="1"/>
    </xf>
    <xf numFmtId="0" fontId="0" fillId="8" borderId="7" applyAlignment="1" pivotButton="0" quotePrefix="0" xfId="0">
      <alignment horizontal="left" vertical="center" wrapText="1"/>
    </xf>
    <xf numFmtId="0" fontId="0" fillId="6" borderId="7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left" vertical="center" wrapText="1"/>
    </xf>
    <xf numFmtId="165" fontId="0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left" vertical="center" wrapText="1"/>
    </xf>
    <xf numFmtId="164" fontId="0" fillId="6" borderId="2" applyAlignment="1" pivotButton="0" quotePrefix="0" xfId="0">
      <alignment horizontal="left" vertical="center" wrapText="1"/>
    </xf>
    <xf numFmtId="164" fontId="0" fillId="8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164" fontId="6" fillId="7" borderId="2" applyAlignment="1" pivotButton="0" quotePrefix="0" xfId="0">
      <alignment horizontal="left" vertical="center" wrapText="1"/>
    </xf>
    <xf numFmtId="166" fontId="0" fillId="6" borderId="2" applyAlignment="1" pivotButton="0" quotePrefix="0" xfId="0">
      <alignment horizontal="left" vertical="center" wrapText="1"/>
    </xf>
    <xf numFmtId="166" fontId="0" fillId="8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6" fontId="8" fillId="9" borderId="2" applyAlignment="1" pivotButton="0" quotePrefix="0" xfId="0">
      <alignment horizontal="left" vertical="center" wrapText="1"/>
    </xf>
    <xf numFmtId="164" fontId="8" fillId="9" borderId="2" applyAlignment="1" pivotButton="0" quotePrefix="0" xfId="0">
      <alignment horizontal="left" vertical="center" wrapText="1"/>
    </xf>
    <xf numFmtId="164" fontId="9" fillId="0" borderId="2" applyAlignment="1" pivotButton="0" quotePrefix="0" xfId="0">
      <alignment horizontal="left" vertical="center" wrapText="1"/>
    </xf>
    <xf numFmtId="166" fontId="9" fillId="0" borderId="2" applyAlignment="1" pivotButton="0" quotePrefix="0" xfId="0">
      <alignment horizontal="left" vertical="center" wrapText="1"/>
    </xf>
    <xf numFmtId="165" fontId="0" fillId="6" borderId="2" applyAlignment="1" pivotButton="0" quotePrefix="0" xfId="0">
      <alignment horizontal="left" vertical="center" wrapText="1"/>
    </xf>
    <xf numFmtId="165" fontId="0" fillId="8" borderId="2" applyAlignment="1" pivotButton="0" quotePrefix="0" xfId="0">
      <alignment horizontal="left" vertical="center" wrapText="1"/>
    </xf>
    <xf numFmtId="0" fontId="15" fillId="18" borderId="7" applyAlignment="1" pivotButton="0" quotePrefix="0" xfId="0">
      <alignment horizontal="left" vertical="center" wrapText="1"/>
    </xf>
    <xf numFmtId="0" fontId="16" fillId="15" borderId="7" applyAlignment="1" pivotButton="0" quotePrefix="0" xfId="0">
      <alignment horizontal="left" vertical="center" wrapText="1"/>
    </xf>
    <xf numFmtId="168" fontId="16" fillId="15" borderId="7" applyAlignment="1" pivotButton="0" quotePrefix="0" xfId="0">
      <alignment horizontal="left" vertical="center" wrapText="1"/>
    </xf>
    <xf numFmtId="167" fontId="16" fillId="15" borderId="7" applyAlignment="1" pivotButton="0" quotePrefix="0" xfId="0">
      <alignment horizontal="left" vertical="center" wrapText="1"/>
    </xf>
    <xf numFmtId="0" fontId="0" fillId="15" borderId="7" applyAlignment="1" pivotButton="0" quotePrefix="0" xfId="0">
      <alignment horizontal="left" vertical="center" wrapText="1"/>
    </xf>
    <xf numFmtId="0" fontId="0" fillId="10" borderId="7" applyAlignment="1" pivotButton="0" quotePrefix="0" xfId="0">
      <alignment horizontal="left" vertical="center" wrapText="1"/>
    </xf>
    <xf numFmtId="0" fontId="0" fillId="16" borderId="7" applyAlignment="1" pivotButton="0" quotePrefix="0" xfId="0">
      <alignment horizontal="left" vertical="center" wrapText="1"/>
    </xf>
    <xf numFmtId="0" fontId="0" fillId="19" borderId="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투자자 관점 핵심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'30_발표용_원페이지'!B30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'30_발표용_원페이지'!$A$31:$A$34</f>
            </numRef>
          </cat>
          <val>
            <numRef>
              <f>'30_발표용_원페이지'!$B$31:$B$34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TAM/SAM/SOM 범위</a:t>
            </a:r>
          </a:p>
        </rich>
      </tx>
    </title>
    <plotArea>
      <doughnutChart>
        <varyColors val="1"/>
        <ser>
          <idx val="0"/>
          <order val="0"/>
          <tx>
            <strRef>
              <f>'30_발표용_원페이지'!F30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'30_발표용_원페이지'!$E$31:$E$33</f>
            </numRef>
          </cat>
          <val>
            <numRef>
              <f>'30_발표용_원페이지'!$F$31:$F$33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매출·영업이익·FCF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'00_대시보드'!$B$32:$B$36</f>
            </numRef>
          </val>
        </ser>
        <ser>
          <idx val="1"/>
          <order val="1"/>
          <tx>
            <strRef>
              <f>'00_대시보드'!C31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'00_대시보드'!$C$32:$C$36</f>
            </numRef>
          </val>
        </ser>
        <ser>
          <idx val="2"/>
          <order val="2"/>
          <tx>
            <strRef>
              <f>'00_대시보드'!D31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'00_대시보드'!$D$32:$D$36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FCF 추정</a:t>
            </a:r>
          </a:p>
        </rich>
      </tx>
    </title>
    <plotArea>
      <lineChart>
        <grouping val="standard"/>
        <ser>
          <idx val="0"/>
          <order val="0"/>
          <tx>
            <strRef>
              <f>'00_대시보드'!F31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'00_대시보드'!$F$32:$F$36</f>
            </numRef>
          </val>
        </ser>
        <ser>
          <idx val="1"/>
          <order val="1"/>
          <tx>
            <strRef>
              <f>'00_대시보드'!G31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'00_대시보드'!$G$32:$G$36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Peer P/S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'00_대시보드'!J31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'00_대시보드'!$I$32:$I$36</f>
            </numRef>
          </cat>
          <val>
            <numRef>
              <f>'00_대시보드'!$J$32:$J$36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배수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종가·이동평균 추이</a:t>
            </a:r>
          </a:p>
        </rich>
      </tx>
    </title>
    <plotArea>
      <lineChart>
        <grouping val="standard"/>
        <ser>
          <idx val="0"/>
          <order val="0"/>
          <tx>
            <strRef>
              <f>'04_주가_데이터'!E18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'04_주가_데이터'!$A$19:$A$718</f>
            </numRef>
          </cat>
          <val>
            <numRef>
              <f>'04_주가_데이터'!$E$19:$E$718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일자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가치평가 방법별 중앙 주당가치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'23_가치범위표'!G10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'23_가치범위표'!$B$11:$B$17</f>
            </numRef>
          </cat>
          <val>
            <numRef>
              <f>'23_가치범위표'!$G$11:$G$17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가치평가 방법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원/주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선택기업 vs 동일 세부군 vs 208개 평균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'29_시장위치_맵'!$B$9:$B$11</f>
            </numRef>
          </val>
        </ser>
        <ser>
          <idx val="1"/>
          <order val="1"/>
          <tx>
            <strRef>
              <f>'29_시장위치_맵'!C8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'29_시장위치_맵'!$C$9:$C$11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비교 기준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 / SAM / SOM 범위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'29_시장위치_맵'!$A$17:$A$19</f>
            </numRef>
          </cat>
          <val>
            <numRef>
              <f>'29_시장위치_맵'!$B$17:$B$19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기업 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범위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5개 핵심기업 밸류에이션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'29_시장위치_맵'!$A$26:$A$30</f>
            </numRef>
          </cat>
          <val>
            <numRef>
              <f>'29_시장위치_맵'!$C$26:$C$30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AlphaProve</author>
  </authors>
  <commentList>
    <comment ref="B4" authorId="0" shapeId="0">
      <text>
        <t>출처: valuation/intake/valuation_assumptions.json</t>
      </text>
    </comment>
  </commentList>
</comments>
</file>

<file path=xl/comments/comment2.xml><?xml version="1.0" encoding="utf-8"?>
<comments xmlns="http://schemas.openxmlformats.org/spreadsheetml/2006/main">
  <authors>
    <author>AlphaProve</author>
  </authors>
  <commentList>
    <comment ref="B18" authorId="0" shapeId="0">
      <text>
        <t>출처: DART 발행주식 수 intake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33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16</col>
      <colOff>0</colOff>
      <row>33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16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8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41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N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8" customWidth="1" min="4" max="4"/>
    <col width="16" customWidth="1" min="5" max="5"/>
    <col width="16" customWidth="1" min="6" max="6"/>
    <col width="15" customWidth="1" min="7" max="7"/>
    <col width="16" customWidth="1" min="8" max="8"/>
    <col width="3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38" customHeight="1">
      <c r="A1" s="1" t="inlineStr">
        <is>
          <t>티씨케이 가치평가 원페이지</t>
        </is>
      </c>
    </row>
    <row r="2" ht="25" customHeight="1">
      <c r="A2" s="2" t="inlineStr">
        <is>
          <t>DCF·상대가치·시장내재 배수·주가 리스크·208개 비교군 위치를 한 장에서 검토하는 투자자용 요약입니다.</t>
        </is>
      </c>
    </row>
    <row r="3" ht="24" customHeight="1"/>
    <row r="4" ht="24" customHeight="1">
      <c r="A4" s="3" t="inlineStr">
        <is>
          <t>현재가</t>
        </is>
      </c>
      <c r="B4" s="4" t="inlineStr">
        <is>
          <t>274,500원</t>
        </is>
      </c>
      <c r="C4" s="5" t="inlineStr">
        <is>
          <t>DCF 내재주가</t>
        </is>
      </c>
      <c r="D4" s="4" t="inlineStr">
        <is>
          <t>34,594원</t>
        </is>
      </c>
      <c r="E4" s="6" t="inlineStr">
        <is>
          <t>괴리율</t>
        </is>
      </c>
      <c r="F4" s="4" t="inlineStr">
        <is>
          <t>-87.4%</t>
        </is>
      </c>
      <c r="G4" s="7" t="inlineStr">
        <is>
          <t>WACC</t>
        </is>
      </c>
      <c r="H4" s="4" t="inlineStr">
        <is>
          <t>14.1%</t>
        </is>
      </c>
    </row>
    <row r="5" ht="24" customHeight="1">
      <c r="A5" s="3" t="inlineStr">
        <is>
          <t>P/S</t>
        </is>
      </c>
      <c r="B5" s="8" t="inlineStr">
        <is>
          <t>1.24배</t>
        </is>
      </c>
      <c r="C5" s="5" t="inlineStr">
        <is>
          <t>비교기업 P/S 중앙값</t>
        </is>
      </c>
      <c r="D5" s="8" t="inlineStr">
        <is>
          <t>3.43배</t>
        </is>
      </c>
      <c r="E5" s="6" t="inlineStr">
        <is>
          <t>가치범위 중앙값</t>
        </is>
      </c>
      <c r="F5" s="8" t="inlineStr">
        <is>
          <t>101,749원</t>
        </is>
      </c>
      <c r="G5" s="7" t="inlineStr">
        <is>
          <t>검증 상태</t>
        </is>
      </c>
      <c r="H5" s="8" t="inlineStr">
        <is>
          <t>통과</t>
        </is>
      </c>
    </row>
    <row r="6" ht="24" customHeight="1">
      <c r="A6" s="3" t="inlineStr">
        <is>
          <t>종합 가치평가 점수</t>
        </is>
      </c>
      <c r="B6" s="9" t="inlineStr">
        <is>
          <t>38.0/100</t>
        </is>
      </c>
      <c r="C6" s="5" t="inlineStr">
        <is>
          <t>보조 가치평가 점수</t>
        </is>
      </c>
      <c r="D6" s="9" t="inlineStr">
        <is>
          <t>47.3/100</t>
        </is>
      </c>
      <c r="E6" s="6" t="inlineStr">
        <is>
          <t>역산 영구성장률</t>
        </is>
      </c>
      <c r="F6" s="9" t="inlineStr">
        <is>
          <t>8.0%</t>
        </is>
      </c>
      <c r="G6" s="7" t="inlineStr">
        <is>
          <t>오너이익 주당가치</t>
        </is>
      </c>
      <c r="H6" s="9" t="inlineStr">
        <is>
          <t>34,172원</t>
        </is>
      </c>
    </row>
    <row r="7" ht="24" customHeight="1"/>
    <row r="8" ht="24" customHeight="1">
      <c r="A8" s="10" t="inlineStr">
        <is>
          <t>핵심 판단</t>
        </is>
      </c>
    </row>
    <row r="9" ht="62" customHeight="1">
      <c r="A9" s="11" t="inlineStr">
        <is>
          <t>가치평가 관점 보수 — DCF 기준 현재가 부담이 큽니다. 종합 가치평가 점수가 45점 미만으로 보수적 해석이 필요합니다.</t>
        </is>
      </c>
    </row>
    <row r="10" ht="24" customHeight="1"/>
    <row r="11" ht="24" customHeight="1"/>
    <row r="12" ht="24" customHeight="1"/>
    <row r="13" ht="24" customHeight="1">
      <c r="A13" s="12" t="inlineStr">
        <is>
          <t>분석 축</t>
        </is>
      </c>
      <c r="B13" s="12" t="inlineStr">
        <is>
          <t>현재 결론</t>
        </is>
      </c>
      <c r="C13" s="12" t="inlineStr">
        <is>
          <t>대시보드에서 볼 것</t>
        </is>
      </c>
      <c r="D13" s="12" t="inlineStr">
        <is>
          <t>실무 체크포인트</t>
        </is>
      </c>
    </row>
    <row r="14" ht="24" customHeight="1">
      <c r="A14" s="13" t="inlineStr">
        <is>
          <t>절대가치</t>
        </is>
      </c>
      <c r="B14" s="14" t="inlineStr">
        <is>
          <t>34,594원</t>
        </is>
      </c>
      <c r="C14" s="13" t="inlineStr">
        <is>
          <t>DCF 내재주가·민감도</t>
        </is>
      </c>
      <c r="D14" s="14" t="inlineStr">
        <is>
          <t>WACC와 영구성장률 가정이 바뀌면 결론이 크게 달라질 수 있습니다.</t>
        </is>
      </c>
    </row>
    <row r="15" ht="24" customHeight="1">
      <c r="A15" s="14" t="inlineStr">
        <is>
          <t>상대가치</t>
        </is>
      </c>
      <c r="B15" s="13" t="inlineStr">
        <is>
          <t>1.24배</t>
        </is>
      </c>
      <c r="C15" s="14" t="inlineStr">
        <is>
          <t>P/S·P/B·PER·EV/Sales</t>
        </is>
      </c>
      <c r="D15" s="13" t="inlineStr">
        <is>
          <t>동일 세부군 기준으로 비교기업 품질을 재확인합니다.</t>
        </is>
      </c>
    </row>
    <row r="16" ht="24" customHeight="1">
      <c r="A16" s="13" t="inlineStr">
        <is>
          <t>시장내재</t>
        </is>
      </c>
      <c r="B16" s="14" t="inlineStr">
        <is>
          <t>10.18배</t>
        </is>
      </c>
      <c r="C16" s="13" t="inlineStr">
        <is>
          <t>현재가가 반영한 배수</t>
        </is>
      </c>
      <c r="D16" s="14" t="inlineStr">
        <is>
          <t>현재 시장이 이미 반영한 성장 기대를 역산합니다.</t>
        </is>
      </c>
    </row>
    <row r="17" ht="24" customHeight="1">
      <c r="A17" s="14" t="inlineStr">
        <is>
          <t>유동성/리스크</t>
        </is>
      </c>
      <c r="B17" s="13" t="inlineStr">
        <is>
          <t>226.2억원</t>
        </is>
      </c>
      <c r="C17" s="14" t="inlineStr">
        <is>
          <t>거래대금·MDD·변동성</t>
        </is>
      </c>
      <c r="D17" s="13" t="inlineStr">
        <is>
          <t>거래대금이 낮은 기업은 실전 매매비용을 보수적으로 봅니다.</t>
        </is>
      </c>
    </row>
    <row r="18" ht="24" customHeight="1">
      <c r="A18" s="13" t="inlineStr">
        <is>
          <t>208개 비교군</t>
        </is>
      </c>
      <c r="B18" s="14" t="inlineStr">
        <is>
          <t>208</t>
        </is>
      </c>
      <c r="C18" s="13" t="inlineStr">
        <is>
          <t>시장위치 맵·백분위</t>
        </is>
      </c>
      <c r="D18" s="14" t="inlineStr">
        <is>
          <t>동일 섹터 안에서 상대적 위치를 먼저 확인합니다.</t>
        </is>
      </c>
    </row>
    <row r="19" ht="24" customHeight="1"/>
    <row r="20" ht="24" customHeight="1"/>
    <row r="21" ht="24" customHeight="1">
      <c r="A21" s="3" t="inlineStr">
        <is>
          <t>완성도 점검</t>
        </is>
      </c>
      <c r="B21" s="3" t="inlineStr">
        <is>
          <t>결과</t>
        </is>
      </c>
      <c r="C21" s="3" t="inlineStr">
        <is>
          <t>의미</t>
        </is>
      </c>
    </row>
    <row r="22" ht="24" customHeight="1">
      <c r="A22" s="15" t="inlineStr">
        <is>
          <t>품질 점검</t>
        </is>
      </c>
      <c r="B22" t="inlineStr"/>
      <c r="C22" s="15" t="inlineStr">
        <is>
          <t>검토 완료</t>
        </is>
      </c>
    </row>
    <row r="23" ht="24" customHeight="1">
      <c r="A23" s="15" t="inlineStr">
        <is>
          <t>품질 점검</t>
        </is>
      </c>
      <c r="B23" t="inlineStr"/>
      <c r="C23" s="15" t="inlineStr">
        <is>
          <t>검토 완료</t>
        </is>
      </c>
    </row>
    <row r="24" ht="24" customHeight="1">
      <c r="A24" s="15" t="inlineStr">
        <is>
          <t>품질 점검</t>
        </is>
      </c>
      <c r="B24" t="inlineStr"/>
      <c r="C24" s="15" t="inlineStr">
        <is>
          <t>검토 완료</t>
        </is>
      </c>
    </row>
    <row r="25" ht="24" customHeight="1">
      <c r="A25" s="15" t="inlineStr">
        <is>
          <t>품질 점검</t>
        </is>
      </c>
      <c r="B25" t="inlineStr"/>
      <c r="C25" s="15" t="inlineStr">
        <is>
          <t>검토 완료</t>
        </is>
      </c>
    </row>
    <row r="26" ht="24" customHeight="1">
      <c r="A26" s="15" t="inlineStr">
        <is>
          <t>품질 점검</t>
        </is>
      </c>
      <c r="B26" t="inlineStr"/>
      <c r="C26" s="15" t="inlineStr">
        <is>
          <t>검토 완료</t>
        </is>
      </c>
    </row>
    <row r="27" ht="24" customHeight="1">
      <c r="A27" s="15" t="inlineStr">
        <is>
          <t>품질 점검</t>
        </is>
      </c>
      <c r="B27" t="inlineStr"/>
      <c r="C27" s="15" t="inlineStr">
        <is>
          <t>검토 완료</t>
        </is>
      </c>
    </row>
    <row r="28" ht="24" customHeight="1">
      <c r="A28" s="15" t="inlineStr">
        <is>
          <t>품질 점검</t>
        </is>
      </c>
      <c r="B28" t="inlineStr"/>
      <c r="C28" s="15" t="inlineStr">
        <is>
          <t>검토 완료</t>
        </is>
      </c>
    </row>
    <row r="29" ht="24" customHeight="1"/>
    <row r="30" ht="24" customHeight="1">
      <c r="A30" s="12" t="inlineStr">
        <is>
          <t>항목</t>
        </is>
      </c>
      <c r="B30" s="12" t="inlineStr">
        <is>
          <t>점수</t>
        </is>
      </c>
      <c r="E30" s="15" t="inlineStr">
        <is>
          <t>범위</t>
        </is>
      </c>
      <c r="F30" s="15" t="inlineStr">
        <is>
          <t>기업 수</t>
        </is>
      </c>
    </row>
    <row r="31" ht="24" customHeight="1">
      <c r="A31" s="15" t="inlineStr">
        <is>
          <t>DCF 안전마진</t>
        </is>
      </c>
      <c r="B31" s="15" t="n">
        <v>-0.37</v>
      </c>
      <c r="E31" s="15" t="inlineStr">
        <is>
          <t>전체 반도체 비교군</t>
        </is>
      </c>
      <c r="F31" s="15" t="n">
        <v>208</v>
      </c>
    </row>
    <row r="32" ht="24" customHeight="1">
      <c r="A32" s="15" t="inlineStr">
        <is>
          <t>종합 가치평가</t>
        </is>
      </c>
      <c r="B32" s="15" t="n">
        <v>38</v>
      </c>
      <c r="E32" s="15" t="inlineStr">
        <is>
          <t>동일 세부군</t>
        </is>
      </c>
      <c r="F32" s="15" t="n">
        <v>40</v>
      </c>
    </row>
    <row r="33" ht="24" customHeight="1">
      <c r="A33" s="15" t="inlineStr">
        <is>
          <t>보조 점수</t>
        </is>
      </c>
      <c r="B33" s="15" t="n">
        <v>47.34</v>
      </c>
      <c r="E33" s="15" t="inlineStr">
        <is>
          <t>선택기업</t>
        </is>
      </c>
      <c r="F33" s="15" t="n">
        <v>1</v>
      </c>
    </row>
    <row r="34" ht="24" customHeight="1">
      <c r="A34" s="15" t="inlineStr">
        <is>
          <t>데이터 검증</t>
        </is>
      </c>
      <c r="B34" s="15" t="n">
        <v>100</v>
      </c>
    </row>
    <row r="35" ht="24" customHeight="1"/>
    <row r="36" ht="24" customHeight="1"/>
    <row r="37" ht="24" customHeight="1"/>
    <row r="38" ht="24" customHeight="1"/>
  </sheetData>
  <mergeCells count="4">
    <mergeCell ref="A9:H11"/>
    <mergeCell ref="A8:H8"/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5" customWidth="1" min="1" max="1"/>
    <col width="18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티씨케이 독립 가치평가 대시보드</t>
        </is>
      </c>
    </row>
    <row r="2" ht="28" customHeight="1">
      <c r="A2" s="17" t="inlineStr">
        <is>
          <t>DCF · WACC · 피어 비교 · 주가/민감도 · ML 보조판단 · 검증체크 자동 생성</t>
        </is>
      </c>
    </row>
    <row r="3" ht="24" customHeight="1"/>
    <row r="4" ht="24" customHeight="1">
      <c r="A4" s="18" t="inlineStr">
        <is>
          <t>WACC</t>
        </is>
      </c>
      <c r="B4" s="19" t="n"/>
      <c r="C4" s="18" t="inlineStr">
        <is>
          <t>DCF 기업가치</t>
        </is>
      </c>
      <c r="D4" s="19" t="n"/>
      <c r="E4" s="18" t="inlineStr">
        <is>
          <t>DCF 지분가치</t>
        </is>
      </c>
      <c r="F4" s="19" t="n"/>
      <c r="G4" s="18" t="inlineStr">
        <is>
          <t>내재주가</t>
        </is>
      </c>
      <c r="H4" s="19" t="n"/>
      <c r="I4" s="18" t="inlineStr">
        <is>
          <t>괴리율</t>
        </is>
      </c>
      <c r="J4" s="19" t="n"/>
      <c r="K4" s="18" t="inlineStr">
        <is>
          <t>검증 상태</t>
        </is>
      </c>
      <c r="L4" s="19" t="n"/>
    </row>
    <row r="5" ht="24" customHeight="1">
      <c r="A5" s="20" t="inlineStr">
        <is>
          <t>14.1%</t>
        </is>
      </c>
      <c r="B5" s="19" t="n"/>
      <c r="C5" s="20" t="inlineStr">
        <is>
          <t>4,271.0억원</t>
        </is>
      </c>
      <c r="D5" s="19" t="n"/>
      <c r="E5" s="20" t="inlineStr">
        <is>
          <t>3,867.4억원</t>
        </is>
      </c>
      <c r="F5" s="19" t="n"/>
      <c r="G5" s="20" t="inlineStr">
        <is>
          <t>34,594원</t>
        </is>
      </c>
      <c r="H5" s="19" t="n"/>
      <c r="I5" s="20" t="inlineStr">
        <is>
          <t>-87.4%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시장가중/장부가중 혼합</t>
        </is>
      </c>
      <c r="B6" s="19" t="n"/>
      <c r="C6" s="21" t="inlineStr">
        <is>
          <t>EV 기준</t>
        </is>
      </c>
      <c r="D6" s="19" t="n"/>
      <c r="E6" s="21" t="inlineStr">
        <is>
          <t>EV + 현금 - 부채 proxy</t>
        </is>
      </c>
      <c r="F6" s="19" t="n"/>
      <c r="G6" s="21" t="inlineStr">
        <is>
          <t>발행주식 수 기준</t>
        </is>
      </c>
      <c r="H6" s="19" t="n"/>
      <c r="I6" s="21" t="inlineStr">
        <is>
          <t>현재가 대비</t>
        </is>
      </c>
      <c r="J6" s="19" t="n"/>
      <c r="K6" s="21" t="inlineStr">
        <is>
          <t>가치평가 보조근거 중립</t>
        </is>
      </c>
      <c r="L6" s="19" t="n"/>
    </row>
    <row r="7" ht="24" customHeight="1">
      <c r="A7" s="18" t="inlineStr">
        <is>
          <t>현재가</t>
        </is>
      </c>
      <c r="B7" s="19" t="n"/>
      <c r="C7" s="18" t="inlineStr">
        <is>
          <t>1년 수익률</t>
        </is>
      </c>
      <c r="D7" s="19" t="n"/>
      <c r="E7" s="18" t="inlineStr">
        <is>
          <t>MDD</t>
        </is>
      </c>
      <c r="F7" s="19" t="n"/>
      <c r="G7" s="18" t="inlineStr">
        <is>
          <t>변동성</t>
        </is>
      </c>
      <c r="H7" s="19" t="n"/>
      <c r="I7" s="18" t="inlineStr">
        <is>
          <t>주가 행 수</t>
        </is>
      </c>
      <c r="J7" s="19" t="n"/>
      <c r="K7" s="18" t="inlineStr">
        <is>
          <t>52주 범위</t>
        </is>
      </c>
      <c r="L7" s="19" t="n"/>
    </row>
    <row r="8" ht="24" customHeight="1">
      <c r="A8" s="20" t="inlineStr">
        <is>
          <t>274,500원</t>
        </is>
      </c>
      <c r="B8" s="19" t="n"/>
      <c r="C8" s="20" t="inlineStr">
        <is>
          <t>187.7%</t>
        </is>
      </c>
      <c r="D8" s="19" t="n"/>
      <c r="E8" s="20" t="inlineStr">
        <is>
          <t>-67.1%</t>
        </is>
      </c>
      <c r="F8" s="19" t="n"/>
      <c r="G8" s="20" t="inlineStr">
        <is>
          <t>50.7%</t>
        </is>
      </c>
      <c r="H8" s="19" t="n"/>
      <c r="I8" s="20" t="inlineStr">
        <is>
          <t>1,220행</t>
        </is>
      </c>
      <c r="J8" s="19" t="n"/>
      <c r="K8" s="20" t="inlineStr">
        <is>
          <t>85,000원~348,500원</t>
        </is>
      </c>
      <c r="L8" s="19" t="n"/>
    </row>
    <row r="9" ht="24" customHeight="1">
      <c r="A9" s="21" t="inlineStr">
        <is>
          <t>주가 intake</t>
        </is>
      </c>
      <c r="B9" s="19" t="n"/>
      <c r="C9" s="21" t="inlineStr">
        <is>
          <t>최근 약 1년</t>
        </is>
      </c>
      <c r="D9" s="19" t="n"/>
      <c r="E9" s="21" t="inlineStr">
        <is>
          <t>최대 낙폭</t>
        </is>
      </c>
      <c r="F9" s="19" t="n"/>
      <c r="G9" s="21" t="inlineStr">
        <is>
          <t>연환산</t>
        </is>
      </c>
      <c r="H9" s="19" t="n"/>
      <c r="I9" s="21" t="inlineStr">
        <is>
          <t>차트/대시보드 원천</t>
        </is>
      </c>
      <c r="J9" s="19" t="n"/>
      <c r="K9" s="21" t="inlineStr">
        <is>
          <t>저가~고가</t>
        </is>
      </c>
      <c r="L9" s="19" t="n"/>
    </row>
    <row r="10" ht="24" customHeight="1">
      <c r="A10" s="18" t="inlineStr">
        <is>
          <t>시가총액</t>
        </is>
      </c>
      <c r="B10" s="19" t="n"/>
      <c r="C10" s="18" t="inlineStr">
        <is>
          <t>발행주식 수</t>
        </is>
      </c>
      <c r="D10" s="19" t="n"/>
      <c r="E10" s="18" t="inlineStr">
        <is>
          <t>20일 평균 거래대금</t>
        </is>
      </c>
      <c r="F10" s="19" t="n"/>
      <c r="G10" s="18" t="inlineStr">
        <is>
          <t>최근 거래회전율</t>
        </is>
      </c>
      <c r="H10" s="19" t="n"/>
      <c r="I10" s="18" t="inlineStr">
        <is>
          <t>ML 보조점수</t>
        </is>
      </c>
      <c r="J10" s="19" t="n"/>
      <c r="K10" s="18" t="inlineStr">
        <is>
          <t>Peer 수</t>
        </is>
      </c>
      <c r="L10" s="19" t="n"/>
    </row>
    <row r="11" ht="24" customHeight="1">
      <c r="A11" s="20" t="inlineStr">
        <is>
          <t>30,687.5억원</t>
        </is>
      </c>
      <c r="B11" s="19" t="n"/>
      <c r="C11" s="20" t="inlineStr">
        <is>
          <t>11,179,416주</t>
        </is>
      </c>
      <c r="D11" s="19" t="n"/>
      <c r="E11" s="20" t="inlineStr">
        <is>
          <t>226.2억원</t>
        </is>
      </c>
      <c r="F11" s="19" t="n"/>
      <c r="G11" s="20" t="inlineStr">
        <is>
          <t>0.4%</t>
        </is>
      </c>
      <c r="H11" s="19" t="n"/>
      <c r="I11" s="20" t="inlineStr">
        <is>
          <t>67.9/100</t>
        </is>
      </c>
      <c r="J11" s="19" t="n"/>
      <c r="K11" s="20" t="inlineStr">
        <is>
          <t>5개</t>
        </is>
      </c>
      <c r="L11" s="19" t="n"/>
    </row>
    <row r="12" ht="24" customHeight="1">
      <c r="A12" s="21" t="inlineStr">
        <is>
          <t>현재가×발행주식 수</t>
        </is>
      </c>
      <c r="B12" s="19" t="n"/>
      <c r="C12" s="21" t="inlineStr">
        <is>
          <t>DART stockTotqySttus</t>
        </is>
      </c>
      <c r="D12" s="19" t="n"/>
      <c r="E12" s="21" t="inlineStr">
        <is>
          <t>유동성 proxy</t>
        </is>
      </c>
      <c r="F12" s="19" t="n"/>
      <c r="G12" s="21" t="inlineStr">
        <is>
          <t>거래량/주식 수</t>
        </is>
      </c>
      <c r="H12" s="19" t="n"/>
      <c r="I12" s="21" t="inlineStr">
        <is>
          <t>가치평가 보조근거 중립</t>
        </is>
      </c>
      <c r="J12" s="19" t="n"/>
      <c r="K12" s="21" t="inlineStr">
        <is>
          <t>상대가치 비교</t>
        </is>
      </c>
      <c r="L12" s="19" t="n"/>
    </row>
    <row r="13" ht="24" customHeight="1">
      <c r="A13" s="18" t="inlineStr">
        <is>
          <t>P/S</t>
        </is>
      </c>
      <c r="B13" s="19" t="n"/>
      <c r="C13" s="18" t="inlineStr">
        <is>
          <t>Peer P/S 중앙값</t>
        </is>
      </c>
      <c r="D13" s="19" t="n"/>
      <c r="E13" s="18" t="inlineStr">
        <is>
          <t>P/S 매력도</t>
        </is>
      </c>
      <c r="F13" s="19" t="n"/>
      <c r="G13" s="18" t="inlineStr">
        <is>
          <t>208개 Universe</t>
        </is>
      </c>
      <c r="H13" s="19" t="n"/>
      <c r="I13" s="18" t="inlineStr">
        <is>
          <t>Reference 그룹</t>
        </is>
      </c>
      <c r="J13" s="19" t="n"/>
      <c r="K13" s="18" t="inlineStr">
        <is>
          <t>PSR/Universe</t>
        </is>
      </c>
      <c r="L13" s="19" t="n"/>
    </row>
    <row r="14" ht="24" customHeight="1">
      <c r="A14" s="20" t="inlineStr">
        <is>
          <t>1.24x</t>
        </is>
      </c>
      <c r="B14" s="19" t="n"/>
      <c r="C14" s="20" t="inlineStr">
        <is>
          <t>3.43x</t>
        </is>
      </c>
      <c r="D14" s="19" t="n"/>
      <c r="E14" s="20" t="inlineStr">
        <is>
          <t>100.0점</t>
        </is>
      </c>
      <c r="F14" s="19" t="n"/>
      <c r="G14" s="20" t="inlineStr">
        <is>
          <t>208개</t>
        </is>
      </c>
      <c r="H14" s="19" t="n"/>
      <c r="I14" s="20" t="inlineStr">
        <is>
          <t>소재</t>
        </is>
      </c>
      <c r="J14" s="19" t="n"/>
      <c r="K14" s="20" t="inlineStr">
        <is>
          <t>반영</t>
        </is>
      </c>
      <c r="L14" s="19" t="n"/>
    </row>
    <row r="15" ht="24" customHeight="1">
      <c r="A15" s="21" t="inlineStr">
        <is>
          <t>피어 대비 저PSR 구간: 상대 저평가 가능성</t>
        </is>
      </c>
      <c r="B15" s="19" t="n"/>
      <c r="C15" s="21" t="inlineStr">
        <is>
          <t>5개 live peer 기준</t>
        </is>
      </c>
      <c r="D15" s="19" t="n"/>
      <c r="E15" s="21" t="inlineStr">
        <is>
          <t>낮은 P/S일수록 점수 우호</t>
        </is>
      </c>
      <c r="F15" s="19" t="n"/>
      <c r="G15" s="21" t="inlineStr">
        <is>
          <t>소재</t>
        </is>
      </c>
      <c r="H15" s="19" t="n"/>
      <c r="I15" s="21" t="inlineStr">
        <is>
          <t>그룹 26개</t>
        </is>
      </c>
      <c r="J15" s="19" t="n"/>
      <c r="K15" s="21" t="inlineStr">
        <is>
          <t>대시보드/Chair 보조판단</t>
        </is>
      </c>
      <c r="L15" s="19" t="n"/>
    </row>
    <row r="16" ht="24" customHeight="1"/>
    <row r="17" ht="24" customHeight="1"/>
    <row r="18" ht="24" customHeight="1"/>
    <row r="19" ht="24" customHeight="1">
      <c r="A19" s="22" t="inlineStr">
        <is>
          <t>핵심 해석</t>
        </is>
      </c>
    </row>
    <row r="20" ht="24" customHeight="1">
      <c r="A20" s="23" t="inlineStr">
        <is>
          <t>데이터 독립성</t>
        </is>
      </c>
      <c r="B20" s="24" t="inlineStr">
        <is>
          <t>finance_agent 산출물을 읽지 않고 valuation/intake 원천 데이터만 사용</t>
        </is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 ht="24" customHeight="1">
      <c r="A21" s="23" t="inlineStr">
        <is>
          <t>모델 구조</t>
        </is>
      </c>
      <c r="B21" s="24" t="inlineStr">
        <is>
          <t>업로드한 파이낸셜 모델링 파일의 구조를 DCF/WACC/Peer/Scenario/Dashboard 코드로 반영</t>
        </is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 ht="24" customHeight="1">
      <c r="A22" s="23" t="inlineStr">
        <is>
          <t>활용 방식</t>
        </is>
      </c>
      <c r="B22" s="24" t="inlineStr">
        <is>
          <t>Chair 최종의견 가중합에는 미반영, 보조 가치평가 및 대시보드 다운로드 산출물로 활용</t>
        </is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 ht="24" customHeight="1">
      <c r="A23" s="23" t="inlineStr">
        <is>
          <t>주의</t>
        </is>
      </c>
      <c r="B23" s="24" t="inlineStr">
        <is>
          <t>DART·주가·발행주식 수가 부족한 항목은 검증체크 시트에서 경고로 표시</t>
        </is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>
      <c r="A31" s="25" t="inlineStr">
        <is>
          <t>연도</t>
        </is>
      </c>
      <c r="B31" s="25" t="inlineStr">
        <is>
          <t>매출액</t>
        </is>
      </c>
      <c r="C31" s="25" t="inlineStr">
        <is>
          <t>영업이익</t>
        </is>
      </c>
      <c r="D31" s="25" t="inlineStr">
        <is>
          <t>FCF</t>
        </is>
      </c>
      <c r="E31" s="25" t="inlineStr">
        <is>
          <t>연도</t>
        </is>
      </c>
      <c r="F31" s="25" t="inlineStr">
        <is>
          <t>매출액 추정</t>
        </is>
      </c>
      <c r="G31" s="25" t="inlineStr">
        <is>
          <t>FCF 추정</t>
        </is>
      </c>
      <c r="H31" s="25" t="inlineStr">
        <is>
          <t>PV FCF</t>
        </is>
      </c>
      <c r="I31" s="25" t="inlineStr">
        <is>
          <t>기업</t>
        </is>
      </c>
      <c r="J31" s="25" t="inlineStr">
        <is>
          <t>P/S</t>
        </is>
      </c>
      <c r="K31" s="25" t="inlineStr">
        <is>
          <t>PER</t>
        </is>
      </c>
      <c r="L31" s="25" t="inlineStr">
        <is>
          <t>PBR</t>
        </is>
      </c>
    </row>
    <row r="32" ht="24" customHeight="1">
      <c r="A32" s="26" t="n">
        <v>2021</v>
      </c>
      <c r="B32" s="27" t="n">
        <v>270766567696</v>
      </c>
      <c r="C32" s="27" t="n">
        <v>103400361685</v>
      </c>
      <c r="D32" s="27" t="n">
        <v>65071734140</v>
      </c>
      <c r="E32" s="26" t="n">
        <v>2026</v>
      </c>
      <c r="F32" s="27" t="n">
        <v>303736685338.4109</v>
      </c>
      <c r="G32" s="27" t="n">
        <v>54463758630.04325</v>
      </c>
      <c r="H32" s="27" t="n">
        <v>47715313872.27944</v>
      </c>
      <c r="I32" s="26" t="inlineStr">
        <is>
          <t>네패스</t>
        </is>
      </c>
      <c r="J32" s="28" t="n">
        <v>1.238222113459768</v>
      </c>
      <c r="K32" s="28" t="n">
        <v>32.02854153811683</v>
      </c>
      <c r="L32" s="28" t="n">
        <v>2.630773454366699</v>
      </c>
    </row>
    <row r="33" ht="24" customHeight="1">
      <c r="A33" s="26" t="n">
        <v>2022</v>
      </c>
      <c r="B33" s="27" t="n">
        <v>319562836196</v>
      </c>
      <c r="C33" s="27" t="inlineStr">
        <is>
          <t>해당 없음</t>
        </is>
      </c>
      <c r="D33" s="27" t="n">
        <v>51785969531</v>
      </c>
      <c r="E33" s="26" t="n">
        <v>2027</v>
      </c>
      <c r="F33" s="27" t="n">
        <v>306691849493.7637</v>
      </c>
      <c r="G33" s="27" t="n">
        <v>54993656252.02448</v>
      </c>
      <c r="H33" s="27" t="n">
        <v>42209766128.56618</v>
      </c>
      <c r="I33" s="26" t="inlineStr">
        <is>
          <t>한미반도체</t>
        </is>
      </c>
      <c r="J33" s="28" t="n">
        <v>47.68216243144071</v>
      </c>
      <c r="K33" s="28" t="n">
        <v>128.4887841768605</v>
      </c>
      <c r="L33" s="28" t="n">
        <v>39.83264308866394</v>
      </c>
    </row>
    <row r="34" ht="24" customHeight="1">
      <c r="A34" s="26" t="n">
        <v>2023</v>
      </c>
      <c r="B34" s="27" t="n">
        <v>226652881531</v>
      </c>
      <c r="C34" s="27" t="inlineStr">
        <is>
          <t>해당 없음</t>
        </is>
      </c>
      <c r="D34" s="27" t="n">
        <v>20469893349</v>
      </c>
      <c r="E34" s="26" t="n">
        <v>2028</v>
      </c>
      <c r="F34" s="27" t="n">
        <v>310214586085.9672</v>
      </c>
      <c r="G34" s="27" t="n">
        <v>55625326658.4531</v>
      </c>
      <c r="H34" s="27" t="n">
        <v>37404435180.04129</v>
      </c>
      <c r="I34" s="26" t="inlineStr">
        <is>
          <t>한솔케미칼</t>
        </is>
      </c>
      <c r="J34" s="28" t="n">
        <v>3.430171921382347</v>
      </c>
      <c r="K34" s="28" t="n">
        <v>20.46895246130066</v>
      </c>
      <c r="L34" s="28" t="n">
        <v>2.575597752763727</v>
      </c>
    </row>
    <row r="35" ht="24" customHeight="1">
      <c r="A35" s="26" t="n">
        <v>2024</v>
      </c>
      <c r="B35" s="27" t="n">
        <v>275724843444</v>
      </c>
      <c r="C35" s="27" t="inlineStr">
        <is>
          <t>해당 없음</t>
        </is>
      </c>
      <c r="D35" s="27" t="n">
        <v>73983193121</v>
      </c>
      <c r="E35" s="26" t="n">
        <v>2029</v>
      </c>
      <c r="F35" s="27" t="n">
        <v>314322795279.0049</v>
      </c>
      <c r="G35" s="27" t="n">
        <v>56361979570.96527</v>
      </c>
      <c r="H35" s="27" t="n">
        <v>33203735110.21105</v>
      </c>
      <c r="I35" s="26" t="inlineStr">
        <is>
          <t>덕산테코피아</t>
        </is>
      </c>
      <c r="J35" s="28" t="n">
        <v>3.681361674930534</v>
      </c>
      <c r="K35" s="28" t="n">
        <v>-3.909060735247775</v>
      </c>
      <c r="L35" s="28" t="n">
        <v>3.875094624914289</v>
      </c>
    </row>
    <row r="36" ht="24" customHeight="1">
      <c r="A36" s="26" t="n">
        <v>2025</v>
      </c>
      <c r="B36" s="27" t="n">
        <v>301334302844</v>
      </c>
      <c r="C36" s="27" t="n">
        <v>83887319363</v>
      </c>
      <c r="D36" s="27" t="n">
        <v>54029496591</v>
      </c>
      <c r="E36" s="26" t="n">
        <v>2030</v>
      </c>
      <c r="F36" s="27" t="n">
        <v>319037637208.19</v>
      </c>
      <c r="G36" s="27" t="n">
        <v>57207409264.52975</v>
      </c>
      <c r="H36" s="27" t="n">
        <v>29525900940.41779</v>
      </c>
      <c r="I36" s="26" t="inlineStr">
        <is>
          <t>엘티씨</t>
        </is>
      </c>
      <c r="J36" s="28" t="n">
        <v>1.402266138509561</v>
      </c>
      <c r="K36" s="28" t="n">
        <v>23.92800455737098</v>
      </c>
      <c r="L36" s="28" t="n">
        <v>1.945310289365828</v>
      </c>
    </row>
  </sheetData>
  <mergeCells count="79">
    <mergeCell ref="C6:D6"/>
    <mergeCell ref="A15:B15"/>
    <mergeCell ref="C15:D15"/>
    <mergeCell ref="B22:L22"/>
    <mergeCell ref="E8:F8"/>
    <mergeCell ref="A7:B7"/>
    <mergeCell ref="B21:L21"/>
    <mergeCell ref="B23:L23"/>
    <mergeCell ref="I13:J13"/>
    <mergeCell ref="A9:B9"/>
    <mergeCell ref="K13:L13"/>
    <mergeCell ref="E12:F12"/>
    <mergeCell ref="G12:H12"/>
    <mergeCell ref="I6:J6"/>
    <mergeCell ref="I15:J15"/>
    <mergeCell ref="A11:B11"/>
    <mergeCell ref="K15:L15"/>
    <mergeCell ref="C5:D5"/>
    <mergeCell ref="E5:F5"/>
    <mergeCell ref="C14:D14"/>
    <mergeCell ref="E14:F14"/>
    <mergeCell ref="C4:D4"/>
    <mergeCell ref="E4:F4"/>
    <mergeCell ref="G7:H7"/>
    <mergeCell ref="I7:J7"/>
    <mergeCell ref="I8:J8"/>
    <mergeCell ref="A8:B8"/>
    <mergeCell ref="C8:D8"/>
    <mergeCell ref="I10:J10"/>
    <mergeCell ref="A10:B10"/>
    <mergeCell ref="K10:L10"/>
    <mergeCell ref="K6:L6"/>
    <mergeCell ref="G9:H9"/>
    <mergeCell ref="I9:J9"/>
    <mergeCell ref="G11:H11"/>
    <mergeCell ref="K9:L9"/>
    <mergeCell ref="I11:J11"/>
    <mergeCell ref="K5:L5"/>
    <mergeCell ref="A2:L2"/>
    <mergeCell ref="K11:L11"/>
    <mergeCell ref="E13:F13"/>
    <mergeCell ref="G13:H13"/>
    <mergeCell ref="A12:B12"/>
    <mergeCell ref="C12:D12"/>
    <mergeCell ref="E6:F6"/>
    <mergeCell ref="E15:F15"/>
    <mergeCell ref="K8:L8"/>
    <mergeCell ref="G15:H15"/>
    <mergeCell ref="A5:B5"/>
    <mergeCell ref="A14:B14"/>
    <mergeCell ref="A4:B4"/>
    <mergeCell ref="K7:L7"/>
    <mergeCell ref="C7:D7"/>
    <mergeCell ref="E7:F7"/>
    <mergeCell ref="B20:L20"/>
    <mergeCell ref="G8:H8"/>
    <mergeCell ref="A6:B6"/>
    <mergeCell ref="C10:D10"/>
    <mergeCell ref="E10:F10"/>
    <mergeCell ref="G10:H10"/>
    <mergeCell ref="G6:H6"/>
    <mergeCell ref="C9:D9"/>
    <mergeCell ref="E9:F9"/>
    <mergeCell ref="I12:J12"/>
    <mergeCell ref="K12:L12"/>
    <mergeCell ref="A19:L19"/>
    <mergeCell ref="C11:D11"/>
    <mergeCell ref="E11:F11"/>
    <mergeCell ref="G5:H5"/>
    <mergeCell ref="I5:J5"/>
    <mergeCell ref="G14:H14"/>
    <mergeCell ref="I14:J14"/>
    <mergeCell ref="K14:L14"/>
    <mergeCell ref="G4:H4"/>
    <mergeCell ref="I4:J4"/>
    <mergeCell ref="A1:L1"/>
    <mergeCell ref="A13:B13"/>
    <mergeCell ref="C13:D13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티씨케이 Valuation Agent Workbook</t>
        </is>
      </c>
    </row>
    <row r="2" ht="28" customHeight="1">
      <c r="A2" s="17" t="inlineStr">
        <is>
          <t>독립 데이터 intake → 모델링 → 검증 → 대시보드 export</t>
        </is>
      </c>
    </row>
    <row r="3" ht="24" customHeight="1"/>
    <row r="4" ht="24" customHeight="1">
      <c r="A4" s="22" t="inlineStr">
        <is>
          <t>사용 안내</t>
        </is>
      </c>
    </row>
    <row r="5" ht="24" customHeight="1">
      <c r="A5" s="25" t="inlineStr">
        <is>
          <t>항목</t>
        </is>
      </c>
      <c r="B5" s="25" t="inlineStr">
        <is>
          <t>내용</t>
        </is>
      </c>
    </row>
    <row r="6" ht="24" customHeight="1">
      <c r="A6" s="24" t="inlineStr">
        <is>
          <t>목적</t>
        </is>
      </c>
      <c r="B6" s="24" t="inlineStr">
        <is>
          <t>DART/주가/발행주식 수/피어 데이터를 intake하여 WACC·DCF·Peer·ML overlay·대시보드 payload를 자동 생성</t>
        </is>
      </c>
    </row>
    <row r="7" ht="24" customHeight="1">
      <c r="A7" s="29" t="inlineStr">
        <is>
          <t>Finance Agent와 관계</t>
        </is>
      </c>
      <c r="B7" s="29" t="inlineStr">
        <is>
          <t>finance_agent 산출물을 읽지 않음. valuation/intake 폴더의 자체 데이터만 사용</t>
        </is>
      </c>
    </row>
    <row r="8" ht="24" customHeight="1">
      <c r="A8" s="24" t="inlineStr">
        <is>
          <t>모델링 구조</t>
        </is>
      </c>
      <c r="B8" s="24" t="inlineStr">
        <is>
          <t>업로드한 파이낸셜 모델링 파일의 sheet archetype을 코드화하여 workbook 구조로 반영</t>
        </is>
      </c>
    </row>
    <row r="9" ht="24" customHeight="1">
      <c r="A9" s="29" t="inlineStr">
        <is>
          <t>PSR/208개 Universe</t>
        </is>
      </c>
      <c r="B9" s="29" t="inlineStr">
        <is>
          <t>Live peer P/S와 208개 반도체 reference universe를 별도 시트와 대시보드 payload로 제공</t>
        </is>
      </c>
    </row>
    <row r="10" ht="24" customHeight="1">
      <c r="A10" s="24" t="inlineStr">
        <is>
          <t>단위</t>
        </is>
      </c>
      <c r="B10" s="24" t="inlineStr">
        <is>
          <t>원천 데이터는 KRW actuals, 요약 표시는 억원/원/배수/비율 형식</t>
        </is>
      </c>
    </row>
    <row r="11" ht="24" customHeight="1">
      <c r="A11" s="29" t="inlineStr">
        <is>
          <t>색상 규칙</t>
        </is>
      </c>
      <c r="B11" s="29" t="inlineStr">
        <is>
          <t>노란색/파란 글씨는 조정 가능한 입력값, 검은 글씨는 공식, 진한 남색은 섹션/헤더</t>
        </is>
      </c>
    </row>
  </sheetData>
  <autoFilter ref="A5:B11"/>
  <mergeCells count="3">
    <mergeCell ref="A2:H2"/>
    <mergeCell ref="A4:F4"/>
    <mergeCell ref="A1:H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40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데이터 출처 맵</t>
        </is>
      </c>
    </row>
    <row r="2" ht="24" customHeight="1">
      <c r="A2" s="25" t="inlineStr">
        <is>
          <t>created_at</t>
        </is>
      </c>
      <c r="B2" s="25" t="inlineStr">
        <is>
          <t>기업명</t>
        </is>
      </c>
      <c r="C2" s="25" t="inlineStr">
        <is>
          <t>기업코드</t>
        </is>
      </c>
      <c r="D2" s="25" t="inlineStr">
        <is>
          <t>종목코드</t>
        </is>
      </c>
      <c r="E2" s="25" t="inlineStr">
        <is>
          <t>principle</t>
        </is>
      </c>
      <c r="F2" s="25" t="inlineStr">
        <is>
          <t>template_design_seed</t>
        </is>
      </c>
      <c r="G2" s="25" t="inlineStr">
        <is>
          <t>canonical_workbook_tabs</t>
        </is>
      </c>
      <c r="H2" s="25" t="inlineStr">
        <is>
          <t>files</t>
        </is>
      </c>
      <c r="I2" s="25" t="inlineStr">
        <is>
          <t>diagnostics</t>
        </is>
      </c>
      <c r="J2" s="25" t="inlineStr">
        <is>
          <t>loader_diagnostics</t>
        </is>
      </c>
    </row>
    <row r="3" ht="24" customHeight="1">
      <c r="A3" s="24" t="inlineStr">
        <is>
          <t>2026-05-20T13:43:05</t>
        </is>
      </c>
      <c r="B3" s="24" t="inlineStr">
        <is>
          <t>티씨케이</t>
        </is>
      </c>
      <c r="C3" s="24" t="inlineStr">
        <is>
          <t>tck</t>
        </is>
      </c>
      <c r="D3" s="24" t="inlineStr">
        <is>
          <t>064760</t>
        </is>
      </c>
      <c r="E3" s="24" t="inlineStr">
        <is>
          <t>independent_valuation_agent_intake_only; does not read finance_agent outputs</t>
        </is>
      </c>
      <c r="F3" s="24" t="inlineStr">
        <is>
          <t>uploaded_financial_modeling_packs_distilled_to_blueprints</t>
        </is>
      </c>
      <c r="G3" s="24" t="inlineStr">
        <is>
          <t>["00_대시보드", "01_사용안내", "02_출처맵", "03_원천_DART", "04_주가_데이터", "05_정규재무제표", "06_핵심비율", "07_WACC", "08_FCF_추정", "09_DCF_가치평가", "10_피어비교", "11_ML_보조판단", "12_민감도", "13_검증체크", "14_대시보드_JSON", "15_감사추적", "16_모델링_설계", "17_투자자요약", "18_밸류에이션_유니버스", "19_가치평가_브릿지", "20_시나리오_요약", "21_품질_커버리지"]</t>
        </is>
      </c>
      <c r="H3" s="24" t="inlineStr">
        <is>
          <t>{"template_catalog_csv": "data/반도체/티씨케이/valuation/intake/valuation_modeling_template_catalog.csv", "template_catalog_json": "data/반도체/티씨케이/valuation/intake/valuation_modeling_template_catalog.json", "raw_dart_accounts_csv": "data/반도체/티씨케이/valuation/intake/valuation_raw_dart_accounts.csv", "normalized_financials_csv": "data/반도체/티씨케이/valuation/intake/valuation_normalized_financials.csv", "price_history_csv": "data/반도체/티씨케이/valuation/intake/valuation_price_history.csv", "share_count_csv": "data/반도체/티씨케이/valuation/intake/valuation_share_count.csv", "price_summary_json": "data/반도체/티씨케이/valuation/intake/valuation_price_summary.json", "market_snapshot_json": "data/반도체/티씨케이/valuation/intake/valuation_market_snapshot.json", "market_snapshot_csv": "data/반도체/티씨케이/valuation/intake/valuation_market_snapshot.csv", "peer_input_csv": "data/반도체/티씨케이/valuation/intake/valuation_peer_input.csv", "assumptions_json": "data/반도체/티씨케이/valuation/intake/valuation_assumptions.json", "reference_universe_208_csv": "data/반도체/티씨케이/valuation/intake/valuation_reference_universe_208.csv", "reference_universe_focus_csv": "data/반도체/티씨케이/valuation/intake/valuation_reference_universe_focus.csv", "reference_universe_summary_json": "data/반도체/티씨케이/valuation/intake/valuation_reference_universe_summary.json"}</t>
        </is>
      </c>
      <c r="I3" s="24" t="inlineStr">
        <is>
          <t>["DART API key detected for valuation intake.", "DART corp_code resolved from cache for 티씨케이/064760.", "DART financial rows collected: 2021=96, 2022=109, 2023=104, 2024=104, 2025=135", "yfinance price rows for 064760.KQ: 1220", "price provider selected: yfinance, rows=1220", "DART corp_code resolved from cache for 티씨케이/064760.", "Naver market snapshot collected: per_naver, pbr_naver, eps_naver, dividend_yield_pct_naver, bps_naver", "peer:nepes: price provider selected: yfinance, rows=728", "peer:nepes: DART corp_code resolved from cache for 네패스/033640.", "peer:hanmi: price provider selected: yfinance, rows=728", "peer:hanmi: DART corp_code resolved from cache for 한미반도체/042700.", "peer:hansol: price provider selected: yfinance, rows=728", "peer:hansol: DART corp_code resolved from cache for 한솔케미칼/014680.", "peer:duksan: price provider selected: yfinance, rows=728", "peer:duksan: DART corp_code resolved from cache for 덕산테코피아/317330.", "peer:ltc: price provider selected: yfinance, rows=727", "peer:ltc: DART corp_code resolved from cache for 엘티씨/170920.", "Market snapshot enriched with live/derived metrics count=19."]</t>
        </is>
      </c>
      <c r="J3" s="24" t="inlineStr">
        <is>
          <t>{"price_history_loaded_rows": 1220, "price_history_loaded_from": "C:\\Agent_6.8\\data\\반도체\\티씨케이\\valuation\\intake\\valuation_price_history.csv"}</t>
        </is>
      </c>
    </row>
    <row r="4" ht="24" customHeight="1"/>
    <row r="5" ht="24" customHeight="1"/>
    <row r="6" ht="24" customHeight="1">
      <c r="A6" s="22" t="inlineStr">
        <is>
          <t>발행주식 수 intake</t>
        </is>
      </c>
    </row>
    <row r="7" ht="24" customHeight="1">
      <c r="A7" s="25" t="inlineStr">
        <is>
          <t>출처</t>
        </is>
      </c>
      <c r="B7" s="25" t="inlineStr">
        <is>
          <t>DART 고유번호</t>
        </is>
      </c>
      <c r="C7" s="25" t="inlineStr">
        <is>
          <t>기업명</t>
        </is>
      </c>
      <c r="D7" s="25" t="inlineStr">
        <is>
          <t>기업코드</t>
        </is>
      </c>
      <c r="E7" s="25" t="inlineStr">
        <is>
          <t>종목코드</t>
        </is>
      </c>
      <c r="F7" s="25" t="inlineStr">
        <is>
          <t>연도</t>
        </is>
      </c>
      <c r="G7" s="25" t="inlineStr">
        <is>
          <t>share_class</t>
        </is>
      </c>
      <c r="H7" s="25" t="inlineStr">
        <is>
          <t>발행주식 수</t>
        </is>
      </c>
      <c r="I7" s="25" t="inlineStr">
        <is>
          <t>raw</t>
        </is>
      </c>
    </row>
    <row r="8" ht="24" customHeight="1">
      <c r="A8" s="24" t="inlineStr">
        <is>
          <t>OpenDART_stockTotqySttus</t>
        </is>
      </c>
      <c r="B8" s="24" t="inlineStr">
        <is>
          <t>00245472</t>
        </is>
      </c>
      <c r="C8" s="24" t="inlineStr">
        <is>
          <t>티씨케이</t>
        </is>
      </c>
      <c r="D8" s="24" t="inlineStr">
        <is>
          <t>tck</t>
        </is>
      </c>
      <c r="E8" s="24" t="inlineStr">
        <is>
          <t>064760</t>
        </is>
      </c>
      <c r="F8" s="24" t="inlineStr">
        <is>
          <t>2021</t>
        </is>
      </c>
      <c r="G8" s="24" t="inlineStr">
        <is>
          <t>보통주</t>
        </is>
      </c>
      <c r="H8" s="24" t="inlineStr">
        <is>
          <t>11675000.0</t>
        </is>
      </c>
      <c r="I8" s="24" t="inlineStr">
        <is>
          <t>{"rcept_no": "20220321000408", "corp_cls": "K", "corp_code": "00245472", "corp_name": "티씨케이", "se": "보통주", "isu_stock_totqy": "24,000,000", "now_to_isu_stock_totqy": "11,675,000", "now_to_dcrs_stock_totqy": "-", "redc": "-", "profit_incnr": "-", "rdmstk_repy": "-", "etc": "-", "istc_totqy": "11,675,000", "tesstk_co": "-", "distb_stock_co": "11,675,000", "stlm_dt": "2021-12-31"}</t>
        </is>
      </c>
    </row>
    <row r="9" ht="24" customHeight="1">
      <c r="A9" s="29" t="inlineStr">
        <is>
          <t>OpenDART_stockTotqySttus</t>
        </is>
      </c>
      <c r="B9" s="29" t="inlineStr">
        <is>
          <t>00245472</t>
        </is>
      </c>
      <c r="C9" s="29" t="inlineStr">
        <is>
          <t>티씨케이</t>
        </is>
      </c>
      <c r="D9" s="29" t="inlineStr">
        <is>
          <t>tck</t>
        </is>
      </c>
      <c r="E9" s="29" t="inlineStr">
        <is>
          <t>064760</t>
        </is>
      </c>
      <c r="F9" s="29" t="inlineStr">
        <is>
          <t>2021</t>
        </is>
      </c>
      <c r="G9" s="29" t="inlineStr">
        <is>
          <t>합계</t>
        </is>
      </c>
      <c r="H9" s="29" t="inlineStr">
        <is>
          <t>11675000.0</t>
        </is>
      </c>
      <c r="I9" s="29" t="inlineStr">
        <is>
          <t>{"rcept_no": "20220321000408", "corp_cls": "K", "corp_code": "00245472", "corp_name": "티씨케이", "se": "합계", "isu_stock_totqy": "24,000,000", "now_to_isu_stock_totqy": "11,675,000", "now_to_dcrs_stock_totqy": "-", "redc": "-", "profit_incnr": "-", "rdmstk_repy": "-", "etc": "-", "istc_totqy": "11,675,000", "tesstk_co": "-", "distb_stock_co": "11,675,000", "stlm_dt": "2021-12-31"}</t>
        </is>
      </c>
    </row>
    <row r="10" ht="24" customHeight="1">
      <c r="A10" s="24" t="inlineStr">
        <is>
          <t>OpenDART_stockTotqySttus</t>
        </is>
      </c>
      <c r="B10" s="24" t="inlineStr">
        <is>
          <t>00245472</t>
        </is>
      </c>
      <c r="C10" s="24" t="inlineStr">
        <is>
          <t>티씨케이</t>
        </is>
      </c>
      <c r="D10" s="24" t="inlineStr">
        <is>
          <t>tck</t>
        </is>
      </c>
      <c r="E10" s="24" t="inlineStr">
        <is>
          <t>064760</t>
        </is>
      </c>
      <c r="F10" s="24" t="inlineStr">
        <is>
          <t>2021</t>
        </is>
      </c>
      <c r="G10" s="24" t="inlineStr">
        <is>
          <t>비고</t>
        </is>
      </c>
      <c r="H10" s="24" t="inlineStr">
        <is>
          <t>해당 없음</t>
        </is>
      </c>
      <c r="I10" s="24" t="inlineStr">
        <is>
          <t>{"rcept_no": "20220321000408", "corp_cls": "K", "corp_code": "00245472", "corp_name": "티씨케이", "se": "비고", "isu_stock_totqy": "-", "now_to_isu_stock_totqy": "-", "now_to_dcrs_stock_totqy": "-", "redc": "-", "profit_incnr": "-", "rdmstk_repy": "-", "etc": "-", "istc_totqy": "-", "tesstk_co": "-", "distb_stock_co": "-", "stlm_dt": "2021-12-31"}</t>
        </is>
      </c>
    </row>
    <row r="11" ht="24" customHeight="1">
      <c r="A11" s="29" t="inlineStr">
        <is>
          <t>OpenDART_stockTotqySttus</t>
        </is>
      </c>
      <c r="B11" s="29" t="inlineStr">
        <is>
          <t>00245472</t>
        </is>
      </c>
      <c r="C11" s="29" t="inlineStr">
        <is>
          <t>티씨케이</t>
        </is>
      </c>
      <c r="D11" s="29" t="inlineStr">
        <is>
          <t>tck</t>
        </is>
      </c>
      <c r="E11" s="29" t="inlineStr">
        <is>
          <t>064760</t>
        </is>
      </c>
      <c r="F11" s="29" t="inlineStr">
        <is>
          <t>2022</t>
        </is>
      </c>
      <c r="G11" s="29" t="inlineStr">
        <is>
          <t>보통주</t>
        </is>
      </c>
      <c r="H11" s="29" t="inlineStr">
        <is>
          <t>11675000.0</t>
        </is>
      </c>
      <c r="I11" s="29" t="inlineStr">
        <is>
          <t>{"rcept_no": "20230831000624", "corp_cls": "K", "corp_code": "00245472", "corp_name": "티씨케이", "se": "보통주", "isu_stock_totqy": "24,000,000", "now_to_isu_stock_totqy": "11,675,000", "now_to_dcrs_stock_totqy": "-", "redc": "-", "profit_incnr": "-", "rdmstk_repy": "-", "etc": "-", "istc_totqy": "11,675,000", "tesstk_co": "-", "distb_stock_co": "11,675,000", "stlm_dt": "2022-12-31"}</t>
        </is>
      </c>
    </row>
    <row r="12" ht="24" customHeight="1">
      <c r="A12" s="24" t="inlineStr">
        <is>
          <t>OpenDART_stockTotqySttus</t>
        </is>
      </c>
      <c r="B12" s="24" t="inlineStr">
        <is>
          <t>00245472</t>
        </is>
      </c>
      <c r="C12" s="24" t="inlineStr">
        <is>
          <t>티씨케이</t>
        </is>
      </c>
      <c r="D12" s="24" t="inlineStr">
        <is>
          <t>tck</t>
        </is>
      </c>
      <c r="E12" s="24" t="inlineStr">
        <is>
          <t>064760</t>
        </is>
      </c>
      <c r="F12" s="24" t="inlineStr">
        <is>
          <t>2022</t>
        </is>
      </c>
      <c r="G12" s="24" t="inlineStr">
        <is>
          <t>합계</t>
        </is>
      </c>
      <c r="H12" s="24" t="inlineStr">
        <is>
          <t>11675000.0</t>
        </is>
      </c>
      <c r="I12" s="24" t="inlineStr">
        <is>
          <t>{"rcept_no": "20230831000624", "corp_cls": "K", "corp_code": "00245472", "corp_name": "티씨케이", "se": "합계", "isu_stock_totqy": "24,000,000", "now_to_isu_stock_totqy": "11,675,000", "now_to_dcrs_stock_totqy": "-", "redc": "-", "profit_incnr": "-", "rdmstk_repy": "-", "etc": "-", "istc_totqy": "11,675,000", "tesstk_co": "-", "distb_stock_co": "11,675,000", "stlm_dt": "2022-12-31"}</t>
        </is>
      </c>
    </row>
    <row r="13" ht="24" customHeight="1">
      <c r="A13" s="29" t="inlineStr">
        <is>
          <t>OpenDART_stockTotqySttus</t>
        </is>
      </c>
      <c r="B13" s="29" t="inlineStr">
        <is>
          <t>00245472</t>
        </is>
      </c>
      <c r="C13" s="29" t="inlineStr">
        <is>
          <t>티씨케이</t>
        </is>
      </c>
      <c r="D13" s="29" t="inlineStr">
        <is>
          <t>tck</t>
        </is>
      </c>
      <c r="E13" s="29" t="inlineStr">
        <is>
          <t>064760</t>
        </is>
      </c>
      <c r="F13" s="29" t="inlineStr">
        <is>
          <t>2022</t>
        </is>
      </c>
      <c r="G13" s="29" t="inlineStr">
        <is>
          <t>비고</t>
        </is>
      </c>
      <c r="H13" s="29" t="inlineStr">
        <is>
          <t>해당 없음</t>
        </is>
      </c>
      <c r="I13" s="29" t="inlineStr">
        <is>
          <t>{"rcept_no": "20230831000624", "corp_cls": "K", "corp_code": "00245472", "corp_name": "티씨케이", "se": "비고", "isu_stock_totqy": "-", "now_to_isu_stock_totqy": "-", "now_to_dcrs_stock_totqy": "-", "redc": "-", "profit_incnr": "-", "rdmstk_repy": "-", "etc": "-", "istc_totqy": "-", "tesstk_co": "-", "distb_stock_co": "-", "stlm_dt": "2022-12-31"}</t>
        </is>
      </c>
    </row>
    <row r="14" ht="24" customHeight="1">
      <c r="A14" s="24" t="inlineStr">
        <is>
          <t>OpenDART_stockTotqySttus</t>
        </is>
      </c>
      <c r="B14" s="24" t="inlineStr">
        <is>
          <t>00245472</t>
        </is>
      </c>
      <c r="C14" s="24" t="inlineStr">
        <is>
          <t>티씨케이</t>
        </is>
      </c>
      <c r="D14" s="24" t="inlineStr">
        <is>
          <t>tck</t>
        </is>
      </c>
      <c r="E14" s="24" t="inlineStr">
        <is>
          <t>064760</t>
        </is>
      </c>
      <c r="F14" s="24" t="inlineStr">
        <is>
          <t>2023</t>
        </is>
      </c>
      <c r="G14" s="24" t="inlineStr">
        <is>
          <t>보통주</t>
        </is>
      </c>
      <c r="H14" s="24" t="inlineStr">
        <is>
          <t>11675000.0</t>
        </is>
      </c>
      <c r="I14" s="24" t="inlineStr">
        <is>
          <t>{"rcept_no": "20240321000881", "corp_cls": "K", "corp_code": "00245472", "corp_name": "티씨케이", "se": "보통주", "isu_stock_totqy": "24,000,000", "now_to_isu_stock_totqy": "11,675,000", "now_to_dcrs_stock_totqy": "-", "redc": "-", "profit_incnr": "-", "rdmstk_repy": "-", "etc": "-", "istc_totqy": "11,675,000", "tesstk_co": "-", "distb_stock_co": "11,675,000", "stlm_dt": "2023-12-31"}</t>
        </is>
      </c>
    </row>
    <row r="15" ht="24" customHeight="1">
      <c r="A15" s="29" t="inlineStr">
        <is>
          <t>OpenDART_stockTotqySttus</t>
        </is>
      </c>
      <c r="B15" s="29" t="inlineStr">
        <is>
          <t>00245472</t>
        </is>
      </c>
      <c r="C15" s="29" t="inlineStr">
        <is>
          <t>티씨케이</t>
        </is>
      </c>
      <c r="D15" s="29" t="inlineStr">
        <is>
          <t>tck</t>
        </is>
      </c>
      <c r="E15" s="29" t="inlineStr">
        <is>
          <t>064760</t>
        </is>
      </c>
      <c r="F15" s="29" t="inlineStr">
        <is>
          <t>2023</t>
        </is>
      </c>
      <c r="G15" s="29" t="inlineStr">
        <is>
          <t>합계</t>
        </is>
      </c>
      <c r="H15" s="29" t="inlineStr">
        <is>
          <t>11675000.0</t>
        </is>
      </c>
      <c r="I15" s="29" t="inlineStr">
        <is>
          <t>{"rcept_no": "20240321000881", "corp_cls": "K", "corp_code": "00245472", "corp_name": "티씨케이", "se": "합계", "isu_stock_totqy": "24,000,000", "now_to_isu_stock_totqy": "11,675,000", "now_to_dcrs_stock_totqy": "-", "redc": "-", "profit_incnr": "-", "rdmstk_repy": "-", "etc": "-", "istc_totqy": "11,675,000", "tesstk_co": "-", "distb_stock_co": "11,675,000", "stlm_dt": "2023-12-31"}</t>
        </is>
      </c>
    </row>
    <row r="16" ht="24" customHeight="1">
      <c r="A16" s="24" t="inlineStr">
        <is>
          <t>OpenDART_stockTotqySttus</t>
        </is>
      </c>
      <c r="B16" s="24" t="inlineStr">
        <is>
          <t>00245472</t>
        </is>
      </c>
      <c r="C16" s="24" t="inlineStr">
        <is>
          <t>티씨케이</t>
        </is>
      </c>
      <c r="D16" s="24" t="inlineStr">
        <is>
          <t>tck</t>
        </is>
      </c>
      <c r="E16" s="24" t="inlineStr">
        <is>
          <t>064760</t>
        </is>
      </c>
      <c r="F16" s="24" t="inlineStr">
        <is>
          <t>2023</t>
        </is>
      </c>
      <c r="G16" s="24" t="inlineStr">
        <is>
          <t>비고</t>
        </is>
      </c>
      <c r="H16" s="24" t="inlineStr">
        <is>
          <t>해당 없음</t>
        </is>
      </c>
      <c r="I16" s="24" t="inlineStr">
        <is>
          <t>{"rcept_no": "20240321000881", "corp_cls": "K", "corp_code": "00245472", "corp_name": "티씨케이", "se": "비고", "isu_stock_totqy": "-", "now_to_isu_stock_totqy": "-", "now_to_dcrs_stock_totqy": "-", "redc": "-", "profit_incnr": "-", "rdmstk_repy": "-", "etc": "-", "istc_totqy": "-", "tesstk_co": "-", "distb_stock_co": "-", "stlm_dt": "2023-12-31"}</t>
        </is>
      </c>
    </row>
    <row r="17" ht="24" customHeight="1">
      <c r="A17" s="29" t="inlineStr">
        <is>
          <t>OpenDART_stockTotqySttus</t>
        </is>
      </c>
      <c r="B17" s="29" t="inlineStr">
        <is>
          <t>00245472</t>
        </is>
      </c>
      <c r="C17" s="29" t="inlineStr">
        <is>
          <t>티씨케이</t>
        </is>
      </c>
      <c r="D17" s="29" t="inlineStr">
        <is>
          <t>tck</t>
        </is>
      </c>
      <c r="E17" s="29" t="inlineStr">
        <is>
          <t>064760</t>
        </is>
      </c>
      <c r="F17" s="29" t="inlineStr">
        <is>
          <t>2024</t>
        </is>
      </c>
      <c r="G17" s="29" t="inlineStr">
        <is>
          <t>보통주</t>
        </is>
      </c>
      <c r="H17" s="29" t="inlineStr">
        <is>
          <t>11675000.0</t>
        </is>
      </c>
      <c r="I17" s="29" t="inlineStr">
        <is>
          <t>{"rcept_no": "20250320001057", "corp_cls": "K", "corp_code": "00245472", "corp_name": "티씨케이", "se": "보통주", "isu_stock_totqy": "24,000,000", "now_to_isu_stock_totqy": "11,675,000", "now_to_dcrs_stock_totqy": "-", "redc": "-", "profit_incnr": "-", "rdmstk_repy": "-", "etc": "-", "istc_totqy": "11,675,000", "tesstk_co": "-", "distb_stock_co": "11,675,000", "stlm_dt": "2024-12-31"}</t>
        </is>
      </c>
    </row>
    <row r="18" ht="24" customHeight="1">
      <c r="A18" s="24" t="inlineStr">
        <is>
          <t>OpenDART_stockTotqySttus</t>
        </is>
      </c>
      <c r="B18" s="24" t="inlineStr">
        <is>
          <t>00245472</t>
        </is>
      </c>
      <c r="C18" s="24" t="inlineStr">
        <is>
          <t>티씨케이</t>
        </is>
      </c>
      <c r="D18" s="24" t="inlineStr">
        <is>
          <t>tck</t>
        </is>
      </c>
      <c r="E18" s="24" t="inlineStr">
        <is>
          <t>064760</t>
        </is>
      </c>
      <c r="F18" s="24" t="inlineStr">
        <is>
          <t>2024</t>
        </is>
      </c>
      <c r="G18" s="24" t="inlineStr">
        <is>
          <t>합계</t>
        </is>
      </c>
      <c r="H18" s="24" t="inlineStr">
        <is>
          <t>11675000.0</t>
        </is>
      </c>
      <c r="I18" s="24" t="inlineStr">
        <is>
          <t>{"rcept_no": "20250320001057", "corp_cls": "K", "corp_code": "00245472", "corp_name": "티씨케이", "se": "합계", "isu_stock_totqy": "24,000,000", "now_to_isu_stock_totqy": "11,675,000", "now_to_dcrs_stock_totqy": "-", "redc": "-", "profit_incnr": "-", "rdmstk_repy": "-", "etc": "-", "istc_totqy": "11,675,000", "tesstk_co": "-", "distb_stock_co": "11,675,000", "stlm_dt": "2024-12-31"}</t>
        </is>
      </c>
    </row>
    <row r="19" ht="24" customHeight="1">
      <c r="A19" s="29" t="inlineStr">
        <is>
          <t>OpenDART_stockTotqySttus</t>
        </is>
      </c>
      <c r="B19" s="29" t="inlineStr">
        <is>
          <t>00245472</t>
        </is>
      </c>
      <c r="C19" s="29" t="inlineStr">
        <is>
          <t>티씨케이</t>
        </is>
      </c>
      <c r="D19" s="29" t="inlineStr">
        <is>
          <t>tck</t>
        </is>
      </c>
      <c r="E19" s="29" t="inlineStr">
        <is>
          <t>064760</t>
        </is>
      </c>
      <c r="F19" s="29" t="inlineStr">
        <is>
          <t>2024</t>
        </is>
      </c>
      <c r="G19" s="29" t="inlineStr">
        <is>
          <t>비고</t>
        </is>
      </c>
      <c r="H19" s="29" t="inlineStr">
        <is>
          <t>해당 없음</t>
        </is>
      </c>
      <c r="I19" s="29" t="inlineStr">
        <is>
          <t>{"rcept_no": "20250320001057", "corp_cls": "K", "corp_code": "00245472", "corp_name": "티씨케이", "se": "비고", "isu_stock_totqy": "-", "now_to_isu_stock_totqy": "-", "now_to_dcrs_stock_totqy": "-", "redc": "-", "profit_incnr": "-", "rdmstk_repy": "-", "etc": "-", "istc_totqy": "-", "tesstk_co": "-", "distb_stock_co": "-", "stlm_dt": "2024-12-31"}</t>
        </is>
      </c>
    </row>
    <row r="20" ht="24" customHeight="1">
      <c r="A20" s="24" t="inlineStr">
        <is>
          <t>OpenDART_stockTotqySttus</t>
        </is>
      </c>
      <c r="B20" s="24" t="inlineStr">
        <is>
          <t>00245472</t>
        </is>
      </c>
      <c r="C20" s="24" t="inlineStr">
        <is>
          <t>티씨케이</t>
        </is>
      </c>
      <c r="D20" s="24" t="inlineStr">
        <is>
          <t>tck</t>
        </is>
      </c>
      <c r="E20" s="24" t="inlineStr">
        <is>
          <t>064760</t>
        </is>
      </c>
      <c r="F20" s="24" t="inlineStr">
        <is>
          <t>2025</t>
        </is>
      </c>
      <c r="G20" s="24" t="inlineStr">
        <is>
          <t>보통주</t>
        </is>
      </c>
      <c r="H20" s="24" t="inlineStr">
        <is>
          <t>11179416.0</t>
        </is>
      </c>
      <c r="I20" s="24" t="inlineStr">
        <is>
          <t>{"rcept_no": "20260310002891", "corp_cls": "K", "corp_code": "00245472", "corp_name": "티씨케이", "se": "보통주", "isu_stock_totqy": "24,000,000", "now_to_isu_stock_totqy": "11,675,000", "now_to_dcrs_stock_totqy": "495,584", "redc": "-", "profit_incnr": "495,584", "rdmstk_repy": "-", "etc": "-", "istc_totqy": "11,179,416", "tesstk_co": "-", "distb_stock_co": "11,179,416", "stlm_dt": "2025-12-31"}</t>
        </is>
      </c>
    </row>
    <row r="21" ht="24" customHeight="1">
      <c r="A21" s="29" t="inlineStr">
        <is>
          <t>OpenDART_stockTotqySttus</t>
        </is>
      </c>
      <c r="B21" s="29" t="inlineStr">
        <is>
          <t>00245472</t>
        </is>
      </c>
      <c r="C21" s="29" t="inlineStr">
        <is>
          <t>티씨케이</t>
        </is>
      </c>
      <c r="D21" s="29" t="inlineStr">
        <is>
          <t>tck</t>
        </is>
      </c>
      <c r="E21" s="29" t="inlineStr">
        <is>
          <t>064760</t>
        </is>
      </c>
      <c r="F21" s="29" t="inlineStr">
        <is>
          <t>2025</t>
        </is>
      </c>
      <c r="G21" s="29" t="inlineStr">
        <is>
          <t>우선주</t>
        </is>
      </c>
      <c r="H21" s="29" t="inlineStr">
        <is>
          <t>해당 없음</t>
        </is>
      </c>
      <c r="I21" s="29" t="inlineStr">
        <is>
          <t>{"rcept_no": "20260310002891", "corp_cls": "K", "corp_code": "00245472", "corp_name": "티씨케이", "se": "우선주", "isu_stock_totqy": "-", "now_to_isu_stock_totqy": "-", "now_to_dcrs_stock_totqy": "-", "redc": "-", "profit_incnr": "-", "rdmstk_repy": "-", "etc": "-", "istc_totqy": "-", "tesstk_co": "-", "distb_stock_co": "-", "stlm_dt": "2025-12-31"}</t>
        </is>
      </c>
    </row>
    <row r="22" ht="24" customHeight="1">
      <c r="A22" s="24" t="inlineStr">
        <is>
          <t>OpenDART_stockTotqySttus</t>
        </is>
      </c>
      <c r="B22" s="24" t="inlineStr">
        <is>
          <t>00245472</t>
        </is>
      </c>
      <c r="C22" s="24" t="inlineStr">
        <is>
          <t>티씨케이</t>
        </is>
      </c>
      <c r="D22" s="24" t="inlineStr">
        <is>
          <t>tck</t>
        </is>
      </c>
      <c r="E22" s="24" t="inlineStr">
        <is>
          <t>064760</t>
        </is>
      </c>
      <c r="F22" s="24" t="inlineStr">
        <is>
          <t>2025</t>
        </is>
      </c>
      <c r="G22" s="24" t="inlineStr">
        <is>
          <t>합계</t>
        </is>
      </c>
      <c r="H22" s="24" t="inlineStr">
        <is>
          <t>11179416.0</t>
        </is>
      </c>
      <c r="I22" s="24" t="inlineStr">
        <is>
          <t>{"rcept_no": "20260310002891", "corp_cls": "K", "corp_code": "00245472", "corp_name": "티씨케이", "se": "합계", "isu_stock_totqy": "24,000,000", "now_to_isu_stock_totqy": "11,675,000", "now_to_dcrs_stock_totqy": "495,584", "redc": "-", "profit_incnr": "495,584", "rdmstk_repy": "-", "etc": "-", "istc_totqy": "11,179,416", "tesstk_co": "-", "distb_stock_co": "11,179,416", "stlm_dt": "2025-12-31"}</t>
        </is>
      </c>
    </row>
    <row r="23" ht="24" customHeight="1">
      <c r="A23" s="29" t="inlineStr">
        <is>
          <t>OpenDART_stockTotqySttus</t>
        </is>
      </c>
      <c r="B23" s="29" t="inlineStr">
        <is>
          <t>00245472</t>
        </is>
      </c>
      <c r="C23" s="29" t="inlineStr">
        <is>
          <t>티씨케이</t>
        </is>
      </c>
      <c r="D23" s="29" t="inlineStr">
        <is>
          <t>tck</t>
        </is>
      </c>
      <c r="E23" s="29" t="inlineStr">
        <is>
          <t>064760</t>
        </is>
      </c>
      <c r="F23" s="29" t="inlineStr">
        <is>
          <t>2025</t>
        </is>
      </c>
      <c r="G23" s="29" t="inlineStr">
        <is>
          <t>비고</t>
        </is>
      </c>
      <c r="H23" s="29" t="inlineStr">
        <is>
          <t>해당 없음</t>
        </is>
      </c>
      <c r="I23" s="29" t="inlineStr">
        <is>
          <t>{"rcept_no": "20260310002891", "corp_cls": "K", "corp_code": "00245472", "corp_name": "티씨케이", "se": "비고", "isu_stock_totqy": "-", "now_to_isu_stock_totqy": "-", "now_to_dcrs_stock_totqy": "-", "redc": "-", "profit_incnr": "-", "rdmstk_repy": "-", "etc": "-", "istc_totqy": "-", "tesstk_co": "-", "distb_stock_co": "-", "stlm_dt": "2025-12-31"}</t>
        </is>
      </c>
    </row>
  </sheetData>
  <autoFilter ref="A7:I23"/>
  <mergeCells count="2">
    <mergeCell ref="A6:F6"/>
    <mergeCell ref="A1:F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5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DART 원천 계정</t>
        </is>
      </c>
    </row>
    <row r="2" ht="24" customHeight="1">
      <c r="A2" s="25" t="inlineStr">
        <is>
          <t>출처</t>
        </is>
      </c>
      <c r="B2" s="25" t="inlineStr">
        <is>
          <t>DART 고유번호</t>
        </is>
      </c>
      <c r="C2" s="25" t="inlineStr">
        <is>
          <t>기업명</t>
        </is>
      </c>
      <c r="D2" s="25" t="inlineStr">
        <is>
          <t>기업코드</t>
        </is>
      </c>
      <c r="E2" s="25" t="inlineStr">
        <is>
          <t>종목코드</t>
        </is>
      </c>
      <c r="F2" s="25" t="inlineStr">
        <is>
          <t>연도</t>
        </is>
      </c>
      <c r="G2" s="25" t="inlineStr">
        <is>
          <t>재무제표 구분</t>
        </is>
      </c>
      <c r="H2" s="25" t="inlineStr">
        <is>
          <t>재무제표 코드</t>
        </is>
      </c>
      <c r="I2" s="25" t="inlineStr">
        <is>
          <t>재무제표명</t>
        </is>
      </c>
      <c r="J2" s="25" t="inlineStr">
        <is>
          <t>계정ID</t>
        </is>
      </c>
      <c r="K2" s="25" t="inlineStr">
        <is>
          <t>계정명</t>
        </is>
      </c>
      <c r="L2" s="25" t="inlineStr">
        <is>
          <t>계정상세</t>
        </is>
      </c>
      <c r="M2" s="25" t="inlineStr">
        <is>
          <t>당기명</t>
        </is>
      </c>
      <c r="N2" s="25" t="inlineStr">
        <is>
          <t>금액</t>
        </is>
      </c>
      <c r="O2" s="25" t="inlineStr">
        <is>
          <t>전기금액</t>
        </is>
      </c>
      <c r="P2" s="25" t="inlineStr">
        <is>
          <t>통화</t>
        </is>
      </c>
      <c r="Q2" s="25" t="inlineStr">
        <is>
          <t>정렬순서</t>
        </is>
      </c>
    </row>
    <row r="3" ht="24" customHeight="1">
      <c r="A3" s="24" t="inlineStr">
        <is>
          <t>OpenDART_fnlttSinglAcntAll</t>
        </is>
      </c>
      <c r="B3" s="24" t="inlineStr">
        <is>
          <t>00245472</t>
        </is>
      </c>
      <c r="C3" s="24" t="inlineStr">
        <is>
          <t>티씨케이</t>
        </is>
      </c>
      <c r="D3" s="24" t="inlineStr">
        <is>
          <t>tck</t>
        </is>
      </c>
      <c r="E3" s="24" t="inlineStr">
        <is>
          <t>064760</t>
        </is>
      </c>
      <c r="F3" s="24" t="inlineStr">
        <is>
          <t>2021</t>
        </is>
      </c>
      <c r="G3" s="24" t="inlineStr">
        <is>
          <t>OFS</t>
        </is>
      </c>
      <c r="H3" s="24" t="inlineStr">
        <is>
          <t>BS</t>
        </is>
      </c>
      <c r="I3" s="24" t="inlineStr">
        <is>
          <t>재무상태표</t>
        </is>
      </c>
      <c r="J3" s="24" t="inlineStr">
        <is>
          <t>ifrs-full_CurrentAssets</t>
        </is>
      </c>
      <c r="K3" s="24" t="inlineStr">
        <is>
          <t>유동자산</t>
        </is>
      </c>
      <c r="L3" s="24" t="inlineStr">
        <is>
          <t>-</t>
        </is>
      </c>
      <c r="M3" s="24" t="inlineStr">
        <is>
          <t>제 27 기</t>
        </is>
      </c>
      <c r="N3" s="24" t="inlineStr">
        <is>
          <t>274927628093.0</t>
        </is>
      </c>
      <c r="O3" s="24" t="inlineStr">
        <is>
          <t>197978285590.0</t>
        </is>
      </c>
      <c r="P3" s="24" t="inlineStr">
        <is>
          <t>KRW</t>
        </is>
      </c>
      <c r="Q3" s="24" t="inlineStr">
        <is>
          <t>1</t>
        </is>
      </c>
    </row>
    <row r="4" ht="24" customHeight="1">
      <c r="A4" s="29" t="inlineStr">
        <is>
          <t>OpenDART_fnlttSinglAcntAll</t>
        </is>
      </c>
      <c r="B4" s="29" t="inlineStr">
        <is>
          <t>00245472</t>
        </is>
      </c>
      <c r="C4" s="29" t="inlineStr">
        <is>
          <t>티씨케이</t>
        </is>
      </c>
      <c r="D4" s="29" t="inlineStr">
        <is>
          <t>tck</t>
        </is>
      </c>
      <c r="E4" s="29" t="inlineStr">
        <is>
          <t>064760</t>
        </is>
      </c>
      <c r="F4" s="29" t="inlineStr">
        <is>
          <t>2021</t>
        </is>
      </c>
      <c r="G4" s="29" t="inlineStr">
        <is>
          <t>OFS</t>
        </is>
      </c>
      <c r="H4" s="29" t="inlineStr">
        <is>
          <t>BS</t>
        </is>
      </c>
      <c r="I4" s="29" t="inlineStr">
        <is>
          <t>재무상태표</t>
        </is>
      </c>
      <c r="J4" s="29" t="inlineStr">
        <is>
          <t>ifrs-full_CashAndCashEquivalents</t>
        </is>
      </c>
      <c r="K4" s="29" t="inlineStr">
        <is>
          <t>현금및현금성자산</t>
        </is>
      </c>
      <c r="L4" s="29" t="inlineStr">
        <is>
          <t>-</t>
        </is>
      </c>
      <c r="M4" s="29" t="inlineStr">
        <is>
          <t>제 27 기</t>
        </is>
      </c>
      <c r="N4" s="29" t="inlineStr">
        <is>
          <t>53718532398.0</t>
        </is>
      </c>
      <c r="O4" s="29" t="inlineStr">
        <is>
          <t>39102305547.0</t>
        </is>
      </c>
      <c r="P4" s="29" t="inlineStr">
        <is>
          <t>KRW</t>
        </is>
      </c>
      <c r="Q4" s="29" t="inlineStr">
        <is>
          <t>2</t>
        </is>
      </c>
    </row>
    <row r="5" ht="24" customHeight="1">
      <c r="A5" s="24" t="inlineStr">
        <is>
          <t>OpenDART_fnlttSinglAcntAll</t>
        </is>
      </c>
      <c r="B5" s="24" t="inlineStr">
        <is>
          <t>00245472</t>
        </is>
      </c>
      <c r="C5" s="24" t="inlineStr">
        <is>
          <t>티씨케이</t>
        </is>
      </c>
      <c r="D5" s="24" t="inlineStr">
        <is>
          <t>tck</t>
        </is>
      </c>
      <c r="E5" s="24" t="inlineStr">
        <is>
          <t>064760</t>
        </is>
      </c>
      <c r="F5" s="24" t="inlineStr">
        <is>
          <t>2021</t>
        </is>
      </c>
      <c r="G5" s="24" t="inlineStr">
        <is>
          <t>OFS</t>
        </is>
      </c>
      <c r="H5" s="24" t="inlineStr">
        <is>
          <t>BS</t>
        </is>
      </c>
      <c r="I5" s="24" t="inlineStr">
        <is>
          <t>재무상태표</t>
        </is>
      </c>
      <c r="J5" s="24" t="inlineStr">
        <is>
          <t>-표준계정코드 미사용-</t>
        </is>
      </c>
      <c r="K5" s="24" t="inlineStr">
        <is>
          <t>당기손익-공정가치측정금융자산</t>
        </is>
      </c>
      <c r="L5" s="24" t="inlineStr">
        <is>
          <t>-</t>
        </is>
      </c>
      <c r="M5" s="24" t="inlineStr">
        <is>
          <t>제 27 기</t>
        </is>
      </c>
      <c r="N5" s="24" t="inlineStr">
        <is>
          <t>0.0</t>
        </is>
      </c>
      <c r="O5" s="24" t="inlineStr">
        <is>
          <t>0.0</t>
        </is>
      </c>
      <c r="P5" s="24" t="inlineStr">
        <is>
          <t>KRW</t>
        </is>
      </c>
      <c r="Q5" s="24" t="inlineStr">
        <is>
          <t>3</t>
        </is>
      </c>
    </row>
    <row r="6" ht="24" customHeight="1">
      <c r="A6" s="29" t="inlineStr">
        <is>
          <t>OpenDART_fnlttSinglAcntAll</t>
        </is>
      </c>
      <c r="B6" s="29" t="inlineStr">
        <is>
          <t>00245472</t>
        </is>
      </c>
      <c r="C6" s="29" t="inlineStr">
        <is>
          <t>티씨케이</t>
        </is>
      </c>
      <c r="D6" s="29" t="inlineStr">
        <is>
          <t>tck</t>
        </is>
      </c>
      <c r="E6" s="29" t="inlineStr">
        <is>
          <t>064760</t>
        </is>
      </c>
      <c r="F6" s="29" t="inlineStr">
        <is>
          <t>2021</t>
        </is>
      </c>
      <c r="G6" s="29" t="inlineStr">
        <is>
          <t>OFS</t>
        </is>
      </c>
      <c r="H6" s="29" t="inlineStr">
        <is>
          <t>BS</t>
        </is>
      </c>
      <c r="I6" s="29" t="inlineStr">
        <is>
          <t>재무상태표</t>
        </is>
      </c>
      <c r="J6" s="29" t="inlineStr">
        <is>
          <t>-표준계정코드 미사용-</t>
        </is>
      </c>
      <c r="K6" s="29" t="inlineStr">
        <is>
          <t>파생금융상품</t>
        </is>
      </c>
      <c r="L6" s="29" t="inlineStr">
        <is>
          <t>-</t>
        </is>
      </c>
      <c r="M6" s="29" t="inlineStr">
        <is>
          <t>제 27 기</t>
        </is>
      </c>
      <c r="N6" s="29" t="inlineStr">
        <is>
          <t>23728306.0</t>
        </is>
      </c>
      <c r="O6" s="29" t="inlineStr">
        <is>
          <t>174846006.0</t>
        </is>
      </c>
      <c r="P6" s="29" t="inlineStr">
        <is>
          <t>KRW</t>
        </is>
      </c>
      <c r="Q6" s="29" t="inlineStr">
        <is>
          <t>4</t>
        </is>
      </c>
    </row>
    <row r="7" ht="24" customHeight="1">
      <c r="A7" s="24" t="inlineStr">
        <is>
          <t>OpenDART_fnlttSinglAcntAll</t>
        </is>
      </c>
      <c r="B7" s="24" t="inlineStr">
        <is>
          <t>00245472</t>
        </is>
      </c>
      <c r="C7" s="24" t="inlineStr">
        <is>
          <t>티씨케이</t>
        </is>
      </c>
      <c r="D7" s="24" t="inlineStr">
        <is>
          <t>tck</t>
        </is>
      </c>
      <c r="E7" s="24" t="inlineStr">
        <is>
          <t>064760</t>
        </is>
      </c>
      <c r="F7" s="24" t="inlineStr">
        <is>
          <t>2021</t>
        </is>
      </c>
      <c r="G7" s="24" t="inlineStr">
        <is>
          <t>OFS</t>
        </is>
      </c>
      <c r="H7" s="24" t="inlineStr">
        <is>
          <t>BS</t>
        </is>
      </c>
      <c r="I7" s="24" t="inlineStr">
        <is>
          <t>재무상태표</t>
        </is>
      </c>
      <c r="J7" s="24" t="inlineStr">
        <is>
          <t>ifrs-full_TradeAndOtherCurrentReceivables</t>
        </is>
      </c>
      <c r="K7" s="24" t="inlineStr">
        <is>
          <t>매출채권 및 기타유동채권</t>
        </is>
      </c>
      <c r="L7" s="24" t="inlineStr">
        <is>
          <t>-</t>
        </is>
      </c>
      <c r="M7" s="24" t="inlineStr">
        <is>
          <t>제 27 기</t>
        </is>
      </c>
      <c r="N7" s="24" t="inlineStr">
        <is>
          <t>34663887834.0</t>
        </is>
      </c>
      <c r="O7" s="24" t="inlineStr">
        <is>
          <t>27661435456.0</t>
        </is>
      </c>
      <c r="P7" s="24" t="inlineStr">
        <is>
          <t>KRW</t>
        </is>
      </c>
      <c r="Q7" s="24" t="inlineStr">
        <is>
          <t>5</t>
        </is>
      </c>
    </row>
    <row r="8" ht="24" customHeight="1">
      <c r="A8" s="29" t="inlineStr">
        <is>
          <t>OpenDART_fnlttSinglAcntAll</t>
        </is>
      </c>
      <c r="B8" s="29" t="inlineStr">
        <is>
          <t>00245472</t>
        </is>
      </c>
      <c r="C8" s="29" t="inlineStr">
        <is>
          <t>티씨케이</t>
        </is>
      </c>
      <c r="D8" s="29" t="inlineStr">
        <is>
          <t>tck</t>
        </is>
      </c>
      <c r="E8" s="29" t="inlineStr">
        <is>
          <t>064760</t>
        </is>
      </c>
      <c r="F8" s="29" t="inlineStr">
        <is>
          <t>2021</t>
        </is>
      </c>
      <c r="G8" s="29" t="inlineStr">
        <is>
          <t>OFS</t>
        </is>
      </c>
      <c r="H8" s="29" t="inlineStr">
        <is>
          <t>BS</t>
        </is>
      </c>
      <c r="I8" s="29" t="inlineStr">
        <is>
          <t>재무상태표</t>
        </is>
      </c>
      <c r="J8" s="29" t="inlineStr">
        <is>
          <t>ifrs-full_OtherCurrentFinancialAssets</t>
        </is>
      </c>
      <c r="K8" s="29" t="inlineStr">
        <is>
          <t>기타유동금융자산</t>
        </is>
      </c>
      <c r="L8" s="29" t="inlineStr">
        <is>
          <t>-</t>
        </is>
      </c>
      <c r="M8" s="29" t="inlineStr">
        <is>
          <t>제 27 기</t>
        </is>
      </c>
      <c r="N8" s="29" t="inlineStr">
        <is>
          <t>150620705915.0</t>
        </is>
      </c>
      <c r="O8" s="29" t="inlineStr">
        <is>
          <t>100398103511.0</t>
        </is>
      </c>
      <c r="P8" s="29" t="inlineStr">
        <is>
          <t>KRW</t>
        </is>
      </c>
      <c r="Q8" s="29" t="inlineStr">
        <is>
          <t>6</t>
        </is>
      </c>
    </row>
    <row r="9" ht="24" customHeight="1">
      <c r="A9" s="24" t="inlineStr">
        <is>
          <t>OpenDART_fnlttSinglAcntAll</t>
        </is>
      </c>
      <c r="B9" s="24" t="inlineStr">
        <is>
          <t>00245472</t>
        </is>
      </c>
      <c r="C9" s="24" t="inlineStr">
        <is>
          <t>티씨케이</t>
        </is>
      </c>
      <c r="D9" s="24" t="inlineStr">
        <is>
          <t>tck</t>
        </is>
      </c>
      <c r="E9" s="24" t="inlineStr">
        <is>
          <t>064760</t>
        </is>
      </c>
      <c r="F9" s="24" t="inlineStr">
        <is>
          <t>2021</t>
        </is>
      </c>
      <c r="G9" s="24" t="inlineStr">
        <is>
          <t>OFS</t>
        </is>
      </c>
      <c r="H9" s="24" t="inlineStr">
        <is>
          <t>BS</t>
        </is>
      </c>
      <c r="I9" s="24" t="inlineStr">
        <is>
          <t>재무상태표</t>
        </is>
      </c>
      <c r="J9" s="24" t="inlineStr">
        <is>
          <t>dart_OtherCurrentAssets</t>
        </is>
      </c>
      <c r="K9" s="24" t="inlineStr">
        <is>
          <t>기타유동자산</t>
        </is>
      </c>
      <c r="L9" s="24" t="inlineStr">
        <is>
          <t>-</t>
        </is>
      </c>
      <c r="M9" s="24" t="inlineStr">
        <is>
          <t>제 27 기</t>
        </is>
      </c>
      <c r="N9" s="24" t="inlineStr">
        <is>
          <t>739586907.0</t>
        </is>
      </c>
      <c r="O9" s="24" t="inlineStr">
        <is>
          <t>388236217.0</t>
        </is>
      </c>
      <c r="P9" s="24" t="inlineStr">
        <is>
          <t>KRW</t>
        </is>
      </c>
      <c r="Q9" s="24" t="inlineStr">
        <is>
          <t>7</t>
        </is>
      </c>
    </row>
    <row r="10" ht="24" customHeight="1">
      <c r="A10" s="29" t="inlineStr">
        <is>
          <t>OpenDART_fnlttSinglAcntAll</t>
        </is>
      </c>
      <c r="B10" s="29" t="inlineStr">
        <is>
          <t>00245472</t>
        </is>
      </c>
      <c r="C10" s="29" t="inlineStr">
        <is>
          <t>티씨케이</t>
        </is>
      </c>
      <c r="D10" s="29" t="inlineStr">
        <is>
          <t>tck</t>
        </is>
      </c>
      <c r="E10" s="29" t="inlineStr">
        <is>
          <t>064760</t>
        </is>
      </c>
      <c r="F10" s="29" t="inlineStr">
        <is>
          <t>2021</t>
        </is>
      </c>
      <c r="G10" s="29" t="inlineStr">
        <is>
          <t>OFS</t>
        </is>
      </c>
      <c r="H10" s="29" t="inlineStr">
        <is>
          <t>BS</t>
        </is>
      </c>
      <c r="I10" s="29" t="inlineStr">
        <is>
          <t>재무상태표</t>
        </is>
      </c>
      <c r="J10" s="29" t="inlineStr">
        <is>
          <t>ifrs-full_Inventories</t>
        </is>
      </c>
      <c r="K10" s="29" t="inlineStr">
        <is>
          <t>재고자산</t>
        </is>
      </c>
      <c r="L10" s="29" t="inlineStr">
        <is>
          <t>-</t>
        </is>
      </c>
      <c r="M10" s="29" t="inlineStr">
        <is>
          <t>제 27 기</t>
        </is>
      </c>
      <c r="N10" s="29" t="inlineStr">
        <is>
          <t>35161186733.0</t>
        </is>
      </c>
      <c r="O10" s="29" t="inlineStr">
        <is>
          <t>30253358853.0</t>
        </is>
      </c>
      <c r="P10" s="29" t="inlineStr">
        <is>
          <t>KRW</t>
        </is>
      </c>
      <c r="Q10" s="29" t="inlineStr">
        <is>
          <t>8</t>
        </is>
      </c>
    </row>
    <row r="11" ht="24" customHeight="1">
      <c r="A11" s="24" t="inlineStr">
        <is>
          <t>OpenDART_fnlttSinglAcntAll</t>
        </is>
      </c>
      <c r="B11" s="24" t="inlineStr">
        <is>
          <t>00245472</t>
        </is>
      </c>
      <c r="C11" s="24" t="inlineStr">
        <is>
          <t>티씨케이</t>
        </is>
      </c>
      <c r="D11" s="24" t="inlineStr">
        <is>
          <t>tck</t>
        </is>
      </c>
      <c r="E11" s="24" t="inlineStr">
        <is>
          <t>064760</t>
        </is>
      </c>
      <c r="F11" s="24" t="inlineStr">
        <is>
          <t>2021</t>
        </is>
      </c>
      <c r="G11" s="24" t="inlineStr">
        <is>
          <t>OFS</t>
        </is>
      </c>
      <c r="H11" s="24" t="inlineStr">
        <is>
          <t>BS</t>
        </is>
      </c>
      <c r="I11" s="24" t="inlineStr">
        <is>
          <t>재무상태표</t>
        </is>
      </c>
      <c r="J11" s="24" t="inlineStr">
        <is>
          <t>-표준계정코드 미사용-</t>
        </is>
      </c>
      <c r="K11" s="24" t="inlineStr">
        <is>
          <t>매각예정비유동자산</t>
        </is>
      </c>
      <c r="L11" s="24" t="inlineStr">
        <is>
          <t>-</t>
        </is>
      </c>
      <c r="M11" s="24" t="inlineStr">
        <is>
          <t>제 27 기</t>
        </is>
      </c>
      <c r="N11" s="24" t="inlineStr">
        <is>
          <t>0.0</t>
        </is>
      </c>
      <c r="O11" s="24" t="inlineStr">
        <is>
          <t>0.0</t>
        </is>
      </c>
      <c r="P11" s="24" t="inlineStr">
        <is>
          <t>KRW</t>
        </is>
      </c>
      <c r="Q11" s="24" t="inlineStr">
        <is>
          <t>9</t>
        </is>
      </c>
    </row>
    <row r="12" ht="24" customHeight="1">
      <c r="A12" s="29" t="inlineStr">
        <is>
          <t>OpenDART_fnlttSinglAcntAll</t>
        </is>
      </c>
      <c r="B12" s="29" t="inlineStr">
        <is>
          <t>00245472</t>
        </is>
      </c>
      <c r="C12" s="29" t="inlineStr">
        <is>
          <t>티씨케이</t>
        </is>
      </c>
      <c r="D12" s="29" t="inlineStr">
        <is>
          <t>tck</t>
        </is>
      </c>
      <c r="E12" s="29" t="inlineStr">
        <is>
          <t>064760</t>
        </is>
      </c>
      <c r="F12" s="29" t="inlineStr">
        <is>
          <t>2021</t>
        </is>
      </c>
      <c r="G12" s="29" t="inlineStr">
        <is>
          <t>OFS</t>
        </is>
      </c>
      <c r="H12" s="29" t="inlineStr">
        <is>
          <t>BS</t>
        </is>
      </c>
      <c r="I12" s="29" t="inlineStr">
        <is>
          <t>재무상태표</t>
        </is>
      </c>
      <c r="J12" s="29" t="inlineStr">
        <is>
          <t>ifrs-full_NoncurrentAssets</t>
        </is>
      </c>
      <c r="K12" s="29" t="inlineStr">
        <is>
          <t>비유동자산</t>
        </is>
      </c>
      <c r="L12" s="29" t="inlineStr">
        <is>
          <t>-</t>
        </is>
      </c>
      <c r="M12" s="29" t="inlineStr">
        <is>
          <t>제 27 기</t>
        </is>
      </c>
      <c r="N12" s="29" t="inlineStr">
        <is>
          <t>114778342544.0</t>
        </is>
      </c>
      <c r="O12" s="29" t="inlineStr">
        <is>
          <t>110600217300.0</t>
        </is>
      </c>
      <c r="P12" s="29" t="inlineStr">
        <is>
          <t>KRW</t>
        </is>
      </c>
      <c r="Q12" s="29" t="inlineStr">
        <is>
          <t>10</t>
        </is>
      </c>
    </row>
    <row r="13" ht="24" customHeight="1">
      <c r="A13" s="24" t="inlineStr">
        <is>
          <t>OpenDART_fnlttSinglAcntAll</t>
        </is>
      </c>
      <c r="B13" s="24" t="inlineStr">
        <is>
          <t>00245472</t>
        </is>
      </c>
      <c r="C13" s="24" t="inlineStr">
        <is>
          <t>티씨케이</t>
        </is>
      </c>
      <c r="D13" s="24" t="inlineStr">
        <is>
          <t>tck</t>
        </is>
      </c>
      <c r="E13" s="24" t="inlineStr">
        <is>
          <t>064760</t>
        </is>
      </c>
      <c r="F13" s="24" t="inlineStr">
        <is>
          <t>2021</t>
        </is>
      </c>
      <c r="G13" s="24" t="inlineStr">
        <is>
          <t>OFS</t>
        </is>
      </c>
      <c r="H13" s="24" t="inlineStr">
        <is>
          <t>BS</t>
        </is>
      </c>
      <c r="I13" s="24" t="inlineStr">
        <is>
          <t>재무상태표</t>
        </is>
      </c>
      <c r="J13" s="24" t="inlineStr">
        <is>
          <t>ifrs-full_OtherNoncurrentFinancialAssets</t>
        </is>
      </c>
      <c r="K13" s="24" t="inlineStr">
        <is>
          <t>기타비유동금융자산</t>
        </is>
      </c>
      <c r="L13" s="24" t="inlineStr">
        <is>
          <t>-</t>
        </is>
      </c>
      <c r="M13" s="24" t="inlineStr">
        <is>
          <t>제 27 기</t>
        </is>
      </c>
      <c r="N13" s="24" t="inlineStr">
        <is>
          <t>1260315454.0</t>
        </is>
      </c>
      <c r="O13" s="24" t="inlineStr">
        <is>
          <t>1997040574.0</t>
        </is>
      </c>
      <c r="P13" s="24" t="inlineStr">
        <is>
          <t>KRW</t>
        </is>
      </c>
      <c r="Q13" s="24" t="inlineStr">
        <is>
          <t>11</t>
        </is>
      </c>
    </row>
    <row r="14" ht="24" customHeight="1">
      <c r="A14" s="29" t="inlineStr">
        <is>
          <t>OpenDART_fnlttSinglAcntAll</t>
        </is>
      </c>
      <c r="B14" s="29" t="inlineStr">
        <is>
          <t>00245472</t>
        </is>
      </c>
      <c r="C14" s="29" t="inlineStr">
        <is>
          <t>티씨케이</t>
        </is>
      </c>
      <c r="D14" s="29" t="inlineStr">
        <is>
          <t>tck</t>
        </is>
      </c>
      <c r="E14" s="29" t="inlineStr">
        <is>
          <t>064760</t>
        </is>
      </c>
      <c r="F14" s="29" t="inlineStr">
        <is>
          <t>2021</t>
        </is>
      </c>
      <c r="G14" s="29" t="inlineStr">
        <is>
          <t>OFS</t>
        </is>
      </c>
      <c r="H14" s="29" t="inlineStr">
        <is>
          <t>BS</t>
        </is>
      </c>
      <c r="I14" s="29" t="inlineStr">
        <is>
          <t>재무상태표</t>
        </is>
      </c>
      <c r="J14" s="29" t="inlineStr">
        <is>
          <t>ifrs-full_PropertyPlantAndEquipment</t>
        </is>
      </c>
      <c r="K14" s="29" t="inlineStr">
        <is>
          <t>유형자산</t>
        </is>
      </c>
      <c r="L14" s="29" t="inlineStr">
        <is>
          <t>-</t>
        </is>
      </c>
      <c r="M14" s="29" t="inlineStr">
        <is>
          <t>제 27 기</t>
        </is>
      </c>
      <c r="N14" s="29" t="inlineStr">
        <is>
          <t>108428359196.0</t>
        </is>
      </c>
      <c r="O14" s="29" t="inlineStr">
        <is>
          <t>106557913747.0</t>
        </is>
      </c>
      <c r="P14" s="29" t="inlineStr">
        <is>
          <t>KRW</t>
        </is>
      </c>
      <c r="Q14" s="29" t="inlineStr">
        <is>
          <t>12</t>
        </is>
      </c>
    </row>
    <row r="15" ht="24" customHeight="1">
      <c r="A15" s="24" t="inlineStr">
        <is>
          <t>OpenDART_fnlttSinglAcntAll</t>
        </is>
      </c>
      <c r="B15" s="24" t="inlineStr">
        <is>
          <t>00245472</t>
        </is>
      </c>
      <c r="C15" s="24" t="inlineStr">
        <is>
          <t>티씨케이</t>
        </is>
      </c>
      <c r="D15" s="24" t="inlineStr">
        <is>
          <t>tck</t>
        </is>
      </c>
      <c r="E15" s="24" t="inlineStr">
        <is>
          <t>064760</t>
        </is>
      </c>
      <c r="F15" s="24" t="inlineStr">
        <is>
          <t>2021</t>
        </is>
      </c>
      <c r="G15" s="24" t="inlineStr">
        <is>
          <t>OFS</t>
        </is>
      </c>
      <c r="H15" s="24" t="inlineStr">
        <is>
          <t>BS</t>
        </is>
      </c>
      <c r="I15" s="24" t="inlineStr">
        <is>
          <t>재무상태표</t>
        </is>
      </c>
      <c r="J15" s="24" t="inlineStr">
        <is>
          <t>ifrs-full_IntangibleAssetsOtherThanGoodwill</t>
        </is>
      </c>
      <c r="K15" s="24" t="inlineStr">
        <is>
          <t>영업권 이외의 무형자산</t>
        </is>
      </c>
      <c r="L15" s="24" t="inlineStr">
        <is>
          <t>-</t>
        </is>
      </c>
      <c r="M15" s="24" t="inlineStr">
        <is>
          <t>제 27 기</t>
        </is>
      </c>
      <c r="N15" s="24" t="inlineStr">
        <is>
          <t>1866147369.0</t>
        </is>
      </c>
      <c r="O15" s="24" t="inlineStr">
        <is>
          <t>1750050759.0</t>
        </is>
      </c>
      <c r="P15" s="24" t="inlineStr">
        <is>
          <t>KRW</t>
        </is>
      </c>
      <c r="Q15" s="24" t="inlineStr">
        <is>
          <t>13</t>
        </is>
      </c>
    </row>
    <row r="16" ht="24" customHeight="1">
      <c r="A16" s="29" t="inlineStr">
        <is>
          <t>OpenDART_fnlttSinglAcntAll</t>
        </is>
      </c>
      <c r="B16" s="29" t="inlineStr">
        <is>
          <t>00245472</t>
        </is>
      </c>
      <c r="C16" s="29" t="inlineStr">
        <is>
          <t>티씨케이</t>
        </is>
      </c>
      <c r="D16" s="29" t="inlineStr">
        <is>
          <t>tck</t>
        </is>
      </c>
      <c r="E16" s="29" t="inlineStr">
        <is>
          <t>064760</t>
        </is>
      </c>
      <c r="F16" s="29" t="inlineStr">
        <is>
          <t>2021</t>
        </is>
      </c>
      <c r="G16" s="29" t="inlineStr">
        <is>
          <t>OFS</t>
        </is>
      </c>
      <c r="H16" s="29" t="inlineStr">
        <is>
          <t>BS</t>
        </is>
      </c>
      <c r="I16" s="29" t="inlineStr">
        <is>
          <t>재무상태표</t>
        </is>
      </c>
      <c r="J16" s="29" t="inlineStr">
        <is>
          <t>ifrs-full_RightofuseAssets</t>
        </is>
      </c>
      <c r="K16" s="29" t="inlineStr">
        <is>
          <t>사용권자산</t>
        </is>
      </c>
      <c r="L16" s="29" t="inlineStr">
        <is>
          <t>-</t>
        </is>
      </c>
      <c r="M16" s="29" t="inlineStr">
        <is>
          <t>제 27 기</t>
        </is>
      </c>
      <c r="N16" s="29" t="inlineStr">
        <is>
          <t>578050602.0</t>
        </is>
      </c>
      <c r="O16" s="29" t="inlineStr">
        <is>
          <t>295212220.0</t>
        </is>
      </c>
      <c r="P16" s="29" t="inlineStr">
        <is>
          <t>KRW</t>
        </is>
      </c>
      <c r="Q16" s="29" t="inlineStr">
        <is>
          <t>14</t>
        </is>
      </c>
    </row>
    <row r="17" ht="24" customHeight="1">
      <c r="A17" s="24" t="inlineStr">
        <is>
          <t>OpenDART_fnlttSinglAcntAll</t>
        </is>
      </c>
      <c r="B17" s="24" t="inlineStr">
        <is>
          <t>00245472</t>
        </is>
      </c>
      <c r="C17" s="24" t="inlineStr">
        <is>
          <t>티씨케이</t>
        </is>
      </c>
      <c r="D17" s="24" t="inlineStr">
        <is>
          <t>tck</t>
        </is>
      </c>
      <c r="E17" s="24" t="inlineStr">
        <is>
          <t>064760</t>
        </is>
      </c>
      <c r="F17" s="24" t="inlineStr">
        <is>
          <t>2021</t>
        </is>
      </c>
      <c r="G17" s="24" t="inlineStr">
        <is>
          <t>OFS</t>
        </is>
      </c>
      <c r="H17" s="24" t="inlineStr">
        <is>
          <t>BS</t>
        </is>
      </c>
      <c r="I17" s="24" t="inlineStr">
        <is>
          <t>재무상태표</t>
        </is>
      </c>
      <c r="J17" s="24" t="inlineStr">
        <is>
          <t>ifrs-full_DeferredTaxAssets</t>
        </is>
      </c>
      <c r="K17" s="24" t="inlineStr">
        <is>
          <t>이연법인세자산</t>
        </is>
      </c>
      <c r="L17" s="24" t="inlineStr">
        <is>
          <t>-</t>
        </is>
      </c>
      <c r="M17" s="24" t="inlineStr">
        <is>
          <t>제 27 기</t>
        </is>
      </c>
      <c r="N17" s="24" t="inlineStr">
        <is>
          <t>2645469923.0</t>
        </is>
      </c>
      <c r="O17" s="24" t="inlineStr">
        <is>
          <t>0.0</t>
        </is>
      </c>
      <c r="P17" s="24" t="inlineStr">
        <is>
          <t>KRW</t>
        </is>
      </c>
      <c r="Q17" s="24" t="inlineStr">
        <is>
          <t>15</t>
        </is>
      </c>
    </row>
    <row r="18" ht="24" customHeight="1">
      <c r="A18" s="29" t="inlineStr">
        <is>
          <t>OpenDART_fnlttSinglAcntAll</t>
        </is>
      </c>
      <c r="B18" s="29" t="inlineStr">
        <is>
          <t>00245472</t>
        </is>
      </c>
      <c r="C18" s="29" t="inlineStr">
        <is>
          <t>티씨케이</t>
        </is>
      </c>
      <c r="D18" s="29" t="inlineStr">
        <is>
          <t>tck</t>
        </is>
      </c>
      <c r="E18" s="29" t="inlineStr">
        <is>
          <t>064760</t>
        </is>
      </c>
      <c r="F18" s="29" t="inlineStr">
        <is>
          <t>2021</t>
        </is>
      </c>
      <c r="G18" s="29" t="inlineStr">
        <is>
          <t>OFS</t>
        </is>
      </c>
      <c r="H18" s="29" t="inlineStr">
        <is>
          <t>BS</t>
        </is>
      </c>
      <c r="I18" s="29" t="inlineStr">
        <is>
          <t>재무상태표</t>
        </is>
      </c>
      <c r="J18" s="29" t="inlineStr">
        <is>
          <t>ifrs-full_Assets</t>
        </is>
      </c>
      <c r="K18" s="29" t="inlineStr">
        <is>
          <t>자산총계</t>
        </is>
      </c>
      <c r="L18" s="29" t="inlineStr">
        <is>
          <t>-</t>
        </is>
      </c>
      <c r="M18" s="29" t="inlineStr">
        <is>
          <t>제 27 기</t>
        </is>
      </c>
      <c r="N18" s="29" t="inlineStr">
        <is>
          <t>389705970637.0</t>
        </is>
      </c>
      <c r="O18" s="29" t="inlineStr">
        <is>
          <t>308578502890.0</t>
        </is>
      </c>
      <c r="P18" s="29" t="inlineStr">
        <is>
          <t>KRW</t>
        </is>
      </c>
      <c r="Q18" s="29" t="inlineStr">
        <is>
          <t>16</t>
        </is>
      </c>
    </row>
    <row r="19" ht="24" customHeight="1">
      <c r="A19" s="24" t="inlineStr">
        <is>
          <t>OpenDART_fnlttSinglAcntAll</t>
        </is>
      </c>
      <c r="B19" s="24" t="inlineStr">
        <is>
          <t>00245472</t>
        </is>
      </c>
      <c r="C19" s="24" t="inlineStr">
        <is>
          <t>티씨케이</t>
        </is>
      </c>
      <c r="D19" s="24" t="inlineStr">
        <is>
          <t>tck</t>
        </is>
      </c>
      <c r="E19" s="24" t="inlineStr">
        <is>
          <t>064760</t>
        </is>
      </c>
      <c r="F19" s="24" t="inlineStr">
        <is>
          <t>2021</t>
        </is>
      </c>
      <c r="G19" s="24" t="inlineStr">
        <is>
          <t>OFS</t>
        </is>
      </c>
      <c r="H19" s="24" t="inlineStr">
        <is>
          <t>BS</t>
        </is>
      </c>
      <c r="I19" s="24" t="inlineStr">
        <is>
          <t>재무상태표</t>
        </is>
      </c>
      <c r="J19" s="24" t="inlineStr">
        <is>
          <t>ifrs-full_CurrentLiabilities</t>
        </is>
      </c>
      <c r="K19" s="24" t="inlineStr">
        <is>
          <t>유동부채</t>
        </is>
      </c>
      <c r="L19" s="24" t="inlineStr">
        <is>
          <t>-</t>
        </is>
      </c>
      <c r="M19" s="24" t="inlineStr">
        <is>
          <t>제 27 기</t>
        </is>
      </c>
      <c r="N19" s="24" t="inlineStr">
        <is>
          <t>48768265224.0</t>
        </is>
      </c>
      <c r="O19" s="24" t="inlineStr">
        <is>
          <t>36813969241.0</t>
        </is>
      </c>
      <c r="P19" s="24" t="inlineStr">
        <is>
          <t>KRW</t>
        </is>
      </c>
      <c r="Q19" s="24" t="inlineStr">
        <is>
          <t>18</t>
        </is>
      </c>
    </row>
    <row r="20" ht="24" customHeight="1">
      <c r="A20" s="29" t="inlineStr">
        <is>
          <t>OpenDART_fnlttSinglAcntAll</t>
        </is>
      </c>
      <c r="B20" s="29" t="inlineStr">
        <is>
          <t>00245472</t>
        </is>
      </c>
      <c r="C20" s="29" t="inlineStr">
        <is>
          <t>티씨케이</t>
        </is>
      </c>
      <c r="D20" s="29" t="inlineStr">
        <is>
          <t>tck</t>
        </is>
      </c>
      <c r="E20" s="29" t="inlineStr">
        <is>
          <t>064760</t>
        </is>
      </c>
      <c r="F20" s="29" t="inlineStr">
        <is>
          <t>2021</t>
        </is>
      </c>
      <c r="G20" s="29" t="inlineStr">
        <is>
          <t>OFS</t>
        </is>
      </c>
      <c r="H20" s="29" t="inlineStr">
        <is>
          <t>BS</t>
        </is>
      </c>
      <c r="I20" s="29" t="inlineStr">
        <is>
          <t>재무상태표</t>
        </is>
      </c>
      <c r="J20" s="29" t="inlineStr">
        <is>
          <t>-표준계정코드 미사용-</t>
        </is>
      </c>
      <c r="K20" s="29" t="inlineStr">
        <is>
          <t>파생금융상품</t>
        </is>
      </c>
      <c r="L20" s="29" t="inlineStr">
        <is>
          <t>-</t>
        </is>
      </c>
      <c r="M20" s="29" t="inlineStr">
        <is>
          <t>제 27 기</t>
        </is>
      </c>
      <c r="N20" s="29" t="inlineStr">
        <is>
          <t>48800824.0</t>
        </is>
      </c>
      <c r="O20" s="29" t="inlineStr">
        <is>
          <t>4280202.0</t>
        </is>
      </c>
      <c r="P20" s="29" t="inlineStr">
        <is>
          <t>KRW</t>
        </is>
      </c>
      <c r="Q20" s="29" t="inlineStr">
        <is>
          <t>19</t>
        </is>
      </c>
    </row>
    <row r="21" ht="24" customHeight="1">
      <c r="A21" s="24" t="inlineStr">
        <is>
          <t>OpenDART_fnlttSinglAcntAll</t>
        </is>
      </c>
      <c r="B21" s="24" t="inlineStr">
        <is>
          <t>00245472</t>
        </is>
      </c>
      <c r="C21" s="24" t="inlineStr">
        <is>
          <t>티씨케이</t>
        </is>
      </c>
      <c r="D21" s="24" t="inlineStr">
        <is>
          <t>tck</t>
        </is>
      </c>
      <c r="E21" s="24" t="inlineStr">
        <is>
          <t>064760</t>
        </is>
      </c>
      <c r="F21" s="24" t="inlineStr">
        <is>
          <t>2021</t>
        </is>
      </c>
      <c r="G21" s="24" t="inlineStr">
        <is>
          <t>OFS</t>
        </is>
      </c>
      <c r="H21" s="24" t="inlineStr">
        <is>
          <t>BS</t>
        </is>
      </c>
      <c r="I21" s="24" t="inlineStr">
        <is>
          <t>재무상태표</t>
        </is>
      </c>
      <c r="J21" s="24" t="inlineStr">
        <is>
          <t>ifrs-full_TradeAndOtherCurrentPayables</t>
        </is>
      </c>
      <c r="K21" s="24" t="inlineStr">
        <is>
          <t>매입채무 및 기타유동채무</t>
        </is>
      </c>
      <c r="L21" s="24" t="inlineStr">
        <is>
          <t>-</t>
        </is>
      </c>
      <c r="M21" s="24" t="inlineStr">
        <is>
          <t>제 27 기</t>
        </is>
      </c>
      <c r="N21" s="24" t="inlineStr">
        <is>
          <t>5903818307.0</t>
        </is>
      </c>
      <c r="O21" s="24" t="inlineStr">
        <is>
          <t>3236235102.0</t>
        </is>
      </c>
      <c r="P21" s="24" t="inlineStr">
        <is>
          <t>KRW</t>
        </is>
      </c>
      <c r="Q21" s="24" t="inlineStr">
        <is>
          <t>20</t>
        </is>
      </c>
    </row>
    <row r="22" ht="24" customHeight="1">
      <c r="A22" s="29" t="inlineStr">
        <is>
          <t>OpenDART_fnlttSinglAcntAll</t>
        </is>
      </c>
      <c r="B22" s="29" t="inlineStr">
        <is>
          <t>00245472</t>
        </is>
      </c>
      <c r="C22" s="29" t="inlineStr">
        <is>
          <t>티씨케이</t>
        </is>
      </c>
      <c r="D22" s="29" t="inlineStr">
        <is>
          <t>tck</t>
        </is>
      </c>
      <c r="E22" s="29" t="inlineStr">
        <is>
          <t>064760</t>
        </is>
      </c>
      <c r="F22" s="29" t="inlineStr">
        <is>
          <t>2021</t>
        </is>
      </c>
      <c r="G22" s="29" t="inlineStr">
        <is>
          <t>OFS</t>
        </is>
      </c>
      <c r="H22" s="29" t="inlineStr">
        <is>
          <t>BS</t>
        </is>
      </c>
      <c r="I22" s="29" t="inlineStr">
        <is>
          <t>재무상태표</t>
        </is>
      </c>
      <c r="J22" s="29" t="inlineStr">
        <is>
          <t>ifrs-full_OtherCurrentFinancialLiabilities</t>
        </is>
      </c>
      <c r="K22" s="29" t="inlineStr">
        <is>
          <t>기타유동금융부채</t>
        </is>
      </c>
      <c r="L22" s="29" t="inlineStr">
        <is>
          <t>-</t>
        </is>
      </c>
      <c r="M22" s="29" t="inlineStr">
        <is>
          <t>제 27 기</t>
        </is>
      </c>
      <c r="N22" s="29" t="inlineStr">
        <is>
          <t>24398854145.0</t>
        </is>
      </c>
      <c r="O22" s="29" t="inlineStr">
        <is>
          <t>19531179039.0</t>
        </is>
      </c>
      <c r="P22" s="29" t="inlineStr">
        <is>
          <t>KRW</t>
        </is>
      </c>
      <c r="Q22" s="29" t="inlineStr">
        <is>
          <t>21</t>
        </is>
      </c>
    </row>
    <row r="23" ht="24" customHeight="1">
      <c r="A23" s="24" t="inlineStr">
        <is>
          <t>OpenDART_fnlttSinglAcntAll</t>
        </is>
      </c>
      <c r="B23" s="24" t="inlineStr">
        <is>
          <t>00245472</t>
        </is>
      </c>
      <c r="C23" s="24" t="inlineStr">
        <is>
          <t>티씨케이</t>
        </is>
      </c>
      <c r="D23" s="24" t="inlineStr">
        <is>
          <t>tck</t>
        </is>
      </c>
      <c r="E23" s="24" t="inlineStr">
        <is>
          <t>064760</t>
        </is>
      </c>
      <c r="F23" s="24" t="inlineStr">
        <is>
          <t>2021</t>
        </is>
      </c>
      <c r="G23" s="24" t="inlineStr">
        <is>
          <t>OFS</t>
        </is>
      </c>
      <c r="H23" s="24" t="inlineStr">
        <is>
          <t>BS</t>
        </is>
      </c>
      <c r="I23" s="24" t="inlineStr">
        <is>
          <t>재무상태표</t>
        </is>
      </c>
      <c r="J23" s="24" t="inlineStr">
        <is>
          <t>dart_OtherCurrentLiabilities</t>
        </is>
      </c>
      <c r="K23" s="24" t="inlineStr">
        <is>
          <t>기타유동부채</t>
        </is>
      </c>
      <c r="L23" s="24" t="inlineStr">
        <is>
          <t>-</t>
        </is>
      </c>
      <c r="M23" s="24" t="inlineStr">
        <is>
          <t>제 27 기</t>
        </is>
      </c>
      <c r="N23" s="24" t="inlineStr">
        <is>
          <t>647195889.0</t>
        </is>
      </c>
      <c r="O23" s="24" t="inlineStr">
        <is>
          <t>642875944.0</t>
        </is>
      </c>
      <c r="P23" s="24" t="inlineStr">
        <is>
          <t>KRW</t>
        </is>
      </c>
      <c r="Q23" s="24" t="inlineStr">
        <is>
          <t>22</t>
        </is>
      </c>
    </row>
    <row r="24" ht="24" customHeight="1">
      <c r="A24" s="29" t="inlineStr">
        <is>
          <t>OpenDART_fnlttSinglAcntAll</t>
        </is>
      </c>
      <c r="B24" s="29" t="inlineStr">
        <is>
          <t>00245472</t>
        </is>
      </c>
      <c r="C24" s="29" t="inlineStr">
        <is>
          <t>티씨케이</t>
        </is>
      </c>
      <c r="D24" s="29" t="inlineStr">
        <is>
          <t>tck</t>
        </is>
      </c>
      <c r="E24" s="29" t="inlineStr">
        <is>
          <t>064760</t>
        </is>
      </c>
      <c r="F24" s="29" t="inlineStr">
        <is>
          <t>2021</t>
        </is>
      </c>
      <c r="G24" s="29" t="inlineStr">
        <is>
          <t>OFS</t>
        </is>
      </c>
      <c r="H24" s="29" t="inlineStr">
        <is>
          <t>BS</t>
        </is>
      </c>
      <c r="I24" s="29" t="inlineStr">
        <is>
          <t>재무상태표</t>
        </is>
      </c>
      <c r="J24" s="29" t="inlineStr">
        <is>
          <t>ifrs-full_CurrentTaxLiabilities</t>
        </is>
      </c>
      <c r="K24" s="29" t="inlineStr">
        <is>
          <t>당기법인세부채</t>
        </is>
      </c>
      <c r="L24" s="29" t="inlineStr">
        <is>
          <t>-</t>
        </is>
      </c>
      <c r="M24" s="29" t="inlineStr">
        <is>
          <t>제 27 기</t>
        </is>
      </c>
      <c r="N24" s="29" t="inlineStr">
        <is>
          <t>16295825152.0</t>
        </is>
      </c>
      <c r="O24" s="29" t="inlineStr">
        <is>
          <t>12555264239.0</t>
        </is>
      </c>
      <c r="P24" s="29" t="inlineStr">
        <is>
          <t>KRW</t>
        </is>
      </c>
      <c r="Q24" s="29" t="inlineStr">
        <is>
          <t>23</t>
        </is>
      </c>
    </row>
    <row r="25" ht="24" customHeight="1">
      <c r="A25" s="24" t="inlineStr">
        <is>
          <t>OpenDART_fnlttSinglAcntAll</t>
        </is>
      </c>
      <c r="B25" s="24" t="inlineStr">
        <is>
          <t>00245472</t>
        </is>
      </c>
      <c r="C25" s="24" t="inlineStr">
        <is>
          <t>티씨케이</t>
        </is>
      </c>
      <c r="D25" s="24" t="inlineStr">
        <is>
          <t>tck</t>
        </is>
      </c>
      <c r="E25" s="24" t="inlineStr">
        <is>
          <t>064760</t>
        </is>
      </c>
      <c r="F25" s="24" t="inlineStr">
        <is>
          <t>2021</t>
        </is>
      </c>
      <c r="G25" s="24" t="inlineStr">
        <is>
          <t>OFS</t>
        </is>
      </c>
      <c r="H25" s="24" t="inlineStr">
        <is>
          <t>BS</t>
        </is>
      </c>
      <c r="I25" s="24" t="inlineStr">
        <is>
          <t>재무상태표</t>
        </is>
      </c>
      <c r="J25" s="24" t="inlineStr">
        <is>
          <t>ifrs-full_CurrentProvisions</t>
        </is>
      </c>
      <c r="K25" s="24" t="inlineStr">
        <is>
          <t>유동충당부채</t>
        </is>
      </c>
      <c r="L25" s="24" t="inlineStr">
        <is>
          <t>-</t>
        </is>
      </c>
      <c r="M25" s="24" t="inlineStr">
        <is>
          <t>제 27 기</t>
        </is>
      </c>
      <c r="N25" s="24" t="inlineStr">
        <is>
          <t>1195513216.0</t>
        </is>
      </c>
      <c r="O25" s="24" t="inlineStr">
        <is>
          <t>699953660.0</t>
        </is>
      </c>
      <c r="P25" s="24" t="inlineStr">
        <is>
          <t>KRW</t>
        </is>
      </c>
      <c r="Q25" s="24" t="inlineStr">
        <is>
          <t>24</t>
        </is>
      </c>
    </row>
    <row r="26" ht="24" customHeight="1">
      <c r="A26" s="29" t="inlineStr">
        <is>
          <t>OpenDART_fnlttSinglAcntAll</t>
        </is>
      </c>
      <c r="B26" s="29" t="inlineStr">
        <is>
          <t>00245472</t>
        </is>
      </c>
      <c r="C26" s="29" t="inlineStr">
        <is>
          <t>티씨케이</t>
        </is>
      </c>
      <c r="D26" s="29" t="inlineStr">
        <is>
          <t>tck</t>
        </is>
      </c>
      <c r="E26" s="29" t="inlineStr">
        <is>
          <t>064760</t>
        </is>
      </c>
      <c r="F26" s="29" t="inlineStr">
        <is>
          <t>2021</t>
        </is>
      </c>
      <c r="G26" s="29" t="inlineStr">
        <is>
          <t>OFS</t>
        </is>
      </c>
      <c r="H26" s="29" t="inlineStr">
        <is>
          <t>BS</t>
        </is>
      </c>
      <c r="I26" s="29" t="inlineStr">
        <is>
          <t>재무상태표</t>
        </is>
      </c>
      <c r="J26" s="29" t="inlineStr">
        <is>
          <t>ifrs-full_CurrentLeaseLiabilities</t>
        </is>
      </c>
      <c r="K26" s="29" t="inlineStr">
        <is>
          <t>유동리스부채</t>
        </is>
      </c>
      <c r="L26" s="29" t="inlineStr">
        <is>
          <t>-</t>
        </is>
      </c>
      <c r="M26" s="29" t="inlineStr">
        <is>
          <t>제 27 기</t>
        </is>
      </c>
      <c r="N26" s="29" t="inlineStr">
        <is>
          <t>278257691.0</t>
        </is>
      </c>
      <c r="O26" s="29" t="inlineStr">
        <is>
          <t>144181055.0</t>
        </is>
      </c>
      <c r="P26" s="29" t="inlineStr">
        <is>
          <t>KRW</t>
        </is>
      </c>
      <c r="Q26" s="29" t="inlineStr">
        <is>
          <t>25</t>
        </is>
      </c>
    </row>
    <row r="27" ht="24" customHeight="1">
      <c r="A27" s="24" t="inlineStr">
        <is>
          <t>OpenDART_fnlttSinglAcntAll</t>
        </is>
      </c>
      <c r="B27" s="24" t="inlineStr">
        <is>
          <t>00245472</t>
        </is>
      </c>
      <c r="C27" s="24" t="inlineStr">
        <is>
          <t>티씨케이</t>
        </is>
      </c>
      <c r="D27" s="24" t="inlineStr">
        <is>
          <t>tck</t>
        </is>
      </c>
      <c r="E27" s="24" t="inlineStr">
        <is>
          <t>064760</t>
        </is>
      </c>
      <c r="F27" s="24" t="inlineStr">
        <is>
          <t>2021</t>
        </is>
      </c>
      <c r="G27" s="24" t="inlineStr">
        <is>
          <t>OFS</t>
        </is>
      </c>
      <c r="H27" s="24" t="inlineStr">
        <is>
          <t>BS</t>
        </is>
      </c>
      <c r="I27" s="24" t="inlineStr">
        <is>
          <t>재무상태표</t>
        </is>
      </c>
      <c r="J27" s="24" t="inlineStr">
        <is>
          <t>ifrs-full_NoncurrentLiabilities</t>
        </is>
      </c>
      <c r="K27" s="24" t="inlineStr">
        <is>
          <t>비유동부채</t>
        </is>
      </c>
      <c r="L27" s="24" t="inlineStr">
        <is>
          <t>-</t>
        </is>
      </c>
      <c r="M27" s="24" t="inlineStr">
        <is>
          <t>제 27 기</t>
        </is>
      </c>
      <c r="N27" s="24" t="inlineStr">
        <is>
          <t>1425258330.0</t>
        </is>
      </c>
      <c r="O27" s="24" t="inlineStr">
        <is>
          <t>1300214620.0</t>
        </is>
      </c>
      <c r="P27" s="24" t="inlineStr">
        <is>
          <t>KRW</t>
        </is>
      </c>
      <c r="Q27" s="24" t="inlineStr">
        <is>
          <t>26</t>
        </is>
      </c>
    </row>
    <row r="28" ht="24" customHeight="1">
      <c r="A28" s="29" t="inlineStr">
        <is>
          <t>OpenDART_fnlttSinglAcntAll</t>
        </is>
      </c>
      <c r="B28" s="29" t="inlineStr">
        <is>
          <t>00245472</t>
        </is>
      </c>
      <c r="C28" s="29" t="inlineStr">
        <is>
          <t>티씨케이</t>
        </is>
      </c>
      <c r="D28" s="29" t="inlineStr">
        <is>
          <t>tck</t>
        </is>
      </c>
      <c r="E28" s="29" t="inlineStr">
        <is>
          <t>064760</t>
        </is>
      </c>
      <c r="F28" s="29" t="inlineStr">
        <is>
          <t>2021</t>
        </is>
      </c>
      <c r="G28" s="29" t="inlineStr">
        <is>
          <t>OFS</t>
        </is>
      </c>
      <c r="H28" s="29" t="inlineStr">
        <is>
          <t>BS</t>
        </is>
      </c>
      <c r="I28" s="29" t="inlineStr">
        <is>
          <t>재무상태표</t>
        </is>
      </c>
      <c r="J28" s="29" t="inlineStr">
        <is>
          <t>ifrs-full_OtherNoncurrentFinancialLiabilities</t>
        </is>
      </c>
      <c r="K28" s="29" t="inlineStr">
        <is>
          <t>기타비유동금융부채</t>
        </is>
      </c>
      <c r="L28" s="29" t="inlineStr">
        <is>
          <t>-</t>
        </is>
      </c>
      <c r="M28" s="29" t="inlineStr">
        <is>
          <t>제 27 기</t>
        </is>
      </c>
      <c r="N28" s="29" t="inlineStr">
        <is>
          <t>1118137285.0</t>
        </is>
      </c>
      <c r="O28" s="29" t="inlineStr">
        <is>
          <t>1007880681.0</t>
        </is>
      </c>
      <c r="P28" s="29" t="inlineStr">
        <is>
          <t>KRW</t>
        </is>
      </c>
      <c r="Q28" s="29" t="inlineStr">
        <is>
          <t>27</t>
        </is>
      </c>
    </row>
    <row r="29" ht="24" customHeight="1">
      <c r="A29" s="24" t="inlineStr">
        <is>
          <t>OpenDART_fnlttSinglAcntAll</t>
        </is>
      </c>
      <c r="B29" s="24" t="inlineStr">
        <is>
          <t>00245472</t>
        </is>
      </c>
      <c r="C29" s="24" t="inlineStr">
        <is>
          <t>티씨케이</t>
        </is>
      </c>
      <c r="D29" s="24" t="inlineStr">
        <is>
          <t>tck</t>
        </is>
      </c>
      <c r="E29" s="24" t="inlineStr">
        <is>
          <t>064760</t>
        </is>
      </c>
      <c r="F29" s="24" t="inlineStr">
        <is>
          <t>2021</t>
        </is>
      </c>
      <c r="G29" s="24" t="inlineStr">
        <is>
          <t>OFS</t>
        </is>
      </c>
      <c r="H29" s="24" t="inlineStr">
        <is>
          <t>BS</t>
        </is>
      </c>
      <c r="I29" s="24" t="inlineStr">
        <is>
          <t>재무상태표</t>
        </is>
      </c>
      <c r="J29" s="24" t="inlineStr">
        <is>
          <t>ifrs-full_DeferredTaxLiabilities</t>
        </is>
      </c>
      <c r="K29" s="24" t="inlineStr">
        <is>
          <t>이연법인세부채</t>
        </is>
      </c>
      <c r="L29" s="24" t="inlineStr">
        <is>
          <t>-</t>
        </is>
      </c>
      <c r="M29" s="24" t="inlineStr">
        <is>
          <t>제 27 기</t>
        </is>
      </c>
      <c r="N29" s="24" t="inlineStr">
        <is>
          <t>0.0</t>
        </is>
      </c>
      <c r="O29" s="24" t="inlineStr">
        <is>
          <t>133302826.0</t>
        </is>
      </c>
      <c r="P29" s="24" t="inlineStr">
        <is>
          <t>KRW</t>
        </is>
      </c>
      <c r="Q29" s="24" t="inlineStr">
        <is>
          <t>28</t>
        </is>
      </c>
    </row>
    <row r="30" ht="24" customHeight="1">
      <c r="A30" s="29" t="inlineStr">
        <is>
          <t>OpenDART_fnlttSinglAcntAll</t>
        </is>
      </c>
      <c r="B30" s="29" t="inlineStr">
        <is>
          <t>00245472</t>
        </is>
      </c>
      <c r="C30" s="29" t="inlineStr">
        <is>
          <t>티씨케이</t>
        </is>
      </c>
      <c r="D30" s="29" t="inlineStr">
        <is>
          <t>tck</t>
        </is>
      </c>
      <c r="E30" s="29" t="inlineStr">
        <is>
          <t>064760</t>
        </is>
      </c>
      <c r="F30" s="29" t="inlineStr">
        <is>
          <t>2021</t>
        </is>
      </c>
      <c r="G30" s="29" t="inlineStr">
        <is>
          <t>OFS</t>
        </is>
      </c>
      <c r="H30" s="29" t="inlineStr">
        <is>
          <t>BS</t>
        </is>
      </c>
      <c r="I30" s="29" t="inlineStr">
        <is>
          <t>재무상태표</t>
        </is>
      </c>
      <c r="J30" s="29" t="inlineStr">
        <is>
          <t>ifrs-full_NoncurrentLeaseLiabilities</t>
        </is>
      </c>
      <c r="K30" s="29" t="inlineStr">
        <is>
          <t>비유동리스부채</t>
        </is>
      </c>
      <c r="L30" s="29" t="inlineStr">
        <is>
          <t>-</t>
        </is>
      </c>
      <c r="M30" s="29" t="inlineStr">
        <is>
          <t>제 27 기</t>
        </is>
      </c>
      <c r="N30" s="29" t="inlineStr">
        <is>
          <t>307121045.0</t>
        </is>
      </c>
      <c r="O30" s="29" t="inlineStr">
        <is>
          <t>159031113.0</t>
        </is>
      </c>
      <c r="P30" s="29" t="inlineStr">
        <is>
          <t>KRW</t>
        </is>
      </c>
      <c r="Q30" s="29" t="inlineStr">
        <is>
          <t>29</t>
        </is>
      </c>
    </row>
    <row r="31" ht="24" customHeight="1">
      <c r="A31" s="24" t="inlineStr">
        <is>
          <t>OpenDART_fnlttSinglAcntAll</t>
        </is>
      </c>
      <c r="B31" s="24" t="inlineStr">
        <is>
          <t>00245472</t>
        </is>
      </c>
      <c r="C31" s="24" t="inlineStr">
        <is>
          <t>티씨케이</t>
        </is>
      </c>
      <c r="D31" s="24" t="inlineStr">
        <is>
          <t>tck</t>
        </is>
      </c>
      <c r="E31" s="24" t="inlineStr">
        <is>
          <t>064760</t>
        </is>
      </c>
      <c r="F31" s="24" t="inlineStr">
        <is>
          <t>2021</t>
        </is>
      </c>
      <c r="G31" s="24" t="inlineStr">
        <is>
          <t>OFS</t>
        </is>
      </c>
      <c r="H31" s="24" t="inlineStr">
        <is>
          <t>BS</t>
        </is>
      </c>
      <c r="I31" s="24" t="inlineStr">
        <is>
          <t>재무상태표</t>
        </is>
      </c>
      <c r="J31" s="24" t="inlineStr">
        <is>
          <t>ifrs-full_Liabilities</t>
        </is>
      </c>
      <c r="K31" s="24" t="inlineStr">
        <is>
          <t>부채총계</t>
        </is>
      </c>
      <c r="L31" s="24" t="inlineStr">
        <is>
          <t>-</t>
        </is>
      </c>
      <c r="M31" s="24" t="inlineStr">
        <is>
          <t>제 27 기</t>
        </is>
      </c>
      <c r="N31" s="24" t="inlineStr">
        <is>
          <t>50193523554.0</t>
        </is>
      </c>
      <c r="O31" s="24" t="inlineStr">
        <is>
          <t>38114183861.0</t>
        </is>
      </c>
      <c r="P31" s="24" t="inlineStr">
        <is>
          <t>KRW</t>
        </is>
      </c>
      <c r="Q31" s="24" t="inlineStr">
        <is>
          <t>30</t>
        </is>
      </c>
    </row>
    <row r="32" ht="24" customHeight="1">
      <c r="A32" s="29" t="inlineStr">
        <is>
          <t>OpenDART_fnlttSinglAcntAll</t>
        </is>
      </c>
      <c r="B32" s="29" t="inlineStr">
        <is>
          <t>00245472</t>
        </is>
      </c>
      <c r="C32" s="29" t="inlineStr">
        <is>
          <t>티씨케이</t>
        </is>
      </c>
      <c r="D32" s="29" t="inlineStr">
        <is>
          <t>tck</t>
        </is>
      </c>
      <c r="E32" s="29" t="inlineStr">
        <is>
          <t>064760</t>
        </is>
      </c>
      <c r="F32" s="29" t="inlineStr">
        <is>
          <t>2021</t>
        </is>
      </c>
      <c r="G32" s="29" t="inlineStr">
        <is>
          <t>OFS</t>
        </is>
      </c>
      <c r="H32" s="29" t="inlineStr">
        <is>
          <t>BS</t>
        </is>
      </c>
      <c r="I32" s="29" t="inlineStr">
        <is>
          <t>재무상태표</t>
        </is>
      </c>
      <c r="J32" s="29" t="inlineStr">
        <is>
          <t>ifrs-full_IssuedCapital</t>
        </is>
      </c>
      <c r="K32" s="29" t="inlineStr">
        <is>
          <t>자본금</t>
        </is>
      </c>
      <c r="L32" s="29" t="inlineStr">
        <is>
          <t>-</t>
        </is>
      </c>
      <c r="M32" s="29" t="inlineStr">
        <is>
          <t>제 27 기</t>
        </is>
      </c>
      <c r="N32" s="29" t="inlineStr">
        <is>
          <t>5837500000.0</t>
        </is>
      </c>
      <c r="O32" s="29" t="inlineStr">
        <is>
          <t>5837500000.0</t>
        </is>
      </c>
      <c r="P32" s="29" t="inlineStr">
        <is>
          <t>KRW</t>
        </is>
      </c>
      <c r="Q32" s="29" t="inlineStr">
        <is>
          <t>32</t>
        </is>
      </c>
    </row>
    <row r="33" ht="24" customHeight="1">
      <c r="A33" s="24" t="inlineStr">
        <is>
          <t>OpenDART_fnlttSinglAcntAll</t>
        </is>
      </c>
      <c r="B33" s="24" t="inlineStr">
        <is>
          <t>00245472</t>
        </is>
      </c>
      <c r="C33" s="24" t="inlineStr">
        <is>
          <t>티씨케이</t>
        </is>
      </c>
      <c r="D33" s="24" t="inlineStr">
        <is>
          <t>tck</t>
        </is>
      </c>
      <c r="E33" s="24" t="inlineStr">
        <is>
          <t>064760</t>
        </is>
      </c>
      <c r="F33" s="24" t="inlineStr">
        <is>
          <t>2021</t>
        </is>
      </c>
      <c r="G33" s="24" t="inlineStr">
        <is>
          <t>OFS</t>
        </is>
      </c>
      <c r="H33" s="24" t="inlineStr">
        <is>
          <t>BS</t>
        </is>
      </c>
      <c r="I33" s="24" t="inlineStr">
        <is>
          <t>재무상태표</t>
        </is>
      </c>
      <c r="J33" s="24" t="inlineStr">
        <is>
          <t>dart_CapitalSurplus</t>
        </is>
      </c>
      <c r="K33" s="24" t="inlineStr">
        <is>
          <t>자본잉여금</t>
        </is>
      </c>
      <c r="L33" s="24" t="inlineStr">
        <is>
          <t>-</t>
        </is>
      </c>
      <c r="M33" s="24" t="inlineStr">
        <is>
          <t>제 27 기</t>
        </is>
      </c>
      <c r="N33" s="24" t="inlineStr">
        <is>
          <t>6035001920.0</t>
        </is>
      </c>
      <c r="O33" s="24" t="inlineStr">
        <is>
          <t>6035001920.0</t>
        </is>
      </c>
      <c r="P33" s="24" t="inlineStr">
        <is>
          <t>KRW</t>
        </is>
      </c>
      <c r="Q33" s="24" t="inlineStr">
        <is>
          <t>33</t>
        </is>
      </c>
    </row>
    <row r="34" ht="24" customHeight="1">
      <c r="A34" s="29" t="inlineStr">
        <is>
          <t>OpenDART_fnlttSinglAcntAll</t>
        </is>
      </c>
      <c r="B34" s="29" t="inlineStr">
        <is>
          <t>00245472</t>
        </is>
      </c>
      <c r="C34" s="29" t="inlineStr">
        <is>
          <t>티씨케이</t>
        </is>
      </c>
      <c r="D34" s="29" t="inlineStr">
        <is>
          <t>tck</t>
        </is>
      </c>
      <c r="E34" s="29" t="inlineStr">
        <is>
          <t>064760</t>
        </is>
      </c>
      <c r="F34" s="29" t="inlineStr">
        <is>
          <t>2021</t>
        </is>
      </c>
      <c r="G34" s="29" t="inlineStr">
        <is>
          <t>OFS</t>
        </is>
      </c>
      <c r="H34" s="29" t="inlineStr">
        <is>
          <t>BS</t>
        </is>
      </c>
      <c r="I34" s="29" t="inlineStr">
        <is>
          <t>재무상태표</t>
        </is>
      </c>
      <c r="J34" s="29" t="inlineStr">
        <is>
          <t>dart_ElementsOfOtherStockholdersEquity</t>
        </is>
      </c>
      <c r="K34" s="29" t="inlineStr">
        <is>
          <t>기타자본구성요소</t>
        </is>
      </c>
      <c r="L34" s="29" t="inlineStr">
        <is>
          <t>-</t>
        </is>
      </c>
      <c r="M34" s="29" t="inlineStr">
        <is>
          <t>제 27 기</t>
        </is>
      </c>
      <c r="N34" s="29" t="inlineStr">
        <is>
          <t>233168836.0</t>
        </is>
      </c>
      <c r="O34" s="29" t="inlineStr">
        <is>
          <t>233168836.0</t>
        </is>
      </c>
      <c r="P34" s="29" t="inlineStr">
        <is>
          <t>KRW</t>
        </is>
      </c>
      <c r="Q34" s="29" t="inlineStr">
        <is>
          <t>34</t>
        </is>
      </c>
    </row>
    <row r="35" ht="24" customHeight="1">
      <c r="A35" s="24" t="inlineStr">
        <is>
          <t>OpenDART_fnlttSinglAcntAll</t>
        </is>
      </c>
      <c r="B35" s="24" t="inlineStr">
        <is>
          <t>00245472</t>
        </is>
      </c>
      <c r="C35" s="24" t="inlineStr">
        <is>
          <t>티씨케이</t>
        </is>
      </c>
      <c r="D35" s="24" t="inlineStr">
        <is>
          <t>tck</t>
        </is>
      </c>
      <c r="E35" s="24" t="inlineStr">
        <is>
          <t>064760</t>
        </is>
      </c>
      <c r="F35" s="24" t="inlineStr">
        <is>
          <t>2021</t>
        </is>
      </c>
      <c r="G35" s="24" t="inlineStr">
        <is>
          <t>OFS</t>
        </is>
      </c>
      <c r="H35" s="24" t="inlineStr">
        <is>
          <t>BS</t>
        </is>
      </c>
      <c r="I35" s="24" t="inlineStr">
        <is>
          <t>재무상태표</t>
        </is>
      </c>
      <c r="J35" s="24" t="inlineStr">
        <is>
          <t>ifrs-full_RetainedEarnings</t>
        </is>
      </c>
      <c r="K35" s="24" t="inlineStr">
        <is>
          <t>이익잉여금(결손금)</t>
        </is>
      </c>
      <c r="L35" s="24" t="inlineStr">
        <is>
          <t>-</t>
        </is>
      </c>
      <c r="M35" s="24" t="inlineStr">
        <is>
          <t>제 27 기</t>
        </is>
      </c>
      <c r="N35" s="24" t="inlineStr">
        <is>
          <t>327406776327.0</t>
        </is>
      </c>
      <c r="O35" s="24" t="inlineStr">
        <is>
          <t>258358648273.0</t>
        </is>
      </c>
      <c r="P35" s="24" t="inlineStr">
        <is>
          <t>KRW</t>
        </is>
      </c>
      <c r="Q35" s="24" t="inlineStr">
        <is>
          <t>35</t>
        </is>
      </c>
    </row>
    <row r="36" ht="24" customHeight="1">
      <c r="A36" s="29" t="inlineStr">
        <is>
          <t>OpenDART_fnlttSinglAcntAll</t>
        </is>
      </c>
      <c r="B36" s="29" t="inlineStr">
        <is>
          <t>00245472</t>
        </is>
      </c>
      <c r="C36" s="29" t="inlineStr">
        <is>
          <t>티씨케이</t>
        </is>
      </c>
      <c r="D36" s="29" t="inlineStr">
        <is>
          <t>tck</t>
        </is>
      </c>
      <c r="E36" s="29" t="inlineStr">
        <is>
          <t>064760</t>
        </is>
      </c>
      <c r="F36" s="29" t="inlineStr">
        <is>
          <t>2021</t>
        </is>
      </c>
      <c r="G36" s="29" t="inlineStr">
        <is>
          <t>OFS</t>
        </is>
      </c>
      <c r="H36" s="29" t="inlineStr">
        <is>
          <t>BS</t>
        </is>
      </c>
      <c r="I36" s="29" t="inlineStr">
        <is>
          <t>재무상태표</t>
        </is>
      </c>
      <c r="J36" s="29" t="inlineStr">
        <is>
          <t>ifrs-full_Equity</t>
        </is>
      </c>
      <c r="K36" s="29" t="inlineStr">
        <is>
          <t>자본총계</t>
        </is>
      </c>
      <c r="L36" s="29" t="inlineStr">
        <is>
          <t>-</t>
        </is>
      </c>
      <c r="M36" s="29" t="inlineStr">
        <is>
          <t>제 27 기</t>
        </is>
      </c>
      <c r="N36" s="29" t="inlineStr">
        <is>
          <t>339512447083.0</t>
        </is>
      </c>
      <c r="O36" s="29" t="inlineStr">
        <is>
          <t>270464319029.0</t>
        </is>
      </c>
      <c r="P36" s="29" t="inlineStr">
        <is>
          <t>KRW</t>
        </is>
      </c>
      <c r="Q36" s="29" t="inlineStr">
        <is>
          <t>36</t>
        </is>
      </c>
    </row>
    <row r="37" ht="24" customHeight="1">
      <c r="A37" s="24" t="inlineStr">
        <is>
          <t>OpenDART_fnlttSinglAcntAll</t>
        </is>
      </c>
      <c r="B37" s="24" t="inlineStr">
        <is>
          <t>00245472</t>
        </is>
      </c>
      <c r="C37" s="24" t="inlineStr">
        <is>
          <t>티씨케이</t>
        </is>
      </c>
      <c r="D37" s="24" t="inlineStr">
        <is>
          <t>tck</t>
        </is>
      </c>
      <c r="E37" s="24" t="inlineStr">
        <is>
          <t>064760</t>
        </is>
      </c>
      <c r="F37" s="24" t="inlineStr">
        <is>
          <t>2021</t>
        </is>
      </c>
      <c r="G37" s="24" t="inlineStr">
        <is>
          <t>OFS</t>
        </is>
      </c>
      <c r="H37" s="24" t="inlineStr">
        <is>
          <t>BS</t>
        </is>
      </c>
      <c r="I37" s="24" t="inlineStr">
        <is>
          <t>재무상태표</t>
        </is>
      </c>
      <c r="J37" s="24" t="inlineStr">
        <is>
          <t>ifrs-full_EquityAndLiabilities</t>
        </is>
      </c>
      <c r="K37" s="24" t="inlineStr">
        <is>
          <t>자본과부채총계</t>
        </is>
      </c>
      <c r="L37" s="24" t="inlineStr">
        <is>
          <t>-</t>
        </is>
      </c>
      <c r="M37" s="24" t="inlineStr">
        <is>
          <t>제 27 기</t>
        </is>
      </c>
      <c r="N37" s="24" t="inlineStr">
        <is>
          <t>389705970637.0</t>
        </is>
      </c>
      <c r="O37" s="24" t="inlineStr">
        <is>
          <t>308578502890.0</t>
        </is>
      </c>
      <c r="P37" s="24" t="inlineStr">
        <is>
          <t>KRW</t>
        </is>
      </c>
      <c r="Q37" s="24" t="inlineStr">
        <is>
          <t>37</t>
        </is>
      </c>
    </row>
    <row r="38" ht="24" customHeight="1">
      <c r="A38" s="29" t="inlineStr">
        <is>
          <t>OpenDART_fnlttSinglAcntAll</t>
        </is>
      </c>
      <c r="B38" s="29" t="inlineStr">
        <is>
          <t>00245472</t>
        </is>
      </c>
      <c r="C38" s="29" t="inlineStr">
        <is>
          <t>티씨케이</t>
        </is>
      </c>
      <c r="D38" s="29" t="inlineStr">
        <is>
          <t>tck</t>
        </is>
      </c>
      <c r="E38" s="29" t="inlineStr">
        <is>
          <t>064760</t>
        </is>
      </c>
      <c r="F38" s="29" t="inlineStr">
        <is>
          <t>2021</t>
        </is>
      </c>
      <c r="G38" s="29" t="inlineStr">
        <is>
          <t>OFS</t>
        </is>
      </c>
      <c r="H38" s="29" t="inlineStr">
        <is>
          <t>CIS</t>
        </is>
      </c>
      <c r="I38" s="29" t="inlineStr">
        <is>
          <t>포괄손익계산서</t>
        </is>
      </c>
      <c r="J38" s="29" t="inlineStr">
        <is>
          <t>ifrs-full_Revenue</t>
        </is>
      </c>
      <c r="K38" s="29" t="inlineStr">
        <is>
          <t>수익(매출액)</t>
        </is>
      </c>
      <c r="L38" s="29" t="inlineStr">
        <is>
          <t>-</t>
        </is>
      </c>
      <c r="M38" s="29" t="inlineStr">
        <is>
          <t>제 27 기</t>
        </is>
      </c>
      <c r="N38" s="29" t="inlineStr">
        <is>
          <t>270766567696.0</t>
        </is>
      </c>
      <c r="O38" s="29" t="inlineStr">
        <is>
          <t>228209744995.0</t>
        </is>
      </c>
      <c r="P38" s="29" t="inlineStr">
        <is>
          <t>KRW</t>
        </is>
      </c>
      <c r="Q38" s="29" t="inlineStr">
        <is>
          <t>0</t>
        </is>
      </c>
    </row>
    <row r="39" ht="24" customHeight="1">
      <c r="A39" s="24" t="inlineStr">
        <is>
          <t>OpenDART_fnlttSinglAcntAll</t>
        </is>
      </c>
      <c r="B39" s="24" t="inlineStr">
        <is>
          <t>00245472</t>
        </is>
      </c>
      <c r="C39" s="24" t="inlineStr">
        <is>
          <t>티씨케이</t>
        </is>
      </c>
      <c r="D39" s="24" t="inlineStr">
        <is>
          <t>tck</t>
        </is>
      </c>
      <c r="E39" s="24" t="inlineStr">
        <is>
          <t>064760</t>
        </is>
      </c>
      <c r="F39" s="24" t="inlineStr">
        <is>
          <t>2021</t>
        </is>
      </c>
      <c r="G39" s="24" t="inlineStr">
        <is>
          <t>OFS</t>
        </is>
      </c>
      <c r="H39" s="24" t="inlineStr">
        <is>
          <t>CIS</t>
        </is>
      </c>
      <c r="I39" s="24" t="inlineStr">
        <is>
          <t>포괄손익계산서</t>
        </is>
      </c>
      <c r="J39" s="24" t="inlineStr">
        <is>
          <t>ifrs-full_CostOfSales</t>
        </is>
      </c>
      <c r="K39" s="24" t="inlineStr">
        <is>
          <t>매출원가</t>
        </is>
      </c>
      <c r="L39" s="24" t="inlineStr">
        <is>
          <t>-</t>
        </is>
      </c>
      <c r="M39" s="24" t="inlineStr">
        <is>
          <t>제 27 기</t>
        </is>
      </c>
      <c r="N39" s="24" t="inlineStr">
        <is>
          <t>146642802049.0</t>
        </is>
      </c>
      <c r="O39" s="24" t="inlineStr">
        <is>
          <t>129340882641.0</t>
        </is>
      </c>
      <c r="P39" s="24" t="inlineStr">
        <is>
          <t>KRW</t>
        </is>
      </c>
      <c r="Q39" s="24" t="inlineStr">
        <is>
          <t>1</t>
        </is>
      </c>
    </row>
    <row r="40" ht="24" customHeight="1">
      <c r="A40" s="29" t="inlineStr">
        <is>
          <t>OpenDART_fnlttSinglAcntAll</t>
        </is>
      </c>
      <c r="B40" s="29" t="inlineStr">
        <is>
          <t>00245472</t>
        </is>
      </c>
      <c r="C40" s="29" t="inlineStr">
        <is>
          <t>티씨케이</t>
        </is>
      </c>
      <c r="D40" s="29" t="inlineStr">
        <is>
          <t>tck</t>
        </is>
      </c>
      <c r="E40" s="29" t="inlineStr">
        <is>
          <t>064760</t>
        </is>
      </c>
      <c r="F40" s="29" t="inlineStr">
        <is>
          <t>2021</t>
        </is>
      </c>
      <c r="G40" s="29" t="inlineStr">
        <is>
          <t>OFS</t>
        </is>
      </c>
      <c r="H40" s="29" t="inlineStr">
        <is>
          <t>CIS</t>
        </is>
      </c>
      <c r="I40" s="29" t="inlineStr">
        <is>
          <t>포괄손익계산서</t>
        </is>
      </c>
      <c r="J40" s="29" t="inlineStr">
        <is>
          <t>ifrs-full_GrossProfit</t>
        </is>
      </c>
      <c r="K40" s="29" t="inlineStr">
        <is>
          <t>매출총이익</t>
        </is>
      </c>
      <c r="L40" s="29" t="inlineStr">
        <is>
          <t>-</t>
        </is>
      </c>
      <c r="M40" s="29" t="inlineStr">
        <is>
          <t>제 27 기</t>
        </is>
      </c>
      <c r="N40" s="29" t="inlineStr">
        <is>
          <t>124123765647.0</t>
        </is>
      </c>
      <c r="O40" s="29" t="inlineStr">
        <is>
          <t>98868862354.0</t>
        </is>
      </c>
      <c r="P40" s="29" t="inlineStr">
        <is>
          <t>KRW</t>
        </is>
      </c>
      <c r="Q40" s="29" t="inlineStr">
        <is>
          <t>2</t>
        </is>
      </c>
    </row>
    <row r="41" ht="24" customHeight="1">
      <c r="A41" s="24" t="inlineStr">
        <is>
          <t>OpenDART_fnlttSinglAcntAll</t>
        </is>
      </c>
      <c r="B41" s="24" t="inlineStr">
        <is>
          <t>00245472</t>
        </is>
      </c>
      <c r="C41" s="24" t="inlineStr">
        <is>
          <t>티씨케이</t>
        </is>
      </c>
      <c r="D41" s="24" t="inlineStr">
        <is>
          <t>tck</t>
        </is>
      </c>
      <c r="E41" s="24" t="inlineStr">
        <is>
          <t>064760</t>
        </is>
      </c>
      <c r="F41" s="24" t="inlineStr">
        <is>
          <t>2021</t>
        </is>
      </c>
      <c r="G41" s="24" t="inlineStr">
        <is>
          <t>OFS</t>
        </is>
      </c>
      <c r="H41" s="24" t="inlineStr">
        <is>
          <t>CIS</t>
        </is>
      </c>
      <c r="I41" s="24" t="inlineStr">
        <is>
          <t>포괄손익계산서</t>
        </is>
      </c>
      <c r="J41" s="24" t="inlineStr">
        <is>
          <t>dart_TotalSellingGeneralAdministrativeExpenses</t>
        </is>
      </c>
      <c r="K41" s="24" t="inlineStr">
        <is>
          <t>판매비와관리비</t>
        </is>
      </c>
      <c r="L41" s="24" t="inlineStr">
        <is>
          <t>-</t>
        </is>
      </c>
      <c r="M41" s="24" t="inlineStr">
        <is>
          <t>제 27 기</t>
        </is>
      </c>
      <c r="N41" s="24" t="inlineStr">
        <is>
          <t>20723897030.0</t>
        </is>
      </c>
      <c r="O41" s="24" t="inlineStr">
        <is>
          <t>18652097930.0</t>
        </is>
      </c>
      <c r="P41" s="24" t="inlineStr">
        <is>
          <t>KRW</t>
        </is>
      </c>
      <c r="Q41" s="24" t="inlineStr">
        <is>
          <t>3</t>
        </is>
      </c>
    </row>
    <row r="42" ht="24" customHeight="1">
      <c r="A42" s="29" t="inlineStr">
        <is>
          <t>OpenDART_fnlttSinglAcntAll</t>
        </is>
      </c>
      <c r="B42" s="29" t="inlineStr">
        <is>
          <t>00245472</t>
        </is>
      </c>
      <c r="C42" s="29" t="inlineStr">
        <is>
          <t>티씨케이</t>
        </is>
      </c>
      <c r="D42" s="29" t="inlineStr">
        <is>
          <t>tck</t>
        </is>
      </c>
      <c r="E42" s="29" t="inlineStr">
        <is>
          <t>064760</t>
        </is>
      </c>
      <c r="F42" s="29" t="inlineStr">
        <is>
          <t>2021</t>
        </is>
      </c>
      <c r="G42" s="29" t="inlineStr">
        <is>
          <t>OFS</t>
        </is>
      </c>
      <c r="H42" s="29" t="inlineStr">
        <is>
          <t>CIS</t>
        </is>
      </c>
      <c r="I42" s="29" t="inlineStr">
        <is>
          <t>포괄손익계산서</t>
        </is>
      </c>
      <c r="J42" s="29" t="inlineStr">
        <is>
          <t>-표준계정코드 미사용-</t>
        </is>
      </c>
      <c r="K42" s="29" t="inlineStr">
        <is>
          <t>대손상각비(환입)</t>
        </is>
      </c>
      <c r="L42" s="29" t="inlineStr">
        <is>
          <t>-</t>
        </is>
      </c>
      <c r="M42" s="29" t="inlineStr">
        <is>
          <t>제 27 기</t>
        </is>
      </c>
      <c r="N42" s="29" t="inlineStr">
        <is>
          <t>-493068.0</t>
        </is>
      </c>
      <c r="O42" s="29" t="inlineStr">
        <is>
          <t>-49669972.0</t>
        </is>
      </c>
      <c r="P42" s="29" t="inlineStr">
        <is>
          <t>KRW</t>
        </is>
      </c>
      <c r="Q42" s="29" t="inlineStr">
        <is>
          <t>4</t>
        </is>
      </c>
    </row>
    <row r="43" ht="24" customHeight="1">
      <c r="A43" s="24" t="inlineStr">
        <is>
          <t>OpenDART_fnlttSinglAcntAll</t>
        </is>
      </c>
      <c r="B43" s="24" t="inlineStr">
        <is>
          <t>00245472</t>
        </is>
      </c>
      <c r="C43" s="24" t="inlineStr">
        <is>
          <t>티씨케이</t>
        </is>
      </c>
      <c r="D43" s="24" t="inlineStr">
        <is>
          <t>tck</t>
        </is>
      </c>
      <c r="E43" s="24" t="inlineStr">
        <is>
          <t>064760</t>
        </is>
      </c>
      <c r="F43" s="24" t="inlineStr">
        <is>
          <t>2021</t>
        </is>
      </c>
      <c r="G43" s="24" t="inlineStr">
        <is>
          <t>OFS</t>
        </is>
      </c>
      <c r="H43" s="24" t="inlineStr">
        <is>
          <t>CIS</t>
        </is>
      </c>
      <c r="I43" s="24" t="inlineStr">
        <is>
          <t>포괄손익계산서</t>
        </is>
      </c>
      <c r="J43" s="24" t="inlineStr">
        <is>
          <t>dart_OperatingIncomeLoss</t>
        </is>
      </c>
      <c r="K43" s="24" t="inlineStr">
        <is>
          <t>영업이익(손실)</t>
        </is>
      </c>
      <c r="L43" s="24" t="inlineStr">
        <is>
          <t>-</t>
        </is>
      </c>
      <c r="M43" s="24" t="inlineStr">
        <is>
          <t>제 27 기</t>
        </is>
      </c>
      <c r="N43" s="24" t="inlineStr">
        <is>
          <t>103400361685.0</t>
        </is>
      </c>
      <c r="O43" s="24" t="inlineStr">
        <is>
          <t>80266434396.0</t>
        </is>
      </c>
      <c r="P43" s="24" t="inlineStr">
        <is>
          <t>KRW</t>
        </is>
      </c>
      <c r="Q43" s="24" t="inlineStr">
        <is>
          <t>5</t>
        </is>
      </c>
    </row>
    <row r="44" ht="24" customHeight="1">
      <c r="A44" s="29" t="inlineStr">
        <is>
          <t>OpenDART_fnlttSinglAcntAll</t>
        </is>
      </c>
      <c r="B44" s="29" t="inlineStr">
        <is>
          <t>00245472</t>
        </is>
      </c>
      <c r="C44" s="29" t="inlineStr">
        <is>
          <t>티씨케이</t>
        </is>
      </c>
      <c r="D44" s="29" t="inlineStr">
        <is>
          <t>tck</t>
        </is>
      </c>
      <c r="E44" s="29" t="inlineStr">
        <is>
          <t>064760</t>
        </is>
      </c>
      <c r="F44" s="29" t="inlineStr">
        <is>
          <t>2021</t>
        </is>
      </c>
      <c r="G44" s="29" t="inlineStr">
        <is>
          <t>OFS</t>
        </is>
      </c>
      <c r="H44" s="29" t="inlineStr">
        <is>
          <t>CIS</t>
        </is>
      </c>
      <c r="I44" s="29" t="inlineStr">
        <is>
          <t>포괄손익계산서</t>
        </is>
      </c>
      <c r="J44" s="29" t="inlineStr">
        <is>
          <t>dart_OtherGains</t>
        </is>
      </c>
      <c r="K44" s="29" t="inlineStr">
        <is>
          <t>기타이익</t>
        </is>
      </c>
      <c r="L44" s="29" t="inlineStr">
        <is>
          <t>-</t>
        </is>
      </c>
      <c r="M44" s="29" t="inlineStr">
        <is>
          <t>제 27 기</t>
        </is>
      </c>
      <c r="N44" s="29" t="inlineStr">
        <is>
          <t>3171157328.0</t>
        </is>
      </c>
      <c r="O44" s="29" t="inlineStr">
        <is>
          <t>2249300201.0</t>
        </is>
      </c>
      <c r="P44" s="29" t="inlineStr">
        <is>
          <t>KRW</t>
        </is>
      </c>
      <c r="Q44" s="29" t="inlineStr">
        <is>
          <t>6</t>
        </is>
      </c>
    </row>
    <row r="45" ht="24" customHeight="1">
      <c r="A45" s="24" t="inlineStr">
        <is>
          <t>OpenDART_fnlttSinglAcntAll</t>
        </is>
      </c>
      <c r="B45" s="24" t="inlineStr">
        <is>
          <t>00245472</t>
        </is>
      </c>
      <c r="C45" s="24" t="inlineStr">
        <is>
          <t>티씨케이</t>
        </is>
      </c>
      <c r="D45" s="24" t="inlineStr">
        <is>
          <t>tck</t>
        </is>
      </c>
      <c r="E45" s="24" t="inlineStr">
        <is>
          <t>064760</t>
        </is>
      </c>
      <c r="F45" s="24" t="inlineStr">
        <is>
          <t>2021</t>
        </is>
      </c>
      <c r="G45" s="24" t="inlineStr">
        <is>
          <t>OFS</t>
        </is>
      </c>
      <c r="H45" s="24" t="inlineStr">
        <is>
          <t>CIS</t>
        </is>
      </c>
      <c r="I45" s="24" t="inlineStr">
        <is>
          <t>포괄손익계산서</t>
        </is>
      </c>
      <c r="J45" s="24" t="inlineStr">
        <is>
          <t>dart_OtherLosses</t>
        </is>
      </c>
      <c r="K45" s="24" t="inlineStr">
        <is>
          <t>기타손실</t>
        </is>
      </c>
      <c r="L45" s="24" t="inlineStr">
        <is>
          <t>-</t>
        </is>
      </c>
      <c r="M45" s="24" t="inlineStr">
        <is>
          <t>제 27 기</t>
        </is>
      </c>
      <c r="N45" s="24" t="inlineStr">
        <is>
          <t>1829779627.0</t>
        </is>
      </c>
      <c r="O45" s="24" t="inlineStr">
        <is>
          <t>3651723400.0</t>
        </is>
      </c>
      <c r="P45" s="24" t="inlineStr">
        <is>
          <t>KRW</t>
        </is>
      </c>
      <c r="Q45" s="24" t="inlineStr">
        <is>
          <t>7</t>
        </is>
      </c>
    </row>
    <row r="46" ht="24" customHeight="1">
      <c r="A46" s="29" t="inlineStr">
        <is>
          <t>OpenDART_fnlttSinglAcntAll</t>
        </is>
      </c>
      <c r="B46" s="29" t="inlineStr">
        <is>
          <t>00245472</t>
        </is>
      </c>
      <c r="C46" s="29" t="inlineStr">
        <is>
          <t>티씨케이</t>
        </is>
      </c>
      <c r="D46" s="29" t="inlineStr">
        <is>
          <t>tck</t>
        </is>
      </c>
      <c r="E46" s="29" t="inlineStr">
        <is>
          <t>064760</t>
        </is>
      </c>
      <c r="F46" s="29" t="inlineStr">
        <is>
          <t>2021</t>
        </is>
      </c>
      <c r="G46" s="29" t="inlineStr">
        <is>
          <t>OFS</t>
        </is>
      </c>
      <c r="H46" s="29" t="inlineStr">
        <is>
          <t>CIS</t>
        </is>
      </c>
      <c r="I46" s="29" t="inlineStr">
        <is>
          <t>포괄손익계산서</t>
        </is>
      </c>
      <c r="J46" s="29" t="inlineStr">
        <is>
          <t>ifrs-full_FinanceIncome</t>
        </is>
      </c>
      <c r="K46" s="29" t="inlineStr">
        <is>
          <t>금융수익</t>
        </is>
      </c>
      <c r="L46" s="29" t="inlineStr">
        <is>
          <t>-</t>
        </is>
      </c>
      <c r="M46" s="29" t="inlineStr">
        <is>
          <t>제 27 기</t>
        </is>
      </c>
      <c r="N46" s="29" t="inlineStr">
        <is>
          <t>1599785703.0</t>
        </is>
      </c>
      <c r="O46" s="29" t="inlineStr">
        <is>
          <t>1382570022.0</t>
        </is>
      </c>
      <c r="P46" s="29" t="inlineStr">
        <is>
          <t>KRW</t>
        </is>
      </c>
      <c r="Q46" s="29" t="inlineStr">
        <is>
          <t>8</t>
        </is>
      </c>
    </row>
    <row r="47" ht="24" customHeight="1">
      <c r="A47" s="24" t="inlineStr">
        <is>
          <t>OpenDART_fnlttSinglAcntAll</t>
        </is>
      </c>
      <c r="B47" s="24" t="inlineStr">
        <is>
          <t>00245472</t>
        </is>
      </c>
      <c r="C47" s="24" t="inlineStr">
        <is>
          <t>티씨케이</t>
        </is>
      </c>
      <c r="D47" s="24" t="inlineStr">
        <is>
          <t>tck</t>
        </is>
      </c>
      <c r="E47" s="24" t="inlineStr">
        <is>
          <t>064760</t>
        </is>
      </c>
      <c r="F47" s="24" t="inlineStr">
        <is>
          <t>2021</t>
        </is>
      </c>
      <c r="G47" s="24" t="inlineStr">
        <is>
          <t>OFS</t>
        </is>
      </c>
      <c r="H47" s="24" t="inlineStr">
        <is>
          <t>CIS</t>
        </is>
      </c>
      <c r="I47" s="24" t="inlineStr">
        <is>
          <t>포괄손익계산서</t>
        </is>
      </c>
      <c r="J47" s="24" t="inlineStr">
        <is>
          <t>ifrs-full_FinanceCosts</t>
        </is>
      </c>
      <c r="K47" s="24" t="inlineStr">
        <is>
          <t>금융원가</t>
        </is>
      </c>
      <c r="L47" s="24" t="inlineStr">
        <is>
          <t>-</t>
        </is>
      </c>
      <c r="M47" s="24" t="inlineStr">
        <is>
          <t>제 27 기</t>
        </is>
      </c>
      <c r="N47" s="24" t="inlineStr">
        <is>
          <t>16635921.0</t>
        </is>
      </c>
      <c r="O47" s="24" t="inlineStr">
        <is>
          <t>13584149.0</t>
        </is>
      </c>
      <c r="P47" s="24" t="inlineStr">
        <is>
          <t>KRW</t>
        </is>
      </c>
      <c r="Q47" s="24" t="inlineStr">
        <is>
          <t>9</t>
        </is>
      </c>
    </row>
    <row r="48" ht="24" customHeight="1">
      <c r="A48" s="29" t="inlineStr">
        <is>
          <t>OpenDART_fnlttSinglAcntAll</t>
        </is>
      </c>
      <c r="B48" s="29" t="inlineStr">
        <is>
          <t>00245472</t>
        </is>
      </c>
      <c r="C48" s="29" t="inlineStr">
        <is>
          <t>티씨케이</t>
        </is>
      </c>
      <c r="D48" s="29" t="inlineStr">
        <is>
          <t>tck</t>
        </is>
      </c>
      <c r="E48" s="29" t="inlineStr">
        <is>
          <t>064760</t>
        </is>
      </c>
      <c r="F48" s="29" t="inlineStr">
        <is>
          <t>2021</t>
        </is>
      </c>
      <c r="G48" s="29" t="inlineStr">
        <is>
          <t>OFS</t>
        </is>
      </c>
      <c r="H48" s="29" t="inlineStr">
        <is>
          <t>CIS</t>
        </is>
      </c>
      <c r="I48" s="29" t="inlineStr">
        <is>
          <t>포괄손익계산서</t>
        </is>
      </c>
      <c r="J48" s="29" t="inlineStr">
        <is>
          <t>ifrs-full_ProfitLossBeforeTax</t>
        </is>
      </c>
      <c r="K48" s="29" t="inlineStr">
        <is>
          <t>법인세비용차감전순이익(손실)</t>
        </is>
      </c>
      <c r="L48" s="29" t="inlineStr">
        <is>
          <t>-</t>
        </is>
      </c>
      <c r="M48" s="29" t="inlineStr">
        <is>
          <t>제 27 기</t>
        </is>
      </c>
      <c r="N48" s="29" t="inlineStr">
        <is>
          <t>106324889168.0</t>
        </is>
      </c>
      <c r="O48" s="29" t="inlineStr">
        <is>
          <t>80232997070.0</t>
        </is>
      </c>
      <c r="P48" s="29" t="inlineStr">
        <is>
          <t>KRW</t>
        </is>
      </c>
      <c r="Q48" s="29" t="inlineStr">
        <is>
          <t>10</t>
        </is>
      </c>
    </row>
    <row r="49" ht="24" customHeight="1">
      <c r="A49" s="24" t="inlineStr">
        <is>
          <t>OpenDART_fnlttSinglAcntAll</t>
        </is>
      </c>
      <c r="B49" s="24" t="inlineStr">
        <is>
          <t>00245472</t>
        </is>
      </c>
      <c r="C49" s="24" t="inlineStr">
        <is>
          <t>티씨케이</t>
        </is>
      </c>
      <c r="D49" s="24" t="inlineStr">
        <is>
          <t>tck</t>
        </is>
      </c>
      <c r="E49" s="24" t="inlineStr">
        <is>
          <t>064760</t>
        </is>
      </c>
      <c r="F49" s="24" t="inlineStr">
        <is>
          <t>2021</t>
        </is>
      </c>
      <c r="G49" s="24" t="inlineStr">
        <is>
          <t>OFS</t>
        </is>
      </c>
      <c r="H49" s="24" t="inlineStr">
        <is>
          <t>CIS</t>
        </is>
      </c>
      <c r="I49" s="24" t="inlineStr">
        <is>
          <t>포괄손익계산서</t>
        </is>
      </c>
      <c r="J49" s="24" t="inlineStr">
        <is>
          <t>ifrs-full_IncomeTaxExpenseContinuingOperations</t>
        </is>
      </c>
      <c r="K49" s="24" t="inlineStr">
        <is>
          <t>법인세비용</t>
        </is>
      </c>
      <c r="L49" s="24" t="inlineStr">
        <is>
          <t>-</t>
        </is>
      </c>
      <c r="M49" s="24" t="inlineStr">
        <is>
          <t>제 27 기</t>
        </is>
      </c>
      <c r="N49" s="24" t="inlineStr">
        <is>
          <t>24434261114.0</t>
        </is>
      </c>
      <c r="O49" s="24" t="inlineStr">
        <is>
          <t>19719107217.0</t>
        </is>
      </c>
      <c r="P49" s="24" t="inlineStr">
        <is>
          <t>KRW</t>
        </is>
      </c>
      <c r="Q49" s="24" t="inlineStr">
        <is>
          <t>11</t>
        </is>
      </c>
    </row>
    <row r="50" ht="24" customHeight="1">
      <c r="A50" s="29" t="inlineStr">
        <is>
          <t>OpenDART_fnlttSinglAcntAll</t>
        </is>
      </c>
      <c r="B50" s="29" t="inlineStr">
        <is>
          <t>00245472</t>
        </is>
      </c>
      <c r="C50" s="29" t="inlineStr">
        <is>
          <t>티씨케이</t>
        </is>
      </c>
      <c r="D50" s="29" t="inlineStr">
        <is>
          <t>tck</t>
        </is>
      </c>
      <c r="E50" s="29" t="inlineStr">
        <is>
          <t>064760</t>
        </is>
      </c>
      <c r="F50" s="29" t="inlineStr">
        <is>
          <t>2021</t>
        </is>
      </c>
      <c r="G50" s="29" t="inlineStr">
        <is>
          <t>OFS</t>
        </is>
      </c>
      <c r="H50" s="29" t="inlineStr">
        <is>
          <t>CIS</t>
        </is>
      </c>
      <c r="I50" s="29" t="inlineStr">
        <is>
          <t>포괄손익계산서</t>
        </is>
      </c>
      <c r="J50" s="29" t="inlineStr">
        <is>
          <t>ifrs-full_ProfitLoss</t>
        </is>
      </c>
      <c r="K50" s="29" t="inlineStr">
        <is>
          <t>당기순이익(손실)</t>
        </is>
      </c>
      <c r="L50" s="29" t="inlineStr">
        <is>
          <t>-</t>
        </is>
      </c>
      <c r="M50" s="29" t="inlineStr">
        <is>
          <t>제 27 기</t>
        </is>
      </c>
      <c r="N50" s="29" t="inlineStr">
        <is>
          <t>81890628054.0</t>
        </is>
      </c>
      <c r="O50" s="29" t="inlineStr">
        <is>
          <t>60513889853.0</t>
        </is>
      </c>
      <c r="P50" s="29" t="inlineStr">
        <is>
          <t>KRW</t>
        </is>
      </c>
      <c r="Q50" s="29" t="inlineStr">
        <is>
          <t>12</t>
        </is>
      </c>
    </row>
    <row r="51" ht="24" customHeight="1">
      <c r="A51" s="24" t="inlineStr">
        <is>
          <t>OpenDART_fnlttSinglAcntAll</t>
        </is>
      </c>
      <c r="B51" s="24" t="inlineStr">
        <is>
          <t>00245472</t>
        </is>
      </c>
      <c r="C51" s="24" t="inlineStr">
        <is>
          <t>티씨케이</t>
        </is>
      </c>
      <c r="D51" s="24" t="inlineStr">
        <is>
          <t>tck</t>
        </is>
      </c>
      <c r="E51" s="24" t="inlineStr">
        <is>
          <t>064760</t>
        </is>
      </c>
      <c r="F51" s="24" t="inlineStr">
        <is>
          <t>2021</t>
        </is>
      </c>
      <c r="G51" s="24" t="inlineStr">
        <is>
          <t>OFS</t>
        </is>
      </c>
      <c r="H51" s="24" t="inlineStr">
        <is>
          <t>CIS</t>
        </is>
      </c>
      <c r="I51" s="24" t="inlineStr">
        <is>
          <t>포괄손익계산서</t>
        </is>
      </c>
      <c r="J51" s="24" t="inlineStr">
        <is>
          <t>ifrs-full_OtherComprehensiveIncome</t>
        </is>
      </c>
      <c r="K51" s="24" t="inlineStr">
        <is>
          <t>기타포괄손익</t>
        </is>
      </c>
      <c r="L51" s="24" t="inlineStr">
        <is>
          <t>-</t>
        </is>
      </c>
      <c r="M51" s="24" t="inlineStr">
        <is>
          <t>제 27 기</t>
        </is>
      </c>
      <c r="N51" s="24" t="inlineStr">
        <is>
          <t>0.0</t>
        </is>
      </c>
      <c r="O51" s="24" t="inlineStr">
        <is>
          <t>0.0</t>
        </is>
      </c>
      <c r="P51" s="24" t="inlineStr">
        <is>
          <t>KRW</t>
        </is>
      </c>
      <c r="Q51" s="24" t="inlineStr">
        <is>
          <t>13</t>
        </is>
      </c>
    </row>
    <row r="52" ht="24" customHeight="1">
      <c r="A52" s="29" t="inlineStr">
        <is>
          <t>OpenDART_fnlttSinglAcntAll</t>
        </is>
      </c>
      <c r="B52" s="29" t="inlineStr">
        <is>
          <t>00245472</t>
        </is>
      </c>
      <c r="C52" s="29" t="inlineStr">
        <is>
          <t>티씨케이</t>
        </is>
      </c>
      <c r="D52" s="29" t="inlineStr">
        <is>
          <t>tck</t>
        </is>
      </c>
      <c r="E52" s="29" t="inlineStr">
        <is>
          <t>064760</t>
        </is>
      </c>
      <c r="F52" s="29" t="inlineStr">
        <is>
          <t>2021</t>
        </is>
      </c>
      <c r="G52" s="29" t="inlineStr">
        <is>
          <t>OFS</t>
        </is>
      </c>
      <c r="H52" s="29" t="inlineStr">
        <is>
          <t>CIS</t>
        </is>
      </c>
      <c r="I52" s="29" t="inlineStr">
        <is>
          <t>포괄손익계산서</t>
        </is>
      </c>
      <c r="J52" s="29" t="inlineStr">
        <is>
          <t>ifrs-full_ComprehensiveIncome</t>
        </is>
      </c>
      <c r="K52" s="29" t="inlineStr">
        <is>
          <t>총포괄손익</t>
        </is>
      </c>
      <c r="L52" s="29" t="inlineStr">
        <is>
          <t>-</t>
        </is>
      </c>
      <c r="M52" s="29" t="inlineStr">
        <is>
          <t>제 27 기</t>
        </is>
      </c>
      <c r="N52" s="29" t="inlineStr">
        <is>
          <t>81890628054.0</t>
        </is>
      </c>
      <c r="O52" s="29" t="inlineStr">
        <is>
          <t>60513889853.0</t>
        </is>
      </c>
      <c r="P52" s="29" t="inlineStr">
        <is>
          <t>KRW</t>
        </is>
      </c>
      <c r="Q52" s="29" t="inlineStr">
        <is>
          <t>14</t>
        </is>
      </c>
    </row>
    <row r="53" ht="24" customHeight="1">
      <c r="A53" s="24" t="inlineStr">
        <is>
          <t>OpenDART_fnlttSinglAcntAll</t>
        </is>
      </c>
      <c r="B53" s="24" t="inlineStr">
        <is>
          <t>00245472</t>
        </is>
      </c>
      <c r="C53" s="24" t="inlineStr">
        <is>
          <t>티씨케이</t>
        </is>
      </c>
      <c r="D53" s="24" t="inlineStr">
        <is>
          <t>tck</t>
        </is>
      </c>
      <c r="E53" s="24" t="inlineStr">
        <is>
          <t>064760</t>
        </is>
      </c>
      <c r="F53" s="24" t="inlineStr">
        <is>
          <t>2021</t>
        </is>
      </c>
      <c r="G53" s="24" t="inlineStr">
        <is>
          <t>OFS</t>
        </is>
      </c>
      <c r="H53" s="24" t="inlineStr">
        <is>
          <t>CIS</t>
        </is>
      </c>
      <c r="I53" s="24" t="inlineStr">
        <is>
          <t>포괄손익계산서</t>
        </is>
      </c>
      <c r="J53" s="24" t="inlineStr">
        <is>
          <t>ifrs-full_BasicEarningsLossPerShare</t>
        </is>
      </c>
      <c r="K53" s="24" t="inlineStr">
        <is>
          <t>기본주당이익(손실)</t>
        </is>
      </c>
      <c r="L53" s="24" t="inlineStr">
        <is>
          <t>-</t>
        </is>
      </c>
      <c r="M53" s="24" t="inlineStr">
        <is>
          <t>제 27 기</t>
        </is>
      </c>
      <c r="N53" s="24" t="inlineStr">
        <is>
          <t>7014.0</t>
        </is>
      </c>
      <c r="O53" s="24" t="inlineStr">
        <is>
          <t>5183.0</t>
        </is>
      </c>
      <c r="P53" s="24" t="inlineStr">
        <is>
          <t>KRW</t>
        </is>
      </c>
      <c r="Q53" s="24" t="inlineStr">
        <is>
          <t>16</t>
        </is>
      </c>
    </row>
    <row r="54" ht="24" customHeight="1">
      <c r="A54" s="29" t="inlineStr">
        <is>
          <t>OpenDART_fnlttSinglAcntAll</t>
        </is>
      </c>
      <c r="B54" s="29" t="inlineStr">
        <is>
          <t>00245472</t>
        </is>
      </c>
      <c r="C54" s="29" t="inlineStr">
        <is>
          <t>티씨케이</t>
        </is>
      </c>
      <c r="D54" s="29" t="inlineStr">
        <is>
          <t>tck</t>
        </is>
      </c>
      <c r="E54" s="29" t="inlineStr">
        <is>
          <t>064760</t>
        </is>
      </c>
      <c r="F54" s="29" t="inlineStr">
        <is>
          <t>2021</t>
        </is>
      </c>
      <c r="G54" s="29" t="inlineStr">
        <is>
          <t>OFS</t>
        </is>
      </c>
      <c r="H54" s="29" t="inlineStr">
        <is>
          <t>CIS</t>
        </is>
      </c>
      <c r="I54" s="29" t="inlineStr">
        <is>
          <t>포괄손익계산서</t>
        </is>
      </c>
      <c r="J54" s="29" t="inlineStr">
        <is>
          <t>ifrs-full_DilutedEarningsLossPerShare</t>
        </is>
      </c>
      <c r="K54" s="29" t="inlineStr">
        <is>
          <t>희석주당이익(손실)</t>
        </is>
      </c>
      <c r="L54" s="29" t="inlineStr">
        <is>
          <t>-</t>
        </is>
      </c>
      <c r="M54" s="29" t="inlineStr">
        <is>
          <t>제 27 기</t>
        </is>
      </c>
      <c r="N54" s="29" t="inlineStr">
        <is>
          <t>7014.0</t>
        </is>
      </c>
      <c r="O54" s="29" t="inlineStr">
        <is>
          <t>5183.0</t>
        </is>
      </c>
      <c r="P54" s="29" t="inlineStr">
        <is>
          <t>KRW</t>
        </is>
      </c>
      <c r="Q54" s="29" t="inlineStr">
        <is>
          <t>17</t>
        </is>
      </c>
    </row>
    <row r="55" ht="24" customHeight="1">
      <c r="A55" s="24" t="inlineStr">
        <is>
          <t>OpenDART_fnlttSinglAcntAll</t>
        </is>
      </c>
      <c r="B55" s="24" t="inlineStr">
        <is>
          <t>00245472</t>
        </is>
      </c>
      <c r="C55" s="24" t="inlineStr">
        <is>
          <t>티씨케이</t>
        </is>
      </c>
      <c r="D55" s="24" t="inlineStr">
        <is>
          <t>tck</t>
        </is>
      </c>
      <c r="E55" s="24" t="inlineStr">
        <is>
          <t>064760</t>
        </is>
      </c>
      <c r="F55" s="24" t="inlineStr">
        <is>
          <t>2021</t>
        </is>
      </c>
      <c r="G55" s="24" t="inlineStr">
        <is>
          <t>OFS</t>
        </is>
      </c>
      <c r="H55" s="24" t="inlineStr">
        <is>
          <t>CF</t>
        </is>
      </c>
      <c r="I55" s="24" t="inlineStr">
        <is>
          <t>현금흐름표</t>
        </is>
      </c>
      <c r="J55" s="24" t="inlineStr">
        <is>
          <t>ifrs-full_CashFlowsFromUsedInOperatingActivities</t>
        </is>
      </c>
      <c r="K55" s="24" t="inlineStr">
        <is>
          <t>영업활동현금흐름</t>
        </is>
      </c>
      <c r="L55" s="24" t="inlineStr">
        <is>
          <t>-</t>
        </is>
      </c>
      <c r="M55" s="24" t="inlineStr">
        <is>
          <t>제 27 기</t>
        </is>
      </c>
      <c r="N55" s="24" t="inlineStr">
        <is>
          <t>78650104268.0</t>
        </is>
      </c>
      <c r="O55" s="24" t="inlineStr">
        <is>
          <t>65884382110.0</t>
        </is>
      </c>
      <c r="P55" s="24" t="inlineStr">
        <is>
          <t>KRW</t>
        </is>
      </c>
      <c r="Q55" s="24" t="inlineStr">
        <is>
          <t>0</t>
        </is>
      </c>
    </row>
    <row r="56" ht="24" customHeight="1">
      <c r="A56" s="29" t="inlineStr">
        <is>
          <t>OpenDART_fnlttSinglAcntAll</t>
        </is>
      </c>
      <c r="B56" s="29" t="inlineStr">
        <is>
          <t>00245472</t>
        </is>
      </c>
      <c r="C56" s="29" t="inlineStr">
        <is>
          <t>티씨케이</t>
        </is>
      </c>
      <c r="D56" s="29" t="inlineStr">
        <is>
          <t>tck</t>
        </is>
      </c>
      <c r="E56" s="29" t="inlineStr">
        <is>
          <t>064760</t>
        </is>
      </c>
      <c r="F56" s="29" t="inlineStr">
        <is>
          <t>2021</t>
        </is>
      </c>
      <c r="G56" s="29" t="inlineStr">
        <is>
          <t>OFS</t>
        </is>
      </c>
      <c r="H56" s="29" t="inlineStr">
        <is>
          <t>CF</t>
        </is>
      </c>
      <c r="I56" s="29" t="inlineStr">
        <is>
          <t>현금흐름표</t>
        </is>
      </c>
      <c r="J56" s="29" t="inlineStr">
        <is>
          <t>dart_AdjustmentsForAssetsLiabilitiesOfOperatingActivities</t>
        </is>
      </c>
      <c r="K56" s="29" t="inlineStr">
        <is>
          <t>영업활동으로인한자산ㆍ부채의변동</t>
        </is>
      </c>
      <c r="L56" s="29" t="inlineStr">
        <is>
          <t>-</t>
        </is>
      </c>
      <c r="M56" s="29" t="inlineStr">
        <is>
          <t>제 27 기</t>
        </is>
      </c>
      <c r="N56" s="29" t="inlineStr">
        <is>
          <t>113561538958.0</t>
        </is>
      </c>
      <c r="O56" s="29" t="inlineStr">
        <is>
          <t>90191173930.0</t>
        </is>
      </c>
      <c r="P56" s="29" t="inlineStr">
        <is>
          <t>KRW</t>
        </is>
      </c>
      <c r="Q56" s="29" t="inlineStr">
        <is>
          <t>1</t>
        </is>
      </c>
    </row>
    <row r="57" ht="24" customHeight="1">
      <c r="A57" s="24" t="inlineStr">
        <is>
          <t>OpenDART_fnlttSinglAcntAll</t>
        </is>
      </c>
      <c r="B57" s="24" t="inlineStr">
        <is>
          <t>00245472</t>
        </is>
      </c>
      <c r="C57" s="24" t="inlineStr">
        <is>
          <t>티씨케이</t>
        </is>
      </c>
      <c r="D57" s="24" t="inlineStr">
        <is>
          <t>tck</t>
        </is>
      </c>
      <c r="E57" s="24" t="inlineStr">
        <is>
          <t>064760</t>
        </is>
      </c>
      <c r="F57" s="24" t="inlineStr">
        <is>
          <t>2021</t>
        </is>
      </c>
      <c r="G57" s="24" t="inlineStr">
        <is>
          <t>OFS</t>
        </is>
      </c>
      <c r="H57" s="24" t="inlineStr">
        <is>
          <t>CF</t>
        </is>
      </c>
      <c r="I57" s="24" t="inlineStr">
        <is>
          <t>현금흐름표</t>
        </is>
      </c>
      <c r="J57" s="24" t="inlineStr">
        <is>
          <t>ifrs-full_InterestReceivedClassifiedAsOperatingActivities</t>
        </is>
      </c>
      <c r="K57" s="24" t="inlineStr">
        <is>
          <t>이자수취(영업)</t>
        </is>
      </c>
      <c r="L57" s="24" t="inlineStr">
        <is>
          <t>-</t>
        </is>
      </c>
      <c r="M57" s="24" t="inlineStr">
        <is>
          <t>제 27 기</t>
        </is>
      </c>
      <c r="N57" s="24" t="inlineStr">
        <is>
          <t>1420174181.0</t>
        </is>
      </c>
      <c r="O57" s="24" t="inlineStr">
        <is>
          <t>1382499315.0</t>
        </is>
      </c>
      <c r="P57" s="24" t="inlineStr">
        <is>
          <t>KRW</t>
        </is>
      </c>
      <c r="Q57" s="24" t="inlineStr">
        <is>
          <t>2</t>
        </is>
      </c>
    </row>
    <row r="58" ht="24" customHeight="1">
      <c r="A58" s="29" t="inlineStr">
        <is>
          <t>OpenDART_fnlttSinglAcntAll</t>
        </is>
      </c>
      <c r="B58" s="29" t="inlineStr">
        <is>
          <t>00245472</t>
        </is>
      </c>
      <c r="C58" s="29" t="inlineStr">
        <is>
          <t>티씨케이</t>
        </is>
      </c>
      <c r="D58" s="29" t="inlineStr">
        <is>
          <t>tck</t>
        </is>
      </c>
      <c r="E58" s="29" t="inlineStr">
        <is>
          <t>064760</t>
        </is>
      </c>
      <c r="F58" s="29" t="inlineStr">
        <is>
          <t>2021</t>
        </is>
      </c>
      <c r="G58" s="29" t="inlineStr">
        <is>
          <t>OFS</t>
        </is>
      </c>
      <c r="H58" s="29" t="inlineStr">
        <is>
          <t>CF</t>
        </is>
      </c>
      <c r="I58" s="29" t="inlineStr">
        <is>
          <t>현금흐름표</t>
        </is>
      </c>
      <c r="J58" s="29" t="inlineStr">
        <is>
          <t>ifrs-full_InterestPaidClassifiedAsOperatingActivities</t>
        </is>
      </c>
      <c r="K58" s="29" t="inlineStr">
        <is>
          <t>이자지급(영업)</t>
        </is>
      </c>
      <c r="L58" s="29" t="inlineStr">
        <is>
          <t>-</t>
        </is>
      </c>
      <c r="M58" s="29" t="inlineStr">
        <is>
          <t>제 27 기</t>
        </is>
      </c>
      <c r="N58" s="29" t="inlineStr">
        <is>
          <t>16635921.0</t>
        </is>
      </c>
      <c r="O58" s="29" t="inlineStr">
        <is>
          <t>13584149.0</t>
        </is>
      </c>
      <c r="P58" s="29" t="inlineStr">
        <is>
          <t>KRW</t>
        </is>
      </c>
      <c r="Q58" s="29" t="inlineStr">
        <is>
          <t>3</t>
        </is>
      </c>
    </row>
    <row r="59" ht="24" customHeight="1">
      <c r="A59" s="24" t="inlineStr">
        <is>
          <t>OpenDART_fnlttSinglAcntAll</t>
        </is>
      </c>
      <c r="B59" s="24" t="inlineStr">
        <is>
          <t>00245472</t>
        </is>
      </c>
      <c r="C59" s="24" t="inlineStr">
        <is>
          <t>티씨케이</t>
        </is>
      </c>
      <c r="D59" s="24" t="inlineStr">
        <is>
          <t>tck</t>
        </is>
      </c>
      <c r="E59" s="24" t="inlineStr">
        <is>
          <t>064760</t>
        </is>
      </c>
      <c r="F59" s="24" t="inlineStr">
        <is>
          <t>2021</t>
        </is>
      </c>
      <c r="G59" s="24" t="inlineStr">
        <is>
          <t>OFS</t>
        </is>
      </c>
      <c r="H59" s="24" t="inlineStr">
        <is>
          <t>CF</t>
        </is>
      </c>
      <c r="I59" s="24" t="inlineStr">
        <is>
          <t>현금흐름표</t>
        </is>
      </c>
      <c r="J59" s="24" t="inlineStr">
        <is>
          <t>ifrs-full_DividendsReceivedClassifiedAsOperatingActivities</t>
        </is>
      </c>
      <c r="K59" s="24" t="inlineStr">
        <is>
          <t>배당금수취(영업)</t>
        </is>
      </c>
      <c r="L59" s="24" t="inlineStr">
        <is>
          <t>-</t>
        </is>
      </c>
      <c r="M59" s="24" t="inlineStr">
        <is>
          <t>제 27 기</t>
        </is>
      </c>
      <c r="N59" s="24" t="inlineStr">
        <is>
          <t>해당 없음</t>
        </is>
      </c>
      <c r="O59" s="24" t="inlineStr">
        <is>
          <t>24495934.0</t>
        </is>
      </c>
      <c r="P59" s="24" t="inlineStr">
        <is>
          <t>KRW</t>
        </is>
      </c>
      <c r="Q59" s="24" t="inlineStr">
        <is>
          <t>4</t>
        </is>
      </c>
    </row>
    <row r="60" ht="24" customHeight="1">
      <c r="A60" s="29" t="inlineStr">
        <is>
          <t>OpenDART_fnlttSinglAcntAll</t>
        </is>
      </c>
      <c r="B60" s="29" t="inlineStr">
        <is>
          <t>00245472</t>
        </is>
      </c>
      <c r="C60" s="29" t="inlineStr">
        <is>
          <t>티씨케이</t>
        </is>
      </c>
      <c r="D60" s="29" t="inlineStr">
        <is>
          <t>tck</t>
        </is>
      </c>
      <c r="E60" s="29" t="inlineStr">
        <is>
          <t>064760</t>
        </is>
      </c>
      <c r="F60" s="29" t="inlineStr">
        <is>
          <t>2021</t>
        </is>
      </c>
      <c r="G60" s="29" t="inlineStr">
        <is>
          <t>OFS</t>
        </is>
      </c>
      <c r="H60" s="29" t="inlineStr">
        <is>
          <t>CF</t>
        </is>
      </c>
      <c r="I60" s="29" t="inlineStr">
        <is>
          <t>현금흐름표</t>
        </is>
      </c>
      <c r="J60" s="29" t="inlineStr">
        <is>
          <t>ifrs-full_DividendsPaidClassifiedAsOperatingActivities</t>
        </is>
      </c>
      <c r="K60" s="29" t="inlineStr">
        <is>
          <t>배당금지급(영업)</t>
        </is>
      </c>
      <c r="L60" s="29" t="inlineStr">
        <is>
          <t>-</t>
        </is>
      </c>
      <c r="M60" s="29" t="inlineStr">
        <is>
          <t>제 27 기</t>
        </is>
      </c>
      <c r="N60" s="29" t="inlineStr">
        <is>
          <t>12842500000.0</t>
        </is>
      </c>
      <c r="O60" s="29" t="inlineStr">
        <is>
          <t>10507500000.0</t>
        </is>
      </c>
      <c r="P60" s="29" t="inlineStr">
        <is>
          <t>KRW</t>
        </is>
      </c>
      <c r="Q60" s="29" t="inlineStr">
        <is>
          <t>5</t>
        </is>
      </c>
    </row>
    <row r="61" ht="24" customHeight="1">
      <c r="A61" s="24" t="inlineStr">
        <is>
          <t>OpenDART_fnlttSinglAcntAll</t>
        </is>
      </c>
      <c r="B61" s="24" t="inlineStr">
        <is>
          <t>00245472</t>
        </is>
      </c>
      <c r="C61" s="24" t="inlineStr">
        <is>
          <t>티씨케이</t>
        </is>
      </c>
      <c r="D61" s="24" t="inlineStr">
        <is>
          <t>tck</t>
        </is>
      </c>
      <c r="E61" s="24" t="inlineStr">
        <is>
          <t>064760</t>
        </is>
      </c>
      <c r="F61" s="24" t="inlineStr">
        <is>
          <t>2021</t>
        </is>
      </c>
      <c r="G61" s="24" t="inlineStr">
        <is>
          <t>OFS</t>
        </is>
      </c>
      <c r="H61" s="24" t="inlineStr">
        <is>
          <t>CF</t>
        </is>
      </c>
      <c r="I61" s="24" t="inlineStr">
        <is>
          <t>현금흐름표</t>
        </is>
      </c>
      <c r="J61" s="24" t="inlineStr">
        <is>
          <t>ifrs-full_IncomeTaxesPaidRefundClassifiedAsOperatingActivities</t>
        </is>
      </c>
      <c r="K61" s="24" t="inlineStr">
        <is>
          <t>법인세납부(환급)</t>
        </is>
      </c>
      <c r="L61" s="24" t="inlineStr">
        <is>
          <t>-</t>
        </is>
      </c>
      <c r="M61" s="24" t="inlineStr">
        <is>
          <t>제 27 기</t>
        </is>
      </c>
      <c r="N61" s="24" t="inlineStr">
        <is>
          <t>23472472950.0</t>
        </is>
      </c>
      <c r="O61" s="24" t="inlineStr">
        <is>
          <t>15192702920.0</t>
        </is>
      </c>
      <c r="P61" s="24" t="inlineStr">
        <is>
          <t>KRW</t>
        </is>
      </c>
      <c r="Q61" s="24" t="inlineStr">
        <is>
          <t>6</t>
        </is>
      </c>
    </row>
    <row r="62" ht="24" customHeight="1">
      <c r="A62" s="29" t="inlineStr">
        <is>
          <t>OpenDART_fnlttSinglAcntAll</t>
        </is>
      </c>
      <c r="B62" s="29" t="inlineStr">
        <is>
          <t>00245472</t>
        </is>
      </c>
      <c r="C62" s="29" t="inlineStr">
        <is>
          <t>티씨케이</t>
        </is>
      </c>
      <c r="D62" s="29" t="inlineStr">
        <is>
          <t>tck</t>
        </is>
      </c>
      <c r="E62" s="29" t="inlineStr">
        <is>
          <t>064760</t>
        </is>
      </c>
      <c r="F62" s="29" t="inlineStr">
        <is>
          <t>2021</t>
        </is>
      </c>
      <c r="G62" s="29" t="inlineStr">
        <is>
          <t>OFS</t>
        </is>
      </c>
      <c r="H62" s="29" t="inlineStr">
        <is>
          <t>CF</t>
        </is>
      </c>
      <c r="I62" s="29" t="inlineStr">
        <is>
          <t>현금흐름표</t>
        </is>
      </c>
      <c r="J62" s="29" t="inlineStr">
        <is>
          <t>ifrs-full_CashFlowsFromUsedInInvestingActivities</t>
        </is>
      </c>
      <c r="K62" s="29" t="inlineStr">
        <is>
          <t>투자활동현금흐름</t>
        </is>
      </c>
      <c r="L62" s="29" t="inlineStr">
        <is>
          <t>-</t>
        </is>
      </c>
      <c r="M62" s="29" t="inlineStr">
        <is>
          <t>제 27 기</t>
        </is>
      </c>
      <c r="N62" s="29" t="inlineStr">
        <is>
          <t>-63738558950.0</t>
        </is>
      </c>
      <c r="O62" s="29" t="inlineStr">
        <is>
          <t>-53741918473.0</t>
        </is>
      </c>
      <c r="P62" s="29" t="inlineStr">
        <is>
          <t>KRW</t>
        </is>
      </c>
      <c r="Q62" s="29" t="inlineStr">
        <is>
          <t>7</t>
        </is>
      </c>
    </row>
    <row r="63" ht="24" customHeight="1">
      <c r="A63" s="24" t="inlineStr">
        <is>
          <t>OpenDART_fnlttSinglAcntAll</t>
        </is>
      </c>
      <c r="B63" s="24" t="inlineStr">
        <is>
          <t>00245472</t>
        </is>
      </c>
      <c r="C63" s="24" t="inlineStr">
        <is>
          <t>티씨케이</t>
        </is>
      </c>
      <c r="D63" s="24" t="inlineStr">
        <is>
          <t>tck</t>
        </is>
      </c>
      <c r="E63" s="24" t="inlineStr">
        <is>
          <t>064760</t>
        </is>
      </c>
      <c r="F63" s="24" t="inlineStr">
        <is>
          <t>2021</t>
        </is>
      </c>
      <c r="G63" s="24" t="inlineStr">
        <is>
          <t>OFS</t>
        </is>
      </c>
      <c r="H63" s="24" t="inlineStr">
        <is>
          <t>CF</t>
        </is>
      </c>
      <c r="I63" s="24" t="inlineStr">
        <is>
          <t>현금흐름표</t>
        </is>
      </c>
      <c r="J63" s="24" t="inlineStr">
        <is>
          <t>dart_PurchaseOfShortTermFinancialInstruments</t>
        </is>
      </c>
      <c r="K63" s="24" t="inlineStr">
        <is>
          <t>단기금융상품의 취득</t>
        </is>
      </c>
      <c r="L63" s="24" t="inlineStr">
        <is>
          <t>-</t>
        </is>
      </c>
      <c r="M63" s="24" t="inlineStr">
        <is>
          <t>제 27 기</t>
        </is>
      </c>
      <c r="N63" s="24" t="inlineStr">
        <is>
          <t>148000000000.0</t>
        </is>
      </c>
      <c r="O63" s="24" t="inlineStr">
        <is>
          <t>99137000000.0</t>
        </is>
      </c>
      <c r="P63" s="24" t="inlineStr">
        <is>
          <t>KRW</t>
        </is>
      </c>
      <c r="Q63" s="24" t="inlineStr">
        <is>
          <t>8</t>
        </is>
      </c>
    </row>
    <row r="64" ht="24" customHeight="1">
      <c r="A64" s="29" t="inlineStr">
        <is>
          <t>OpenDART_fnlttSinglAcntAll</t>
        </is>
      </c>
      <c r="B64" s="29" t="inlineStr">
        <is>
          <t>00245472</t>
        </is>
      </c>
      <c r="C64" s="29" t="inlineStr">
        <is>
          <t>티씨케이</t>
        </is>
      </c>
      <c r="D64" s="29" t="inlineStr">
        <is>
          <t>tck</t>
        </is>
      </c>
      <c r="E64" s="29" t="inlineStr">
        <is>
          <t>064760</t>
        </is>
      </c>
      <c r="F64" s="29" t="inlineStr">
        <is>
          <t>2021</t>
        </is>
      </c>
      <c r="G64" s="29" t="inlineStr">
        <is>
          <t>OFS</t>
        </is>
      </c>
      <c r="H64" s="29" t="inlineStr">
        <is>
          <t>CF</t>
        </is>
      </c>
      <c r="I64" s="29" t="inlineStr">
        <is>
          <t>현금흐름표</t>
        </is>
      </c>
      <c r="J64" s="29" t="inlineStr">
        <is>
          <t>dart_ProceedsFromSalesOfShortTermFinancialInstruments</t>
        </is>
      </c>
      <c r="K64" s="29" t="inlineStr">
        <is>
          <t>단기금융상품의 처분</t>
        </is>
      </c>
      <c r="L64" s="29" t="inlineStr">
        <is>
          <t>-</t>
        </is>
      </c>
      <c r="M64" s="29" t="inlineStr">
        <is>
          <t>제 27 기</t>
        </is>
      </c>
      <c r="N64" s="29" t="inlineStr">
        <is>
          <t>99000000000.0</t>
        </is>
      </c>
      <c r="O64" s="29" t="inlineStr">
        <is>
          <t>68000006147.0</t>
        </is>
      </c>
      <c r="P64" s="29" t="inlineStr">
        <is>
          <t>KRW</t>
        </is>
      </c>
      <c r="Q64" s="29" t="inlineStr">
        <is>
          <t>9</t>
        </is>
      </c>
    </row>
    <row r="65" ht="24" customHeight="1">
      <c r="A65" s="24" t="inlineStr">
        <is>
          <t>OpenDART_fnlttSinglAcntAll</t>
        </is>
      </c>
      <c r="B65" s="24" t="inlineStr">
        <is>
          <t>00245472</t>
        </is>
      </c>
      <c r="C65" s="24" t="inlineStr">
        <is>
          <t>티씨케이</t>
        </is>
      </c>
      <c r="D65" s="24" t="inlineStr">
        <is>
          <t>tck</t>
        </is>
      </c>
      <c r="E65" s="24" t="inlineStr">
        <is>
          <t>064760</t>
        </is>
      </c>
      <c r="F65" s="24" t="inlineStr">
        <is>
          <t>2021</t>
        </is>
      </c>
      <c r="G65" s="24" t="inlineStr">
        <is>
          <t>OFS</t>
        </is>
      </c>
      <c r="H65" s="24" t="inlineStr">
        <is>
          <t>CF</t>
        </is>
      </c>
      <c r="I65" s="24" t="inlineStr">
        <is>
          <t>현금흐름표</t>
        </is>
      </c>
      <c r="J65" s="24" t="inlineStr">
        <is>
          <t>dart_DecreaseInLoans</t>
        </is>
      </c>
      <c r="K65" s="24" t="inlineStr">
        <is>
          <t>대여금의 감소</t>
        </is>
      </c>
      <c r="L65" s="24" t="inlineStr">
        <is>
          <t>-</t>
        </is>
      </c>
      <c r="M65" s="24" t="inlineStr">
        <is>
          <t>제 27 기</t>
        </is>
      </c>
      <c r="N65" s="24" t="inlineStr">
        <is>
          <t>222996200.0</t>
        </is>
      </c>
      <c r="O65" s="24" t="inlineStr">
        <is>
          <t>201369400.0</t>
        </is>
      </c>
      <c r="P65" s="24" t="inlineStr">
        <is>
          <t>KRW</t>
        </is>
      </c>
      <c r="Q65" s="24" t="inlineStr">
        <is>
          <t>10</t>
        </is>
      </c>
    </row>
    <row r="66" ht="24" customHeight="1">
      <c r="A66" s="29" t="inlineStr">
        <is>
          <t>OpenDART_fnlttSinglAcntAll</t>
        </is>
      </c>
      <c r="B66" s="29" t="inlineStr">
        <is>
          <t>00245472</t>
        </is>
      </c>
      <c r="C66" s="29" t="inlineStr">
        <is>
          <t>티씨케이</t>
        </is>
      </c>
      <c r="D66" s="29" t="inlineStr">
        <is>
          <t>tck</t>
        </is>
      </c>
      <c r="E66" s="29" t="inlineStr">
        <is>
          <t>064760</t>
        </is>
      </c>
      <c r="F66" s="29" t="inlineStr">
        <is>
          <t>2021</t>
        </is>
      </c>
      <c r="G66" s="29" t="inlineStr">
        <is>
          <t>OFS</t>
        </is>
      </c>
      <c r="H66" s="29" t="inlineStr">
        <is>
          <t>CF</t>
        </is>
      </c>
      <c r="I66" s="29" t="inlineStr">
        <is>
          <t>현금흐름표</t>
        </is>
      </c>
      <c r="J66" s="29" t="inlineStr">
        <is>
          <t>ifrs-full_PurchaseOfPropertyPlantAndEquipmentClassifiedAsInvestingActivities</t>
        </is>
      </c>
      <c r="K66" s="29" t="inlineStr">
        <is>
          <t>유형자산의 취득</t>
        </is>
      </c>
      <c r="L66" s="29" t="inlineStr">
        <is>
          <t>-</t>
        </is>
      </c>
      <c r="M66" s="29" t="inlineStr">
        <is>
          <t>제 27 기</t>
        </is>
      </c>
      <c r="N66" s="29" t="inlineStr">
        <is>
          <t>13578370128.0</t>
        </is>
      </c>
      <c r="O66" s="29" t="inlineStr">
        <is>
          <t>22621585238.0</t>
        </is>
      </c>
      <c r="P66" s="29" t="inlineStr">
        <is>
          <t>KRW</t>
        </is>
      </c>
      <c r="Q66" s="29" t="inlineStr">
        <is>
          <t>11</t>
        </is>
      </c>
    </row>
    <row r="67" ht="24" customHeight="1">
      <c r="A67" s="24" t="inlineStr">
        <is>
          <t>OpenDART_fnlttSinglAcntAll</t>
        </is>
      </c>
      <c r="B67" s="24" t="inlineStr">
        <is>
          <t>00245472</t>
        </is>
      </c>
      <c r="C67" s="24" t="inlineStr">
        <is>
          <t>티씨케이</t>
        </is>
      </c>
      <c r="D67" s="24" t="inlineStr">
        <is>
          <t>tck</t>
        </is>
      </c>
      <c r="E67" s="24" t="inlineStr">
        <is>
          <t>064760</t>
        </is>
      </c>
      <c r="F67" s="24" t="inlineStr">
        <is>
          <t>2021</t>
        </is>
      </c>
      <c r="G67" s="24" t="inlineStr">
        <is>
          <t>OFS</t>
        </is>
      </c>
      <c r="H67" s="24" t="inlineStr">
        <is>
          <t>CF</t>
        </is>
      </c>
      <c r="I67" s="24" t="inlineStr">
        <is>
          <t>현금흐름표</t>
        </is>
      </c>
      <c r="J67" s="24" t="inlineStr">
        <is>
          <t>ifrs-full_ProceedsFromSalesOfPropertyPlantAndEquipmentClassifiedAsInvestingActivities</t>
        </is>
      </c>
      <c r="K67" s="24" t="inlineStr">
        <is>
          <t>유형자산의 처분</t>
        </is>
      </c>
      <c r="L67" s="24" t="inlineStr">
        <is>
          <t>-</t>
        </is>
      </c>
      <c r="M67" s="24" t="inlineStr">
        <is>
          <t>제 27 기</t>
        </is>
      </c>
      <c r="N67" s="24" t="inlineStr">
        <is>
          <t>31200000.0</t>
        </is>
      </c>
      <c r="O67" s="24" t="inlineStr">
        <is>
          <t>11154545.0</t>
        </is>
      </c>
      <c r="P67" s="24" t="inlineStr">
        <is>
          <t>KRW</t>
        </is>
      </c>
      <c r="Q67" s="24" t="inlineStr">
        <is>
          <t>12</t>
        </is>
      </c>
    </row>
    <row r="68" ht="24" customHeight="1">
      <c r="A68" s="29" t="inlineStr">
        <is>
          <t>OpenDART_fnlttSinglAcntAll</t>
        </is>
      </c>
      <c r="B68" s="29" t="inlineStr">
        <is>
          <t>00245472</t>
        </is>
      </c>
      <c r="C68" s="29" t="inlineStr">
        <is>
          <t>티씨케이</t>
        </is>
      </c>
      <c r="D68" s="29" t="inlineStr">
        <is>
          <t>tck</t>
        </is>
      </c>
      <c r="E68" s="29" t="inlineStr">
        <is>
          <t>064760</t>
        </is>
      </c>
      <c r="F68" s="29" t="inlineStr">
        <is>
          <t>2021</t>
        </is>
      </c>
      <c r="G68" s="29" t="inlineStr">
        <is>
          <t>OFS</t>
        </is>
      </c>
      <c r="H68" s="29" t="inlineStr">
        <is>
          <t>CF</t>
        </is>
      </c>
      <c r="I68" s="29" t="inlineStr">
        <is>
          <t>현금흐름표</t>
        </is>
      </c>
      <c r="J68" s="29" t="inlineStr">
        <is>
          <t>dart_ProceedsFromSalesOfNonCurrentAssetsOrDisposalGroupsClassifiedAsHeldForSale</t>
        </is>
      </c>
      <c r="K68" s="29" t="inlineStr">
        <is>
          <t>매각예정비유동자산의 처분</t>
        </is>
      </c>
      <c r="L68" s="29" t="inlineStr">
        <is>
          <t>-</t>
        </is>
      </c>
      <c r="M68" s="29" t="inlineStr">
        <is>
          <t>제 27 기</t>
        </is>
      </c>
      <c r="N68" s="29" t="inlineStr">
        <is>
          <t>0.0</t>
        </is>
      </c>
      <c r="O68" s="29" t="inlineStr">
        <is>
          <t>0.0</t>
        </is>
      </c>
      <c r="P68" s="29" t="inlineStr">
        <is>
          <t>KRW</t>
        </is>
      </c>
      <c r="Q68" s="29" t="inlineStr">
        <is>
          <t>13</t>
        </is>
      </c>
    </row>
    <row r="69" ht="24" customHeight="1">
      <c r="A69" s="24" t="inlineStr">
        <is>
          <t>OpenDART_fnlttSinglAcntAll</t>
        </is>
      </c>
      <c r="B69" s="24" t="inlineStr">
        <is>
          <t>00245472</t>
        </is>
      </c>
      <c r="C69" s="24" t="inlineStr">
        <is>
          <t>티씨케이</t>
        </is>
      </c>
      <c r="D69" s="24" t="inlineStr">
        <is>
          <t>tck</t>
        </is>
      </c>
      <c r="E69" s="24" t="inlineStr">
        <is>
          <t>064760</t>
        </is>
      </c>
      <c r="F69" s="24" t="inlineStr">
        <is>
          <t>2021</t>
        </is>
      </c>
      <c r="G69" s="24" t="inlineStr">
        <is>
          <t>OFS</t>
        </is>
      </c>
      <c r="H69" s="24" t="inlineStr">
        <is>
          <t>CF</t>
        </is>
      </c>
      <c r="I69" s="24" t="inlineStr">
        <is>
          <t>현금흐름표</t>
        </is>
      </c>
      <c r="J69" s="24" t="inlineStr">
        <is>
          <t>ifrs-full_PurchaseOfIntangibleAssetsClassifiedAsInvestingActivities</t>
        </is>
      </c>
      <c r="K69" s="24" t="inlineStr">
        <is>
          <t>무형자산의 취득</t>
        </is>
      </c>
      <c r="L69" s="24" t="inlineStr">
        <is>
          <t>-</t>
        </is>
      </c>
      <c r="M69" s="24" t="inlineStr">
        <is>
          <t>제 27 기</t>
        </is>
      </c>
      <c r="N69" s="24" t="inlineStr">
        <is>
          <t>572218960.0</t>
        </is>
      </c>
      <c r="O69" s="24" t="inlineStr">
        <is>
          <t>198363226.0</t>
        </is>
      </c>
      <c r="P69" s="24" t="inlineStr">
        <is>
          <t>KRW</t>
        </is>
      </c>
      <c r="Q69" s="24" t="inlineStr">
        <is>
          <t>14</t>
        </is>
      </c>
    </row>
    <row r="70" ht="24" customHeight="1">
      <c r="A70" s="29" t="inlineStr">
        <is>
          <t>OpenDART_fnlttSinglAcntAll</t>
        </is>
      </c>
      <c r="B70" s="29" t="inlineStr">
        <is>
          <t>00245472</t>
        </is>
      </c>
      <c r="C70" s="29" t="inlineStr">
        <is>
          <t>티씨케이</t>
        </is>
      </c>
      <c r="D70" s="29" t="inlineStr">
        <is>
          <t>tck</t>
        </is>
      </c>
      <c r="E70" s="29" t="inlineStr">
        <is>
          <t>064760</t>
        </is>
      </c>
      <c r="F70" s="29" t="inlineStr">
        <is>
          <t>2021</t>
        </is>
      </c>
      <c r="G70" s="29" t="inlineStr">
        <is>
          <t>OFS</t>
        </is>
      </c>
      <c r="H70" s="29" t="inlineStr">
        <is>
          <t>CF</t>
        </is>
      </c>
      <c r="I70" s="29" t="inlineStr">
        <is>
          <t>현금흐름표</t>
        </is>
      </c>
      <c r="J70" s="29" t="inlineStr">
        <is>
          <t>ifrs-full_ProceedsFromSalesOfIntangibleAssetsClassifiedAsInvestingActivities</t>
        </is>
      </c>
      <c r="K70" s="29" t="inlineStr">
        <is>
          <t>무형자산의 처분</t>
        </is>
      </c>
      <c r="L70" s="29" t="inlineStr">
        <is>
          <t>-</t>
        </is>
      </c>
      <c r="M70" s="29" t="inlineStr">
        <is>
          <t>제 27 기</t>
        </is>
      </c>
      <c r="N70" s="29" t="inlineStr">
        <is>
          <t>795454545.0</t>
        </is>
      </c>
      <c r="O70" s="29" t="inlineStr">
        <is>
          <t>해당 없음</t>
        </is>
      </c>
      <c r="P70" s="29" t="inlineStr">
        <is>
          <t>KRW</t>
        </is>
      </c>
      <c r="Q70" s="29" t="inlineStr">
        <is>
          <t>15</t>
        </is>
      </c>
    </row>
    <row r="71" ht="24" customHeight="1">
      <c r="A71" s="24" t="inlineStr">
        <is>
          <t>OpenDART_fnlttSinglAcntAll</t>
        </is>
      </c>
      <c r="B71" s="24" t="inlineStr">
        <is>
          <t>00245472</t>
        </is>
      </c>
      <c r="C71" s="24" t="inlineStr">
        <is>
          <t>티씨케이</t>
        </is>
      </c>
      <c r="D71" s="24" t="inlineStr">
        <is>
          <t>tck</t>
        </is>
      </c>
      <c r="E71" s="24" t="inlineStr">
        <is>
          <t>064760</t>
        </is>
      </c>
      <c r="F71" s="24" t="inlineStr">
        <is>
          <t>2021</t>
        </is>
      </c>
      <c r="G71" s="24" t="inlineStr">
        <is>
          <t>OFS</t>
        </is>
      </c>
      <c r="H71" s="24" t="inlineStr">
        <is>
          <t>CF</t>
        </is>
      </c>
      <c r="I71" s="24" t="inlineStr">
        <is>
          <t>현금흐름표</t>
        </is>
      </c>
      <c r="J71" s="24" t="inlineStr">
        <is>
          <t>dart_ProceedsFromSalesOfLongTermLoansAndReceivables</t>
        </is>
      </c>
      <c r="K71" s="24" t="inlineStr">
        <is>
          <t>장기대여금의 감</t>
        </is>
      </c>
      <c r="L71" s="24" t="inlineStr">
        <is>
          <t>-</t>
        </is>
      </c>
      <c r="M71" s="24" t="inlineStr">
        <is>
          <t>제 27 기</t>
        </is>
      </c>
      <c r="N71" s="24" t="inlineStr">
        <is>
          <t>32284670.0</t>
        </is>
      </c>
      <c r="O71" s="24" t="inlineStr">
        <is>
          <t>77637260.0</t>
        </is>
      </c>
      <c r="P71" s="24" t="inlineStr">
        <is>
          <t>KRW</t>
        </is>
      </c>
      <c r="Q71" s="24" t="inlineStr">
        <is>
          <t>16</t>
        </is>
      </c>
    </row>
    <row r="72" ht="24" customHeight="1">
      <c r="A72" s="29" t="inlineStr">
        <is>
          <t>OpenDART_fnlttSinglAcntAll</t>
        </is>
      </c>
      <c r="B72" s="29" t="inlineStr">
        <is>
          <t>00245472</t>
        </is>
      </c>
      <c r="C72" s="29" t="inlineStr">
        <is>
          <t>티씨케이</t>
        </is>
      </c>
      <c r="D72" s="29" t="inlineStr">
        <is>
          <t>tck</t>
        </is>
      </c>
      <c r="E72" s="29" t="inlineStr">
        <is>
          <t>064760</t>
        </is>
      </c>
      <c r="F72" s="29" t="inlineStr">
        <is>
          <t>2021</t>
        </is>
      </c>
      <c r="G72" s="29" t="inlineStr">
        <is>
          <t>OFS</t>
        </is>
      </c>
      <c r="H72" s="29" t="inlineStr">
        <is>
          <t>CF</t>
        </is>
      </c>
      <c r="I72" s="29" t="inlineStr">
        <is>
          <t>현금흐름표</t>
        </is>
      </c>
      <c r="J72" s="29" t="inlineStr">
        <is>
          <t>dart_PurchaseOfLongTermLoansAndReceivables</t>
        </is>
      </c>
      <c r="K72" s="29" t="inlineStr">
        <is>
          <t>장기대여금의 증</t>
        </is>
      </c>
      <c r="L72" s="29" t="inlineStr">
        <is>
          <t>-</t>
        </is>
      </c>
      <c r="M72" s="29" t="inlineStr">
        <is>
          <t>제 27 기</t>
        </is>
      </c>
      <c r="N72" s="29" t="inlineStr">
        <is>
          <t>323000000.0</t>
        </is>
      </c>
      <c r="O72" s="29" t="inlineStr">
        <is>
          <t>223000000.0</t>
        </is>
      </c>
      <c r="P72" s="29" t="inlineStr">
        <is>
          <t>KRW</t>
        </is>
      </c>
      <c r="Q72" s="29" t="inlineStr">
        <is>
          <t>17</t>
        </is>
      </c>
    </row>
    <row r="73" ht="24" customHeight="1">
      <c r="A73" s="24" t="inlineStr">
        <is>
          <t>OpenDART_fnlttSinglAcntAll</t>
        </is>
      </c>
      <c r="B73" s="24" t="inlineStr">
        <is>
          <t>00245472</t>
        </is>
      </c>
      <c r="C73" s="24" t="inlineStr">
        <is>
          <t>티씨케이</t>
        </is>
      </c>
      <c r="D73" s="24" t="inlineStr">
        <is>
          <t>tck</t>
        </is>
      </c>
      <c r="E73" s="24" t="inlineStr">
        <is>
          <t>064760</t>
        </is>
      </c>
      <c r="F73" s="24" t="inlineStr">
        <is>
          <t>2021</t>
        </is>
      </c>
      <c r="G73" s="24" t="inlineStr">
        <is>
          <t>OFS</t>
        </is>
      </c>
      <c r="H73" s="24" t="inlineStr">
        <is>
          <t>CF</t>
        </is>
      </c>
      <c r="I73" s="24" t="inlineStr">
        <is>
          <t>현금흐름표</t>
        </is>
      </c>
      <c r="J73" s="24" t="inlineStr">
        <is>
          <t>dart_DecreaseInGuaranteeDeposits</t>
        </is>
      </c>
      <c r="K73" s="24" t="inlineStr">
        <is>
          <t>임차보증금의 감소</t>
        </is>
      </c>
      <c r="L73" s="24" t="inlineStr">
        <is>
          <t>-</t>
        </is>
      </c>
      <c r="M73" s="24" t="inlineStr">
        <is>
          <t>제 27 기</t>
        </is>
      </c>
      <c r="N73" s="24" t="inlineStr">
        <is>
          <t>378720000.0</t>
        </is>
      </c>
      <c r="O73" s="24" t="inlineStr">
        <is>
          <t>1111960000.0</t>
        </is>
      </c>
      <c r="P73" s="24" t="inlineStr">
        <is>
          <t>KRW</t>
        </is>
      </c>
      <c r="Q73" s="24" t="inlineStr">
        <is>
          <t>18</t>
        </is>
      </c>
    </row>
    <row r="74" ht="24" customHeight="1">
      <c r="A74" s="29" t="inlineStr">
        <is>
          <t>OpenDART_fnlttSinglAcntAll</t>
        </is>
      </c>
      <c r="B74" s="29" t="inlineStr">
        <is>
          <t>00245472</t>
        </is>
      </c>
      <c r="C74" s="29" t="inlineStr">
        <is>
          <t>티씨케이</t>
        </is>
      </c>
      <c r="D74" s="29" t="inlineStr">
        <is>
          <t>tck</t>
        </is>
      </c>
      <c r="E74" s="29" t="inlineStr">
        <is>
          <t>064760</t>
        </is>
      </c>
      <c r="F74" s="29" t="inlineStr">
        <is>
          <t>2021</t>
        </is>
      </c>
      <c r="G74" s="29" t="inlineStr">
        <is>
          <t>OFS</t>
        </is>
      </c>
      <c r="H74" s="29" t="inlineStr">
        <is>
          <t>CF</t>
        </is>
      </c>
      <c r="I74" s="29" t="inlineStr">
        <is>
          <t>현금흐름표</t>
        </is>
      </c>
      <c r="J74" s="29" t="inlineStr">
        <is>
          <t>dart_IncreaseInGuaranteeDeposits</t>
        </is>
      </c>
      <c r="K74" s="29" t="inlineStr">
        <is>
          <t>임차보증금의 증가</t>
        </is>
      </c>
      <c r="L74" s="29" t="inlineStr">
        <is>
          <t>-</t>
        </is>
      </c>
      <c r="M74" s="29" t="inlineStr">
        <is>
          <t>제 27 기</t>
        </is>
      </c>
      <c r="N74" s="29" t="inlineStr">
        <is>
          <t>834102000.0</t>
        </is>
      </c>
      <c r="O74" s="29" t="inlineStr">
        <is>
          <t>1606406000.0</t>
        </is>
      </c>
      <c r="P74" s="29" t="inlineStr">
        <is>
          <t>KRW</t>
        </is>
      </c>
      <c r="Q74" s="29" t="inlineStr">
        <is>
          <t>19</t>
        </is>
      </c>
    </row>
    <row r="75" ht="24" customHeight="1">
      <c r="A75" s="24" t="inlineStr">
        <is>
          <t>OpenDART_fnlttSinglAcntAll</t>
        </is>
      </c>
      <c r="B75" s="24" t="inlineStr">
        <is>
          <t>00245472</t>
        </is>
      </c>
      <c r="C75" s="24" t="inlineStr">
        <is>
          <t>티씨케이</t>
        </is>
      </c>
      <c r="D75" s="24" t="inlineStr">
        <is>
          <t>tck</t>
        </is>
      </c>
      <c r="E75" s="24" t="inlineStr">
        <is>
          <t>064760</t>
        </is>
      </c>
      <c r="F75" s="24" t="inlineStr">
        <is>
          <t>2021</t>
        </is>
      </c>
      <c r="G75" s="24" t="inlineStr">
        <is>
          <t>OFS</t>
        </is>
      </c>
      <c r="H75" s="24" t="inlineStr">
        <is>
          <t>CF</t>
        </is>
      </c>
      <c r="I75" s="24" t="inlineStr">
        <is>
          <t>현금흐름표</t>
        </is>
      </c>
      <c r="J75" s="24" t="inlineStr">
        <is>
          <t>-표준계정코드 미사용-</t>
        </is>
      </c>
      <c r="K75" s="24" t="inlineStr">
        <is>
          <t>파생상품부채의 감소</t>
        </is>
      </c>
      <c r="L75" s="24" t="inlineStr">
        <is>
          <t>-</t>
        </is>
      </c>
      <c r="M75" s="24" t="inlineStr">
        <is>
          <t>제 27 기</t>
        </is>
      </c>
      <c r="N75" s="24" t="inlineStr">
        <is>
          <t>-1271583709.0</t>
        </is>
      </c>
      <c r="O75" s="24" t="inlineStr">
        <is>
          <t>-355724060.0</t>
        </is>
      </c>
      <c r="P75" s="24" t="inlineStr">
        <is>
          <t>KRW</t>
        </is>
      </c>
      <c r="Q75" s="24" t="inlineStr">
        <is>
          <t>20</t>
        </is>
      </c>
    </row>
    <row r="76" ht="24" customHeight="1">
      <c r="A76" s="29" t="inlineStr">
        <is>
          <t>OpenDART_fnlttSinglAcntAll</t>
        </is>
      </c>
      <c r="B76" s="29" t="inlineStr">
        <is>
          <t>00245472</t>
        </is>
      </c>
      <c r="C76" s="29" t="inlineStr">
        <is>
          <t>티씨케이</t>
        </is>
      </c>
      <c r="D76" s="29" t="inlineStr">
        <is>
          <t>tck</t>
        </is>
      </c>
      <c r="E76" s="29" t="inlineStr">
        <is>
          <t>064760</t>
        </is>
      </c>
      <c r="F76" s="29" t="inlineStr">
        <is>
          <t>2021</t>
        </is>
      </c>
      <c r="G76" s="29" t="inlineStr">
        <is>
          <t>OFS</t>
        </is>
      </c>
      <c r="H76" s="29" t="inlineStr">
        <is>
          <t>CF</t>
        </is>
      </c>
      <c r="I76" s="29" t="inlineStr">
        <is>
          <t>현금흐름표</t>
        </is>
      </c>
      <c r="J76" s="29" t="inlineStr">
        <is>
          <t>-표준계정코드 미사용-</t>
        </is>
      </c>
      <c r="K76" s="29" t="inlineStr">
        <is>
          <t>파생상품자산의 감소</t>
        </is>
      </c>
      <c r="L76" s="29" t="inlineStr">
        <is>
          <t>-</t>
        </is>
      </c>
      <c r="M76" s="29" t="inlineStr">
        <is>
          <t>제 27 기</t>
        </is>
      </c>
      <c r="N76" s="29" t="inlineStr">
        <is>
          <t>380060432.0</t>
        </is>
      </c>
      <c r="O76" s="29" t="inlineStr">
        <is>
          <t>998032699.0</t>
        </is>
      </c>
      <c r="P76" s="29" t="inlineStr">
        <is>
          <t>KRW</t>
        </is>
      </c>
      <c r="Q76" s="29" t="inlineStr">
        <is>
          <t>21</t>
        </is>
      </c>
    </row>
    <row r="77" ht="24" customHeight="1">
      <c r="A77" s="24" t="inlineStr">
        <is>
          <t>OpenDART_fnlttSinglAcntAll</t>
        </is>
      </c>
      <c r="B77" s="24" t="inlineStr">
        <is>
          <t>00245472</t>
        </is>
      </c>
      <c r="C77" s="24" t="inlineStr">
        <is>
          <t>티씨케이</t>
        </is>
      </c>
      <c r="D77" s="24" t="inlineStr">
        <is>
          <t>tck</t>
        </is>
      </c>
      <c r="E77" s="24" t="inlineStr">
        <is>
          <t>064760</t>
        </is>
      </c>
      <c r="F77" s="24" t="inlineStr">
        <is>
          <t>2021</t>
        </is>
      </c>
      <c r="G77" s="24" t="inlineStr">
        <is>
          <t>OFS</t>
        </is>
      </c>
      <c r="H77" s="24" t="inlineStr">
        <is>
          <t>CF</t>
        </is>
      </c>
      <c r="I77" s="24" t="inlineStr">
        <is>
          <t>현금흐름표</t>
        </is>
      </c>
      <c r="J77" s="24" t="inlineStr">
        <is>
          <t>ifrs-full_CashFlowsFromUsedInFinancingActivities</t>
        </is>
      </c>
      <c r="K77" s="24" t="inlineStr">
        <is>
          <t>재무활동현금흐름</t>
        </is>
      </c>
      <c r="L77" s="24" t="inlineStr">
        <is>
          <t>-</t>
        </is>
      </c>
      <c r="M77" s="24" t="inlineStr">
        <is>
          <t>제 27 기</t>
        </is>
      </c>
      <c r="N77" s="24" t="inlineStr">
        <is>
          <t>-298710033.0</t>
        </is>
      </c>
      <c r="O77" s="24" t="inlineStr">
        <is>
          <t>-250927931.0</t>
        </is>
      </c>
      <c r="P77" s="24" t="inlineStr">
        <is>
          <t>KRW</t>
        </is>
      </c>
      <c r="Q77" s="24" t="inlineStr">
        <is>
          <t>22</t>
        </is>
      </c>
    </row>
    <row r="78" ht="24" customHeight="1">
      <c r="A78" s="29" t="inlineStr">
        <is>
          <t>OpenDART_fnlttSinglAcntAll</t>
        </is>
      </c>
      <c r="B78" s="29" t="inlineStr">
        <is>
          <t>00245472</t>
        </is>
      </c>
      <c r="C78" s="29" t="inlineStr">
        <is>
          <t>티씨케이</t>
        </is>
      </c>
      <c r="D78" s="29" t="inlineStr">
        <is>
          <t>tck</t>
        </is>
      </c>
      <c r="E78" s="29" t="inlineStr">
        <is>
          <t>064760</t>
        </is>
      </c>
      <c r="F78" s="29" t="inlineStr">
        <is>
          <t>2021</t>
        </is>
      </c>
      <c r="G78" s="29" t="inlineStr">
        <is>
          <t>OFS</t>
        </is>
      </c>
      <c r="H78" s="29" t="inlineStr">
        <is>
          <t>CF</t>
        </is>
      </c>
      <c r="I78" s="29" t="inlineStr">
        <is>
          <t>현금흐름표</t>
        </is>
      </c>
      <c r="J78" s="29" t="inlineStr">
        <is>
          <t>ifrs-full_ProceedsFromGovernmentGrantsClassifiedAsFinancingActivities</t>
        </is>
      </c>
      <c r="K78" s="29" t="inlineStr">
        <is>
          <t>정부보조금의 수취</t>
        </is>
      </c>
      <c r="L78" s="29" t="inlineStr">
        <is>
          <t>-</t>
        </is>
      </c>
      <c r="M78" s="29" t="inlineStr">
        <is>
          <t>제 27 기</t>
        </is>
      </c>
      <c r="N78" s="29" t="inlineStr">
        <is>
          <t>0.0</t>
        </is>
      </c>
      <c r="O78" s="29" t="inlineStr">
        <is>
          <t>0.0</t>
        </is>
      </c>
      <c r="P78" s="29" t="inlineStr">
        <is>
          <t>KRW</t>
        </is>
      </c>
      <c r="Q78" s="29" t="inlineStr">
        <is>
          <t>23</t>
        </is>
      </c>
    </row>
    <row r="79" ht="24" customHeight="1">
      <c r="A79" s="24" t="inlineStr">
        <is>
          <t>OpenDART_fnlttSinglAcntAll</t>
        </is>
      </c>
      <c r="B79" s="24" t="inlineStr">
        <is>
          <t>00245472</t>
        </is>
      </c>
      <c r="C79" s="24" t="inlineStr">
        <is>
          <t>티씨케이</t>
        </is>
      </c>
      <c r="D79" s="24" t="inlineStr">
        <is>
          <t>tck</t>
        </is>
      </c>
      <c r="E79" s="24" t="inlineStr">
        <is>
          <t>064760</t>
        </is>
      </c>
      <c r="F79" s="24" t="inlineStr">
        <is>
          <t>2021</t>
        </is>
      </c>
      <c r="G79" s="24" t="inlineStr">
        <is>
          <t>OFS</t>
        </is>
      </c>
      <c r="H79" s="24" t="inlineStr">
        <is>
          <t>CF</t>
        </is>
      </c>
      <c r="I79" s="24" t="inlineStr">
        <is>
          <t>현금흐름표</t>
        </is>
      </c>
      <c r="J79" s="24" t="inlineStr">
        <is>
          <t>dart_RepaymentForGovernmentGrantsClassifiedAsFinancingActivities</t>
        </is>
      </c>
      <c r="K79" s="24" t="inlineStr">
        <is>
          <t>정부보조금의 상환</t>
        </is>
      </c>
      <c r="L79" s="24" t="inlineStr">
        <is>
          <t>-</t>
        </is>
      </c>
      <c r="M79" s="24" t="inlineStr">
        <is>
          <t>제 27 기</t>
        </is>
      </c>
      <c r="N79" s="24" t="inlineStr">
        <is>
          <t>해당 없음</t>
        </is>
      </c>
      <c r="O79" s="24" t="inlineStr">
        <is>
          <t>21975749.0</t>
        </is>
      </c>
      <c r="P79" s="24" t="inlineStr">
        <is>
          <t>KRW</t>
        </is>
      </c>
      <c r="Q79" s="24" t="inlineStr">
        <is>
          <t>24</t>
        </is>
      </c>
    </row>
    <row r="80" ht="24" customHeight="1">
      <c r="A80" s="29" t="inlineStr">
        <is>
          <t>OpenDART_fnlttSinglAcntAll</t>
        </is>
      </c>
      <c r="B80" s="29" t="inlineStr">
        <is>
          <t>00245472</t>
        </is>
      </c>
      <c r="C80" s="29" t="inlineStr">
        <is>
          <t>티씨케이</t>
        </is>
      </c>
      <c r="D80" s="29" t="inlineStr">
        <is>
          <t>tck</t>
        </is>
      </c>
      <c r="E80" s="29" t="inlineStr">
        <is>
          <t>064760</t>
        </is>
      </c>
      <c r="F80" s="29" t="inlineStr">
        <is>
          <t>2021</t>
        </is>
      </c>
      <c r="G80" s="29" t="inlineStr">
        <is>
          <t>OFS</t>
        </is>
      </c>
      <c r="H80" s="29" t="inlineStr">
        <is>
          <t>CF</t>
        </is>
      </c>
      <c r="I80" s="29" t="inlineStr">
        <is>
          <t>현금흐름표</t>
        </is>
      </c>
      <c r="J80" s="29" t="inlineStr">
        <is>
          <t>-표준계정코드 미사용-</t>
        </is>
      </c>
      <c r="K80" s="29" t="inlineStr">
        <is>
          <t>리스부채의상환</t>
        </is>
      </c>
      <c r="L80" s="29" t="inlineStr">
        <is>
          <t>-</t>
        </is>
      </c>
      <c r="M80" s="29" t="inlineStr">
        <is>
          <t>제 27 기</t>
        </is>
      </c>
      <c r="N80" s="29" t="inlineStr">
        <is>
          <t>-298710033.0</t>
        </is>
      </c>
      <c r="O80" s="29" t="inlineStr">
        <is>
          <t>-228952182.0</t>
        </is>
      </c>
      <c r="P80" s="29" t="inlineStr">
        <is>
          <t>KRW</t>
        </is>
      </c>
      <c r="Q80" s="29" t="inlineStr">
        <is>
          <t>25</t>
        </is>
      </c>
    </row>
    <row r="81" ht="24" customHeight="1">
      <c r="A81" s="24" t="inlineStr">
        <is>
          <t>OpenDART_fnlttSinglAcntAll</t>
        </is>
      </c>
      <c r="B81" s="24" t="inlineStr">
        <is>
          <t>00245472</t>
        </is>
      </c>
      <c r="C81" s="24" t="inlineStr">
        <is>
          <t>티씨케이</t>
        </is>
      </c>
      <c r="D81" s="24" t="inlineStr">
        <is>
          <t>tck</t>
        </is>
      </c>
      <c r="E81" s="24" t="inlineStr">
        <is>
          <t>064760</t>
        </is>
      </c>
      <c r="F81" s="24" t="inlineStr">
        <is>
          <t>2021</t>
        </is>
      </c>
      <c r="G81" s="24" t="inlineStr">
        <is>
          <t>OFS</t>
        </is>
      </c>
      <c r="H81" s="24" t="inlineStr">
        <is>
          <t>CF</t>
        </is>
      </c>
      <c r="I81" s="24" t="inlineStr">
        <is>
          <t>현금흐름표</t>
        </is>
      </c>
      <c r="J81" s="24" t="inlineStr">
        <is>
          <t>ifrs-full_IncreaseDecreaseInCashAndCashEquivalentsBeforeEffectOfExchangeRateChanges</t>
        </is>
      </c>
      <c r="K81" s="24" t="inlineStr">
        <is>
          <t>환율변동효과 반영전 현금및현금성자산의 순증가(감소)</t>
        </is>
      </c>
      <c r="L81" s="24" t="inlineStr">
        <is>
          <t>-</t>
        </is>
      </c>
      <c r="M81" s="24" t="inlineStr">
        <is>
          <t>제 27 기</t>
        </is>
      </c>
      <c r="N81" s="24" t="inlineStr">
        <is>
          <t>14612835285.0</t>
        </is>
      </c>
      <c r="O81" s="24" t="inlineStr">
        <is>
          <t>11891535706.0</t>
        </is>
      </c>
      <c r="P81" s="24" t="inlineStr">
        <is>
          <t>KRW</t>
        </is>
      </c>
      <c r="Q81" s="24" t="inlineStr">
        <is>
          <t>26</t>
        </is>
      </c>
    </row>
    <row r="82" ht="24" customHeight="1">
      <c r="A82" s="29" t="inlineStr">
        <is>
          <t>OpenDART_fnlttSinglAcntAll</t>
        </is>
      </c>
      <c r="B82" s="29" t="inlineStr">
        <is>
          <t>00245472</t>
        </is>
      </c>
      <c r="C82" s="29" t="inlineStr">
        <is>
          <t>티씨케이</t>
        </is>
      </c>
      <c r="D82" s="29" t="inlineStr">
        <is>
          <t>tck</t>
        </is>
      </c>
      <c r="E82" s="29" t="inlineStr">
        <is>
          <t>064760</t>
        </is>
      </c>
      <c r="F82" s="29" t="inlineStr">
        <is>
          <t>2021</t>
        </is>
      </c>
      <c r="G82" s="29" t="inlineStr">
        <is>
          <t>OFS</t>
        </is>
      </c>
      <c r="H82" s="29" t="inlineStr">
        <is>
          <t>CF</t>
        </is>
      </c>
      <c r="I82" s="29" t="inlineStr">
        <is>
          <t>현금흐름표</t>
        </is>
      </c>
      <c r="J82" s="29" t="inlineStr">
        <is>
          <t>dart_CashAndCashEquivalentsAtBeginningOfPeriodCf</t>
        </is>
      </c>
      <c r="K82" s="29" t="inlineStr">
        <is>
          <t>기초현금및현금성자산</t>
        </is>
      </c>
      <c r="L82" s="29" t="inlineStr">
        <is>
          <t>-</t>
        </is>
      </c>
      <c r="M82" s="29" t="inlineStr">
        <is>
          <t>제 27 기</t>
        </is>
      </c>
      <c r="N82" s="29" t="inlineStr">
        <is>
          <t>39102305547.0</t>
        </is>
      </c>
      <c r="O82" s="29" t="inlineStr">
        <is>
          <t>27712422570.0</t>
        </is>
      </c>
      <c r="P82" s="29" t="inlineStr">
        <is>
          <t>KRW</t>
        </is>
      </c>
      <c r="Q82" s="29" t="inlineStr">
        <is>
          <t>27</t>
        </is>
      </c>
    </row>
    <row r="83" ht="24" customHeight="1">
      <c r="A83" s="24" t="inlineStr">
        <is>
          <t>OpenDART_fnlttSinglAcntAll</t>
        </is>
      </c>
      <c r="B83" s="24" t="inlineStr">
        <is>
          <t>00245472</t>
        </is>
      </c>
      <c r="C83" s="24" t="inlineStr">
        <is>
          <t>티씨케이</t>
        </is>
      </c>
      <c r="D83" s="24" t="inlineStr">
        <is>
          <t>tck</t>
        </is>
      </c>
      <c r="E83" s="24" t="inlineStr">
        <is>
          <t>064760</t>
        </is>
      </c>
      <c r="F83" s="24" t="inlineStr">
        <is>
          <t>2021</t>
        </is>
      </c>
      <c r="G83" s="24" t="inlineStr">
        <is>
          <t>OFS</t>
        </is>
      </c>
      <c r="H83" s="24" t="inlineStr">
        <is>
          <t>CF</t>
        </is>
      </c>
      <c r="I83" s="24" t="inlineStr">
        <is>
          <t>현금흐름표</t>
        </is>
      </c>
      <c r="J83" s="24" t="inlineStr">
        <is>
          <t>ifrs-full_EffectOfExchangeRateChangesOnCashAndCashEquivalents</t>
        </is>
      </c>
      <c r="K83" s="24" t="inlineStr">
        <is>
          <t>현금및현금성자산에 대한 환율변동효과</t>
        </is>
      </c>
      <c r="L83" s="24" t="inlineStr">
        <is>
          <t>-</t>
        </is>
      </c>
      <c r="M83" s="24" t="inlineStr">
        <is>
          <t>제 27 기</t>
        </is>
      </c>
      <c r="N83" s="24" t="inlineStr">
        <is>
          <t>3391566.0</t>
        </is>
      </c>
      <c r="O83" s="24" t="inlineStr">
        <is>
          <t>-501652729.0</t>
        </is>
      </c>
      <c r="P83" s="24" t="inlineStr">
        <is>
          <t>KRW</t>
        </is>
      </c>
      <c r="Q83" s="24" t="inlineStr">
        <is>
          <t>28</t>
        </is>
      </c>
    </row>
    <row r="84" ht="24" customHeight="1">
      <c r="A84" s="29" t="inlineStr">
        <is>
          <t>OpenDART_fnlttSinglAcntAll</t>
        </is>
      </c>
      <c r="B84" s="29" t="inlineStr">
        <is>
          <t>00245472</t>
        </is>
      </c>
      <c r="C84" s="29" t="inlineStr">
        <is>
          <t>티씨케이</t>
        </is>
      </c>
      <c r="D84" s="29" t="inlineStr">
        <is>
          <t>tck</t>
        </is>
      </c>
      <c r="E84" s="29" t="inlineStr">
        <is>
          <t>064760</t>
        </is>
      </c>
      <c r="F84" s="29" t="inlineStr">
        <is>
          <t>2021</t>
        </is>
      </c>
      <c r="G84" s="29" t="inlineStr">
        <is>
          <t>OFS</t>
        </is>
      </c>
      <c r="H84" s="29" t="inlineStr">
        <is>
          <t>CF</t>
        </is>
      </c>
      <c r="I84" s="29" t="inlineStr">
        <is>
          <t>현금흐름표</t>
        </is>
      </c>
      <c r="J84" s="29" t="inlineStr">
        <is>
          <t>dart_CashAndCashEquivalentsAtEndOfPeriodCf</t>
        </is>
      </c>
      <c r="K84" s="29" t="inlineStr">
        <is>
          <t>기말현금및현금성자산</t>
        </is>
      </c>
      <c r="L84" s="29" t="inlineStr">
        <is>
          <t>-</t>
        </is>
      </c>
      <c r="M84" s="29" t="inlineStr">
        <is>
          <t>제 27 기</t>
        </is>
      </c>
      <c r="N84" s="29" t="inlineStr">
        <is>
          <t>53718532398.0</t>
        </is>
      </c>
      <c r="O84" s="29" t="inlineStr">
        <is>
          <t>39102305547.0</t>
        </is>
      </c>
      <c r="P84" s="29" t="inlineStr">
        <is>
          <t>KRW</t>
        </is>
      </c>
      <c r="Q84" s="29" t="inlineStr">
        <is>
          <t>29</t>
        </is>
      </c>
    </row>
    <row r="85" ht="24" customHeight="1">
      <c r="A85" s="24" t="inlineStr">
        <is>
          <t>OpenDART_fnlttSinglAcntAll</t>
        </is>
      </c>
      <c r="B85" s="24" t="inlineStr">
        <is>
          <t>00245472</t>
        </is>
      </c>
      <c r="C85" s="24" t="inlineStr">
        <is>
          <t>티씨케이</t>
        </is>
      </c>
      <c r="D85" s="24" t="inlineStr">
        <is>
          <t>tck</t>
        </is>
      </c>
      <c r="E85" s="24" t="inlineStr">
        <is>
          <t>064760</t>
        </is>
      </c>
      <c r="F85" s="24" t="inlineStr">
        <is>
          <t>2021</t>
        </is>
      </c>
      <c r="G85" s="24" t="inlineStr">
        <is>
          <t>OFS</t>
        </is>
      </c>
      <c r="H85" s="24" t="inlineStr">
        <is>
          <t>SCE</t>
        </is>
      </c>
      <c r="I85" s="24" t="inlineStr">
        <is>
          <t>자본변동표</t>
        </is>
      </c>
      <c r="J85" s="24" t="inlineStr">
        <is>
          <t>dart_EquityAtBeginningOfPeriod</t>
        </is>
      </c>
      <c r="K85" s="24" t="inlineStr">
        <is>
          <t>기초자본</t>
        </is>
      </c>
      <c r="L85" s="24" t="inlineStr">
        <is>
          <t>별도재무제표 [member]</t>
        </is>
      </c>
      <c r="M85" s="24" t="inlineStr">
        <is>
          <t>제 27 기</t>
        </is>
      </c>
      <c r="N85" s="24" t="inlineStr">
        <is>
          <t>270464319029.0</t>
        </is>
      </c>
      <c r="O85" s="24" t="inlineStr">
        <is>
          <t>220457929176.0</t>
        </is>
      </c>
      <c r="P85" s="24" t="inlineStr">
        <is>
          <t>KRW</t>
        </is>
      </c>
      <c r="Q85" s="24" t="inlineStr">
        <is>
          <t>1</t>
        </is>
      </c>
    </row>
    <row r="86" ht="24" customHeight="1">
      <c r="A86" s="29" t="inlineStr">
        <is>
          <t>OpenDART_fnlttSinglAcntAll</t>
        </is>
      </c>
      <c r="B86" s="29" t="inlineStr">
        <is>
          <t>00245472</t>
        </is>
      </c>
      <c r="C86" s="29" t="inlineStr">
        <is>
          <t>티씨케이</t>
        </is>
      </c>
      <c r="D86" s="29" t="inlineStr">
        <is>
          <t>tck</t>
        </is>
      </c>
      <c r="E86" s="29" t="inlineStr">
        <is>
          <t>064760</t>
        </is>
      </c>
      <c r="F86" s="29" t="inlineStr">
        <is>
          <t>2021</t>
        </is>
      </c>
      <c r="G86" s="29" t="inlineStr">
        <is>
          <t>OFS</t>
        </is>
      </c>
      <c r="H86" s="29" t="inlineStr">
        <is>
          <t>SCE</t>
        </is>
      </c>
      <c r="I86" s="29" t="inlineStr">
        <is>
          <t>자본변동표</t>
        </is>
      </c>
      <c r="J86" s="29" t="inlineStr">
        <is>
          <t>dart_EquityAtBeginningOfPeriod</t>
        </is>
      </c>
      <c r="K86" s="29" t="inlineStr">
        <is>
          <t>기초자본</t>
        </is>
      </c>
      <c r="L86" s="29" t="inlineStr">
        <is>
          <t>자본 [member]|기타자본구성요소 [member]</t>
        </is>
      </c>
      <c r="M86" s="29" t="inlineStr">
        <is>
          <t>제 27 기</t>
        </is>
      </c>
      <c r="N86" s="29" t="inlineStr">
        <is>
          <t>233168836.0</t>
        </is>
      </c>
      <c r="O86" s="29" t="inlineStr">
        <is>
          <t>233168836.0</t>
        </is>
      </c>
      <c r="P86" s="29" t="inlineStr">
        <is>
          <t>KRW</t>
        </is>
      </c>
      <c r="Q86" s="29" t="inlineStr">
        <is>
          <t>1</t>
        </is>
      </c>
    </row>
    <row r="87" ht="24" customHeight="1">
      <c r="A87" s="24" t="inlineStr">
        <is>
          <t>OpenDART_fnlttSinglAcntAll</t>
        </is>
      </c>
      <c r="B87" s="24" t="inlineStr">
        <is>
          <t>00245472</t>
        </is>
      </c>
      <c r="C87" s="24" t="inlineStr">
        <is>
          <t>티씨케이</t>
        </is>
      </c>
      <c r="D87" s="24" t="inlineStr">
        <is>
          <t>tck</t>
        </is>
      </c>
      <c r="E87" s="24" t="inlineStr">
        <is>
          <t>064760</t>
        </is>
      </c>
      <c r="F87" s="24" t="inlineStr">
        <is>
          <t>2021</t>
        </is>
      </c>
      <c r="G87" s="24" t="inlineStr">
        <is>
          <t>OFS</t>
        </is>
      </c>
      <c r="H87" s="24" t="inlineStr">
        <is>
          <t>SCE</t>
        </is>
      </c>
      <c r="I87" s="24" t="inlineStr">
        <is>
          <t>자본변동표</t>
        </is>
      </c>
      <c r="J87" s="24" t="inlineStr">
        <is>
          <t>dart_EquityAtBeginningOfPeriod</t>
        </is>
      </c>
      <c r="K87" s="24" t="inlineStr">
        <is>
          <t>기초자본</t>
        </is>
      </c>
      <c r="L87" s="24" t="inlineStr">
        <is>
          <t>자본 [member]|이익잉여금 [member]</t>
        </is>
      </c>
      <c r="M87" s="24" t="inlineStr">
        <is>
          <t>제 27 기</t>
        </is>
      </c>
      <c r="N87" s="24" t="inlineStr">
        <is>
          <t>258358648273.0</t>
        </is>
      </c>
      <c r="O87" s="24" t="inlineStr">
        <is>
          <t>208352258420.0</t>
        </is>
      </c>
      <c r="P87" s="24" t="inlineStr">
        <is>
          <t>KRW</t>
        </is>
      </c>
      <c r="Q87" s="24" t="inlineStr">
        <is>
          <t>1</t>
        </is>
      </c>
    </row>
    <row r="88" ht="24" customHeight="1">
      <c r="A88" s="29" t="inlineStr">
        <is>
          <t>OpenDART_fnlttSinglAcntAll</t>
        </is>
      </c>
      <c r="B88" s="29" t="inlineStr">
        <is>
          <t>00245472</t>
        </is>
      </c>
      <c r="C88" s="29" t="inlineStr">
        <is>
          <t>티씨케이</t>
        </is>
      </c>
      <c r="D88" s="29" t="inlineStr">
        <is>
          <t>tck</t>
        </is>
      </c>
      <c r="E88" s="29" t="inlineStr">
        <is>
          <t>064760</t>
        </is>
      </c>
      <c r="F88" s="29" t="inlineStr">
        <is>
          <t>2021</t>
        </is>
      </c>
      <c r="G88" s="29" t="inlineStr">
        <is>
          <t>OFS</t>
        </is>
      </c>
      <c r="H88" s="29" t="inlineStr">
        <is>
          <t>SCE</t>
        </is>
      </c>
      <c r="I88" s="29" t="inlineStr">
        <is>
          <t>자본변동표</t>
        </is>
      </c>
      <c r="J88" s="29" t="inlineStr">
        <is>
          <t>dart_EquityAtBeginningOfPeriod</t>
        </is>
      </c>
      <c r="K88" s="29" t="inlineStr">
        <is>
          <t>기초자본</t>
        </is>
      </c>
      <c r="L88" s="29" t="inlineStr">
        <is>
          <t>자본 [member]|자본금 [member]</t>
        </is>
      </c>
      <c r="M88" s="29" t="inlineStr">
        <is>
          <t>제 27 기</t>
        </is>
      </c>
      <c r="N88" s="29" t="inlineStr">
        <is>
          <t>5837500000.0</t>
        </is>
      </c>
      <c r="O88" s="29" t="inlineStr">
        <is>
          <t>5837500000.0</t>
        </is>
      </c>
      <c r="P88" s="29" t="inlineStr">
        <is>
          <t>KRW</t>
        </is>
      </c>
      <c r="Q88" s="29" t="inlineStr">
        <is>
          <t>1</t>
        </is>
      </c>
    </row>
    <row r="89" ht="24" customHeight="1">
      <c r="A89" s="24" t="inlineStr">
        <is>
          <t>OpenDART_fnlttSinglAcntAll</t>
        </is>
      </c>
      <c r="B89" s="24" t="inlineStr">
        <is>
          <t>00245472</t>
        </is>
      </c>
      <c r="C89" s="24" t="inlineStr">
        <is>
          <t>티씨케이</t>
        </is>
      </c>
      <c r="D89" s="24" t="inlineStr">
        <is>
          <t>tck</t>
        </is>
      </c>
      <c r="E89" s="24" t="inlineStr">
        <is>
          <t>064760</t>
        </is>
      </c>
      <c r="F89" s="24" t="inlineStr">
        <is>
          <t>2021</t>
        </is>
      </c>
      <c r="G89" s="24" t="inlineStr">
        <is>
          <t>OFS</t>
        </is>
      </c>
      <c r="H89" s="24" t="inlineStr">
        <is>
          <t>SCE</t>
        </is>
      </c>
      <c r="I89" s="24" t="inlineStr">
        <is>
          <t>자본변동표</t>
        </is>
      </c>
      <c r="J89" s="24" t="inlineStr">
        <is>
          <t>dart_EquityAtBeginningOfPeriod</t>
        </is>
      </c>
      <c r="K89" s="24" t="inlineStr">
        <is>
          <t>기초자본</t>
        </is>
      </c>
      <c r="L89" s="24" t="inlineStr">
        <is>
          <t>자본 [member]|자본잉여금 [member]</t>
        </is>
      </c>
      <c r="M89" s="24" t="inlineStr">
        <is>
          <t>제 27 기</t>
        </is>
      </c>
      <c r="N89" s="24" t="inlineStr">
        <is>
          <t>6035001920.0</t>
        </is>
      </c>
      <c r="O89" s="24" t="inlineStr">
        <is>
          <t>6035001920.0</t>
        </is>
      </c>
      <c r="P89" s="24" t="inlineStr">
        <is>
          <t>KRW</t>
        </is>
      </c>
      <c r="Q89" s="24" t="inlineStr">
        <is>
          <t>1</t>
        </is>
      </c>
    </row>
    <row r="90" ht="24" customHeight="1">
      <c r="A90" s="29" t="inlineStr">
        <is>
          <t>OpenDART_fnlttSinglAcntAll</t>
        </is>
      </c>
      <c r="B90" s="29" t="inlineStr">
        <is>
          <t>00245472</t>
        </is>
      </c>
      <c r="C90" s="29" t="inlineStr">
        <is>
          <t>티씨케이</t>
        </is>
      </c>
      <c r="D90" s="29" t="inlineStr">
        <is>
          <t>tck</t>
        </is>
      </c>
      <c r="E90" s="29" t="inlineStr">
        <is>
          <t>064760</t>
        </is>
      </c>
      <c r="F90" s="29" t="inlineStr">
        <is>
          <t>2021</t>
        </is>
      </c>
      <c r="G90" s="29" t="inlineStr">
        <is>
          <t>OFS</t>
        </is>
      </c>
      <c r="H90" s="29" t="inlineStr">
        <is>
          <t>SCE</t>
        </is>
      </c>
      <c r="I90" s="29" t="inlineStr">
        <is>
          <t>자본변동표</t>
        </is>
      </c>
      <c r="J90" s="29" t="inlineStr">
        <is>
          <t>ifrs-full_ProfitLoss</t>
        </is>
      </c>
      <c r="K90" s="29" t="inlineStr">
        <is>
          <t>당기순이익(손실)</t>
        </is>
      </c>
      <c r="L90" s="29" t="inlineStr">
        <is>
          <t>별도재무제표 [member]</t>
        </is>
      </c>
      <c r="M90" s="29" t="inlineStr">
        <is>
          <t>제 27 기</t>
        </is>
      </c>
      <c r="N90" s="29" t="inlineStr">
        <is>
          <t>81890628054.0</t>
        </is>
      </c>
      <c r="O90" s="29" t="inlineStr">
        <is>
          <t>60513889853.0</t>
        </is>
      </c>
      <c r="P90" s="29" t="inlineStr">
        <is>
          <t>KRW</t>
        </is>
      </c>
      <c r="Q90" s="29" t="inlineStr">
        <is>
          <t>2</t>
        </is>
      </c>
    </row>
    <row r="91" ht="24" customHeight="1">
      <c r="A91" s="24" t="inlineStr">
        <is>
          <t>OpenDART_fnlttSinglAcntAll</t>
        </is>
      </c>
      <c r="B91" s="24" t="inlineStr">
        <is>
          <t>00245472</t>
        </is>
      </c>
      <c r="C91" s="24" t="inlineStr">
        <is>
          <t>티씨케이</t>
        </is>
      </c>
      <c r="D91" s="24" t="inlineStr">
        <is>
          <t>tck</t>
        </is>
      </c>
      <c r="E91" s="24" t="inlineStr">
        <is>
          <t>064760</t>
        </is>
      </c>
      <c r="F91" s="24" t="inlineStr">
        <is>
          <t>2021</t>
        </is>
      </c>
      <c r="G91" s="24" t="inlineStr">
        <is>
          <t>OFS</t>
        </is>
      </c>
      <c r="H91" s="24" t="inlineStr">
        <is>
          <t>SCE</t>
        </is>
      </c>
      <c r="I91" s="24" t="inlineStr">
        <is>
          <t>자본변동표</t>
        </is>
      </c>
      <c r="J91" s="24" t="inlineStr">
        <is>
          <t>ifrs-full_ProfitLoss</t>
        </is>
      </c>
      <c r="K91" s="24" t="inlineStr">
        <is>
          <t>당기순이익(손실)</t>
        </is>
      </c>
      <c r="L91" s="24" t="inlineStr">
        <is>
          <t>자본 [member]|이익잉여금 [member]</t>
        </is>
      </c>
      <c r="M91" s="24" t="inlineStr">
        <is>
          <t>제 27 기</t>
        </is>
      </c>
      <c r="N91" s="24" t="inlineStr">
        <is>
          <t>81890628054.0</t>
        </is>
      </c>
      <c r="O91" s="24" t="inlineStr">
        <is>
          <t>60513889853.0</t>
        </is>
      </c>
      <c r="P91" s="24" t="inlineStr">
        <is>
          <t>KRW</t>
        </is>
      </c>
      <c r="Q91" s="24" t="inlineStr">
        <is>
          <t>2</t>
        </is>
      </c>
    </row>
    <row r="92" ht="24" customHeight="1">
      <c r="A92" s="29" t="inlineStr">
        <is>
          <t>OpenDART_fnlttSinglAcntAll</t>
        </is>
      </c>
      <c r="B92" s="29" t="inlineStr">
        <is>
          <t>00245472</t>
        </is>
      </c>
      <c r="C92" s="29" t="inlineStr">
        <is>
          <t>티씨케이</t>
        </is>
      </c>
      <c r="D92" s="29" t="inlineStr">
        <is>
          <t>tck</t>
        </is>
      </c>
      <c r="E92" s="29" t="inlineStr">
        <is>
          <t>064760</t>
        </is>
      </c>
      <c r="F92" s="29" t="inlineStr">
        <is>
          <t>2021</t>
        </is>
      </c>
      <c r="G92" s="29" t="inlineStr">
        <is>
          <t>OFS</t>
        </is>
      </c>
      <c r="H92" s="29" t="inlineStr">
        <is>
          <t>SCE</t>
        </is>
      </c>
      <c r="I92" s="29" t="inlineStr">
        <is>
          <t>자본변동표</t>
        </is>
      </c>
      <c r="J92" s="29" t="inlineStr">
        <is>
          <t>ifrs-full_DividendsPaid</t>
        </is>
      </c>
      <c r="K92" s="29" t="inlineStr">
        <is>
          <t>배당금지급</t>
        </is>
      </c>
      <c r="L92" s="29" t="inlineStr">
        <is>
          <t>자본 [member]|이익잉여금 [member]</t>
        </is>
      </c>
      <c r="M92" s="29" t="inlineStr">
        <is>
          <t>제 27 기</t>
        </is>
      </c>
      <c r="N92" s="29" t="inlineStr">
        <is>
          <t>12842500000.0</t>
        </is>
      </c>
      <c r="O92" s="29" t="inlineStr">
        <is>
          <t>10507500000.0</t>
        </is>
      </c>
      <c r="P92" s="29" t="inlineStr">
        <is>
          <t>KRW</t>
        </is>
      </c>
      <c r="Q92" s="29" t="inlineStr">
        <is>
          <t>3</t>
        </is>
      </c>
    </row>
    <row r="93" ht="24" customHeight="1">
      <c r="A93" s="24" t="inlineStr">
        <is>
          <t>OpenDART_fnlttSinglAcntAll</t>
        </is>
      </c>
      <c r="B93" s="24" t="inlineStr">
        <is>
          <t>00245472</t>
        </is>
      </c>
      <c r="C93" s="24" t="inlineStr">
        <is>
          <t>티씨케이</t>
        </is>
      </c>
      <c r="D93" s="24" t="inlineStr">
        <is>
          <t>tck</t>
        </is>
      </c>
      <c r="E93" s="24" t="inlineStr">
        <is>
          <t>064760</t>
        </is>
      </c>
      <c r="F93" s="24" t="inlineStr">
        <is>
          <t>2021</t>
        </is>
      </c>
      <c r="G93" s="24" t="inlineStr">
        <is>
          <t>OFS</t>
        </is>
      </c>
      <c r="H93" s="24" t="inlineStr">
        <is>
          <t>SCE</t>
        </is>
      </c>
      <c r="I93" s="24" t="inlineStr">
        <is>
          <t>자본변동표</t>
        </is>
      </c>
      <c r="J93" s="24" t="inlineStr">
        <is>
          <t>ifrs-full_DividendsPaid</t>
        </is>
      </c>
      <c r="K93" s="24" t="inlineStr">
        <is>
          <t>배당금지급</t>
        </is>
      </c>
      <c r="L93" s="24" t="inlineStr">
        <is>
          <t>별도재무제표 [member]</t>
        </is>
      </c>
      <c r="M93" s="24" t="inlineStr">
        <is>
          <t>제 27 기</t>
        </is>
      </c>
      <c r="N93" s="24" t="inlineStr">
        <is>
          <t>12842500000.0</t>
        </is>
      </c>
      <c r="O93" s="24" t="inlineStr">
        <is>
          <t>10507500000.0</t>
        </is>
      </c>
      <c r="P93" s="24" t="inlineStr">
        <is>
          <t>KRW</t>
        </is>
      </c>
      <c r="Q93" s="24" t="inlineStr">
        <is>
          <t>3</t>
        </is>
      </c>
    </row>
    <row r="94" ht="24" customHeight="1">
      <c r="A94" s="29" t="inlineStr">
        <is>
          <t>OpenDART_fnlttSinglAcntAll</t>
        </is>
      </c>
      <c r="B94" s="29" t="inlineStr">
        <is>
          <t>00245472</t>
        </is>
      </c>
      <c r="C94" s="29" t="inlineStr">
        <is>
          <t>티씨케이</t>
        </is>
      </c>
      <c r="D94" s="29" t="inlineStr">
        <is>
          <t>tck</t>
        </is>
      </c>
      <c r="E94" s="29" t="inlineStr">
        <is>
          <t>064760</t>
        </is>
      </c>
      <c r="F94" s="29" t="inlineStr">
        <is>
          <t>2021</t>
        </is>
      </c>
      <c r="G94" s="29" t="inlineStr">
        <is>
          <t>OFS</t>
        </is>
      </c>
      <c r="H94" s="29" t="inlineStr">
        <is>
          <t>SCE</t>
        </is>
      </c>
      <c r="I94" s="29" t="inlineStr">
        <is>
          <t>자본변동표</t>
        </is>
      </c>
      <c r="J94" s="29" t="inlineStr">
        <is>
          <t>ifrs-full_Equity</t>
        </is>
      </c>
      <c r="K94" s="29" t="inlineStr">
        <is>
          <t>기말자본</t>
        </is>
      </c>
      <c r="L94" s="29" t="inlineStr">
        <is>
          <t>별도재무제표 [member]</t>
        </is>
      </c>
      <c r="M94" s="29" t="inlineStr">
        <is>
          <t>제 27 기</t>
        </is>
      </c>
      <c r="N94" s="29" t="inlineStr">
        <is>
          <t>339512447083.0</t>
        </is>
      </c>
      <c r="O94" s="29" t="inlineStr">
        <is>
          <t>270464319029.0</t>
        </is>
      </c>
      <c r="P94" s="29" t="inlineStr">
        <is>
          <t>KRW</t>
        </is>
      </c>
      <c r="Q94" s="29" t="inlineStr">
        <is>
          <t>4</t>
        </is>
      </c>
    </row>
    <row r="95" ht="24" customHeight="1">
      <c r="A95" s="24" t="inlineStr">
        <is>
          <t>OpenDART_fnlttSinglAcntAll</t>
        </is>
      </c>
      <c r="B95" s="24" t="inlineStr">
        <is>
          <t>00245472</t>
        </is>
      </c>
      <c r="C95" s="24" t="inlineStr">
        <is>
          <t>티씨케이</t>
        </is>
      </c>
      <c r="D95" s="24" t="inlineStr">
        <is>
          <t>tck</t>
        </is>
      </c>
      <c r="E95" s="24" t="inlineStr">
        <is>
          <t>064760</t>
        </is>
      </c>
      <c r="F95" s="24" t="inlineStr">
        <is>
          <t>2021</t>
        </is>
      </c>
      <c r="G95" s="24" t="inlineStr">
        <is>
          <t>OFS</t>
        </is>
      </c>
      <c r="H95" s="24" t="inlineStr">
        <is>
          <t>SCE</t>
        </is>
      </c>
      <c r="I95" s="24" t="inlineStr">
        <is>
          <t>자본변동표</t>
        </is>
      </c>
      <c r="J95" s="24" t="inlineStr">
        <is>
          <t>ifrs-full_Equity</t>
        </is>
      </c>
      <c r="K95" s="24" t="inlineStr">
        <is>
          <t>기말자본</t>
        </is>
      </c>
      <c r="L95" s="24" t="inlineStr">
        <is>
          <t>자본 [member]|기타자본구성요소 [member]</t>
        </is>
      </c>
      <c r="M95" s="24" t="inlineStr">
        <is>
          <t>제 27 기</t>
        </is>
      </c>
      <c r="N95" s="24" t="inlineStr">
        <is>
          <t>233168836.0</t>
        </is>
      </c>
      <c r="O95" s="24" t="inlineStr">
        <is>
          <t>233168836.0</t>
        </is>
      </c>
      <c r="P95" s="24" t="inlineStr">
        <is>
          <t>KRW</t>
        </is>
      </c>
      <c r="Q95" s="24" t="inlineStr">
        <is>
          <t>4</t>
        </is>
      </c>
    </row>
    <row r="96" ht="24" customHeight="1">
      <c r="A96" s="29" t="inlineStr">
        <is>
          <t>OpenDART_fnlttSinglAcntAll</t>
        </is>
      </c>
      <c r="B96" s="29" t="inlineStr">
        <is>
          <t>00245472</t>
        </is>
      </c>
      <c r="C96" s="29" t="inlineStr">
        <is>
          <t>티씨케이</t>
        </is>
      </c>
      <c r="D96" s="29" t="inlineStr">
        <is>
          <t>tck</t>
        </is>
      </c>
      <c r="E96" s="29" t="inlineStr">
        <is>
          <t>064760</t>
        </is>
      </c>
      <c r="F96" s="29" t="inlineStr">
        <is>
          <t>2021</t>
        </is>
      </c>
      <c r="G96" s="29" t="inlineStr">
        <is>
          <t>OFS</t>
        </is>
      </c>
      <c r="H96" s="29" t="inlineStr">
        <is>
          <t>SCE</t>
        </is>
      </c>
      <c r="I96" s="29" t="inlineStr">
        <is>
          <t>자본변동표</t>
        </is>
      </c>
      <c r="J96" s="29" t="inlineStr">
        <is>
          <t>ifrs-full_Equity</t>
        </is>
      </c>
      <c r="K96" s="29" t="inlineStr">
        <is>
          <t>기말자본</t>
        </is>
      </c>
      <c r="L96" s="29" t="inlineStr">
        <is>
          <t>자본 [member]|이익잉여금 [member]</t>
        </is>
      </c>
      <c r="M96" s="29" t="inlineStr">
        <is>
          <t>제 27 기</t>
        </is>
      </c>
      <c r="N96" s="29" t="inlineStr">
        <is>
          <t>327406776327.0</t>
        </is>
      </c>
      <c r="O96" s="29" t="inlineStr">
        <is>
          <t>258358648273.0</t>
        </is>
      </c>
      <c r="P96" s="29" t="inlineStr">
        <is>
          <t>KRW</t>
        </is>
      </c>
      <c r="Q96" s="29" t="inlineStr">
        <is>
          <t>4</t>
        </is>
      </c>
    </row>
    <row r="97" ht="24" customHeight="1">
      <c r="A97" s="24" t="inlineStr">
        <is>
          <t>OpenDART_fnlttSinglAcntAll</t>
        </is>
      </c>
      <c r="B97" s="24" t="inlineStr">
        <is>
          <t>00245472</t>
        </is>
      </c>
      <c r="C97" s="24" t="inlineStr">
        <is>
          <t>티씨케이</t>
        </is>
      </c>
      <c r="D97" s="24" t="inlineStr">
        <is>
          <t>tck</t>
        </is>
      </c>
      <c r="E97" s="24" t="inlineStr">
        <is>
          <t>064760</t>
        </is>
      </c>
      <c r="F97" s="24" t="inlineStr">
        <is>
          <t>2021</t>
        </is>
      </c>
      <c r="G97" s="24" t="inlineStr">
        <is>
          <t>OFS</t>
        </is>
      </c>
      <c r="H97" s="24" t="inlineStr">
        <is>
          <t>SCE</t>
        </is>
      </c>
      <c r="I97" s="24" t="inlineStr">
        <is>
          <t>자본변동표</t>
        </is>
      </c>
      <c r="J97" s="24" t="inlineStr">
        <is>
          <t>ifrs-full_Equity</t>
        </is>
      </c>
      <c r="K97" s="24" t="inlineStr">
        <is>
          <t>기말자본</t>
        </is>
      </c>
      <c r="L97" s="24" t="inlineStr">
        <is>
          <t>자본 [member]|자본금 [member]</t>
        </is>
      </c>
      <c r="M97" s="24" t="inlineStr">
        <is>
          <t>제 27 기</t>
        </is>
      </c>
      <c r="N97" s="24" t="inlineStr">
        <is>
          <t>5837500000.0</t>
        </is>
      </c>
      <c r="O97" s="24" t="inlineStr">
        <is>
          <t>5837500000.0</t>
        </is>
      </c>
      <c r="P97" s="24" t="inlineStr">
        <is>
          <t>KRW</t>
        </is>
      </c>
      <c r="Q97" s="24" t="inlineStr">
        <is>
          <t>4</t>
        </is>
      </c>
    </row>
    <row r="98" ht="24" customHeight="1">
      <c r="A98" s="29" t="inlineStr">
        <is>
          <t>OpenDART_fnlttSinglAcntAll</t>
        </is>
      </c>
      <c r="B98" s="29" t="inlineStr">
        <is>
          <t>00245472</t>
        </is>
      </c>
      <c r="C98" s="29" t="inlineStr">
        <is>
          <t>티씨케이</t>
        </is>
      </c>
      <c r="D98" s="29" t="inlineStr">
        <is>
          <t>tck</t>
        </is>
      </c>
      <c r="E98" s="29" t="inlineStr">
        <is>
          <t>064760</t>
        </is>
      </c>
      <c r="F98" s="29" t="inlineStr">
        <is>
          <t>2021</t>
        </is>
      </c>
      <c r="G98" s="29" t="inlineStr">
        <is>
          <t>OFS</t>
        </is>
      </c>
      <c r="H98" s="29" t="inlineStr">
        <is>
          <t>SCE</t>
        </is>
      </c>
      <c r="I98" s="29" t="inlineStr">
        <is>
          <t>자본변동표</t>
        </is>
      </c>
      <c r="J98" s="29" t="inlineStr">
        <is>
          <t>ifrs-full_Equity</t>
        </is>
      </c>
      <c r="K98" s="29" t="inlineStr">
        <is>
          <t>기말자본</t>
        </is>
      </c>
      <c r="L98" s="29" t="inlineStr">
        <is>
          <t>자본 [member]|자본잉여금 [member]</t>
        </is>
      </c>
      <c r="M98" s="29" t="inlineStr">
        <is>
          <t>제 27 기</t>
        </is>
      </c>
      <c r="N98" s="29" t="inlineStr">
        <is>
          <t>6035001920.0</t>
        </is>
      </c>
      <c r="O98" s="29" t="inlineStr">
        <is>
          <t>6035001920.0</t>
        </is>
      </c>
      <c r="P98" s="29" t="inlineStr">
        <is>
          <t>KRW</t>
        </is>
      </c>
      <c r="Q98" s="29" t="inlineStr">
        <is>
          <t>4</t>
        </is>
      </c>
    </row>
    <row r="99" ht="24" customHeight="1">
      <c r="A99" s="24" t="inlineStr">
        <is>
          <t>OpenDART_fnlttSinglAcntAll</t>
        </is>
      </c>
      <c r="B99" s="24" t="inlineStr">
        <is>
          <t>00245472</t>
        </is>
      </c>
      <c r="C99" s="24" t="inlineStr">
        <is>
          <t>티씨케이</t>
        </is>
      </c>
      <c r="D99" s="24" t="inlineStr">
        <is>
          <t>tck</t>
        </is>
      </c>
      <c r="E99" s="24" t="inlineStr">
        <is>
          <t>064760</t>
        </is>
      </c>
      <c r="F99" s="24" t="inlineStr">
        <is>
          <t>2022</t>
        </is>
      </c>
      <c r="G99" s="24" t="inlineStr">
        <is>
          <t>OFS</t>
        </is>
      </c>
      <c r="H99" s="24" t="inlineStr">
        <is>
          <t>BS</t>
        </is>
      </c>
      <c r="I99" s="24" t="inlineStr">
        <is>
          <t>재무상태표</t>
        </is>
      </c>
      <c r="J99" s="24" t="inlineStr">
        <is>
          <t>ifrs-full_CurrentAssets</t>
        </is>
      </c>
      <c r="K99" s="24" t="inlineStr">
        <is>
          <t>Ⅰ. 유동자산</t>
        </is>
      </c>
      <c r="L99" s="24" t="inlineStr">
        <is>
          <t>-</t>
        </is>
      </c>
      <c r="M99" s="24" t="inlineStr">
        <is>
          <t>제 28 기</t>
        </is>
      </c>
      <c r="N99" s="24" t="inlineStr">
        <is>
          <t>343235703465.0</t>
        </is>
      </c>
      <c r="O99" s="24" t="inlineStr">
        <is>
          <t>274927628093.0</t>
        </is>
      </c>
      <c r="P99" s="24" t="inlineStr">
        <is>
          <t>KRW</t>
        </is>
      </c>
      <c r="Q99" s="24" t="inlineStr">
        <is>
          <t>1</t>
        </is>
      </c>
    </row>
    <row r="100" ht="24" customHeight="1">
      <c r="A100" s="29" t="inlineStr">
        <is>
          <t>OpenDART_fnlttSinglAcntAll</t>
        </is>
      </c>
      <c r="B100" s="29" t="inlineStr">
        <is>
          <t>00245472</t>
        </is>
      </c>
      <c r="C100" s="29" t="inlineStr">
        <is>
          <t>티씨케이</t>
        </is>
      </c>
      <c r="D100" s="29" t="inlineStr">
        <is>
          <t>tck</t>
        </is>
      </c>
      <c r="E100" s="29" t="inlineStr">
        <is>
          <t>064760</t>
        </is>
      </c>
      <c r="F100" s="29" t="inlineStr">
        <is>
          <t>2022</t>
        </is>
      </c>
      <c r="G100" s="29" t="inlineStr">
        <is>
          <t>OFS</t>
        </is>
      </c>
      <c r="H100" s="29" t="inlineStr">
        <is>
          <t>BS</t>
        </is>
      </c>
      <c r="I100" s="29" t="inlineStr">
        <is>
          <t>재무상태표</t>
        </is>
      </c>
      <c r="J100" s="29" t="inlineStr">
        <is>
          <t>ifrs-full_CashAndCashEquivalents</t>
        </is>
      </c>
      <c r="K100" s="29" t="inlineStr">
        <is>
          <t>1. 현금및현금성자산</t>
        </is>
      </c>
      <c r="L100" s="29" t="inlineStr">
        <is>
          <t>-</t>
        </is>
      </c>
      <c r="M100" s="29" t="inlineStr">
        <is>
          <t>제 28 기</t>
        </is>
      </c>
      <c r="N100" s="29" t="inlineStr">
        <is>
          <t>44664321980.0</t>
        </is>
      </c>
      <c r="O100" s="29" t="inlineStr">
        <is>
          <t>53718532398.0</t>
        </is>
      </c>
      <c r="P100" s="29" t="inlineStr">
        <is>
          <t>KRW</t>
        </is>
      </c>
      <c r="Q100" s="29" t="inlineStr">
        <is>
          <t>2</t>
        </is>
      </c>
    </row>
    <row r="101" ht="24" customHeight="1">
      <c r="A101" s="24" t="inlineStr">
        <is>
          <t>OpenDART_fnlttSinglAcntAll</t>
        </is>
      </c>
      <c r="B101" s="24" t="inlineStr">
        <is>
          <t>00245472</t>
        </is>
      </c>
      <c r="C101" s="24" t="inlineStr">
        <is>
          <t>티씨케이</t>
        </is>
      </c>
      <c r="D101" s="24" t="inlineStr">
        <is>
          <t>tck</t>
        </is>
      </c>
      <c r="E101" s="24" t="inlineStr">
        <is>
          <t>064760</t>
        </is>
      </c>
      <c r="F101" s="24" t="inlineStr">
        <is>
          <t>2022</t>
        </is>
      </c>
      <c r="G101" s="24" t="inlineStr">
        <is>
          <t>OFS</t>
        </is>
      </c>
      <c r="H101" s="24" t="inlineStr">
        <is>
          <t>BS</t>
        </is>
      </c>
      <c r="I101" s="24" t="inlineStr">
        <is>
          <t>재무상태표</t>
        </is>
      </c>
      <c r="J101" s="24" t="inlineStr">
        <is>
          <t>-표준계정코드 미사용-</t>
        </is>
      </c>
      <c r="K101" s="24" t="inlineStr">
        <is>
          <t>2. 파생금융상품</t>
        </is>
      </c>
      <c r="L101" s="24" t="inlineStr">
        <is>
          <t>-</t>
        </is>
      </c>
      <c r="M101" s="24" t="inlineStr">
        <is>
          <t>제 28 기</t>
        </is>
      </c>
      <c r="N101" s="24" t="inlineStr">
        <is>
          <t>860762352.0</t>
        </is>
      </c>
      <c r="O101" s="24" t="inlineStr">
        <is>
          <t>23728306.0</t>
        </is>
      </c>
      <c r="P101" s="24" t="inlineStr">
        <is>
          <t>KRW</t>
        </is>
      </c>
      <c r="Q101" s="24" t="inlineStr">
        <is>
          <t>3</t>
        </is>
      </c>
    </row>
    <row r="102" ht="24" customHeight="1">
      <c r="A102" s="29" t="inlineStr">
        <is>
          <t>OpenDART_fnlttSinglAcntAll</t>
        </is>
      </c>
      <c r="B102" s="29" t="inlineStr">
        <is>
          <t>00245472</t>
        </is>
      </c>
      <c r="C102" s="29" t="inlineStr">
        <is>
          <t>티씨케이</t>
        </is>
      </c>
      <c r="D102" s="29" t="inlineStr">
        <is>
          <t>tck</t>
        </is>
      </c>
      <c r="E102" s="29" t="inlineStr">
        <is>
          <t>064760</t>
        </is>
      </c>
      <c r="F102" s="29" t="inlineStr">
        <is>
          <t>2022</t>
        </is>
      </c>
      <c r="G102" s="29" t="inlineStr">
        <is>
          <t>OFS</t>
        </is>
      </c>
      <c r="H102" s="29" t="inlineStr">
        <is>
          <t>BS</t>
        </is>
      </c>
      <c r="I102" s="29" t="inlineStr">
        <is>
          <t>재무상태표</t>
        </is>
      </c>
      <c r="J102" s="29" t="inlineStr">
        <is>
          <t>dart_ShortTermTradeReceivable</t>
        </is>
      </c>
      <c r="K102" s="29" t="inlineStr">
        <is>
          <t>3. 매출채권</t>
        </is>
      </c>
      <c r="L102" s="29" t="inlineStr">
        <is>
          <t>-</t>
        </is>
      </c>
      <c r="M102" s="29" t="inlineStr">
        <is>
          <t>제 28 기</t>
        </is>
      </c>
      <c r="N102" s="29" t="inlineStr">
        <is>
          <t>38008629810.0</t>
        </is>
      </c>
      <c r="O102" s="29" t="inlineStr">
        <is>
          <t>34663887834.0</t>
        </is>
      </c>
      <c r="P102" s="29" t="inlineStr">
        <is>
          <t>KRW</t>
        </is>
      </c>
      <c r="Q102" s="29" t="inlineStr">
        <is>
          <t>4</t>
        </is>
      </c>
    </row>
    <row r="103" ht="24" customHeight="1">
      <c r="A103" s="24" t="inlineStr">
        <is>
          <t>OpenDART_fnlttSinglAcntAll</t>
        </is>
      </c>
      <c r="B103" s="24" t="inlineStr">
        <is>
          <t>00245472</t>
        </is>
      </c>
      <c r="C103" s="24" t="inlineStr">
        <is>
          <t>티씨케이</t>
        </is>
      </c>
      <c r="D103" s="24" t="inlineStr">
        <is>
          <t>tck</t>
        </is>
      </c>
      <c r="E103" s="24" t="inlineStr">
        <is>
          <t>064760</t>
        </is>
      </c>
      <c r="F103" s="24" t="inlineStr">
        <is>
          <t>2022</t>
        </is>
      </c>
      <c r="G103" s="24" t="inlineStr">
        <is>
          <t>OFS</t>
        </is>
      </c>
      <c r="H103" s="24" t="inlineStr">
        <is>
          <t>BS</t>
        </is>
      </c>
      <c r="I103" s="24" t="inlineStr">
        <is>
          <t>재무상태표</t>
        </is>
      </c>
      <c r="J103" s="24" t="inlineStr">
        <is>
          <t>ifrs-full_OtherCurrentFinancialAssets</t>
        </is>
      </c>
      <c r="K103" s="24" t="inlineStr">
        <is>
          <t>4. 기타유동금융자산</t>
        </is>
      </c>
      <c r="L103" s="24" t="inlineStr">
        <is>
          <t>-</t>
        </is>
      </c>
      <c r="M103" s="24" t="inlineStr">
        <is>
          <t>제 28 기</t>
        </is>
      </c>
      <c r="N103" s="24" t="inlineStr">
        <is>
          <t>207567720318.0</t>
        </is>
      </c>
      <c r="O103" s="24" t="inlineStr">
        <is>
          <t>150620705915.0</t>
        </is>
      </c>
      <c r="P103" s="24" t="inlineStr">
        <is>
          <t>KRW</t>
        </is>
      </c>
      <c r="Q103" s="24" t="inlineStr">
        <is>
          <t>5</t>
        </is>
      </c>
    </row>
    <row r="104" ht="24" customHeight="1">
      <c r="A104" s="29" t="inlineStr">
        <is>
          <t>OpenDART_fnlttSinglAcntAll</t>
        </is>
      </c>
      <c r="B104" s="29" t="inlineStr">
        <is>
          <t>00245472</t>
        </is>
      </c>
      <c r="C104" s="29" t="inlineStr">
        <is>
          <t>티씨케이</t>
        </is>
      </c>
      <c r="D104" s="29" t="inlineStr">
        <is>
          <t>tck</t>
        </is>
      </c>
      <c r="E104" s="29" t="inlineStr">
        <is>
          <t>064760</t>
        </is>
      </c>
      <c r="F104" s="29" t="inlineStr">
        <is>
          <t>2022</t>
        </is>
      </c>
      <c r="G104" s="29" t="inlineStr">
        <is>
          <t>OFS</t>
        </is>
      </c>
      <c r="H104" s="29" t="inlineStr">
        <is>
          <t>BS</t>
        </is>
      </c>
      <c r="I104" s="29" t="inlineStr">
        <is>
          <t>재무상태표</t>
        </is>
      </c>
      <c r="J104" s="29" t="inlineStr">
        <is>
          <t>dart_OtherCurrentAssets</t>
        </is>
      </c>
      <c r="K104" s="29" t="inlineStr">
        <is>
          <t>5. 기타유동자산</t>
        </is>
      </c>
      <c r="L104" s="29" t="inlineStr">
        <is>
          <t>-</t>
        </is>
      </c>
      <c r="M104" s="29" t="inlineStr">
        <is>
          <t>제 28 기</t>
        </is>
      </c>
      <c r="N104" s="29" t="inlineStr">
        <is>
          <t>1985111071.0</t>
        </is>
      </c>
      <c r="O104" s="29" t="inlineStr">
        <is>
          <t>739586907.0</t>
        </is>
      </c>
      <c r="P104" s="29" t="inlineStr">
        <is>
          <t>KRW</t>
        </is>
      </c>
      <c r="Q104" s="29" t="inlineStr">
        <is>
          <t>6</t>
        </is>
      </c>
    </row>
    <row r="105" ht="24" customHeight="1">
      <c r="A105" s="24" t="inlineStr">
        <is>
          <t>OpenDART_fnlttSinglAcntAll</t>
        </is>
      </c>
      <c r="B105" s="24" t="inlineStr">
        <is>
          <t>00245472</t>
        </is>
      </c>
      <c r="C105" s="24" t="inlineStr">
        <is>
          <t>티씨케이</t>
        </is>
      </c>
      <c r="D105" s="24" t="inlineStr">
        <is>
          <t>tck</t>
        </is>
      </c>
      <c r="E105" s="24" t="inlineStr">
        <is>
          <t>064760</t>
        </is>
      </c>
      <c r="F105" s="24" t="inlineStr">
        <is>
          <t>2022</t>
        </is>
      </c>
      <c r="G105" s="24" t="inlineStr">
        <is>
          <t>OFS</t>
        </is>
      </c>
      <c r="H105" s="24" t="inlineStr">
        <is>
          <t>BS</t>
        </is>
      </c>
      <c r="I105" s="24" t="inlineStr">
        <is>
          <t>재무상태표</t>
        </is>
      </c>
      <c r="J105" s="24" t="inlineStr">
        <is>
          <t>ifrs-full_Inventories</t>
        </is>
      </c>
      <c r="K105" s="24" t="inlineStr">
        <is>
          <t>6. 재고자산</t>
        </is>
      </c>
      <c r="L105" s="24" t="inlineStr">
        <is>
          <t>-</t>
        </is>
      </c>
      <c r="M105" s="24" t="inlineStr">
        <is>
          <t>제 28 기</t>
        </is>
      </c>
      <c r="N105" s="24" t="inlineStr">
        <is>
          <t>50149157934.0</t>
        </is>
      </c>
      <c r="O105" s="24" t="inlineStr">
        <is>
          <t>35161186733.0</t>
        </is>
      </c>
      <c r="P105" s="24" t="inlineStr">
        <is>
          <t>KRW</t>
        </is>
      </c>
      <c r="Q105" s="24" t="inlineStr">
        <is>
          <t>7</t>
        </is>
      </c>
    </row>
    <row r="106" ht="24" customHeight="1">
      <c r="A106" s="29" t="inlineStr">
        <is>
          <t>OpenDART_fnlttSinglAcntAll</t>
        </is>
      </c>
      <c r="B106" s="29" t="inlineStr">
        <is>
          <t>00245472</t>
        </is>
      </c>
      <c r="C106" s="29" t="inlineStr">
        <is>
          <t>티씨케이</t>
        </is>
      </c>
      <c r="D106" s="29" t="inlineStr">
        <is>
          <t>tck</t>
        </is>
      </c>
      <c r="E106" s="29" t="inlineStr">
        <is>
          <t>064760</t>
        </is>
      </c>
      <c r="F106" s="29" t="inlineStr">
        <is>
          <t>2022</t>
        </is>
      </c>
      <c r="G106" s="29" t="inlineStr">
        <is>
          <t>OFS</t>
        </is>
      </c>
      <c r="H106" s="29" t="inlineStr">
        <is>
          <t>BS</t>
        </is>
      </c>
      <c r="I106" s="29" t="inlineStr">
        <is>
          <t>재무상태표</t>
        </is>
      </c>
      <c r="J106" s="29" t="inlineStr">
        <is>
          <t>ifrs-full_NoncurrentAssets</t>
        </is>
      </c>
      <c r="K106" s="29" t="inlineStr">
        <is>
          <t>Ⅱ. 비유동자산</t>
        </is>
      </c>
      <c r="L106" s="29" t="inlineStr">
        <is>
          <t>-</t>
        </is>
      </c>
      <c r="M106" s="29" t="inlineStr">
        <is>
          <t>제 28 기</t>
        </is>
      </c>
      <c r="N106" s="29" t="inlineStr">
        <is>
          <t>137307355798.0</t>
        </is>
      </c>
      <c r="O106" s="29" t="inlineStr">
        <is>
          <t>114778342544.0</t>
        </is>
      </c>
      <c r="P106" s="29" t="inlineStr">
        <is>
          <t>KRW</t>
        </is>
      </c>
      <c r="Q106" s="29" t="inlineStr">
        <is>
          <t>8</t>
        </is>
      </c>
    </row>
    <row r="107" ht="24" customHeight="1">
      <c r="A107" s="24" t="inlineStr">
        <is>
          <t>OpenDART_fnlttSinglAcntAll</t>
        </is>
      </c>
      <c r="B107" s="24" t="inlineStr">
        <is>
          <t>00245472</t>
        </is>
      </c>
      <c r="C107" s="24" t="inlineStr">
        <is>
          <t>티씨케이</t>
        </is>
      </c>
      <c r="D107" s="24" t="inlineStr">
        <is>
          <t>tck</t>
        </is>
      </c>
      <c r="E107" s="24" t="inlineStr">
        <is>
          <t>064760</t>
        </is>
      </c>
      <c r="F107" s="24" t="inlineStr">
        <is>
          <t>2022</t>
        </is>
      </c>
      <c r="G107" s="24" t="inlineStr">
        <is>
          <t>OFS</t>
        </is>
      </c>
      <c r="H107" s="24" t="inlineStr">
        <is>
          <t>BS</t>
        </is>
      </c>
      <c r="I107" s="24" t="inlineStr">
        <is>
          <t>재무상태표</t>
        </is>
      </c>
      <c r="J107" s="24" t="inlineStr">
        <is>
          <t>ifrs-full_OtherNoncurrentFinancialAssets</t>
        </is>
      </c>
      <c r="K107" s="24" t="inlineStr">
        <is>
          <t>1. 기타비유동금융자산</t>
        </is>
      </c>
      <c r="L107" s="24" t="inlineStr">
        <is>
          <t>-</t>
        </is>
      </c>
      <c r="M107" s="24" t="inlineStr">
        <is>
          <t>제 28 기</t>
        </is>
      </c>
      <c r="N107" s="24" t="inlineStr">
        <is>
          <t>3487935424.0</t>
        </is>
      </c>
      <c r="O107" s="24" t="inlineStr">
        <is>
          <t>1260315454.0</t>
        </is>
      </c>
      <c r="P107" s="24" t="inlineStr">
        <is>
          <t>KRW</t>
        </is>
      </c>
      <c r="Q107" s="24" t="inlineStr">
        <is>
          <t>9</t>
        </is>
      </c>
    </row>
    <row r="108" ht="24" customHeight="1">
      <c r="A108" s="29" t="inlineStr">
        <is>
          <t>OpenDART_fnlttSinglAcntAll</t>
        </is>
      </c>
      <c r="B108" s="29" t="inlineStr">
        <is>
          <t>00245472</t>
        </is>
      </c>
      <c r="C108" s="29" t="inlineStr">
        <is>
          <t>티씨케이</t>
        </is>
      </c>
      <c r="D108" s="29" t="inlineStr">
        <is>
          <t>tck</t>
        </is>
      </c>
      <c r="E108" s="29" t="inlineStr">
        <is>
          <t>064760</t>
        </is>
      </c>
      <c r="F108" s="29" t="inlineStr">
        <is>
          <t>2022</t>
        </is>
      </c>
      <c r="G108" s="29" t="inlineStr">
        <is>
          <t>OFS</t>
        </is>
      </c>
      <c r="H108" s="29" t="inlineStr">
        <is>
          <t>BS</t>
        </is>
      </c>
      <c r="I108" s="29" t="inlineStr">
        <is>
          <t>재무상태표</t>
        </is>
      </c>
      <c r="J108" s="29" t="inlineStr">
        <is>
          <t>ifrs-full_PropertyPlantAndEquipment</t>
        </is>
      </c>
      <c r="K108" s="29" t="inlineStr">
        <is>
          <t>2. 유형자산</t>
        </is>
      </c>
      <c r="L108" s="29" t="inlineStr">
        <is>
          <t>-</t>
        </is>
      </c>
      <c r="M108" s="29" t="inlineStr">
        <is>
          <t>제 28 기</t>
        </is>
      </c>
      <c r="N108" s="29" t="inlineStr">
        <is>
          <t>128885878090.0</t>
        </is>
      </c>
      <c r="O108" s="29" t="inlineStr">
        <is>
          <t>108428359196.0</t>
        </is>
      </c>
      <c r="P108" s="29" t="inlineStr">
        <is>
          <t>KRW</t>
        </is>
      </c>
      <c r="Q108" s="29" t="inlineStr">
        <is>
          <t>10</t>
        </is>
      </c>
    </row>
    <row r="109" ht="24" customHeight="1">
      <c r="A109" s="24" t="inlineStr">
        <is>
          <t>OpenDART_fnlttSinglAcntAll</t>
        </is>
      </c>
      <c r="B109" s="24" t="inlineStr">
        <is>
          <t>00245472</t>
        </is>
      </c>
      <c r="C109" s="24" t="inlineStr">
        <is>
          <t>티씨케이</t>
        </is>
      </c>
      <c r="D109" s="24" t="inlineStr">
        <is>
          <t>tck</t>
        </is>
      </c>
      <c r="E109" s="24" t="inlineStr">
        <is>
          <t>064760</t>
        </is>
      </c>
      <c r="F109" s="24" t="inlineStr">
        <is>
          <t>2022</t>
        </is>
      </c>
      <c r="G109" s="24" t="inlineStr">
        <is>
          <t>OFS</t>
        </is>
      </c>
      <c r="H109" s="24" t="inlineStr">
        <is>
          <t>BS</t>
        </is>
      </c>
      <c r="I109" s="24" t="inlineStr">
        <is>
          <t>재무상태표</t>
        </is>
      </c>
      <c r="J109" s="24" t="inlineStr">
        <is>
          <t>ifrs-full_IntangibleAssetsOtherThanGoodwill</t>
        </is>
      </c>
      <c r="K109" s="24" t="inlineStr">
        <is>
          <t>3. 무형자산</t>
        </is>
      </c>
      <c r="L109" s="24" t="inlineStr">
        <is>
          <t>-</t>
        </is>
      </c>
      <c r="M109" s="24" t="inlineStr">
        <is>
          <t>제 28 기</t>
        </is>
      </c>
      <c r="N109" s="24" t="inlineStr">
        <is>
          <t>1841733375.0</t>
        </is>
      </c>
      <c r="O109" s="24" t="inlineStr">
        <is>
          <t>1866147369.0</t>
        </is>
      </c>
      <c r="P109" s="24" t="inlineStr">
        <is>
          <t>KRW</t>
        </is>
      </c>
      <c r="Q109" s="24" t="inlineStr">
        <is>
          <t>11</t>
        </is>
      </c>
    </row>
    <row r="110" ht="24" customHeight="1">
      <c r="A110" s="29" t="inlineStr">
        <is>
          <t>OpenDART_fnlttSinglAcntAll</t>
        </is>
      </c>
      <c r="B110" s="29" t="inlineStr">
        <is>
          <t>00245472</t>
        </is>
      </c>
      <c r="C110" s="29" t="inlineStr">
        <is>
          <t>티씨케이</t>
        </is>
      </c>
      <c r="D110" s="29" t="inlineStr">
        <is>
          <t>tck</t>
        </is>
      </c>
      <c r="E110" s="29" t="inlineStr">
        <is>
          <t>064760</t>
        </is>
      </c>
      <c r="F110" s="29" t="inlineStr">
        <is>
          <t>2022</t>
        </is>
      </c>
      <c r="G110" s="29" t="inlineStr">
        <is>
          <t>OFS</t>
        </is>
      </c>
      <c r="H110" s="29" t="inlineStr">
        <is>
          <t>BS</t>
        </is>
      </c>
      <c r="I110" s="29" t="inlineStr">
        <is>
          <t>재무상태표</t>
        </is>
      </c>
      <c r="J110" s="29" t="inlineStr">
        <is>
          <t>ifrs-full_DeferredTaxAssets</t>
        </is>
      </c>
      <c r="K110" s="29" t="inlineStr">
        <is>
          <t>4. 이연법인세자산</t>
        </is>
      </c>
      <c r="L110" s="29" t="inlineStr">
        <is>
          <t>-</t>
        </is>
      </c>
      <c r="M110" s="29" t="inlineStr">
        <is>
          <t>제 28 기</t>
        </is>
      </c>
      <c r="N110" s="29" t="inlineStr">
        <is>
          <t>2684831721.0</t>
        </is>
      </c>
      <c r="O110" s="29" t="inlineStr">
        <is>
          <t>2645469923.0</t>
        </is>
      </c>
      <c r="P110" s="29" t="inlineStr">
        <is>
          <t>KRW</t>
        </is>
      </c>
      <c r="Q110" s="29" t="inlineStr">
        <is>
          <t>12</t>
        </is>
      </c>
    </row>
    <row r="111" ht="24" customHeight="1">
      <c r="A111" s="24" t="inlineStr">
        <is>
          <t>OpenDART_fnlttSinglAcntAll</t>
        </is>
      </c>
      <c r="B111" s="24" t="inlineStr">
        <is>
          <t>00245472</t>
        </is>
      </c>
      <c r="C111" s="24" t="inlineStr">
        <is>
          <t>티씨케이</t>
        </is>
      </c>
      <c r="D111" s="24" t="inlineStr">
        <is>
          <t>tck</t>
        </is>
      </c>
      <c r="E111" s="24" t="inlineStr">
        <is>
          <t>064760</t>
        </is>
      </c>
      <c r="F111" s="24" t="inlineStr">
        <is>
          <t>2022</t>
        </is>
      </c>
      <c r="G111" s="24" t="inlineStr">
        <is>
          <t>OFS</t>
        </is>
      </c>
      <c r="H111" s="24" t="inlineStr">
        <is>
          <t>BS</t>
        </is>
      </c>
      <c r="I111" s="24" t="inlineStr">
        <is>
          <t>재무상태표</t>
        </is>
      </c>
      <c r="J111" s="24" t="inlineStr">
        <is>
          <t>ifrs-full_RightofuseAssets</t>
        </is>
      </c>
      <c r="K111" s="24" t="inlineStr">
        <is>
          <t>5. 사용권자산</t>
        </is>
      </c>
      <c r="L111" s="24" t="inlineStr">
        <is>
          <t>-</t>
        </is>
      </c>
      <c r="M111" s="24" t="inlineStr">
        <is>
          <t>제 28 기</t>
        </is>
      </c>
      <c r="N111" s="24" t="inlineStr">
        <is>
          <t>406977188.0</t>
        </is>
      </c>
      <c r="O111" s="24" t="inlineStr">
        <is>
          <t>578050602.0</t>
        </is>
      </c>
      <c r="P111" s="24" t="inlineStr">
        <is>
          <t>KRW</t>
        </is>
      </c>
      <c r="Q111" s="24" t="inlineStr">
        <is>
          <t>13</t>
        </is>
      </c>
    </row>
    <row r="112" ht="24" customHeight="1">
      <c r="A112" s="29" t="inlineStr">
        <is>
          <t>OpenDART_fnlttSinglAcntAll</t>
        </is>
      </c>
      <c r="B112" s="29" t="inlineStr">
        <is>
          <t>00245472</t>
        </is>
      </c>
      <c r="C112" s="29" t="inlineStr">
        <is>
          <t>티씨케이</t>
        </is>
      </c>
      <c r="D112" s="29" t="inlineStr">
        <is>
          <t>tck</t>
        </is>
      </c>
      <c r="E112" s="29" t="inlineStr">
        <is>
          <t>064760</t>
        </is>
      </c>
      <c r="F112" s="29" t="inlineStr">
        <is>
          <t>2022</t>
        </is>
      </c>
      <c r="G112" s="29" t="inlineStr">
        <is>
          <t>OFS</t>
        </is>
      </c>
      <c r="H112" s="29" t="inlineStr">
        <is>
          <t>BS</t>
        </is>
      </c>
      <c r="I112" s="29" t="inlineStr">
        <is>
          <t>재무상태표</t>
        </is>
      </c>
      <c r="J112" s="29" t="inlineStr">
        <is>
          <t>ifrs-full_Assets</t>
        </is>
      </c>
      <c r="K112" s="29" t="inlineStr">
        <is>
          <t>자산총계</t>
        </is>
      </c>
      <c r="L112" s="29" t="inlineStr">
        <is>
          <t>-</t>
        </is>
      </c>
      <c r="M112" s="29" t="inlineStr">
        <is>
          <t>제 28 기</t>
        </is>
      </c>
      <c r="N112" s="29" t="inlineStr">
        <is>
          <t>480543059263.0</t>
        </is>
      </c>
      <c r="O112" s="29" t="inlineStr">
        <is>
          <t>389705970637.0</t>
        </is>
      </c>
      <c r="P112" s="29" t="inlineStr">
        <is>
          <t>KRW</t>
        </is>
      </c>
      <c r="Q112" s="29" t="inlineStr">
        <is>
          <t>14</t>
        </is>
      </c>
    </row>
    <row r="113" ht="24" customHeight="1">
      <c r="A113" s="24" t="inlineStr">
        <is>
          <t>OpenDART_fnlttSinglAcntAll</t>
        </is>
      </c>
      <c r="B113" s="24" t="inlineStr">
        <is>
          <t>00245472</t>
        </is>
      </c>
      <c r="C113" s="24" t="inlineStr">
        <is>
          <t>티씨케이</t>
        </is>
      </c>
      <c r="D113" s="24" t="inlineStr">
        <is>
          <t>tck</t>
        </is>
      </c>
      <c r="E113" s="24" t="inlineStr">
        <is>
          <t>064760</t>
        </is>
      </c>
      <c r="F113" s="24" t="inlineStr">
        <is>
          <t>2022</t>
        </is>
      </c>
      <c r="G113" s="24" t="inlineStr">
        <is>
          <t>OFS</t>
        </is>
      </c>
      <c r="H113" s="24" t="inlineStr">
        <is>
          <t>BS</t>
        </is>
      </c>
      <c r="I113" s="24" t="inlineStr">
        <is>
          <t>재무상태표</t>
        </is>
      </c>
      <c r="J113" s="24" t="inlineStr">
        <is>
          <t>ifrs-full_CurrentLiabilities</t>
        </is>
      </c>
      <c r="K113" s="24" t="inlineStr">
        <is>
          <t>Ⅰ. 유동부채</t>
        </is>
      </c>
      <c r="L113" s="24" t="inlineStr">
        <is>
          <t>-</t>
        </is>
      </c>
      <c r="M113" s="24" t="inlineStr">
        <is>
          <t>제 28 기</t>
        </is>
      </c>
      <c r="N113" s="24" t="inlineStr">
        <is>
          <t>62254946331.0</t>
        </is>
      </c>
      <c r="O113" s="24" t="inlineStr">
        <is>
          <t>48768265224.0</t>
        </is>
      </c>
      <c r="P113" s="24" t="inlineStr">
        <is>
          <t>KRW</t>
        </is>
      </c>
      <c r="Q113" s="24" t="inlineStr">
        <is>
          <t>16</t>
        </is>
      </c>
    </row>
    <row r="114" ht="24" customHeight="1">
      <c r="A114" s="29" t="inlineStr">
        <is>
          <t>OpenDART_fnlttSinglAcntAll</t>
        </is>
      </c>
      <c r="B114" s="29" t="inlineStr">
        <is>
          <t>00245472</t>
        </is>
      </c>
      <c r="C114" s="29" t="inlineStr">
        <is>
          <t>티씨케이</t>
        </is>
      </c>
      <c r="D114" s="29" t="inlineStr">
        <is>
          <t>tck</t>
        </is>
      </c>
      <c r="E114" s="29" t="inlineStr">
        <is>
          <t>064760</t>
        </is>
      </c>
      <c r="F114" s="29" t="inlineStr">
        <is>
          <t>2022</t>
        </is>
      </c>
      <c r="G114" s="29" t="inlineStr">
        <is>
          <t>OFS</t>
        </is>
      </c>
      <c r="H114" s="29" t="inlineStr">
        <is>
          <t>BS</t>
        </is>
      </c>
      <c r="I114" s="29" t="inlineStr">
        <is>
          <t>재무상태표</t>
        </is>
      </c>
      <c r="J114" s="29" t="inlineStr">
        <is>
          <t>-표준계정코드 미사용-</t>
        </is>
      </c>
      <c r="K114" s="29" t="inlineStr">
        <is>
          <t>1. 파생금융부채</t>
        </is>
      </c>
      <c r="L114" s="29" t="inlineStr">
        <is>
          <t>-</t>
        </is>
      </c>
      <c r="M114" s="29" t="inlineStr">
        <is>
          <t>제 28 기</t>
        </is>
      </c>
      <c r="N114" s="29" t="inlineStr">
        <is>
          <t>19984959.0</t>
        </is>
      </c>
      <c r="O114" s="29" t="inlineStr">
        <is>
          <t>48800824.0</t>
        </is>
      </c>
      <c r="P114" s="29" t="inlineStr">
        <is>
          <t>KRW</t>
        </is>
      </c>
      <c r="Q114" s="29" t="inlineStr">
        <is>
          <t>17</t>
        </is>
      </c>
    </row>
    <row r="115" ht="24" customHeight="1">
      <c r="A115" s="24" t="inlineStr">
        <is>
          <t>OpenDART_fnlttSinglAcntAll</t>
        </is>
      </c>
      <c r="B115" s="24" t="inlineStr">
        <is>
          <t>00245472</t>
        </is>
      </c>
      <c r="C115" s="24" t="inlineStr">
        <is>
          <t>티씨케이</t>
        </is>
      </c>
      <c r="D115" s="24" t="inlineStr">
        <is>
          <t>tck</t>
        </is>
      </c>
      <c r="E115" s="24" t="inlineStr">
        <is>
          <t>064760</t>
        </is>
      </c>
      <c r="F115" s="24" t="inlineStr">
        <is>
          <t>2022</t>
        </is>
      </c>
      <c r="G115" s="24" t="inlineStr">
        <is>
          <t>OFS</t>
        </is>
      </c>
      <c r="H115" s="24" t="inlineStr">
        <is>
          <t>BS</t>
        </is>
      </c>
      <c r="I115" s="24" t="inlineStr">
        <is>
          <t>재무상태표</t>
        </is>
      </c>
      <c r="J115" s="24" t="inlineStr">
        <is>
          <t>dart_ShortTermTradePayables</t>
        </is>
      </c>
      <c r="K115" s="24" t="inlineStr">
        <is>
          <t>2. 매입채무</t>
        </is>
      </c>
      <c r="L115" s="24" t="inlineStr">
        <is>
          <t>-</t>
        </is>
      </c>
      <c r="M115" s="24" t="inlineStr">
        <is>
          <t>제 28 기</t>
        </is>
      </c>
      <c r="N115" s="24" t="inlineStr">
        <is>
          <t>9390212781.0</t>
        </is>
      </c>
      <c r="O115" s="24" t="inlineStr">
        <is>
          <t>5903818307.0</t>
        </is>
      </c>
      <c r="P115" s="24" t="inlineStr">
        <is>
          <t>KRW</t>
        </is>
      </c>
      <c r="Q115" s="24" t="inlineStr">
        <is>
          <t>18</t>
        </is>
      </c>
    </row>
    <row r="116" ht="24" customHeight="1">
      <c r="A116" s="29" t="inlineStr">
        <is>
          <t>OpenDART_fnlttSinglAcntAll</t>
        </is>
      </c>
      <c r="B116" s="29" t="inlineStr">
        <is>
          <t>00245472</t>
        </is>
      </c>
      <c r="C116" s="29" t="inlineStr">
        <is>
          <t>티씨케이</t>
        </is>
      </c>
      <c r="D116" s="29" t="inlineStr">
        <is>
          <t>tck</t>
        </is>
      </c>
      <c r="E116" s="29" t="inlineStr">
        <is>
          <t>064760</t>
        </is>
      </c>
      <c r="F116" s="29" t="inlineStr">
        <is>
          <t>2022</t>
        </is>
      </c>
      <c r="G116" s="29" t="inlineStr">
        <is>
          <t>OFS</t>
        </is>
      </c>
      <c r="H116" s="29" t="inlineStr">
        <is>
          <t>BS</t>
        </is>
      </c>
      <c r="I116" s="29" t="inlineStr">
        <is>
          <t>재무상태표</t>
        </is>
      </c>
      <c r="J116" s="29" t="inlineStr">
        <is>
          <t>ifrs-full_OtherCurrentFinancialLiabilities</t>
        </is>
      </c>
      <c r="K116" s="29" t="inlineStr">
        <is>
          <t>3. 기타유동금융부채</t>
        </is>
      </c>
      <c r="L116" s="29" t="inlineStr">
        <is>
          <t>-</t>
        </is>
      </c>
      <c r="M116" s="29" t="inlineStr">
        <is>
          <t>제 28 기</t>
        </is>
      </c>
      <c r="N116" s="29" t="inlineStr">
        <is>
          <t>30089959932.0</t>
        </is>
      </c>
      <c r="O116" s="29" t="inlineStr">
        <is>
          <t>24398854145.0</t>
        </is>
      </c>
      <c r="P116" s="29" t="inlineStr">
        <is>
          <t>KRW</t>
        </is>
      </c>
      <c r="Q116" s="29" t="inlineStr">
        <is>
          <t>19</t>
        </is>
      </c>
    </row>
    <row r="117" ht="24" customHeight="1">
      <c r="A117" s="24" t="inlineStr">
        <is>
          <t>OpenDART_fnlttSinglAcntAll</t>
        </is>
      </c>
      <c r="B117" s="24" t="inlineStr">
        <is>
          <t>00245472</t>
        </is>
      </c>
      <c r="C117" s="24" t="inlineStr">
        <is>
          <t>티씨케이</t>
        </is>
      </c>
      <c r="D117" s="24" t="inlineStr">
        <is>
          <t>tck</t>
        </is>
      </c>
      <c r="E117" s="24" t="inlineStr">
        <is>
          <t>064760</t>
        </is>
      </c>
      <c r="F117" s="24" t="inlineStr">
        <is>
          <t>2022</t>
        </is>
      </c>
      <c r="G117" s="24" t="inlineStr">
        <is>
          <t>OFS</t>
        </is>
      </c>
      <c r="H117" s="24" t="inlineStr">
        <is>
          <t>BS</t>
        </is>
      </c>
      <c r="I117" s="24" t="inlineStr">
        <is>
          <t>재무상태표</t>
        </is>
      </c>
      <c r="J117" s="24" t="inlineStr">
        <is>
          <t>dart_OtherCurrentLiabilities</t>
        </is>
      </c>
      <c r="K117" s="24" t="inlineStr">
        <is>
          <t>4. 기타유동부채</t>
        </is>
      </c>
      <c r="L117" s="24" t="inlineStr">
        <is>
          <t>-</t>
        </is>
      </c>
      <c r="M117" s="24" t="inlineStr">
        <is>
          <t>제 28 기</t>
        </is>
      </c>
      <c r="N117" s="24" t="inlineStr">
        <is>
          <t>848887089.0</t>
        </is>
      </c>
      <c r="O117" s="24" t="inlineStr">
        <is>
          <t>647195889.0</t>
        </is>
      </c>
      <c r="P117" s="24" t="inlineStr">
        <is>
          <t>KRW</t>
        </is>
      </c>
      <c r="Q117" s="24" t="inlineStr">
        <is>
          <t>20</t>
        </is>
      </c>
    </row>
    <row r="118" ht="24" customHeight="1">
      <c r="A118" s="29" t="inlineStr">
        <is>
          <t>OpenDART_fnlttSinglAcntAll</t>
        </is>
      </c>
      <c r="B118" s="29" t="inlineStr">
        <is>
          <t>00245472</t>
        </is>
      </c>
      <c r="C118" s="29" t="inlineStr">
        <is>
          <t>티씨케이</t>
        </is>
      </c>
      <c r="D118" s="29" t="inlineStr">
        <is>
          <t>tck</t>
        </is>
      </c>
      <c r="E118" s="29" t="inlineStr">
        <is>
          <t>064760</t>
        </is>
      </c>
      <c r="F118" s="29" t="inlineStr">
        <is>
          <t>2022</t>
        </is>
      </c>
      <c r="G118" s="29" t="inlineStr">
        <is>
          <t>OFS</t>
        </is>
      </c>
      <c r="H118" s="29" t="inlineStr">
        <is>
          <t>BS</t>
        </is>
      </c>
      <c r="I118" s="29" t="inlineStr">
        <is>
          <t>재무상태표</t>
        </is>
      </c>
      <c r="J118" s="29" t="inlineStr">
        <is>
          <t>ifrs-full_CurrentTaxLiabilities</t>
        </is>
      </c>
      <c r="K118" s="29" t="inlineStr">
        <is>
          <t>5. 당기법인세부채</t>
        </is>
      </c>
      <c r="L118" s="29" t="inlineStr">
        <is>
          <t>-</t>
        </is>
      </c>
      <c r="M118" s="29" t="inlineStr">
        <is>
          <t>제 28 기</t>
        </is>
      </c>
      <c r="N118" s="29" t="inlineStr">
        <is>
          <t>20401046731.0</t>
        </is>
      </c>
      <c r="O118" s="29" t="inlineStr">
        <is>
          <t>16295825152.0</t>
        </is>
      </c>
      <c r="P118" s="29" t="inlineStr">
        <is>
          <t>KRW</t>
        </is>
      </c>
      <c r="Q118" s="29" t="inlineStr">
        <is>
          <t>21</t>
        </is>
      </c>
    </row>
    <row r="119" ht="24" customHeight="1">
      <c r="A119" s="24" t="inlineStr">
        <is>
          <t>OpenDART_fnlttSinglAcntAll</t>
        </is>
      </c>
      <c r="B119" s="24" t="inlineStr">
        <is>
          <t>00245472</t>
        </is>
      </c>
      <c r="C119" s="24" t="inlineStr">
        <is>
          <t>티씨케이</t>
        </is>
      </c>
      <c r="D119" s="24" t="inlineStr">
        <is>
          <t>tck</t>
        </is>
      </c>
      <c r="E119" s="24" t="inlineStr">
        <is>
          <t>064760</t>
        </is>
      </c>
      <c r="F119" s="24" t="inlineStr">
        <is>
          <t>2022</t>
        </is>
      </c>
      <c r="G119" s="24" t="inlineStr">
        <is>
          <t>OFS</t>
        </is>
      </c>
      <c r="H119" s="24" t="inlineStr">
        <is>
          <t>BS</t>
        </is>
      </c>
      <c r="I119" s="24" t="inlineStr">
        <is>
          <t>재무상태표</t>
        </is>
      </c>
      <c r="J119" s="24" t="inlineStr">
        <is>
          <t>ifrs-full_CurrentProvisions</t>
        </is>
      </c>
      <c r="K119" s="24" t="inlineStr">
        <is>
          <t>6. 유동충당부채</t>
        </is>
      </c>
      <c r="L119" s="24" t="inlineStr">
        <is>
          <t>-</t>
        </is>
      </c>
      <c r="M119" s="24" t="inlineStr">
        <is>
          <t>제 28 기</t>
        </is>
      </c>
      <c r="N119" s="24" t="inlineStr">
        <is>
          <t>1271076441.0</t>
        </is>
      </c>
      <c r="O119" s="24" t="inlineStr">
        <is>
          <t>1195513216.0</t>
        </is>
      </c>
      <c r="P119" s="24" t="inlineStr">
        <is>
          <t>KRW</t>
        </is>
      </c>
      <c r="Q119" s="24" t="inlineStr">
        <is>
          <t>22</t>
        </is>
      </c>
    </row>
    <row r="120" ht="24" customHeight="1">
      <c r="A120" s="29" t="inlineStr">
        <is>
          <t>OpenDART_fnlttSinglAcntAll</t>
        </is>
      </c>
      <c r="B120" s="29" t="inlineStr">
        <is>
          <t>00245472</t>
        </is>
      </c>
      <c r="C120" s="29" t="inlineStr">
        <is>
          <t>티씨케이</t>
        </is>
      </c>
      <c r="D120" s="29" t="inlineStr">
        <is>
          <t>tck</t>
        </is>
      </c>
      <c r="E120" s="29" t="inlineStr">
        <is>
          <t>064760</t>
        </is>
      </c>
      <c r="F120" s="29" t="inlineStr">
        <is>
          <t>2022</t>
        </is>
      </c>
      <c r="G120" s="29" t="inlineStr">
        <is>
          <t>OFS</t>
        </is>
      </c>
      <c r="H120" s="29" t="inlineStr">
        <is>
          <t>BS</t>
        </is>
      </c>
      <c r="I120" s="29" t="inlineStr">
        <is>
          <t>재무상태표</t>
        </is>
      </c>
      <c r="J120" s="29" t="inlineStr">
        <is>
          <t>ifrs-full_CurrentLeaseLiabilities</t>
        </is>
      </c>
      <c r="K120" s="29" t="inlineStr">
        <is>
          <t>7. 유동리스부채</t>
        </is>
      </c>
      <c r="L120" s="29" t="inlineStr">
        <is>
          <t>-</t>
        </is>
      </c>
      <c r="M120" s="29" t="inlineStr">
        <is>
          <t>제 28 기</t>
        </is>
      </c>
      <c r="N120" s="29" t="inlineStr">
        <is>
          <t>233778398.0</t>
        </is>
      </c>
      <c r="O120" s="29" t="inlineStr">
        <is>
          <t>278257691.0</t>
        </is>
      </c>
      <c r="P120" s="29" t="inlineStr">
        <is>
          <t>KRW</t>
        </is>
      </c>
      <c r="Q120" s="29" t="inlineStr">
        <is>
          <t>23</t>
        </is>
      </c>
    </row>
    <row r="121" ht="24" customHeight="1">
      <c r="A121" s="24" t="inlineStr">
        <is>
          <t>OpenDART_fnlttSinglAcntAll</t>
        </is>
      </c>
      <c r="B121" s="24" t="inlineStr">
        <is>
          <t>00245472</t>
        </is>
      </c>
      <c r="C121" s="24" t="inlineStr">
        <is>
          <t>티씨케이</t>
        </is>
      </c>
      <c r="D121" s="24" t="inlineStr">
        <is>
          <t>tck</t>
        </is>
      </c>
      <c r="E121" s="24" t="inlineStr">
        <is>
          <t>064760</t>
        </is>
      </c>
      <c r="F121" s="24" t="inlineStr">
        <is>
          <t>2022</t>
        </is>
      </c>
      <c r="G121" s="24" t="inlineStr">
        <is>
          <t>OFS</t>
        </is>
      </c>
      <c r="H121" s="24" t="inlineStr">
        <is>
          <t>BS</t>
        </is>
      </c>
      <c r="I121" s="24" t="inlineStr">
        <is>
          <t>재무상태표</t>
        </is>
      </c>
      <c r="J121" s="24" t="inlineStr">
        <is>
          <t>ifrs-full_NoncurrentLiabilities</t>
        </is>
      </c>
      <c r="K121" s="24" t="inlineStr">
        <is>
          <t>Ⅱ. 비유동부채</t>
        </is>
      </c>
      <c r="L121" s="24" t="inlineStr">
        <is>
          <t>-</t>
        </is>
      </c>
      <c r="M121" s="24" t="inlineStr">
        <is>
          <t>제 28 기</t>
        </is>
      </c>
      <c r="N121" s="24" t="inlineStr">
        <is>
          <t>1414467851.0</t>
        </is>
      </c>
      <c r="O121" s="24" t="inlineStr">
        <is>
          <t>1425258330.0</t>
        </is>
      </c>
      <c r="P121" s="24" t="inlineStr">
        <is>
          <t>KRW</t>
        </is>
      </c>
      <c r="Q121" s="24" t="inlineStr">
        <is>
          <t>24</t>
        </is>
      </c>
    </row>
    <row r="122" ht="24" customHeight="1">
      <c r="A122" s="29" t="inlineStr">
        <is>
          <t>OpenDART_fnlttSinglAcntAll</t>
        </is>
      </c>
      <c r="B122" s="29" t="inlineStr">
        <is>
          <t>00245472</t>
        </is>
      </c>
      <c r="C122" s="29" t="inlineStr">
        <is>
          <t>티씨케이</t>
        </is>
      </c>
      <c r="D122" s="29" t="inlineStr">
        <is>
          <t>tck</t>
        </is>
      </c>
      <c r="E122" s="29" t="inlineStr">
        <is>
          <t>064760</t>
        </is>
      </c>
      <c r="F122" s="29" t="inlineStr">
        <is>
          <t>2022</t>
        </is>
      </c>
      <c r="G122" s="29" t="inlineStr">
        <is>
          <t>OFS</t>
        </is>
      </c>
      <c r="H122" s="29" t="inlineStr">
        <is>
          <t>BS</t>
        </is>
      </c>
      <c r="I122" s="29" t="inlineStr">
        <is>
          <t>재무상태표</t>
        </is>
      </c>
      <c r="J122" s="29" t="inlineStr">
        <is>
          <t>ifrs-full_NoncurrentProvisions</t>
        </is>
      </c>
      <c r="K122" s="29" t="inlineStr">
        <is>
          <t>1. 비유동충당부채</t>
        </is>
      </c>
      <c r="L122" s="29" t="inlineStr">
        <is>
          <t>-</t>
        </is>
      </c>
      <c r="M122" s="29" t="inlineStr">
        <is>
          <t>제 28 기</t>
        </is>
      </c>
      <c r="N122" s="29" t="inlineStr">
        <is>
          <t>1228967209.0</t>
        </is>
      </c>
      <c r="O122" s="29" t="inlineStr">
        <is>
          <t>1118137285.0</t>
        </is>
      </c>
      <c r="P122" s="29" t="inlineStr">
        <is>
          <t>KRW</t>
        </is>
      </c>
      <c r="Q122" s="29" t="inlineStr">
        <is>
          <t>25</t>
        </is>
      </c>
    </row>
    <row r="123" ht="24" customHeight="1">
      <c r="A123" s="24" t="inlineStr">
        <is>
          <t>OpenDART_fnlttSinglAcntAll</t>
        </is>
      </c>
      <c r="B123" s="24" t="inlineStr">
        <is>
          <t>00245472</t>
        </is>
      </c>
      <c r="C123" s="24" t="inlineStr">
        <is>
          <t>티씨케이</t>
        </is>
      </c>
      <c r="D123" s="24" t="inlineStr">
        <is>
          <t>tck</t>
        </is>
      </c>
      <c r="E123" s="24" t="inlineStr">
        <is>
          <t>064760</t>
        </is>
      </c>
      <c r="F123" s="24" t="inlineStr">
        <is>
          <t>2022</t>
        </is>
      </c>
      <c r="G123" s="24" t="inlineStr">
        <is>
          <t>OFS</t>
        </is>
      </c>
      <c r="H123" s="24" t="inlineStr">
        <is>
          <t>BS</t>
        </is>
      </c>
      <c r="I123" s="24" t="inlineStr">
        <is>
          <t>재무상태표</t>
        </is>
      </c>
      <c r="J123" s="24" t="inlineStr">
        <is>
          <t>ifrs-full_NoncurrentLeaseLiabilities</t>
        </is>
      </c>
      <c r="K123" s="24" t="inlineStr">
        <is>
          <t>2. 비유동리스부채</t>
        </is>
      </c>
      <c r="L123" s="24" t="inlineStr">
        <is>
          <t>-</t>
        </is>
      </c>
      <c r="M123" s="24" t="inlineStr">
        <is>
          <t>제 28 기</t>
        </is>
      </c>
      <c r="N123" s="24" t="inlineStr">
        <is>
          <t>185500642.0</t>
        </is>
      </c>
      <c r="O123" s="24" t="inlineStr">
        <is>
          <t>307121045.0</t>
        </is>
      </c>
      <c r="P123" s="24" t="inlineStr">
        <is>
          <t>KRW</t>
        </is>
      </c>
      <c r="Q123" s="24" t="inlineStr">
        <is>
          <t>26</t>
        </is>
      </c>
    </row>
    <row r="124" ht="24" customHeight="1">
      <c r="A124" s="29" t="inlineStr">
        <is>
          <t>OpenDART_fnlttSinglAcntAll</t>
        </is>
      </c>
      <c r="B124" s="29" t="inlineStr">
        <is>
          <t>00245472</t>
        </is>
      </c>
      <c r="C124" s="29" t="inlineStr">
        <is>
          <t>티씨케이</t>
        </is>
      </c>
      <c r="D124" s="29" t="inlineStr">
        <is>
          <t>tck</t>
        </is>
      </c>
      <c r="E124" s="29" t="inlineStr">
        <is>
          <t>064760</t>
        </is>
      </c>
      <c r="F124" s="29" t="inlineStr">
        <is>
          <t>2022</t>
        </is>
      </c>
      <c r="G124" s="29" t="inlineStr">
        <is>
          <t>OFS</t>
        </is>
      </c>
      <c r="H124" s="29" t="inlineStr">
        <is>
          <t>BS</t>
        </is>
      </c>
      <c r="I124" s="29" t="inlineStr">
        <is>
          <t>재무상태표</t>
        </is>
      </c>
      <c r="J124" s="29" t="inlineStr">
        <is>
          <t>ifrs-full_DeferredTaxLiabilities</t>
        </is>
      </c>
      <c r="K124" s="29" t="inlineStr">
        <is>
          <t>3. 이연법인세부채</t>
        </is>
      </c>
      <c r="L124" s="29" t="inlineStr">
        <is>
          <t>-</t>
        </is>
      </c>
      <c r="M124" s="29" t="inlineStr">
        <is>
          <t>제 28 기</t>
        </is>
      </c>
      <c r="N124" s="29" t="inlineStr">
        <is>
          <t>0.0</t>
        </is>
      </c>
      <c r="O124" s="29" t="inlineStr">
        <is>
          <t>0.0</t>
        </is>
      </c>
      <c r="P124" s="29" t="inlineStr">
        <is>
          <t>KRW</t>
        </is>
      </c>
      <c r="Q124" s="29" t="inlineStr">
        <is>
          <t>27</t>
        </is>
      </c>
    </row>
    <row r="125" ht="24" customHeight="1">
      <c r="A125" s="24" t="inlineStr">
        <is>
          <t>OpenDART_fnlttSinglAcntAll</t>
        </is>
      </c>
      <c r="B125" s="24" t="inlineStr">
        <is>
          <t>00245472</t>
        </is>
      </c>
      <c r="C125" s="24" t="inlineStr">
        <is>
          <t>티씨케이</t>
        </is>
      </c>
      <c r="D125" s="24" t="inlineStr">
        <is>
          <t>tck</t>
        </is>
      </c>
      <c r="E125" s="24" t="inlineStr">
        <is>
          <t>064760</t>
        </is>
      </c>
      <c r="F125" s="24" t="inlineStr">
        <is>
          <t>2022</t>
        </is>
      </c>
      <c r="G125" s="24" t="inlineStr">
        <is>
          <t>OFS</t>
        </is>
      </c>
      <c r="H125" s="24" t="inlineStr">
        <is>
          <t>BS</t>
        </is>
      </c>
      <c r="I125" s="24" t="inlineStr">
        <is>
          <t>재무상태표</t>
        </is>
      </c>
      <c r="J125" s="24" t="inlineStr">
        <is>
          <t>ifrs-full_Liabilities</t>
        </is>
      </c>
      <c r="K125" s="24" t="inlineStr">
        <is>
          <t>부채총계</t>
        </is>
      </c>
      <c r="L125" s="24" t="inlineStr">
        <is>
          <t>-</t>
        </is>
      </c>
      <c r="M125" s="24" t="inlineStr">
        <is>
          <t>제 28 기</t>
        </is>
      </c>
      <c r="N125" s="24" t="inlineStr">
        <is>
          <t>63669414182.0</t>
        </is>
      </c>
      <c r="O125" s="24" t="inlineStr">
        <is>
          <t>50193523554.0</t>
        </is>
      </c>
      <c r="P125" s="24" t="inlineStr">
        <is>
          <t>KRW</t>
        </is>
      </c>
      <c r="Q125" s="24" t="inlineStr">
        <is>
          <t>28</t>
        </is>
      </c>
    </row>
    <row r="126" ht="24" customHeight="1">
      <c r="A126" s="29" t="inlineStr">
        <is>
          <t>OpenDART_fnlttSinglAcntAll</t>
        </is>
      </c>
      <c r="B126" s="29" t="inlineStr">
        <is>
          <t>00245472</t>
        </is>
      </c>
      <c r="C126" s="29" t="inlineStr">
        <is>
          <t>티씨케이</t>
        </is>
      </c>
      <c r="D126" s="29" t="inlineStr">
        <is>
          <t>tck</t>
        </is>
      </c>
      <c r="E126" s="29" t="inlineStr">
        <is>
          <t>064760</t>
        </is>
      </c>
      <c r="F126" s="29" t="inlineStr">
        <is>
          <t>2022</t>
        </is>
      </c>
      <c r="G126" s="29" t="inlineStr">
        <is>
          <t>OFS</t>
        </is>
      </c>
      <c r="H126" s="29" t="inlineStr">
        <is>
          <t>BS</t>
        </is>
      </c>
      <c r="I126" s="29" t="inlineStr">
        <is>
          <t>재무상태표</t>
        </is>
      </c>
      <c r="J126" s="29" t="inlineStr">
        <is>
          <t>ifrs-full_IssuedCapital</t>
        </is>
      </c>
      <c r="K126" s="29" t="inlineStr">
        <is>
          <t>Ⅰ. 자본금</t>
        </is>
      </c>
      <c r="L126" s="29" t="inlineStr">
        <is>
          <t>-</t>
        </is>
      </c>
      <c r="M126" s="29" t="inlineStr">
        <is>
          <t>제 28 기</t>
        </is>
      </c>
      <c r="N126" s="29" t="inlineStr">
        <is>
          <t>5837500000.0</t>
        </is>
      </c>
      <c r="O126" s="29" t="inlineStr">
        <is>
          <t>5837500000.0</t>
        </is>
      </c>
      <c r="P126" s="29" t="inlineStr">
        <is>
          <t>KRW</t>
        </is>
      </c>
      <c r="Q126" s="29" t="inlineStr">
        <is>
          <t>30</t>
        </is>
      </c>
    </row>
    <row r="127" ht="24" customHeight="1">
      <c r="A127" s="24" t="inlineStr">
        <is>
          <t>OpenDART_fnlttSinglAcntAll</t>
        </is>
      </c>
      <c r="B127" s="24" t="inlineStr">
        <is>
          <t>00245472</t>
        </is>
      </c>
      <c r="C127" s="24" t="inlineStr">
        <is>
          <t>티씨케이</t>
        </is>
      </c>
      <c r="D127" s="24" t="inlineStr">
        <is>
          <t>tck</t>
        </is>
      </c>
      <c r="E127" s="24" t="inlineStr">
        <is>
          <t>064760</t>
        </is>
      </c>
      <c r="F127" s="24" t="inlineStr">
        <is>
          <t>2022</t>
        </is>
      </c>
      <c r="G127" s="24" t="inlineStr">
        <is>
          <t>OFS</t>
        </is>
      </c>
      <c r="H127" s="24" t="inlineStr">
        <is>
          <t>BS</t>
        </is>
      </c>
      <c r="I127" s="24" t="inlineStr">
        <is>
          <t>재무상태표</t>
        </is>
      </c>
      <c r="J127" s="24" t="inlineStr">
        <is>
          <t>dart_CapitalSurplus</t>
        </is>
      </c>
      <c r="K127" s="24" t="inlineStr">
        <is>
          <t>Ⅱ. 자본잉여금</t>
        </is>
      </c>
      <c r="L127" s="24" t="inlineStr">
        <is>
          <t>-</t>
        </is>
      </c>
      <c r="M127" s="24" t="inlineStr">
        <is>
          <t>제 28 기</t>
        </is>
      </c>
      <c r="N127" s="24" t="inlineStr">
        <is>
          <t>6035001920.0</t>
        </is>
      </c>
      <c r="O127" s="24" t="inlineStr">
        <is>
          <t>6035001920.0</t>
        </is>
      </c>
      <c r="P127" s="24" t="inlineStr">
        <is>
          <t>KRW</t>
        </is>
      </c>
      <c r="Q127" s="24" t="inlineStr">
        <is>
          <t>31</t>
        </is>
      </c>
    </row>
    <row r="128" ht="24" customHeight="1">
      <c r="A128" s="29" t="inlineStr">
        <is>
          <t>OpenDART_fnlttSinglAcntAll</t>
        </is>
      </c>
      <c r="B128" s="29" t="inlineStr">
        <is>
          <t>00245472</t>
        </is>
      </c>
      <c r="C128" s="29" t="inlineStr">
        <is>
          <t>티씨케이</t>
        </is>
      </c>
      <c r="D128" s="29" t="inlineStr">
        <is>
          <t>tck</t>
        </is>
      </c>
      <c r="E128" s="29" t="inlineStr">
        <is>
          <t>064760</t>
        </is>
      </c>
      <c r="F128" s="29" t="inlineStr">
        <is>
          <t>2022</t>
        </is>
      </c>
      <c r="G128" s="29" t="inlineStr">
        <is>
          <t>OFS</t>
        </is>
      </c>
      <c r="H128" s="29" t="inlineStr">
        <is>
          <t>BS</t>
        </is>
      </c>
      <c r="I128" s="29" t="inlineStr">
        <is>
          <t>재무상태표</t>
        </is>
      </c>
      <c r="J128" s="29" t="inlineStr">
        <is>
          <t>dart_ElementsOfOtherStockholdersEquity</t>
        </is>
      </c>
      <c r="K128" s="29" t="inlineStr">
        <is>
          <t>Ⅲ. 기타자본구성요소</t>
        </is>
      </c>
      <c r="L128" s="29" t="inlineStr">
        <is>
          <t>-</t>
        </is>
      </c>
      <c r="M128" s="29" t="inlineStr">
        <is>
          <t>제 28 기</t>
        </is>
      </c>
      <c r="N128" s="29" t="inlineStr">
        <is>
          <t>233168836.0</t>
        </is>
      </c>
      <c r="O128" s="29" t="inlineStr">
        <is>
          <t>233168836.0</t>
        </is>
      </c>
      <c r="P128" s="29" t="inlineStr">
        <is>
          <t>KRW</t>
        </is>
      </c>
      <c r="Q128" s="29" t="inlineStr">
        <is>
          <t>32</t>
        </is>
      </c>
    </row>
    <row r="129" ht="24" customHeight="1">
      <c r="A129" s="24" t="inlineStr">
        <is>
          <t>OpenDART_fnlttSinglAcntAll</t>
        </is>
      </c>
      <c r="B129" s="24" t="inlineStr">
        <is>
          <t>00245472</t>
        </is>
      </c>
      <c r="C129" s="24" t="inlineStr">
        <is>
          <t>티씨케이</t>
        </is>
      </c>
      <c r="D129" s="24" t="inlineStr">
        <is>
          <t>tck</t>
        </is>
      </c>
      <c r="E129" s="24" t="inlineStr">
        <is>
          <t>064760</t>
        </is>
      </c>
      <c r="F129" s="24" t="inlineStr">
        <is>
          <t>2022</t>
        </is>
      </c>
      <c r="G129" s="24" t="inlineStr">
        <is>
          <t>OFS</t>
        </is>
      </c>
      <c r="H129" s="24" t="inlineStr">
        <is>
          <t>BS</t>
        </is>
      </c>
      <c r="I129" s="24" t="inlineStr">
        <is>
          <t>재무상태표</t>
        </is>
      </c>
      <c r="J129" s="24" t="inlineStr">
        <is>
          <t>ifrs-full_RetainedEarnings</t>
        </is>
      </c>
      <c r="K129" s="24" t="inlineStr">
        <is>
          <t>Ⅳ. 이익잉여금</t>
        </is>
      </c>
      <c r="L129" s="24" t="inlineStr">
        <is>
          <t>-</t>
        </is>
      </c>
      <c r="M129" s="24" t="inlineStr">
        <is>
          <t>제 28 기</t>
        </is>
      </c>
      <c r="N129" s="24" t="inlineStr">
        <is>
          <t>404767974325.0</t>
        </is>
      </c>
      <c r="O129" s="24" t="inlineStr">
        <is>
          <t>327406776327.0</t>
        </is>
      </c>
      <c r="P129" s="24" t="inlineStr">
        <is>
          <t>KRW</t>
        </is>
      </c>
      <c r="Q129" s="24" t="inlineStr">
        <is>
          <t>33</t>
        </is>
      </c>
    </row>
    <row r="130" ht="24" customHeight="1">
      <c r="A130" s="29" t="inlineStr">
        <is>
          <t>OpenDART_fnlttSinglAcntAll</t>
        </is>
      </c>
      <c r="B130" s="29" t="inlineStr">
        <is>
          <t>00245472</t>
        </is>
      </c>
      <c r="C130" s="29" t="inlineStr">
        <is>
          <t>티씨케이</t>
        </is>
      </c>
      <c r="D130" s="29" t="inlineStr">
        <is>
          <t>tck</t>
        </is>
      </c>
      <c r="E130" s="29" t="inlineStr">
        <is>
          <t>064760</t>
        </is>
      </c>
      <c r="F130" s="29" t="inlineStr">
        <is>
          <t>2022</t>
        </is>
      </c>
      <c r="G130" s="29" t="inlineStr">
        <is>
          <t>OFS</t>
        </is>
      </c>
      <c r="H130" s="29" t="inlineStr">
        <is>
          <t>BS</t>
        </is>
      </c>
      <c r="I130" s="29" t="inlineStr">
        <is>
          <t>재무상태표</t>
        </is>
      </c>
      <c r="J130" s="29" t="inlineStr">
        <is>
          <t>ifrs-full_Equity</t>
        </is>
      </c>
      <c r="K130" s="29" t="inlineStr">
        <is>
          <t>자본총계</t>
        </is>
      </c>
      <c r="L130" s="29" t="inlineStr">
        <is>
          <t>-</t>
        </is>
      </c>
      <c r="M130" s="29" t="inlineStr">
        <is>
          <t>제 28 기</t>
        </is>
      </c>
      <c r="N130" s="29" t="inlineStr">
        <is>
          <t>416873645081.0</t>
        </is>
      </c>
      <c r="O130" s="29" t="inlineStr">
        <is>
          <t>339512447083.0</t>
        </is>
      </c>
      <c r="P130" s="29" t="inlineStr">
        <is>
          <t>KRW</t>
        </is>
      </c>
      <c r="Q130" s="29" t="inlineStr">
        <is>
          <t>34</t>
        </is>
      </c>
    </row>
    <row r="131" ht="24" customHeight="1">
      <c r="A131" s="24" t="inlineStr">
        <is>
          <t>OpenDART_fnlttSinglAcntAll</t>
        </is>
      </c>
      <c r="B131" s="24" t="inlineStr">
        <is>
          <t>00245472</t>
        </is>
      </c>
      <c r="C131" s="24" t="inlineStr">
        <is>
          <t>티씨케이</t>
        </is>
      </c>
      <c r="D131" s="24" t="inlineStr">
        <is>
          <t>tck</t>
        </is>
      </c>
      <c r="E131" s="24" t="inlineStr">
        <is>
          <t>064760</t>
        </is>
      </c>
      <c r="F131" s="24" t="inlineStr">
        <is>
          <t>2022</t>
        </is>
      </c>
      <c r="G131" s="24" t="inlineStr">
        <is>
          <t>OFS</t>
        </is>
      </c>
      <c r="H131" s="24" t="inlineStr">
        <is>
          <t>BS</t>
        </is>
      </c>
      <c r="I131" s="24" t="inlineStr">
        <is>
          <t>재무상태표</t>
        </is>
      </c>
      <c r="J131" s="24" t="inlineStr">
        <is>
          <t>ifrs-full_EquityAndLiabilities</t>
        </is>
      </c>
      <c r="K131" s="24" t="inlineStr">
        <is>
          <t>자본과부채총계</t>
        </is>
      </c>
      <c r="L131" s="24" t="inlineStr">
        <is>
          <t>-</t>
        </is>
      </c>
      <c r="M131" s="24" t="inlineStr">
        <is>
          <t>제 28 기</t>
        </is>
      </c>
      <c r="N131" s="24" t="inlineStr">
        <is>
          <t>480543059263.0</t>
        </is>
      </c>
      <c r="O131" s="24" t="inlineStr">
        <is>
          <t>389705970637.0</t>
        </is>
      </c>
      <c r="P131" s="24" t="inlineStr">
        <is>
          <t>KRW</t>
        </is>
      </c>
      <c r="Q131" s="24" t="inlineStr">
        <is>
          <t>35</t>
        </is>
      </c>
    </row>
    <row r="132" ht="24" customHeight="1">
      <c r="A132" s="29" t="inlineStr">
        <is>
          <t>OpenDART_fnlttSinglAcntAll</t>
        </is>
      </c>
      <c r="B132" s="29" t="inlineStr">
        <is>
          <t>00245472</t>
        </is>
      </c>
      <c r="C132" s="29" t="inlineStr">
        <is>
          <t>티씨케이</t>
        </is>
      </c>
      <c r="D132" s="29" t="inlineStr">
        <is>
          <t>tck</t>
        </is>
      </c>
      <c r="E132" s="29" t="inlineStr">
        <is>
          <t>064760</t>
        </is>
      </c>
      <c r="F132" s="29" t="inlineStr">
        <is>
          <t>2022</t>
        </is>
      </c>
      <c r="G132" s="29" t="inlineStr">
        <is>
          <t>OFS</t>
        </is>
      </c>
      <c r="H132" s="29" t="inlineStr">
        <is>
          <t>CIS</t>
        </is>
      </c>
      <c r="I132" s="29" t="inlineStr">
        <is>
          <t>포괄손익계산서</t>
        </is>
      </c>
      <c r="J132" s="29" t="inlineStr">
        <is>
          <t>ifrs-full_Revenue</t>
        </is>
      </c>
      <c r="K132" s="29" t="inlineStr">
        <is>
          <t>Ⅰ. 매출액</t>
        </is>
      </c>
      <c r="L132" s="29" t="inlineStr">
        <is>
          <t>-</t>
        </is>
      </c>
      <c r="M132" s="29" t="inlineStr">
        <is>
          <t>제 28 기</t>
        </is>
      </c>
      <c r="N132" s="29" t="inlineStr">
        <is>
          <t>319562836196.0</t>
        </is>
      </c>
      <c r="O132" s="29" t="inlineStr">
        <is>
          <t>270766567696.0</t>
        </is>
      </c>
      <c r="P132" s="29" t="inlineStr">
        <is>
          <t>KRW</t>
        </is>
      </c>
      <c r="Q132" s="29" t="inlineStr">
        <is>
          <t>0</t>
        </is>
      </c>
    </row>
    <row r="133" ht="24" customHeight="1">
      <c r="A133" s="24" t="inlineStr">
        <is>
          <t>OpenDART_fnlttSinglAcntAll</t>
        </is>
      </c>
      <c r="B133" s="24" t="inlineStr">
        <is>
          <t>00245472</t>
        </is>
      </c>
      <c r="C133" s="24" t="inlineStr">
        <is>
          <t>티씨케이</t>
        </is>
      </c>
      <c r="D133" s="24" t="inlineStr">
        <is>
          <t>tck</t>
        </is>
      </c>
      <c r="E133" s="24" t="inlineStr">
        <is>
          <t>064760</t>
        </is>
      </c>
      <c r="F133" s="24" t="inlineStr">
        <is>
          <t>2022</t>
        </is>
      </c>
      <c r="G133" s="24" t="inlineStr">
        <is>
          <t>OFS</t>
        </is>
      </c>
      <c r="H133" s="24" t="inlineStr">
        <is>
          <t>CIS</t>
        </is>
      </c>
      <c r="I133" s="24" t="inlineStr">
        <is>
          <t>포괄손익계산서</t>
        </is>
      </c>
      <c r="J133" s="24" t="inlineStr">
        <is>
          <t>ifrs-full_CostOfSales</t>
        </is>
      </c>
      <c r="K133" s="24" t="inlineStr">
        <is>
          <t>Ⅱ. 매출원가</t>
        </is>
      </c>
      <c r="L133" s="24" t="inlineStr">
        <is>
          <t>-</t>
        </is>
      </c>
      <c r="M133" s="24" t="inlineStr">
        <is>
          <t>제 28 기</t>
        </is>
      </c>
      <c r="N133" s="24" t="inlineStr">
        <is>
          <t>168677585875.0</t>
        </is>
      </c>
      <c r="O133" s="24" t="inlineStr">
        <is>
          <t>146642802049.0</t>
        </is>
      </c>
      <c r="P133" s="24" t="inlineStr">
        <is>
          <t>KRW</t>
        </is>
      </c>
      <c r="Q133" s="24" t="inlineStr">
        <is>
          <t>1</t>
        </is>
      </c>
    </row>
    <row r="134" ht="24" customHeight="1">
      <c r="A134" s="29" t="inlineStr">
        <is>
          <t>OpenDART_fnlttSinglAcntAll</t>
        </is>
      </c>
      <c r="B134" s="29" t="inlineStr">
        <is>
          <t>00245472</t>
        </is>
      </c>
      <c r="C134" s="29" t="inlineStr">
        <is>
          <t>티씨케이</t>
        </is>
      </c>
      <c r="D134" s="29" t="inlineStr">
        <is>
          <t>tck</t>
        </is>
      </c>
      <c r="E134" s="29" t="inlineStr">
        <is>
          <t>064760</t>
        </is>
      </c>
      <c r="F134" s="29" t="inlineStr">
        <is>
          <t>2022</t>
        </is>
      </c>
      <c r="G134" s="29" t="inlineStr">
        <is>
          <t>OFS</t>
        </is>
      </c>
      <c r="H134" s="29" t="inlineStr">
        <is>
          <t>CIS</t>
        </is>
      </c>
      <c r="I134" s="29" t="inlineStr">
        <is>
          <t>포괄손익계산서</t>
        </is>
      </c>
      <c r="J134" s="29" t="inlineStr">
        <is>
          <t>ifrs-full_GrossProfit</t>
        </is>
      </c>
      <c r="K134" s="29" t="inlineStr">
        <is>
          <t>Ⅲ. 매출총이익</t>
        </is>
      </c>
      <c r="L134" s="29" t="inlineStr">
        <is>
          <t>-</t>
        </is>
      </c>
      <c r="M134" s="29" t="inlineStr">
        <is>
          <t>제 28 기</t>
        </is>
      </c>
      <c r="N134" s="29" t="inlineStr">
        <is>
          <t>150885250321.0</t>
        </is>
      </c>
      <c r="O134" s="29" t="inlineStr">
        <is>
          <t>124123765647.0</t>
        </is>
      </c>
      <c r="P134" s="29" t="inlineStr">
        <is>
          <t>KRW</t>
        </is>
      </c>
      <c r="Q134" s="29" t="inlineStr">
        <is>
          <t>2</t>
        </is>
      </c>
    </row>
    <row r="135" ht="24" customHeight="1">
      <c r="A135" s="24" t="inlineStr">
        <is>
          <t>OpenDART_fnlttSinglAcntAll</t>
        </is>
      </c>
      <c r="B135" s="24" t="inlineStr">
        <is>
          <t>00245472</t>
        </is>
      </c>
      <c r="C135" s="24" t="inlineStr">
        <is>
          <t>티씨케이</t>
        </is>
      </c>
      <c r="D135" s="24" t="inlineStr">
        <is>
          <t>tck</t>
        </is>
      </c>
      <c r="E135" s="24" t="inlineStr">
        <is>
          <t>064760</t>
        </is>
      </c>
      <c r="F135" s="24" t="inlineStr">
        <is>
          <t>2022</t>
        </is>
      </c>
      <c r="G135" s="24" t="inlineStr">
        <is>
          <t>OFS</t>
        </is>
      </c>
      <c r="H135" s="24" t="inlineStr">
        <is>
          <t>CIS</t>
        </is>
      </c>
      <c r="I135" s="24" t="inlineStr">
        <is>
          <t>포괄손익계산서</t>
        </is>
      </c>
      <c r="J135" s="24" t="inlineStr">
        <is>
          <t>dart_TotalSellingGeneralAdministrativeExpenses</t>
        </is>
      </c>
      <c r="K135" s="24" t="inlineStr">
        <is>
          <t>판매비와관리비</t>
        </is>
      </c>
      <c r="L135" s="24" t="inlineStr">
        <is>
          <t>-</t>
        </is>
      </c>
      <c r="M135" s="24" t="inlineStr">
        <is>
          <t>제 28 기</t>
        </is>
      </c>
      <c r="N135" s="24" t="inlineStr">
        <is>
          <t>23827832354.0</t>
        </is>
      </c>
      <c r="O135" s="24" t="inlineStr">
        <is>
          <t>20723897030.0</t>
        </is>
      </c>
      <c r="P135" s="24" t="inlineStr">
        <is>
          <t>KRW</t>
        </is>
      </c>
      <c r="Q135" s="24" t="inlineStr">
        <is>
          <t>3</t>
        </is>
      </c>
    </row>
    <row r="136" ht="24" customHeight="1">
      <c r="A136" s="29" t="inlineStr">
        <is>
          <t>OpenDART_fnlttSinglAcntAll</t>
        </is>
      </c>
      <c r="B136" s="29" t="inlineStr">
        <is>
          <t>00245472</t>
        </is>
      </c>
      <c r="C136" s="29" t="inlineStr">
        <is>
          <t>티씨케이</t>
        </is>
      </c>
      <c r="D136" s="29" t="inlineStr">
        <is>
          <t>tck</t>
        </is>
      </c>
      <c r="E136" s="29" t="inlineStr">
        <is>
          <t>064760</t>
        </is>
      </c>
      <c r="F136" s="29" t="inlineStr">
        <is>
          <t>2022</t>
        </is>
      </c>
      <c r="G136" s="29" t="inlineStr">
        <is>
          <t>OFS</t>
        </is>
      </c>
      <c r="H136" s="29" t="inlineStr">
        <is>
          <t>CIS</t>
        </is>
      </c>
      <c r="I136" s="29" t="inlineStr">
        <is>
          <t>포괄손익계산서</t>
        </is>
      </c>
      <c r="J136" s="29" t="inlineStr">
        <is>
          <t>-표준계정코드 미사용-</t>
        </is>
      </c>
      <c r="K136" s="29" t="inlineStr">
        <is>
          <t>대손상각비</t>
        </is>
      </c>
      <c r="L136" s="29" t="inlineStr">
        <is>
          <t>-</t>
        </is>
      </c>
      <c r="M136" s="29" t="inlineStr">
        <is>
          <t>제 28 기</t>
        </is>
      </c>
      <c r="N136" s="29" t="inlineStr">
        <is>
          <t>30776617.0</t>
        </is>
      </c>
      <c r="O136" s="29" t="inlineStr">
        <is>
          <t>-493068.0</t>
        </is>
      </c>
      <c r="P136" s="29" t="inlineStr">
        <is>
          <t>KRW</t>
        </is>
      </c>
      <c r="Q136" s="29" t="inlineStr">
        <is>
          <t>4</t>
        </is>
      </c>
    </row>
    <row r="137" ht="24" customHeight="1">
      <c r="A137" s="24" t="inlineStr">
        <is>
          <t>OpenDART_fnlttSinglAcntAll</t>
        </is>
      </c>
      <c r="B137" s="24" t="inlineStr">
        <is>
          <t>00245472</t>
        </is>
      </c>
      <c r="C137" s="24" t="inlineStr">
        <is>
          <t>티씨케이</t>
        </is>
      </c>
      <c r="D137" s="24" t="inlineStr">
        <is>
          <t>tck</t>
        </is>
      </c>
      <c r="E137" s="24" t="inlineStr">
        <is>
          <t>064760</t>
        </is>
      </c>
      <c r="F137" s="24" t="inlineStr">
        <is>
          <t>2022</t>
        </is>
      </c>
      <c r="G137" s="24" t="inlineStr">
        <is>
          <t>OFS</t>
        </is>
      </c>
      <c r="H137" s="24" t="inlineStr">
        <is>
          <t>CIS</t>
        </is>
      </c>
      <c r="I137" s="24" t="inlineStr">
        <is>
          <t>포괄손익계산서</t>
        </is>
      </c>
      <c r="J137" s="24" t="inlineStr">
        <is>
          <t>dart_OperatingIncomeLoss</t>
        </is>
      </c>
      <c r="K137" s="24" t="inlineStr">
        <is>
          <t>Ⅳ. 영업이익</t>
        </is>
      </c>
      <c r="L137" s="24" t="inlineStr">
        <is>
          <t>-</t>
        </is>
      </c>
      <c r="M137" s="24" t="inlineStr">
        <is>
          <t>제 28 기</t>
        </is>
      </c>
      <c r="N137" s="24" t="inlineStr">
        <is>
          <t>127026641350.0</t>
        </is>
      </c>
      <c r="O137" s="24" t="inlineStr">
        <is>
          <t>103400361685.0</t>
        </is>
      </c>
      <c r="P137" s="24" t="inlineStr">
        <is>
          <t>KRW</t>
        </is>
      </c>
      <c r="Q137" s="24" t="inlineStr">
        <is>
          <t>5</t>
        </is>
      </c>
    </row>
    <row r="138" ht="24" customHeight="1">
      <c r="A138" s="29" t="inlineStr">
        <is>
          <t>OpenDART_fnlttSinglAcntAll</t>
        </is>
      </c>
      <c r="B138" s="29" t="inlineStr">
        <is>
          <t>00245472</t>
        </is>
      </c>
      <c r="C138" s="29" t="inlineStr">
        <is>
          <t>티씨케이</t>
        </is>
      </c>
      <c r="D138" s="29" t="inlineStr">
        <is>
          <t>tck</t>
        </is>
      </c>
      <c r="E138" s="29" t="inlineStr">
        <is>
          <t>064760</t>
        </is>
      </c>
      <c r="F138" s="29" t="inlineStr">
        <is>
          <t>2022</t>
        </is>
      </c>
      <c r="G138" s="29" t="inlineStr">
        <is>
          <t>OFS</t>
        </is>
      </c>
      <c r="H138" s="29" t="inlineStr">
        <is>
          <t>CIS</t>
        </is>
      </c>
      <c r="I138" s="29" t="inlineStr">
        <is>
          <t>포괄손익계산서</t>
        </is>
      </c>
      <c r="J138" s="29" t="inlineStr">
        <is>
          <t>dart_OtherGains</t>
        </is>
      </c>
      <c r="K138" s="29" t="inlineStr">
        <is>
          <t>기타수익</t>
        </is>
      </c>
      <c r="L138" s="29" t="inlineStr">
        <is>
          <t>-</t>
        </is>
      </c>
      <c r="M138" s="29" t="inlineStr">
        <is>
          <t>제 28 기</t>
        </is>
      </c>
      <c r="N138" s="29" t="inlineStr">
        <is>
          <t>8602329711.0</t>
        </is>
      </c>
      <c r="O138" s="29" t="inlineStr">
        <is>
          <t>3171157328.0</t>
        </is>
      </c>
      <c r="P138" s="29" t="inlineStr">
        <is>
          <t>KRW</t>
        </is>
      </c>
      <c r="Q138" s="29" t="inlineStr">
        <is>
          <t>6</t>
        </is>
      </c>
    </row>
    <row r="139" ht="24" customHeight="1">
      <c r="A139" s="24" t="inlineStr">
        <is>
          <t>OpenDART_fnlttSinglAcntAll</t>
        </is>
      </c>
      <c r="B139" s="24" t="inlineStr">
        <is>
          <t>00245472</t>
        </is>
      </c>
      <c r="C139" s="24" t="inlineStr">
        <is>
          <t>티씨케이</t>
        </is>
      </c>
      <c r="D139" s="24" t="inlineStr">
        <is>
          <t>tck</t>
        </is>
      </c>
      <c r="E139" s="24" t="inlineStr">
        <is>
          <t>064760</t>
        </is>
      </c>
      <c r="F139" s="24" t="inlineStr">
        <is>
          <t>2022</t>
        </is>
      </c>
      <c r="G139" s="24" t="inlineStr">
        <is>
          <t>OFS</t>
        </is>
      </c>
      <c r="H139" s="24" t="inlineStr">
        <is>
          <t>CIS</t>
        </is>
      </c>
      <c r="I139" s="24" t="inlineStr">
        <is>
          <t>포괄손익계산서</t>
        </is>
      </c>
      <c r="J139" s="24" t="inlineStr">
        <is>
          <t>dart_OtherLosses</t>
        </is>
      </c>
      <c r="K139" s="24" t="inlineStr">
        <is>
          <t>기타비용</t>
        </is>
      </c>
      <c r="L139" s="24" t="inlineStr">
        <is>
          <t>-</t>
        </is>
      </c>
      <c r="M139" s="24" t="inlineStr">
        <is>
          <t>제 28 기</t>
        </is>
      </c>
      <c r="N139" s="24" t="inlineStr">
        <is>
          <t>12342538783.0</t>
        </is>
      </c>
      <c r="O139" s="24" t="inlineStr">
        <is>
          <t>1829779627.0</t>
        </is>
      </c>
      <c r="P139" s="24" t="inlineStr">
        <is>
          <t>KRW</t>
        </is>
      </c>
      <c r="Q139" s="24" t="inlineStr">
        <is>
          <t>7</t>
        </is>
      </c>
    </row>
    <row r="140" ht="24" customHeight="1">
      <c r="A140" s="29" t="inlineStr">
        <is>
          <t>OpenDART_fnlttSinglAcntAll</t>
        </is>
      </c>
      <c r="B140" s="29" t="inlineStr">
        <is>
          <t>00245472</t>
        </is>
      </c>
      <c r="C140" s="29" t="inlineStr">
        <is>
          <t>티씨케이</t>
        </is>
      </c>
      <c r="D140" s="29" t="inlineStr">
        <is>
          <t>tck</t>
        </is>
      </c>
      <c r="E140" s="29" t="inlineStr">
        <is>
          <t>064760</t>
        </is>
      </c>
      <c r="F140" s="29" t="inlineStr">
        <is>
          <t>2022</t>
        </is>
      </c>
      <c r="G140" s="29" t="inlineStr">
        <is>
          <t>OFS</t>
        </is>
      </c>
      <c r="H140" s="29" t="inlineStr">
        <is>
          <t>CIS</t>
        </is>
      </c>
      <c r="I140" s="29" t="inlineStr">
        <is>
          <t>포괄손익계산서</t>
        </is>
      </c>
      <c r="J140" s="29" t="inlineStr">
        <is>
          <t>ifrs-full_FinanceIncome</t>
        </is>
      </c>
      <c r="K140" s="29" t="inlineStr">
        <is>
          <t>금융수익</t>
        </is>
      </c>
      <c r="L140" s="29" t="inlineStr">
        <is>
          <t>-</t>
        </is>
      </c>
      <c r="M140" s="29" t="inlineStr">
        <is>
          <t>제 28 기</t>
        </is>
      </c>
      <c r="N140" s="29" t="inlineStr">
        <is>
          <t>4654856331.0</t>
        </is>
      </c>
      <c r="O140" s="29" t="inlineStr">
        <is>
          <t>1599785703.0</t>
        </is>
      </c>
      <c r="P140" s="29" t="inlineStr">
        <is>
          <t>KRW</t>
        </is>
      </c>
      <c r="Q140" s="29" t="inlineStr">
        <is>
          <t>8</t>
        </is>
      </c>
    </row>
    <row r="141" ht="24" customHeight="1">
      <c r="A141" s="24" t="inlineStr">
        <is>
          <t>OpenDART_fnlttSinglAcntAll</t>
        </is>
      </c>
      <c r="B141" s="24" t="inlineStr">
        <is>
          <t>00245472</t>
        </is>
      </c>
      <c r="C141" s="24" t="inlineStr">
        <is>
          <t>티씨케이</t>
        </is>
      </c>
      <c r="D141" s="24" t="inlineStr">
        <is>
          <t>tck</t>
        </is>
      </c>
      <c r="E141" s="24" t="inlineStr">
        <is>
          <t>064760</t>
        </is>
      </c>
      <c r="F141" s="24" t="inlineStr">
        <is>
          <t>2022</t>
        </is>
      </c>
      <c r="G141" s="24" t="inlineStr">
        <is>
          <t>OFS</t>
        </is>
      </c>
      <c r="H141" s="24" t="inlineStr">
        <is>
          <t>CIS</t>
        </is>
      </c>
      <c r="I141" s="24" t="inlineStr">
        <is>
          <t>포괄손익계산서</t>
        </is>
      </c>
      <c r="J141" s="24" t="inlineStr">
        <is>
          <t>ifrs-full_FinanceCosts</t>
        </is>
      </c>
      <c r="K141" s="24" t="inlineStr">
        <is>
          <t>금융비용</t>
        </is>
      </c>
      <c r="L141" s="24" t="inlineStr">
        <is>
          <t>-</t>
        </is>
      </c>
      <c r="M141" s="24" t="inlineStr">
        <is>
          <t>제 28 기</t>
        </is>
      </c>
      <c r="N141" s="24" t="inlineStr">
        <is>
          <t>19491840.0</t>
        </is>
      </c>
      <c r="O141" s="24" t="inlineStr">
        <is>
          <t>16635921.0</t>
        </is>
      </c>
      <c r="P141" s="24" t="inlineStr">
        <is>
          <t>KRW</t>
        </is>
      </c>
      <c r="Q141" s="24" t="inlineStr">
        <is>
          <t>9</t>
        </is>
      </c>
    </row>
    <row r="142" ht="24" customHeight="1">
      <c r="A142" s="29" t="inlineStr">
        <is>
          <t>OpenDART_fnlttSinglAcntAll</t>
        </is>
      </c>
      <c r="B142" s="29" t="inlineStr">
        <is>
          <t>00245472</t>
        </is>
      </c>
      <c r="C142" s="29" t="inlineStr">
        <is>
          <t>티씨케이</t>
        </is>
      </c>
      <c r="D142" s="29" t="inlineStr">
        <is>
          <t>tck</t>
        </is>
      </c>
      <c r="E142" s="29" t="inlineStr">
        <is>
          <t>064760</t>
        </is>
      </c>
      <c r="F142" s="29" t="inlineStr">
        <is>
          <t>2022</t>
        </is>
      </c>
      <c r="G142" s="29" t="inlineStr">
        <is>
          <t>OFS</t>
        </is>
      </c>
      <c r="H142" s="29" t="inlineStr">
        <is>
          <t>CIS</t>
        </is>
      </c>
      <c r="I142" s="29" t="inlineStr">
        <is>
          <t>포괄손익계산서</t>
        </is>
      </c>
      <c r="J142" s="29" t="inlineStr">
        <is>
          <t>ifrs-full_ProfitLossBeforeTax</t>
        </is>
      </c>
      <c r="K142" s="29" t="inlineStr">
        <is>
          <t>Ⅴ. 법인세비용차감전순이익</t>
        </is>
      </c>
      <c r="L142" s="29" t="inlineStr">
        <is>
          <t>-</t>
        </is>
      </c>
      <c r="M142" s="29" t="inlineStr">
        <is>
          <t>제 28 기</t>
        </is>
      </c>
      <c r="N142" s="29" t="inlineStr">
        <is>
          <t>127921796769.0</t>
        </is>
      </c>
      <c r="O142" s="29" t="inlineStr">
        <is>
          <t>106324889168.0</t>
        </is>
      </c>
      <c r="P142" s="29" t="inlineStr">
        <is>
          <t>KRW</t>
        </is>
      </c>
      <c r="Q142" s="29" t="inlineStr">
        <is>
          <t>10</t>
        </is>
      </c>
    </row>
    <row r="143" ht="24" customHeight="1">
      <c r="A143" s="24" t="inlineStr">
        <is>
          <t>OpenDART_fnlttSinglAcntAll</t>
        </is>
      </c>
      <c r="B143" s="24" t="inlineStr">
        <is>
          <t>00245472</t>
        </is>
      </c>
      <c r="C143" s="24" t="inlineStr">
        <is>
          <t>티씨케이</t>
        </is>
      </c>
      <c r="D143" s="24" t="inlineStr">
        <is>
          <t>tck</t>
        </is>
      </c>
      <c r="E143" s="24" t="inlineStr">
        <is>
          <t>064760</t>
        </is>
      </c>
      <c r="F143" s="24" t="inlineStr">
        <is>
          <t>2022</t>
        </is>
      </c>
      <c r="G143" s="24" t="inlineStr">
        <is>
          <t>OFS</t>
        </is>
      </c>
      <c r="H143" s="24" t="inlineStr">
        <is>
          <t>CIS</t>
        </is>
      </c>
      <c r="I143" s="24" t="inlineStr">
        <is>
          <t>포괄손익계산서</t>
        </is>
      </c>
      <c r="J143" s="24" t="inlineStr">
        <is>
          <t>ifrs-full_IncomeTaxExpenseContinuingOperations</t>
        </is>
      </c>
      <c r="K143" s="24" t="inlineStr">
        <is>
          <t>법인세비용</t>
        </is>
      </c>
      <c r="L143" s="24" t="inlineStr">
        <is>
          <t>-</t>
        </is>
      </c>
      <c r="M143" s="24" t="inlineStr">
        <is>
          <t>제 28 기</t>
        </is>
      </c>
      <c r="N143" s="24" t="inlineStr">
        <is>
          <t>33865348771.0</t>
        </is>
      </c>
      <c r="O143" s="24" t="inlineStr">
        <is>
          <t>24434261114.0</t>
        </is>
      </c>
      <c r="P143" s="24" t="inlineStr">
        <is>
          <t>KRW</t>
        </is>
      </c>
      <c r="Q143" s="24" t="inlineStr">
        <is>
          <t>11</t>
        </is>
      </c>
    </row>
    <row r="144" ht="24" customHeight="1">
      <c r="A144" s="29" t="inlineStr">
        <is>
          <t>OpenDART_fnlttSinglAcntAll</t>
        </is>
      </c>
      <c r="B144" s="29" t="inlineStr">
        <is>
          <t>00245472</t>
        </is>
      </c>
      <c r="C144" s="29" t="inlineStr">
        <is>
          <t>티씨케이</t>
        </is>
      </c>
      <c r="D144" s="29" t="inlineStr">
        <is>
          <t>tck</t>
        </is>
      </c>
      <c r="E144" s="29" t="inlineStr">
        <is>
          <t>064760</t>
        </is>
      </c>
      <c r="F144" s="29" t="inlineStr">
        <is>
          <t>2022</t>
        </is>
      </c>
      <c r="G144" s="29" t="inlineStr">
        <is>
          <t>OFS</t>
        </is>
      </c>
      <c r="H144" s="29" t="inlineStr">
        <is>
          <t>CIS</t>
        </is>
      </c>
      <c r="I144" s="29" t="inlineStr">
        <is>
          <t>포괄손익계산서</t>
        </is>
      </c>
      <c r="J144" s="29" t="inlineStr">
        <is>
          <t>ifrs-full_ProfitLoss</t>
        </is>
      </c>
      <c r="K144" s="29" t="inlineStr">
        <is>
          <t>Ⅵ. 당기순이익</t>
        </is>
      </c>
      <c r="L144" s="29" t="inlineStr">
        <is>
          <t>-</t>
        </is>
      </c>
      <c r="M144" s="29" t="inlineStr">
        <is>
          <t>제 28 기</t>
        </is>
      </c>
      <c r="N144" s="29" t="inlineStr">
        <is>
          <t>94056447998.0</t>
        </is>
      </c>
      <c r="O144" s="29" t="inlineStr">
        <is>
          <t>81890628054.0</t>
        </is>
      </c>
      <c r="P144" s="29" t="inlineStr">
        <is>
          <t>KRW</t>
        </is>
      </c>
      <c r="Q144" s="29" t="inlineStr">
        <is>
          <t>12</t>
        </is>
      </c>
    </row>
    <row r="145" ht="24" customHeight="1">
      <c r="A145" s="24" t="inlineStr">
        <is>
          <t>OpenDART_fnlttSinglAcntAll</t>
        </is>
      </c>
      <c r="B145" s="24" t="inlineStr">
        <is>
          <t>00245472</t>
        </is>
      </c>
      <c r="C145" s="24" t="inlineStr">
        <is>
          <t>티씨케이</t>
        </is>
      </c>
      <c r="D145" s="24" t="inlineStr">
        <is>
          <t>tck</t>
        </is>
      </c>
      <c r="E145" s="24" t="inlineStr">
        <is>
          <t>064760</t>
        </is>
      </c>
      <c r="F145" s="24" t="inlineStr">
        <is>
          <t>2022</t>
        </is>
      </c>
      <c r="G145" s="24" t="inlineStr">
        <is>
          <t>OFS</t>
        </is>
      </c>
      <c r="H145" s="24" t="inlineStr">
        <is>
          <t>CIS</t>
        </is>
      </c>
      <c r="I145" s="24" t="inlineStr">
        <is>
          <t>포괄손익계산서</t>
        </is>
      </c>
      <c r="J145" s="24" t="inlineStr">
        <is>
          <t>ifrs-full_OtherComprehensiveIncome</t>
        </is>
      </c>
      <c r="K145" s="24" t="inlineStr">
        <is>
          <t>Ⅶ. 기타포괄손익</t>
        </is>
      </c>
      <c r="L145" s="24" t="inlineStr">
        <is>
          <t>-</t>
        </is>
      </c>
      <c r="M145" s="24" t="inlineStr">
        <is>
          <t>제 28 기</t>
        </is>
      </c>
      <c r="N145" s="24" t="inlineStr">
        <is>
          <t>0.0</t>
        </is>
      </c>
      <c r="O145" s="24" t="inlineStr">
        <is>
          <t>0.0</t>
        </is>
      </c>
      <c r="P145" s="24" t="inlineStr">
        <is>
          <t>KRW</t>
        </is>
      </c>
      <c r="Q145" s="24" t="inlineStr">
        <is>
          <t>13</t>
        </is>
      </c>
    </row>
    <row r="146" ht="24" customHeight="1">
      <c r="A146" s="29" t="inlineStr">
        <is>
          <t>OpenDART_fnlttSinglAcntAll</t>
        </is>
      </c>
      <c r="B146" s="29" t="inlineStr">
        <is>
          <t>00245472</t>
        </is>
      </c>
      <c r="C146" s="29" t="inlineStr">
        <is>
          <t>티씨케이</t>
        </is>
      </c>
      <c r="D146" s="29" t="inlineStr">
        <is>
          <t>tck</t>
        </is>
      </c>
      <c r="E146" s="29" t="inlineStr">
        <is>
          <t>064760</t>
        </is>
      </c>
      <c r="F146" s="29" t="inlineStr">
        <is>
          <t>2022</t>
        </is>
      </c>
      <c r="G146" s="29" t="inlineStr">
        <is>
          <t>OFS</t>
        </is>
      </c>
      <c r="H146" s="29" t="inlineStr">
        <is>
          <t>CIS</t>
        </is>
      </c>
      <c r="I146" s="29" t="inlineStr">
        <is>
          <t>포괄손익계산서</t>
        </is>
      </c>
      <c r="J146" s="29" t="inlineStr">
        <is>
          <t>ifrs-full_ComprehensiveIncome</t>
        </is>
      </c>
      <c r="K146" s="29" t="inlineStr">
        <is>
          <t>Ⅷ. 총포괄이익</t>
        </is>
      </c>
      <c r="L146" s="29" t="inlineStr">
        <is>
          <t>-</t>
        </is>
      </c>
      <c r="M146" s="29" t="inlineStr">
        <is>
          <t>제 28 기</t>
        </is>
      </c>
      <c r="N146" s="29" t="inlineStr">
        <is>
          <t>94056447998.0</t>
        </is>
      </c>
      <c r="O146" s="29" t="inlineStr">
        <is>
          <t>81890628054.0</t>
        </is>
      </c>
      <c r="P146" s="29" t="inlineStr">
        <is>
          <t>KRW</t>
        </is>
      </c>
      <c r="Q146" s="29" t="inlineStr">
        <is>
          <t>14</t>
        </is>
      </c>
    </row>
    <row r="147" ht="24" customHeight="1">
      <c r="A147" s="24" t="inlineStr">
        <is>
          <t>OpenDART_fnlttSinglAcntAll</t>
        </is>
      </c>
      <c r="B147" s="24" t="inlineStr">
        <is>
          <t>00245472</t>
        </is>
      </c>
      <c r="C147" s="24" t="inlineStr">
        <is>
          <t>티씨케이</t>
        </is>
      </c>
      <c r="D147" s="24" t="inlineStr">
        <is>
          <t>tck</t>
        </is>
      </c>
      <c r="E147" s="24" t="inlineStr">
        <is>
          <t>064760</t>
        </is>
      </c>
      <c r="F147" s="24" t="inlineStr">
        <is>
          <t>2022</t>
        </is>
      </c>
      <c r="G147" s="24" t="inlineStr">
        <is>
          <t>OFS</t>
        </is>
      </c>
      <c r="H147" s="24" t="inlineStr">
        <is>
          <t>CIS</t>
        </is>
      </c>
      <c r="I147" s="24" t="inlineStr">
        <is>
          <t>포괄손익계산서</t>
        </is>
      </c>
      <c r="J147" s="24" t="inlineStr">
        <is>
          <t>ifrs-full_BasicEarningsLossPerShare</t>
        </is>
      </c>
      <c r="K147" s="24" t="inlineStr">
        <is>
          <t>기본주당이익</t>
        </is>
      </c>
      <c r="L147" s="24" t="inlineStr">
        <is>
          <t>-</t>
        </is>
      </c>
      <c r="M147" s="24" t="inlineStr">
        <is>
          <t>제 28 기</t>
        </is>
      </c>
      <c r="N147" s="24" t="inlineStr">
        <is>
          <t>8056.0</t>
        </is>
      </c>
      <c r="O147" s="24" t="inlineStr">
        <is>
          <t>7014.0</t>
        </is>
      </c>
      <c r="P147" s="24" t="inlineStr">
        <is>
          <t>KRW</t>
        </is>
      </c>
      <c r="Q147" s="24" t="inlineStr">
        <is>
          <t>16</t>
        </is>
      </c>
    </row>
    <row r="148" ht="24" customHeight="1">
      <c r="A148" s="29" t="inlineStr">
        <is>
          <t>OpenDART_fnlttSinglAcntAll</t>
        </is>
      </c>
      <c r="B148" s="29" t="inlineStr">
        <is>
          <t>00245472</t>
        </is>
      </c>
      <c r="C148" s="29" t="inlineStr">
        <is>
          <t>티씨케이</t>
        </is>
      </c>
      <c r="D148" s="29" t="inlineStr">
        <is>
          <t>tck</t>
        </is>
      </c>
      <c r="E148" s="29" t="inlineStr">
        <is>
          <t>064760</t>
        </is>
      </c>
      <c r="F148" s="29" t="inlineStr">
        <is>
          <t>2022</t>
        </is>
      </c>
      <c r="G148" s="29" t="inlineStr">
        <is>
          <t>OFS</t>
        </is>
      </c>
      <c r="H148" s="29" t="inlineStr">
        <is>
          <t>CIS</t>
        </is>
      </c>
      <c r="I148" s="29" t="inlineStr">
        <is>
          <t>포괄손익계산서</t>
        </is>
      </c>
      <c r="J148" s="29" t="inlineStr">
        <is>
          <t>ifrs-full_DilutedEarningsLossPerShare</t>
        </is>
      </c>
      <c r="K148" s="29" t="inlineStr">
        <is>
          <t>희석주당이익</t>
        </is>
      </c>
      <c r="L148" s="29" t="inlineStr">
        <is>
          <t>-</t>
        </is>
      </c>
      <c r="M148" s="29" t="inlineStr">
        <is>
          <t>제 28 기</t>
        </is>
      </c>
      <c r="N148" s="29" t="inlineStr">
        <is>
          <t>8056.0</t>
        </is>
      </c>
      <c r="O148" s="29" t="inlineStr">
        <is>
          <t>7014.0</t>
        </is>
      </c>
      <c r="P148" s="29" t="inlineStr">
        <is>
          <t>KRW</t>
        </is>
      </c>
      <c r="Q148" s="29" t="inlineStr">
        <is>
          <t>17</t>
        </is>
      </c>
    </row>
    <row r="149" ht="24" customHeight="1">
      <c r="A149" s="24" t="inlineStr">
        <is>
          <t>OpenDART_fnlttSinglAcntAll</t>
        </is>
      </c>
      <c r="B149" s="24" t="inlineStr">
        <is>
          <t>00245472</t>
        </is>
      </c>
      <c r="C149" s="24" t="inlineStr">
        <is>
          <t>티씨케이</t>
        </is>
      </c>
      <c r="D149" s="24" t="inlineStr">
        <is>
          <t>tck</t>
        </is>
      </c>
      <c r="E149" s="24" t="inlineStr">
        <is>
          <t>064760</t>
        </is>
      </c>
      <c r="F149" s="24" t="inlineStr">
        <is>
          <t>2022</t>
        </is>
      </c>
      <c r="G149" s="24" t="inlineStr">
        <is>
          <t>OFS</t>
        </is>
      </c>
      <c r="H149" s="24" t="inlineStr">
        <is>
          <t>CF</t>
        </is>
      </c>
      <c r="I149" s="24" t="inlineStr">
        <is>
          <t>현금흐름표</t>
        </is>
      </c>
      <c r="J149" s="24" t="inlineStr">
        <is>
          <t>ifrs-full_CashFlowsFromUsedInOperatingActivities</t>
        </is>
      </c>
      <c r="K149" s="24" t="inlineStr">
        <is>
          <t>I. 영업활동으로 인한 현금흐름</t>
        </is>
      </c>
      <c r="L149" s="24" t="inlineStr">
        <is>
          <t>-</t>
        </is>
      </c>
      <c r="M149" s="24" t="inlineStr">
        <is>
          <t>제 28 기</t>
        </is>
      </c>
      <c r="N149" s="24" t="inlineStr">
        <is>
          <t>87311102557.0</t>
        </is>
      </c>
      <c r="O149" s="24" t="inlineStr">
        <is>
          <t>78650104268.0</t>
        </is>
      </c>
      <c r="P149" s="24" t="inlineStr">
        <is>
          <t>KRW</t>
        </is>
      </c>
      <c r="Q149" s="24" t="inlineStr">
        <is>
          <t>0</t>
        </is>
      </c>
    </row>
    <row r="150" ht="24" customHeight="1">
      <c r="A150" s="29" t="inlineStr">
        <is>
          <t>OpenDART_fnlttSinglAcntAll</t>
        </is>
      </c>
      <c r="B150" s="29" t="inlineStr">
        <is>
          <t>00245472</t>
        </is>
      </c>
      <c r="C150" s="29" t="inlineStr">
        <is>
          <t>티씨케이</t>
        </is>
      </c>
      <c r="D150" s="29" t="inlineStr">
        <is>
          <t>tck</t>
        </is>
      </c>
      <c r="E150" s="29" t="inlineStr">
        <is>
          <t>064760</t>
        </is>
      </c>
      <c r="F150" s="29" t="inlineStr">
        <is>
          <t>2022</t>
        </is>
      </c>
      <c r="G150" s="29" t="inlineStr">
        <is>
          <t>OFS</t>
        </is>
      </c>
      <c r="H150" s="29" t="inlineStr">
        <is>
          <t>CF</t>
        </is>
      </c>
      <c r="I150" s="29" t="inlineStr">
        <is>
          <t>현금흐름표</t>
        </is>
      </c>
      <c r="J150" s="29" t="inlineStr">
        <is>
          <t>-표준계정코드 미사용-</t>
        </is>
      </c>
      <c r="K150" s="29" t="inlineStr">
        <is>
          <t>1. 영업으로부터 창출된 현금</t>
        </is>
      </c>
      <c r="L150" s="29" t="inlineStr">
        <is>
          <t>-</t>
        </is>
      </c>
      <c r="M150" s="29" t="inlineStr">
        <is>
          <t>제 28 기</t>
        </is>
      </c>
      <c r="N150" s="29" t="inlineStr">
        <is>
          <t>130331664226.0</t>
        </is>
      </c>
      <c r="O150" s="29" t="inlineStr">
        <is>
          <t>113561538958.0</t>
        </is>
      </c>
      <c r="P150" s="29" t="inlineStr">
        <is>
          <t>KRW</t>
        </is>
      </c>
      <c r="Q150" s="29" t="inlineStr">
        <is>
          <t>1</t>
        </is>
      </c>
    </row>
    <row r="151" ht="24" customHeight="1">
      <c r="A151" s="24" t="inlineStr">
        <is>
          <t>OpenDART_fnlttSinglAcntAll</t>
        </is>
      </c>
      <c r="B151" s="24" t="inlineStr">
        <is>
          <t>00245472</t>
        </is>
      </c>
      <c r="C151" s="24" t="inlineStr">
        <is>
          <t>티씨케이</t>
        </is>
      </c>
      <c r="D151" s="24" t="inlineStr">
        <is>
          <t>tck</t>
        </is>
      </c>
      <c r="E151" s="24" t="inlineStr">
        <is>
          <t>064760</t>
        </is>
      </c>
      <c r="F151" s="24" t="inlineStr">
        <is>
          <t>2022</t>
        </is>
      </c>
      <c r="G151" s="24" t="inlineStr">
        <is>
          <t>OFS</t>
        </is>
      </c>
      <c r="H151" s="24" t="inlineStr">
        <is>
          <t>CF</t>
        </is>
      </c>
      <c r="I151" s="24" t="inlineStr">
        <is>
          <t>현금흐름표</t>
        </is>
      </c>
      <c r="J151" s="24" t="inlineStr">
        <is>
          <t>-표준계정코드 미사용-</t>
        </is>
      </c>
      <c r="K151" s="24" t="inlineStr">
        <is>
          <t>(1) 당기순이익</t>
        </is>
      </c>
      <c r="L151" s="24" t="inlineStr">
        <is>
          <t>-</t>
        </is>
      </c>
      <c r="M151" s="24" t="inlineStr">
        <is>
          <t>제 28 기</t>
        </is>
      </c>
      <c r="N151" s="24" t="inlineStr">
        <is>
          <t>94056447998.0</t>
        </is>
      </c>
      <c r="O151" s="24" t="inlineStr">
        <is>
          <t>81890628054.0</t>
        </is>
      </c>
      <c r="P151" s="24" t="inlineStr">
        <is>
          <t>KRW</t>
        </is>
      </c>
      <c r="Q151" s="24" t="inlineStr">
        <is>
          <t>2</t>
        </is>
      </c>
    </row>
    <row r="152" ht="24" customHeight="1">
      <c r="A152" s="29" t="inlineStr">
        <is>
          <t>OpenDART_fnlttSinglAcntAll</t>
        </is>
      </c>
      <c r="B152" s="29" t="inlineStr">
        <is>
          <t>00245472</t>
        </is>
      </c>
      <c r="C152" s="29" t="inlineStr">
        <is>
          <t>티씨케이</t>
        </is>
      </c>
      <c r="D152" s="29" t="inlineStr">
        <is>
          <t>tck</t>
        </is>
      </c>
      <c r="E152" s="29" t="inlineStr">
        <is>
          <t>064760</t>
        </is>
      </c>
      <c r="F152" s="29" t="inlineStr">
        <is>
          <t>2022</t>
        </is>
      </c>
      <c r="G152" s="29" t="inlineStr">
        <is>
          <t>OFS</t>
        </is>
      </c>
      <c r="H152" s="29" t="inlineStr">
        <is>
          <t>CF</t>
        </is>
      </c>
      <c r="I152" s="29" t="inlineStr">
        <is>
          <t>현금흐름표</t>
        </is>
      </c>
      <c r="J152" s="29" t="inlineStr">
        <is>
          <t>-표준계정코드 미사용-</t>
        </is>
      </c>
      <c r="K152" s="29" t="inlineStr">
        <is>
          <t>(2) 조정</t>
        </is>
      </c>
      <c r="L152" s="29" t="inlineStr">
        <is>
          <t>-</t>
        </is>
      </c>
      <c r="M152" s="29" t="inlineStr">
        <is>
          <t>제 28 기</t>
        </is>
      </c>
      <c r="N152" s="29" t="inlineStr">
        <is>
          <t>53847884504.0</t>
        </is>
      </c>
      <c r="O152" s="29" t="inlineStr">
        <is>
          <t>37493856904.0</t>
        </is>
      </c>
      <c r="P152" s="29" t="inlineStr">
        <is>
          <t>KRW</t>
        </is>
      </c>
      <c r="Q152" s="29" t="inlineStr">
        <is>
          <t>3</t>
        </is>
      </c>
    </row>
    <row r="153" ht="24" customHeight="1">
      <c r="A153" s="24" t="inlineStr">
        <is>
          <t>OpenDART_fnlttSinglAcntAll</t>
        </is>
      </c>
      <c r="B153" s="24" t="inlineStr">
        <is>
          <t>00245472</t>
        </is>
      </c>
      <c r="C153" s="24" t="inlineStr">
        <is>
          <t>티씨케이</t>
        </is>
      </c>
      <c r="D153" s="24" t="inlineStr">
        <is>
          <t>tck</t>
        </is>
      </c>
      <c r="E153" s="24" t="inlineStr">
        <is>
          <t>064760</t>
        </is>
      </c>
      <c r="F153" s="24" t="inlineStr">
        <is>
          <t>2022</t>
        </is>
      </c>
      <c r="G153" s="24" t="inlineStr">
        <is>
          <t>OFS</t>
        </is>
      </c>
      <c r="H153" s="24" t="inlineStr">
        <is>
          <t>CF</t>
        </is>
      </c>
      <c r="I153" s="24" t="inlineStr">
        <is>
          <t>현금흐름표</t>
        </is>
      </c>
      <c r="J153" s="24" t="inlineStr">
        <is>
          <t>-표준계정코드 미사용-</t>
        </is>
      </c>
      <c r="K153" s="24" t="inlineStr">
        <is>
          <t>(3) 영업활동으로 인한 자산ㆍ부채의 변동</t>
        </is>
      </c>
      <c r="L153" s="24" t="inlineStr">
        <is>
          <t>-</t>
        </is>
      </c>
      <c r="M153" s="24" t="inlineStr">
        <is>
          <t>제 28 기</t>
        </is>
      </c>
      <c r="N153" s="24" t="inlineStr">
        <is>
          <t>-17572668276.0</t>
        </is>
      </c>
      <c r="O153" s="24" t="inlineStr">
        <is>
          <t>-5822946000.0</t>
        </is>
      </c>
      <c r="P153" s="24" t="inlineStr">
        <is>
          <t>KRW</t>
        </is>
      </c>
      <c r="Q153" s="24" t="inlineStr">
        <is>
          <t>4</t>
        </is>
      </c>
    </row>
    <row r="154" ht="24" customHeight="1">
      <c r="A154" s="29" t="inlineStr">
        <is>
          <t>OpenDART_fnlttSinglAcntAll</t>
        </is>
      </c>
      <c r="B154" s="29" t="inlineStr">
        <is>
          <t>00245472</t>
        </is>
      </c>
      <c r="C154" s="29" t="inlineStr">
        <is>
          <t>티씨케이</t>
        </is>
      </c>
      <c r="D154" s="29" t="inlineStr">
        <is>
          <t>tck</t>
        </is>
      </c>
      <c r="E154" s="29" t="inlineStr">
        <is>
          <t>064760</t>
        </is>
      </c>
      <c r="F154" s="29" t="inlineStr">
        <is>
          <t>2022</t>
        </is>
      </c>
      <c r="G154" s="29" t="inlineStr">
        <is>
          <t>OFS</t>
        </is>
      </c>
      <c r="H154" s="29" t="inlineStr">
        <is>
          <t>CF</t>
        </is>
      </c>
      <c r="I154" s="29" t="inlineStr">
        <is>
          <t>현금흐름표</t>
        </is>
      </c>
      <c r="J154" s="29" t="inlineStr">
        <is>
          <t>ifrs-full_InterestReceivedClassifiedAsOperatingActivities</t>
        </is>
      </c>
      <c r="K154" s="29" t="inlineStr">
        <is>
          <t>2. 이자수취</t>
        </is>
      </c>
      <c r="L154" s="29" t="inlineStr">
        <is>
          <t>-</t>
        </is>
      </c>
      <c r="M154" s="29" t="inlineStr">
        <is>
          <t>제 28 기</t>
        </is>
      </c>
      <c r="N154" s="29" t="inlineStr">
        <is>
          <t>3029087891.0</t>
        </is>
      </c>
      <c r="O154" s="29" t="inlineStr">
        <is>
          <t>1420174181.0</t>
        </is>
      </c>
      <c r="P154" s="29" t="inlineStr">
        <is>
          <t>KRW</t>
        </is>
      </c>
      <c r="Q154" s="29" t="inlineStr">
        <is>
          <t>5</t>
        </is>
      </c>
    </row>
    <row r="155" ht="24" customHeight="1">
      <c r="A155" s="24" t="inlineStr">
        <is>
          <t>OpenDART_fnlttSinglAcntAll</t>
        </is>
      </c>
      <c r="B155" s="24" t="inlineStr">
        <is>
          <t>00245472</t>
        </is>
      </c>
      <c r="C155" s="24" t="inlineStr">
        <is>
          <t>티씨케이</t>
        </is>
      </c>
      <c r="D155" s="24" t="inlineStr">
        <is>
          <t>tck</t>
        </is>
      </c>
      <c r="E155" s="24" t="inlineStr">
        <is>
          <t>064760</t>
        </is>
      </c>
      <c r="F155" s="24" t="inlineStr">
        <is>
          <t>2022</t>
        </is>
      </c>
      <c r="G155" s="24" t="inlineStr">
        <is>
          <t>OFS</t>
        </is>
      </c>
      <c r="H155" s="24" t="inlineStr">
        <is>
          <t>CF</t>
        </is>
      </c>
      <c r="I155" s="24" t="inlineStr">
        <is>
          <t>현금흐름표</t>
        </is>
      </c>
      <c r="J155" s="24" t="inlineStr">
        <is>
          <t>ifrs-full_InterestPaidClassifiedAsOperatingActivities</t>
        </is>
      </c>
      <c r="K155" s="24" t="inlineStr">
        <is>
          <t>3. 이자지급</t>
        </is>
      </c>
      <c r="L155" s="24" t="inlineStr">
        <is>
          <t>-</t>
        </is>
      </c>
      <c r="M155" s="24" t="inlineStr">
        <is>
          <t>제 28 기</t>
        </is>
      </c>
      <c r="N155" s="24" t="inlineStr">
        <is>
          <t>19491840.0</t>
        </is>
      </c>
      <c r="O155" s="24" t="inlineStr">
        <is>
          <t>16635921.0</t>
        </is>
      </c>
      <c r="P155" s="24" t="inlineStr">
        <is>
          <t>KRW</t>
        </is>
      </c>
      <c r="Q155" s="24" t="inlineStr">
        <is>
          <t>6</t>
        </is>
      </c>
    </row>
    <row r="156" ht="24" customHeight="1">
      <c r="A156" s="29" t="inlineStr">
        <is>
          <t>OpenDART_fnlttSinglAcntAll</t>
        </is>
      </c>
      <c r="B156" s="29" t="inlineStr">
        <is>
          <t>00245472</t>
        </is>
      </c>
      <c r="C156" s="29" t="inlineStr">
        <is>
          <t>티씨케이</t>
        </is>
      </c>
      <c r="D156" s="29" t="inlineStr">
        <is>
          <t>tck</t>
        </is>
      </c>
      <c r="E156" s="29" t="inlineStr">
        <is>
          <t>064760</t>
        </is>
      </c>
      <c r="F156" s="29" t="inlineStr">
        <is>
          <t>2022</t>
        </is>
      </c>
      <c r="G156" s="29" t="inlineStr">
        <is>
          <t>OFS</t>
        </is>
      </c>
      <c r="H156" s="29" t="inlineStr">
        <is>
          <t>CF</t>
        </is>
      </c>
      <c r="I156" s="29" t="inlineStr">
        <is>
          <t>현금흐름표</t>
        </is>
      </c>
      <c r="J156" s="29" t="inlineStr">
        <is>
          <t>ifrs-full_DividendsPaidClassifiedAsOperatingActivities</t>
        </is>
      </c>
      <c r="K156" s="29" t="inlineStr">
        <is>
          <t>4. 배당금지급</t>
        </is>
      </c>
      <c r="L156" s="29" t="inlineStr">
        <is>
          <t>-</t>
        </is>
      </c>
      <c r="M156" s="29" t="inlineStr">
        <is>
          <t>제 28 기</t>
        </is>
      </c>
      <c r="N156" s="29" t="inlineStr">
        <is>
          <t>16695250000.0</t>
        </is>
      </c>
      <c r="O156" s="29" t="inlineStr">
        <is>
          <t>12842500000.0</t>
        </is>
      </c>
      <c r="P156" s="29" t="inlineStr">
        <is>
          <t>KRW</t>
        </is>
      </c>
      <c r="Q156" s="29" t="inlineStr">
        <is>
          <t>7</t>
        </is>
      </c>
    </row>
    <row r="157" ht="24" customHeight="1">
      <c r="A157" s="24" t="inlineStr">
        <is>
          <t>OpenDART_fnlttSinglAcntAll</t>
        </is>
      </c>
      <c r="B157" s="24" t="inlineStr">
        <is>
          <t>00245472</t>
        </is>
      </c>
      <c r="C157" s="24" t="inlineStr">
        <is>
          <t>티씨케이</t>
        </is>
      </c>
      <c r="D157" s="24" t="inlineStr">
        <is>
          <t>tck</t>
        </is>
      </c>
      <c r="E157" s="24" t="inlineStr">
        <is>
          <t>064760</t>
        </is>
      </c>
      <c r="F157" s="24" t="inlineStr">
        <is>
          <t>2022</t>
        </is>
      </c>
      <c r="G157" s="24" t="inlineStr">
        <is>
          <t>OFS</t>
        </is>
      </c>
      <c r="H157" s="24" t="inlineStr">
        <is>
          <t>CF</t>
        </is>
      </c>
      <c r="I157" s="24" t="inlineStr">
        <is>
          <t>현금흐름표</t>
        </is>
      </c>
      <c r="J157" s="24" t="inlineStr">
        <is>
          <t>ifrs-full_IncomeTaxesPaidRefundClassifiedAsOperatingActivities</t>
        </is>
      </c>
      <c r="K157" s="24" t="inlineStr">
        <is>
          <t>5. 법인세납부</t>
        </is>
      </c>
      <c r="L157" s="24" t="inlineStr">
        <is>
          <t>-</t>
        </is>
      </c>
      <c r="M157" s="24" t="inlineStr">
        <is>
          <t>제 28 기</t>
        </is>
      </c>
      <c r="N157" s="24" t="inlineStr">
        <is>
          <t>29334907720.0</t>
        </is>
      </c>
      <c r="O157" s="24" t="inlineStr">
        <is>
          <t>23472472950.0</t>
        </is>
      </c>
      <c r="P157" s="24" t="inlineStr">
        <is>
          <t>KRW</t>
        </is>
      </c>
      <c r="Q157" s="24" t="inlineStr">
        <is>
          <t>8</t>
        </is>
      </c>
    </row>
    <row r="158" ht="24" customHeight="1">
      <c r="A158" s="29" t="inlineStr">
        <is>
          <t>OpenDART_fnlttSinglAcntAll</t>
        </is>
      </c>
      <c r="B158" s="29" t="inlineStr">
        <is>
          <t>00245472</t>
        </is>
      </c>
      <c r="C158" s="29" t="inlineStr">
        <is>
          <t>티씨케이</t>
        </is>
      </c>
      <c r="D158" s="29" t="inlineStr">
        <is>
          <t>tck</t>
        </is>
      </c>
      <c r="E158" s="29" t="inlineStr">
        <is>
          <t>064760</t>
        </is>
      </c>
      <c r="F158" s="29" t="inlineStr">
        <is>
          <t>2022</t>
        </is>
      </c>
      <c r="G158" s="29" t="inlineStr">
        <is>
          <t>OFS</t>
        </is>
      </c>
      <c r="H158" s="29" t="inlineStr">
        <is>
          <t>CF</t>
        </is>
      </c>
      <c r="I158" s="29" t="inlineStr">
        <is>
          <t>현금흐름표</t>
        </is>
      </c>
      <c r="J158" s="29" t="inlineStr">
        <is>
          <t>ifrs-full_CashFlowsFromUsedInInvestingActivities</t>
        </is>
      </c>
      <c r="K158" s="29" t="inlineStr">
        <is>
          <t>II. 투자활동으로 인한 현금흐름</t>
        </is>
      </c>
      <c r="L158" s="29" t="inlineStr">
        <is>
          <t>-</t>
        </is>
      </c>
      <c r="M158" s="29" t="inlineStr">
        <is>
          <t>제 28 기</t>
        </is>
      </c>
      <c r="N158" s="29" t="inlineStr">
        <is>
          <t>-96045963737.0</t>
        </is>
      </c>
      <c r="O158" s="29" t="inlineStr">
        <is>
          <t>-63738558950.0</t>
        </is>
      </c>
      <c r="P158" s="29" t="inlineStr">
        <is>
          <t>KRW</t>
        </is>
      </c>
      <c r="Q158" s="29" t="inlineStr">
        <is>
          <t>9</t>
        </is>
      </c>
    </row>
    <row r="159" ht="24" customHeight="1">
      <c r="A159" s="24" t="inlineStr">
        <is>
          <t>OpenDART_fnlttSinglAcntAll</t>
        </is>
      </c>
      <c r="B159" s="24" t="inlineStr">
        <is>
          <t>00245472</t>
        </is>
      </c>
      <c r="C159" s="24" t="inlineStr">
        <is>
          <t>티씨케이</t>
        </is>
      </c>
      <c r="D159" s="24" t="inlineStr">
        <is>
          <t>tck</t>
        </is>
      </c>
      <c r="E159" s="24" t="inlineStr">
        <is>
          <t>064760</t>
        </is>
      </c>
      <c r="F159" s="24" t="inlineStr">
        <is>
          <t>2022</t>
        </is>
      </c>
      <c r="G159" s="24" t="inlineStr">
        <is>
          <t>OFS</t>
        </is>
      </c>
      <c r="H159" s="24" t="inlineStr">
        <is>
          <t>CF</t>
        </is>
      </c>
      <c r="I159" s="24" t="inlineStr">
        <is>
          <t>현금흐름표</t>
        </is>
      </c>
      <c r="J159" s="24" t="inlineStr">
        <is>
          <t>-표준계정코드 미사용-</t>
        </is>
      </c>
      <c r="K159" s="24" t="inlineStr">
        <is>
          <t>1. 투자활동으로 인한 현금유입액</t>
        </is>
      </c>
      <c r="L159" s="24" t="inlineStr">
        <is>
          <t>-</t>
        </is>
      </c>
      <c r="M159" s="24" t="inlineStr">
        <is>
          <t>제 28 기</t>
        </is>
      </c>
      <c r="N159" s="24" t="inlineStr">
        <is>
          <t>150848252661.0</t>
        </is>
      </c>
      <c r="O159" s="24" t="inlineStr">
        <is>
          <t>100840715847.0</t>
        </is>
      </c>
      <c r="P159" s="24" t="inlineStr">
        <is>
          <t>KRW</t>
        </is>
      </c>
      <c r="Q159" s="24" t="inlineStr">
        <is>
          <t>10</t>
        </is>
      </c>
    </row>
    <row r="160" ht="24" customHeight="1">
      <c r="A160" s="29" t="inlineStr">
        <is>
          <t>OpenDART_fnlttSinglAcntAll</t>
        </is>
      </c>
      <c r="B160" s="29" t="inlineStr">
        <is>
          <t>00245472</t>
        </is>
      </c>
      <c r="C160" s="29" t="inlineStr">
        <is>
          <t>티씨케이</t>
        </is>
      </c>
      <c r="D160" s="29" t="inlineStr">
        <is>
          <t>tck</t>
        </is>
      </c>
      <c r="E160" s="29" t="inlineStr">
        <is>
          <t>064760</t>
        </is>
      </c>
      <c r="F160" s="29" t="inlineStr">
        <is>
          <t>2022</t>
        </is>
      </c>
      <c r="G160" s="29" t="inlineStr">
        <is>
          <t>OFS</t>
        </is>
      </c>
      <c r="H160" s="29" t="inlineStr">
        <is>
          <t>CF</t>
        </is>
      </c>
      <c r="I160" s="29" t="inlineStr">
        <is>
          <t>현금흐름표</t>
        </is>
      </c>
      <c r="J160" s="29" t="inlineStr">
        <is>
          <t>-표준계정코드 미사용-</t>
        </is>
      </c>
      <c r="K160" s="29" t="inlineStr">
        <is>
          <t>(1) 단기금융상품의 처분</t>
        </is>
      </c>
      <c r="L160" s="29" t="inlineStr">
        <is>
          <t>-</t>
        </is>
      </c>
      <c r="M160" s="29" t="inlineStr">
        <is>
          <t>제 28 기</t>
        </is>
      </c>
      <c r="N160" s="29" t="inlineStr">
        <is>
          <t>148137000000.0</t>
        </is>
      </c>
      <c r="O160" s="29" t="inlineStr">
        <is>
          <t>99000000000.0</t>
        </is>
      </c>
      <c r="P160" s="29" t="inlineStr">
        <is>
          <t>KRW</t>
        </is>
      </c>
      <c r="Q160" s="29" t="inlineStr">
        <is>
          <t>11</t>
        </is>
      </c>
    </row>
    <row r="161" ht="24" customHeight="1">
      <c r="A161" s="24" t="inlineStr">
        <is>
          <t>OpenDART_fnlttSinglAcntAll</t>
        </is>
      </c>
      <c r="B161" s="24" t="inlineStr">
        <is>
          <t>00245472</t>
        </is>
      </c>
      <c r="C161" s="24" t="inlineStr">
        <is>
          <t>티씨케이</t>
        </is>
      </c>
      <c r="D161" s="24" t="inlineStr">
        <is>
          <t>tck</t>
        </is>
      </c>
      <c r="E161" s="24" t="inlineStr">
        <is>
          <t>064760</t>
        </is>
      </c>
      <c r="F161" s="24" t="inlineStr">
        <is>
          <t>2022</t>
        </is>
      </c>
      <c r="G161" s="24" t="inlineStr">
        <is>
          <t>OFS</t>
        </is>
      </c>
      <c r="H161" s="24" t="inlineStr">
        <is>
          <t>CF</t>
        </is>
      </c>
      <c r="I161" s="24" t="inlineStr">
        <is>
          <t>현금흐름표</t>
        </is>
      </c>
      <c r="J161" s="24" t="inlineStr">
        <is>
          <t>-표준계정코드 미사용-</t>
        </is>
      </c>
      <c r="K161" s="24" t="inlineStr">
        <is>
          <t>(2) 단기대여금의 감소</t>
        </is>
      </c>
      <c r="L161" s="24" t="inlineStr">
        <is>
          <t>-</t>
        </is>
      </c>
      <c r="M161" s="24" t="inlineStr">
        <is>
          <t>제 28 기</t>
        </is>
      </c>
      <c r="N161" s="24" t="inlineStr">
        <is>
          <t>279266650.0</t>
        </is>
      </c>
      <c r="O161" s="24" t="inlineStr">
        <is>
          <t>222996200.0</t>
        </is>
      </c>
      <c r="P161" s="24" t="inlineStr">
        <is>
          <t>KRW</t>
        </is>
      </c>
      <c r="Q161" s="24" t="inlineStr">
        <is>
          <t>12</t>
        </is>
      </c>
    </row>
    <row r="162" ht="24" customHeight="1">
      <c r="A162" s="29" t="inlineStr">
        <is>
          <t>OpenDART_fnlttSinglAcntAll</t>
        </is>
      </c>
      <c r="B162" s="29" t="inlineStr">
        <is>
          <t>00245472</t>
        </is>
      </c>
      <c r="C162" s="29" t="inlineStr">
        <is>
          <t>티씨케이</t>
        </is>
      </c>
      <c r="D162" s="29" t="inlineStr">
        <is>
          <t>tck</t>
        </is>
      </c>
      <c r="E162" s="29" t="inlineStr">
        <is>
          <t>064760</t>
        </is>
      </c>
      <c r="F162" s="29" t="inlineStr">
        <is>
          <t>2022</t>
        </is>
      </c>
      <c r="G162" s="29" t="inlineStr">
        <is>
          <t>OFS</t>
        </is>
      </c>
      <c r="H162" s="29" t="inlineStr">
        <is>
          <t>CF</t>
        </is>
      </c>
      <c r="I162" s="29" t="inlineStr">
        <is>
          <t>현금흐름표</t>
        </is>
      </c>
      <c r="J162" s="29" t="inlineStr">
        <is>
          <t>-표준계정코드 미사용-</t>
        </is>
      </c>
      <c r="K162" s="29" t="inlineStr">
        <is>
          <t>(3) 장기대여금의 감소</t>
        </is>
      </c>
      <c r="L162" s="29" t="inlineStr">
        <is>
          <t>-</t>
        </is>
      </c>
      <c r="M162" s="29" t="inlineStr">
        <is>
          <t>제 28 기</t>
        </is>
      </c>
      <c r="N162" s="29" t="inlineStr">
        <is>
          <t>2027720.0</t>
        </is>
      </c>
      <c r="O162" s="29" t="inlineStr">
        <is>
          <t>32284670.0</t>
        </is>
      </c>
      <c r="P162" s="29" t="inlineStr">
        <is>
          <t>KRW</t>
        </is>
      </c>
      <c r="Q162" s="29" t="inlineStr">
        <is>
          <t>13</t>
        </is>
      </c>
    </row>
    <row r="163" ht="24" customHeight="1">
      <c r="A163" s="24" t="inlineStr">
        <is>
          <t>OpenDART_fnlttSinglAcntAll</t>
        </is>
      </c>
      <c r="B163" s="24" t="inlineStr">
        <is>
          <t>00245472</t>
        </is>
      </c>
      <c r="C163" s="24" t="inlineStr">
        <is>
          <t>티씨케이</t>
        </is>
      </c>
      <c r="D163" s="24" t="inlineStr">
        <is>
          <t>tck</t>
        </is>
      </c>
      <c r="E163" s="24" t="inlineStr">
        <is>
          <t>064760</t>
        </is>
      </c>
      <c r="F163" s="24" t="inlineStr">
        <is>
          <t>2022</t>
        </is>
      </c>
      <c r="G163" s="24" t="inlineStr">
        <is>
          <t>OFS</t>
        </is>
      </c>
      <c r="H163" s="24" t="inlineStr">
        <is>
          <t>CF</t>
        </is>
      </c>
      <c r="I163" s="24" t="inlineStr">
        <is>
          <t>현금흐름표</t>
        </is>
      </c>
      <c r="J163" s="24" t="inlineStr">
        <is>
          <t>-표준계정코드 미사용-</t>
        </is>
      </c>
      <c r="K163" s="24" t="inlineStr">
        <is>
          <t>(4) 임차보증금의 감소</t>
        </is>
      </c>
      <c r="L163" s="24" t="inlineStr">
        <is>
          <t>-</t>
        </is>
      </c>
      <c r="M163" s="24" t="inlineStr">
        <is>
          <t>제 28 기</t>
        </is>
      </c>
      <c r="N163" s="24" t="inlineStr">
        <is>
          <t>815060000.0</t>
        </is>
      </c>
      <c r="O163" s="24" t="inlineStr">
        <is>
          <t>378720000.0</t>
        </is>
      </c>
      <c r="P163" s="24" t="inlineStr">
        <is>
          <t>KRW</t>
        </is>
      </c>
      <c r="Q163" s="24" t="inlineStr">
        <is>
          <t>14</t>
        </is>
      </c>
    </row>
    <row r="164" ht="24" customHeight="1">
      <c r="A164" s="29" t="inlineStr">
        <is>
          <t>OpenDART_fnlttSinglAcntAll</t>
        </is>
      </c>
      <c r="B164" s="29" t="inlineStr">
        <is>
          <t>00245472</t>
        </is>
      </c>
      <c r="C164" s="29" t="inlineStr">
        <is>
          <t>티씨케이</t>
        </is>
      </c>
      <c r="D164" s="29" t="inlineStr">
        <is>
          <t>tck</t>
        </is>
      </c>
      <c r="E164" s="29" t="inlineStr">
        <is>
          <t>064760</t>
        </is>
      </c>
      <c r="F164" s="29" t="inlineStr">
        <is>
          <t>2022</t>
        </is>
      </c>
      <c r="G164" s="29" t="inlineStr">
        <is>
          <t>OFS</t>
        </is>
      </c>
      <c r="H164" s="29" t="inlineStr">
        <is>
          <t>CF</t>
        </is>
      </c>
      <c r="I164" s="29" t="inlineStr">
        <is>
          <t>현금흐름표</t>
        </is>
      </c>
      <c r="J164" s="29" t="inlineStr">
        <is>
          <t>-표준계정코드 미사용-</t>
        </is>
      </c>
      <c r="K164" s="29" t="inlineStr">
        <is>
          <t>(5) 유형자산의 처분</t>
        </is>
      </c>
      <c r="L164" s="29" t="inlineStr">
        <is>
          <t>-</t>
        </is>
      </c>
      <c r="M164" s="29" t="inlineStr">
        <is>
          <t>제 28 기</t>
        </is>
      </c>
      <c r="N164" s="29" t="inlineStr">
        <is>
          <t>33000000.0</t>
        </is>
      </c>
      <c r="O164" s="29" t="inlineStr">
        <is>
          <t>31200000.0</t>
        </is>
      </c>
      <c r="P164" s="29" t="inlineStr">
        <is>
          <t>KRW</t>
        </is>
      </c>
      <c r="Q164" s="29" t="inlineStr">
        <is>
          <t>15</t>
        </is>
      </c>
    </row>
    <row r="165" ht="24" customHeight="1">
      <c r="A165" s="24" t="inlineStr">
        <is>
          <t>OpenDART_fnlttSinglAcntAll</t>
        </is>
      </c>
      <c r="B165" s="24" t="inlineStr">
        <is>
          <t>00245472</t>
        </is>
      </c>
      <c r="C165" s="24" t="inlineStr">
        <is>
          <t>티씨케이</t>
        </is>
      </c>
      <c r="D165" s="24" t="inlineStr">
        <is>
          <t>tck</t>
        </is>
      </c>
      <c r="E165" s="24" t="inlineStr">
        <is>
          <t>064760</t>
        </is>
      </c>
      <c r="F165" s="24" t="inlineStr">
        <is>
          <t>2022</t>
        </is>
      </c>
      <c r="G165" s="24" t="inlineStr">
        <is>
          <t>OFS</t>
        </is>
      </c>
      <c r="H165" s="24" t="inlineStr">
        <is>
          <t>CF</t>
        </is>
      </c>
      <c r="I165" s="24" t="inlineStr">
        <is>
          <t>현금흐름표</t>
        </is>
      </c>
      <c r="J165" s="24" t="inlineStr">
        <is>
          <t>-표준계정코드 미사용-</t>
        </is>
      </c>
      <c r="K165" s="24" t="inlineStr">
        <is>
          <t>(6) 무형자산의 처분</t>
        </is>
      </c>
      <c r="L165" s="24" t="inlineStr">
        <is>
          <t>-</t>
        </is>
      </c>
      <c r="M165" s="24" t="inlineStr">
        <is>
          <t>제 28 기</t>
        </is>
      </c>
      <c r="N165" s="24" t="inlineStr">
        <is>
          <t>0.0</t>
        </is>
      </c>
      <c r="O165" s="24" t="inlineStr">
        <is>
          <t>795454545.0</t>
        </is>
      </c>
      <c r="P165" s="24" t="inlineStr">
        <is>
          <t>KRW</t>
        </is>
      </c>
      <c r="Q165" s="24" t="inlineStr">
        <is>
          <t>16</t>
        </is>
      </c>
    </row>
    <row r="166" ht="24" customHeight="1">
      <c r="A166" s="29" t="inlineStr">
        <is>
          <t>OpenDART_fnlttSinglAcntAll</t>
        </is>
      </c>
      <c r="B166" s="29" t="inlineStr">
        <is>
          <t>00245472</t>
        </is>
      </c>
      <c r="C166" s="29" t="inlineStr">
        <is>
          <t>티씨케이</t>
        </is>
      </c>
      <c r="D166" s="29" t="inlineStr">
        <is>
          <t>tck</t>
        </is>
      </c>
      <c r="E166" s="29" t="inlineStr">
        <is>
          <t>064760</t>
        </is>
      </c>
      <c r="F166" s="29" t="inlineStr">
        <is>
          <t>2022</t>
        </is>
      </c>
      <c r="G166" s="29" t="inlineStr">
        <is>
          <t>OFS</t>
        </is>
      </c>
      <c r="H166" s="29" t="inlineStr">
        <is>
          <t>CF</t>
        </is>
      </c>
      <c r="I166" s="29" t="inlineStr">
        <is>
          <t>현금흐름표</t>
        </is>
      </c>
      <c r="J166" s="29" t="inlineStr">
        <is>
          <t>-표준계정코드 미사용-</t>
        </is>
      </c>
      <c r="K166" s="29" t="inlineStr">
        <is>
          <t>(7) 파생상품자산의 감소</t>
        </is>
      </c>
      <c r="L166" s="29" t="inlineStr">
        <is>
          <t>-</t>
        </is>
      </c>
      <c r="M166" s="29" t="inlineStr">
        <is>
          <t>제 28 기</t>
        </is>
      </c>
      <c r="N166" s="29" t="inlineStr">
        <is>
          <t>1581898291.0</t>
        </is>
      </c>
      <c r="O166" s="29" t="inlineStr">
        <is>
          <t>380060432.0</t>
        </is>
      </c>
      <c r="P166" s="29" t="inlineStr">
        <is>
          <t>KRW</t>
        </is>
      </c>
      <c r="Q166" s="29" t="inlineStr">
        <is>
          <t>17</t>
        </is>
      </c>
    </row>
    <row r="167" ht="24" customHeight="1">
      <c r="A167" s="24" t="inlineStr">
        <is>
          <t>OpenDART_fnlttSinglAcntAll</t>
        </is>
      </c>
      <c r="B167" s="24" t="inlineStr">
        <is>
          <t>00245472</t>
        </is>
      </c>
      <c r="C167" s="24" t="inlineStr">
        <is>
          <t>티씨케이</t>
        </is>
      </c>
      <c r="D167" s="24" t="inlineStr">
        <is>
          <t>tck</t>
        </is>
      </c>
      <c r="E167" s="24" t="inlineStr">
        <is>
          <t>064760</t>
        </is>
      </c>
      <c r="F167" s="24" t="inlineStr">
        <is>
          <t>2022</t>
        </is>
      </c>
      <c r="G167" s="24" t="inlineStr">
        <is>
          <t>OFS</t>
        </is>
      </c>
      <c r="H167" s="24" t="inlineStr">
        <is>
          <t>CF</t>
        </is>
      </c>
      <c r="I167" s="24" t="inlineStr">
        <is>
          <t>현금흐름표</t>
        </is>
      </c>
      <c r="J167" s="24" t="inlineStr">
        <is>
          <t>-표준계정코드 미사용-</t>
        </is>
      </c>
      <c r="K167" s="24" t="inlineStr">
        <is>
          <t>2. 투자활동으로 인한 현금유출액</t>
        </is>
      </c>
      <c r="L167" s="24" t="inlineStr">
        <is>
          <t>-</t>
        </is>
      </c>
      <c r="M167" s="24" t="inlineStr">
        <is>
          <t>제 28 기</t>
        </is>
      </c>
      <c r="N167" s="24" t="inlineStr">
        <is>
          <t>-246894216398.0</t>
        </is>
      </c>
      <c r="O167" s="24" t="inlineStr">
        <is>
          <t>-164579274797.0</t>
        </is>
      </c>
      <c r="P167" s="24" t="inlineStr">
        <is>
          <t>KRW</t>
        </is>
      </c>
      <c r="Q167" s="24" t="inlineStr">
        <is>
          <t>18</t>
        </is>
      </c>
    </row>
    <row r="168" ht="24" customHeight="1">
      <c r="A168" s="29" t="inlineStr">
        <is>
          <t>OpenDART_fnlttSinglAcntAll</t>
        </is>
      </c>
      <c r="B168" s="29" t="inlineStr">
        <is>
          <t>00245472</t>
        </is>
      </c>
      <c r="C168" s="29" t="inlineStr">
        <is>
          <t>티씨케이</t>
        </is>
      </c>
      <c r="D168" s="29" t="inlineStr">
        <is>
          <t>tck</t>
        </is>
      </c>
      <c r="E168" s="29" t="inlineStr">
        <is>
          <t>064760</t>
        </is>
      </c>
      <c r="F168" s="29" t="inlineStr">
        <is>
          <t>2022</t>
        </is>
      </c>
      <c r="G168" s="29" t="inlineStr">
        <is>
          <t>OFS</t>
        </is>
      </c>
      <c r="H168" s="29" t="inlineStr">
        <is>
          <t>CF</t>
        </is>
      </c>
      <c r="I168" s="29" t="inlineStr">
        <is>
          <t>현금흐름표</t>
        </is>
      </c>
      <c r="J168" s="29" t="inlineStr">
        <is>
          <t>-표준계정코드 미사용-</t>
        </is>
      </c>
      <c r="K168" s="29" t="inlineStr">
        <is>
          <t>(1) 단기금융상품의 취득</t>
        </is>
      </c>
      <c r="L168" s="29" t="inlineStr">
        <is>
          <t>-</t>
        </is>
      </c>
      <c r="M168" s="29" t="inlineStr">
        <is>
          <t>제 28 기</t>
        </is>
      </c>
      <c r="N168" s="29" t="inlineStr">
        <is>
          <t>-204000000000.0</t>
        </is>
      </c>
      <c r="O168" s="29" t="inlineStr">
        <is>
          <t>-148000000000.0</t>
        </is>
      </c>
      <c r="P168" s="29" t="inlineStr">
        <is>
          <t>KRW</t>
        </is>
      </c>
      <c r="Q168" s="29" t="inlineStr">
        <is>
          <t>19</t>
        </is>
      </c>
    </row>
    <row r="169" ht="24" customHeight="1">
      <c r="A169" s="24" t="inlineStr">
        <is>
          <t>OpenDART_fnlttSinglAcntAll</t>
        </is>
      </c>
      <c r="B169" s="24" t="inlineStr">
        <is>
          <t>00245472</t>
        </is>
      </c>
      <c r="C169" s="24" t="inlineStr">
        <is>
          <t>티씨케이</t>
        </is>
      </c>
      <c r="D169" s="24" t="inlineStr">
        <is>
          <t>tck</t>
        </is>
      </c>
      <c r="E169" s="24" t="inlineStr">
        <is>
          <t>064760</t>
        </is>
      </c>
      <c r="F169" s="24" t="inlineStr">
        <is>
          <t>2022</t>
        </is>
      </c>
      <c r="G169" s="24" t="inlineStr">
        <is>
          <t>OFS</t>
        </is>
      </c>
      <c r="H169" s="24" t="inlineStr">
        <is>
          <t>CF</t>
        </is>
      </c>
      <c r="I169" s="24" t="inlineStr">
        <is>
          <t>현금흐름표</t>
        </is>
      </c>
      <c r="J169" s="24" t="inlineStr">
        <is>
          <t>-표준계정코드 미사용-</t>
        </is>
      </c>
      <c r="K169" s="24" t="inlineStr">
        <is>
          <t>(2) 장기대여금의 증가</t>
        </is>
      </c>
      <c r="L169" s="24" t="inlineStr">
        <is>
          <t>-</t>
        </is>
      </c>
      <c r="M169" s="24" t="inlineStr">
        <is>
          <t>제 28 기</t>
        </is>
      </c>
      <c r="N169" s="24" t="inlineStr">
        <is>
          <t>-441000000.0</t>
        </is>
      </c>
      <c r="O169" s="24" t="inlineStr">
        <is>
          <t>-323000000.0</t>
        </is>
      </c>
      <c r="P169" s="24" t="inlineStr">
        <is>
          <t>KRW</t>
        </is>
      </c>
      <c r="Q169" s="24" t="inlineStr">
        <is>
          <t>20</t>
        </is>
      </c>
    </row>
    <row r="170" ht="24" customHeight="1">
      <c r="A170" s="29" t="inlineStr">
        <is>
          <t>OpenDART_fnlttSinglAcntAll</t>
        </is>
      </c>
      <c r="B170" s="29" t="inlineStr">
        <is>
          <t>00245472</t>
        </is>
      </c>
      <c r="C170" s="29" t="inlineStr">
        <is>
          <t>티씨케이</t>
        </is>
      </c>
      <c r="D170" s="29" t="inlineStr">
        <is>
          <t>tck</t>
        </is>
      </c>
      <c r="E170" s="29" t="inlineStr">
        <is>
          <t>064760</t>
        </is>
      </c>
      <c r="F170" s="29" t="inlineStr">
        <is>
          <t>2022</t>
        </is>
      </c>
      <c r="G170" s="29" t="inlineStr">
        <is>
          <t>OFS</t>
        </is>
      </c>
      <c r="H170" s="29" t="inlineStr">
        <is>
          <t>CF</t>
        </is>
      </c>
      <c r="I170" s="29" t="inlineStr">
        <is>
          <t>현금흐름표</t>
        </is>
      </c>
      <c r="J170" s="29" t="inlineStr">
        <is>
          <t>-표준계정코드 미사용-</t>
        </is>
      </c>
      <c r="K170" s="29" t="inlineStr">
        <is>
          <t>(3) 임차보증금의 증가</t>
        </is>
      </c>
      <c r="L170" s="29" t="inlineStr">
        <is>
          <t>-</t>
        </is>
      </c>
      <c r="M170" s="29" t="inlineStr">
        <is>
          <t>제 28 기</t>
        </is>
      </c>
      <c r="N170" s="29" t="inlineStr">
        <is>
          <t>-2300000000.0</t>
        </is>
      </c>
      <c r="O170" s="29" t="inlineStr">
        <is>
          <t>-834102000.0</t>
        </is>
      </c>
      <c r="P170" s="29" t="inlineStr">
        <is>
          <t>KRW</t>
        </is>
      </c>
      <c r="Q170" s="29" t="inlineStr">
        <is>
          <t>21</t>
        </is>
      </c>
    </row>
    <row r="171" ht="24" customHeight="1">
      <c r="A171" s="24" t="inlineStr">
        <is>
          <t>OpenDART_fnlttSinglAcntAll</t>
        </is>
      </c>
      <c r="B171" s="24" t="inlineStr">
        <is>
          <t>00245472</t>
        </is>
      </c>
      <c r="C171" s="24" t="inlineStr">
        <is>
          <t>티씨케이</t>
        </is>
      </c>
      <c r="D171" s="24" t="inlineStr">
        <is>
          <t>tck</t>
        </is>
      </c>
      <c r="E171" s="24" t="inlineStr">
        <is>
          <t>064760</t>
        </is>
      </c>
      <c r="F171" s="24" t="inlineStr">
        <is>
          <t>2022</t>
        </is>
      </c>
      <c r="G171" s="24" t="inlineStr">
        <is>
          <t>OFS</t>
        </is>
      </c>
      <c r="H171" s="24" t="inlineStr">
        <is>
          <t>CF</t>
        </is>
      </c>
      <c r="I171" s="24" t="inlineStr">
        <is>
          <t>현금흐름표</t>
        </is>
      </c>
      <c r="J171" s="24" t="inlineStr">
        <is>
          <t>-표준계정코드 미사용-</t>
        </is>
      </c>
      <c r="K171" s="24" t="inlineStr">
        <is>
          <t>(4) 유형자산의 취득</t>
        </is>
      </c>
      <c r="L171" s="24" t="inlineStr">
        <is>
          <t>-</t>
        </is>
      </c>
      <c r="M171" s="24" t="inlineStr">
        <is>
          <t>제 28 기</t>
        </is>
      </c>
      <c r="N171" s="24" t="inlineStr">
        <is>
          <t>-35525133026.0</t>
        </is>
      </c>
      <c r="O171" s="24" t="inlineStr">
        <is>
          <t>-13578370128.0</t>
        </is>
      </c>
      <c r="P171" s="24" t="inlineStr">
        <is>
          <t>KRW</t>
        </is>
      </c>
      <c r="Q171" s="24" t="inlineStr">
        <is>
          <t>22</t>
        </is>
      </c>
    </row>
    <row r="172" ht="24" customHeight="1">
      <c r="A172" s="29" t="inlineStr">
        <is>
          <t>OpenDART_fnlttSinglAcntAll</t>
        </is>
      </c>
      <c r="B172" s="29" t="inlineStr">
        <is>
          <t>00245472</t>
        </is>
      </c>
      <c r="C172" s="29" t="inlineStr">
        <is>
          <t>티씨케이</t>
        </is>
      </c>
      <c r="D172" s="29" t="inlineStr">
        <is>
          <t>tck</t>
        </is>
      </c>
      <c r="E172" s="29" t="inlineStr">
        <is>
          <t>064760</t>
        </is>
      </c>
      <c r="F172" s="29" t="inlineStr">
        <is>
          <t>2022</t>
        </is>
      </c>
      <c r="G172" s="29" t="inlineStr">
        <is>
          <t>OFS</t>
        </is>
      </c>
      <c r="H172" s="29" t="inlineStr">
        <is>
          <t>CF</t>
        </is>
      </c>
      <c r="I172" s="29" t="inlineStr">
        <is>
          <t>현금흐름표</t>
        </is>
      </c>
      <c r="J172" s="29" t="inlineStr">
        <is>
          <t>-표준계정코드 미사용-</t>
        </is>
      </c>
      <c r="K172" s="29" t="inlineStr">
        <is>
          <t>(5) 무형자산의 취득</t>
        </is>
      </c>
      <c r="L172" s="29" t="inlineStr">
        <is>
          <t>-</t>
        </is>
      </c>
      <c r="M172" s="29" t="inlineStr">
        <is>
          <t>제 28 기</t>
        </is>
      </c>
      <c r="N172" s="29" t="inlineStr">
        <is>
          <t>-223856281.0</t>
        </is>
      </c>
      <c r="O172" s="29" t="inlineStr">
        <is>
          <t>-572218960.0</t>
        </is>
      </c>
      <c r="P172" s="29" t="inlineStr">
        <is>
          <t>KRW</t>
        </is>
      </c>
      <c r="Q172" s="29" t="inlineStr">
        <is>
          <t>23</t>
        </is>
      </c>
    </row>
    <row r="173" ht="24" customHeight="1">
      <c r="A173" s="24" t="inlineStr">
        <is>
          <t>OpenDART_fnlttSinglAcntAll</t>
        </is>
      </c>
      <c r="B173" s="24" t="inlineStr">
        <is>
          <t>00245472</t>
        </is>
      </c>
      <c r="C173" s="24" t="inlineStr">
        <is>
          <t>티씨케이</t>
        </is>
      </c>
      <c r="D173" s="24" t="inlineStr">
        <is>
          <t>tck</t>
        </is>
      </c>
      <c r="E173" s="24" t="inlineStr">
        <is>
          <t>064760</t>
        </is>
      </c>
      <c r="F173" s="24" t="inlineStr">
        <is>
          <t>2022</t>
        </is>
      </c>
      <c r="G173" s="24" t="inlineStr">
        <is>
          <t>OFS</t>
        </is>
      </c>
      <c r="H173" s="24" t="inlineStr">
        <is>
          <t>CF</t>
        </is>
      </c>
      <c r="I173" s="24" t="inlineStr">
        <is>
          <t>현금흐름표</t>
        </is>
      </c>
      <c r="J173" s="24" t="inlineStr">
        <is>
          <t>-표준계정코드 미사용-</t>
        </is>
      </c>
      <c r="K173" s="24" t="inlineStr">
        <is>
          <t>(6) 파생상품부채의 감소</t>
        </is>
      </c>
      <c r="L173" s="24" t="inlineStr">
        <is>
          <t>-</t>
        </is>
      </c>
      <c r="M173" s="24" t="inlineStr">
        <is>
          <t>제 28 기</t>
        </is>
      </c>
      <c r="N173" s="24" t="inlineStr">
        <is>
          <t>-4404227091.0</t>
        </is>
      </c>
      <c r="O173" s="24" t="inlineStr">
        <is>
          <t>-1271583709.0</t>
        </is>
      </c>
      <c r="P173" s="24" t="inlineStr">
        <is>
          <t>KRW</t>
        </is>
      </c>
      <c r="Q173" s="24" t="inlineStr">
        <is>
          <t>24</t>
        </is>
      </c>
    </row>
    <row r="174" ht="24" customHeight="1">
      <c r="A174" s="29" t="inlineStr">
        <is>
          <t>OpenDART_fnlttSinglAcntAll</t>
        </is>
      </c>
      <c r="B174" s="29" t="inlineStr">
        <is>
          <t>00245472</t>
        </is>
      </c>
      <c r="C174" s="29" t="inlineStr">
        <is>
          <t>티씨케이</t>
        </is>
      </c>
      <c r="D174" s="29" t="inlineStr">
        <is>
          <t>tck</t>
        </is>
      </c>
      <c r="E174" s="29" t="inlineStr">
        <is>
          <t>064760</t>
        </is>
      </c>
      <c r="F174" s="29" t="inlineStr">
        <is>
          <t>2022</t>
        </is>
      </c>
      <c r="G174" s="29" t="inlineStr">
        <is>
          <t>OFS</t>
        </is>
      </c>
      <c r="H174" s="29" t="inlineStr">
        <is>
          <t>CF</t>
        </is>
      </c>
      <c r="I174" s="29" t="inlineStr">
        <is>
          <t>현금흐름표</t>
        </is>
      </c>
      <c r="J174" s="29" t="inlineStr">
        <is>
          <t>ifrs-full_CashFlowsFromUsedInFinancingActivities</t>
        </is>
      </c>
      <c r="K174" s="29" t="inlineStr">
        <is>
          <t>III. 재무활동으로 인한 현금흐름</t>
        </is>
      </c>
      <c r="L174" s="29" t="inlineStr">
        <is>
          <t>-</t>
        </is>
      </c>
      <c r="M174" s="29" t="inlineStr">
        <is>
          <t>제 28 기</t>
        </is>
      </c>
      <c r="N174" s="29" t="inlineStr">
        <is>
          <t>-316495086.0</t>
        </is>
      </c>
      <c r="O174" s="29" t="inlineStr">
        <is>
          <t>-298710033.0</t>
        </is>
      </c>
      <c r="P174" s="29" t="inlineStr">
        <is>
          <t>KRW</t>
        </is>
      </c>
      <c r="Q174" s="29" t="inlineStr">
        <is>
          <t>25</t>
        </is>
      </c>
    </row>
    <row r="175" ht="24" customHeight="1">
      <c r="A175" s="24" t="inlineStr">
        <is>
          <t>OpenDART_fnlttSinglAcntAll</t>
        </is>
      </c>
      <c r="B175" s="24" t="inlineStr">
        <is>
          <t>00245472</t>
        </is>
      </c>
      <c r="C175" s="24" t="inlineStr">
        <is>
          <t>티씨케이</t>
        </is>
      </c>
      <c r="D175" s="24" t="inlineStr">
        <is>
          <t>tck</t>
        </is>
      </c>
      <c r="E175" s="24" t="inlineStr">
        <is>
          <t>064760</t>
        </is>
      </c>
      <c r="F175" s="24" t="inlineStr">
        <is>
          <t>2022</t>
        </is>
      </c>
      <c r="G175" s="24" t="inlineStr">
        <is>
          <t>OFS</t>
        </is>
      </c>
      <c r="H175" s="24" t="inlineStr">
        <is>
          <t>CF</t>
        </is>
      </c>
      <c r="I175" s="24" t="inlineStr">
        <is>
          <t>현금흐름표</t>
        </is>
      </c>
      <c r="J175" s="24" t="inlineStr">
        <is>
          <t>-표준계정코드 미사용-</t>
        </is>
      </c>
      <c r="K175" s="24" t="inlineStr">
        <is>
          <t>1. 재무활동으로 인한 현금유입액</t>
        </is>
      </c>
      <c r="L175" s="24" t="inlineStr">
        <is>
          <t>-</t>
        </is>
      </c>
      <c r="M175" s="24" t="inlineStr">
        <is>
          <t>제 28 기</t>
        </is>
      </c>
      <c r="N175" s="24" t="inlineStr">
        <is>
          <t>0.0</t>
        </is>
      </c>
      <c r="O175" s="24" t="inlineStr">
        <is>
          <t>0.0</t>
        </is>
      </c>
      <c r="P175" s="24" t="inlineStr">
        <is>
          <t>KRW</t>
        </is>
      </c>
      <c r="Q175" s="24" t="inlineStr">
        <is>
          <t>26</t>
        </is>
      </c>
    </row>
    <row r="176" ht="24" customHeight="1">
      <c r="A176" s="29" t="inlineStr">
        <is>
          <t>OpenDART_fnlttSinglAcntAll</t>
        </is>
      </c>
      <c r="B176" s="29" t="inlineStr">
        <is>
          <t>00245472</t>
        </is>
      </c>
      <c r="C176" s="29" t="inlineStr">
        <is>
          <t>티씨케이</t>
        </is>
      </c>
      <c r="D176" s="29" t="inlineStr">
        <is>
          <t>tck</t>
        </is>
      </c>
      <c r="E176" s="29" t="inlineStr">
        <is>
          <t>064760</t>
        </is>
      </c>
      <c r="F176" s="29" t="inlineStr">
        <is>
          <t>2022</t>
        </is>
      </c>
      <c r="G176" s="29" t="inlineStr">
        <is>
          <t>OFS</t>
        </is>
      </c>
      <c r="H176" s="29" t="inlineStr">
        <is>
          <t>CF</t>
        </is>
      </c>
      <c r="I176" s="29" t="inlineStr">
        <is>
          <t>현금흐름표</t>
        </is>
      </c>
      <c r="J176" s="29" t="inlineStr">
        <is>
          <t>-표준계정코드 미사용-</t>
        </is>
      </c>
      <c r="K176" s="29" t="inlineStr">
        <is>
          <t>2. 재무활동으로 인한 현금유출액</t>
        </is>
      </c>
      <c r="L176" s="29" t="inlineStr">
        <is>
          <t>-</t>
        </is>
      </c>
      <c r="M176" s="29" t="inlineStr">
        <is>
          <t>제 28 기</t>
        </is>
      </c>
      <c r="N176" s="29" t="inlineStr">
        <is>
          <t>-316495086.0</t>
        </is>
      </c>
      <c r="O176" s="29" t="inlineStr">
        <is>
          <t>-298710033.0</t>
        </is>
      </c>
      <c r="P176" s="29" t="inlineStr">
        <is>
          <t>KRW</t>
        </is>
      </c>
      <c r="Q176" s="29" t="inlineStr">
        <is>
          <t>27</t>
        </is>
      </c>
    </row>
    <row r="177" ht="24" customHeight="1">
      <c r="A177" s="24" t="inlineStr">
        <is>
          <t>OpenDART_fnlttSinglAcntAll</t>
        </is>
      </c>
      <c r="B177" s="24" t="inlineStr">
        <is>
          <t>00245472</t>
        </is>
      </c>
      <c r="C177" s="24" t="inlineStr">
        <is>
          <t>티씨케이</t>
        </is>
      </c>
      <c r="D177" s="24" t="inlineStr">
        <is>
          <t>tck</t>
        </is>
      </c>
      <c r="E177" s="24" t="inlineStr">
        <is>
          <t>064760</t>
        </is>
      </c>
      <c r="F177" s="24" t="inlineStr">
        <is>
          <t>2022</t>
        </is>
      </c>
      <c r="G177" s="24" t="inlineStr">
        <is>
          <t>OFS</t>
        </is>
      </c>
      <c r="H177" s="24" t="inlineStr">
        <is>
          <t>CF</t>
        </is>
      </c>
      <c r="I177" s="24" t="inlineStr">
        <is>
          <t>현금흐름표</t>
        </is>
      </c>
      <c r="J177" s="24" t="inlineStr">
        <is>
          <t>-표준계정코드 미사용-</t>
        </is>
      </c>
      <c r="K177" s="24" t="inlineStr">
        <is>
          <t>(1) 리스부채의 상환</t>
        </is>
      </c>
      <c r="L177" s="24" t="inlineStr">
        <is>
          <t>-</t>
        </is>
      </c>
      <c r="M177" s="24" t="inlineStr">
        <is>
          <t>제 28 기</t>
        </is>
      </c>
      <c r="N177" s="24" t="inlineStr">
        <is>
          <t>-316495086.0</t>
        </is>
      </c>
      <c r="O177" s="24" t="inlineStr">
        <is>
          <t>-298710033.0</t>
        </is>
      </c>
      <c r="P177" s="24" t="inlineStr">
        <is>
          <t>KRW</t>
        </is>
      </c>
      <c r="Q177" s="24" t="inlineStr">
        <is>
          <t>28</t>
        </is>
      </c>
    </row>
    <row r="178" ht="24" customHeight="1">
      <c r="A178" s="29" t="inlineStr">
        <is>
          <t>OpenDART_fnlttSinglAcntAll</t>
        </is>
      </c>
      <c r="B178" s="29" t="inlineStr">
        <is>
          <t>00245472</t>
        </is>
      </c>
      <c r="C178" s="29" t="inlineStr">
        <is>
          <t>티씨케이</t>
        </is>
      </c>
      <c r="D178" s="29" t="inlineStr">
        <is>
          <t>tck</t>
        </is>
      </c>
      <c r="E178" s="29" t="inlineStr">
        <is>
          <t>064760</t>
        </is>
      </c>
      <c r="F178" s="29" t="inlineStr">
        <is>
          <t>2022</t>
        </is>
      </c>
      <c r="G178" s="29" t="inlineStr">
        <is>
          <t>OFS</t>
        </is>
      </c>
      <c r="H178" s="29" t="inlineStr">
        <is>
          <t>CF</t>
        </is>
      </c>
      <c r="I178" s="29" t="inlineStr">
        <is>
          <t>현금흐름표</t>
        </is>
      </c>
      <c r="J178" s="29" t="inlineStr">
        <is>
          <t>-표준계정코드 미사용-</t>
        </is>
      </c>
      <c r="K178" s="29" t="inlineStr">
        <is>
          <t>(2) 정부보조금의 상환</t>
        </is>
      </c>
      <c r="L178" s="29" t="inlineStr">
        <is>
          <t>-</t>
        </is>
      </c>
      <c r="M178" s="29" t="inlineStr">
        <is>
          <t>제 28 기</t>
        </is>
      </c>
      <c r="N178" s="29" t="inlineStr">
        <is>
          <t>0.0</t>
        </is>
      </c>
      <c r="O178" s="29" t="inlineStr">
        <is>
          <t>0.0</t>
        </is>
      </c>
      <c r="P178" s="29" t="inlineStr">
        <is>
          <t>KRW</t>
        </is>
      </c>
      <c r="Q178" s="29" t="inlineStr">
        <is>
          <t>29</t>
        </is>
      </c>
    </row>
    <row r="179" ht="24" customHeight="1">
      <c r="A179" s="24" t="inlineStr">
        <is>
          <t>OpenDART_fnlttSinglAcntAll</t>
        </is>
      </c>
      <c r="B179" s="24" t="inlineStr">
        <is>
          <t>00245472</t>
        </is>
      </c>
      <c r="C179" s="24" t="inlineStr">
        <is>
          <t>티씨케이</t>
        </is>
      </c>
      <c r="D179" s="24" t="inlineStr">
        <is>
          <t>tck</t>
        </is>
      </c>
      <c r="E179" s="24" t="inlineStr">
        <is>
          <t>064760</t>
        </is>
      </c>
      <c r="F179" s="24" t="inlineStr">
        <is>
          <t>2022</t>
        </is>
      </c>
      <c r="G179" s="24" t="inlineStr">
        <is>
          <t>OFS</t>
        </is>
      </c>
      <c r="H179" s="24" t="inlineStr">
        <is>
          <t>CF</t>
        </is>
      </c>
      <c r="I179" s="24" t="inlineStr">
        <is>
          <t>현금흐름표</t>
        </is>
      </c>
      <c r="J179" s="24" t="inlineStr">
        <is>
          <t>ifrs-full_IncreaseDecreaseInCashAndCashEquivalentsBeforeEffectOfExchangeRateChanges</t>
        </is>
      </c>
      <c r="K179" s="24" t="inlineStr">
        <is>
          <t>IV. 환율변동효과 반영전 현금및현금성자산의 증가(감소)</t>
        </is>
      </c>
      <c r="L179" s="24" t="inlineStr">
        <is>
          <t>-</t>
        </is>
      </c>
      <c r="M179" s="24" t="inlineStr">
        <is>
          <t>제 28 기</t>
        </is>
      </c>
      <c r="N179" s="24" t="inlineStr">
        <is>
          <t>-9051356266.0</t>
        </is>
      </c>
      <c r="O179" s="24" t="inlineStr">
        <is>
          <t>14612835285.0</t>
        </is>
      </c>
      <c r="P179" s="24" t="inlineStr">
        <is>
          <t>KRW</t>
        </is>
      </c>
      <c r="Q179" s="24" t="inlineStr">
        <is>
          <t>30</t>
        </is>
      </c>
    </row>
    <row r="180" ht="24" customHeight="1">
      <c r="A180" s="29" t="inlineStr">
        <is>
          <t>OpenDART_fnlttSinglAcntAll</t>
        </is>
      </c>
      <c r="B180" s="29" t="inlineStr">
        <is>
          <t>00245472</t>
        </is>
      </c>
      <c r="C180" s="29" t="inlineStr">
        <is>
          <t>티씨케이</t>
        </is>
      </c>
      <c r="D180" s="29" t="inlineStr">
        <is>
          <t>tck</t>
        </is>
      </c>
      <c r="E180" s="29" t="inlineStr">
        <is>
          <t>064760</t>
        </is>
      </c>
      <c r="F180" s="29" t="inlineStr">
        <is>
          <t>2022</t>
        </is>
      </c>
      <c r="G180" s="29" t="inlineStr">
        <is>
          <t>OFS</t>
        </is>
      </c>
      <c r="H180" s="29" t="inlineStr">
        <is>
          <t>CF</t>
        </is>
      </c>
      <c r="I180" s="29" t="inlineStr">
        <is>
          <t>현금흐름표</t>
        </is>
      </c>
      <c r="J180" s="29" t="inlineStr">
        <is>
          <t>dart_CashAndCashEquivalentsAtBeginningOfPeriodCf</t>
        </is>
      </c>
      <c r="K180" s="29" t="inlineStr">
        <is>
          <t>V. 기초의 현금및현금성자산</t>
        </is>
      </c>
      <c r="L180" s="29" t="inlineStr">
        <is>
          <t>-</t>
        </is>
      </c>
      <c r="M180" s="29" t="inlineStr">
        <is>
          <t>제 28 기</t>
        </is>
      </c>
      <c r="N180" s="29" t="inlineStr">
        <is>
          <t>53718532398.0</t>
        </is>
      </c>
      <c r="O180" s="29" t="inlineStr">
        <is>
          <t>39102305547.0</t>
        </is>
      </c>
      <c r="P180" s="29" t="inlineStr">
        <is>
          <t>KRW</t>
        </is>
      </c>
      <c r="Q180" s="29" t="inlineStr">
        <is>
          <t>31</t>
        </is>
      </c>
    </row>
    <row r="181" ht="24" customHeight="1">
      <c r="A181" s="24" t="inlineStr">
        <is>
          <t>OpenDART_fnlttSinglAcntAll</t>
        </is>
      </c>
      <c r="B181" s="24" t="inlineStr">
        <is>
          <t>00245472</t>
        </is>
      </c>
      <c r="C181" s="24" t="inlineStr">
        <is>
          <t>티씨케이</t>
        </is>
      </c>
      <c r="D181" s="24" t="inlineStr">
        <is>
          <t>tck</t>
        </is>
      </c>
      <c r="E181" s="24" t="inlineStr">
        <is>
          <t>064760</t>
        </is>
      </c>
      <c r="F181" s="24" t="inlineStr">
        <is>
          <t>2022</t>
        </is>
      </c>
      <c r="G181" s="24" t="inlineStr">
        <is>
          <t>OFS</t>
        </is>
      </c>
      <c r="H181" s="24" t="inlineStr">
        <is>
          <t>CF</t>
        </is>
      </c>
      <c r="I181" s="24" t="inlineStr">
        <is>
          <t>현금흐름표</t>
        </is>
      </c>
      <c r="J181" s="24" t="inlineStr">
        <is>
          <t>ifrs-full_EffectOfExchangeRateChangesOnCashAndCashEquivalents</t>
        </is>
      </c>
      <c r="K181" s="24" t="inlineStr">
        <is>
          <t>VI. 현금및현금성자산에 대한 환율변동효과</t>
        </is>
      </c>
      <c r="L181" s="24" t="inlineStr">
        <is>
          <t>-</t>
        </is>
      </c>
      <c r="M181" s="24" t="inlineStr">
        <is>
          <t>제 28 기</t>
        </is>
      </c>
      <c r="N181" s="24" t="inlineStr">
        <is>
          <t>-2854152.0</t>
        </is>
      </c>
      <c r="O181" s="24" t="inlineStr">
        <is>
          <t>3391566.0</t>
        </is>
      </c>
      <c r="P181" s="24" t="inlineStr">
        <is>
          <t>KRW</t>
        </is>
      </c>
      <c r="Q181" s="24" t="inlineStr">
        <is>
          <t>32</t>
        </is>
      </c>
    </row>
    <row r="182" ht="24" customHeight="1">
      <c r="A182" s="29" t="inlineStr">
        <is>
          <t>OpenDART_fnlttSinglAcntAll</t>
        </is>
      </c>
      <c r="B182" s="29" t="inlineStr">
        <is>
          <t>00245472</t>
        </is>
      </c>
      <c r="C182" s="29" t="inlineStr">
        <is>
          <t>티씨케이</t>
        </is>
      </c>
      <c r="D182" s="29" t="inlineStr">
        <is>
          <t>tck</t>
        </is>
      </c>
      <c r="E182" s="29" t="inlineStr">
        <is>
          <t>064760</t>
        </is>
      </c>
      <c r="F182" s="29" t="inlineStr">
        <is>
          <t>2022</t>
        </is>
      </c>
      <c r="G182" s="29" t="inlineStr">
        <is>
          <t>OFS</t>
        </is>
      </c>
      <c r="H182" s="29" t="inlineStr">
        <is>
          <t>CF</t>
        </is>
      </c>
      <c r="I182" s="29" t="inlineStr">
        <is>
          <t>현금흐름표</t>
        </is>
      </c>
      <c r="J182" s="29" t="inlineStr">
        <is>
          <t>dart_CashAndCashEquivalentsAtEndOfPeriodCf</t>
        </is>
      </c>
      <c r="K182" s="29" t="inlineStr">
        <is>
          <t>Ⅶ. 당기말의 현금및현금성자산</t>
        </is>
      </c>
      <c r="L182" s="29" t="inlineStr">
        <is>
          <t>-</t>
        </is>
      </c>
      <c r="M182" s="29" t="inlineStr">
        <is>
          <t>제 28 기</t>
        </is>
      </c>
      <c r="N182" s="29" t="inlineStr">
        <is>
          <t>44664321980.0</t>
        </is>
      </c>
      <c r="O182" s="29" t="inlineStr">
        <is>
          <t>53718532398.0</t>
        </is>
      </c>
      <c r="P182" s="29" t="inlineStr">
        <is>
          <t>KRW</t>
        </is>
      </c>
      <c r="Q182" s="29" t="inlineStr">
        <is>
          <t>33</t>
        </is>
      </c>
    </row>
    <row r="183" ht="24" customHeight="1">
      <c r="A183" s="24" t="inlineStr">
        <is>
          <t>OpenDART_fnlttSinglAcntAll</t>
        </is>
      </c>
      <c r="B183" s="24" t="inlineStr">
        <is>
          <t>00245472</t>
        </is>
      </c>
      <c r="C183" s="24" t="inlineStr">
        <is>
          <t>티씨케이</t>
        </is>
      </c>
      <c r="D183" s="24" t="inlineStr">
        <is>
          <t>tck</t>
        </is>
      </c>
      <c r="E183" s="24" t="inlineStr">
        <is>
          <t>064760</t>
        </is>
      </c>
      <c r="F183" s="24" t="inlineStr">
        <is>
          <t>2022</t>
        </is>
      </c>
      <c r="G183" s="24" t="inlineStr">
        <is>
          <t>OFS</t>
        </is>
      </c>
      <c r="H183" s="24" t="inlineStr">
        <is>
          <t>SCE</t>
        </is>
      </c>
      <c r="I183" s="24" t="inlineStr">
        <is>
          <t>자본변동표</t>
        </is>
      </c>
      <c r="J183" s="24" t="inlineStr">
        <is>
          <t>dart_EquityAtBeginningOfPeriod</t>
        </is>
      </c>
      <c r="K183" s="24" t="inlineStr">
        <is>
          <t>기초자본</t>
        </is>
      </c>
      <c r="L183" s="24" t="inlineStr">
        <is>
          <t>별도재무제표 [member]</t>
        </is>
      </c>
      <c r="M183" s="24" t="inlineStr">
        <is>
          <t>제 28 기</t>
        </is>
      </c>
      <c r="N183" s="24" t="inlineStr">
        <is>
          <t>339512447083.0</t>
        </is>
      </c>
      <c r="O183" s="24" t="inlineStr">
        <is>
          <t>270464319029.0</t>
        </is>
      </c>
      <c r="P183" s="24" t="inlineStr">
        <is>
          <t>KRW</t>
        </is>
      </c>
      <c r="Q183" s="24" t="inlineStr">
        <is>
          <t>1</t>
        </is>
      </c>
    </row>
    <row r="184" ht="24" customHeight="1">
      <c r="A184" s="29" t="inlineStr">
        <is>
          <t>OpenDART_fnlttSinglAcntAll</t>
        </is>
      </c>
      <c r="B184" s="29" t="inlineStr">
        <is>
          <t>00245472</t>
        </is>
      </c>
      <c r="C184" s="29" t="inlineStr">
        <is>
          <t>티씨케이</t>
        </is>
      </c>
      <c r="D184" s="29" t="inlineStr">
        <is>
          <t>tck</t>
        </is>
      </c>
      <c r="E184" s="29" t="inlineStr">
        <is>
          <t>064760</t>
        </is>
      </c>
      <c r="F184" s="29" t="inlineStr">
        <is>
          <t>2022</t>
        </is>
      </c>
      <c r="G184" s="29" t="inlineStr">
        <is>
          <t>OFS</t>
        </is>
      </c>
      <c r="H184" s="29" t="inlineStr">
        <is>
          <t>SCE</t>
        </is>
      </c>
      <c r="I184" s="29" t="inlineStr">
        <is>
          <t>자본변동표</t>
        </is>
      </c>
      <c r="J184" s="29" t="inlineStr">
        <is>
          <t>dart_EquityAtBeginningOfPeriod</t>
        </is>
      </c>
      <c r="K184" s="29" t="inlineStr">
        <is>
          <t>기초자본</t>
        </is>
      </c>
      <c r="L184" s="29" t="inlineStr">
        <is>
          <t>자본 [member]|기타자본구성요소 [member]</t>
        </is>
      </c>
      <c r="M184" s="29" t="inlineStr">
        <is>
          <t>제 28 기</t>
        </is>
      </c>
      <c r="N184" s="29" t="inlineStr">
        <is>
          <t>233168836.0</t>
        </is>
      </c>
      <c r="O184" s="29" t="inlineStr">
        <is>
          <t>233168836.0</t>
        </is>
      </c>
      <c r="P184" s="29" t="inlineStr">
        <is>
          <t>KRW</t>
        </is>
      </c>
      <c r="Q184" s="29" t="inlineStr">
        <is>
          <t>1</t>
        </is>
      </c>
    </row>
    <row r="185" ht="24" customHeight="1">
      <c r="A185" s="24" t="inlineStr">
        <is>
          <t>OpenDART_fnlttSinglAcntAll</t>
        </is>
      </c>
      <c r="B185" s="24" t="inlineStr">
        <is>
          <t>00245472</t>
        </is>
      </c>
      <c r="C185" s="24" t="inlineStr">
        <is>
          <t>티씨케이</t>
        </is>
      </c>
      <c r="D185" s="24" t="inlineStr">
        <is>
          <t>tck</t>
        </is>
      </c>
      <c r="E185" s="24" t="inlineStr">
        <is>
          <t>064760</t>
        </is>
      </c>
      <c r="F185" s="24" t="inlineStr">
        <is>
          <t>2022</t>
        </is>
      </c>
      <c r="G185" s="24" t="inlineStr">
        <is>
          <t>OFS</t>
        </is>
      </c>
      <c r="H185" s="24" t="inlineStr">
        <is>
          <t>SCE</t>
        </is>
      </c>
      <c r="I185" s="24" t="inlineStr">
        <is>
          <t>자본변동표</t>
        </is>
      </c>
      <c r="J185" s="24" t="inlineStr">
        <is>
          <t>dart_EquityAtBeginningOfPeriod</t>
        </is>
      </c>
      <c r="K185" s="24" t="inlineStr">
        <is>
          <t>기초자본</t>
        </is>
      </c>
      <c r="L185" s="24" t="inlineStr">
        <is>
          <t>자본 [member]|이익잉여금 [member]</t>
        </is>
      </c>
      <c r="M185" s="24" t="inlineStr">
        <is>
          <t>제 28 기</t>
        </is>
      </c>
      <c r="N185" s="24" t="inlineStr">
        <is>
          <t>327406776327.0</t>
        </is>
      </c>
      <c r="O185" s="24" t="inlineStr">
        <is>
          <t>258358648273.0</t>
        </is>
      </c>
      <c r="P185" s="24" t="inlineStr">
        <is>
          <t>KRW</t>
        </is>
      </c>
      <c r="Q185" s="24" t="inlineStr">
        <is>
          <t>1</t>
        </is>
      </c>
    </row>
    <row r="186" ht="24" customHeight="1">
      <c r="A186" s="29" t="inlineStr">
        <is>
          <t>OpenDART_fnlttSinglAcntAll</t>
        </is>
      </c>
      <c r="B186" s="29" t="inlineStr">
        <is>
          <t>00245472</t>
        </is>
      </c>
      <c r="C186" s="29" t="inlineStr">
        <is>
          <t>티씨케이</t>
        </is>
      </c>
      <c r="D186" s="29" t="inlineStr">
        <is>
          <t>tck</t>
        </is>
      </c>
      <c r="E186" s="29" t="inlineStr">
        <is>
          <t>064760</t>
        </is>
      </c>
      <c r="F186" s="29" t="inlineStr">
        <is>
          <t>2022</t>
        </is>
      </c>
      <c r="G186" s="29" t="inlineStr">
        <is>
          <t>OFS</t>
        </is>
      </c>
      <c r="H186" s="29" t="inlineStr">
        <is>
          <t>SCE</t>
        </is>
      </c>
      <c r="I186" s="29" t="inlineStr">
        <is>
          <t>자본변동표</t>
        </is>
      </c>
      <c r="J186" s="29" t="inlineStr">
        <is>
          <t>dart_EquityAtBeginningOfPeriod</t>
        </is>
      </c>
      <c r="K186" s="29" t="inlineStr">
        <is>
          <t>기초자본</t>
        </is>
      </c>
      <c r="L186" s="29" t="inlineStr">
        <is>
          <t>자본 [member]|자본금 [member]</t>
        </is>
      </c>
      <c r="M186" s="29" t="inlineStr">
        <is>
          <t>제 28 기</t>
        </is>
      </c>
      <c r="N186" s="29" t="inlineStr">
        <is>
          <t>5837500000.0</t>
        </is>
      </c>
      <c r="O186" s="29" t="inlineStr">
        <is>
          <t>5837500000.0</t>
        </is>
      </c>
      <c r="P186" s="29" t="inlineStr">
        <is>
          <t>KRW</t>
        </is>
      </c>
      <c r="Q186" s="29" t="inlineStr">
        <is>
          <t>1</t>
        </is>
      </c>
    </row>
    <row r="187" ht="24" customHeight="1">
      <c r="A187" s="24" t="inlineStr">
        <is>
          <t>OpenDART_fnlttSinglAcntAll</t>
        </is>
      </c>
      <c r="B187" s="24" t="inlineStr">
        <is>
          <t>00245472</t>
        </is>
      </c>
      <c r="C187" s="24" t="inlineStr">
        <is>
          <t>티씨케이</t>
        </is>
      </c>
      <c r="D187" s="24" t="inlineStr">
        <is>
          <t>tck</t>
        </is>
      </c>
      <c r="E187" s="24" t="inlineStr">
        <is>
          <t>064760</t>
        </is>
      </c>
      <c r="F187" s="24" t="inlineStr">
        <is>
          <t>2022</t>
        </is>
      </c>
      <c r="G187" s="24" t="inlineStr">
        <is>
          <t>OFS</t>
        </is>
      </c>
      <c r="H187" s="24" t="inlineStr">
        <is>
          <t>SCE</t>
        </is>
      </c>
      <c r="I187" s="24" t="inlineStr">
        <is>
          <t>자본변동표</t>
        </is>
      </c>
      <c r="J187" s="24" t="inlineStr">
        <is>
          <t>dart_EquityAtBeginningOfPeriod</t>
        </is>
      </c>
      <c r="K187" s="24" t="inlineStr">
        <is>
          <t>기초자본</t>
        </is>
      </c>
      <c r="L187" s="24" t="inlineStr">
        <is>
          <t>자본 [member]|자본잉여금 [member]</t>
        </is>
      </c>
      <c r="M187" s="24" t="inlineStr">
        <is>
          <t>제 28 기</t>
        </is>
      </c>
      <c r="N187" s="24" t="inlineStr">
        <is>
          <t>6035001920.0</t>
        </is>
      </c>
      <c r="O187" s="24" t="inlineStr">
        <is>
          <t>6035001920.0</t>
        </is>
      </c>
      <c r="P187" s="24" t="inlineStr">
        <is>
          <t>KRW</t>
        </is>
      </c>
      <c r="Q187" s="24" t="inlineStr">
        <is>
          <t>1</t>
        </is>
      </c>
    </row>
    <row r="188" ht="24" customHeight="1">
      <c r="A188" s="29" t="inlineStr">
        <is>
          <t>OpenDART_fnlttSinglAcntAll</t>
        </is>
      </c>
      <c r="B188" s="29" t="inlineStr">
        <is>
          <t>00245472</t>
        </is>
      </c>
      <c r="C188" s="29" t="inlineStr">
        <is>
          <t>티씨케이</t>
        </is>
      </c>
      <c r="D188" s="29" t="inlineStr">
        <is>
          <t>tck</t>
        </is>
      </c>
      <c r="E188" s="29" t="inlineStr">
        <is>
          <t>064760</t>
        </is>
      </c>
      <c r="F188" s="29" t="inlineStr">
        <is>
          <t>2022</t>
        </is>
      </c>
      <c r="G188" s="29" t="inlineStr">
        <is>
          <t>OFS</t>
        </is>
      </c>
      <c r="H188" s="29" t="inlineStr">
        <is>
          <t>SCE</t>
        </is>
      </c>
      <c r="I188" s="29" t="inlineStr">
        <is>
          <t>자본변동표</t>
        </is>
      </c>
      <c r="J188" s="29" t="inlineStr">
        <is>
          <t>-표준계정코드 미사용-</t>
        </is>
      </c>
      <c r="K188" s="29" t="inlineStr">
        <is>
          <t>당기순이익</t>
        </is>
      </c>
      <c r="L188" s="29" t="inlineStr">
        <is>
          <t>자본 [member]|이익잉여금 [member]</t>
        </is>
      </c>
      <c r="M188" s="29" t="inlineStr">
        <is>
          <t>제 28 기</t>
        </is>
      </c>
      <c r="N188" s="29" t="inlineStr">
        <is>
          <t>94056447998.0</t>
        </is>
      </c>
      <c r="O188" s="29" t="inlineStr">
        <is>
          <t>81890628054.0</t>
        </is>
      </c>
      <c r="P188" s="29" t="inlineStr">
        <is>
          <t>KRW</t>
        </is>
      </c>
      <c r="Q188" s="29" t="inlineStr">
        <is>
          <t>3</t>
        </is>
      </c>
    </row>
    <row r="189" ht="24" customHeight="1">
      <c r="A189" s="24" t="inlineStr">
        <is>
          <t>OpenDART_fnlttSinglAcntAll</t>
        </is>
      </c>
      <c r="B189" s="24" t="inlineStr">
        <is>
          <t>00245472</t>
        </is>
      </c>
      <c r="C189" s="24" t="inlineStr">
        <is>
          <t>티씨케이</t>
        </is>
      </c>
      <c r="D189" s="24" t="inlineStr">
        <is>
          <t>tck</t>
        </is>
      </c>
      <c r="E189" s="24" t="inlineStr">
        <is>
          <t>064760</t>
        </is>
      </c>
      <c r="F189" s="24" t="inlineStr">
        <is>
          <t>2022</t>
        </is>
      </c>
      <c r="G189" s="24" t="inlineStr">
        <is>
          <t>OFS</t>
        </is>
      </c>
      <c r="H189" s="24" t="inlineStr">
        <is>
          <t>SCE</t>
        </is>
      </c>
      <c r="I189" s="24" t="inlineStr">
        <is>
          <t>자본변동표</t>
        </is>
      </c>
      <c r="J189" s="24" t="inlineStr">
        <is>
          <t>-표준계정코드 미사용-</t>
        </is>
      </c>
      <c r="K189" s="24" t="inlineStr">
        <is>
          <t>당기순이익</t>
        </is>
      </c>
      <c r="L189" s="24" t="inlineStr">
        <is>
          <t>자본 [member]|자본잉여금 [member]</t>
        </is>
      </c>
      <c r="M189" s="24" t="inlineStr">
        <is>
          <t>제 28 기</t>
        </is>
      </c>
      <c r="N189" s="24" t="inlineStr">
        <is>
          <t>0.0</t>
        </is>
      </c>
      <c r="O189" s="24" t="inlineStr">
        <is>
          <t>0.0</t>
        </is>
      </c>
      <c r="P189" s="24" t="inlineStr">
        <is>
          <t>KRW</t>
        </is>
      </c>
      <c r="Q189" s="24" t="inlineStr">
        <is>
          <t>3</t>
        </is>
      </c>
    </row>
    <row r="190" ht="24" customHeight="1">
      <c r="A190" s="29" t="inlineStr">
        <is>
          <t>OpenDART_fnlttSinglAcntAll</t>
        </is>
      </c>
      <c r="B190" s="29" t="inlineStr">
        <is>
          <t>00245472</t>
        </is>
      </c>
      <c r="C190" s="29" t="inlineStr">
        <is>
          <t>티씨케이</t>
        </is>
      </c>
      <c r="D190" s="29" t="inlineStr">
        <is>
          <t>tck</t>
        </is>
      </c>
      <c r="E190" s="29" t="inlineStr">
        <is>
          <t>064760</t>
        </is>
      </c>
      <c r="F190" s="29" t="inlineStr">
        <is>
          <t>2022</t>
        </is>
      </c>
      <c r="G190" s="29" t="inlineStr">
        <is>
          <t>OFS</t>
        </is>
      </c>
      <c r="H190" s="29" t="inlineStr">
        <is>
          <t>SCE</t>
        </is>
      </c>
      <c r="I190" s="29" t="inlineStr">
        <is>
          <t>자본변동표</t>
        </is>
      </c>
      <c r="J190" s="29" t="inlineStr">
        <is>
          <t>-표준계정코드 미사용-</t>
        </is>
      </c>
      <c r="K190" s="29" t="inlineStr">
        <is>
          <t>당기순이익</t>
        </is>
      </c>
      <c r="L190" s="29" t="inlineStr">
        <is>
          <t>자본 [member]|자본금 [member]</t>
        </is>
      </c>
      <c r="M190" s="29" t="inlineStr">
        <is>
          <t>제 28 기</t>
        </is>
      </c>
      <c r="N190" s="29" t="inlineStr">
        <is>
          <t>0.0</t>
        </is>
      </c>
      <c r="O190" s="29" t="inlineStr">
        <is>
          <t>0.0</t>
        </is>
      </c>
      <c r="P190" s="29" t="inlineStr">
        <is>
          <t>KRW</t>
        </is>
      </c>
      <c r="Q190" s="29" t="inlineStr">
        <is>
          <t>3</t>
        </is>
      </c>
    </row>
    <row r="191" ht="24" customHeight="1">
      <c r="A191" s="24" t="inlineStr">
        <is>
          <t>OpenDART_fnlttSinglAcntAll</t>
        </is>
      </c>
      <c r="B191" s="24" t="inlineStr">
        <is>
          <t>00245472</t>
        </is>
      </c>
      <c r="C191" s="24" t="inlineStr">
        <is>
          <t>티씨케이</t>
        </is>
      </c>
      <c r="D191" s="24" t="inlineStr">
        <is>
          <t>tck</t>
        </is>
      </c>
      <c r="E191" s="24" t="inlineStr">
        <is>
          <t>064760</t>
        </is>
      </c>
      <c r="F191" s="24" t="inlineStr">
        <is>
          <t>2022</t>
        </is>
      </c>
      <c r="G191" s="24" t="inlineStr">
        <is>
          <t>OFS</t>
        </is>
      </c>
      <c r="H191" s="24" t="inlineStr">
        <is>
          <t>SCE</t>
        </is>
      </c>
      <c r="I191" s="24" t="inlineStr">
        <is>
          <t>자본변동표</t>
        </is>
      </c>
      <c r="J191" s="24" t="inlineStr">
        <is>
          <t>-표준계정코드 미사용-</t>
        </is>
      </c>
      <c r="K191" s="24" t="inlineStr">
        <is>
          <t>당기순이익</t>
        </is>
      </c>
      <c r="L191" s="24" t="inlineStr">
        <is>
          <t>자본 [member]|기타자본구성요소 [member]</t>
        </is>
      </c>
      <c r="M191" s="24" t="inlineStr">
        <is>
          <t>제 28 기</t>
        </is>
      </c>
      <c r="N191" s="24" t="inlineStr">
        <is>
          <t>0.0</t>
        </is>
      </c>
      <c r="O191" s="24" t="inlineStr">
        <is>
          <t>0.0</t>
        </is>
      </c>
      <c r="P191" s="24" t="inlineStr">
        <is>
          <t>KRW</t>
        </is>
      </c>
      <c r="Q191" s="24" t="inlineStr">
        <is>
          <t>3</t>
        </is>
      </c>
    </row>
    <row r="192" ht="24" customHeight="1">
      <c r="A192" s="29" t="inlineStr">
        <is>
          <t>OpenDART_fnlttSinglAcntAll</t>
        </is>
      </c>
      <c r="B192" s="29" t="inlineStr">
        <is>
          <t>00245472</t>
        </is>
      </c>
      <c r="C192" s="29" t="inlineStr">
        <is>
          <t>티씨케이</t>
        </is>
      </c>
      <c r="D192" s="29" t="inlineStr">
        <is>
          <t>tck</t>
        </is>
      </c>
      <c r="E192" s="29" t="inlineStr">
        <is>
          <t>064760</t>
        </is>
      </c>
      <c r="F192" s="29" t="inlineStr">
        <is>
          <t>2022</t>
        </is>
      </c>
      <c r="G192" s="29" t="inlineStr">
        <is>
          <t>OFS</t>
        </is>
      </c>
      <c r="H192" s="29" t="inlineStr">
        <is>
          <t>SCE</t>
        </is>
      </c>
      <c r="I192" s="29" t="inlineStr">
        <is>
          <t>자본변동표</t>
        </is>
      </c>
      <c r="J192" s="29" t="inlineStr">
        <is>
          <t>-표준계정코드 미사용-</t>
        </is>
      </c>
      <c r="K192" s="29" t="inlineStr">
        <is>
          <t>당기순이익</t>
        </is>
      </c>
      <c r="L192" s="29" t="inlineStr">
        <is>
          <t>별도재무제표 [member]</t>
        </is>
      </c>
      <c r="M192" s="29" t="inlineStr">
        <is>
          <t>제 28 기</t>
        </is>
      </c>
      <c r="N192" s="29" t="inlineStr">
        <is>
          <t>94056447998.0</t>
        </is>
      </c>
      <c r="O192" s="29" t="inlineStr">
        <is>
          <t>81890628054.0</t>
        </is>
      </c>
      <c r="P192" s="29" t="inlineStr">
        <is>
          <t>KRW</t>
        </is>
      </c>
      <c r="Q192" s="29" t="inlineStr">
        <is>
          <t>3</t>
        </is>
      </c>
    </row>
    <row r="193" ht="24" customHeight="1">
      <c r="A193" s="24" t="inlineStr">
        <is>
          <t>OpenDART_fnlttSinglAcntAll</t>
        </is>
      </c>
      <c r="B193" s="24" t="inlineStr">
        <is>
          <t>00245472</t>
        </is>
      </c>
      <c r="C193" s="24" t="inlineStr">
        <is>
          <t>티씨케이</t>
        </is>
      </c>
      <c r="D193" s="24" t="inlineStr">
        <is>
          <t>tck</t>
        </is>
      </c>
      <c r="E193" s="24" t="inlineStr">
        <is>
          <t>064760</t>
        </is>
      </c>
      <c r="F193" s="24" t="inlineStr">
        <is>
          <t>2022</t>
        </is>
      </c>
      <c r="G193" s="24" t="inlineStr">
        <is>
          <t>OFS</t>
        </is>
      </c>
      <c r="H193" s="24" t="inlineStr">
        <is>
          <t>SCE</t>
        </is>
      </c>
      <c r="I193" s="24" t="inlineStr">
        <is>
          <t>자본변동표</t>
        </is>
      </c>
      <c r="J193" s="24" t="inlineStr">
        <is>
          <t>dart_OtherComprehensiveIncomeForStatementOfChangesInEquity</t>
        </is>
      </c>
      <c r="K193" s="24" t="inlineStr">
        <is>
          <t>기타포괄손익</t>
        </is>
      </c>
      <c r="L193" s="24" t="inlineStr">
        <is>
          <t>자본 [member]|이익잉여금 [member]</t>
        </is>
      </c>
      <c r="M193" s="24" t="inlineStr">
        <is>
          <t>제 28 기</t>
        </is>
      </c>
      <c r="N193" s="24" t="inlineStr">
        <is>
          <t>0.0</t>
        </is>
      </c>
      <c r="O193" s="24" t="inlineStr">
        <is>
          <t>0.0</t>
        </is>
      </c>
      <c r="P193" s="24" t="inlineStr">
        <is>
          <t>KRW</t>
        </is>
      </c>
      <c r="Q193" s="24" t="inlineStr">
        <is>
          <t>4</t>
        </is>
      </c>
    </row>
    <row r="194" ht="24" customHeight="1">
      <c r="A194" s="29" t="inlineStr">
        <is>
          <t>OpenDART_fnlttSinglAcntAll</t>
        </is>
      </c>
      <c r="B194" s="29" t="inlineStr">
        <is>
          <t>00245472</t>
        </is>
      </c>
      <c r="C194" s="29" t="inlineStr">
        <is>
          <t>티씨케이</t>
        </is>
      </c>
      <c r="D194" s="29" t="inlineStr">
        <is>
          <t>tck</t>
        </is>
      </c>
      <c r="E194" s="29" t="inlineStr">
        <is>
          <t>064760</t>
        </is>
      </c>
      <c r="F194" s="29" t="inlineStr">
        <is>
          <t>2022</t>
        </is>
      </c>
      <c r="G194" s="29" t="inlineStr">
        <is>
          <t>OFS</t>
        </is>
      </c>
      <c r="H194" s="29" t="inlineStr">
        <is>
          <t>SCE</t>
        </is>
      </c>
      <c r="I194" s="29" t="inlineStr">
        <is>
          <t>자본변동표</t>
        </is>
      </c>
      <c r="J194" s="29" t="inlineStr">
        <is>
          <t>dart_OtherComprehensiveIncomeForStatementOfChangesInEquity</t>
        </is>
      </c>
      <c r="K194" s="29" t="inlineStr">
        <is>
          <t>기타포괄손익</t>
        </is>
      </c>
      <c r="L194" s="29" t="inlineStr">
        <is>
          <t>자본 [member]|기타자본구성요소 [member]</t>
        </is>
      </c>
      <c r="M194" s="29" t="inlineStr">
        <is>
          <t>제 28 기</t>
        </is>
      </c>
      <c r="N194" s="29" t="inlineStr">
        <is>
          <t>0.0</t>
        </is>
      </c>
      <c r="O194" s="29" t="inlineStr">
        <is>
          <t>0.0</t>
        </is>
      </c>
      <c r="P194" s="29" t="inlineStr">
        <is>
          <t>KRW</t>
        </is>
      </c>
      <c r="Q194" s="29" t="inlineStr">
        <is>
          <t>4</t>
        </is>
      </c>
    </row>
    <row r="195" ht="24" customHeight="1">
      <c r="A195" s="24" t="inlineStr">
        <is>
          <t>OpenDART_fnlttSinglAcntAll</t>
        </is>
      </c>
      <c r="B195" s="24" t="inlineStr">
        <is>
          <t>00245472</t>
        </is>
      </c>
      <c r="C195" s="24" t="inlineStr">
        <is>
          <t>티씨케이</t>
        </is>
      </c>
      <c r="D195" s="24" t="inlineStr">
        <is>
          <t>tck</t>
        </is>
      </c>
      <c r="E195" s="24" t="inlineStr">
        <is>
          <t>064760</t>
        </is>
      </c>
      <c r="F195" s="24" t="inlineStr">
        <is>
          <t>2022</t>
        </is>
      </c>
      <c r="G195" s="24" t="inlineStr">
        <is>
          <t>OFS</t>
        </is>
      </c>
      <c r="H195" s="24" t="inlineStr">
        <is>
          <t>SCE</t>
        </is>
      </c>
      <c r="I195" s="24" t="inlineStr">
        <is>
          <t>자본변동표</t>
        </is>
      </c>
      <c r="J195" s="24" t="inlineStr">
        <is>
          <t>dart_OtherComprehensiveIncomeForStatementOfChangesInEquity</t>
        </is>
      </c>
      <c r="K195" s="24" t="inlineStr">
        <is>
          <t>기타포괄손익</t>
        </is>
      </c>
      <c r="L195" s="24" t="inlineStr">
        <is>
          <t>자본 [member]|자본금 [member]</t>
        </is>
      </c>
      <c r="M195" s="24" t="inlineStr">
        <is>
          <t>제 28 기</t>
        </is>
      </c>
      <c r="N195" s="24" t="inlineStr">
        <is>
          <t>0.0</t>
        </is>
      </c>
      <c r="O195" s="24" t="inlineStr">
        <is>
          <t>0.0</t>
        </is>
      </c>
      <c r="P195" s="24" t="inlineStr">
        <is>
          <t>KRW</t>
        </is>
      </c>
      <c r="Q195" s="24" t="inlineStr">
        <is>
          <t>4</t>
        </is>
      </c>
    </row>
    <row r="196" ht="24" customHeight="1">
      <c r="A196" s="29" t="inlineStr">
        <is>
          <t>OpenDART_fnlttSinglAcntAll</t>
        </is>
      </c>
      <c r="B196" s="29" t="inlineStr">
        <is>
          <t>00245472</t>
        </is>
      </c>
      <c r="C196" s="29" t="inlineStr">
        <is>
          <t>티씨케이</t>
        </is>
      </c>
      <c r="D196" s="29" t="inlineStr">
        <is>
          <t>tck</t>
        </is>
      </c>
      <c r="E196" s="29" t="inlineStr">
        <is>
          <t>064760</t>
        </is>
      </c>
      <c r="F196" s="29" t="inlineStr">
        <is>
          <t>2022</t>
        </is>
      </c>
      <c r="G196" s="29" t="inlineStr">
        <is>
          <t>OFS</t>
        </is>
      </c>
      <c r="H196" s="29" t="inlineStr">
        <is>
          <t>SCE</t>
        </is>
      </c>
      <c r="I196" s="29" t="inlineStr">
        <is>
          <t>자본변동표</t>
        </is>
      </c>
      <c r="J196" s="29" t="inlineStr">
        <is>
          <t>dart_OtherComprehensiveIncomeForStatementOfChangesInEquity</t>
        </is>
      </c>
      <c r="K196" s="29" t="inlineStr">
        <is>
          <t>기타포괄손익</t>
        </is>
      </c>
      <c r="L196" s="29" t="inlineStr">
        <is>
          <t>자본 [member]|자본잉여금 [member]</t>
        </is>
      </c>
      <c r="M196" s="29" t="inlineStr">
        <is>
          <t>제 28 기</t>
        </is>
      </c>
      <c r="N196" s="29" t="inlineStr">
        <is>
          <t>0.0</t>
        </is>
      </c>
      <c r="O196" s="29" t="inlineStr">
        <is>
          <t>0.0</t>
        </is>
      </c>
      <c r="P196" s="29" t="inlineStr">
        <is>
          <t>KRW</t>
        </is>
      </c>
      <c r="Q196" s="29" t="inlineStr">
        <is>
          <t>4</t>
        </is>
      </c>
    </row>
    <row r="197" ht="24" customHeight="1">
      <c r="A197" s="24" t="inlineStr">
        <is>
          <t>OpenDART_fnlttSinglAcntAll</t>
        </is>
      </c>
      <c r="B197" s="24" t="inlineStr">
        <is>
          <t>00245472</t>
        </is>
      </c>
      <c r="C197" s="24" t="inlineStr">
        <is>
          <t>티씨케이</t>
        </is>
      </c>
      <c r="D197" s="24" t="inlineStr">
        <is>
          <t>tck</t>
        </is>
      </c>
      <c r="E197" s="24" t="inlineStr">
        <is>
          <t>064760</t>
        </is>
      </c>
      <c r="F197" s="24" t="inlineStr">
        <is>
          <t>2022</t>
        </is>
      </c>
      <c r="G197" s="24" t="inlineStr">
        <is>
          <t>OFS</t>
        </is>
      </c>
      <c r="H197" s="24" t="inlineStr">
        <is>
          <t>SCE</t>
        </is>
      </c>
      <c r="I197" s="24" t="inlineStr">
        <is>
          <t>자본변동표</t>
        </is>
      </c>
      <c r="J197" s="24" t="inlineStr">
        <is>
          <t>dart_OtherComprehensiveIncomeForStatementOfChangesInEquity</t>
        </is>
      </c>
      <c r="K197" s="24" t="inlineStr">
        <is>
          <t>기타포괄손익</t>
        </is>
      </c>
      <c r="L197" s="24" t="inlineStr">
        <is>
          <t>별도재무제표 [member]</t>
        </is>
      </c>
      <c r="M197" s="24" t="inlineStr">
        <is>
          <t>제 28 기</t>
        </is>
      </c>
      <c r="N197" s="24" t="inlineStr">
        <is>
          <t>0.0</t>
        </is>
      </c>
      <c r="O197" s="24" t="inlineStr">
        <is>
          <t>0.0</t>
        </is>
      </c>
      <c r="P197" s="24" t="inlineStr">
        <is>
          <t>KRW</t>
        </is>
      </c>
      <c r="Q197" s="24" t="inlineStr">
        <is>
          <t>4</t>
        </is>
      </c>
    </row>
    <row r="198" ht="24" customHeight="1">
      <c r="A198" s="29" t="inlineStr">
        <is>
          <t>OpenDART_fnlttSinglAcntAll</t>
        </is>
      </c>
      <c r="B198" s="29" t="inlineStr">
        <is>
          <t>00245472</t>
        </is>
      </c>
      <c r="C198" s="29" t="inlineStr">
        <is>
          <t>티씨케이</t>
        </is>
      </c>
      <c r="D198" s="29" t="inlineStr">
        <is>
          <t>tck</t>
        </is>
      </c>
      <c r="E198" s="29" t="inlineStr">
        <is>
          <t>064760</t>
        </is>
      </c>
      <c r="F198" s="29" t="inlineStr">
        <is>
          <t>2022</t>
        </is>
      </c>
      <c r="G198" s="29" t="inlineStr">
        <is>
          <t>OFS</t>
        </is>
      </c>
      <c r="H198" s="29" t="inlineStr">
        <is>
          <t>SCE</t>
        </is>
      </c>
      <c r="I198" s="29" t="inlineStr">
        <is>
          <t>자본변동표</t>
        </is>
      </c>
      <c r="J198" s="29" t="inlineStr">
        <is>
          <t>ifrs-full_DividendsPaid</t>
        </is>
      </c>
      <c r="K198" s="29" t="inlineStr">
        <is>
          <t>배당금지급</t>
        </is>
      </c>
      <c r="L198" s="29" t="inlineStr">
        <is>
          <t>자본 [member]|기타자본구성요소 [member]</t>
        </is>
      </c>
      <c r="M198" s="29" t="inlineStr">
        <is>
          <t>제 28 기</t>
        </is>
      </c>
      <c r="N198" s="29" t="inlineStr">
        <is>
          <t>0.0</t>
        </is>
      </c>
      <c r="O198" s="29" t="inlineStr">
        <is>
          <t>해당 없음</t>
        </is>
      </c>
      <c r="P198" s="29" t="inlineStr">
        <is>
          <t>KRW</t>
        </is>
      </c>
      <c r="Q198" s="29" t="inlineStr">
        <is>
          <t>7</t>
        </is>
      </c>
    </row>
    <row r="199" ht="24" customHeight="1">
      <c r="A199" s="24" t="inlineStr">
        <is>
          <t>OpenDART_fnlttSinglAcntAll</t>
        </is>
      </c>
      <c r="B199" s="24" t="inlineStr">
        <is>
          <t>00245472</t>
        </is>
      </c>
      <c r="C199" s="24" t="inlineStr">
        <is>
          <t>티씨케이</t>
        </is>
      </c>
      <c r="D199" s="24" t="inlineStr">
        <is>
          <t>tck</t>
        </is>
      </c>
      <c r="E199" s="24" t="inlineStr">
        <is>
          <t>064760</t>
        </is>
      </c>
      <c r="F199" s="24" t="inlineStr">
        <is>
          <t>2022</t>
        </is>
      </c>
      <c r="G199" s="24" t="inlineStr">
        <is>
          <t>OFS</t>
        </is>
      </c>
      <c r="H199" s="24" t="inlineStr">
        <is>
          <t>SCE</t>
        </is>
      </c>
      <c r="I199" s="24" t="inlineStr">
        <is>
          <t>자본변동표</t>
        </is>
      </c>
      <c r="J199" s="24" t="inlineStr">
        <is>
          <t>ifrs-full_DividendsPaid</t>
        </is>
      </c>
      <c r="K199" s="24" t="inlineStr">
        <is>
          <t>배당금지급</t>
        </is>
      </c>
      <c r="L199" s="24" t="inlineStr">
        <is>
          <t>별도재무제표 [member]</t>
        </is>
      </c>
      <c r="M199" s="24" t="inlineStr">
        <is>
          <t>제 28 기</t>
        </is>
      </c>
      <c r="N199" s="24" t="inlineStr">
        <is>
          <t>-16695250000.0</t>
        </is>
      </c>
      <c r="O199" s="24" t="inlineStr">
        <is>
          <t>-12842500000.0</t>
        </is>
      </c>
      <c r="P199" s="24" t="inlineStr">
        <is>
          <t>KRW</t>
        </is>
      </c>
      <c r="Q199" s="24" t="inlineStr">
        <is>
          <t>7</t>
        </is>
      </c>
    </row>
    <row r="200" ht="24" customHeight="1">
      <c r="A200" s="29" t="inlineStr">
        <is>
          <t>OpenDART_fnlttSinglAcntAll</t>
        </is>
      </c>
      <c r="B200" s="29" t="inlineStr">
        <is>
          <t>00245472</t>
        </is>
      </c>
      <c r="C200" s="29" t="inlineStr">
        <is>
          <t>티씨케이</t>
        </is>
      </c>
      <c r="D200" s="29" t="inlineStr">
        <is>
          <t>tck</t>
        </is>
      </c>
      <c r="E200" s="29" t="inlineStr">
        <is>
          <t>064760</t>
        </is>
      </c>
      <c r="F200" s="29" t="inlineStr">
        <is>
          <t>2022</t>
        </is>
      </c>
      <c r="G200" s="29" t="inlineStr">
        <is>
          <t>OFS</t>
        </is>
      </c>
      <c r="H200" s="29" t="inlineStr">
        <is>
          <t>SCE</t>
        </is>
      </c>
      <c r="I200" s="29" t="inlineStr">
        <is>
          <t>자본변동표</t>
        </is>
      </c>
      <c r="J200" s="29" t="inlineStr">
        <is>
          <t>ifrs-full_DividendsPaid</t>
        </is>
      </c>
      <c r="K200" s="29" t="inlineStr">
        <is>
          <t>배당금지급</t>
        </is>
      </c>
      <c r="L200" s="29" t="inlineStr">
        <is>
          <t>자본 [member]|이익잉여금 [member]</t>
        </is>
      </c>
      <c r="M200" s="29" t="inlineStr">
        <is>
          <t>제 28 기</t>
        </is>
      </c>
      <c r="N200" s="29" t="inlineStr">
        <is>
          <t>-16695250000.0</t>
        </is>
      </c>
      <c r="O200" s="29" t="inlineStr">
        <is>
          <t>-12842500000.0</t>
        </is>
      </c>
      <c r="P200" s="29" t="inlineStr">
        <is>
          <t>KRW</t>
        </is>
      </c>
      <c r="Q200" s="29" t="inlineStr">
        <is>
          <t>7</t>
        </is>
      </c>
    </row>
    <row r="201" ht="24" customHeight="1">
      <c r="A201" s="24" t="inlineStr">
        <is>
          <t>OpenDART_fnlttSinglAcntAll</t>
        </is>
      </c>
      <c r="B201" s="24" t="inlineStr">
        <is>
          <t>00245472</t>
        </is>
      </c>
      <c r="C201" s="24" t="inlineStr">
        <is>
          <t>티씨케이</t>
        </is>
      </c>
      <c r="D201" s="24" t="inlineStr">
        <is>
          <t>tck</t>
        </is>
      </c>
      <c r="E201" s="24" t="inlineStr">
        <is>
          <t>064760</t>
        </is>
      </c>
      <c r="F201" s="24" t="inlineStr">
        <is>
          <t>2022</t>
        </is>
      </c>
      <c r="G201" s="24" t="inlineStr">
        <is>
          <t>OFS</t>
        </is>
      </c>
      <c r="H201" s="24" t="inlineStr">
        <is>
          <t>SCE</t>
        </is>
      </c>
      <c r="I201" s="24" t="inlineStr">
        <is>
          <t>자본변동표</t>
        </is>
      </c>
      <c r="J201" s="24" t="inlineStr">
        <is>
          <t>ifrs-full_DividendsPaid</t>
        </is>
      </c>
      <c r="K201" s="24" t="inlineStr">
        <is>
          <t>배당금지급</t>
        </is>
      </c>
      <c r="L201" s="24" t="inlineStr">
        <is>
          <t>자본 [member]|자본잉여금 [member]</t>
        </is>
      </c>
      <c r="M201" s="24" t="inlineStr">
        <is>
          <t>제 28 기</t>
        </is>
      </c>
      <c r="N201" s="24" t="inlineStr">
        <is>
          <t>0.0</t>
        </is>
      </c>
      <c r="O201" s="24" t="inlineStr">
        <is>
          <t>해당 없음</t>
        </is>
      </c>
      <c r="P201" s="24" t="inlineStr">
        <is>
          <t>KRW</t>
        </is>
      </c>
      <c r="Q201" s="24" t="inlineStr">
        <is>
          <t>7</t>
        </is>
      </c>
    </row>
    <row r="202" ht="24" customHeight="1">
      <c r="A202" s="29" t="inlineStr">
        <is>
          <t>OpenDART_fnlttSinglAcntAll</t>
        </is>
      </c>
      <c r="B202" s="29" t="inlineStr">
        <is>
          <t>00245472</t>
        </is>
      </c>
      <c r="C202" s="29" t="inlineStr">
        <is>
          <t>티씨케이</t>
        </is>
      </c>
      <c r="D202" s="29" t="inlineStr">
        <is>
          <t>tck</t>
        </is>
      </c>
      <c r="E202" s="29" t="inlineStr">
        <is>
          <t>064760</t>
        </is>
      </c>
      <c r="F202" s="29" t="inlineStr">
        <is>
          <t>2022</t>
        </is>
      </c>
      <c r="G202" s="29" t="inlineStr">
        <is>
          <t>OFS</t>
        </is>
      </c>
      <c r="H202" s="29" t="inlineStr">
        <is>
          <t>SCE</t>
        </is>
      </c>
      <c r="I202" s="29" t="inlineStr">
        <is>
          <t>자본변동표</t>
        </is>
      </c>
      <c r="J202" s="29" t="inlineStr">
        <is>
          <t>ifrs-full_DividendsPaid</t>
        </is>
      </c>
      <c r="K202" s="29" t="inlineStr">
        <is>
          <t>배당금지급</t>
        </is>
      </c>
      <c r="L202" s="29" t="inlineStr">
        <is>
          <t>자본 [member]|자본금 [member]</t>
        </is>
      </c>
      <c r="M202" s="29" t="inlineStr">
        <is>
          <t>제 28 기</t>
        </is>
      </c>
      <c r="N202" s="29" t="inlineStr">
        <is>
          <t>0.0</t>
        </is>
      </c>
      <c r="O202" s="29" t="inlineStr">
        <is>
          <t>해당 없음</t>
        </is>
      </c>
      <c r="P202" s="29" t="inlineStr">
        <is>
          <t>KRW</t>
        </is>
      </c>
      <c r="Q202" s="29" t="inlineStr">
        <is>
          <t>7</t>
        </is>
      </c>
    </row>
    <row r="203" ht="24" customHeight="1">
      <c r="A203" s="24" t="inlineStr">
        <is>
          <t>OpenDART_fnlttSinglAcntAll</t>
        </is>
      </c>
      <c r="B203" s="24" t="inlineStr">
        <is>
          <t>00245472</t>
        </is>
      </c>
      <c r="C203" s="24" t="inlineStr">
        <is>
          <t>티씨케이</t>
        </is>
      </c>
      <c r="D203" s="24" t="inlineStr">
        <is>
          <t>tck</t>
        </is>
      </c>
      <c r="E203" s="24" t="inlineStr">
        <is>
          <t>064760</t>
        </is>
      </c>
      <c r="F203" s="24" t="inlineStr">
        <is>
          <t>2022</t>
        </is>
      </c>
      <c r="G203" s="24" t="inlineStr">
        <is>
          <t>OFS</t>
        </is>
      </c>
      <c r="H203" s="24" t="inlineStr">
        <is>
          <t>SCE</t>
        </is>
      </c>
      <c r="I203" s="24" t="inlineStr">
        <is>
          <t>자본변동표</t>
        </is>
      </c>
      <c r="J203" s="24" t="inlineStr">
        <is>
          <t>ifrs-full_Equity</t>
        </is>
      </c>
      <c r="K203" s="24" t="inlineStr">
        <is>
          <t>기말자본</t>
        </is>
      </c>
      <c r="L203" s="24" t="inlineStr">
        <is>
          <t>자본 [member]|이익잉여금 [member]</t>
        </is>
      </c>
      <c r="M203" s="24" t="inlineStr">
        <is>
          <t>제 28 기</t>
        </is>
      </c>
      <c r="N203" s="24" t="inlineStr">
        <is>
          <t>404767974325.0</t>
        </is>
      </c>
      <c r="O203" s="24" t="inlineStr">
        <is>
          <t>327406776327.0</t>
        </is>
      </c>
      <c r="P203" s="24" t="inlineStr">
        <is>
          <t>KRW</t>
        </is>
      </c>
      <c r="Q203" s="24" t="inlineStr">
        <is>
          <t>8</t>
        </is>
      </c>
    </row>
    <row r="204" ht="24" customHeight="1">
      <c r="A204" s="29" t="inlineStr">
        <is>
          <t>OpenDART_fnlttSinglAcntAll</t>
        </is>
      </c>
      <c r="B204" s="29" t="inlineStr">
        <is>
          <t>00245472</t>
        </is>
      </c>
      <c r="C204" s="29" t="inlineStr">
        <is>
          <t>티씨케이</t>
        </is>
      </c>
      <c r="D204" s="29" t="inlineStr">
        <is>
          <t>tck</t>
        </is>
      </c>
      <c r="E204" s="29" t="inlineStr">
        <is>
          <t>064760</t>
        </is>
      </c>
      <c r="F204" s="29" t="inlineStr">
        <is>
          <t>2022</t>
        </is>
      </c>
      <c r="G204" s="29" t="inlineStr">
        <is>
          <t>OFS</t>
        </is>
      </c>
      <c r="H204" s="29" t="inlineStr">
        <is>
          <t>SCE</t>
        </is>
      </c>
      <c r="I204" s="29" t="inlineStr">
        <is>
          <t>자본변동표</t>
        </is>
      </c>
      <c r="J204" s="29" t="inlineStr">
        <is>
          <t>ifrs-full_Equity</t>
        </is>
      </c>
      <c r="K204" s="29" t="inlineStr">
        <is>
          <t>기말자본</t>
        </is>
      </c>
      <c r="L204" s="29" t="inlineStr">
        <is>
          <t>자본 [member]|자본잉여금 [member]</t>
        </is>
      </c>
      <c r="M204" s="29" t="inlineStr">
        <is>
          <t>제 28 기</t>
        </is>
      </c>
      <c r="N204" s="29" t="inlineStr">
        <is>
          <t>6035001920.0</t>
        </is>
      </c>
      <c r="O204" s="29" t="inlineStr">
        <is>
          <t>6035001920.0</t>
        </is>
      </c>
      <c r="P204" s="29" t="inlineStr">
        <is>
          <t>KRW</t>
        </is>
      </c>
      <c r="Q204" s="29" t="inlineStr">
        <is>
          <t>8</t>
        </is>
      </c>
    </row>
    <row r="205" ht="24" customHeight="1">
      <c r="A205" s="24" t="inlineStr">
        <is>
          <t>OpenDART_fnlttSinglAcntAll</t>
        </is>
      </c>
      <c r="B205" s="24" t="inlineStr">
        <is>
          <t>00245472</t>
        </is>
      </c>
      <c r="C205" s="24" t="inlineStr">
        <is>
          <t>티씨케이</t>
        </is>
      </c>
      <c r="D205" s="24" t="inlineStr">
        <is>
          <t>tck</t>
        </is>
      </c>
      <c r="E205" s="24" t="inlineStr">
        <is>
          <t>064760</t>
        </is>
      </c>
      <c r="F205" s="24" t="inlineStr">
        <is>
          <t>2022</t>
        </is>
      </c>
      <c r="G205" s="24" t="inlineStr">
        <is>
          <t>OFS</t>
        </is>
      </c>
      <c r="H205" s="24" t="inlineStr">
        <is>
          <t>SCE</t>
        </is>
      </c>
      <c r="I205" s="24" t="inlineStr">
        <is>
          <t>자본변동표</t>
        </is>
      </c>
      <c r="J205" s="24" t="inlineStr">
        <is>
          <t>ifrs-full_Equity</t>
        </is>
      </c>
      <c r="K205" s="24" t="inlineStr">
        <is>
          <t>기말자본</t>
        </is>
      </c>
      <c r="L205" s="24" t="inlineStr">
        <is>
          <t>별도재무제표 [member]</t>
        </is>
      </c>
      <c r="M205" s="24" t="inlineStr">
        <is>
          <t>제 28 기</t>
        </is>
      </c>
      <c r="N205" s="24" t="inlineStr">
        <is>
          <t>416873645081.0</t>
        </is>
      </c>
      <c r="O205" s="24" t="inlineStr">
        <is>
          <t>339512447083.0</t>
        </is>
      </c>
      <c r="P205" s="24" t="inlineStr">
        <is>
          <t>KRW</t>
        </is>
      </c>
      <c r="Q205" s="24" t="inlineStr">
        <is>
          <t>8</t>
        </is>
      </c>
    </row>
    <row r="206" ht="24" customHeight="1">
      <c r="A206" s="29" t="inlineStr">
        <is>
          <t>OpenDART_fnlttSinglAcntAll</t>
        </is>
      </c>
      <c r="B206" s="29" t="inlineStr">
        <is>
          <t>00245472</t>
        </is>
      </c>
      <c r="C206" s="29" t="inlineStr">
        <is>
          <t>티씨케이</t>
        </is>
      </c>
      <c r="D206" s="29" t="inlineStr">
        <is>
          <t>tck</t>
        </is>
      </c>
      <c r="E206" s="29" t="inlineStr">
        <is>
          <t>064760</t>
        </is>
      </c>
      <c r="F206" s="29" t="inlineStr">
        <is>
          <t>2022</t>
        </is>
      </c>
      <c r="G206" s="29" t="inlineStr">
        <is>
          <t>OFS</t>
        </is>
      </c>
      <c r="H206" s="29" t="inlineStr">
        <is>
          <t>SCE</t>
        </is>
      </c>
      <c r="I206" s="29" t="inlineStr">
        <is>
          <t>자본변동표</t>
        </is>
      </c>
      <c r="J206" s="29" t="inlineStr">
        <is>
          <t>ifrs-full_Equity</t>
        </is>
      </c>
      <c r="K206" s="29" t="inlineStr">
        <is>
          <t>기말자본</t>
        </is>
      </c>
      <c r="L206" s="29" t="inlineStr">
        <is>
          <t>자본 [member]|기타자본구성요소 [member]</t>
        </is>
      </c>
      <c r="M206" s="29" t="inlineStr">
        <is>
          <t>제 28 기</t>
        </is>
      </c>
      <c r="N206" s="29" t="inlineStr">
        <is>
          <t>233168836.0</t>
        </is>
      </c>
      <c r="O206" s="29" t="inlineStr">
        <is>
          <t>233168836.0</t>
        </is>
      </c>
      <c r="P206" s="29" t="inlineStr">
        <is>
          <t>KRW</t>
        </is>
      </c>
      <c r="Q206" s="29" t="inlineStr">
        <is>
          <t>8</t>
        </is>
      </c>
    </row>
    <row r="207" ht="24" customHeight="1">
      <c r="A207" s="24" t="inlineStr">
        <is>
          <t>OpenDART_fnlttSinglAcntAll</t>
        </is>
      </c>
      <c r="B207" s="24" t="inlineStr">
        <is>
          <t>00245472</t>
        </is>
      </c>
      <c r="C207" s="24" t="inlineStr">
        <is>
          <t>티씨케이</t>
        </is>
      </c>
      <c r="D207" s="24" t="inlineStr">
        <is>
          <t>tck</t>
        </is>
      </c>
      <c r="E207" s="24" t="inlineStr">
        <is>
          <t>064760</t>
        </is>
      </c>
      <c r="F207" s="24" t="inlineStr">
        <is>
          <t>2022</t>
        </is>
      </c>
      <c r="G207" s="24" t="inlineStr">
        <is>
          <t>OFS</t>
        </is>
      </c>
      <c r="H207" s="24" t="inlineStr">
        <is>
          <t>SCE</t>
        </is>
      </c>
      <c r="I207" s="24" t="inlineStr">
        <is>
          <t>자본변동표</t>
        </is>
      </c>
      <c r="J207" s="24" t="inlineStr">
        <is>
          <t>ifrs-full_Equity</t>
        </is>
      </c>
      <c r="K207" s="24" t="inlineStr">
        <is>
          <t>기말자본</t>
        </is>
      </c>
      <c r="L207" s="24" t="inlineStr">
        <is>
          <t>자본 [member]|자본금 [member]</t>
        </is>
      </c>
      <c r="M207" s="24" t="inlineStr">
        <is>
          <t>제 28 기</t>
        </is>
      </c>
      <c r="N207" s="24" t="inlineStr">
        <is>
          <t>5837500000.0</t>
        </is>
      </c>
      <c r="O207" s="24" t="inlineStr">
        <is>
          <t>5837500000.0</t>
        </is>
      </c>
      <c r="P207" s="24" t="inlineStr">
        <is>
          <t>KRW</t>
        </is>
      </c>
      <c r="Q207" s="24" t="inlineStr">
        <is>
          <t>8</t>
        </is>
      </c>
    </row>
    <row r="208" ht="24" customHeight="1">
      <c r="A208" s="29" t="inlineStr">
        <is>
          <t>OpenDART_fnlttSinglAcntAll</t>
        </is>
      </c>
      <c r="B208" s="29" t="inlineStr">
        <is>
          <t>00245472</t>
        </is>
      </c>
      <c r="C208" s="29" t="inlineStr">
        <is>
          <t>티씨케이</t>
        </is>
      </c>
      <c r="D208" s="29" t="inlineStr">
        <is>
          <t>tck</t>
        </is>
      </c>
      <c r="E208" s="29" t="inlineStr">
        <is>
          <t>064760</t>
        </is>
      </c>
      <c r="F208" s="29" t="inlineStr">
        <is>
          <t>2023</t>
        </is>
      </c>
      <c r="G208" s="29" t="inlineStr">
        <is>
          <t>OFS</t>
        </is>
      </c>
      <c r="H208" s="29" t="inlineStr">
        <is>
          <t>BS</t>
        </is>
      </c>
      <c r="I208" s="29" t="inlineStr">
        <is>
          <t>재무상태표</t>
        </is>
      </c>
      <c r="J208" s="29" t="inlineStr">
        <is>
          <t>ifrs-full_Assets</t>
        </is>
      </c>
      <c r="K208" s="29" t="inlineStr">
        <is>
          <t>자산총계</t>
        </is>
      </c>
      <c r="L208" s="29" t="inlineStr">
        <is>
          <t>-</t>
        </is>
      </c>
      <c r="M208" s="29" t="inlineStr">
        <is>
          <t>제 29 기</t>
        </is>
      </c>
      <c r="N208" s="29" t="inlineStr">
        <is>
          <t>495503750976.0</t>
        </is>
      </c>
      <c r="O208" s="29" t="inlineStr">
        <is>
          <t>480543059263.0</t>
        </is>
      </c>
      <c r="P208" s="29" t="inlineStr">
        <is>
          <t>KRW</t>
        </is>
      </c>
      <c r="Q208" s="29" t="inlineStr">
        <is>
          <t>7</t>
        </is>
      </c>
    </row>
    <row r="209" ht="24" customHeight="1">
      <c r="A209" s="24" t="inlineStr">
        <is>
          <t>OpenDART_fnlttSinglAcntAll</t>
        </is>
      </c>
      <c r="B209" s="24" t="inlineStr">
        <is>
          <t>00245472</t>
        </is>
      </c>
      <c r="C209" s="24" t="inlineStr">
        <is>
          <t>티씨케이</t>
        </is>
      </c>
      <c r="D209" s="24" t="inlineStr">
        <is>
          <t>tck</t>
        </is>
      </c>
      <c r="E209" s="24" t="inlineStr">
        <is>
          <t>064760</t>
        </is>
      </c>
      <c r="F209" s="24" t="inlineStr">
        <is>
          <t>2023</t>
        </is>
      </c>
      <c r="G209" s="24" t="inlineStr">
        <is>
          <t>OFS</t>
        </is>
      </c>
      <c r="H209" s="24" t="inlineStr">
        <is>
          <t>BS</t>
        </is>
      </c>
      <c r="I209" s="24" t="inlineStr">
        <is>
          <t>재무상태표</t>
        </is>
      </c>
      <c r="J209" s="24" t="inlineStr">
        <is>
          <t>ifrs-full_CurrentAssets</t>
        </is>
      </c>
      <c r="K209" s="24" t="inlineStr">
        <is>
          <t>Ⅰ. 유동자산</t>
        </is>
      </c>
      <c r="L209" s="24" t="inlineStr">
        <is>
          <t>-</t>
        </is>
      </c>
      <c r="M209" s="24" t="inlineStr">
        <is>
          <t>제 29 기</t>
        </is>
      </c>
      <c r="N209" s="24" t="inlineStr">
        <is>
          <t>334493109270.0</t>
        </is>
      </c>
      <c r="O209" s="24" t="inlineStr">
        <is>
          <t>343235703465.0</t>
        </is>
      </c>
      <c r="P209" s="24" t="inlineStr">
        <is>
          <t>KRW</t>
        </is>
      </c>
      <c r="Q209" s="24" t="inlineStr">
        <is>
          <t>8</t>
        </is>
      </c>
    </row>
    <row r="210" ht="24" customHeight="1">
      <c r="A210" s="29" t="inlineStr">
        <is>
          <t>OpenDART_fnlttSinglAcntAll</t>
        </is>
      </c>
      <c r="B210" s="29" t="inlineStr">
        <is>
          <t>00245472</t>
        </is>
      </c>
      <c r="C210" s="29" t="inlineStr">
        <is>
          <t>티씨케이</t>
        </is>
      </c>
      <c r="D210" s="29" t="inlineStr">
        <is>
          <t>tck</t>
        </is>
      </c>
      <c r="E210" s="29" t="inlineStr">
        <is>
          <t>064760</t>
        </is>
      </c>
      <c r="F210" s="29" t="inlineStr">
        <is>
          <t>2023</t>
        </is>
      </c>
      <c r="G210" s="29" t="inlineStr">
        <is>
          <t>OFS</t>
        </is>
      </c>
      <c r="H210" s="29" t="inlineStr">
        <is>
          <t>BS</t>
        </is>
      </c>
      <c r="I210" s="29" t="inlineStr">
        <is>
          <t>재무상태표</t>
        </is>
      </c>
      <c r="J210" s="29" t="inlineStr">
        <is>
          <t>dart_CurrentDerivativeAsset</t>
        </is>
      </c>
      <c r="K210" s="29" t="inlineStr">
        <is>
          <t>2. 파생금융자산</t>
        </is>
      </c>
      <c r="L210" s="29" t="inlineStr">
        <is>
          <t>-</t>
        </is>
      </c>
      <c r="M210" s="29" t="inlineStr">
        <is>
          <t>제 29 기</t>
        </is>
      </c>
      <c r="N210" s="29" t="inlineStr">
        <is>
          <t>313010735.0</t>
        </is>
      </c>
      <c r="O210" s="29" t="inlineStr">
        <is>
          <t>860762352.0</t>
        </is>
      </c>
      <c r="P210" s="29" t="inlineStr">
        <is>
          <t>KRW</t>
        </is>
      </c>
      <c r="Q210" s="29" t="inlineStr">
        <is>
          <t>9</t>
        </is>
      </c>
    </row>
    <row r="211" ht="24" customHeight="1">
      <c r="A211" s="24" t="inlineStr">
        <is>
          <t>OpenDART_fnlttSinglAcntAll</t>
        </is>
      </c>
      <c r="B211" s="24" t="inlineStr">
        <is>
          <t>00245472</t>
        </is>
      </c>
      <c r="C211" s="24" t="inlineStr">
        <is>
          <t>티씨케이</t>
        </is>
      </c>
      <c r="D211" s="24" t="inlineStr">
        <is>
          <t>tck</t>
        </is>
      </c>
      <c r="E211" s="24" t="inlineStr">
        <is>
          <t>064760</t>
        </is>
      </c>
      <c r="F211" s="24" t="inlineStr">
        <is>
          <t>2023</t>
        </is>
      </c>
      <c r="G211" s="24" t="inlineStr">
        <is>
          <t>OFS</t>
        </is>
      </c>
      <c r="H211" s="24" t="inlineStr">
        <is>
          <t>BS</t>
        </is>
      </c>
      <c r="I211" s="24" t="inlineStr">
        <is>
          <t>재무상태표</t>
        </is>
      </c>
      <c r="J211" s="24" t="inlineStr">
        <is>
          <t>dart_ShortTermTradeReceivable</t>
        </is>
      </c>
      <c r="K211" s="24" t="inlineStr">
        <is>
          <t>3. 매출채권</t>
        </is>
      </c>
      <c r="L211" s="24" t="inlineStr">
        <is>
          <t>-</t>
        </is>
      </c>
      <c r="M211" s="24" t="inlineStr">
        <is>
          <t>제 29 기</t>
        </is>
      </c>
      <c r="N211" s="24" t="inlineStr">
        <is>
          <t>40603999385.0</t>
        </is>
      </c>
      <c r="O211" s="24" t="inlineStr">
        <is>
          <t>38008629810.0</t>
        </is>
      </c>
      <c r="P211" s="24" t="inlineStr">
        <is>
          <t>KRW</t>
        </is>
      </c>
      <c r="Q211" s="24" t="inlineStr">
        <is>
          <t>10</t>
        </is>
      </c>
    </row>
    <row r="212" ht="24" customHeight="1">
      <c r="A212" s="29" t="inlineStr">
        <is>
          <t>OpenDART_fnlttSinglAcntAll</t>
        </is>
      </c>
      <c r="B212" s="29" t="inlineStr">
        <is>
          <t>00245472</t>
        </is>
      </c>
      <c r="C212" s="29" t="inlineStr">
        <is>
          <t>티씨케이</t>
        </is>
      </c>
      <c r="D212" s="29" t="inlineStr">
        <is>
          <t>tck</t>
        </is>
      </c>
      <c r="E212" s="29" t="inlineStr">
        <is>
          <t>064760</t>
        </is>
      </c>
      <c r="F212" s="29" t="inlineStr">
        <is>
          <t>2023</t>
        </is>
      </c>
      <c r="G212" s="29" t="inlineStr">
        <is>
          <t>OFS</t>
        </is>
      </c>
      <c r="H212" s="29" t="inlineStr">
        <is>
          <t>BS</t>
        </is>
      </c>
      <c r="I212" s="29" t="inlineStr">
        <is>
          <t>재무상태표</t>
        </is>
      </c>
      <c r="J212" s="29" t="inlineStr">
        <is>
          <t>ifrs-full_CashAndCashEquivalents</t>
        </is>
      </c>
      <c r="K212" s="29" t="inlineStr">
        <is>
          <t>1. 현금및현금성자산</t>
        </is>
      </c>
      <c r="L212" s="29" t="inlineStr">
        <is>
          <t>-</t>
        </is>
      </c>
      <c r="M212" s="29" t="inlineStr">
        <is>
          <t>제 29 기</t>
        </is>
      </c>
      <c r="N212" s="29" t="inlineStr">
        <is>
          <t>31762843213.0</t>
        </is>
      </c>
      <c r="O212" s="29" t="inlineStr">
        <is>
          <t>44664321980.0</t>
        </is>
      </c>
      <c r="P212" s="29" t="inlineStr">
        <is>
          <t>KRW</t>
        </is>
      </c>
      <c r="Q212" s="29" t="inlineStr">
        <is>
          <t>11</t>
        </is>
      </c>
    </row>
    <row r="213" ht="24" customHeight="1">
      <c r="A213" s="24" t="inlineStr">
        <is>
          <t>OpenDART_fnlttSinglAcntAll</t>
        </is>
      </c>
      <c r="B213" s="24" t="inlineStr">
        <is>
          <t>00245472</t>
        </is>
      </c>
      <c r="C213" s="24" t="inlineStr">
        <is>
          <t>티씨케이</t>
        </is>
      </c>
      <c r="D213" s="24" t="inlineStr">
        <is>
          <t>tck</t>
        </is>
      </c>
      <c r="E213" s="24" t="inlineStr">
        <is>
          <t>064760</t>
        </is>
      </c>
      <c r="F213" s="24" t="inlineStr">
        <is>
          <t>2023</t>
        </is>
      </c>
      <c r="G213" s="24" t="inlineStr">
        <is>
          <t>OFS</t>
        </is>
      </c>
      <c r="H213" s="24" t="inlineStr">
        <is>
          <t>BS</t>
        </is>
      </c>
      <c r="I213" s="24" t="inlineStr">
        <is>
          <t>재무상태표</t>
        </is>
      </c>
      <c r="J213" s="24" t="inlineStr">
        <is>
          <t>ifrs-full_Inventories</t>
        </is>
      </c>
      <c r="K213" s="24" t="inlineStr">
        <is>
          <t>6. 재고자산</t>
        </is>
      </c>
      <c r="L213" s="24" t="inlineStr">
        <is>
          <t>-</t>
        </is>
      </c>
      <c r="M213" s="24" t="inlineStr">
        <is>
          <t>제 29 기</t>
        </is>
      </c>
      <c r="N213" s="24" t="inlineStr">
        <is>
          <t>65910914615.0</t>
        </is>
      </c>
      <c r="O213" s="24" t="inlineStr">
        <is>
          <t>50149157934.0</t>
        </is>
      </c>
      <c r="P213" s="24" t="inlineStr">
        <is>
          <t>KRW</t>
        </is>
      </c>
      <c r="Q213" s="24" t="inlineStr">
        <is>
          <t>12</t>
        </is>
      </c>
    </row>
    <row r="214" ht="24" customHeight="1">
      <c r="A214" s="29" t="inlineStr">
        <is>
          <t>OpenDART_fnlttSinglAcntAll</t>
        </is>
      </c>
      <c r="B214" s="29" t="inlineStr">
        <is>
          <t>00245472</t>
        </is>
      </c>
      <c r="C214" s="29" t="inlineStr">
        <is>
          <t>티씨케이</t>
        </is>
      </c>
      <c r="D214" s="29" t="inlineStr">
        <is>
          <t>tck</t>
        </is>
      </c>
      <c r="E214" s="29" t="inlineStr">
        <is>
          <t>064760</t>
        </is>
      </c>
      <c r="F214" s="29" t="inlineStr">
        <is>
          <t>2023</t>
        </is>
      </c>
      <c r="G214" s="29" t="inlineStr">
        <is>
          <t>OFS</t>
        </is>
      </c>
      <c r="H214" s="29" t="inlineStr">
        <is>
          <t>BS</t>
        </is>
      </c>
      <c r="I214" s="29" t="inlineStr">
        <is>
          <t>재무상태표</t>
        </is>
      </c>
      <c r="J214" s="29" t="inlineStr">
        <is>
          <t>ifrs-full_OtherCurrentAssets</t>
        </is>
      </c>
      <c r="K214" s="29" t="inlineStr">
        <is>
          <t>5. 기타유동자산</t>
        </is>
      </c>
      <c r="L214" s="29" t="inlineStr">
        <is>
          <t>-</t>
        </is>
      </c>
      <c r="M214" s="29" t="inlineStr">
        <is>
          <t>제 29 기</t>
        </is>
      </c>
      <c r="N214" s="29" t="inlineStr">
        <is>
          <t>601531368.0</t>
        </is>
      </c>
      <c r="O214" s="29" t="inlineStr">
        <is>
          <t>1985111071.0</t>
        </is>
      </c>
      <c r="P214" s="29" t="inlineStr">
        <is>
          <t>KRW</t>
        </is>
      </c>
      <c r="Q214" s="29" t="inlineStr">
        <is>
          <t>13</t>
        </is>
      </c>
    </row>
    <row r="215" ht="24" customHeight="1">
      <c r="A215" s="24" t="inlineStr">
        <is>
          <t>OpenDART_fnlttSinglAcntAll</t>
        </is>
      </c>
      <c r="B215" s="24" t="inlineStr">
        <is>
          <t>00245472</t>
        </is>
      </c>
      <c r="C215" s="24" t="inlineStr">
        <is>
          <t>티씨케이</t>
        </is>
      </c>
      <c r="D215" s="24" t="inlineStr">
        <is>
          <t>tck</t>
        </is>
      </c>
      <c r="E215" s="24" t="inlineStr">
        <is>
          <t>064760</t>
        </is>
      </c>
      <c r="F215" s="24" t="inlineStr">
        <is>
          <t>2023</t>
        </is>
      </c>
      <c r="G215" s="24" t="inlineStr">
        <is>
          <t>OFS</t>
        </is>
      </c>
      <c r="H215" s="24" t="inlineStr">
        <is>
          <t>BS</t>
        </is>
      </c>
      <c r="I215" s="24" t="inlineStr">
        <is>
          <t>재무상태표</t>
        </is>
      </c>
      <c r="J215" s="24" t="inlineStr">
        <is>
          <t>ifrs-full_OtherCurrentFinancialAssets</t>
        </is>
      </c>
      <c r="K215" s="24" t="inlineStr">
        <is>
          <t>4. 기타유동금융자산</t>
        </is>
      </c>
      <c r="L215" s="24" t="inlineStr">
        <is>
          <t>-</t>
        </is>
      </c>
      <c r="M215" s="24" t="inlineStr">
        <is>
          <t>제 29 기</t>
        </is>
      </c>
      <c r="N215" s="24" t="inlineStr">
        <is>
          <t>195300809954.0</t>
        </is>
      </c>
      <c r="O215" s="24" t="inlineStr">
        <is>
          <t>207567720318.0</t>
        </is>
      </c>
      <c r="P215" s="24" t="inlineStr">
        <is>
          <t>KRW</t>
        </is>
      </c>
      <c r="Q215" s="24" t="inlineStr">
        <is>
          <t>14</t>
        </is>
      </c>
    </row>
    <row r="216" ht="24" customHeight="1">
      <c r="A216" s="29" t="inlineStr">
        <is>
          <t>OpenDART_fnlttSinglAcntAll</t>
        </is>
      </c>
      <c r="B216" s="29" t="inlineStr">
        <is>
          <t>00245472</t>
        </is>
      </c>
      <c r="C216" s="29" t="inlineStr">
        <is>
          <t>티씨케이</t>
        </is>
      </c>
      <c r="D216" s="29" t="inlineStr">
        <is>
          <t>tck</t>
        </is>
      </c>
      <c r="E216" s="29" t="inlineStr">
        <is>
          <t>064760</t>
        </is>
      </c>
      <c r="F216" s="29" t="inlineStr">
        <is>
          <t>2023</t>
        </is>
      </c>
      <c r="G216" s="29" t="inlineStr">
        <is>
          <t>OFS</t>
        </is>
      </c>
      <c r="H216" s="29" t="inlineStr">
        <is>
          <t>BS</t>
        </is>
      </c>
      <c r="I216" s="29" t="inlineStr">
        <is>
          <t>재무상태표</t>
        </is>
      </c>
      <c r="J216" s="29" t="inlineStr">
        <is>
          <t>ifrs-full_NoncurrentAssets</t>
        </is>
      </c>
      <c r="K216" s="29" t="inlineStr">
        <is>
          <t>Ⅱ. 비유동자산</t>
        </is>
      </c>
      <c r="L216" s="29" t="inlineStr">
        <is>
          <t>-</t>
        </is>
      </c>
      <c r="M216" s="29" t="inlineStr">
        <is>
          <t>제 29 기</t>
        </is>
      </c>
      <c r="N216" s="29" t="inlineStr">
        <is>
          <t>161010641706.0</t>
        </is>
      </c>
      <c r="O216" s="29" t="inlineStr">
        <is>
          <t>137307355798.0</t>
        </is>
      </c>
      <c r="P216" s="29" t="inlineStr">
        <is>
          <t>KRW</t>
        </is>
      </c>
      <c r="Q216" s="29" t="inlineStr">
        <is>
          <t>15</t>
        </is>
      </c>
    </row>
    <row r="217" ht="24" customHeight="1">
      <c r="A217" s="24" t="inlineStr">
        <is>
          <t>OpenDART_fnlttSinglAcntAll</t>
        </is>
      </c>
      <c r="B217" s="24" t="inlineStr">
        <is>
          <t>00245472</t>
        </is>
      </c>
      <c r="C217" s="24" t="inlineStr">
        <is>
          <t>티씨케이</t>
        </is>
      </c>
      <c r="D217" s="24" t="inlineStr">
        <is>
          <t>tck</t>
        </is>
      </c>
      <c r="E217" s="24" t="inlineStr">
        <is>
          <t>064760</t>
        </is>
      </c>
      <c r="F217" s="24" t="inlineStr">
        <is>
          <t>2023</t>
        </is>
      </c>
      <c r="G217" s="24" t="inlineStr">
        <is>
          <t>OFS</t>
        </is>
      </c>
      <c r="H217" s="24" t="inlineStr">
        <is>
          <t>BS</t>
        </is>
      </c>
      <c r="I217" s="24" t="inlineStr">
        <is>
          <t>재무상태표</t>
        </is>
      </c>
      <c r="J217" s="24" t="inlineStr">
        <is>
          <t>ifrs-full_DeferredTaxAssets</t>
        </is>
      </c>
      <c r="K217" s="24" t="inlineStr">
        <is>
          <t>4. 이연법인세자산</t>
        </is>
      </c>
      <c r="L217" s="24" t="inlineStr">
        <is>
          <t>-</t>
        </is>
      </c>
      <c r="M217" s="24" t="inlineStr">
        <is>
          <t>제 29 기</t>
        </is>
      </c>
      <c r="N217" s="24" t="inlineStr">
        <is>
          <t>53723031.0</t>
        </is>
      </c>
      <c r="O217" s="24" t="inlineStr">
        <is>
          <t>2684831721.0</t>
        </is>
      </c>
      <c r="P217" s="24" t="inlineStr">
        <is>
          <t>KRW</t>
        </is>
      </c>
      <c r="Q217" s="24" t="inlineStr">
        <is>
          <t>16</t>
        </is>
      </c>
    </row>
    <row r="218" ht="24" customHeight="1">
      <c r="A218" s="29" t="inlineStr">
        <is>
          <t>OpenDART_fnlttSinglAcntAll</t>
        </is>
      </c>
      <c r="B218" s="29" t="inlineStr">
        <is>
          <t>00245472</t>
        </is>
      </c>
      <c r="C218" s="29" t="inlineStr">
        <is>
          <t>티씨케이</t>
        </is>
      </c>
      <c r="D218" s="29" t="inlineStr">
        <is>
          <t>tck</t>
        </is>
      </c>
      <c r="E218" s="29" t="inlineStr">
        <is>
          <t>064760</t>
        </is>
      </c>
      <c r="F218" s="29" t="inlineStr">
        <is>
          <t>2023</t>
        </is>
      </c>
      <c r="G218" s="29" t="inlineStr">
        <is>
          <t>OFS</t>
        </is>
      </c>
      <c r="H218" s="29" t="inlineStr">
        <is>
          <t>BS</t>
        </is>
      </c>
      <c r="I218" s="29" t="inlineStr">
        <is>
          <t>재무상태표</t>
        </is>
      </c>
      <c r="J218" s="29" t="inlineStr">
        <is>
          <t>ifrs-full_IntangibleAssetsOtherThanGoodwill</t>
        </is>
      </c>
      <c r="K218" s="29" t="inlineStr">
        <is>
          <t>3. 무형자산</t>
        </is>
      </c>
      <c r="L218" s="29" t="inlineStr">
        <is>
          <t>-</t>
        </is>
      </c>
      <c r="M218" s="29" t="inlineStr">
        <is>
          <t>제 29 기</t>
        </is>
      </c>
      <c r="N218" s="29" t="inlineStr">
        <is>
          <t>2174613478.0</t>
        </is>
      </c>
      <c r="O218" s="29" t="inlineStr">
        <is>
          <t>1841733375.0</t>
        </is>
      </c>
      <c r="P218" s="29" t="inlineStr">
        <is>
          <t>KRW</t>
        </is>
      </c>
      <c r="Q218" s="29" t="inlineStr">
        <is>
          <t>17</t>
        </is>
      </c>
    </row>
    <row r="219" ht="24" customHeight="1">
      <c r="A219" s="24" t="inlineStr">
        <is>
          <t>OpenDART_fnlttSinglAcntAll</t>
        </is>
      </c>
      <c r="B219" s="24" t="inlineStr">
        <is>
          <t>00245472</t>
        </is>
      </c>
      <c r="C219" s="24" t="inlineStr">
        <is>
          <t>티씨케이</t>
        </is>
      </c>
      <c r="D219" s="24" t="inlineStr">
        <is>
          <t>tck</t>
        </is>
      </c>
      <c r="E219" s="24" t="inlineStr">
        <is>
          <t>064760</t>
        </is>
      </c>
      <c r="F219" s="24" t="inlineStr">
        <is>
          <t>2023</t>
        </is>
      </c>
      <c r="G219" s="24" t="inlineStr">
        <is>
          <t>OFS</t>
        </is>
      </c>
      <c r="H219" s="24" t="inlineStr">
        <is>
          <t>BS</t>
        </is>
      </c>
      <c r="I219" s="24" t="inlineStr">
        <is>
          <t>재무상태표</t>
        </is>
      </c>
      <c r="J219" s="24" t="inlineStr">
        <is>
          <t>ifrs-full_OtherNoncurrentFinancialAssets</t>
        </is>
      </c>
      <c r="K219" s="24" t="inlineStr">
        <is>
          <t>1. 기타비유동금융자산</t>
        </is>
      </c>
      <c r="L219" s="24" t="inlineStr">
        <is>
          <t>-</t>
        </is>
      </c>
      <c r="M219" s="24" t="inlineStr">
        <is>
          <t>제 29 기</t>
        </is>
      </c>
      <c r="N219" s="24" t="inlineStr">
        <is>
          <t>830879651.0</t>
        </is>
      </c>
      <c r="O219" s="24" t="inlineStr">
        <is>
          <t>3487935424.0</t>
        </is>
      </c>
      <c r="P219" s="24" t="inlineStr">
        <is>
          <t>KRW</t>
        </is>
      </c>
      <c r="Q219" s="24" t="inlineStr">
        <is>
          <t>18</t>
        </is>
      </c>
    </row>
    <row r="220" ht="24" customHeight="1">
      <c r="A220" s="29" t="inlineStr">
        <is>
          <t>OpenDART_fnlttSinglAcntAll</t>
        </is>
      </c>
      <c r="B220" s="29" t="inlineStr">
        <is>
          <t>00245472</t>
        </is>
      </c>
      <c r="C220" s="29" t="inlineStr">
        <is>
          <t>티씨케이</t>
        </is>
      </c>
      <c r="D220" s="29" t="inlineStr">
        <is>
          <t>tck</t>
        </is>
      </c>
      <c r="E220" s="29" t="inlineStr">
        <is>
          <t>064760</t>
        </is>
      </c>
      <c r="F220" s="29" t="inlineStr">
        <is>
          <t>2023</t>
        </is>
      </c>
      <c r="G220" s="29" t="inlineStr">
        <is>
          <t>OFS</t>
        </is>
      </c>
      <c r="H220" s="29" t="inlineStr">
        <is>
          <t>BS</t>
        </is>
      </c>
      <c r="I220" s="29" t="inlineStr">
        <is>
          <t>재무상태표</t>
        </is>
      </c>
      <c r="J220" s="29" t="inlineStr">
        <is>
          <t>ifrs-full_PropertyPlantAndEquipment</t>
        </is>
      </c>
      <c r="K220" s="29" t="inlineStr">
        <is>
          <t>2. 유형자산</t>
        </is>
      </c>
      <c r="L220" s="29" t="inlineStr">
        <is>
          <t>-</t>
        </is>
      </c>
      <c r="M220" s="29" t="inlineStr">
        <is>
          <t>제 29 기</t>
        </is>
      </c>
      <c r="N220" s="29" t="inlineStr">
        <is>
          <t>157206129237.0</t>
        </is>
      </c>
      <c r="O220" s="29" t="inlineStr">
        <is>
          <t>128885878090.0</t>
        </is>
      </c>
      <c r="P220" s="29" t="inlineStr">
        <is>
          <t>KRW</t>
        </is>
      </c>
      <c r="Q220" s="29" t="inlineStr">
        <is>
          <t>19</t>
        </is>
      </c>
    </row>
    <row r="221" ht="24" customHeight="1">
      <c r="A221" s="24" t="inlineStr">
        <is>
          <t>OpenDART_fnlttSinglAcntAll</t>
        </is>
      </c>
      <c r="B221" s="24" t="inlineStr">
        <is>
          <t>00245472</t>
        </is>
      </c>
      <c r="C221" s="24" t="inlineStr">
        <is>
          <t>티씨케이</t>
        </is>
      </c>
      <c r="D221" s="24" t="inlineStr">
        <is>
          <t>tck</t>
        </is>
      </c>
      <c r="E221" s="24" t="inlineStr">
        <is>
          <t>064760</t>
        </is>
      </c>
      <c r="F221" s="24" t="inlineStr">
        <is>
          <t>2023</t>
        </is>
      </c>
      <c r="G221" s="24" t="inlineStr">
        <is>
          <t>OFS</t>
        </is>
      </c>
      <c r="H221" s="24" t="inlineStr">
        <is>
          <t>BS</t>
        </is>
      </c>
      <c r="I221" s="24" t="inlineStr">
        <is>
          <t>재무상태표</t>
        </is>
      </c>
      <c r="J221" s="24" t="inlineStr">
        <is>
          <t>ifrs-full_RightofuseAssets</t>
        </is>
      </c>
      <c r="K221" s="24" t="inlineStr">
        <is>
          <t>5. 사용권자산</t>
        </is>
      </c>
      <c r="L221" s="24" t="inlineStr">
        <is>
          <t>-</t>
        </is>
      </c>
      <c r="M221" s="24" t="inlineStr">
        <is>
          <t>제 29 기</t>
        </is>
      </c>
      <c r="N221" s="24" t="inlineStr">
        <is>
          <t>745296309.0</t>
        </is>
      </c>
      <c r="O221" s="24" t="inlineStr">
        <is>
          <t>406977188.0</t>
        </is>
      </c>
      <c r="P221" s="24" t="inlineStr">
        <is>
          <t>KRW</t>
        </is>
      </c>
      <c r="Q221" s="24" t="inlineStr">
        <is>
          <t>20</t>
        </is>
      </c>
    </row>
    <row r="222" ht="24" customHeight="1">
      <c r="A222" s="29" t="inlineStr">
        <is>
          <t>OpenDART_fnlttSinglAcntAll</t>
        </is>
      </c>
      <c r="B222" s="29" t="inlineStr">
        <is>
          <t>00245472</t>
        </is>
      </c>
      <c r="C222" s="29" t="inlineStr">
        <is>
          <t>티씨케이</t>
        </is>
      </c>
      <c r="D222" s="29" t="inlineStr">
        <is>
          <t>tck</t>
        </is>
      </c>
      <c r="E222" s="29" t="inlineStr">
        <is>
          <t>064760</t>
        </is>
      </c>
      <c r="F222" s="29" t="inlineStr">
        <is>
          <t>2023</t>
        </is>
      </c>
      <c r="G222" s="29" t="inlineStr">
        <is>
          <t>OFS</t>
        </is>
      </c>
      <c r="H222" s="29" t="inlineStr">
        <is>
          <t>BS</t>
        </is>
      </c>
      <c r="I222" s="29" t="inlineStr">
        <is>
          <t>재무상태표</t>
        </is>
      </c>
      <c r="J222" s="29" t="inlineStr">
        <is>
          <t>dart_CapitalSurplus</t>
        </is>
      </c>
      <c r="K222" s="29" t="inlineStr">
        <is>
          <t>Ⅱ. 자본잉여금</t>
        </is>
      </c>
      <c r="L222" s="29" t="inlineStr">
        <is>
          <t>-</t>
        </is>
      </c>
      <c r="M222" s="29" t="inlineStr">
        <is>
          <t>제 29 기</t>
        </is>
      </c>
      <c r="N222" s="29" t="inlineStr">
        <is>
          <t>6035001920.0</t>
        </is>
      </c>
      <c r="O222" s="29" t="inlineStr">
        <is>
          <t>6035001920.0</t>
        </is>
      </c>
      <c r="P222" s="29" t="inlineStr">
        <is>
          <t>KRW</t>
        </is>
      </c>
      <c r="Q222" s="29" t="inlineStr">
        <is>
          <t>22</t>
        </is>
      </c>
    </row>
    <row r="223" ht="24" customHeight="1">
      <c r="A223" s="24" t="inlineStr">
        <is>
          <t>OpenDART_fnlttSinglAcntAll</t>
        </is>
      </c>
      <c r="B223" s="24" t="inlineStr">
        <is>
          <t>00245472</t>
        </is>
      </c>
      <c r="C223" s="24" t="inlineStr">
        <is>
          <t>티씨케이</t>
        </is>
      </c>
      <c r="D223" s="24" t="inlineStr">
        <is>
          <t>tck</t>
        </is>
      </c>
      <c r="E223" s="24" t="inlineStr">
        <is>
          <t>064760</t>
        </is>
      </c>
      <c r="F223" s="24" t="inlineStr">
        <is>
          <t>2023</t>
        </is>
      </c>
      <c r="G223" s="24" t="inlineStr">
        <is>
          <t>OFS</t>
        </is>
      </c>
      <c r="H223" s="24" t="inlineStr">
        <is>
          <t>BS</t>
        </is>
      </c>
      <c r="I223" s="24" t="inlineStr">
        <is>
          <t>재무상태표</t>
        </is>
      </c>
      <c r="J223" s="24" t="inlineStr">
        <is>
          <t>dart_ElementsOfOtherStockholdersEquity</t>
        </is>
      </c>
      <c r="K223" s="24" t="inlineStr">
        <is>
          <t>Ⅲ. 기타자본구성요소</t>
        </is>
      </c>
      <c r="L223" s="24" t="inlineStr">
        <is>
          <t>-</t>
        </is>
      </c>
      <c r="M223" s="24" t="inlineStr">
        <is>
          <t>제 29 기</t>
        </is>
      </c>
      <c r="N223" s="24" t="inlineStr">
        <is>
          <t>233168836.0</t>
        </is>
      </c>
      <c r="O223" s="24" t="inlineStr">
        <is>
          <t>233168836.0</t>
        </is>
      </c>
      <c r="P223" s="24" t="inlineStr">
        <is>
          <t>KRW</t>
        </is>
      </c>
      <c r="Q223" s="24" t="inlineStr">
        <is>
          <t>23</t>
        </is>
      </c>
    </row>
    <row r="224" ht="24" customHeight="1">
      <c r="A224" s="29" t="inlineStr">
        <is>
          <t>OpenDART_fnlttSinglAcntAll</t>
        </is>
      </c>
      <c r="B224" s="29" t="inlineStr">
        <is>
          <t>00245472</t>
        </is>
      </c>
      <c r="C224" s="29" t="inlineStr">
        <is>
          <t>티씨케이</t>
        </is>
      </c>
      <c r="D224" s="29" t="inlineStr">
        <is>
          <t>tck</t>
        </is>
      </c>
      <c r="E224" s="29" t="inlineStr">
        <is>
          <t>064760</t>
        </is>
      </c>
      <c r="F224" s="29" t="inlineStr">
        <is>
          <t>2023</t>
        </is>
      </c>
      <c r="G224" s="29" t="inlineStr">
        <is>
          <t>OFS</t>
        </is>
      </c>
      <c r="H224" s="29" t="inlineStr">
        <is>
          <t>BS</t>
        </is>
      </c>
      <c r="I224" s="29" t="inlineStr">
        <is>
          <t>재무상태표</t>
        </is>
      </c>
      <c r="J224" s="29" t="inlineStr">
        <is>
          <t>ifrs-full_Equity</t>
        </is>
      </c>
      <c r="K224" s="29" t="inlineStr">
        <is>
          <t>자본총계</t>
        </is>
      </c>
      <c r="L224" s="29" t="inlineStr">
        <is>
          <t>-</t>
        </is>
      </c>
      <c r="M224" s="29" t="inlineStr">
        <is>
          <t>제 29 기</t>
        </is>
      </c>
      <c r="N224" s="29" t="inlineStr">
        <is>
          <t>458270711744.0</t>
        </is>
      </c>
      <c r="O224" s="29" t="inlineStr">
        <is>
          <t>416873645081.0</t>
        </is>
      </c>
      <c r="P224" s="29" t="inlineStr">
        <is>
          <t>KRW</t>
        </is>
      </c>
      <c r="Q224" s="29" t="inlineStr">
        <is>
          <t>24</t>
        </is>
      </c>
    </row>
    <row r="225" ht="24" customHeight="1">
      <c r="A225" s="24" t="inlineStr">
        <is>
          <t>OpenDART_fnlttSinglAcntAll</t>
        </is>
      </c>
      <c r="B225" s="24" t="inlineStr">
        <is>
          <t>00245472</t>
        </is>
      </c>
      <c r="C225" s="24" t="inlineStr">
        <is>
          <t>티씨케이</t>
        </is>
      </c>
      <c r="D225" s="24" t="inlineStr">
        <is>
          <t>tck</t>
        </is>
      </c>
      <c r="E225" s="24" t="inlineStr">
        <is>
          <t>064760</t>
        </is>
      </c>
      <c r="F225" s="24" t="inlineStr">
        <is>
          <t>2023</t>
        </is>
      </c>
      <c r="G225" s="24" t="inlineStr">
        <is>
          <t>OFS</t>
        </is>
      </c>
      <c r="H225" s="24" t="inlineStr">
        <is>
          <t>BS</t>
        </is>
      </c>
      <c r="I225" s="24" t="inlineStr">
        <is>
          <t>재무상태표</t>
        </is>
      </c>
      <c r="J225" s="24" t="inlineStr">
        <is>
          <t>ifrs-full_IssuedCapital</t>
        </is>
      </c>
      <c r="K225" s="24" t="inlineStr">
        <is>
          <t>Ⅰ. 자본금</t>
        </is>
      </c>
      <c r="L225" s="24" t="inlineStr">
        <is>
          <t>-</t>
        </is>
      </c>
      <c r="M225" s="24" t="inlineStr">
        <is>
          <t>제 29 기</t>
        </is>
      </c>
      <c r="N225" s="24" t="inlineStr">
        <is>
          <t>5837500000.0</t>
        </is>
      </c>
      <c r="O225" s="24" t="inlineStr">
        <is>
          <t>5837500000.0</t>
        </is>
      </c>
      <c r="P225" s="24" t="inlineStr">
        <is>
          <t>KRW</t>
        </is>
      </c>
      <c r="Q225" s="24" t="inlineStr">
        <is>
          <t>25</t>
        </is>
      </c>
    </row>
    <row r="226" ht="24" customHeight="1">
      <c r="A226" s="29" t="inlineStr">
        <is>
          <t>OpenDART_fnlttSinglAcntAll</t>
        </is>
      </c>
      <c r="B226" s="29" t="inlineStr">
        <is>
          <t>00245472</t>
        </is>
      </c>
      <c r="C226" s="29" t="inlineStr">
        <is>
          <t>티씨케이</t>
        </is>
      </c>
      <c r="D226" s="29" t="inlineStr">
        <is>
          <t>tck</t>
        </is>
      </c>
      <c r="E226" s="29" t="inlineStr">
        <is>
          <t>064760</t>
        </is>
      </c>
      <c r="F226" s="29" t="inlineStr">
        <is>
          <t>2023</t>
        </is>
      </c>
      <c r="G226" s="29" t="inlineStr">
        <is>
          <t>OFS</t>
        </is>
      </c>
      <c r="H226" s="29" t="inlineStr">
        <is>
          <t>BS</t>
        </is>
      </c>
      <c r="I226" s="29" t="inlineStr">
        <is>
          <t>재무상태표</t>
        </is>
      </c>
      <c r="J226" s="29" t="inlineStr">
        <is>
          <t>ifrs-full_RetainedEarnings</t>
        </is>
      </c>
      <c r="K226" s="29" t="inlineStr">
        <is>
          <t>Ⅳ. 이익잉여금</t>
        </is>
      </c>
      <c r="L226" s="29" t="inlineStr">
        <is>
          <t>-</t>
        </is>
      </c>
      <c r="M226" s="29" t="inlineStr">
        <is>
          <t>제 29 기</t>
        </is>
      </c>
      <c r="N226" s="29" t="inlineStr">
        <is>
          <t>446165040988.0</t>
        </is>
      </c>
      <c r="O226" s="29" t="inlineStr">
        <is>
          <t>404767974325.0</t>
        </is>
      </c>
      <c r="P226" s="29" t="inlineStr">
        <is>
          <t>KRW</t>
        </is>
      </c>
      <c r="Q226" s="29" t="inlineStr">
        <is>
          <t>26</t>
        </is>
      </c>
    </row>
    <row r="227" ht="24" customHeight="1">
      <c r="A227" s="24" t="inlineStr">
        <is>
          <t>OpenDART_fnlttSinglAcntAll</t>
        </is>
      </c>
      <c r="B227" s="24" t="inlineStr">
        <is>
          <t>00245472</t>
        </is>
      </c>
      <c r="C227" s="24" t="inlineStr">
        <is>
          <t>티씨케이</t>
        </is>
      </c>
      <c r="D227" s="24" t="inlineStr">
        <is>
          <t>tck</t>
        </is>
      </c>
      <c r="E227" s="24" t="inlineStr">
        <is>
          <t>064760</t>
        </is>
      </c>
      <c r="F227" s="24" t="inlineStr">
        <is>
          <t>2023</t>
        </is>
      </c>
      <c r="G227" s="24" t="inlineStr">
        <is>
          <t>OFS</t>
        </is>
      </c>
      <c r="H227" s="24" t="inlineStr">
        <is>
          <t>BS</t>
        </is>
      </c>
      <c r="I227" s="24" t="inlineStr">
        <is>
          <t>재무상태표</t>
        </is>
      </c>
      <c r="J227" s="24" t="inlineStr">
        <is>
          <t>ifrs-full_EquityAndLiabilities</t>
        </is>
      </c>
      <c r="K227" s="24" t="inlineStr">
        <is>
          <t>자본과부채총계</t>
        </is>
      </c>
      <c r="L227" s="24" t="inlineStr">
        <is>
          <t>-</t>
        </is>
      </c>
      <c r="M227" s="24" t="inlineStr">
        <is>
          <t>제 29 기</t>
        </is>
      </c>
      <c r="N227" s="24" t="inlineStr">
        <is>
          <t>495503750976.0</t>
        </is>
      </c>
      <c r="O227" s="24" t="inlineStr">
        <is>
          <t>480543059263.0</t>
        </is>
      </c>
      <c r="P227" s="24" t="inlineStr">
        <is>
          <t>KRW</t>
        </is>
      </c>
      <c r="Q227" s="24" t="inlineStr">
        <is>
          <t>27</t>
        </is>
      </c>
    </row>
    <row r="228" ht="24" customHeight="1">
      <c r="A228" s="29" t="inlineStr">
        <is>
          <t>OpenDART_fnlttSinglAcntAll</t>
        </is>
      </c>
      <c r="B228" s="29" t="inlineStr">
        <is>
          <t>00245472</t>
        </is>
      </c>
      <c r="C228" s="29" t="inlineStr">
        <is>
          <t>티씨케이</t>
        </is>
      </c>
      <c r="D228" s="29" t="inlineStr">
        <is>
          <t>tck</t>
        </is>
      </c>
      <c r="E228" s="29" t="inlineStr">
        <is>
          <t>064760</t>
        </is>
      </c>
      <c r="F228" s="29" t="inlineStr">
        <is>
          <t>2023</t>
        </is>
      </c>
      <c r="G228" s="29" t="inlineStr">
        <is>
          <t>OFS</t>
        </is>
      </c>
      <c r="H228" s="29" t="inlineStr">
        <is>
          <t>BS</t>
        </is>
      </c>
      <c r="I228" s="29" t="inlineStr">
        <is>
          <t>재무상태표</t>
        </is>
      </c>
      <c r="J228" s="29" t="inlineStr">
        <is>
          <t>ifrs-full_CurrentLiabilities</t>
        </is>
      </c>
      <c r="K228" s="29" t="inlineStr">
        <is>
          <t>Ⅰ. 유동부채</t>
        </is>
      </c>
      <c r="L228" s="29" t="inlineStr">
        <is>
          <t>-</t>
        </is>
      </c>
      <c r="M228" s="29" t="inlineStr">
        <is>
          <t>제 29 기</t>
        </is>
      </c>
      <c r="N228" s="29" t="inlineStr">
        <is>
          <t>35178759849.0</t>
        </is>
      </c>
      <c r="O228" s="29" t="inlineStr">
        <is>
          <t>62254946331.0</t>
        </is>
      </c>
      <c r="P228" s="29" t="inlineStr">
        <is>
          <t>KRW</t>
        </is>
      </c>
      <c r="Q228" s="29" t="inlineStr">
        <is>
          <t>29</t>
        </is>
      </c>
    </row>
    <row r="229" ht="24" customHeight="1">
      <c r="A229" s="24" t="inlineStr">
        <is>
          <t>OpenDART_fnlttSinglAcntAll</t>
        </is>
      </c>
      <c r="B229" s="24" t="inlineStr">
        <is>
          <t>00245472</t>
        </is>
      </c>
      <c r="C229" s="24" t="inlineStr">
        <is>
          <t>티씨케이</t>
        </is>
      </c>
      <c r="D229" s="24" t="inlineStr">
        <is>
          <t>tck</t>
        </is>
      </c>
      <c r="E229" s="24" t="inlineStr">
        <is>
          <t>064760</t>
        </is>
      </c>
      <c r="F229" s="24" t="inlineStr">
        <is>
          <t>2023</t>
        </is>
      </c>
      <c r="G229" s="24" t="inlineStr">
        <is>
          <t>OFS</t>
        </is>
      </c>
      <c r="H229" s="24" t="inlineStr">
        <is>
          <t>BS</t>
        </is>
      </c>
      <c r="I229" s="24" t="inlineStr">
        <is>
          <t>재무상태표</t>
        </is>
      </c>
      <c r="J229" s="24" t="inlineStr">
        <is>
          <t>dart_CurrentDerivativeLiabilities</t>
        </is>
      </c>
      <c r="K229" s="24" t="inlineStr">
        <is>
          <t>1. 파생금융부채</t>
        </is>
      </c>
      <c r="L229" s="24" t="inlineStr">
        <is>
          <t>-</t>
        </is>
      </c>
      <c r="M229" s="24" t="inlineStr">
        <is>
          <t>제 29 기</t>
        </is>
      </c>
      <c r="N229" s="24" t="inlineStr">
        <is>
          <t>6714193.0</t>
        </is>
      </c>
      <c r="O229" s="24" t="inlineStr">
        <is>
          <t>19984959.0</t>
        </is>
      </c>
      <c r="P229" s="24" t="inlineStr">
        <is>
          <t>KRW</t>
        </is>
      </c>
      <c r="Q229" s="24" t="inlineStr">
        <is>
          <t>30</t>
        </is>
      </c>
    </row>
    <row r="230" ht="24" customHeight="1">
      <c r="A230" s="29" t="inlineStr">
        <is>
          <t>OpenDART_fnlttSinglAcntAll</t>
        </is>
      </c>
      <c r="B230" s="29" t="inlineStr">
        <is>
          <t>00245472</t>
        </is>
      </c>
      <c r="C230" s="29" t="inlineStr">
        <is>
          <t>티씨케이</t>
        </is>
      </c>
      <c r="D230" s="29" t="inlineStr">
        <is>
          <t>tck</t>
        </is>
      </c>
      <c r="E230" s="29" t="inlineStr">
        <is>
          <t>064760</t>
        </is>
      </c>
      <c r="F230" s="29" t="inlineStr">
        <is>
          <t>2023</t>
        </is>
      </c>
      <c r="G230" s="29" t="inlineStr">
        <is>
          <t>OFS</t>
        </is>
      </c>
      <c r="H230" s="29" t="inlineStr">
        <is>
          <t>BS</t>
        </is>
      </c>
      <c r="I230" s="29" t="inlineStr">
        <is>
          <t>재무상태표</t>
        </is>
      </c>
      <c r="J230" s="29" t="inlineStr">
        <is>
          <t>dart_ShortTermTradePayables</t>
        </is>
      </c>
      <c r="K230" s="29" t="inlineStr">
        <is>
          <t>2. 매입채무</t>
        </is>
      </c>
      <c r="L230" s="29" t="inlineStr">
        <is>
          <t>-</t>
        </is>
      </c>
      <c r="M230" s="29" t="inlineStr">
        <is>
          <t>제 29 기</t>
        </is>
      </c>
      <c r="N230" s="29" t="inlineStr">
        <is>
          <t>6085300358.0</t>
        </is>
      </c>
      <c r="O230" s="29" t="inlineStr">
        <is>
          <t>9390212781.0</t>
        </is>
      </c>
      <c r="P230" s="29" t="inlineStr">
        <is>
          <t>KRW</t>
        </is>
      </c>
      <c r="Q230" s="29" t="inlineStr">
        <is>
          <t>31</t>
        </is>
      </c>
    </row>
    <row r="231" ht="24" customHeight="1">
      <c r="A231" s="24" t="inlineStr">
        <is>
          <t>OpenDART_fnlttSinglAcntAll</t>
        </is>
      </c>
      <c r="B231" s="24" t="inlineStr">
        <is>
          <t>00245472</t>
        </is>
      </c>
      <c r="C231" s="24" t="inlineStr">
        <is>
          <t>티씨케이</t>
        </is>
      </c>
      <c r="D231" s="24" t="inlineStr">
        <is>
          <t>tck</t>
        </is>
      </c>
      <c r="E231" s="24" t="inlineStr">
        <is>
          <t>064760</t>
        </is>
      </c>
      <c r="F231" s="24" t="inlineStr">
        <is>
          <t>2023</t>
        </is>
      </c>
      <c r="G231" s="24" t="inlineStr">
        <is>
          <t>OFS</t>
        </is>
      </c>
      <c r="H231" s="24" t="inlineStr">
        <is>
          <t>BS</t>
        </is>
      </c>
      <c r="I231" s="24" t="inlineStr">
        <is>
          <t>재무상태표</t>
        </is>
      </c>
      <c r="J231" s="24" t="inlineStr">
        <is>
          <t>ifrs-full_CurrentLeaseLiabilities</t>
        </is>
      </c>
      <c r="K231" s="24" t="inlineStr">
        <is>
          <t>7. 유동리스부채</t>
        </is>
      </c>
      <c r="L231" s="24" t="inlineStr">
        <is>
          <t>-</t>
        </is>
      </c>
      <c r="M231" s="24" t="inlineStr">
        <is>
          <t>제 29 기</t>
        </is>
      </c>
      <c r="N231" s="24" t="inlineStr">
        <is>
          <t>255644604.0</t>
        </is>
      </c>
      <c r="O231" s="24" t="inlineStr">
        <is>
          <t>233778398.0</t>
        </is>
      </c>
      <c r="P231" s="24" t="inlineStr">
        <is>
          <t>KRW</t>
        </is>
      </c>
      <c r="Q231" s="24" t="inlineStr">
        <is>
          <t>32</t>
        </is>
      </c>
    </row>
    <row r="232" ht="24" customHeight="1">
      <c r="A232" s="29" t="inlineStr">
        <is>
          <t>OpenDART_fnlttSinglAcntAll</t>
        </is>
      </c>
      <c r="B232" s="29" t="inlineStr">
        <is>
          <t>00245472</t>
        </is>
      </c>
      <c r="C232" s="29" t="inlineStr">
        <is>
          <t>티씨케이</t>
        </is>
      </c>
      <c r="D232" s="29" t="inlineStr">
        <is>
          <t>tck</t>
        </is>
      </c>
      <c r="E232" s="29" t="inlineStr">
        <is>
          <t>064760</t>
        </is>
      </c>
      <c r="F232" s="29" t="inlineStr">
        <is>
          <t>2023</t>
        </is>
      </c>
      <c r="G232" s="29" t="inlineStr">
        <is>
          <t>OFS</t>
        </is>
      </c>
      <c r="H232" s="29" t="inlineStr">
        <is>
          <t>BS</t>
        </is>
      </c>
      <c r="I232" s="29" t="inlineStr">
        <is>
          <t>재무상태표</t>
        </is>
      </c>
      <c r="J232" s="29" t="inlineStr">
        <is>
          <t>ifrs-full_CurrentProvisions</t>
        </is>
      </c>
      <c r="K232" s="29" t="inlineStr">
        <is>
          <t>6. 유동충당부채</t>
        </is>
      </c>
      <c r="L232" s="29" t="inlineStr">
        <is>
          <t>-</t>
        </is>
      </c>
      <c r="M232" s="29" t="inlineStr">
        <is>
          <t>제 29 기</t>
        </is>
      </c>
      <c r="N232" s="29" t="inlineStr">
        <is>
          <t>1181227972.0</t>
        </is>
      </c>
      <c r="O232" s="29" t="inlineStr">
        <is>
          <t>1271076441.0</t>
        </is>
      </c>
      <c r="P232" s="29" t="inlineStr">
        <is>
          <t>KRW</t>
        </is>
      </c>
      <c r="Q232" s="29" t="inlineStr">
        <is>
          <t>33</t>
        </is>
      </c>
    </row>
    <row r="233" ht="24" customHeight="1">
      <c r="A233" s="24" t="inlineStr">
        <is>
          <t>OpenDART_fnlttSinglAcntAll</t>
        </is>
      </c>
      <c r="B233" s="24" t="inlineStr">
        <is>
          <t>00245472</t>
        </is>
      </c>
      <c r="C233" s="24" t="inlineStr">
        <is>
          <t>티씨케이</t>
        </is>
      </c>
      <c r="D233" s="24" t="inlineStr">
        <is>
          <t>tck</t>
        </is>
      </c>
      <c r="E233" s="24" t="inlineStr">
        <is>
          <t>064760</t>
        </is>
      </c>
      <c r="F233" s="24" t="inlineStr">
        <is>
          <t>2023</t>
        </is>
      </c>
      <c r="G233" s="24" t="inlineStr">
        <is>
          <t>OFS</t>
        </is>
      </c>
      <c r="H233" s="24" t="inlineStr">
        <is>
          <t>BS</t>
        </is>
      </c>
      <c r="I233" s="24" t="inlineStr">
        <is>
          <t>재무상태표</t>
        </is>
      </c>
      <c r="J233" s="24" t="inlineStr">
        <is>
          <t>ifrs-full_CurrentTaxLiabilities</t>
        </is>
      </c>
      <c r="K233" s="24" t="inlineStr">
        <is>
          <t>5. 당기법인세부채</t>
        </is>
      </c>
      <c r="L233" s="24" t="inlineStr">
        <is>
          <t>-</t>
        </is>
      </c>
      <c r="M233" s="24" t="inlineStr">
        <is>
          <t>제 29 기</t>
        </is>
      </c>
      <c r="N233" s="24" t="inlineStr">
        <is>
          <t>11015169134.0</t>
        </is>
      </c>
      <c r="O233" s="24" t="inlineStr">
        <is>
          <t>20401046731.0</t>
        </is>
      </c>
      <c r="P233" s="24" t="inlineStr">
        <is>
          <t>KRW</t>
        </is>
      </c>
      <c r="Q233" s="24" t="inlineStr">
        <is>
          <t>34</t>
        </is>
      </c>
    </row>
    <row r="234" ht="24" customHeight="1">
      <c r="A234" s="29" t="inlineStr">
        <is>
          <t>OpenDART_fnlttSinglAcntAll</t>
        </is>
      </c>
      <c r="B234" s="29" t="inlineStr">
        <is>
          <t>00245472</t>
        </is>
      </c>
      <c r="C234" s="29" t="inlineStr">
        <is>
          <t>티씨케이</t>
        </is>
      </c>
      <c r="D234" s="29" t="inlineStr">
        <is>
          <t>tck</t>
        </is>
      </c>
      <c r="E234" s="29" t="inlineStr">
        <is>
          <t>064760</t>
        </is>
      </c>
      <c r="F234" s="29" t="inlineStr">
        <is>
          <t>2023</t>
        </is>
      </c>
      <c r="G234" s="29" t="inlineStr">
        <is>
          <t>OFS</t>
        </is>
      </c>
      <c r="H234" s="29" t="inlineStr">
        <is>
          <t>BS</t>
        </is>
      </c>
      <c r="I234" s="29" t="inlineStr">
        <is>
          <t>재무상태표</t>
        </is>
      </c>
      <c r="J234" s="29" t="inlineStr">
        <is>
          <t>ifrs-full_OtherCurrentFinancialLiabilities</t>
        </is>
      </c>
      <c r="K234" s="29" t="inlineStr">
        <is>
          <t>3. 기타유동금융부채</t>
        </is>
      </c>
      <c r="L234" s="29" t="inlineStr">
        <is>
          <t>-</t>
        </is>
      </c>
      <c r="M234" s="29" t="inlineStr">
        <is>
          <t>제 29 기</t>
        </is>
      </c>
      <c r="N234" s="29" t="inlineStr">
        <is>
          <t>16002533610.0</t>
        </is>
      </c>
      <c r="O234" s="29" t="inlineStr">
        <is>
          <t>30089959932.0</t>
        </is>
      </c>
      <c r="P234" s="29" t="inlineStr">
        <is>
          <t>KRW</t>
        </is>
      </c>
      <c r="Q234" s="29" t="inlineStr">
        <is>
          <t>35</t>
        </is>
      </c>
    </row>
    <row r="235" ht="24" customHeight="1">
      <c r="A235" s="24" t="inlineStr">
        <is>
          <t>OpenDART_fnlttSinglAcntAll</t>
        </is>
      </c>
      <c r="B235" s="24" t="inlineStr">
        <is>
          <t>00245472</t>
        </is>
      </c>
      <c r="C235" s="24" t="inlineStr">
        <is>
          <t>티씨케이</t>
        </is>
      </c>
      <c r="D235" s="24" t="inlineStr">
        <is>
          <t>tck</t>
        </is>
      </c>
      <c r="E235" s="24" t="inlineStr">
        <is>
          <t>064760</t>
        </is>
      </c>
      <c r="F235" s="24" t="inlineStr">
        <is>
          <t>2023</t>
        </is>
      </c>
      <c r="G235" s="24" t="inlineStr">
        <is>
          <t>OFS</t>
        </is>
      </c>
      <c r="H235" s="24" t="inlineStr">
        <is>
          <t>BS</t>
        </is>
      </c>
      <c r="I235" s="24" t="inlineStr">
        <is>
          <t>재무상태표</t>
        </is>
      </c>
      <c r="J235" s="24" t="inlineStr">
        <is>
          <t>ifrs-full_OtherCurrentLiabilities</t>
        </is>
      </c>
      <c r="K235" s="24" t="inlineStr">
        <is>
          <t>4. 기타유동부채</t>
        </is>
      </c>
      <c r="L235" s="24" t="inlineStr">
        <is>
          <t>-</t>
        </is>
      </c>
      <c r="M235" s="24" t="inlineStr">
        <is>
          <t>제 29 기</t>
        </is>
      </c>
      <c r="N235" s="24" t="inlineStr">
        <is>
          <t>632169978.0</t>
        </is>
      </c>
      <c r="O235" s="24" t="inlineStr">
        <is>
          <t>848887089.0</t>
        </is>
      </c>
      <c r="P235" s="24" t="inlineStr">
        <is>
          <t>KRW</t>
        </is>
      </c>
      <c r="Q235" s="24" t="inlineStr">
        <is>
          <t>36</t>
        </is>
      </c>
    </row>
    <row r="236" ht="24" customHeight="1">
      <c r="A236" s="29" t="inlineStr">
        <is>
          <t>OpenDART_fnlttSinglAcntAll</t>
        </is>
      </c>
      <c r="B236" s="29" t="inlineStr">
        <is>
          <t>00245472</t>
        </is>
      </c>
      <c r="C236" s="29" t="inlineStr">
        <is>
          <t>티씨케이</t>
        </is>
      </c>
      <c r="D236" s="29" t="inlineStr">
        <is>
          <t>tck</t>
        </is>
      </c>
      <c r="E236" s="29" t="inlineStr">
        <is>
          <t>064760</t>
        </is>
      </c>
      <c r="F236" s="29" t="inlineStr">
        <is>
          <t>2023</t>
        </is>
      </c>
      <c r="G236" s="29" t="inlineStr">
        <is>
          <t>OFS</t>
        </is>
      </c>
      <c r="H236" s="29" t="inlineStr">
        <is>
          <t>BS</t>
        </is>
      </c>
      <c r="I236" s="29" t="inlineStr">
        <is>
          <t>재무상태표</t>
        </is>
      </c>
      <c r="J236" s="29" t="inlineStr">
        <is>
          <t>ifrs-full_Liabilities</t>
        </is>
      </c>
      <c r="K236" s="29" t="inlineStr">
        <is>
          <t>부채총계</t>
        </is>
      </c>
      <c r="L236" s="29" t="inlineStr">
        <is>
          <t>-</t>
        </is>
      </c>
      <c r="M236" s="29" t="inlineStr">
        <is>
          <t>제 29 기</t>
        </is>
      </c>
      <c r="N236" s="29" t="inlineStr">
        <is>
          <t>37233039232.0</t>
        </is>
      </c>
      <c r="O236" s="29" t="inlineStr">
        <is>
          <t>63669414182.0</t>
        </is>
      </c>
      <c r="P236" s="29" t="inlineStr">
        <is>
          <t>KRW</t>
        </is>
      </c>
      <c r="Q236" s="29" t="inlineStr">
        <is>
          <t>37</t>
        </is>
      </c>
    </row>
    <row r="237" ht="24" customHeight="1">
      <c r="A237" s="24" t="inlineStr">
        <is>
          <t>OpenDART_fnlttSinglAcntAll</t>
        </is>
      </c>
      <c r="B237" s="24" t="inlineStr">
        <is>
          <t>00245472</t>
        </is>
      </c>
      <c r="C237" s="24" t="inlineStr">
        <is>
          <t>티씨케이</t>
        </is>
      </c>
      <c r="D237" s="24" t="inlineStr">
        <is>
          <t>tck</t>
        </is>
      </c>
      <c r="E237" s="24" t="inlineStr">
        <is>
          <t>064760</t>
        </is>
      </c>
      <c r="F237" s="24" t="inlineStr">
        <is>
          <t>2023</t>
        </is>
      </c>
      <c r="G237" s="24" t="inlineStr">
        <is>
          <t>OFS</t>
        </is>
      </c>
      <c r="H237" s="24" t="inlineStr">
        <is>
          <t>BS</t>
        </is>
      </c>
      <c r="I237" s="24" t="inlineStr">
        <is>
          <t>재무상태표</t>
        </is>
      </c>
      <c r="J237" s="24" t="inlineStr">
        <is>
          <t>ifrs-full_NoncurrentLiabilities</t>
        </is>
      </c>
      <c r="K237" s="24" t="inlineStr">
        <is>
          <t>Ⅱ. 비유동부채</t>
        </is>
      </c>
      <c r="L237" s="24" t="inlineStr">
        <is>
          <t>-</t>
        </is>
      </c>
      <c r="M237" s="24" t="inlineStr">
        <is>
          <t>제 29 기</t>
        </is>
      </c>
      <c r="N237" s="24" t="inlineStr">
        <is>
          <t>2054279383.0</t>
        </is>
      </c>
      <c r="O237" s="24" t="inlineStr">
        <is>
          <t>1414467851.0</t>
        </is>
      </c>
      <c r="P237" s="24" t="inlineStr">
        <is>
          <t>KRW</t>
        </is>
      </c>
      <c r="Q237" s="24" t="inlineStr">
        <is>
          <t>38</t>
        </is>
      </c>
    </row>
    <row r="238" ht="24" customHeight="1">
      <c r="A238" s="29" t="inlineStr">
        <is>
          <t>OpenDART_fnlttSinglAcntAll</t>
        </is>
      </c>
      <c r="B238" s="29" t="inlineStr">
        <is>
          <t>00245472</t>
        </is>
      </c>
      <c r="C238" s="29" t="inlineStr">
        <is>
          <t>티씨케이</t>
        </is>
      </c>
      <c r="D238" s="29" t="inlineStr">
        <is>
          <t>tck</t>
        </is>
      </c>
      <c r="E238" s="29" t="inlineStr">
        <is>
          <t>064760</t>
        </is>
      </c>
      <c r="F238" s="29" t="inlineStr">
        <is>
          <t>2023</t>
        </is>
      </c>
      <c r="G238" s="29" t="inlineStr">
        <is>
          <t>OFS</t>
        </is>
      </c>
      <c r="H238" s="29" t="inlineStr">
        <is>
          <t>BS</t>
        </is>
      </c>
      <c r="I238" s="29" t="inlineStr">
        <is>
          <t>재무상태표</t>
        </is>
      </c>
      <c r="J238" s="29" t="inlineStr">
        <is>
          <t>ifrs-full_NoncurrentLeaseLiabilities</t>
        </is>
      </c>
      <c r="K238" s="29" t="inlineStr">
        <is>
          <t>2. 비유동리스부채</t>
        </is>
      </c>
      <c r="L238" s="29" t="inlineStr">
        <is>
          <t>-</t>
        </is>
      </c>
      <c r="M238" s="29" t="inlineStr">
        <is>
          <t>제 29 기</t>
        </is>
      </c>
      <c r="N238" s="29" t="inlineStr">
        <is>
          <t>444743225.0</t>
        </is>
      </c>
      <c r="O238" s="29" t="inlineStr">
        <is>
          <t>185500642.0</t>
        </is>
      </c>
      <c r="P238" s="29" t="inlineStr">
        <is>
          <t>KRW</t>
        </is>
      </c>
      <c r="Q238" s="29" t="inlineStr">
        <is>
          <t>39</t>
        </is>
      </c>
    </row>
    <row r="239" ht="24" customHeight="1">
      <c r="A239" s="24" t="inlineStr">
        <is>
          <t>OpenDART_fnlttSinglAcntAll</t>
        </is>
      </c>
      <c r="B239" s="24" t="inlineStr">
        <is>
          <t>00245472</t>
        </is>
      </c>
      <c r="C239" s="24" t="inlineStr">
        <is>
          <t>티씨케이</t>
        </is>
      </c>
      <c r="D239" s="24" t="inlineStr">
        <is>
          <t>tck</t>
        </is>
      </c>
      <c r="E239" s="24" t="inlineStr">
        <is>
          <t>064760</t>
        </is>
      </c>
      <c r="F239" s="24" t="inlineStr">
        <is>
          <t>2023</t>
        </is>
      </c>
      <c r="G239" s="24" t="inlineStr">
        <is>
          <t>OFS</t>
        </is>
      </c>
      <c r="H239" s="24" t="inlineStr">
        <is>
          <t>BS</t>
        </is>
      </c>
      <c r="I239" s="24" t="inlineStr">
        <is>
          <t>재무상태표</t>
        </is>
      </c>
      <c r="J239" s="24" t="inlineStr">
        <is>
          <t>ifrs-full_NoncurrentProvisions</t>
        </is>
      </c>
      <c r="K239" s="24" t="inlineStr">
        <is>
          <t>1. 비유동충당부채</t>
        </is>
      </c>
      <c r="L239" s="24" t="inlineStr">
        <is>
          <t>-</t>
        </is>
      </c>
      <c r="M239" s="24" t="inlineStr">
        <is>
          <t>제 29 기</t>
        </is>
      </c>
      <c r="N239" s="24" t="inlineStr">
        <is>
          <t>1609536158.0</t>
        </is>
      </c>
      <c r="O239" s="24" t="inlineStr">
        <is>
          <t>1228967209.0</t>
        </is>
      </c>
      <c r="P239" s="24" t="inlineStr">
        <is>
          <t>KRW</t>
        </is>
      </c>
      <c r="Q239" s="24" t="inlineStr">
        <is>
          <t>40</t>
        </is>
      </c>
    </row>
    <row r="240" ht="24" customHeight="1">
      <c r="A240" s="29" t="inlineStr">
        <is>
          <t>OpenDART_fnlttSinglAcntAll</t>
        </is>
      </c>
      <c r="B240" s="29" t="inlineStr">
        <is>
          <t>00245472</t>
        </is>
      </c>
      <c r="C240" s="29" t="inlineStr">
        <is>
          <t>티씨케이</t>
        </is>
      </c>
      <c r="D240" s="29" t="inlineStr">
        <is>
          <t>tck</t>
        </is>
      </c>
      <c r="E240" s="29" t="inlineStr">
        <is>
          <t>064760</t>
        </is>
      </c>
      <c r="F240" s="29" t="inlineStr">
        <is>
          <t>2023</t>
        </is>
      </c>
      <c r="G240" s="29" t="inlineStr">
        <is>
          <t>OFS</t>
        </is>
      </c>
      <c r="H240" s="29" t="inlineStr">
        <is>
          <t>CIS</t>
        </is>
      </c>
      <c r="I240" s="29" t="inlineStr">
        <is>
          <t>포괄손익계산서</t>
        </is>
      </c>
      <c r="J240" s="29" t="inlineStr">
        <is>
          <t>dart_BadDebtExpenses</t>
        </is>
      </c>
      <c r="K240" s="29" t="inlineStr">
        <is>
          <t>대손상각비</t>
        </is>
      </c>
      <c r="L240" s="29" t="inlineStr">
        <is>
          <t>-</t>
        </is>
      </c>
      <c r="M240" s="29" t="inlineStr">
        <is>
          <t>제 29 기</t>
        </is>
      </c>
      <c r="N240" s="29" t="inlineStr">
        <is>
          <t>78154699.0</t>
        </is>
      </c>
      <c r="O240" s="29" t="inlineStr">
        <is>
          <t>30776617.0</t>
        </is>
      </c>
      <c r="P240" s="29" t="inlineStr">
        <is>
          <t>KRW</t>
        </is>
      </c>
      <c r="Q240" s="29" t="inlineStr">
        <is>
          <t>2</t>
        </is>
      </c>
    </row>
    <row r="241" ht="24" customHeight="1">
      <c r="A241" s="24" t="inlineStr">
        <is>
          <t>OpenDART_fnlttSinglAcntAll</t>
        </is>
      </c>
      <c r="B241" s="24" t="inlineStr">
        <is>
          <t>00245472</t>
        </is>
      </c>
      <c r="C241" s="24" t="inlineStr">
        <is>
          <t>티씨케이</t>
        </is>
      </c>
      <c r="D241" s="24" t="inlineStr">
        <is>
          <t>tck</t>
        </is>
      </c>
      <c r="E241" s="24" t="inlineStr">
        <is>
          <t>064760</t>
        </is>
      </c>
      <c r="F241" s="24" t="inlineStr">
        <is>
          <t>2023</t>
        </is>
      </c>
      <c r="G241" s="24" t="inlineStr">
        <is>
          <t>OFS</t>
        </is>
      </c>
      <c r="H241" s="24" t="inlineStr">
        <is>
          <t>CIS</t>
        </is>
      </c>
      <c r="I241" s="24" t="inlineStr">
        <is>
          <t>포괄손익계산서</t>
        </is>
      </c>
      <c r="J241" s="24" t="inlineStr">
        <is>
          <t>dart_OperatingIncomeLoss</t>
        </is>
      </c>
      <c r="K241" s="24" t="inlineStr">
        <is>
          <t>Ⅳ. 영업이익</t>
        </is>
      </c>
      <c r="L241" s="24" t="inlineStr">
        <is>
          <t>-</t>
        </is>
      </c>
      <c r="M241" s="24" t="inlineStr">
        <is>
          <t>제 29 기</t>
        </is>
      </c>
      <c r="N241" s="24" t="inlineStr">
        <is>
          <t>66702958305.0</t>
        </is>
      </c>
      <c r="O241" s="24" t="inlineStr">
        <is>
          <t>127026641350.0</t>
        </is>
      </c>
      <c r="P241" s="24" t="inlineStr">
        <is>
          <t>KRW</t>
        </is>
      </c>
      <c r="Q241" s="24" t="inlineStr">
        <is>
          <t>7</t>
        </is>
      </c>
    </row>
    <row r="242" ht="24" customHeight="1">
      <c r="A242" s="29" t="inlineStr">
        <is>
          <t>OpenDART_fnlttSinglAcntAll</t>
        </is>
      </c>
      <c r="B242" s="29" t="inlineStr">
        <is>
          <t>00245472</t>
        </is>
      </c>
      <c r="C242" s="29" t="inlineStr">
        <is>
          <t>티씨케이</t>
        </is>
      </c>
      <c r="D242" s="29" t="inlineStr">
        <is>
          <t>tck</t>
        </is>
      </c>
      <c r="E242" s="29" t="inlineStr">
        <is>
          <t>064760</t>
        </is>
      </c>
      <c r="F242" s="29" t="inlineStr">
        <is>
          <t>2023</t>
        </is>
      </c>
      <c r="G242" s="29" t="inlineStr">
        <is>
          <t>OFS</t>
        </is>
      </c>
      <c r="H242" s="29" t="inlineStr">
        <is>
          <t>CIS</t>
        </is>
      </c>
      <c r="I242" s="29" t="inlineStr">
        <is>
          <t>포괄손익계산서</t>
        </is>
      </c>
      <c r="J242" s="29" t="inlineStr">
        <is>
          <t>dart_OtherGains</t>
        </is>
      </c>
      <c r="K242" s="29" t="inlineStr">
        <is>
          <t>기타수익</t>
        </is>
      </c>
      <c r="L242" s="29" t="inlineStr">
        <is>
          <t>-</t>
        </is>
      </c>
      <c r="M242" s="29" t="inlineStr">
        <is>
          <t>제 29 기</t>
        </is>
      </c>
      <c r="N242" s="29" t="inlineStr">
        <is>
          <t>4145409913.0</t>
        </is>
      </c>
      <c r="O242" s="29" t="inlineStr">
        <is>
          <t>8602329711.0</t>
        </is>
      </c>
      <c r="P242" s="29" t="inlineStr">
        <is>
          <t>KRW</t>
        </is>
      </c>
      <c r="Q242" s="29" t="inlineStr">
        <is>
          <t>8</t>
        </is>
      </c>
    </row>
    <row r="243" ht="24" customHeight="1">
      <c r="A243" s="24" t="inlineStr">
        <is>
          <t>OpenDART_fnlttSinglAcntAll</t>
        </is>
      </c>
      <c r="B243" s="24" t="inlineStr">
        <is>
          <t>00245472</t>
        </is>
      </c>
      <c r="C243" s="24" t="inlineStr">
        <is>
          <t>티씨케이</t>
        </is>
      </c>
      <c r="D243" s="24" t="inlineStr">
        <is>
          <t>tck</t>
        </is>
      </c>
      <c r="E243" s="24" t="inlineStr">
        <is>
          <t>064760</t>
        </is>
      </c>
      <c r="F243" s="24" t="inlineStr">
        <is>
          <t>2023</t>
        </is>
      </c>
      <c r="G243" s="24" t="inlineStr">
        <is>
          <t>OFS</t>
        </is>
      </c>
      <c r="H243" s="24" t="inlineStr">
        <is>
          <t>CIS</t>
        </is>
      </c>
      <c r="I243" s="24" t="inlineStr">
        <is>
          <t>포괄손익계산서</t>
        </is>
      </c>
      <c r="J243" s="24" t="inlineStr">
        <is>
          <t>dart_OtherLosses</t>
        </is>
      </c>
      <c r="K243" s="24" t="inlineStr">
        <is>
          <t>기타비용</t>
        </is>
      </c>
      <c r="L243" s="24" t="inlineStr">
        <is>
          <t>-</t>
        </is>
      </c>
      <c r="M243" s="24" t="inlineStr">
        <is>
          <t>제 29 기</t>
        </is>
      </c>
      <c r="N243" s="24" t="inlineStr">
        <is>
          <t>4493323607.0</t>
        </is>
      </c>
      <c r="O243" s="24" t="inlineStr">
        <is>
          <t>12342538783.0</t>
        </is>
      </c>
      <c r="P243" s="24" t="inlineStr">
        <is>
          <t>KRW</t>
        </is>
      </c>
      <c r="Q243" s="24" t="inlineStr">
        <is>
          <t>9</t>
        </is>
      </c>
    </row>
    <row r="244" ht="24" customHeight="1">
      <c r="A244" s="29" t="inlineStr">
        <is>
          <t>OpenDART_fnlttSinglAcntAll</t>
        </is>
      </c>
      <c r="B244" s="29" t="inlineStr">
        <is>
          <t>00245472</t>
        </is>
      </c>
      <c r="C244" s="29" t="inlineStr">
        <is>
          <t>티씨케이</t>
        </is>
      </c>
      <c r="D244" s="29" t="inlineStr">
        <is>
          <t>tck</t>
        </is>
      </c>
      <c r="E244" s="29" t="inlineStr">
        <is>
          <t>064760</t>
        </is>
      </c>
      <c r="F244" s="29" t="inlineStr">
        <is>
          <t>2023</t>
        </is>
      </c>
      <c r="G244" s="29" t="inlineStr">
        <is>
          <t>OFS</t>
        </is>
      </c>
      <c r="H244" s="29" t="inlineStr">
        <is>
          <t>CIS</t>
        </is>
      </c>
      <c r="I244" s="29" t="inlineStr">
        <is>
          <t>포괄손익계산서</t>
        </is>
      </c>
      <c r="J244" s="29" t="inlineStr">
        <is>
          <t>dart_TotalSellingGeneralAdministrativeExpenses</t>
        </is>
      </c>
      <c r="K244" s="29" t="inlineStr">
        <is>
          <t>판매비와관리비</t>
        </is>
      </c>
      <c r="L244" s="29" t="inlineStr">
        <is>
          <t>-</t>
        </is>
      </c>
      <c r="M244" s="29" t="inlineStr">
        <is>
          <t>제 29 기</t>
        </is>
      </c>
      <c r="N244" s="29" t="inlineStr">
        <is>
          <t>25151003939.0</t>
        </is>
      </c>
      <c r="O244" s="29" t="inlineStr">
        <is>
          <t>23827832354.0</t>
        </is>
      </c>
      <c r="P244" s="29" t="inlineStr">
        <is>
          <t>KRW</t>
        </is>
      </c>
      <c r="Q244" s="29" t="inlineStr">
        <is>
          <t>10</t>
        </is>
      </c>
    </row>
    <row r="245" ht="24" customHeight="1">
      <c r="A245" s="24" t="inlineStr">
        <is>
          <t>OpenDART_fnlttSinglAcntAll</t>
        </is>
      </c>
      <c r="B245" s="24" t="inlineStr">
        <is>
          <t>00245472</t>
        </is>
      </c>
      <c r="C245" s="24" t="inlineStr">
        <is>
          <t>티씨케이</t>
        </is>
      </c>
      <c r="D245" s="24" t="inlineStr">
        <is>
          <t>tck</t>
        </is>
      </c>
      <c r="E245" s="24" t="inlineStr">
        <is>
          <t>064760</t>
        </is>
      </c>
      <c r="F245" s="24" t="inlineStr">
        <is>
          <t>2023</t>
        </is>
      </c>
      <c r="G245" s="24" t="inlineStr">
        <is>
          <t>OFS</t>
        </is>
      </c>
      <c r="H245" s="24" t="inlineStr">
        <is>
          <t>CIS</t>
        </is>
      </c>
      <c r="I245" s="24" t="inlineStr">
        <is>
          <t>포괄손익계산서</t>
        </is>
      </c>
      <c r="J245" s="24" t="inlineStr">
        <is>
          <t>ifrs-full_ComprehensiveIncome</t>
        </is>
      </c>
      <c r="K245" s="24" t="inlineStr">
        <is>
          <t>Ⅷ. 총포괄이익</t>
        </is>
      </c>
      <c r="L245" s="24" t="inlineStr">
        <is>
          <t>-</t>
        </is>
      </c>
      <c r="M245" s="24" t="inlineStr">
        <is>
          <t>제 29 기</t>
        </is>
      </c>
      <c r="N245" s="24" t="inlineStr">
        <is>
          <t>61244566663.0</t>
        </is>
      </c>
      <c r="O245" s="24" t="inlineStr">
        <is>
          <t>94056447998.0</t>
        </is>
      </c>
      <c r="P245" s="24" t="inlineStr">
        <is>
          <t>KRW</t>
        </is>
      </c>
      <c r="Q245" s="24" t="inlineStr">
        <is>
          <t>11</t>
        </is>
      </c>
    </row>
    <row r="246" ht="24" customHeight="1">
      <c r="A246" s="29" t="inlineStr">
        <is>
          <t>OpenDART_fnlttSinglAcntAll</t>
        </is>
      </c>
      <c r="B246" s="29" t="inlineStr">
        <is>
          <t>00245472</t>
        </is>
      </c>
      <c r="C246" s="29" t="inlineStr">
        <is>
          <t>티씨케이</t>
        </is>
      </c>
      <c r="D246" s="29" t="inlineStr">
        <is>
          <t>tck</t>
        </is>
      </c>
      <c r="E246" s="29" t="inlineStr">
        <is>
          <t>064760</t>
        </is>
      </c>
      <c r="F246" s="29" t="inlineStr">
        <is>
          <t>2023</t>
        </is>
      </c>
      <c r="G246" s="29" t="inlineStr">
        <is>
          <t>OFS</t>
        </is>
      </c>
      <c r="H246" s="29" t="inlineStr">
        <is>
          <t>CIS</t>
        </is>
      </c>
      <c r="I246" s="29" t="inlineStr">
        <is>
          <t>포괄손익계산서</t>
        </is>
      </c>
      <c r="J246" s="29" t="inlineStr">
        <is>
          <t>ifrs-full_CostOfSales</t>
        </is>
      </c>
      <c r="K246" s="29" t="inlineStr">
        <is>
          <t>Ⅱ. 매출원가</t>
        </is>
      </c>
      <c r="L246" s="29" t="inlineStr">
        <is>
          <t>-</t>
        </is>
      </c>
      <c r="M246" s="29" t="inlineStr">
        <is>
          <t>제 29 기</t>
        </is>
      </c>
      <c r="N246" s="29" t="inlineStr">
        <is>
          <t>134720764588.0</t>
        </is>
      </c>
      <c r="O246" s="29" t="inlineStr">
        <is>
          <t>168677585875.0</t>
        </is>
      </c>
      <c r="P246" s="29" t="inlineStr">
        <is>
          <t>KRW</t>
        </is>
      </c>
      <c r="Q246" s="29" t="inlineStr">
        <is>
          <t>12</t>
        </is>
      </c>
    </row>
    <row r="247" ht="24" customHeight="1">
      <c r="A247" s="24" t="inlineStr">
        <is>
          <t>OpenDART_fnlttSinglAcntAll</t>
        </is>
      </c>
      <c r="B247" s="24" t="inlineStr">
        <is>
          <t>00245472</t>
        </is>
      </c>
      <c r="C247" s="24" t="inlineStr">
        <is>
          <t>티씨케이</t>
        </is>
      </c>
      <c r="D247" s="24" t="inlineStr">
        <is>
          <t>tck</t>
        </is>
      </c>
      <c r="E247" s="24" t="inlineStr">
        <is>
          <t>064760</t>
        </is>
      </c>
      <c r="F247" s="24" t="inlineStr">
        <is>
          <t>2023</t>
        </is>
      </c>
      <c r="G247" s="24" t="inlineStr">
        <is>
          <t>OFS</t>
        </is>
      </c>
      <c r="H247" s="24" t="inlineStr">
        <is>
          <t>CIS</t>
        </is>
      </c>
      <c r="I247" s="24" t="inlineStr">
        <is>
          <t>포괄손익계산서</t>
        </is>
      </c>
      <c r="J247" s="24" t="inlineStr">
        <is>
          <t>ifrs-full_BasicEarningsLossPerShare</t>
        </is>
      </c>
      <c r="K247" s="24" t="inlineStr">
        <is>
          <t>기본주당이익</t>
        </is>
      </c>
      <c r="L247" s="24" t="inlineStr">
        <is>
          <t>-</t>
        </is>
      </c>
      <c r="M247" s="24" t="inlineStr">
        <is>
          <t>제 29 기</t>
        </is>
      </c>
      <c r="N247" s="24" t="inlineStr">
        <is>
          <t>5246.0</t>
        </is>
      </c>
      <c r="O247" s="24" t="inlineStr">
        <is>
          <t>8056.0</t>
        </is>
      </c>
      <c r="P247" s="24" t="inlineStr">
        <is>
          <t>KRW</t>
        </is>
      </c>
      <c r="Q247" s="24" t="inlineStr">
        <is>
          <t>14</t>
        </is>
      </c>
    </row>
    <row r="248" ht="24" customHeight="1">
      <c r="A248" s="29" t="inlineStr">
        <is>
          <t>OpenDART_fnlttSinglAcntAll</t>
        </is>
      </c>
      <c r="B248" s="29" t="inlineStr">
        <is>
          <t>00245472</t>
        </is>
      </c>
      <c r="C248" s="29" t="inlineStr">
        <is>
          <t>티씨케이</t>
        </is>
      </c>
      <c r="D248" s="29" t="inlineStr">
        <is>
          <t>tck</t>
        </is>
      </c>
      <c r="E248" s="29" t="inlineStr">
        <is>
          <t>064760</t>
        </is>
      </c>
      <c r="F248" s="29" t="inlineStr">
        <is>
          <t>2023</t>
        </is>
      </c>
      <c r="G248" s="29" t="inlineStr">
        <is>
          <t>OFS</t>
        </is>
      </c>
      <c r="H248" s="29" t="inlineStr">
        <is>
          <t>CIS</t>
        </is>
      </c>
      <c r="I248" s="29" t="inlineStr">
        <is>
          <t>포괄손익계산서</t>
        </is>
      </c>
      <c r="J248" s="29" t="inlineStr">
        <is>
          <t>ifrs-full_DilutedEarningsLossPerShare</t>
        </is>
      </c>
      <c r="K248" s="29" t="inlineStr">
        <is>
          <t>희석주당이익</t>
        </is>
      </c>
      <c r="L248" s="29" t="inlineStr">
        <is>
          <t>-</t>
        </is>
      </c>
      <c r="M248" s="29" t="inlineStr">
        <is>
          <t>제 29 기</t>
        </is>
      </c>
      <c r="N248" s="29" t="inlineStr">
        <is>
          <t>5246.0</t>
        </is>
      </c>
      <c r="O248" s="29" t="inlineStr">
        <is>
          <t>8056.0</t>
        </is>
      </c>
      <c r="P248" s="29" t="inlineStr">
        <is>
          <t>KRW</t>
        </is>
      </c>
      <c r="Q248" s="29" t="inlineStr">
        <is>
          <t>15</t>
        </is>
      </c>
    </row>
    <row r="249" ht="24" customHeight="1">
      <c r="A249" s="24" t="inlineStr">
        <is>
          <t>OpenDART_fnlttSinglAcntAll</t>
        </is>
      </c>
      <c r="B249" s="24" t="inlineStr">
        <is>
          <t>00245472</t>
        </is>
      </c>
      <c r="C249" s="24" t="inlineStr">
        <is>
          <t>티씨케이</t>
        </is>
      </c>
      <c r="D249" s="24" t="inlineStr">
        <is>
          <t>tck</t>
        </is>
      </c>
      <c r="E249" s="24" t="inlineStr">
        <is>
          <t>064760</t>
        </is>
      </c>
      <c r="F249" s="24" t="inlineStr">
        <is>
          <t>2023</t>
        </is>
      </c>
      <c r="G249" s="24" t="inlineStr">
        <is>
          <t>OFS</t>
        </is>
      </c>
      <c r="H249" s="24" t="inlineStr">
        <is>
          <t>CIS</t>
        </is>
      </c>
      <c r="I249" s="24" t="inlineStr">
        <is>
          <t>포괄손익계산서</t>
        </is>
      </c>
      <c r="J249" s="24" t="inlineStr">
        <is>
          <t>ifrs-full_FinanceCosts</t>
        </is>
      </c>
      <c r="K249" s="24" t="inlineStr">
        <is>
          <t>금융비용</t>
        </is>
      </c>
      <c r="L249" s="24" t="inlineStr">
        <is>
          <t>-</t>
        </is>
      </c>
      <c r="M249" s="24" t="inlineStr">
        <is>
          <t>제 29 기</t>
        </is>
      </c>
      <c r="N249" s="24" t="inlineStr">
        <is>
          <t>27593519.0</t>
        </is>
      </c>
      <c r="O249" s="24" t="inlineStr">
        <is>
          <t>19491840.0</t>
        </is>
      </c>
      <c r="P249" s="24" t="inlineStr">
        <is>
          <t>KRW</t>
        </is>
      </c>
      <c r="Q249" s="24" t="inlineStr">
        <is>
          <t>16</t>
        </is>
      </c>
    </row>
    <row r="250" ht="24" customHeight="1">
      <c r="A250" s="29" t="inlineStr">
        <is>
          <t>OpenDART_fnlttSinglAcntAll</t>
        </is>
      </c>
      <c r="B250" s="29" t="inlineStr">
        <is>
          <t>00245472</t>
        </is>
      </c>
      <c r="C250" s="29" t="inlineStr">
        <is>
          <t>티씨케이</t>
        </is>
      </c>
      <c r="D250" s="29" t="inlineStr">
        <is>
          <t>tck</t>
        </is>
      </c>
      <c r="E250" s="29" t="inlineStr">
        <is>
          <t>064760</t>
        </is>
      </c>
      <c r="F250" s="29" t="inlineStr">
        <is>
          <t>2023</t>
        </is>
      </c>
      <c r="G250" s="29" t="inlineStr">
        <is>
          <t>OFS</t>
        </is>
      </c>
      <c r="H250" s="29" t="inlineStr">
        <is>
          <t>CIS</t>
        </is>
      </c>
      <c r="I250" s="29" t="inlineStr">
        <is>
          <t>포괄손익계산서</t>
        </is>
      </c>
      <c r="J250" s="29" t="inlineStr">
        <is>
          <t>ifrs-full_FinanceIncome</t>
        </is>
      </c>
      <c r="K250" s="29" t="inlineStr">
        <is>
          <t>금융수익</t>
        </is>
      </c>
      <c r="L250" s="29" t="inlineStr">
        <is>
          <t>-</t>
        </is>
      </c>
      <c r="M250" s="29" t="inlineStr">
        <is>
          <t>제 29 기</t>
        </is>
      </c>
      <c r="N250" s="29" t="inlineStr">
        <is>
          <t>8923773088.0</t>
        </is>
      </c>
      <c r="O250" s="29" t="inlineStr">
        <is>
          <t>4654856331.0</t>
        </is>
      </c>
      <c r="P250" s="29" t="inlineStr">
        <is>
          <t>KRW</t>
        </is>
      </c>
      <c r="Q250" s="29" t="inlineStr">
        <is>
          <t>17</t>
        </is>
      </c>
    </row>
    <row r="251" ht="24" customHeight="1">
      <c r="A251" s="24" t="inlineStr">
        <is>
          <t>OpenDART_fnlttSinglAcntAll</t>
        </is>
      </c>
      <c r="B251" s="24" t="inlineStr">
        <is>
          <t>00245472</t>
        </is>
      </c>
      <c r="C251" s="24" t="inlineStr">
        <is>
          <t>티씨케이</t>
        </is>
      </c>
      <c r="D251" s="24" t="inlineStr">
        <is>
          <t>tck</t>
        </is>
      </c>
      <c r="E251" s="24" t="inlineStr">
        <is>
          <t>064760</t>
        </is>
      </c>
      <c r="F251" s="24" t="inlineStr">
        <is>
          <t>2023</t>
        </is>
      </c>
      <c r="G251" s="24" t="inlineStr">
        <is>
          <t>OFS</t>
        </is>
      </c>
      <c r="H251" s="24" t="inlineStr">
        <is>
          <t>CIS</t>
        </is>
      </c>
      <c r="I251" s="24" t="inlineStr">
        <is>
          <t>포괄손익계산서</t>
        </is>
      </c>
      <c r="J251" s="24" t="inlineStr">
        <is>
          <t>ifrs-full_GrossProfit</t>
        </is>
      </c>
      <c r="K251" s="24" t="inlineStr">
        <is>
          <t>Ⅲ. 매출총이익</t>
        </is>
      </c>
      <c r="L251" s="24" t="inlineStr">
        <is>
          <t>-</t>
        </is>
      </c>
      <c r="M251" s="24" t="inlineStr">
        <is>
          <t>제 29 기</t>
        </is>
      </c>
      <c r="N251" s="24" t="inlineStr">
        <is>
          <t>91932116943.0</t>
        </is>
      </c>
      <c r="O251" s="24" t="inlineStr">
        <is>
          <t>150885250321.0</t>
        </is>
      </c>
      <c r="P251" s="24" t="inlineStr">
        <is>
          <t>KRW</t>
        </is>
      </c>
      <c r="Q251" s="24" t="inlineStr">
        <is>
          <t>18</t>
        </is>
      </c>
    </row>
    <row r="252" ht="24" customHeight="1">
      <c r="A252" s="29" t="inlineStr">
        <is>
          <t>OpenDART_fnlttSinglAcntAll</t>
        </is>
      </c>
      <c r="B252" s="29" t="inlineStr">
        <is>
          <t>00245472</t>
        </is>
      </c>
      <c r="C252" s="29" t="inlineStr">
        <is>
          <t>티씨케이</t>
        </is>
      </c>
      <c r="D252" s="29" t="inlineStr">
        <is>
          <t>tck</t>
        </is>
      </c>
      <c r="E252" s="29" t="inlineStr">
        <is>
          <t>064760</t>
        </is>
      </c>
      <c r="F252" s="29" t="inlineStr">
        <is>
          <t>2023</t>
        </is>
      </c>
      <c r="G252" s="29" t="inlineStr">
        <is>
          <t>OFS</t>
        </is>
      </c>
      <c r="H252" s="29" t="inlineStr">
        <is>
          <t>CIS</t>
        </is>
      </c>
      <c r="I252" s="29" t="inlineStr">
        <is>
          <t>포괄손익계산서</t>
        </is>
      </c>
      <c r="J252" s="29" t="inlineStr">
        <is>
          <t>ifrs-full_IncomeTaxExpenseContinuingOperations</t>
        </is>
      </c>
      <c r="K252" s="29" t="inlineStr">
        <is>
          <t>법인세비용</t>
        </is>
      </c>
      <c r="L252" s="29" t="inlineStr">
        <is>
          <t>-</t>
        </is>
      </c>
      <c r="M252" s="29" t="inlineStr">
        <is>
          <t>제 29 기</t>
        </is>
      </c>
      <c r="N252" s="29" t="inlineStr">
        <is>
          <t>14006657517.0</t>
        </is>
      </c>
      <c r="O252" s="29" t="inlineStr">
        <is>
          <t>33865348771.0</t>
        </is>
      </c>
      <c r="P252" s="29" t="inlineStr">
        <is>
          <t>KRW</t>
        </is>
      </c>
      <c r="Q252" s="29" t="inlineStr">
        <is>
          <t>19</t>
        </is>
      </c>
    </row>
    <row r="253" ht="24" customHeight="1">
      <c r="A253" s="24" t="inlineStr">
        <is>
          <t>OpenDART_fnlttSinglAcntAll</t>
        </is>
      </c>
      <c r="B253" s="24" t="inlineStr">
        <is>
          <t>00245472</t>
        </is>
      </c>
      <c r="C253" s="24" t="inlineStr">
        <is>
          <t>티씨케이</t>
        </is>
      </c>
      <c r="D253" s="24" t="inlineStr">
        <is>
          <t>tck</t>
        </is>
      </c>
      <c r="E253" s="24" t="inlineStr">
        <is>
          <t>064760</t>
        </is>
      </c>
      <c r="F253" s="24" t="inlineStr">
        <is>
          <t>2023</t>
        </is>
      </c>
      <c r="G253" s="24" t="inlineStr">
        <is>
          <t>OFS</t>
        </is>
      </c>
      <c r="H253" s="24" t="inlineStr">
        <is>
          <t>CIS</t>
        </is>
      </c>
      <c r="I253" s="24" t="inlineStr">
        <is>
          <t>포괄손익계산서</t>
        </is>
      </c>
      <c r="J253" s="24" t="inlineStr">
        <is>
          <t>ifrs-full_OtherComprehensiveIncome</t>
        </is>
      </c>
      <c r="K253" s="24" t="inlineStr">
        <is>
          <t>Ⅶ. 기타포괄손익</t>
        </is>
      </c>
      <c r="L253" s="24" t="inlineStr">
        <is>
          <t>-</t>
        </is>
      </c>
      <c r="M253" s="24" t="inlineStr">
        <is>
          <t>제 29 기</t>
        </is>
      </c>
      <c r="N253" s="24" t="inlineStr">
        <is>
          <t>0.0</t>
        </is>
      </c>
      <c r="O253" s="24" t="inlineStr">
        <is>
          <t>0.0</t>
        </is>
      </c>
      <c r="P253" s="24" t="inlineStr">
        <is>
          <t>KRW</t>
        </is>
      </c>
      <c r="Q253" s="24" t="inlineStr">
        <is>
          <t>20</t>
        </is>
      </c>
    </row>
    <row r="254" ht="24" customHeight="1">
      <c r="A254" s="29" t="inlineStr">
        <is>
          <t>OpenDART_fnlttSinglAcntAll</t>
        </is>
      </c>
      <c r="B254" s="29" t="inlineStr">
        <is>
          <t>00245472</t>
        </is>
      </c>
      <c r="C254" s="29" t="inlineStr">
        <is>
          <t>티씨케이</t>
        </is>
      </c>
      <c r="D254" s="29" t="inlineStr">
        <is>
          <t>tck</t>
        </is>
      </c>
      <c r="E254" s="29" t="inlineStr">
        <is>
          <t>064760</t>
        </is>
      </c>
      <c r="F254" s="29" t="inlineStr">
        <is>
          <t>2023</t>
        </is>
      </c>
      <c r="G254" s="29" t="inlineStr">
        <is>
          <t>OFS</t>
        </is>
      </c>
      <c r="H254" s="29" t="inlineStr">
        <is>
          <t>CIS</t>
        </is>
      </c>
      <c r="I254" s="29" t="inlineStr">
        <is>
          <t>포괄손익계산서</t>
        </is>
      </c>
      <c r="J254" s="29" t="inlineStr">
        <is>
          <t>ifrs-full_ProfitLoss</t>
        </is>
      </c>
      <c r="K254" s="29" t="inlineStr">
        <is>
          <t>Ⅵ. 당기순이익</t>
        </is>
      </c>
      <c r="L254" s="29" t="inlineStr">
        <is>
          <t>-</t>
        </is>
      </c>
      <c r="M254" s="29" t="inlineStr">
        <is>
          <t>제 29 기</t>
        </is>
      </c>
      <c r="N254" s="29" t="inlineStr">
        <is>
          <t>61244566663.0</t>
        </is>
      </c>
      <c r="O254" s="29" t="inlineStr">
        <is>
          <t>94056447998.0</t>
        </is>
      </c>
      <c r="P254" s="29" t="inlineStr">
        <is>
          <t>KRW</t>
        </is>
      </c>
      <c r="Q254" s="29" t="inlineStr">
        <is>
          <t>21</t>
        </is>
      </c>
    </row>
    <row r="255" ht="24" customHeight="1">
      <c r="A255" s="24" t="inlineStr">
        <is>
          <t>OpenDART_fnlttSinglAcntAll</t>
        </is>
      </c>
      <c r="B255" s="24" t="inlineStr">
        <is>
          <t>00245472</t>
        </is>
      </c>
      <c r="C255" s="24" t="inlineStr">
        <is>
          <t>티씨케이</t>
        </is>
      </c>
      <c r="D255" s="24" t="inlineStr">
        <is>
          <t>tck</t>
        </is>
      </c>
      <c r="E255" s="24" t="inlineStr">
        <is>
          <t>064760</t>
        </is>
      </c>
      <c r="F255" s="24" t="inlineStr">
        <is>
          <t>2023</t>
        </is>
      </c>
      <c r="G255" s="24" t="inlineStr">
        <is>
          <t>OFS</t>
        </is>
      </c>
      <c r="H255" s="24" t="inlineStr">
        <is>
          <t>CIS</t>
        </is>
      </c>
      <c r="I255" s="24" t="inlineStr">
        <is>
          <t>포괄손익계산서</t>
        </is>
      </c>
      <c r="J255" s="24" t="inlineStr">
        <is>
          <t>ifrs-full_ProfitLossBeforeTax</t>
        </is>
      </c>
      <c r="K255" s="24" t="inlineStr">
        <is>
          <t>Ⅴ. 법인세비용차감전순이익</t>
        </is>
      </c>
      <c r="L255" s="24" t="inlineStr">
        <is>
          <t>-</t>
        </is>
      </c>
      <c r="M255" s="24" t="inlineStr">
        <is>
          <t>제 29 기</t>
        </is>
      </c>
      <c r="N255" s="24" t="inlineStr">
        <is>
          <t>75251224180.0</t>
        </is>
      </c>
      <c r="O255" s="24" t="inlineStr">
        <is>
          <t>127921796769.0</t>
        </is>
      </c>
      <c r="P255" s="24" t="inlineStr">
        <is>
          <t>KRW</t>
        </is>
      </c>
      <c r="Q255" s="24" t="inlineStr">
        <is>
          <t>22</t>
        </is>
      </c>
    </row>
    <row r="256" ht="24" customHeight="1">
      <c r="A256" s="29" t="inlineStr">
        <is>
          <t>OpenDART_fnlttSinglAcntAll</t>
        </is>
      </c>
      <c r="B256" s="29" t="inlineStr">
        <is>
          <t>00245472</t>
        </is>
      </c>
      <c r="C256" s="29" t="inlineStr">
        <is>
          <t>티씨케이</t>
        </is>
      </c>
      <c r="D256" s="29" t="inlineStr">
        <is>
          <t>tck</t>
        </is>
      </c>
      <c r="E256" s="29" t="inlineStr">
        <is>
          <t>064760</t>
        </is>
      </c>
      <c r="F256" s="29" t="inlineStr">
        <is>
          <t>2023</t>
        </is>
      </c>
      <c r="G256" s="29" t="inlineStr">
        <is>
          <t>OFS</t>
        </is>
      </c>
      <c r="H256" s="29" t="inlineStr">
        <is>
          <t>CIS</t>
        </is>
      </c>
      <c r="I256" s="29" t="inlineStr">
        <is>
          <t>포괄손익계산서</t>
        </is>
      </c>
      <c r="J256" s="29" t="inlineStr">
        <is>
          <t>ifrs-full_Revenue</t>
        </is>
      </c>
      <c r="K256" s="29" t="inlineStr">
        <is>
          <t>Ⅰ. 매출액</t>
        </is>
      </c>
      <c r="L256" s="29" t="inlineStr">
        <is>
          <t>-</t>
        </is>
      </c>
      <c r="M256" s="29" t="inlineStr">
        <is>
          <t>제 29 기</t>
        </is>
      </c>
      <c r="N256" s="29" t="inlineStr">
        <is>
          <t>226652881531.0</t>
        </is>
      </c>
      <c r="O256" s="29" t="inlineStr">
        <is>
          <t>319562836196.0</t>
        </is>
      </c>
      <c r="P256" s="29" t="inlineStr">
        <is>
          <t>KRW</t>
        </is>
      </c>
      <c r="Q256" s="29" t="inlineStr">
        <is>
          <t>23</t>
        </is>
      </c>
    </row>
    <row r="257" ht="24" customHeight="1">
      <c r="A257" s="24" t="inlineStr">
        <is>
          <t>OpenDART_fnlttSinglAcntAll</t>
        </is>
      </c>
      <c r="B257" s="24" t="inlineStr">
        <is>
          <t>00245472</t>
        </is>
      </c>
      <c r="C257" s="24" t="inlineStr">
        <is>
          <t>티씨케이</t>
        </is>
      </c>
      <c r="D257" s="24" t="inlineStr">
        <is>
          <t>tck</t>
        </is>
      </c>
      <c r="E257" s="24" t="inlineStr">
        <is>
          <t>064760</t>
        </is>
      </c>
      <c r="F257" s="24" t="inlineStr">
        <is>
          <t>2023</t>
        </is>
      </c>
      <c r="G257" s="24" t="inlineStr">
        <is>
          <t>OFS</t>
        </is>
      </c>
      <c r="H257" s="24" t="inlineStr">
        <is>
          <t>CF</t>
        </is>
      </c>
      <c r="I257" s="24" t="inlineStr">
        <is>
          <t>현금흐름표</t>
        </is>
      </c>
      <c r="J257" s="24" t="inlineStr">
        <is>
          <t>dart_CashAndCashEquivalentsAtBeginningOfPeriodCf</t>
        </is>
      </c>
      <c r="K257" s="24" t="inlineStr">
        <is>
          <t>V. 기초의 현금및현금성자산</t>
        </is>
      </c>
      <c r="L257" s="24" t="inlineStr">
        <is>
          <t>-</t>
        </is>
      </c>
      <c r="M257" s="24" t="inlineStr">
        <is>
          <t>제 29 기</t>
        </is>
      </c>
      <c r="N257" s="24" t="inlineStr">
        <is>
          <t>44664321980.0</t>
        </is>
      </c>
      <c r="O257" s="24" t="inlineStr">
        <is>
          <t>53718532398.0</t>
        </is>
      </c>
      <c r="P257" s="24" t="inlineStr">
        <is>
          <t>KRW</t>
        </is>
      </c>
      <c r="Q257" s="24" t="inlineStr">
        <is>
          <t>2</t>
        </is>
      </c>
    </row>
    <row r="258" ht="24" customHeight="1">
      <c r="A258" s="29" t="inlineStr">
        <is>
          <t>OpenDART_fnlttSinglAcntAll</t>
        </is>
      </c>
      <c r="B258" s="29" t="inlineStr">
        <is>
          <t>00245472</t>
        </is>
      </c>
      <c r="C258" s="29" t="inlineStr">
        <is>
          <t>티씨케이</t>
        </is>
      </c>
      <c r="D258" s="29" t="inlineStr">
        <is>
          <t>tck</t>
        </is>
      </c>
      <c r="E258" s="29" t="inlineStr">
        <is>
          <t>064760</t>
        </is>
      </c>
      <c r="F258" s="29" t="inlineStr">
        <is>
          <t>2023</t>
        </is>
      </c>
      <c r="G258" s="29" t="inlineStr">
        <is>
          <t>OFS</t>
        </is>
      </c>
      <c r="H258" s="29" t="inlineStr">
        <is>
          <t>CF</t>
        </is>
      </c>
      <c r="I258" s="29" t="inlineStr">
        <is>
          <t>현금흐름표</t>
        </is>
      </c>
      <c r="J258" s="29" t="inlineStr">
        <is>
          <t>dart_CashAndCashEquivalentsAtEndOfPeriodCf</t>
        </is>
      </c>
      <c r="K258" s="29" t="inlineStr">
        <is>
          <t>Ⅶ. 기말의 현금및현금성자산</t>
        </is>
      </c>
      <c r="L258" s="29" t="inlineStr">
        <is>
          <t>-</t>
        </is>
      </c>
      <c r="M258" s="29" t="inlineStr">
        <is>
          <t>제 29 기</t>
        </is>
      </c>
      <c r="N258" s="29" t="inlineStr">
        <is>
          <t>31762843213.0</t>
        </is>
      </c>
      <c r="O258" s="29" t="inlineStr">
        <is>
          <t>44664321980.0</t>
        </is>
      </c>
      <c r="P258" s="29" t="inlineStr">
        <is>
          <t>KRW</t>
        </is>
      </c>
      <c r="Q258" s="29" t="inlineStr">
        <is>
          <t>3</t>
        </is>
      </c>
    </row>
    <row r="259" ht="24" customHeight="1">
      <c r="A259" s="24" t="inlineStr">
        <is>
          <t>OpenDART_fnlttSinglAcntAll</t>
        </is>
      </c>
      <c r="B259" s="24" t="inlineStr">
        <is>
          <t>00245472</t>
        </is>
      </c>
      <c r="C259" s="24" t="inlineStr">
        <is>
          <t>티씨케이</t>
        </is>
      </c>
      <c r="D259" s="24" t="inlineStr">
        <is>
          <t>tck</t>
        </is>
      </c>
      <c r="E259" s="24" t="inlineStr">
        <is>
          <t>064760</t>
        </is>
      </c>
      <c r="F259" s="24" t="inlineStr">
        <is>
          <t>2023</t>
        </is>
      </c>
      <c r="G259" s="24" t="inlineStr">
        <is>
          <t>OFS</t>
        </is>
      </c>
      <c r="H259" s="24" t="inlineStr">
        <is>
          <t>CF</t>
        </is>
      </c>
      <c r="I259" s="24" t="inlineStr">
        <is>
          <t>현금흐름표</t>
        </is>
      </c>
      <c r="J259" s="24" t="inlineStr">
        <is>
          <t>ifrs-full_CashFlowsFromUsedInFinancingActivities</t>
        </is>
      </c>
      <c r="K259" s="24" t="inlineStr">
        <is>
          <t>III. 재무활동으로 인한 현금흐름</t>
        </is>
      </c>
      <c r="L259" s="24" t="inlineStr">
        <is>
          <t>-</t>
        </is>
      </c>
      <c r="M259" s="24" t="inlineStr">
        <is>
          <t>제 29 기</t>
        </is>
      </c>
      <c r="N259" s="24" t="inlineStr">
        <is>
          <t>-308705985.0</t>
        </is>
      </c>
      <c r="O259" s="24" t="inlineStr">
        <is>
          <t>-316495086.0</t>
        </is>
      </c>
      <c r="P259" s="24" t="inlineStr">
        <is>
          <t>KRW</t>
        </is>
      </c>
      <c r="Q259" s="24" t="inlineStr">
        <is>
          <t>8</t>
        </is>
      </c>
    </row>
    <row r="260" ht="24" customHeight="1">
      <c r="A260" s="29" t="inlineStr">
        <is>
          <t>OpenDART_fnlttSinglAcntAll</t>
        </is>
      </c>
      <c r="B260" s="29" t="inlineStr">
        <is>
          <t>00245472</t>
        </is>
      </c>
      <c r="C260" s="29" t="inlineStr">
        <is>
          <t>티씨케이</t>
        </is>
      </c>
      <c r="D260" s="29" t="inlineStr">
        <is>
          <t>tck</t>
        </is>
      </c>
      <c r="E260" s="29" t="inlineStr">
        <is>
          <t>064760</t>
        </is>
      </c>
      <c r="F260" s="29" t="inlineStr">
        <is>
          <t>2023</t>
        </is>
      </c>
      <c r="G260" s="29" t="inlineStr">
        <is>
          <t>OFS</t>
        </is>
      </c>
      <c r="H260" s="29" t="inlineStr">
        <is>
          <t>CF</t>
        </is>
      </c>
      <c r="I260" s="29" t="inlineStr">
        <is>
          <t>현금흐름표</t>
        </is>
      </c>
      <c r="J260" s="29" t="inlineStr">
        <is>
          <t>-표준계정코드 미사용-</t>
        </is>
      </c>
      <c r="K260" s="29" t="inlineStr">
        <is>
          <t>1. 재무활동으로 인한 현금유입액</t>
        </is>
      </c>
      <c r="L260" s="29" t="inlineStr">
        <is>
          <t>-</t>
        </is>
      </c>
      <c r="M260" s="29" t="inlineStr">
        <is>
          <t>제 29 기</t>
        </is>
      </c>
      <c r="N260" s="29" t="inlineStr">
        <is>
          <t>해당 없음</t>
        </is>
      </c>
      <c r="O260" s="29" t="inlineStr">
        <is>
          <t>0.0</t>
        </is>
      </c>
      <c r="P260" s="29" t="inlineStr">
        <is>
          <t>KRW</t>
        </is>
      </c>
      <c r="Q260" s="29" t="inlineStr">
        <is>
          <t>9</t>
        </is>
      </c>
    </row>
    <row r="261" ht="24" customHeight="1">
      <c r="A261" s="24" t="inlineStr">
        <is>
          <t>OpenDART_fnlttSinglAcntAll</t>
        </is>
      </c>
      <c r="B261" s="24" t="inlineStr">
        <is>
          <t>00245472</t>
        </is>
      </c>
      <c r="C261" s="24" t="inlineStr">
        <is>
          <t>티씨케이</t>
        </is>
      </c>
      <c r="D261" s="24" t="inlineStr">
        <is>
          <t>tck</t>
        </is>
      </c>
      <c r="E261" s="24" t="inlineStr">
        <is>
          <t>064760</t>
        </is>
      </c>
      <c r="F261" s="24" t="inlineStr">
        <is>
          <t>2023</t>
        </is>
      </c>
      <c r="G261" s="24" t="inlineStr">
        <is>
          <t>OFS</t>
        </is>
      </c>
      <c r="H261" s="24" t="inlineStr">
        <is>
          <t>CF</t>
        </is>
      </c>
      <c r="I261" s="24" t="inlineStr">
        <is>
          <t>현금흐름표</t>
        </is>
      </c>
      <c r="J261" s="24" t="inlineStr">
        <is>
          <t>-표준계정코드 미사용-</t>
        </is>
      </c>
      <c r="K261" s="24" t="inlineStr">
        <is>
          <t>2. 재무활동으로 인한 현금유출액</t>
        </is>
      </c>
      <c r="L261" s="24" t="inlineStr">
        <is>
          <t>-</t>
        </is>
      </c>
      <c r="M261" s="24" t="inlineStr">
        <is>
          <t>제 29 기</t>
        </is>
      </c>
      <c r="N261" s="24" t="inlineStr">
        <is>
          <t>-308705985.0</t>
        </is>
      </c>
      <c r="O261" s="24" t="inlineStr">
        <is>
          <t>-316495086.0</t>
        </is>
      </c>
      <c r="P261" s="24" t="inlineStr">
        <is>
          <t>KRW</t>
        </is>
      </c>
      <c r="Q261" s="24" t="inlineStr">
        <is>
          <t>10</t>
        </is>
      </c>
    </row>
    <row r="262" ht="24" customHeight="1">
      <c r="A262" s="29" t="inlineStr">
        <is>
          <t>OpenDART_fnlttSinglAcntAll</t>
        </is>
      </c>
      <c r="B262" s="29" t="inlineStr">
        <is>
          <t>00245472</t>
        </is>
      </c>
      <c r="C262" s="29" t="inlineStr">
        <is>
          <t>티씨케이</t>
        </is>
      </c>
      <c r="D262" s="29" t="inlineStr">
        <is>
          <t>tck</t>
        </is>
      </c>
      <c r="E262" s="29" t="inlineStr">
        <is>
          <t>064760</t>
        </is>
      </c>
      <c r="F262" s="29" t="inlineStr">
        <is>
          <t>2023</t>
        </is>
      </c>
      <c r="G262" s="29" t="inlineStr">
        <is>
          <t>OFS</t>
        </is>
      </c>
      <c r="H262" s="29" t="inlineStr">
        <is>
          <t>CF</t>
        </is>
      </c>
      <c r="I262" s="29" t="inlineStr">
        <is>
          <t>현금흐름표</t>
        </is>
      </c>
      <c r="J262" s="29" t="inlineStr">
        <is>
          <t>ifrs-full_PaymentsOfLeaseLiabilitiesClassifiedAsFinancingActivities</t>
        </is>
      </c>
      <c r="K262" s="29" t="inlineStr">
        <is>
          <t>(1) 리스부채의 상환</t>
        </is>
      </c>
      <c r="L262" s="29" t="inlineStr">
        <is>
          <t>-</t>
        </is>
      </c>
      <c r="M262" s="29" t="inlineStr">
        <is>
          <t>제 29 기</t>
        </is>
      </c>
      <c r="N262" s="29" t="inlineStr">
        <is>
          <t>-308705985.0</t>
        </is>
      </c>
      <c r="O262" s="29" t="inlineStr">
        <is>
          <t>-316495086.0</t>
        </is>
      </c>
      <c r="P262" s="29" t="inlineStr">
        <is>
          <t>KRW</t>
        </is>
      </c>
      <c r="Q262" s="29" t="inlineStr">
        <is>
          <t>11</t>
        </is>
      </c>
    </row>
    <row r="263" ht="24" customHeight="1">
      <c r="A263" s="24" t="inlineStr">
        <is>
          <t>OpenDART_fnlttSinglAcntAll</t>
        </is>
      </c>
      <c r="B263" s="24" t="inlineStr">
        <is>
          <t>00245472</t>
        </is>
      </c>
      <c r="C263" s="24" t="inlineStr">
        <is>
          <t>티씨케이</t>
        </is>
      </c>
      <c r="D263" s="24" t="inlineStr">
        <is>
          <t>tck</t>
        </is>
      </c>
      <c r="E263" s="24" t="inlineStr">
        <is>
          <t>064760</t>
        </is>
      </c>
      <c r="F263" s="24" t="inlineStr">
        <is>
          <t>2023</t>
        </is>
      </c>
      <c r="G263" s="24" t="inlineStr">
        <is>
          <t>OFS</t>
        </is>
      </c>
      <c r="H263" s="24" t="inlineStr">
        <is>
          <t>CF</t>
        </is>
      </c>
      <c r="I263" s="24" t="inlineStr">
        <is>
          <t>현금흐름표</t>
        </is>
      </c>
      <c r="J263" s="24" t="inlineStr">
        <is>
          <t>ifrs-full_CashFlowsFromUsedInInvestingActivities</t>
        </is>
      </c>
      <c r="K263" s="24" t="inlineStr">
        <is>
          <t>II. 투자활동으로 인한 현금흐름</t>
        </is>
      </c>
      <c r="L263" s="24" t="inlineStr">
        <is>
          <t>-</t>
        </is>
      </c>
      <c r="M263" s="24" t="inlineStr">
        <is>
          <t>제 29 기</t>
        </is>
      </c>
      <c r="N263" s="24" t="inlineStr">
        <is>
          <t>-33572720459.0</t>
        </is>
      </c>
      <c r="O263" s="24" t="inlineStr">
        <is>
          <t>-96045963737.0</t>
        </is>
      </c>
      <c r="P263" s="24" t="inlineStr">
        <is>
          <t>KRW</t>
        </is>
      </c>
      <c r="Q263" s="24" t="inlineStr">
        <is>
          <t>12</t>
        </is>
      </c>
    </row>
    <row r="264" ht="24" customHeight="1">
      <c r="A264" s="29" t="inlineStr">
        <is>
          <t>OpenDART_fnlttSinglAcntAll</t>
        </is>
      </c>
      <c r="B264" s="29" t="inlineStr">
        <is>
          <t>00245472</t>
        </is>
      </c>
      <c r="C264" s="29" t="inlineStr">
        <is>
          <t>티씨케이</t>
        </is>
      </c>
      <c r="D264" s="29" t="inlineStr">
        <is>
          <t>tck</t>
        </is>
      </c>
      <c r="E264" s="29" t="inlineStr">
        <is>
          <t>064760</t>
        </is>
      </c>
      <c r="F264" s="29" t="inlineStr">
        <is>
          <t>2023</t>
        </is>
      </c>
      <c r="G264" s="29" t="inlineStr">
        <is>
          <t>OFS</t>
        </is>
      </c>
      <c r="H264" s="29" t="inlineStr">
        <is>
          <t>CF</t>
        </is>
      </c>
      <c r="I264" s="29" t="inlineStr">
        <is>
          <t>현금흐름표</t>
        </is>
      </c>
      <c r="J264" s="29" t="inlineStr">
        <is>
          <t>-표준계정코드 미사용-</t>
        </is>
      </c>
      <c r="K264" s="29" t="inlineStr">
        <is>
          <t>1. 투자활동으로 인한 현금유입액</t>
        </is>
      </c>
      <c r="L264" s="29" t="inlineStr">
        <is>
          <t>-</t>
        </is>
      </c>
      <c r="M264" s="29" t="inlineStr">
        <is>
          <t>제 29 기</t>
        </is>
      </c>
      <c r="N264" s="29" t="inlineStr">
        <is>
          <t>207059802623.0</t>
        </is>
      </c>
      <c r="O264" s="29" t="inlineStr">
        <is>
          <t>150848252661.0</t>
        </is>
      </c>
      <c r="P264" s="29" t="inlineStr">
        <is>
          <t>KRW</t>
        </is>
      </c>
      <c r="Q264" s="29" t="inlineStr">
        <is>
          <t>13</t>
        </is>
      </c>
    </row>
    <row r="265" ht="24" customHeight="1">
      <c r="A265" s="24" t="inlineStr">
        <is>
          <t>OpenDART_fnlttSinglAcntAll</t>
        </is>
      </c>
      <c r="B265" s="24" t="inlineStr">
        <is>
          <t>00245472</t>
        </is>
      </c>
      <c r="C265" s="24" t="inlineStr">
        <is>
          <t>티씨케이</t>
        </is>
      </c>
      <c r="D265" s="24" t="inlineStr">
        <is>
          <t>tck</t>
        </is>
      </c>
      <c r="E265" s="24" t="inlineStr">
        <is>
          <t>064760</t>
        </is>
      </c>
      <c r="F265" s="24" t="inlineStr">
        <is>
          <t>2023</t>
        </is>
      </c>
      <c r="G265" s="24" t="inlineStr">
        <is>
          <t>OFS</t>
        </is>
      </c>
      <c r="H265" s="24" t="inlineStr">
        <is>
          <t>CF</t>
        </is>
      </c>
      <c r="I265" s="24" t="inlineStr">
        <is>
          <t>현금흐름표</t>
        </is>
      </c>
      <c r="J265" s="24" t="inlineStr">
        <is>
          <t>dart_AdjustmentsForDecreaseIncreaseInDerivativeAssets</t>
        </is>
      </c>
      <c r="K265" s="24" t="inlineStr">
        <is>
          <t>(7) 파생상품자산의 감소</t>
        </is>
      </c>
      <c r="L265" s="24" t="inlineStr">
        <is>
          <t>-</t>
        </is>
      </c>
      <c r="M265" s="24" t="inlineStr">
        <is>
          <t>제 29 기</t>
        </is>
      </c>
      <c r="N265" s="24" t="inlineStr">
        <is>
          <t>1807629250.0</t>
        </is>
      </c>
      <c r="O265" s="24" t="inlineStr">
        <is>
          <t>1581898291.0</t>
        </is>
      </c>
      <c r="P265" s="24" t="inlineStr">
        <is>
          <t>KRW</t>
        </is>
      </c>
      <c r="Q265" s="24" t="inlineStr">
        <is>
          <t>14</t>
        </is>
      </c>
    </row>
    <row r="266" ht="24" customHeight="1">
      <c r="A266" s="29" t="inlineStr">
        <is>
          <t>OpenDART_fnlttSinglAcntAll</t>
        </is>
      </c>
      <c r="B266" s="29" t="inlineStr">
        <is>
          <t>00245472</t>
        </is>
      </c>
      <c r="C266" s="29" t="inlineStr">
        <is>
          <t>티씨케이</t>
        </is>
      </c>
      <c r="D266" s="29" t="inlineStr">
        <is>
          <t>tck</t>
        </is>
      </c>
      <c r="E266" s="29" t="inlineStr">
        <is>
          <t>064760</t>
        </is>
      </c>
      <c r="F266" s="29" t="inlineStr">
        <is>
          <t>2023</t>
        </is>
      </c>
      <c r="G266" s="29" t="inlineStr">
        <is>
          <t>OFS</t>
        </is>
      </c>
      <c r="H266" s="29" t="inlineStr">
        <is>
          <t>CF</t>
        </is>
      </c>
      <c r="I266" s="29" t="inlineStr">
        <is>
          <t>현금흐름표</t>
        </is>
      </c>
      <c r="J266" s="29" t="inlineStr">
        <is>
          <t>dart_DecreaseInGuaranteeDeposits</t>
        </is>
      </c>
      <c r="K266" s="29" t="inlineStr">
        <is>
          <t>(4) 임차보증금의 감소</t>
        </is>
      </c>
      <c r="L266" s="29" t="inlineStr">
        <is>
          <t>-</t>
        </is>
      </c>
      <c r="M266" s="29" t="inlineStr">
        <is>
          <t>제 29 기</t>
        </is>
      </c>
      <c r="N266" s="29" t="inlineStr">
        <is>
          <t>885000000.0</t>
        </is>
      </c>
      <c r="O266" s="29" t="inlineStr">
        <is>
          <t>815060000.0</t>
        </is>
      </c>
      <c r="P266" s="29" t="inlineStr">
        <is>
          <t>KRW</t>
        </is>
      </c>
      <c r="Q266" s="29" t="inlineStr">
        <is>
          <t>15</t>
        </is>
      </c>
    </row>
    <row r="267" ht="24" customHeight="1">
      <c r="A267" s="24" t="inlineStr">
        <is>
          <t>OpenDART_fnlttSinglAcntAll</t>
        </is>
      </c>
      <c r="B267" s="24" t="inlineStr">
        <is>
          <t>00245472</t>
        </is>
      </c>
      <c r="C267" s="24" t="inlineStr">
        <is>
          <t>티씨케이</t>
        </is>
      </c>
      <c r="D267" s="24" t="inlineStr">
        <is>
          <t>tck</t>
        </is>
      </c>
      <c r="E267" s="24" t="inlineStr">
        <is>
          <t>064760</t>
        </is>
      </c>
      <c r="F267" s="24" t="inlineStr">
        <is>
          <t>2023</t>
        </is>
      </c>
      <c r="G267" s="24" t="inlineStr">
        <is>
          <t>OFS</t>
        </is>
      </c>
      <c r="H267" s="24" t="inlineStr">
        <is>
          <t>CF</t>
        </is>
      </c>
      <c r="I267" s="24" t="inlineStr">
        <is>
          <t>현금흐름표</t>
        </is>
      </c>
      <c r="J267" s="24" t="inlineStr">
        <is>
          <t>dart_ProceedsFromSalesOfLongTermLoansAndReceivables</t>
        </is>
      </c>
      <c r="K267" s="24" t="inlineStr">
        <is>
          <t>(3) 장기대여금의 감소</t>
        </is>
      </c>
      <c r="L267" s="24" t="inlineStr">
        <is>
          <t>-</t>
        </is>
      </c>
      <c r="M267" s="24" t="inlineStr">
        <is>
          <t>제 29 기</t>
        </is>
      </c>
      <c r="N267" s="24" t="inlineStr">
        <is>
          <t>0.0</t>
        </is>
      </c>
      <c r="O267" s="24" t="inlineStr">
        <is>
          <t>2027720.0</t>
        </is>
      </c>
      <c r="P267" s="24" t="inlineStr">
        <is>
          <t>KRW</t>
        </is>
      </c>
      <c r="Q267" s="24" t="inlineStr">
        <is>
          <t>16</t>
        </is>
      </c>
    </row>
    <row r="268" ht="24" customHeight="1">
      <c r="A268" s="29" t="inlineStr">
        <is>
          <t>OpenDART_fnlttSinglAcntAll</t>
        </is>
      </c>
      <c r="B268" s="29" t="inlineStr">
        <is>
          <t>00245472</t>
        </is>
      </c>
      <c r="C268" s="29" t="inlineStr">
        <is>
          <t>티씨케이</t>
        </is>
      </c>
      <c r="D268" s="29" t="inlineStr">
        <is>
          <t>tck</t>
        </is>
      </c>
      <c r="E268" s="29" t="inlineStr">
        <is>
          <t>064760</t>
        </is>
      </c>
      <c r="F268" s="29" t="inlineStr">
        <is>
          <t>2023</t>
        </is>
      </c>
      <c r="G268" s="29" t="inlineStr">
        <is>
          <t>OFS</t>
        </is>
      </c>
      <c r="H268" s="29" t="inlineStr">
        <is>
          <t>CF</t>
        </is>
      </c>
      <c r="I268" s="29" t="inlineStr">
        <is>
          <t>현금흐름표</t>
        </is>
      </c>
      <c r="J268" s="29" t="inlineStr">
        <is>
          <t>dart_ProceedsFromSalesOfShortTermFinancialInstruments</t>
        </is>
      </c>
      <c r="K268" s="29" t="inlineStr">
        <is>
          <t>(1) 단기금융상품의 처분</t>
        </is>
      </c>
      <c r="L268" s="29" t="inlineStr">
        <is>
          <t>-</t>
        </is>
      </c>
      <c r="M268" s="29" t="inlineStr">
        <is>
          <t>제 29 기</t>
        </is>
      </c>
      <c r="N268" s="29" t="inlineStr">
        <is>
          <t>204000000000.0</t>
        </is>
      </c>
      <c r="O268" s="29" t="inlineStr">
        <is>
          <t>148137000000.0</t>
        </is>
      </c>
      <c r="P268" s="29" t="inlineStr">
        <is>
          <t>KRW</t>
        </is>
      </c>
      <c r="Q268" s="29" t="inlineStr">
        <is>
          <t>17</t>
        </is>
      </c>
    </row>
    <row r="269" ht="24" customHeight="1">
      <c r="A269" s="24" t="inlineStr">
        <is>
          <t>OpenDART_fnlttSinglAcntAll</t>
        </is>
      </c>
      <c r="B269" s="24" t="inlineStr">
        <is>
          <t>00245472</t>
        </is>
      </c>
      <c r="C269" s="24" t="inlineStr">
        <is>
          <t>티씨케이</t>
        </is>
      </c>
      <c r="D269" s="24" t="inlineStr">
        <is>
          <t>tck</t>
        </is>
      </c>
      <c r="E269" s="24" t="inlineStr">
        <is>
          <t>064760</t>
        </is>
      </c>
      <c r="F269" s="24" t="inlineStr">
        <is>
          <t>2023</t>
        </is>
      </c>
      <c r="G269" s="24" t="inlineStr">
        <is>
          <t>OFS</t>
        </is>
      </c>
      <c r="H269" s="24" t="inlineStr">
        <is>
          <t>CF</t>
        </is>
      </c>
      <c r="I269" s="24" t="inlineStr">
        <is>
          <t>현금흐름표</t>
        </is>
      </c>
      <c r="J269" s="24" t="inlineStr">
        <is>
          <t>dart_ProceedsFromSalesOfShortTermLoansAndReceivables</t>
        </is>
      </c>
      <c r="K269" s="24" t="inlineStr">
        <is>
          <t>(2) 단기대여금의 감소</t>
        </is>
      </c>
      <c r="L269" s="24" t="inlineStr">
        <is>
          <t>-</t>
        </is>
      </c>
      <c r="M269" s="24" t="inlineStr">
        <is>
          <t>제 29 기</t>
        </is>
      </c>
      <c r="N269" s="24" t="inlineStr">
        <is>
          <t>360551100.0</t>
        </is>
      </c>
      <c r="O269" s="24" t="inlineStr">
        <is>
          <t>279266650.0</t>
        </is>
      </c>
      <c r="P269" s="24" t="inlineStr">
        <is>
          <t>KRW</t>
        </is>
      </c>
      <c r="Q269" s="24" t="inlineStr">
        <is>
          <t>18</t>
        </is>
      </c>
    </row>
    <row r="270" ht="24" customHeight="1">
      <c r="A270" s="29" t="inlineStr">
        <is>
          <t>OpenDART_fnlttSinglAcntAll</t>
        </is>
      </c>
      <c r="B270" s="29" t="inlineStr">
        <is>
          <t>00245472</t>
        </is>
      </c>
      <c r="C270" s="29" t="inlineStr">
        <is>
          <t>티씨케이</t>
        </is>
      </c>
      <c r="D270" s="29" t="inlineStr">
        <is>
          <t>tck</t>
        </is>
      </c>
      <c r="E270" s="29" t="inlineStr">
        <is>
          <t>064760</t>
        </is>
      </c>
      <c r="F270" s="29" t="inlineStr">
        <is>
          <t>2023</t>
        </is>
      </c>
      <c r="G270" s="29" t="inlineStr">
        <is>
          <t>OFS</t>
        </is>
      </c>
      <c r="H270" s="29" t="inlineStr">
        <is>
          <t>CF</t>
        </is>
      </c>
      <c r="I270" s="29" t="inlineStr">
        <is>
          <t>현금흐름표</t>
        </is>
      </c>
      <c r="J270" s="29" t="inlineStr">
        <is>
          <t>ifrs-full_ProceedsFromSalesOfIntangibleAssetsClassifiedAsInvestingActivities</t>
        </is>
      </c>
      <c r="K270" s="29" t="inlineStr">
        <is>
          <t>(6) 무형자산의 처분</t>
        </is>
      </c>
      <c r="L270" s="29" t="inlineStr">
        <is>
          <t>-</t>
        </is>
      </c>
      <c r="M270" s="29" t="inlineStr">
        <is>
          <t>제 29 기</t>
        </is>
      </c>
      <c r="N270" s="29" t="inlineStr">
        <is>
          <t>0.0</t>
        </is>
      </c>
      <c r="O270" s="29" t="inlineStr">
        <is>
          <t>0.0</t>
        </is>
      </c>
      <c r="P270" s="29" t="inlineStr">
        <is>
          <t>KRW</t>
        </is>
      </c>
      <c r="Q270" s="29" t="inlineStr">
        <is>
          <t>19</t>
        </is>
      </c>
    </row>
    <row r="271" ht="24" customHeight="1">
      <c r="A271" s="24" t="inlineStr">
        <is>
          <t>OpenDART_fnlttSinglAcntAll</t>
        </is>
      </c>
      <c r="B271" s="24" t="inlineStr">
        <is>
          <t>00245472</t>
        </is>
      </c>
      <c r="C271" s="24" t="inlineStr">
        <is>
          <t>티씨케이</t>
        </is>
      </c>
      <c r="D271" s="24" t="inlineStr">
        <is>
          <t>tck</t>
        </is>
      </c>
      <c r="E271" s="24" t="inlineStr">
        <is>
          <t>064760</t>
        </is>
      </c>
      <c r="F271" s="24" t="inlineStr">
        <is>
          <t>2023</t>
        </is>
      </c>
      <c r="G271" s="24" t="inlineStr">
        <is>
          <t>OFS</t>
        </is>
      </c>
      <c r="H271" s="24" t="inlineStr">
        <is>
          <t>CF</t>
        </is>
      </c>
      <c r="I271" s="24" t="inlineStr">
        <is>
          <t>현금흐름표</t>
        </is>
      </c>
      <c r="J271" s="24" t="inlineStr">
        <is>
          <t>ifrs-full_ProceedsFromSalesOfPropertyPlantAndEquipmentClassifiedAsInvestingActivities</t>
        </is>
      </c>
      <c r="K271" s="24" t="inlineStr">
        <is>
          <t>(5) 유형자산의 처분</t>
        </is>
      </c>
      <c r="L271" s="24" t="inlineStr">
        <is>
          <t>-</t>
        </is>
      </c>
      <c r="M271" s="24" t="inlineStr">
        <is>
          <t>제 29 기</t>
        </is>
      </c>
      <c r="N271" s="24" t="inlineStr">
        <is>
          <t>6622273.0</t>
        </is>
      </c>
      <c r="O271" s="24" t="inlineStr">
        <is>
          <t>33000000.0</t>
        </is>
      </c>
      <c r="P271" s="24" t="inlineStr">
        <is>
          <t>KRW</t>
        </is>
      </c>
      <c r="Q271" s="24" t="inlineStr">
        <is>
          <t>20</t>
        </is>
      </c>
    </row>
    <row r="272" ht="24" customHeight="1">
      <c r="A272" s="29" t="inlineStr">
        <is>
          <t>OpenDART_fnlttSinglAcntAll</t>
        </is>
      </c>
      <c r="B272" s="29" t="inlineStr">
        <is>
          <t>00245472</t>
        </is>
      </c>
      <c r="C272" s="29" t="inlineStr">
        <is>
          <t>티씨케이</t>
        </is>
      </c>
      <c r="D272" s="29" t="inlineStr">
        <is>
          <t>tck</t>
        </is>
      </c>
      <c r="E272" s="29" t="inlineStr">
        <is>
          <t>064760</t>
        </is>
      </c>
      <c r="F272" s="29" t="inlineStr">
        <is>
          <t>2023</t>
        </is>
      </c>
      <c r="G272" s="29" t="inlineStr">
        <is>
          <t>OFS</t>
        </is>
      </c>
      <c r="H272" s="29" t="inlineStr">
        <is>
          <t>CF</t>
        </is>
      </c>
      <c r="I272" s="29" t="inlineStr">
        <is>
          <t>현금흐름표</t>
        </is>
      </c>
      <c r="J272" s="29" t="inlineStr">
        <is>
          <t>-표준계정코드 미사용-</t>
        </is>
      </c>
      <c r="K272" s="29" t="inlineStr">
        <is>
          <t>2. 투자활동으로 인한 현금유출액</t>
        </is>
      </c>
      <c r="L272" s="29" t="inlineStr">
        <is>
          <t>-</t>
        </is>
      </c>
      <c r="M272" s="29" t="inlineStr">
        <is>
          <t>제 29 기</t>
        </is>
      </c>
      <c r="N272" s="29" t="inlineStr">
        <is>
          <t>-240632523082.0</t>
        </is>
      </c>
      <c r="O272" s="29" t="inlineStr">
        <is>
          <t>-246894216398.0</t>
        </is>
      </c>
      <c r="P272" s="29" t="inlineStr">
        <is>
          <t>KRW</t>
        </is>
      </c>
      <c r="Q272" s="29" t="inlineStr">
        <is>
          <t>21</t>
        </is>
      </c>
    </row>
    <row r="273" ht="24" customHeight="1">
      <c r="A273" s="24" t="inlineStr">
        <is>
          <t>OpenDART_fnlttSinglAcntAll</t>
        </is>
      </c>
      <c r="B273" s="24" t="inlineStr">
        <is>
          <t>00245472</t>
        </is>
      </c>
      <c r="C273" s="24" t="inlineStr">
        <is>
          <t>티씨케이</t>
        </is>
      </c>
      <c r="D273" s="24" t="inlineStr">
        <is>
          <t>tck</t>
        </is>
      </c>
      <c r="E273" s="24" t="inlineStr">
        <is>
          <t>064760</t>
        </is>
      </c>
      <c r="F273" s="24" t="inlineStr">
        <is>
          <t>2023</t>
        </is>
      </c>
      <c r="G273" s="24" t="inlineStr">
        <is>
          <t>OFS</t>
        </is>
      </c>
      <c r="H273" s="24" t="inlineStr">
        <is>
          <t>CF</t>
        </is>
      </c>
      <c r="I273" s="24" t="inlineStr">
        <is>
          <t>현금흐름표</t>
        </is>
      </c>
      <c r="J273" s="24" t="inlineStr">
        <is>
          <t>dart_AdjustmentsForIncreaseDecreaseInDerivativeLiabilities</t>
        </is>
      </c>
      <c r="K273" s="24" t="inlineStr">
        <is>
          <t>(6) 파생상품부채의 감소</t>
        </is>
      </c>
      <c r="L273" s="24" t="inlineStr">
        <is>
          <t>-</t>
        </is>
      </c>
      <c r="M273" s="24" t="inlineStr">
        <is>
          <t>제 29 기</t>
        </is>
      </c>
      <c r="N273" s="24" t="inlineStr">
        <is>
          <t>-2011919446.0</t>
        </is>
      </c>
      <c r="O273" s="24" t="inlineStr">
        <is>
          <t>-4404227091.0</t>
        </is>
      </c>
      <c r="P273" s="24" t="inlineStr">
        <is>
          <t>KRW</t>
        </is>
      </c>
      <c r="Q273" s="24" t="inlineStr">
        <is>
          <t>22</t>
        </is>
      </c>
    </row>
    <row r="274" ht="24" customHeight="1">
      <c r="A274" s="29" t="inlineStr">
        <is>
          <t>OpenDART_fnlttSinglAcntAll</t>
        </is>
      </c>
      <c r="B274" s="29" t="inlineStr">
        <is>
          <t>00245472</t>
        </is>
      </c>
      <c r="C274" s="29" t="inlineStr">
        <is>
          <t>티씨케이</t>
        </is>
      </c>
      <c r="D274" s="29" t="inlineStr">
        <is>
          <t>tck</t>
        </is>
      </c>
      <c r="E274" s="29" t="inlineStr">
        <is>
          <t>064760</t>
        </is>
      </c>
      <c r="F274" s="29" t="inlineStr">
        <is>
          <t>2023</t>
        </is>
      </c>
      <c r="G274" s="29" t="inlineStr">
        <is>
          <t>OFS</t>
        </is>
      </c>
      <c r="H274" s="29" t="inlineStr">
        <is>
          <t>CF</t>
        </is>
      </c>
      <c r="I274" s="29" t="inlineStr">
        <is>
          <t>현금흐름표</t>
        </is>
      </c>
      <c r="J274" s="29" t="inlineStr">
        <is>
          <t>dart_IncreaseInGuaranteeDeposits</t>
        </is>
      </c>
      <c r="K274" s="29" t="inlineStr">
        <is>
          <t>(3) 임차보증금의 증가</t>
        </is>
      </c>
      <c r="L274" s="29" t="inlineStr">
        <is>
          <t>-</t>
        </is>
      </c>
      <c r="M274" s="29" t="inlineStr">
        <is>
          <t>제 29 기</t>
        </is>
      </c>
      <c r="N274" s="29" t="inlineStr">
        <is>
          <t>-310649900.0</t>
        </is>
      </c>
      <c r="O274" s="29" t="inlineStr">
        <is>
          <t>-2300000000.0</t>
        </is>
      </c>
      <c r="P274" s="29" t="inlineStr">
        <is>
          <t>KRW</t>
        </is>
      </c>
      <c r="Q274" s="29" t="inlineStr">
        <is>
          <t>23</t>
        </is>
      </c>
    </row>
    <row r="275" ht="24" customHeight="1">
      <c r="A275" s="24" t="inlineStr">
        <is>
          <t>OpenDART_fnlttSinglAcntAll</t>
        </is>
      </c>
      <c r="B275" s="24" t="inlineStr">
        <is>
          <t>00245472</t>
        </is>
      </c>
      <c r="C275" s="24" t="inlineStr">
        <is>
          <t>티씨케이</t>
        </is>
      </c>
      <c r="D275" s="24" t="inlineStr">
        <is>
          <t>tck</t>
        </is>
      </c>
      <c r="E275" s="24" t="inlineStr">
        <is>
          <t>064760</t>
        </is>
      </c>
      <c r="F275" s="24" t="inlineStr">
        <is>
          <t>2023</t>
        </is>
      </c>
      <c r="G275" s="24" t="inlineStr">
        <is>
          <t>OFS</t>
        </is>
      </c>
      <c r="H275" s="24" t="inlineStr">
        <is>
          <t>CF</t>
        </is>
      </c>
      <c r="I275" s="24" t="inlineStr">
        <is>
          <t>현금흐름표</t>
        </is>
      </c>
      <c r="J275" s="24" t="inlineStr">
        <is>
          <t>dart_PurchaseOfLongTermLoansAndReceivables</t>
        </is>
      </c>
      <c r="K275" s="24" t="inlineStr">
        <is>
          <t>(2) 장기대여금의 증가</t>
        </is>
      </c>
      <c r="L275" s="24" t="inlineStr">
        <is>
          <t>-</t>
        </is>
      </c>
      <c r="M275" s="24" t="inlineStr">
        <is>
          <t>제 29 기</t>
        </is>
      </c>
      <c r="N275" s="24" t="inlineStr">
        <is>
          <t>-366000000.0</t>
        </is>
      </c>
      <c r="O275" s="24" t="inlineStr">
        <is>
          <t>-441000000.0</t>
        </is>
      </c>
      <c r="P275" s="24" t="inlineStr">
        <is>
          <t>KRW</t>
        </is>
      </c>
      <c r="Q275" s="24" t="inlineStr">
        <is>
          <t>24</t>
        </is>
      </c>
    </row>
    <row r="276" ht="24" customHeight="1">
      <c r="A276" s="29" t="inlineStr">
        <is>
          <t>OpenDART_fnlttSinglAcntAll</t>
        </is>
      </c>
      <c r="B276" s="29" t="inlineStr">
        <is>
          <t>00245472</t>
        </is>
      </c>
      <c r="C276" s="29" t="inlineStr">
        <is>
          <t>티씨케이</t>
        </is>
      </c>
      <c r="D276" s="29" t="inlineStr">
        <is>
          <t>tck</t>
        </is>
      </c>
      <c r="E276" s="29" t="inlineStr">
        <is>
          <t>064760</t>
        </is>
      </c>
      <c r="F276" s="29" t="inlineStr">
        <is>
          <t>2023</t>
        </is>
      </c>
      <c r="G276" s="29" t="inlineStr">
        <is>
          <t>OFS</t>
        </is>
      </c>
      <c r="H276" s="29" t="inlineStr">
        <is>
          <t>CF</t>
        </is>
      </c>
      <c r="I276" s="29" t="inlineStr">
        <is>
          <t>현금흐름표</t>
        </is>
      </c>
      <c r="J276" s="29" t="inlineStr">
        <is>
          <t>dart_PurchaseOfShortTermFinancialInstruments</t>
        </is>
      </c>
      <c r="K276" s="29" t="inlineStr">
        <is>
          <t>(1) 단기금융상품의 취득</t>
        </is>
      </c>
      <c r="L276" s="29" t="inlineStr">
        <is>
          <t>-</t>
        </is>
      </c>
      <c r="M276" s="29" t="inlineStr">
        <is>
          <t>제 29 기</t>
        </is>
      </c>
      <c r="N276" s="29" t="inlineStr">
        <is>
          <t>-190000000000.0</t>
        </is>
      </c>
      <c r="O276" s="29" t="inlineStr">
        <is>
          <t>-204000000000.0</t>
        </is>
      </c>
      <c r="P276" s="29" t="inlineStr">
        <is>
          <t>KRW</t>
        </is>
      </c>
      <c r="Q276" s="29" t="inlineStr">
        <is>
          <t>25</t>
        </is>
      </c>
    </row>
    <row r="277" ht="24" customHeight="1">
      <c r="A277" s="24" t="inlineStr">
        <is>
          <t>OpenDART_fnlttSinglAcntAll</t>
        </is>
      </c>
      <c r="B277" s="24" t="inlineStr">
        <is>
          <t>00245472</t>
        </is>
      </c>
      <c r="C277" s="24" t="inlineStr">
        <is>
          <t>티씨케이</t>
        </is>
      </c>
      <c r="D277" s="24" t="inlineStr">
        <is>
          <t>tck</t>
        </is>
      </c>
      <c r="E277" s="24" t="inlineStr">
        <is>
          <t>064760</t>
        </is>
      </c>
      <c r="F277" s="24" t="inlineStr">
        <is>
          <t>2023</t>
        </is>
      </c>
      <c r="G277" s="24" t="inlineStr">
        <is>
          <t>OFS</t>
        </is>
      </c>
      <c r="H277" s="24" t="inlineStr">
        <is>
          <t>CF</t>
        </is>
      </c>
      <c r="I277" s="24" t="inlineStr">
        <is>
          <t>현금흐름표</t>
        </is>
      </c>
      <c r="J277" s="24" t="inlineStr">
        <is>
          <t>ifrs-full_PurchaseOfIntangibleAssetsClassifiedAsInvestingActivities</t>
        </is>
      </c>
      <c r="K277" s="24" t="inlineStr">
        <is>
          <t>(5) 무형자산의 취득</t>
        </is>
      </c>
      <c r="L277" s="24" t="inlineStr">
        <is>
          <t>-</t>
        </is>
      </c>
      <c r="M277" s="24" t="inlineStr">
        <is>
          <t>제 29 기</t>
        </is>
      </c>
      <c r="N277" s="24" t="inlineStr">
        <is>
          <t>-509749324.0</t>
        </is>
      </c>
      <c r="O277" s="24" t="inlineStr">
        <is>
          <t>-223856281.0</t>
        </is>
      </c>
      <c r="P277" s="24" t="inlineStr">
        <is>
          <t>KRW</t>
        </is>
      </c>
      <c r="Q277" s="24" t="inlineStr">
        <is>
          <t>26</t>
        </is>
      </c>
    </row>
    <row r="278" ht="24" customHeight="1">
      <c r="A278" s="29" t="inlineStr">
        <is>
          <t>OpenDART_fnlttSinglAcntAll</t>
        </is>
      </c>
      <c r="B278" s="29" t="inlineStr">
        <is>
          <t>00245472</t>
        </is>
      </c>
      <c r="C278" s="29" t="inlineStr">
        <is>
          <t>티씨케이</t>
        </is>
      </c>
      <c r="D278" s="29" t="inlineStr">
        <is>
          <t>tck</t>
        </is>
      </c>
      <c r="E278" s="29" t="inlineStr">
        <is>
          <t>064760</t>
        </is>
      </c>
      <c r="F278" s="29" t="inlineStr">
        <is>
          <t>2023</t>
        </is>
      </c>
      <c r="G278" s="29" t="inlineStr">
        <is>
          <t>OFS</t>
        </is>
      </c>
      <c r="H278" s="29" t="inlineStr">
        <is>
          <t>CF</t>
        </is>
      </c>
      <c r="I278" s="29" t="inlineStr">
        <is>
          <t>현금흐름표</t>
        </is>
      </c>
      <c r="J278" s="29" t="inlineStr">
        <is>
          <t>ifrs-full_PurchaseOfPropertyPlantAndEquipmentClassifiedAsInvestingActivities</t>
        </is>
      </c>
      <c r="K278" s="29" t="inlineStr">
        <is>
          <t>(4) 유형자산의 취득</t>
        </is>
      </c>
      <c r="L278" s="29" t="inlineStr">
        <is>
          <t>-</t>
        </is>
      </c>
      <c r="M278" s="29" t="inlineStr">
        <is>
          <t>제 29 기</t>
        </is>
      </c>
      <c r="N278" s="29" t="inlineStr">
        <is>
          <t>-47434204412.0</t>
        </is>
      </c>
      <c r="O278" s="29" t="inlineStr">
        <is>
          <t>-35525133026.0</t>
        </is>
      </c>
      <c r="P278" s="29" t="inlineStr">
        <is>
          <t>KRW</t>
        </is>
      </c>
      <c r="Q278" s="29" t="inlineStr">
        <is>
          <t>27</t>
        </is>
      </c>
    </row>
    <row r="279" ht="24" customHeight="1">
      <c r="A279" s="24" t="inlineStr">
        <is>
          <t>OpenDART_fnlttSinglAcntAll</t>
        </is>
      </c>
      <c r="B279" s="24" t="inlineStr">
        <is>
          <t>00245472</t>
        </is>
      </c>
      <c r="C279" s="24" t="inlineStr">
        <is>
          <t>티씨케이</t>
        </is>
      </c>
      <c r="D279" s="24" t="inlineStr">
        <is>
          <t>tck</t>
        </is>
      </c>
      <c r="E279" s="24" t="inlineStr">
        <is>
          <t>064760</t>
        </is>
      </c>
      <c r="F279" s="24" t="inlineStr">
        <is>
          <t>2023</t>
        </is>
      </c>
      <c r="G279" s="24" t="inlineStr">
        <is>
          <t>OFS</t>
        </is>
      </c>
      <c r="H279" s="24" t="inlineStr">
        <is>
          <t>CF</t>
        </is>
      </c>
      <c r="I279" s="24" t="inlineStr">
        <is>
          <t>현금흐름표</t>
        </is>
      </c>
      <c r="J279" s="24" t="inlineStr">
        <is>
          <t>ifrs-full_CashFlowsFromUsedInOperatingActivities</t>
        </is>
      </c>
      <c r="K279" s="24" t="inlineStr">
        <is>
          <t>I. 영업활동으로 인한 현금흐름</t>
        </is>
      </c>
      <c r="L279" s="24" t="inlineStr">
        <is>
          <t>-</t>
        </is>
      </c>
      <c r="M279" s="24" t="inlineStr">
        <is>
          <t>제 29 기</t>
        </is>
      </c>
      <c r="N279" s="24" t="inlineStr">
        <is>
          <t>20979642673.0</t>
        </is>
      </c>
      <c r="O279" s="24" t="inlineStr">
        <is>
          <t>87311102557.0</t>
        </is>
      </c>
      <c r="P279" s="24" t="inlineStr">
        <is>
          <t>KRW</t>
        </is>
      </c>
      <c r="Q279" s="24" t="inlineStr">
        <is>
          <t>28</t>
        </is>
      </c>
    </row>
    <row r="280" ht="24" customHeight="1">
      <c r="A280" s="29" t="inlineStr">
        <is>
          <t>OpenDART_fnlttSinglAcntAll</t>
        </is>
      </c>
      <c r="B280" s="29" t="inlineStr">
        <is>
          <t>00245472</t>
        </is>
      </c>
      <c r="C280" s="29" t="inlineStr">
        <is>
          <t>티씨케이</t>
        </is>
      </c>
      <c r="D280" s="29" t="inlineStr">
        <is>
          <t>tck</t>
        </is>
      </c>
      <c r="E280" s="29" t="inlineStr">
        <is>
          <t>064760</t>
        </is>
      </c>
      <c r="F280" s="29" t="inlineStr">
        <is>
          <t>2023</t>
        </is>
      </c>
      <c r="G280" s="29" t="inlineStr">
        <is>
          <t>OFS</t>
        </is>
      </c>
      <c r="H280" s="29" t="inlineStr">
        <is>
          <t>CF</t>
        </is>
      </c>
      <c r="I280" s="29" t="inlineStr">
        <is>
          <t>현금흐름표</t>
        </is>
      </c>
      <c r="J280" s="29" t="inlineStr">
        <is>
          <t>-표준계정코드 미사용-</t>
        </is>
      </c>
      <c r="K280" s="29" t="inlineStr">
        <is>
          <t>1. 영업으로부터 창출된 현금</t>
        </is>
      </c>
      <c r="L280" s="29" t="inlineStr">
        <is>
          <t>-</t>
        </is>
      </c>
      <c r="M280" s="29" t="inlineStr">
        <is>
          <t>제 29 기</t>
        </is>
      </c>
      <c r="N280" s="29" t="inlineStr">
        <is>
          <t>51214018044.0</t>
        </is>
      </c>
      <c r="O280" s="29" t="inlineStr">
        <is>
          <t>130331664226.0</t>
        </is>
      </c>
      <c r="P280" s="29" t="inlineStr">
        <is>
          <t>KRW</t>
        </is>
      </c>
      <c r="Q280" s="29" t="inlineStr">
        <is>
          <t>29</t>
        </is>
      </c>
    </row>
    <row r="281" ht="24" customHeight="1">
      <c r="A281" s="24" t="inlineStr">
        <is>
          <t>OpenDART_fnlttSinglAcntAll</t>
        </is>
      </c>
      <c r="B281" s="24" t="inlineStr">
        <is>
          <t>00245472</t>
        </is>
      </c>
      <c r="C281" s="24" t="inlineStr">
        <is>
          <t>티씨케이</t>
        </is>
      </c>
      <c r="D281" s="24" t="inlineStr">
        <is>
          <t>tck</t>
        </is>
      </c>
      <c r="E281" s="24" t="inlineStr">
        <is>
          <t>064760</t>
        </is>
      </c>
      <c r="F281" s="24" t="inlineStr">
        <is>
          <t>2023</t>
        </is>
      </c>
      <c r="G281" s="24" t="inlineStr">
        <is>
          <t>OFS</t>
        </is>
      </c>
      <c r="H281" s="24" t="inlineStr">
        <is>
          <t>CF</t>
        </is>
      </c>
      <c r="I281" s="24" t="inlineStr">
        <is>
          <t>현금흐름표</t>
        </is>
      </c>
      <c r="J281" s="24" t="inlineStr">
        <is>
          <t>dart_AdjustmentsForAssetsLiabilitiesOfOperatingActivities</t>
        </is>
      </c>
      <c r="K281" s="24" t="inlineStr">
        <is>
          <t>(3) 영업활동으로 인한 자산ㆍ부채의 변동</t>
        </is>
      </c>
      <c r="L281" s="24" t="inlineStr">
        <is>
          <t>-</t>
        </is>
      </c>
      <c r="M281" s="24" t="inlineStr">
        <is>
          <t>제 29 기</t>
        </is>
      </c>
      <c r="N281" s="24" t="inlineStr">
        <is>
          <t>-36577030861.0</t>
        </is>
      </c>
      <c r="O281" s="24" t="inlineStr">
        <is>
          <t>-17572668276.0</t>
        </is>
      </c>
      <c r="P281" s="24" t="inlineStr">
        <is>
          <t>KRW</t>
        </is>
      </c>
      <c r="Q281" s="24" t="inlineStr">
        <is>
          <t>30</t>
        </is>
      </c>
    </row>
    <row r="282" ht="24" customHeight="1">
      <c r="A282" s="29" t="inlineStr">
        <is>
          <t>OpenDART_fnlttSinglAcntAll</t>
        </is>
      </c>
      <c r="B282" s="29" t="inlineStr">
        <is>
          <t>00245472</t>
        </is>
      </c>
      <c r="C282" s="29" t="inlineStr">
        <is>
          <t>티씨케이</t>
        </is>
      </c>
      <c r="D282" s="29" t="inlineStr">
        <is>
          <t>tck</t>
        </is>
      </c>
      <c r="E282" s="29" t="inlineStr">
        <is>
          <t>064760</t>
        </is>
      </c>
      <c r="F282" s="29" t="inlineStr">
        <is>
          <t>2023</t>
        </is>
      </c>
      <c r="G282" s="29" t="inlineStr">
        <is>
          <t>OFS</t>
        </is>
      </c>
      <c r="H282" s="29" t="inlineStr">
        <is>
          <t>CF</t>
        </is>
      </c>
      <c r="I282" s="29" t="inlineStr">
        <is>
          <t>현금흐름표</t>
        </is>
      </c>
      <c r="J282" s="29" t="inlineStr">
        <is>
          <t>ifrs-full_AdjustmentsForReconcileProfitLoss</t>
        </is>
      </c>
      <c r="K282" s="29" t="inlineStr">
        <is>
          <t>(2) 조정</t>
        </is>
      </c>
      <c r="L282" s="29" t="inlineStr">
        <is>
          <t>-</t>
        </is>
      </c>
      <c r="M282" s="29" t="inlineStr">
        <is>
          <t>제 29 기</t>
        </is>
      </c>
      <c r="N282" s="29" t="inlineStr">
        <is>
          <t>26546482242.0</t>
        </is>
      </c>
      <c r="O282" s="29" t="inlineStr">
        <is>
          <t>53847884504.0</t>
        </is>
      </c>
      <c r="P282" s="29" t="inlineStr">
        <is>
          <t>KRW</t>
        </is>
      </c>
      <c r="Q282" s="29" t="inlineStr">
        <is>
          <t>31</t>
        </is>
      </c>
    </row>
    <row r="283" ht="24" customHeight="1">
      <c r="A283" s="24" t="inlineStr">
        <is>
          <t>OpenDART_fnlttSinglAcntAll</t>
        </is>
      </c>
      <c r="B283" s="24" t="inlineStr">
        <is>
          <t>00245472</t>
        </is>
      </c>
      <c r="C283" s="24" t="inlineStr">
        <is>
          <t>티씨케이</t>
        </is>
      </c>
      <c r="D283" s="24" t="inlineStr">
        <is>
          <t>tck</t>
        </is>
      </c>
      <c r="E283" s="24" t="inlineStr">
        <is>
          <t>064760</t>
        </is>
      </c>
      <c r="F283" s="24" t="inlineStr">
        <is>
          <t>2023</t>
        </is>
      </c>
      <c r="G283" s="24" t="inlineStr">
        <is>
          <t>OFS</t>
        </is>
      </c>
      <c r="H283" s="24" t="inlineStr">
        <is>
          <t>CF</t>
        </is>
      </c>
      <c r="I283" s="24" t="inlineStr">
        <is>
          <t>현금흐름표</t>
        </is>
      </c>
      <c r="J283" s="24" t="inlineStr">
        <is>
          <t>ifrs-full_ProfitLoss</t>
        </is>
      </c>
      <c r="K283" s="24" t="inlineStr">
        <is>
          <t>Ⅵ. 당기순이익</t>
        </is>
      </c>
      <c r="L283" s="24" t="inlineStr">
        <is>
          <t>-</t>
        </is>
      </c>
      <c r="M283" s="24" t="inlineStr">
        <is>
          <t>제 29 기</t>
        </is>
      </c>
      <c r="N283" s="24" t="inlineStr">
        <is>
          <t>61244566663.0</t>
        </is>
      </c>
      <c r="O283" s="24" t="inlineStr">
        <is>
          <t>94056447998.0</t>
        </is>
      </c>
      <c r="P283" s="24" t="inlineStr">
        <is>
          <t>KRW</t>
        </is>
      </c>
      <c r="Q283" s="24" t="inlineStr">
        <is>
          <t>32</t>
        </is>
      </c>
    </row>
    <row r="284" ht="24" customHeight="1">
      <c r="A284" s="29" t="inlineStr">
        <is>
          <t>OpenDART_fnlttSinglAcntAll</t>
        </is>
      </c>
      <c r="B284" s="29" t="inlineStr">
        <is>
          <t>00245472</t>
        </is>
      </c>
      <c r="C284" s="29" t="inlineStr">
        <is>
          <t>티씨케이</t>
        </is>
      </c>
      <c r="D284" s="29" t="inlineStr">
        <is>
          <t>tck</t>
        </is>
      </c>
      <c r="E284" s="29" t="inlineStr">
        <is>
          <t>064760</t>
        </is>
      </c>
      <c r="F284" s="29" t="inlineStr">
        <is>
          <t>2023</t>
        </is>
      </c>
      <c r="G284" s="29" t="inlineStr">
        <is>
          <t>OFS</t>
        </is>
      </c>
      <c r="H284" s="29" t="inlineStr">
        <is>
          <t>CF</t>
        </is>
      </c>
      <c r="I284" s="29" t="inlineStr">
        <is>
          <t>현금흐름표</t>
        </is>
      </c>
      <c r="J284" s="29" t="inlineStr">
        <is>
          <t>ifrs-full_DividendsPaidClassifiedAsOperatingActivities</t>
        </is>
      </c>
      <c r="K284" s="29" t="inlineStr">
        <is>
          <t>4. 배당금지급</t>
        </is>
      </c>
      <c r="L284" s="29" t="inlineStr">
        <is>
          <t>-</t>
        </is>
      </c>
      <c r="M284" s="29" t="inlineStr">
        <is>
          <t>제 29 기</t>
        </is>
      </c>
      <c r="N284" s="29" t="inlineStr">
        <is>
          <t>19847500000.0</t>
        </is>
      </c>
      <c r="O284" s="29" t="inlineStr">
        <is>
          <t>16695250000.0</t>
        </is>
      </c>
      <c r="P284" s="29" t="inlineStr">
        <is>
          <t>KRW</t>
        </is>
      </c>
      <c r="Q284" s="29" t="inlineStr">
        <is>
          <t>33</t>
        </is>
      </c>
    </row>
    <row r="285" ht="24" customHeight="1">
      <c r="A285" s="24" t="inlineStr">
        <is>
          <t>OpenDART_fnlttSinglAcntAll</t>
        </is>
      </c>
      <c r="B285" s="24" t="inlineStr">
        <is>
          <t>00245472</t>
        </is>
      </c>
      <c r="C285" s="24" t="inlineStr">
        <is>
          <t>티씨케이</t>
        </is>
      </c>
      <c r="D285" s="24" t="inlineStr">
        <is>
          <t>tck</t>
        </is>
      </c>
      <c r="E285" s="24" t="inlineStr">
        <is>
          <t>064760</t>
        </is>
      </c>
      <c r="F285" s="24" t="inlineStr">
        <is>
          <t>2023</t>
        </is>
      </c>
      <c r="G285" s="24" t="inlineStr">
        <is>
          <t>OFS</t>
        </is>
      </c>
      <c r="H285" s="24" t="inlineStr">
        <is>
          <t>CF</t>
        </is>
      </c>
      <c r="I285" s="24" t="inlineStr">
        <is>
          <t>현금흐름표</t>
        </is>
      </c>
      <c r="J285" s="24" t="inlineStr">
        <is>
          <t>ifrs-full_IncomeTaxesPaidRefundClassifiedAsOperatingActivities</t>
        </is>
      </c>
      <c r="K285" s="24" t="inlineStr">
        <is>
          <t>5. 법인세납부</t>
        </is>
      </c>
      <c r="L285" s="24" t="inlineStr">
        <is>
          <t>-</t>
        </is>
      </c>
      <c r="M285" s="24" t="inlineStr">
        <is>
          <t>제 29 기</t>
        </is>
      </c>
      <c r="N285" s="24" t="inlineStr">
        <is>
          <t>19375715624.0</t>
        </is>
      </c>
      <c r="O285" s="24" t="inlineStr">
        <is>
          <t>29334907720.0</t>
        </is>
      </c>
      <c r="P285" s="24" t="inlineStr">
        <is>
          <t>KRW</t>
        </is>
      </c>
      <c r="Q285" s="24" t="inlineStr">
        <is>
          <t>34</t>
        </is>
      </c>
    </row>
    <row r="286" ht="24" customHeight="1">
      <c r="A286" s="29" t="inlineStr">
        <is>
          <t>OpenDART_fnlttSinglAcntAll</t>
        </is>
      </c>
      <c r="B286" s="29" t="inlineStr">
        <is>
          <t>00245472</t>
        </is>
      </c>
      <c r="C286" s="29" t="inlineStr">
        <is>
          <t>티씨케이</t>
        </is>
      </c>
      <c r="D286" s="29" t="inlineStr">
        <is>
          <t>tck</t>
        </is>
      </c>
      <c r="E286" s="29" t="inlineStr">
        <is>
          <t>064760</t>
        </is>
      </c>
      <c r="F286" s="29" t="inlineStr">
        <is>
          <t>2023</t>
        </is>
      </c>
      <c r="G286" s="29" t="inlineStr">
        <is>
          <t>OFS</t>
        </is>
      </c>
      <c r="H286" s="29" t="inlineStr">
        <is>
          <t>CF</t>
        </is>
      </c>
      <c r="I286" s="29" t="inlineStr">
        <is>
          <t>현금흐름표</t>
        </is>
      </c>
      <c r="J286" s="29" t="inlineStr">
        <is>
          <t>ifrs-full_InterestPaidClassifiedAsOperatingActivities</t>
        </is>
      </c>
      <c r="K286" s="29" t="inlineStr">
        <is>
          <t>3. 이자지급</t>
        </is>
      </c>
      <c r="L286" s="29" t="inlineStr">
        <is>
          <t>-</t>
        </is>
      </c>
      <c r="M286" s="29" t="inlineStr">
        <is>
          <t>제 29 기</t>
        </is>
      </c>
      <c r="N286" s="29" t="inlineStr">
        <is>
          <t>27593519.0</t>
        </is>
      </c>
      <c r="O286" s="29" t="inlineStr">
        <is>
          <t>19491840.0</t>
        </is>
      </c>
      <c r="P286" s="29" t="inlineStr">
        <is>
          <t>KRW</t>
        </is>
      </c>
      <c r="Q286" s="29" t="inlineStr">
        <is>
          <t>35</t>
        </is>
      </c>
    </row>
    <row r="287" ht="24" customHeight="1">
      <c r="A287" s="24" t="inlineStr">
        <is>
          <t>OpenDART_fnlttSinglAcntAll</t>
        </is>
      </c>
      <c r="B287" s="24" t="inlineStr">
        <is>
          <t>00245472</t>
        </is>
      </c>
      <c r="C287" s="24" t="inlineStr">
        <is>
          <t>티씨케이</t>
        </is>
      </c>
      <c r="D287" s="24" t="inlineStr">
        <is>
          <t>tck</t>
        </is>
      </c>
      <c r="E287" s="24" t="inlineStr">
        <is>
          <t>064760</t>
        </is>
      </c>
      <c r="F287" s="24" t="inlineStr">
        <is>
          <t>2023</t>
        </is>
      </c>
      <c r="G287" s="24" t="inlineStr">
        <is>
          <t>OFS</t>
        </is>
      </c>
      <c r="H287" s="24" t="inlineStr">
        <is>
          <t>CF</t>
        </is>
      </c>
      <c r="I287" s="24" t="inlineStr">
        <is>
          <t>현금흐름표</t>
        </is>
      </c>
      <c r="J287" s="24" t="inlineStr">
        <is>
          <t>ifrs-full_InterestReceivedClassifiedAsOperatingActivities</t>
        </is>
      </c>
      <c r="K287" s="24" t="inlineStr">
        <is>
          <t>2. 이자수취</t>
        </is>
      </c>
      <c r="L287" s="24" t="inlineStr">
        <is>
          <t>-</t>
        </is>
      </c>
      <c r="M287" s="24" t="inlineStr">
        <is>
          <t>제 29 기</t>
        </is>
      </c>
      <c r="N287" s="24" t="inlineStr">
        <is>
          <t>9016433772.0</t>
        </is>
      </c>
      <c r="O287" s="24" t="inlineStr">
        <is>
          <t>3029087891.0</t>
        </is>
      </c>
      <c r="P287" s="24" t="inlineStr">
        <is>
          <t>KRW</t>
        </is>
      </c>
      <c r="Q287" s="24" t="inlineStr">
        <is>
          <t>36</t>
        </is>
      </c>
    </row>
    <row r="288" ht="24" customHeight="1">
      <c r="A288" s="29" t="inlineStr">
        <is>
          <t>OpenDART_fnlttSinglAcntAll</t>
        </is>
      </c>
      <c r="B288" s="29" t="inlineStr">
        <is>
          <t>00245472</t>
        </is>
      </c>
      <c r="C288" s="29" t="inlineStr">
        <is>
          <t>티씨케이</t>
        </is>
      </c>
      <c r="D288" s="29" t="inlineStr">
        <is>
          <t>tck</t>
        </is>
      </c>
      <c r="E288" s="29" t="inlineStr">
        <is>
          <t>064760</t>
        </is>
      </c>
      <c r="F288" s="29" t="inlineStr">
        <is>
          <t>2023</t>
        </is>
      </c>
      <c r="G288" s="29" t="inlineStr">
        <is>
          <t>OFS</t>
        </is>
      </c>
      <c r="H288" s="29" t="inlineStr">
        <is>
          <t>CF</t>
        </is>
      </c>
      <c r="I288" s="29" t="inlineStr">
        <is>
          <t>현금흐름표</t>
        </is>
      </c>
      <c r="J288" s="29" t="inlineStr">
        <is>
          <t>ifrs-full_EffectOfExchangeRateChangesOnCashAndCashEquivalents</t>
        </is>
      </c>
      <c r="K288" s="29" t="inlineStr">
        <is>
          <t>VI. 현금및현금성자산에 대한 환율변동효과</t>
        </is>
      </c>
      <c r="L288" s="29" t="inlineStr">
        <is>
          <t>-</t>
        </is>
      </c>
      <c r="M288" s="29" t="inlineStr">
        <is>
          <t>제 29 기</t>
        </is>
      </c>
      <c r="N288" s="29" t="inlineStr">
        <is>
          <t>305004.0</t>
        </is>
      </c>
      <c r="O288" s="29" t="inlineStr">
        <is>
          <t>-2854152.0</t>
        </is>
      </c>
      <c r="P288" s="29" t="inlineStr">
        <is>
          <t>KRW</t>
        </is>
      </c>
      <c r="Q288" s="29" t="inlineStr">
        <is>
          <t>37</t>
        </is>
      </c>
    </row>
    <row r="289" ht="24" customHeight="1">
      <c r="A289" s="24" t="inlineStr">
        <is>
          <t>OpenDART_fnlttSinglAcntAll</t>
        </is>
      </c>
      <c r="B289" s="24" t="inlineStr">
        <is>
          <t>00245472</t>
        </is>
      </c>
      <c r="C289" s="24" t="inlineStr">
        <is>
          <t>티씨케이</t>
        </is>
      </c>
      <c r="D289" s="24" t="inlineStr">
        <is>
          <t>tck</t>
        </is>
      </c>
      <c r="E289" s="24" t="inlineStr">
        <is>
          <t>064760</t>
        </is>
      </c>
      <c r="F289" s="24" t="inlineStr">
        <is>
          <t>2023</t>
        </is>
      </c>
      <c r="G289" s="24" t="inlineStr">
        <is>
          <t>OFS</t>
        </is>
      </c>
      <c r="H289" s="24" t="inlineStr">
        <is>
          <t>CF</t>
        </is>
      </c>
      <c r="I289" s="24" t="inlineStr">
        <is>
          <t>현금흐름표</t>
        </is>
      </c>
      <c r="J289" s="24" t="inlineStr">
        <is>
          <t>ifrs-full_IncreaseDecreaseInCashAndCashEquivalentsBeforeEffectOfExchangeRateChanges</t>
        </is>
      </c>
      <c r="K289" s="24" t="inlineStr">
        <is>
          <t>IV. 현금및현금성자산의 증가(감소)</t>
        </is>
      </c>
      <c r="L289" s="24" t="inlineStr">
        <is>
          <t>-</t>
        </is>
      </c>
      <c r="M289" s="24" t="inlineStr">
        <is>
          <t>제 29 기</t>
        </is>
      </c>
      <c r="N289" s="24" t="inlineStr">
        <is>
          <t>-12901783771.0</t>
        </is>
      </c>
      <c r="O289" s="24" t="inlineStr">
        <is>
          <t>-9051356266.0</t>
        </is>
      </c>
      <c r="P289" s="24" t="inlineStr">
        <is>
          <t>KRW</t>
        </is>
      </c>
      <c r="Q289" s="24" t="inlineStr">
        <is>
          <t>38</t>
        </is>
      </c>
    </row>
    <row r="290" ht="24" customHeight="1">
      <c r="A290" s="29" t="inlineStr">
        <is>
          <t>OpenDART_fnlttSinglAcntAll</t>
        </is>
      </c>
      <c r="B290" s="29" t="inlineStr">
        <is>
          <t>00245472</t>
        </is>
      </c>
      <c r="C290" s="29" t="inlineStr">
        <is>
          <t>티씨케이</t>
        </is>
      </c>
      <c r="D290" s="29" t="inlineStr">
        <is>
          <t>tck</t>
        </is>
      </c>
      <c r="E290" s="29" t="inlineStr">
        <is>
          <t>064760</t>
        </is>
      </c>
      <c r="F290" s="29" t="inlineStr">
        <is>
          <t>2023</t>
        </is>
      </c>
      <c r="G290" s="29" t="inlineStr">
        <is>
          <t>OFS</t>
        </is>
      </c>
      <c r="H290" s="29" t="inlineStr">
        <is>
          <t>SCE</t>
        </is>
      </c>
      <c r="I290" s="29" t="inlineStr">
        <is>
          <t>자본변동표</t>
        </is>
      </c>
      <c r="J290" s="29" t="inlineStr">
        <is>
          <t>dart_EquityAtBeginningOfPeriod</t>
        </is>
      </c>
      <c r="K290" s="29" t="inlineStr">
        <is>
          <t>기초자본</t>
        </is>
      </c>
      <c r="L290" s="29" t="inlineStr">
        <is>
          <t>자본 [구성요소]|자본금 [구성요소]</t>
        </is>
      </c>
      <c r="M290" s="29" t="inlineStr">
        <is>
          <t>제 29 기</t>
        </is>
      </c>
      <c r="N290" s="29" t="inlineStr">
        <is>
          <t>5837500000.0</t>
        </is>
      </c>
      <c r="O290" s="29" t="inlineStr">
        <is>
          <t>5837500000.0</t>
        </is>
      </c>
      <c r="P290" s="29" t="inlineStr">
        <is>
          <t>KRW</t>
        </is>
      </c>
      <c r="Q290" s="29" t="inlineStr">
        <is>
          <t>3</t>
        </is>
      </c>
    </row>
    <row r="291" ht="24" customHeight="1">
      <c r="A291" s="24" t="inlineStr">
        <is>
          <t>OpenDART_fnlttSinglAcntAll</t>
        </is>
      </c>
      <c r="B291" s="24" t="inlineStr">
        <is>
          <t>00245472</t>
        </is>
      </c>
      <c r="C291" s="24" t="inlineStr">
        <is>
          <t>티씨케이</t>
        </is>
      </c>
      <c r="D291" s="24" t="inlineStr">
        <is>
          <t>tck</t>
        </is>
      </c>
      <c r="E291" s="24" t="inlineStr">
        <is>
          <t>064760</t>
        </is>
      </c>
      <c r="F291" s="24" t="inlineStr">
        <is>
          <t>2023</t>
        </is>
      </c>
      <c r="G291" s="24" t="inlineStr">
        <is>
          <t>OFS</t>
        </is>
      </c>
      <c r="H291" s="24" t="inlineStr">
        <is>
          <t>SCE</t>
        </is>
      </c>
      <c r="I291" s="24" t="inlineStr">
        <is>
          <t>자본변동표</t>
        </is>
      </c>
      <c r="J291" s="24" t="inlineStr">
        <is>
          <t>dart_EquityAtBeginningOfPeriod</t>
        </is>
      </c>
      <c r="K291" s="24" t="inlineStr">
        <is>
          <t>기초자본</t>
        </is>
      </c>
      <c r="L291" s="24" t="inlineStr">
        <is>
          <t>자본 [구성요소]|이익잉여금 [구성요소]</t>
        </is>
      </c>
      <c r="M291" s="24" t="inlineStr">
        <is>
          <t>제 29 기</t>
        </is>
      </c>
      <c r="N291" s="24" t="inlineStr">
        <is>
          <t>404767974325.0</t>
        </is>
      </c>
      <c r="O291" s="24" t="inlineStr">
        <is>
          <t>327406776327.0</t>
        </is>
      </c>
      <c r="P291" s="24" t="inlineStr">
        <is>
          <t>KRW</t>
        </is>
      </c>
      <c r="Q291" s="24" t="inlineStr">
        <is>
          <t>3</t>
        </is>
      </c>
    </row>
    <row r="292" ht="24" customHeight="1">
      <c r="A292" s="29" t="inlineStr">
        <is>
          <t>OpenDART_fnlttSinglAcntAll</t>
        </is>
      </c>
      <c r="B292" s="29" t="inlineStr">
        <is>
          <t>00245472</t>
        </is>
      </c>
      <c r="C292" s="29" t="inlineStr">
        <is>
          <t>티씨케이</t>
        </is>
      </c>
      <c r="D292" s="29" t="inlineStr">
        <is>
          <t>tck</t>
        </is>
      </c>
      <c r="E292" s="29" t="inlineStr">
        <is>
          <t>064760</t>
        </is>
      </c>
      <c r="F292" s="29" t="inlineStr">
        <is>
          <t>2023</t>
        </is>
      </c>
      <c r="G292" s="29" t="inlineStr">
        <is>
          <t>OFS</t>
        </is>
      </c>
      <c r="H292" s="29" t="inlineStr">
        <is>
          <t>SCE</t>
        </is>
      </c>
      <c r="I292" s="29" t="inlineStr">
        <is>
          <t>자본변동표</t>
        </is>
      </c>
      <c r="J292" s="29" t="inlineStr">
        <is>
          <t>dart_EquityAtBeginningOfPeriod</t>
        </is>
      </c>
      <c r="K292" s="29" t="inlineStr">
        <is>
          <t>기초자본</t>
        </is>
      </c>
      <c r="L292" s="29" t="inlineStr">
        <is>
          <t>자본 [구성요소]|기타자본구성요소 [구성요소]</t>
        </is>
      </c>
      <c r="M292" s="29" t="inlineStr">
        <is>
          <t>제 29 기</t>
        </is>
      </c>
      <c r="N292" s="29" t="inlineStr">
        <is>
          <t>233168836.0</t>
        </is>
      </c>
      <c r="O292" s="29" t="inlineStr">
        <is>
          <t>233168836.0</t>
        </is>
      </c>
      <c r="P292" s="29" t="inlineStr">
        <is>
          <t>KRW</t>
        </is>
      </c>
      <c r="Q292" s="29" t="inlineStr">
        <is>
          <t>3</t>
        </is>
      </c>
    </row>
    <row r="293" ht="24" customHeight="1">
      <c r="A293" s="24" t="inlineStr">
        <is>
          <t>OpenDART_fnlttSinglAcntAll</t>
        </is>
      </c>
      <c r="B293" s="24" t="inlineStr">
        <is>
          <t>00245472</t>
        </is>
      </c>
      <c r="C293" s="24" t="inlineStr">
        <is>
          <t>티씨케이</t>
        </is>
      </c>
      <c r="D293" s="24" t="inlineStr">
        <is>
          <t>tck</t>
        </is>
      </c>
      <c r="E293" s="24" t="inlineStr">
        <is>
          <t>064760</t>
        </is>
      </c>
      <c r="F293" s="24" t="inlineStr">
        <is>
          <t>2023</t>
        </is>
      </c>
      <c r="G293" s="24" t="inlineStr">
        <is>
          <t>OFS</t>
        </is>
      </c>
      <c r="H293" s="24" t="inlineStr">
        <is>
          <t>SCE</t>
        </is>
      </c>
      <c r="I293" s="24" t="inlineStr">
        <is>
          <t>자본변동표</t>
        </is>
      </c>
      <c r="J293" s="24" t="inlineStr">
        <is>
          <t>dart_EquityAtBeginningOfPeriod</t>
        </is>
      </c>
      <c r="K293" s="24" t="inlineStr">
        <is>
          <t>기초자본</t>
        </is>
      </c>
      <c r="L293" s="24" t="inlineStr">
        <is>
          <t>별도재무제표 [member]</t>
        </is>
      </c>
      <c r="M293" s="24" t="inlineStr">
        <is>
          <t>제 29 기</t>
        </is>
      </c>
      <c r="N293" s="24" t="inlineStr">
        <is>
          <t>416873645081.0</t>
        </is>
      </c>
      <c r="O293" s="24" t="inlineStr">
        <is>
          <t>339512447083.0</t>
        </is>
      </c>
      <c r="P293" s="24" t="inlineStr">
        <is>
          <t>KRW</t>
        </is>
      </c>
      <c r="Q293" s="24" t="inlineStr">
        <is>
          <t>3</t>
        </is>
      </c>
    </row>
    <row r="294" ht="24" customHeight="1">
      <c r="A294" s="29" t="inlineStr">
        <is>
          <t>OpenDART_fnlttSinglAcntAll</t>
        </is>
      </c>
      <c r="B294" s="29" t="inlineStr">
        <is>
          <t>00245472</t>
        </is>
      </c>
      <c r="C294" s="29" t="inlineStr">
        <is>
          <t>티씨케이</t>
        </is>
      </c>
      <c r="D294" s="29" t="inlineStr">
        <is>
          <t>tck</t>
        </is>
      </c>
      <c r="E294" s="29" t="inlineStr">
        <is>
          <t>064760</t>
        </is>
      </c>
      <c r="F294" s="29" t="inlineStr">
        <is>
          <t>2023</t>
        </is>
      </c>
      <c r="G294" s="29" t="inlineStr">
        <is>
          <t>OFS</t>
        </is>
      </c>
      <c r="H294" s="29" t="inlineStr">
        <is>
          <t>SCE</t>
        </is>
      </c>
      <c r="I294" s="29" t="inlineStr">
        <is>
          <t>자본변동표</t>
        </is>
      </c>
      <c r="J294" s="29" t="inlineStr">
        <is>
          <t>dart_EquityAtBeginningOfPeriod</t>
        </is>
      </c>
      <c r="K294" s="29" t="inlineStr">
        <is>
          <t>기초자본</t>
        </is>
      </c>
      <c r="L294" s="29" t="inlineStr">
        <is>
          <t>자본 [구성요소]|자본잉여금 [구성요소]</t>
        </is>
      </c>
      <c r="M294" s="29" t="inlineStr">
        <is>
          <t>제 29 기</t>
        </is>
      </c>
      <c r="N294" s="29" t="inlineStr">
        <is>
          <t>6035001920.0</t>
        </is>
      </c>
      <c r="O294" s="29" t="inlineStr">
        <is>
          <t>6035001920.0</t>
        </is>
      </c>
      <c r="P294" s="29" t="inlineStr">
        <is>
          <t>KRW</t>
        </is>
      </c>
      <c r="Q294" s="29" t="inlineStr">
        <is>
          <t>3</t>
        </is>
      </c>
    </row>
    <row r="295" ht="24" customHeight="1">
      <c r="A295" s="24" t="inlineStr">
        <is>
          <t>OpenDART_fnlttSinglAcntAll</t>
        </is>
      </c>
      <c r="B295" s="24" t="inlineStr">
        <is>
          <t>00245472</t>
        </is>
      </c>
      <c r="C295" s="24" t="inlineStr">
        <is>
          <t>티씨케이</t>
        </is>
      </c>
      <c r="D295" s="24" t="inlineStr">
        <is>
          <t>tck</t>
        </is>
      </c>
      <c r="E295" s="24" t="inlineStr">
        <is>
          <t>064760</t>
        </is>
      </c>
      <c r="F295" s="24" t="inlineStr">
        <is>
          <t>2023</t>
        </is>
      </c>
      <c r="G295" s="24" t="inlineStr">
        <is>
          <t>OFS</t>
        </is>
      </c>
      <c r="H295" s="24" t="inlineStr">
        <is>
          <t>SCE</t>
        </is>
      </c>
      <c r="I295" s="24" t="inlineStr">
        <is>
          <t>자본변동표</t>
        </is>
      </c>
      <c r="J295" s="24" t="inlineStr">
        <is>
          <t>ifrs-full_DividendsPaid</t>
        </is>
      </c>
      <c r="K295" s="24" t="inlineStr">
        <is>
          <t>배당금지급</t>
        </is>
      </c>
      <c r="L295" s="24" t="inlineStr">
        <is>
          <t>별도재무제표 [member]</t>
        </is>
      </c>
      <c r="M295" s="24" t="inlineStr">
        <is>
          <t>제 29 기</t>
        </is>
      </c>
      <c r="N295" s="24" t="inlineStr">
        <is>
          <t>19847500000.0</t>
        </is>
      </c>
      <c r="O295" s="24" t="inlineStr">
        <is>
          <t>16695250000.0</t>
        </is>
      </c>
      <c r="P295" s="24" t="inlineStr">
        <is>
          <t>KRW</t>
        </is>
      </c>
      <c r="Q295" s="24" t="inlineStr">
        <is>
          <t>6</t>
        </is>
      </c>
    </row>
    <row r="296" ht="24" customHeight="1">
      <c r="A296" s="29" t="inlineStr">
        <is>
          <t>OpenDART_fnlttSinglAcntAll</t>
        </is>
      </c>
      <c r="B296" s="29" t="inlineStr">
        <is>
          <t>00245472</t>
        </is>
      </c>
      <c r="C296" s="29" t="inlineStr">
        <is>
          <t>티씨케이</t>
        </is>
      </c>
      <c r="D296" s="29" t="inlineStr">
        <is>
          <t>tck</t>
        </is>
      </c>
      <c r="E296" s="29" t="inlineStr">
        <is>
          <t>064760</t>
        </is>
      </c>
      <c r="F296" s="29" t="inlineStr">
        <is>
          <t>2023</t>
        </is>
      </c>
      <c r="G296" s="29" t="inlineStr">
        <is>
          <t>OFS</t>
        </is>
      </c>
      <c r="H296" s="29" t="inlineStr">
        <is>
          <t>SCE</t>
        </is>
      </c>
      <c r="I296" s="29" t="inlineStr">
        <is>
          <t>자본변동표</t>
        </is>
      </c>
      <c r="J296" s="29" t="inlineStr">
        <is>
          <t>ifrs-full_DividendsPaid</t>
        </is>
      </c>
      <c r="K296" s="29" t="inlineStr">
        <is>
          <t>배당금지급</t>
        </is>
      </c>
      <c r="L296" s="29" t="inlineStr">
        <is>
          <t>자본 [구성요소]|이익잉여금 [구성요소]</t>
        </is>
      </c>
      <c r="M296" s="29" t="inlineStr">
        <is>
          <t>제 29 기</t>
        </is>
      </c>
      <c r="N296" s="29" t="inlineStr">
        <is>
          <t>19847500000.0</t>
        </is>
      </c>
      <c r="O296" s="29" t="inlineStr">
        <is>
          <t>16695250000.0</t>
        </is>
      </c>
      <c r="P296" s="29" t="inlineStr">
        <is>
          <t>KRW</t>
        </is>
      </c>
      <c r="Q296" s="29" t="inlineStr">
        <is>
          <t>6</t>
        </is>
      </c>
    </row>
    <row r="297" ht="24" customHeight="1">
      <c r="A297" s="24" t="inlineStr">
        <is>
          <t>OpenDART_fnlttSinglAcntAll</t>
        </is>
      </c>
      <c r="B297" s="24" t="inlineStr">
        <is>
          <t>00245472</t>
        </is>
      </c>
      <c r="C297" s="24" t="inlineStr">
        <is>
          <t>티씨케이</t>
        </is>
      </c>
      <c r="D297" s="24" t="inlineStr">
        <is>
          <t>tck</t>
        </is>
      </c>
      <c r="E297" s="24" t="inlineStr">
        <is>
          <t>064760</t>
        </is>
      </c>
      <c r="F297" s="24" t="inlineStr">
        <is>
          <t>2023</t>
        </is>
      </c>
      <c r="G297" s="24" t="inlineStr">
        <is>
          <t>OFS</t>
        </is>
      </c>
      <c r="H297" s="24" t="inlineStr">
        <is>
          <t>SCE</t>
        </is>
      </c>
      <c r="I297" s="24" t="inlineStr">
        <is>
          <t>자본변동표</t>
        </is>
      </c>
      <c r="J297" s="24" t="inlineStr">
        <is>
          <t>ifrs-full_Equity</t>
        </is>
      </c>
      <c r="K297" s="24" t="inlineStr">
        <is>
          <t>자본총계</t>
        </is>
      </c>
      <c r="L297" s="24" t="inlineStr">
        <is>
          <t>별도재무제표 [member]</t>
        </is>
      </c>
      <c r="M297" s="24" t="inlineStr">
        <is>
          <t>제 29 기</t>
        </is>
      </c>
      <c r="N297" s="24" t="inlineStr">
        <is>
          <t>458270711744.0</t>
        </is>
      </c>
      <c r="O297" s="24" t="inlineStr">
        <is>
          <t>416873645081.0</t>
        </is>
      </c>
      <c r="P297" s="24" t="inlineStr">
        <is>
          <t>KRW</t>
        </is>
      </c>
      <c r="Q297" s="24" t="inlineStr">
        <is>
          <t>7</t>
        </is>
      </c>
    </row>
    <row r="298" ht="24" customHeight="1">
      <c r="A298" s="29" t="inlineStr">
        <is>
          <t>OpenDART_fnlttSinglAcntAll</t>
        </is>
      </c>
      <c r="B298" s="29" t="inlineStr">
        <is>
          <t>00245472</t>
        </is>
      </c>
      <c r="C298" s="29" t="inlineStr">
        <is>
          <t>티씨케이</t>
        </is>
      </c>
      <c r="D298" s="29" t="inlineStr">
        <is>
          <t>tck</t>
        </is>
      </c>
      <c r="E298" s="29" t="inlineStr">
        <is>
          <t>064760</t>
        </is>
      </c>
      <c r="F298" s="29" t="inlineStr">
        <is>
          <t>2023</t>
        </is>
      </c>
      <c r="G298" s="29" t="inlineStr">
        <is>
          <t>OFS</t>
        </is>
      </c>
      <c r="H298" s="29" t="inlineStr">
        <is>
          <t>SCE</t>
        </is>
      </c>
      <c r="I298" s="29" t="inlineStr">
        <is>
          <t>자본변동표</t>
        </is>
      </c>
      <c r="J298" s="29" t="inlineStr">
        <is>
          <t>ifrs-full_Equity</t>
        </is>
      </c>
      <c r="K298" s="29" t="inlineStr">
        <is>
          <t>자본총계</t>
        </is>
      </c>
      <c r="L298" s="29" t="inlineStr">
        <is>
          <t>자본 [구성요소]|기타자본구성요소 [구성요소]</t>
        </is>
      </c>
      <c r="M298" s="29" t="inlineStr">
        <is>
          <t>제 29 기</t>
        </is>
      </c>
      <c r="N298" s="29" t="inlineStr">
        <is>
          <t>233168836.0</t>
        </is>
      </c>
      <c r="O298" s="29" t="inlineStr">
        <is>
          <t>233168836.0</t>
        </is>
      </c>
      <c r="P298" s="29" t="inlineStr">
        <is>
          <t>KRW</t>
        </is>
      </c>
      <c r="Q298" s="29" t="inlineStr">
        <is>
          <t>7</t>
        </is>
      </c>
    </row>
    <row r="299" ht="24" customHeight="1">
      <c r="A299" s="24" t="inlineStr">
        <is>
          <t>OpenDART_fnlttSinglAcntAll</t>
        </is>
      </c>
      <c r="B299" s="24" t="inlineStr">
        <is>
          <t>00245472</t>
        </is>
      </c>
      <c r="C299" s="24" t="inlineStr">
        <is>
          <t>티씨케이</t>
        </is>
      </c>
      <c r="D299" s="24" t="inlineStr">
        <is>
          <t>tck</t>
        </is>
      </c>
      <c r="E299" s="24" t="inlineStr">
        <is>
          <t>064760</t>
        </is>
      </c>
      <c r="F299" s="24" t="inlineStr">
        <is>
          <t>2023</t>
        </is>
      </c>
      <c r="G299" s="24" t="inlineStr">
        <is>
          <t>OFS</t>
        </is>
      </c>
      <c r="H299" s="24" t="inlineStr">
        <is>
          <t>SCE</t>
        </is>
      </c>
      <c r="I299" s="24" t="inlineStr">
        <is>
          <t>자본변동표</t>
        </is>
      </c>
      <c r="J299" s="24" t="inlineStr">
        <is>
          <t>ifrs-full_Equity</t>
        </is>
      </c>
      <c r="K299" s="24" t="inlineStr">
        <is>
          <t>자본총계</t>
        </is>
      </c>
      <c r="L299" s="24" t="inlineStr">
        <is>
          <t>자본 [구성요소]|이익잉여금 [구성요소]</t>
        </is>
      </c>
      <c r="M299" s="24" t="inlineStr">
        <is>
          <t>제 29 기</t>
        </is>
      </c>
      <c r="N299" s="24" t="inlineStr">
        <is>
          <t>446165040988.0</t>
        </is>
      </c>
      <c r="O299" s="24" t="inlineStr">
        <is>
          <t>404767974325.0</t>
        </is>
      </c>
      <c r="P299" s="24" t="inlineStr">
        <is>
          <t>KRW</t>
        </is>
      </c>
      <c r="Q299" s="24" t="inlineStr">
        <is>
          <t>7</t>
        </is>
      </c>
    </row>
    <row r="300" ht="24" customHeight="1">
      <c r="A300" s="29" t="inlineStr">
        <is>
          <t>OpenDART_fnlttSinglAcntAll</t>
        </is>
      </c>
      <c r="B300" s="29" t="inlineStr">
        <is>
          <t>00245472</t>
        </is>
      </c>
      <c r="C300" s="29" t="inlineStr">
        <is>
          <t>티씨케이</t>
        </is>
      </c>
      <c r="D300" s="29" t="inlineStr">
        <is>
          <t>tck</t>
        </is>
      </c>
      <c r="E300" s="29" t="inlineStr">
        <is>
          <t>064760</t>
        </is>
      </c>
      <c r="F300" s="29" t="inlineStr">
        <is>
          <t>2023</t>
        </is>
      </c>
      <c r="G300" s="29" t="inlineStr">
        <is>
          <t>OFS</t>
        </is>
      </c>
      <c r="H300" s="29" t="inlineStr">
        <is>
          <t>SCE</t>
        </is>
      </c>
      <c r="I300" s="29" t="inlineStr">
        <is>
          <t>자본변동표</t>
        </is>
      </c>
      <c r="J300" s="29" t="inlineStr">
        <is>
          <t>ifrs-full_Equity</t>
        </is>
      </c>
      <c r="K300" s="29" t="inlineStr">
        <is>
          <t>자본총계</t>
        </is>
      </c>
      <c r="L300" s="29" t="inlineStr">
        <is>
          <t>자본 [구성요소]|자본금 [구성요소]</t>
        </is>
      </c>
      <c r="M300" s="29" t="inlineStr">
        <is>
          <t>제 29 기</t>
        </is>
      </c>
      <c r="N300" s="29" t="inlineStr">
        <is>
          <t>5837500000.0</t>
        </is>
      </c>
      <c r="O300" s="29" t="inlineStr">
        <is>
          <t>5837500000.0</t>
        </is>
      </c>
      <c r="P300" s="29" t="inlineStr">
        <is>
          <t>KRW</t>
        </is>
      </c>
      <c r="Q300" s="29" t="inlineStr">
        <is>
          <t>7</t>
        </is>
      </c>
    </row>
    <row r="301" ht="24" customHeight="1">
      <c r="A301" s="24" t="inlineStr">
        <is>
          <t>OpenDART_fnlttSinglAcntAll</t>
        </is>
      </c>
      <c r="B301" s="24" t="inlineStr">
        <is>
          <t>00245472</t>
        </is>
      </c>
      <c r="C301" s="24" t="inlineStr">
        <is>
          <t>티씨케이</t>
        </is>
      </c>
      <c r="D301" s="24" t="inlineStr">
        <is>
          <t>tck</t>
        </is>
      </c>
      <c r="E301" s="24" t="inlineStr">
        <is>
          <t>064760</t>
        </is>
      </c>
      <c r="F301" s="24" t="inlineStr">
        <is>
          <t>2023</t>
        </is>
      </c>
      <c r="G301" s="24" t="inlineStr">
        <is>
          <t>OFS</t>
        </is>
      </c>
      <c r="H301" s="24" t="inlineStr">
        <is>
          <t>SCE</t>
        </is>
      </c>
      <c r="I301" s="24" t="inlineStr">
        <is>
          <t>자본변동표</t>
        </is>
      </c>
      <c r="J301" s="24" t="inlineStr">
        <is>
          <t>ifrs-full_Equity</t>
        </is>
      </c>
      <c r="K301" s="24" t="inlineStr">
        <is>
          <t>자본총계</t>
        </is>
      </c>
      <c r="L301" s="24" t="inlineStr">
        <is>
          <t>자본 [구성요소]|자본잉여금 [구성요소]</t>
        </is>
      </c>
      <c r="M301" s="24" t="inlineStr">
        <is>
          <t>제 29 기</t>
        </is>
      </c>
      <c r="N301" s="24" t="inlineStr">
        <is>
          <t>6035001920.0</t>
        </is>
      </c>
      <c r="O301" s="24" t="inlineStr">
        <is>
          <t>6035001920.0</t>
        </is>
      </c>
      <c r="P301" s="24" t="inlineStr">
        <is>
          <t>KRW</t>
        </is>
      </c>
      <c r="Q301" s="24" t="inlineStr">
        <is>
          <t>7</t>
        </is>
      </c>
    </row>
    <row r="302" ht="24" customHeight="1">
      <c r="A302" s="29" t="inlineStr">
        <is>
          <t>OpenDART_fnlttSinglAcntAll</t>
        </is>
      </c>
      <c r="B302" s="29" t="inlineStr">
        <is>
          <t>00245472</t>
        </is>
      </c>
      <c r="C302" s="29" t="inlineStr">
        <is>
          <t>티씨케이</t>
        </is>
      </c>
      <c r="D302" s="29" t="inlineStr">
        <is>
          <t>tck</t>
        </is>
      </c>
      <c r="E302" s="29" t="inlineStr">
        <is>
          <t>064760</t>
        </is>
      </c>
      <c r="F302" s="29" t="inlineStr">
        <is>
          <t>2023</t>
        </is>
      </c>
      <c r="G302" s="29" t="inlineStr">
        <is>
          <t>OFS</t>
        </is>
      </c>
      <c r="H302" s="29" t="inlineStr">
        <is>
          <t>SCE</t>
        </is>
      </c>
      <c r="I302" s="29" t="inlineStr">
        <is>
          <t>자본변동표</t>
        </is>
      </c>
      <c r="J302" s="29" t="inlineStr">
        <is>
          <t>ifrs-full_OtherComprehensiveIncome</t>
        </is>
      </c>
      <c r="K302" s="29" t="inlineStr">
        <is>
          <t>Ⅶ. 기타포괄손익</t>
        </is>
      </c>
      <c r="L302" s="29" t="inlineStr">
        <is>
          <t>별도재무제표 [member]</t>
        </is>
      </c>
      <c r="M302" s="29" t="inlineStr">
        <is>
          <t>제 29 기</t>
        </is>
      </c>
      <c r="N302" s="29" t="inlineStr">
        <is>
          <t>0.0</t>
        </is>
      </c>
      <c r="O302" s="29" t="inlineStr">
        <is>
          <t>0.0</t>
        </is>
      </c>
      <c r="P302" s="29" t="inlineStr">
        <is>
          <t>KRW</t>
        </is>
      </c>
      <c r="Q302" s="29" t="inlineStr">
        <is>
          <t>9</t>
        </is>
      </c>
    </row>
    <row r="303" ht="24" customHeight="1">
      <c r="A303" s="24" t="inlineStr">
        <is>
          <t>OpenDART_fnlttSinglAcntAll</t>
        </is>
      </c>
      <c r="B303" s="24" t="inlineStr">
        <is>
          <t>00245472</t>
        </is>
      </c>
      <c r="C303" s="24" t="inlineStr">
        <is>
          <t>티씨케이</t>
        </is>
      </c>
      <c r="D303" s="24" t="inlineStr">
        <is>
          <t>tck</t>
        </is>
      </c>
      <c r="E303" s="24" t="inlineStr">
        <is>
          <t>064760</t>
        </is>
      </c>
      <c r="F303" s="24" t="inlineStr">
        <is>
          <t>2023</t>
        </is>
      </c>
      <c r="G303" s="24" t="inlineStr">
        <is>
          <t>OFS</t>
        </is>
      </c>
      <c r="H303" s="24" t="inlineStr">
        <is>
          <t>SCE</t>
        </is>
      </c>
      <c r="I303" s="24" t="inlineStr">
        <is>
          <t>자본변동표</t>
        </is>
      </c>
      <c r="J303" s="24" t="inlineStr">
        <is>
          <t>ifrs-full_OtherComprehensiveIncome</t>
        </is>
      </c>
      <c r="K303" s="24" t="inlineStr">
        <is>
          <t>Ⅶ. 기타포괄손익</t>
        </is>
      </c>
      <c r="L303" s="24" t="inlineStr">
        <is>
          <t>자본 [구성요소]|기타자본구성요소 [구성요소]</t>
        </is>
      </c>
      <c r="M303" s="24" t="inlineStr">
        <is>
          <t>제 29 기</t>
        </is>
      </c>
      <c r="N303" s="24" t="inlineStr">
        <is>
          <t>0.0</t>
        </is>
      </c>
      <c r="O303" s="24" t="inlineStr">
        <is>
          <t>0.0</t>
        </is>
      </c>
      <c r="P303" s="24" t="inlineStr">
        <is>
          <t>KRW</t>
        </is>
      </c>
      <c r="Q303" s="24" t="inlineStr">
        <is>
          <t>9</t>
        </is>
      </c>
    </row>
    <row r="304" ht="24" customHeight="1">
      <c r="A304" s="29" t="inlineStr">
        <is>
          <t>OpenDART_fnlttSinglAcntAll</t>
        </is>
      </c>
      <c r="B304" s="29" t="inlineStr">
        <is>
          <t>00245472</t>
        </is>
      </c>
      <c r="C304" s="29" t="inlineStr">
        <is>
          <t>티씨케이</t>
        </is>
      </c>
      <c r="D304" s="29" t="inlineStr">
        <is>
          <t>tck</t>
        </is>
      </c>
      <c r="E304" s="29" t="inlineStr">
        <is>
          <t>064760</t>
        </is>
      </c>
      <c r="F304" s="29" t="inlineStr">
        <is>
          <t>2023</t>
        </is>
      </c>
      <c r="G304" s="29" t="inlineStr">
        <is>
          <t>OFS</t>
        </is>
      </c>
      <c r="H304" s="29" t="inlineStr">
        <is>
          <t>SCE</t>
        </is>
      </c>
      <c r="I304" s="29" t="inlineStr">
        <is>
          <t>자본변동표</t>
        </is>
      </c>
      <c r="J304" s="29" t="inlineStr">
        <is>
          <t>ifrs-full_OtherComprehensiveIncome</t>
        </is>
      </c>
      <c r="K304" s="29" t="inlineStr">
        <is>
          <t>Ⅶ. 기타포괄손익</t>
        </is>
      </c>
      <c r="L304" s="29" t="inlineStr">
        <is>
          <t>자본 [구성요소]|자본잉여금 [구성요소]</t>
        </is>
      </c>
      <c r="M304" s="29" t="inlineStr">
        <is>
          <t>제 29 기</t>
        </is>
      </c>
      <c r="N304" s="29" t="inlineStr">
        <is>
          <t>0.0</t>
        </is>
      </c>
      <c r="O304" s="29" t="inlineStr">
        <is>
          <t>0.0</t>
        </is>
      </c>
      <c r="P304" s="29" t="inlineStr">
        <is>
          <t>KRW</t>
        </is>
      </c>
      <c r="Q304" s="29" t="inlineStr">
        <is>
          <t>9</t>
        </is>
      </c>
    </row>
    <row r="305" ht="24" customHeight="1">
      <c r="A305" s="24" t="inlineStr">
        <is>
          <t>OpenDART_fnlttSinglAcntAll</t>
        </is>
      </c>
      <c r="B305" s="24" t="inlineStr">
        <is>
          <t>00245472</t>
        </is>
      </c>
      <c r="C305" s="24" t="inlineStr">
        <is>
          <t>티씨케이</t>
        </is>
      </c>
      <c r="D305" s="24" t="inlineStr">
        <is>
          <t>tck</t>
        </is>
      </c>
      <c r="E305" s="24" t="inlineStr">
        <is>
          <t>064760</t>
        </is>
      </c>
      <c r="F305" s="24" t="inlineStr">
        <is>
          <t>2023</t>
        </is>
      </c>
      <c r="G305" s="24" t="inlineStr">
        <is>
          <t>OFS</t>
        </is>
      </c>
      <c r="H305" s="24" t="inlineStr">
        <is>
          <t>SCE</t>
        </is>
      </c>
      <c r="I305" s="24" t="inlineStr">
        <is>
          <t>자본변동표</t>
        </is>
      </c>
      <c r="J305" s="24" t="inlineStr">
        <is>
          <t>ifrs-full_OtherComprehensiveIncome</t>
        </is>
      </c>
      <c r="K305" s="24" t="inlineStr">
        <is>
          <t>Ⅶ. 기타포괄손익</t>
        </is>
      </c>
      <c r="L305" s="24" t="inlineStr">
        <is>
          <t>자본 [구성요소]|자본금 [구성요소]</t>
        </is>
      </c>
      <c r="M305" s="24" t="inlineStr">
        <is>
          <t>제 29 기</t>
        </is>
      </c>
      <c r="N305" s="24" t="inlineStr">
        <is>
          <t>0.0</t>
        </is>
      </c>
      <c r="O305" s="24" t="inlineStr">
        <is>
          <t>0.0</t>
        </is>
      </c>
      <c r="P305" s="24" t="inlineStr">
        <is>
          <t>KRW</t>
        </is>
      </c>
      <c r="Q305" s="24" t="inlineStr">
        <is>
          <t>9</t>
        </is>
      </c>
    </row>
    <row r="306" ht="24" customHeight="1">
      <c r="A306" s="29" t="inlineStr">
        <is>
          <t>OpenDART_fnlttSinglAcntAll</t>
        </is>
      </c>
      <c r="B306" s="29" t="inlineStr">
        <is>
          <t>00245472</t>
        </is>
      </c>
      <c r="C306" s="29" t="inlineStr">
        <is>
          <t>티씨케이</t>
        </is>
      </c>
      <c r="D306" s="29" t="inlineStr">
        <is>
          <t>tck</t>
        </is>
      </c>
      <c r="E306" s="29" t="inlineStr">
        <is>
          <t>064760</t>
        </is>
      </c>
      <c r="F306" s="29" t="inlineStr">
        <is>
          <t>2023</t>
        </is>
      </c>
      <c r="G306" s="29" t="inlineStr">
        <is>
          <t>OFS</t>
        </is>
      </c>
      <c r="H306" s="29" t="inlineStr">
        <is>
          <t>SCE</t>
        </is>
      </c>
      <c r="I306" s="29" t="inlineStr">
        <is>
          <t>자본변동표</t>
        </is>
      </c>
      <c r="J306" s="29" t="inlineStr">
        <is>
          <t>ifrs-full_OtherComprehensiveIncome</t>
        </is>
      </c>
      <c r="K306" s="29" t="inlineStr">
        <is>
          <t>Ⅶ. 기타포괄손익</t>
        </is>
      </c>
      <c r="L306" s="29" t="inlineStr">
        <is>
          <t>자본 [구성요소]|이익잉여금 [구성요소]</t>
        </is>
      </c>
      <c r="M306" s="29" t="inlineStr">
        <is>
          <t>제 29 기</t>
        </is>
      </c>
      <c r="N306" s="29" t="inlineStr">
        <is>
          <t>0.0</t>
        </is>
      </c>
      <c r="O306" s="29" t="inlineStr">
        <is>
          <t>0.0</t>
        </is>
      </c>
      <c r="P306" s="29" t="inlineStr">
        <is>
          <t>KRW</t>
        </is>
      </c>
      <c r="Q306" s="29" t="inlineStr">
        <is>
          <t>9</t>
        </is>
      </c>
    </row>
    <row r="307" ht="24" customHeight="1">
      <c r="A307" s="24" t="inlineStr">
        <is>
          <t>OpenDART_fnlttSinglAcntAll</t>
        </is>
      </c>
      <c r="B307" s="24" t="inlineStr">
        <is>
          <t>00245472</t>
        </is>
      </c>
      <c r="C307" s="24" t="inlineStr">
        <is>
          <t>티씨케이</t>
        </is>
      </c>
      <c r="D307" s="24" t="inlineStr">
        <is>
          <t>tck</t>
        </is>
      </c>
      <c r="E307" s="24" t="inlineStr">
        <is>
          <t>064760</t>
        </is>
      </c>
      <c r="F307" s="24" t="inlineStr">
        <is>
          <t>2023</t>
        </is>
      </c>
      <c r="G307" s="24" t="inlineStr">
        <is>
          <t>OFS</t>
        </is>
      </c>
      <c r="H307" s="24" t="inlineStr">
        <is>
          <t>SCE</t>
        </is>
      </c>
      <c r="I307" s="24" t="inlineStr">
        <is>
          <t>자본변동표</t>
        </is>
      </c>
      <c r="J307" s="24" t="inlineStr">
        <is>
          <t>ifrs-full_ProfitLoss</t>
        </is>
      </c>
      <c r="K307" s="24" t="inlineStr">
        <is>
          <t>Ⅵ. 당기순이익</t>
        </is>
      </c>
      <c r="L307" s="24" t="inlineStr">
        <is>
          <t>별도재무제표 [member]</t>
        </is>
      </c>
      <c r="M307" s="24" t="inlineStr">
        <is>
          <t>제 29 기</t>
        </is>
      </c>
      <c r="N307" s="24" t="inlineStr">
        <is>
          <t>61244566663.0</t>
        </is>
      </c>
      <c r="O307" s="24" t="inlineStr">
        <is>
          <t>94056447998.0</t>
        </is>
      </c>
      <c r="P307" s="24" t="inlineStr">
        <is>
          <t>KRW</t>
        </is>
      </c>
      <c r="Q307" s="24" t="inlineStr">
        <is>
          <t>10</t>
        </is>
      </c>
    </row>
    <row r="308" ht="24" customHeight="1">
      <c r="A308" s="29" t="inlineStr">
        <is>
          <t>OpenDART_fnlttSinglAcntAll</t>
        </is>
      </c>
      <c r="B308" s="29" t="inlineStr">
        <is>
          <t>00245472</t>
        </is>
      </c>
      <c r="C308" s="29" t="inlineStr">
        <is>
          <t>티씨케이</t>
        </is>
      </c>
      <c r="D308" s="29" t="inlineStr">
        <is>
          <t>tck</t>
        </is>
      </c>
      <c r="E308" s="29" t="inlineStr">
        <is>
          <t>064760</t>
        </is>
      </c>
      <c r="F308" s="29" t="inlineStr">
        <is>
          <t>2023</t>
        </is>
      </c>
      <c r="G308" s="29" t="inlineStr">
        <is>
          <t>OFS</t>
        </is>
      </c>
      <c r="H308" s="29" t="inlineStr">
        <is>
          <t>SCE</t>
        </is>
      </c>
      <c r="I308" s="29" t="inlineStr">
        <is>
          <t>자본변동표</t>
        </is>
      </c>
      <c r="J308" s="29" t="inlineStr">
        <is>
          <t>ifrs-full_ProfitLoss</t>
        </is>
      </c>
      <c r="K308" s="29" t="inlineStr">
        <is>
          <t>Ⅵ. 당기순이익</t>
        </is>
      </c>
      <c r="L308" s="29" t="inlineStr">
        <is>
          <t>자본 [구성요소]|자본금 [구성요소]</t>
        </is>
      </c>
      <c r="M308" s="29" t="inlineStr">
        <is>
          <t>제 29 기</t>
        </is>
      </c>
      <c r="N308" s="29" t="inlineStr">
        <is>
          <t>0.0</t>
        </is>
      </c>
      <c r="O308" s="29" t="inlineStr">
        <is>
          <t>0.0</t>
        </is>
      </c>
      <c r="P308" s="29" t="inlineStr">
        <is>
          <t>KRW</t>
        </is>
      </c>
      <c r="Q308" s="29" t="inlineStr">
        <is>
          <t>10</t>
        </is>
      </c>
    </row>
    <row r="309" ht="24" customHeight="1">
      <c r="A309" s="24" t="inlineStr">
        <is>
          <t>OpenDART_fnlttSinglAcntAll</t>
        </is>
      </c>
      <c r="B309" s="24" t="inlineStr">
        <is>
          <t>00245472</t>
        </is>
      </c>
      <c r="C309" s="24" t="inlineStr">
        <is>
          <t>티씨케이</t>
        </is>
      </c>
      <c r="D309" s="24" t="inlineStr">
        <is>
          <t>tck</t>
        </is>
      </c>
      <c r="E309" s="24" t="inlineStr">
        <is>
          <t>064760</t>
        </is>
      </c>
      <c r="F309" s="24" t="inlineStr">
        <is>
          <t>2023</t>
        </is>
      </c>
      <c r="G309" s="24" t="inlineStr">
        <is>
          <t>OFS</t>
        </is>
      </c>
      <c r="H309" s="24" t="inlineStr">
        <is>
          <t>SCE</t>
        </is>
      </c>
      <c r="I309" s="24" t="inlineStr">
        <is>
          <t>자본변동표</t>
        </is>
      </c>
      <c r="J309" s="24" t="inlineStr">
        <is>
          <t>ifrs-full_ProfitLoss</t>
        </is>
      </c>
      <c r="K309" s="24" t="inlineStr">
        <is>
          <t>Ⅵ. 당기순이익</t>
        </is>
      </c>
      <c r="L309" s="24" t="inlineStr">
        <is>
          <t>자본 [구성요소]|이익잉여금 [구성요소]</t>
        </is>
      </c>
      <c r="M309" s="24" t="inlineStr">
        <is>
          <t>제 29 기</t>
        </is>
      </c>
      <c r="N309" s="24" t="inlineStr">
        <is>
          <t>61244566663.0</t>
        </is>
      </c>
      <c r="O309" s="24" t="inlineStr">
        <is>
          <t>94056447998.0</t>
        </is>
      </c>
      <c r="P309" s="24" t="inlineStr">
        <is>
          <t>KRW</t>
        </is>
      </c>
      <c r="Q309" s="24" t="inlineStr">
        <is>
          <t>10</t>
        </is>
      </c>
    </row>
    <row r="310" ht="24" customHeight="1">
      <c r="A310" s="29" t="inlineStr">
        <is>
          <t>OpenDART_fnlttSinglAcntAll</t>
        </is>
      </c>
      <c r="B310" s="29" t="inlineStr">
        <is>
          <t>00245472</t>
        </is>
      </c>
      <c r="C310" s="29" t="inlineStr">
        <is>
          <t>티씨케이</t>
        </is>
      </c>
      <c r="D310" s="29" t="inlineStr">
        <is>
          <t>tck</t>
        </is>
      </c>
      <c r="E310" s="29" t="inlineStr">
        <is>
          <t>064760</t>
        </is>
      </c>
      <c r="F310" s="29" t="inlineStr">
        <is>
          <t>2023</t>
        </is>
      </c>
      <c r="G310" s="29" t="inlineStr">
        <is>
          <t>OFS</t>
        </is>
      </c>
      <c r="H310" s="29" t="inlineStr">
        <is>
          <t>SCE</t>
        </is>
      </c>
      <c r="I310" s="29" t="inlineStr">
        <is>
          <t>자본변동표</t>
        </is>
      </c>
      <c r="J310" s="29" t="inlineStr">
        <is>
          <t>ifrs-full_ProfitLoss</t>
        </is>
      </c>
      <c r="K310" s="29" t="inlineStr">
        <is>
          <t>Ⅵ. 당기순이익</t>
        </is>
      </c>
      <c r="L310" s="29" t="inlineStr">
        <is>
          <t>자본 [구성요소]|기타자본구성요소 [구성요소]</t>
        </is>
      </c>
      <c r="M310" s="29" t="inlineStr">
        <is>
          <t>제 29 기</t>
        </is>
      </c>
      <c r="N310" s="29" t="inlineStr">
        <is>
          <t>0.0</t>
        </is>
      </c>
      <c r="O310" s="29" t="inlineStr">
        <is>
          <t>0.0</t>
        </is>
      </c>
      <c r="P310" s="29" t="inlineStr">
        <is>
          <t>KRW</t>
        </is>
      </c>
      <c r="Q310" s="29" t="inlineStr">
        <is>
          <t>10</t>
        </is>
      </c>
    </row>
    <row r="311" ht="24" customHeight="1">
      <c r="A311" s="24" t="inlineStr">
        <is>
          <t>OpenDART_fnlttSinglAcntAll</t>
        </is>
      </c>
      <c r="B311" s="24" t="inlineStr">
        <is>
          <t>00245472</t>
        </is>
      </c>
      <c r="C311" s="24" t="inlineStr">
        <is>
          <t>티씨케이</t>
        </is>
      </c>
      <c r="D311" s="24" t="inlineStr">
        <is>
          <t>tck</t>
        </is>
      </c>
      <c r="E311" s="24" t="inlineStr">
        <is>
          <t>064760</t>
        </is>
      </c>
      <c r="F311" s="24" t="inlineStr">
        <is>
          <t>2023</t>
        </is>
      </c>
      <c r="G311" s="24" t="inlineStr">
        <is>
          <t>OFS</t>
        </is>
      </c>
      <c r="H311" s="24" t="inlineStr">
        <is>
          <t>SCE</t>
        </is>
      </c>
      <c r="I311" s="24" t="inlineStr">
        <is>
          <t>자본변동표</t>
        </is>
      </c>
      <c r="J311" s="24" t="inlineStr">
        <is>
          <t>ifrs-full_ProfitLoss</t>
        </is>
      </c>
      <c r="K311" s="24" t="inlineStr">
        <is>
          <t>Ⅵ. 당기순이익</t>
        </is>
      </c>
      <c r="L311" s="24" t="inlineStr">
        <is>
          <t>자본 [구성요소]|자본잉여금 [구성요소]</t>
        </is>
      </c>
      <c r="M311" s="24" t="inlineStr">
        <is>
          <t>제 29 기</t>
        </is>
      </c>
      <c r="N311" s="24" t="inlineStr">
        <is>
          <t>0.0</t>
        </is>
      </c>
      <c r="O311" s="24" t="inlineStr">
        <is>
          <t>0.0</t>
        </is>
      </c>
      <c r="P311" s="24" t="inlineStr">
        <is>
          <t>KRW</t>
        </is>
      </c>
      <c r="Q311" s="24" t="inlineStr">
        <is>
          <t>10</t>
        </is>
      </c>
    </row>
    <row r="312" ht="24" customHeight="1">
      <c r="A312" s="29" t="inlineStr">
        <is>
          <t>OpenDART_fnlttSinglAcntAll</t>
        </is>
      </c>
      <c r="B312" s="29" t="inlineStr">
        <is>
          <t>00245472</t>
        </is>
      </c>
      <c r="C312" s="29" t="inlineStr">
        <is>
          <t>티씨케이</t>
        </is>
      </c>
      <c r="D312" s="29" t="inlineStr">
        <is>
          <t>tck</t>
        </is>
      </c>
      <c r="E312" s="29" t="inlineStr">
        <is>
          <t>064760</t>
        </is>
      </c>
      <c r="F312" s="29" t="inlineStr">
        <is>
          <t>2024</t>
        </is>
      </c>
      <c r="G312" s="29" t="inlineStr">
        <is>
          <t>OFS</t>
        </is>
      </c>
      <c r="H312" s="29" t="inlineStr">
        <is>
          <t>BS</t>
        </is>
      </c>
      <c r="I312" s="29" t="inlineStr">
        <is>
          <t>재무상태표</t>
        </is>
      </c>
      <c r="J312" s="29" t="inlineStr">
        <is>
          <t>ifrs-full_Assets</t>
        </is>
      </c>
      <c r="K312" s="29" t="inlineStr">
        <is>
          <t>자산총계</t>
        </is>
      </c>
      <c r="L312" s="29" t="inlineStr">
        <is>
          <t>-</t>
        </is>
      </c>
      <c r="M312" s="29" t="inlineStr">
        <is>
          <t>제 30 기</t>
        </is>
      </c>
      <c r="N312" s="29" t="inlineStr">
        <is>
          <t>563519610069.0</t>
        </is>
      </c>
      <c r="O312" s="29" t="inlineStr">
        <is>
          <t>495503750976.0</t>
        </is>
      </c>
      <c r="P312" s="29" t="inlineStr">
        <is>
          <t>KRW</t>
        </is>
      </c>
      <c r="Q312" s="29" t="inlineStr">
        <is>
          <t>7</t>
        </is>
      </c>
    </row>
    <row r="313" ht="24" customHeight="1">
      <c r="A313" s="24" t="inlineStr">
        <is>
          <t>OpenDART_fnlttSinglAcntAll</t>
        </is>
      </c>
      <c r="B313" s="24" t="inlineStr">
        <is>
          <t>00245472</t>
        </is>
      </c>
      <c r="C313" s="24" t="inlineStr">
        <is>
          <t>티씨케이</t>
        </is>
      </c>
      <c r="D313" s="24" t="inlineStr">
        <is>
          <t>tck</t>
        </is>
      </c>
      <c r="E313" s="24" t="inlineStr">
        <is>
          <t>064760</t>
        </is>
      </c>
      <c r="F313" s="24" t="inlineStr">
        <is>
          <t>2024</t>
        </is>
      </c>
      <c r="G313" s="24" t="inlineStr">
        <is>
          <t>OFS</t>
        </is>
      </c>
      <c r="H313" s="24" t="inlineStr">
        <is>
          <t>BS</t>
        </is>
      </c>
      <c r="I313" s="24" t="inlineStr">
        <is>
          <t>재무상태표</t>
        </is>
      </c>
      <c r="J313" s="24" t="inlineStr">
        <is>
          <t>ifrs-full_CurrentAssets</t>
        </is>
      </c>
      <c r="K313" s="24" t="inlineStr">
        <is>
          <t>Ⅰ. 유동자산</t>
        </is>
      </c>
      <c r="L313" s="24" t="inlineStr">
        <is>
          <t>-</t>
        </is>
      </c>
      <c r="M313" s="24" t="inlineStr">
        <is>
          <t>제 30 기</t>
        </is>
      </c>
      <c r="N313" s="24" t="inlineStr">
        <is>
          <t>405757965821.0</t>
        </is>
      </c>
      <c r="O313" s="24" t="inlineStr">
        <is>
          <t>334493109270.0</t>
        </is>
      </c>
      <c r="P313" s="24" t="inlineStr">
        <is>
          <t>KRW</t>
        </is>
      </c>
      <c r="Q313" s="24" t="inlineStr">
        <is>
          <t>8</t>
        </is>
      </c>
    </row>
    <row r="314" ht="24" customHeight="1">
      <c r="A314" s="29" t="inlineStr">
        <is>
          <t>OpenDART_fnlttSinglAcntAll</t>
        </is>
      </c>
      <c r="B314" s="29" t="inlineStr">
        <is>
          <t>00245472</t>
        </is>
      </c>
      <c r="C314" s="29" t="inlineStr">
        <is>
          <t>티씨케이</t>
        </is>
      </c>
      <c r="D314" s="29" t="inlineStr">
        <is>
          <t>tck</t>
        </is>
      </c>
      <c r="E314" s="29" t="inlineStr">
        <is>
          <t>064760</t>
        </is>
      </c>
      <c r="F314" s="29" t="inlineStr">
        <is>
          <t>2024</t>
        </is>
      </c>
      <c r="G314" s="29" t="inlineStr">
        <is>
          <t>OFS</t>
        </is>
      </c>
      <c r="H314" s="29" t="inlineStr">
        <is>
          <t>BS</t>
        </is>
      </c>
      <c r="I314" s="29" t="inlineStr">
        <is>
          <t>재무상태표</t>
        </is>
      </c>
      <c r="J314" s="29" t="inlineStr">
        <is>
          <t>dart_CurrentDerivativeAsset</t>
        </is>
      </c>
      <c r="K314" s="29" t="inlineStr">
        <is>
          <t>2. 파생금융자산</t>
        </is>
      </c>
      <c r="L314" s="29" t="inlineStr">
        <is>
          <t>-</t>
        </is>
      </c>
      <c r="M314" s="29" t="inlineStr">
        <is>
          <t>제 30 기</t>
        </is>
      </c>
      <c r="N314" s="29" t="inlineStr">
        <is>
          <t>58653544.0</t>
        </is>
      </c>
      <c r="O314" s="29" t="inlineStr">
        <is>
          <t>313010735.0</t>
        </is>
      </c>
      <c r="P314" s="29" t="inlineStr">
        <is>
          <t>KRW</t>
        </is>
      </c>
      <c r="Q314" s="29" t="inlineStr">
        <is>
          <t>9</t>
        </is>
      </c>
    </row>
    <row r="315" ht="24" customHeight="1">
      <c r="A315" s="24" t="inlineStr">
        <is>
          <t>OpenDART_fnlttSinglAcntAll</t>
        </is>
      </c>
      <c r="B315" s="24" t="inlineStr">
        <is>
          <t>00245472</t>
        </is>
      </c>
      <c r="C315" s="24" t="inlineStr">
        <is>
          <t>티씨케이</t>
        </is>
      </c>
      <c r="D315" s="24" t="inlineStr">
        <is>
          <t>tck</t>
        </is>
      </c>
      <c r="E315" s="24" t="inlineStr">
        <is>
          <t>064760</t>
        </is>
      </c>
      <c r="F315" s="24" t="inlineStr">
        <is>
          <t>2024</t>
        </is>
      </c>
      <c r="G315" s="24" t="inlineStr">
        <is>
          <t>OFS</t>
        </is>
      </c>
      <c r="H315" s="24" t="inlineStr">
        <is>
          <t>BS</t>
        </is>
      </c>
      <c r="I315" s="24" t="inlineStr">
        <is>
          <t>재무상태표</t>
        </is>
      </c>
      <c r="J315" s="24" t="inlineStr">
        <is>
          <t>dart_ShortTermTradeReceivable</t>
        </is>
      </c>
      <c r="K315" s="24" t="inlineStr">
        <is>
          <t>3. 매출채권</t>
        </is>
      </c>
      <c r="L315" s="24" t="inlineStr">
        <is>
          <t>-</t>
        </is>
      </c>
      <c r="M315" s="24" t="inlineStr">
        <is>
          <t>제 30 기</t>
        </is>
      </c>
      <c r="N315" s="24" t="inlineStr">
        <is>
          <t>47615537055.0</t>
        </is>
      </c>
      <c r="O315" s="24" t="inlineStr">
        <is>
          <t>40603999385.0</t>
        </is>
      </c>
      <c r="P315" s="24" t="inlineStr">
        <is>
          <t>KRW</t>
        </is>
      </c>
      <c r="Q315" s="24" t="inlineStr">
        <is>
          <t>10</t>
        </is>
      </c>
    </row>
    <row r="316" ht="24" customHeight="1">
      <c r="A316" s="29" t="inlineStr">
        <is>
          <t>OpenDART_fnlttSinglAcntAll</t>
        </is>
      </c>
      <c r="B316" s="29" t="inlineStr">
        <is>
          <t>00245472</t>
        </is>
      </c>
      <c r="C316" s="29" t="inlineStr">
        <is>
          <t>티씨케이</t>
        </is>
      </c>
      <c r="D316" s="29" t="inlineStr">
        <is>
          <t>tck</t>
        </is>
      </c>
      <c r="E316" s="29" t="inlineStr">
        <is>
          <t>064760</t>
        </is>
      </c>
      <c r="F316" s="29" t="inlineStr">
        <is>
          <t>2024</t>
        </is>
      </c>
      <c r="G316" s="29" t="inlineStr">
        <is>
          <t>OFS</t>
        </is>
      </c>
      <c r="H316" s="29" t="inlineStr">
        <is>
          <t>BS</t>
        </is>
      </c>
      <c r="I316" s="29" t="inlineStr">
        <is>
          <t>재무상태표</t>
        </is>
      </c>
      <c r="J316" s="29" t="inlineStr">
        <is>
          <t>ifrs-full_CashAndCashEquivalents</t>
        </is>
      </c>
      <c r="K316" s="29" t="inlineStr">
        <is>
          <t>1. 현금및현금성자산</t>
        </is>
      </c>
      <c r="L316" s="29" t="inlineStr">
        <is>
          <t>-</t>
        </is>
      </c>
      <c r="M316" s="29" t="inlineStr">
        <is>
          <t>제 30 기</t>
        </is>
      </c>
      <c r="N316" s="29" t="inlineStr">
        <is>
          <t>33858787333.0</t>
        </is>
      </c>
      <c r="O316" s="29" t="inlineStr">
        <is>
          <t>31762843213.0</t>
        </is>
      </c>
      <c r="P316" s="29" t="inlineStr">
        <is>
          <t>KRW</t>
        </is>
      </c>
      <c r="Q316" s="29" t="inlineStr">
        <is>
          <t>11</t>
        </is>
      </c>
    </row>
    <row r="317" ht="24" customHeight="1">
      <c r="A317" s="24" t="inlineStr">
        <is>
          <t>OpenDART_fnlttSinglAcntAll</t>
        </is>
      </c>
      <c r="B317" s="24" t="inlineStr">
        <is>
          <t>00245472</t>
        </is>
      </c>
      <c r="C317" s="24" t="inlineStr">
        <is>
          <t>티씨케이</t>
        </is>
      </c>
      <c r="D317" s="24" t="inlineStr">
        <is>
          <t>tck</t>
        </is>
      </c>
      <c r="E317" s="24" t="inlineStr">
        <is>
          <t>064760</t>
        </is>
      </c>
      <c r="F317" s="24" t="inlineStr">
        <is>
          <t>2024</t>
        </is>
      </c>
      <c r="G317" s="24" t="inlineStr">
        <is>
          <t>OFS</t>
        </is>
      </c>
      <c r="H317" s="24" t="inlineStr">
        <is>
          <t>BS</t>
        </is>
      </c>
      <c r="I317" s="24" t="inlineStr">
        <is>
          <t>재무상태표</t>
        </is>
      </c>
      <c r="J317" s="24" t="inlineStr">
        <is>
          <t>ifrs-full_Inventories</t>
        </is>
      </c>
      <c r="K317" s="24" t="inlineStr">
        <is>
          <t>6. 재고자산</t>
        </is>
      </c>
      <c r="L317" s="24" t="inlineStr">
        <is>
          <t>-</t>
        </is>
      </c>
      <c r="M317" s="24" t="inlineStr">
        <is>
          <t>제 30 기</t>
        </is>
      </c>
      <c r="N317" s="24" t="inlineStr">
        <is>
          <t>68818777821.0</t>
        </is>
      </c>
      <c r="O317" s="24" t="inlineStr">
        <is>
          <t>65910914615.0</t>
        </is>
      </c>
      <c r="P317" s="24" t="inlineStr">
        <is>
          <t>KRW</t>
        </is>
      </c>
      <c r="Q317" s="24" t="inlineStr">
        <is>
          <t>12</t>
        </is>
      </c>
    </row>
    <row r="318" ht="24" customHeight="1">
      <c r="A318" s="29" t="inlineStr">
        <is>
          <t>OpenDART_fnlttSinglAcntAll</t>
        </is>
      </c>
      <c r="B318" s="29" t="inlineStr">
        <is>
          <t>00245472</t>
        </is>
      </c>
      <c r="C318" s="29" t="inlineStr">
        <is>
          <t>티씨케이</t>
        </is>
      </c>
      <c r="D318" s="29" t="inlineStr">
        <is>
          <t>tck</t>
        </is>
      </c>
      <c r="E318" s="29" t="inlineStr">
        <is>
          <t>064760</t>
        </is>
      </c>
      <c r="F318" s="29" t="inlineStr">
        <is>
          <t>2024</t>
        </is>
      </c>
      <c r="G318" s="29" t="inlineStr">
        <is>
          <t>OFS</t>
        </is>
      </c>
      <c r="H318" s="29" t="inlineStr">
        <is>
          <t>BS</t>
        </is>
      </c>
      <c r="I318" s="29" t="inlineStr">
        <is>
          <t>재무상태표</t>
        </is>
      </c>
      <c r="J318" s="29" t="inlineStr">
        <is>
          <t>ifrs-full_OtherCurrentAssets</t>
        </is>
      </c>
      <c r="K318" s="29" t="inlineStr">
        <is>
          <t>5. 기타유동자산</t>
        </is>
      </c>
      <c r="L318" s="29" t="inlineStr">
        <is>
          <t>-</t>
        </is>
      </c>
      <c r="M318" s="29" t="inlineStr">
        <is>
          <t>제 30 기</t>
        </is>
      </c>
      <c r="N318" s="29" t="inlineStr">
        <is>
          <t>997946800.0</t>
        </is>
      </c>
      <c r="O318" s="29" t="inlineStr">
        <is>
          <t>601531368.0</t>
        </is>
      </c>
      <c r="P318" s="29" t="inlineStr">
        <is>
          <t>KRW</t>
        </is>
      </c>
      <c r="Q318" s="29" t="inlineStr">
        <is>
          <t>13</t>
        </is>
      </c>
    </row>
    <row r="319" ht="24" customHeight="1">
      <c r="A319" s="24" t="inlineStr">
        <is>
          <t>OpenDART_fnlttSinglAcntAll</t>
        </is>
      </c>
      <c r="B319" s="24" t="inlineStr">
        <is>
          <t>00245472</t>
        </is>
      </c>
      <c r="C319" s="24" t="inlineStr">
        <is>
          <t>티씨케이</t>
        </is>
      </c>
      <c r="D319" s="24" t="inlineStr">
        <is>
          <t>tck</t>
        </is>
      </c>
      <c r="E319" s="24" t="inlineStr">
        <is>
          <t>064760</t>
        </is>
      </c>
      <c r="F319" s="24" t="inlineStr">
        <is>
          <t>2024</t>
        </is>
      </c>
      <c r="G319" s="24" t="inlineStr">
        <is>
          <t>OFS</t>
        </is>
      </c>
      <c r="H319" s="24" t="inlineStr">
        <is>
          <t>BS</t>
        </is>
      </c>
      <c r="I319" s="24" t="inlineStr">
        <is>
          <t>재무상태표</t>
        </is>
      </c>
      <c r="J319" s="24" t="inlineStr">
        <is>
          <t>ifrs-full_OtherCurrentFinancialAssets</t>
        </is>
      </c>
      <c r="K319" s="24" t="inlineStr">
        <is>
          <t>4. 기타유동금융자산</t>
        </is>
      </c>
      <c r="L319" s="24" t="inlineStr">
        <is>
          <t>-</t>
        </is>
      </c>
      <c r="M319" s="24" t="inlineStr">
        <is>
          <t>제 30 기</t>
        </is>
      </c>
      <c r="N319" s="24" t="inlineStr">
        <is>
          <t>254408263268.0</t>
        </is>
      </c>
      <c r="O319" s="24" t="inlineStr">
        <is>
          <t>195300809954.0</t>
        </is>
      </c>
      <c r="P319" s="24" t="inlineStr">
        <is>
          <t>KRW</t>
        </is>
      </c>
      <c r="Q319" s="24" t="inlineStr">
        <is>
          <t>14</t>
        </is>
      </c>
    </row>
    <row r="320" ht="24" customHeight="1">
      <c r="A320" s="29" t="inlineStr">
        <is>
          <t>OpenDART_fnlttSinglAcntAll</t>
        </is>
      </c>
      <c r="B320" s="29" t="inlineStr">
        <is>
          <t>00245472</t>
        </is>
      </c>
      <c r="C320" s="29" t="inlineStr">
        <is>
          <t>티씨케이</t>
        </is>
      </c>
      <c r="D320" s="29" t="inlineStr">
        <is>
          <t>tck</t>
        </is>
      </c>
      <c r="E320" s="29" t="inlineStr">
        <is>
          <t>064760</t>
        </is>
      </c>
      <c r="F320" s="29" t="inlineStr">
        <is>
          <t>2024</t>
        </is>
      </c>
      <c r="G320" s="29" t="inlineStr">
        <is>
          <t>OFS</t>
        </is>
      </c>
      <c r="H320" s="29" t="inlineStr">
        <is>
          <t>BS</t>
        </is>
      </c>
      <c r="I320" s="29" t="inlineStr">
        <is>
          <t>재무상태표</t>
        </is>
      </c>
      <c r="J320" s="29" t="inlineStr">
        <is>
          <t>ifrs-full_NoncurrentAssets</t>
        </is>
      </c>
      <c r="K320" s="29" t="inlineStr">
        <is>
          <t>Ⅱ. 비유동자산</t>
        </is>
      </c>
      <c r="L320" s="29" t="inlineStr">
        <is>
          <t>-</t>
        </is>
      </c>
      <c r="M320" s="29" t="inlineStr">
        <is>
          <t>제 30 기</t>
        </is>
      </c>
      <c r="N320" s="29" t="inlineStr">
        <is>
          <t>157761644248.0</t>
        </is>
      </c>
      <c r="O320" s="29" t="inlineStr">
        <is>
          <t>161010641706.0</t>
        </is>
      </c>
      <c r="P320" s="29" t="inlineStr">
        <is>
          <t>KRW</t>
        </is>
      </c>
      <c r="Q320" s="29" t="inlineStr">
        <is>
          <t>15</t>
        </is>
      </c>
    </row>
    <row r="321" ht="24" customHeight="1">
      <c r="A321" s="24" t="inlineStr">
        <is>
          <t>OpenDART_fnlttSinglAcntAll</t>
        </is>
      </c>
      <c r="B321" s="24" t="inlineStr">
        <is>
          <t>00245472</t>
        </is>
      </c>
      <c r="C321" s="24" t="inlineStr">
        <is>
          <t>티씨케이</t>
        </is>
      </c>
      <c r="D321" s="24" t="inlineStr">
        <is>
          <t>tck</t>
        </is>
      </c>
      <c r="E321" s="24" t="inlineStr">
        <is>
          <t>064760</t>
        </is>
      </c>
      <c r="F321" s="24" t="inlineStr">
        <is>
          <t>2024</t>
        </is>
      </c>
      <c r="G321" s="24" t="inlineStr">
        <is>
          <t>OFS</t>
        </is>
      </c>
      <c r="H321" s="24" t="inlineStr">
        <is>
          <t>BS</t>
        </is>
      </c>
      <c r="I321" s="24" t="inlineStr">
        <is>
          <t>재무상태표</t>
        </is>
      </c>
      <c r="J321" s="24" t="inlineStr">
        <is>
          <t>ifrs-full_DeferredTaxAssets</t>
        </is>
      </c>
      <c r="K321" s="24" t="inlineStr">
        <is>
          <t>4. 이연법인세자산</t>
        </is>
      </c>
      <c r="L321" s="24" t="inlineStr">
        <is>
          <t>-</t>
        </is>
      </c>
      <c r="M321" s="24" t="inlineStr">
        <is>
          <t>제 30 기</t>
        </is>
      </c>
      <c r="N321" s="24" t="inlineStr">
        <is>
          <t>430592175.0</t>
        </is>
      </c>
      <c r="O321" s="24" t="inlineStr">
        <is>
          <t>53723031.0</t>
        </is>
      </c>
      <c r="P321" s="24" t="inlineStr">
        <is>
          <t>KRW</t>
        </is>
      </c>
      <c r="Q321" s="24" t="inlineStr">
        <is>
          <t>16</t>
        </is>
      </c>
    </row>
    <row r="322" ht="24" customHeight="1">
      <c r="A322" s="29" t="inlineStr">
        <is>
          <t>OpenDART_fnlttSinglAcntAll</t>
        </is>
      </c>
      <c r="B322" s="29" t="inlineStr">
        <is>
          <t>00245472</t>
        </is>
      </c>
      <c r="C322" s="29" t="inlineStr">
        <is>
          <t>티씨케이</t>
        </is>
      </c>
      <c r="D322" s="29" t="inlineStr">
        <is>
          <t>tck</t>
        </is>
      </c>
      <c r="E322" s="29" t="inlineStr">
        <is>
          <t>064760</t>
        </is>
      </c>
      <c r="F322" s="29" t="inlineStr">
        <is>
          <t>2024</t>
        </is>
      </c>
      <c r="G322" s="29" t="inlineStr">
        <is>
          <t>OFS</t>
        </is>
      </c>
      <c r="H322" s="29" t="inlineStr">
        <is>
          <t>BS</t>
        </is>
      </c>
      <c r="I322" s="29" t="inlineStr">
        <is>
          <t>재무상태표</t>
        </is>
      </c>
      <c r="J322" s="29" t="inlineStr">
        <is>
          <t>ifrs-full_IntangibleAssetsOtherThanGoodwill</t>
        </is>
      </c>
      <c r="K322" s="29" t="inlineStr">
        <is>
          <t>3. 무형자산</t>
        </is>
      </c>
      <c r="L322" s="29" t="inlineStr">
        <is>
          <t>-</t>
        </is>
      </c>
      <c r="M322" s="29" t="inlineStr">
        <is>
          <t>제 30 기</t>
        </is>
      </c>
      <c r="N322" s="29" t="inlineStr">
        <is>
          <t>2398506411.0</t>
        </is>
      </c>
      <c r="O322" s="29" t="inlineStr">
        <is>
          <t>2174613478.0</t>
        </is>
      </c>
      <c r="P322" s="29" t="inlineStr">
        <is>
          <t>KRW</t>
        </is>
      </c>
      <c r="Q322" s="29" t="inlineStr">
        <is>
          <t>17</t>
        </is>
      </c>
    </row>
    <row r="323" ht="24" customHeight="1">
      <c r="A323" s="24" t="inlineStr">
        <is>
          <t>OpenDART_fnlttSinglAcntAll</t>
        </is>
      </c>
      <c r="B323" s="24" t="inlineStr">
        <is>
          <t>00245472</t>
        </is>
      </c>
      <c r="C323" s="24" t="inlineStr">
        <is>
          <t>티씨케이</t>
        </is>
      </c>
      <c r="D323" s="24" t="inlineStr">
        <is>
          <t>tck</t>
        </is>
      </c>
      <c r="E323" s="24" t="inlineStr">
        <is>
          <t>064760</t>
        </is>
      </c>
      <c r="F323" s="24" t="inlineStr">
        <is>
          <t>2024</t>
        </is>
      </c>
      <c r="G323" s="24" t="inlineStr">
        <is>
          <t>OFS</t>
        </is>
      </c>
      <c r="H323" s="24" t="inlineStr">
        <is>
          <t>BS</t>
        </is>
      </c>
      <c r="I323" s="24" t="inlineStr">
        <is>
          <t>재무상태표</t>
        </is>
      </c>
      <c r="J323" s="24" t="inlineStr">
        <is>
          <t>ifrs-full_OtherNoncurrentFinancialAssets</t>
        </is>
      </c>
      <c r="K323" s="24" t="inlineStr">
        <is>
          <t>1. 기타비유동금융자산</t>
        </is>
      </c>
      <c r="L323" s="24" t="inlineStr">
        <is>
          <t>-</t>
        </is>
      </c>
      <c r="M323" s="24" t="inlineStr">
        <is>
          <t>제 30 기</t>
        </is>
      </c>
      <c r="N323" s="24" t="inlineStr">
        <is>
          <t>4149702744.0</t>
        </is>
      </c>
      <c r="O323" s="24" t="inlineStr">
        <is>
          <t>830879651.0</t>
        </is>
      </c>
      <c r="P323" s="24" t="inlineStr">
        <is>
          <t>KRW</t>
        </is>
      </c>
      <c r="Q323" s="24" t="inlineStr">
        <is>
          <t>18</t>
        </is>
      </c>
    </row>
    <row r="324" ht="24" customHeight="1">
      <c r="A324" s="29" t="inlineStr">
        <is>
          <t>OpenDART_fnlttSinglAcntAll</t>
        </is>
      </c>
      <c r="B324" s="29" t="inlineStr">
        <is>
          <t>00245472</t>
        </is>
      </c>
      <c r="C324" s="29" t="inlineStr">
        <is>
          <t>티씨케이</t>
        </is>
      </c>
      <c r="D324" s="29" t="inlineStr">
        <is>
          <t>tck</t>
        </is>
      </c>
      <c r="E324" s="29" t="inlineStr">
        <is>
          <t>064760</t>
        </is>
      </c>
      <c r="F324" s="29" t="inlineStr">
        <is>
          <t>2024</t>
        </is>
      </c>
      <c r="G324" s="29" t="inlineStr">
        <is>
          <t>OFS</t>
        </is>
      </c>
      <c r="H324" s="29" t="inlineStr">
        <is>
          <t>BS</t>
        </is>
      </c>
      <c r="I324" s="29" t="inlineStr">
        <is>
          <t>재무상태표</t>
        </is>
      </c>
      <c r="J324" s="29" t="inlineStr">
        <is>
          <t>ifrs-full_PropertyPlantAndEquipment</t>
        </is>
      </c>
      <c r="K324" s="29" t="inlineStr">
        <is>
          <t>2. 유형자산</t>
        </is>
      </c>
      <c r="L324" s="29" t="inlineStr">
        <is>
          <t>-</t>
        </is>
      </c>
      <c r="M324" s="29" t="inlineStr">
        <is>
          <t>제 30 기</t>
        </is>
      </c>
      <c r="N324" s="29" t="inlineStr">
        <is>
          <t>150021993969.0</t>
        </is>
      </c>
      <c r="O324" s="29" t="inlineStr">
        <is>
          <t>157206129237.0</t>
        </is>
      </c>
      <c r="P324" s="29" t="inlineStr">
        <is>
          <t>KRW</t>
        </is>
      </c>
      <c r="Q324" s="29" t="inlineStr">
        <is>
          <t>19</t>
        </is>
      </c>
    </row>
    <row r="325" ht="24" customHeight="1">
      <c r="A325" s="24" t="inlineStr">
        <is>
          <t>OpenDART_fnlttSinglAcntAll</t>
        </is>
      </c>
      <c r="B325" s="24" t="inlineStr">
        <is>
          <t>00245472</t>
        </is>
      </c>
      <c r="C325" s="24" t="inlineStr">
        <is>
          <t>티씨케이</t>
        </is>
      </c>
      <c r="D325" s="24" t="inlineStr">
        <is>
          <t>tck</t>
        </is>
      </c>
      <c r="E325" s="24" t="inlineStr">
        <is>
          <t>064760</t>
        </is>
      </c>
      <c r="F325" s="24" t="inlineStr">
        <is>
          <t>2024</t>
        </is>
      </c>
      <c r="G325" s="24" t="inlineStr">
        <is>
          <t>OFS</t>
        </is>
      </c>
      <c r="H325" s="24" t="inlineStr">
        <is>
          <t>BS</t>
        </is>
      </c>
      <c r="I325" s="24" t="inlineStr">
        <is>
          <t>재무상태표</t>
        </is>
      </c>
      <c r="J325" s="24" t="inlineStr">
        <is>
          <t>ifrs-full_RightofuseAssets</t>
        </is>
      </c>
      <c r="K325" s="24" t="inlineStr">
        <is>
          <t>5. 사용권자산</t>
        </is>
      </c>
      <c r="L325" s="24" t="inlineStr">
        <is>
          <t>-</t>
        </is>
      </c>
      <c r="M325" s="24" t="inlineStr">
        <is>
          <t>제 30 기</t>
        </is>
      </c>
      <c r="N325" s="24" t="inlineStr">
        <is>
          <t>760848949.0</t>
        </is>
      </c>
      <c r="O325" s="24" t="inlineStr">
        <is>
          <t>745296309.0</t>
        </is>
      </c>
      <c r="P325" s="24" t="inlineStr">
        <is>
          <t>KRW</t>
        </is>
      </c>
      <c r="Q325" s="24" t="inlineStr">
        <is>
          <t>20</t>
        </is>
      </c>
    </row>
    <row r="326" ht="24" customHeight="1">
      <c r="A326" s="29" t="inlineStr">
        <is>
          <t>OpenDART_fnlttSinglAcntAll</t>
        </is>
      </c>
      <c r="B326" s="29" t="inlineStr">
        <is>
          <t>00245472</t>
        </is>
      </c>
      <c r="C326" s="29" t="inlineStr">
        <is>
          <t>티씨케이</t>
        </is>
      </c>
      <c r="D326" s="29" t="inlineStr">
        <is>
          <t>tck</t>
        </is>
      </c>
      <c r="E326" s="29" t="inlineStr">
        <is>
          <t>064760</t>
        </is>
      </c>
      <c r="F326" s="29" t="inlineStr">
        <is>
          <t>2024</t>
        </is>
      </c>
      <c r="G326" s="29" t="inlineStr">
        <is>
          <t>OFS</t>
        </is>
      </c>
      <c r="H326" s="29" t="inlineStr">
        <is>
          <t>BS</t>
        </is>
      </c>
      <c r="I326" s="29" t="inlineStr">
        <is>
          <t>재무상태표</t>
        </is>
      </c>
      <c r="J326" s="29" t="inlineStr">
        <is>
          <t>dart_CapitalSurplus</t>
        </is>
      </c>
      <c r="K326" s="29" t="inlineStr">
        <is>
          <t>Ⅱ. 자본잉여금</t>
        </is>
      </c>
      <c r="L326" s="29" t="inlineStr">
        <is>
          <t>-</t>
        </is>
      </c>
      <c r="M326" s="29" t="inlineStr">
        <is>
          <t>제 30 기</t>
        </is>
      </c>
      <c r="N326" s="29" t="inlineStr">
        <is>
          <t>6035001920.0</t>
        </is>
      </c>
      <c r="O326" s="29" t="inlineStr">
        <is>
          <t>6035001920.0</t>
        </is>
      </c>
      <c r="P326" s="29" t="inlineStr">
        <is>
          <t>KRW</t>
        </is>
      </c>
      <c r="Q326" s="29" t="inlineStr">
        <is>
          <t>22</t>
        </is>
      </c>
    </row>
    <row r="327" ht="24" customHeight="1">
      <c r="A327" s="24" t="inlineStr">
        <is>
          <t>OpenDART_fnlttSinglAcntAll</t>
        </is>
      </c>
      <c r="B327" s="24" t="inlineStr">
        <is>
          <t>00245472</t>
        </is>
      </c>
      <c r="C327" s="24" t="inlineStr">
        <is>
          <t>티씨케이</t>
        </is>
      </c>
      <c r="D327" s="24" t="inlineStr">
        <is>
          <t>tck</t>
        </is>
      </c>
      <c r="E327" s="24" t="inlineStr">
        <is>
          <t>064760</t>
        </is>
      </c>
      <c r="F327" s="24" t="inlineStr">
        <is>
          <t>2024</t>
        </is>
      </c>
      <c r="G327" s="24" t="inlineStr">
        <is>
          <t>OFS</t>
        </is>
      </c>
      <c r="H327" s="24" t="inlineStr">
        <is>
          <t>BS</t>
        </is>
      </c>
      <c r="I327" s="24" t="inlineStr">
        <is>
          <t>재무상태표</t>
        </is>
      </c>
      <c r="J327" s="24" t="inlineStr">
        <is>
          <t>dart_ElementsOfOtherStockholdersEquity</t>
        </is>
      </c>
      <c r="K327" s="24" t="inlineStr">
        <is>
          <t>Ⅲ. 기타자본구성요소</t>
        </is>
      </c>
      <c r="L327" s="24" t="inlineStr">
        <is>
          <t>-</t>
        </is>
      </c>
      <c r="M327" s="24" t="inlineStr">
        <is>
          <t>제 30 기</t>
        </is>
      </c>
      <c r="N327" s="24" t="inlineStr">
        <is>
          <t>233168836.0</t>
        </is>
      </c>
      <c r="O327" s="24" t="inlineStr">
        <is>
          <t>233168836.0</t>
        </is>
      </c>
      <c r="P327" s="24" t="inlineStr">
        <is>
          <t>KRW</t>
        </is>
      </c>
      <c r="Q327" s="24" t="inlineStr">
        <is>
          <t>23</t>
        </is>
      </c>
    </row>
    <row r="328" ht="24" customHeight="1">
      <c r="A328" s="29" t="inlineStr">
        <is>
          <t>OpenDART_fnlttSinglAcntAll</t>
        </is>
      </c>
      <c r="B328" s="29" t="inlineStr">
        <is>
          <t>00245472</t>
        </is>
      </c>
      <c r="C328" s="29" t="inlineStr">
        <is>
          <t>티씨케이</t>
        </is>
      </c>
      <c r="D328" s="29" t="inlineStr">
        <is>
          <t>tck</t>
        </is>
      </c>
      <c r="E328" s="29" t="inlineStr">
        <is>
          <t>064760</t>
        </is>
      </c>
      <c r="F328" s="29" t="inlineStr">
        <is>
          <t>2024</t>
        </is>
      </c>
      <c r="G328" s="29" t="inlineStr">
        <is>
          <t>OFS</t>
        </is>
      </c>
      <c r="H328" s="29" t="inlineStr">
        <is>
          <t>BS</t>
        </is>
      </c>
      <c r="I328" s="29" t="inlineStr">
        <is>
          <t>재무상태표</t>
        </is>
      </c>
      <c r="J328" s="29" t="inlineStr">
        <is>
          <t>ifrs-full_Equity</t>
        </is>
      </c>
      <c r="K328" s="29" t="inlineStr">
        <is>
          <t>자본총계</t>
        </is>
      </c>
      <c r="L328" s="29" t="inlineStr">
        <is>
          <t>-</t>
        </is>
      </c>
      <c r="M328" s="29" t="inlineStr">
        <is>
          <t>제 30 기</t>
        </is>
      </c>
      <c r="N328" s="29" t="inlineStr">
        <is>
          <t>516254748314.0</t>
        </is>
      </c>
      <c r="O328" s="29" t="inlineStr">
        <is>
          <t>458270711744.0</t>
        </is>
      </c>
      <c r="P328" s="29" t="inlineStr">
        <is>
          <t>KRW</t>
        </is>
      </c>
      <c r="Q328" s="29" t="inlineStr">
        <is>
          <t>24</t>
        </is>
      </c>
    </row>
    <row r="329" ht="24" customHeight="1">
      <c r="A329" s="24" t="inlineStr">
        <is>
          <t>OpenDART_fnlttSinglAcntAll</t>
        </is>
      </c>
      <c r="B329" s="24" t="inlineStr">
        <is>
          <t>00245472</t>
        </is>
      </c>
      <c r="C329" s="24" t="inlineStr">
        <is>
          <t>티씨케이</t>
        </is>
      </c>
      <c r="D329" s="24" t="inlineStr">
        <is>
          <t>tck</t>
        </is>
      </c>
      <c r="E329" s="24" t="inlineStr">
        <is>
          <t>064760</t>
        </is>
      </c>
      <c r="F329" s="24" t="inlineStr">
        <is>
          <t>2024</t>
        </is>
      </c>
      <c r="G329" s="24" t="inlineStr">
        <is>
          <t>OFS</t>
        </is>
      </c>
      <c r="H329" s="24" t="inlineStr">
        <is>
          <t>BS</t>
        </is>
      </c>
      <c r="I329" s="24" t="inlineStr">
        <is>
          <t>재무상태표</t>
        </is>
      </c>
      <c r="J329" s="24" t="inlineStr">
        <is>
          <t>ifrs-full_IssuedCapital</t>
        </is>
      </c>
      <c r="K329" s="24" t="inlineStr">
        <is>
          <t>Ⅰ. 자본금</t>
        </is>
      </c>
      <c r="L329" s="24" t="inlineStr">
        <is>
          <t>-</t>
        </is>
      </c>
      <c r="M329" s="24" t="inlineStr">
        <is>
          <t>제 30 기</t>
        </is>
      </c>
      <c r="N329" s="24" t="inlineStr">
        <is>
          <t>5837500000.0</t>
        </is>
      </c>
      <c r="O329" s="24" t="inlineStr">
        <is>
          <t>5837500000.0</t>
        </is>
      </c>
      <c r="P329" s="24" t="inlineStr">
        <is>
          <t>KRW</t>
        </is>
      </c>
      <c r="Q329" s="24" t="inlineStr">
        <is>
          <t>25</t>
        </is>
      </c>
    </row>
    <row r="330" ht="24" customHeight="1">
      <c r="A330" s="29" t="inlineStr">
        <is>
          <t>OpenDART_fnlttSinglAcntAll</t>
        </is>
      </c>
      <c r="B330" s="29" t="inlineStr">
        <is>
          <t>00245472</t>
        </is>
      </c>
      <c r="C330" s="29" t="inlineStr">
        <is>
          <t>티씨케이</t>
        </is>
      </c>
      <c r="D330" s="29" t="inlineStr">
        <is>
          <t>tck</t>
        </is>
      </c>
      <c r="E330" s="29" t="inlineStr">
        <is>
          <t>064760</t>
        </is>
      </c>
      <c r="F330" s="29" t="inlineStr">
        <is>
          <t>2024</t>
        </is>
      </c>
      <c r="G330" s="29" t="inlineStr">
        <is>
          <t>OFS</t>
        </is>
      </c>
      <c r="H330" s="29" t="inlineStr">
        <is>
          <t>BS</t>
        </is>
      </c>
      <c r="I330" s="29" t="inlineStr">
        <is>
          <t>재무상태표</t>
        </is>
      </c>
      <c r="J330" s="29" t="inlineStr">
        <is>
          <t>ifrs-full_RetainedEarnings</t>
        </is>
      </c>
      <c r="K330" s="29" t="inlineStr">
        <is>
          <t>Ⅳ. 이익잉여금</t>
        </is>
      </c>
      <c r="L330" s="29" t="inlineStr">
        <is>
          <t>-</t>
        </is>
      </c>
      <c r="M330" s="29" t="inlineStr">
        <is>
          <t>제 30 기</t>
        </is>
      </c>
      <c r="N330" s="29" t="inlineStr">
        <is>
          <t>504149077558.0</t>
        </is>
      </c>
      <c r="O330" s="29" t="inlineStr">
        <is>
          <t>446165040988.0</t>
        </is>
      </c>
      <c r="P330" s="29" t="inlineStr">
        <is>
          <t>KRW</t>
        </is>
      </c>
      <c r="Q330" s="29" t="inlineStr">
        <is>
          <t>26</t>
        </is>
      </c>
    </row>
    <row r="331" ht="24" customHeight="1">
      <c r="A331" s="24" t="inlineStr">
        <is>
          <t>OpenDART_fnlttSinglAcntAll</t>
        </is>
      </c>
      <c r="B331" s="24" t="inlineStr">
        <is>
          <t>00245472</t>
        </is>
      </c>
      <c r="C331" s="24" t="inlineStr">
        <is>
          <t>티씨케이</t>
        </is>
      </c>
      <c r="D331" s="24" t="inlineStr">
        <is>
          <t>tck</t>
        </is>
      </c>
      <c r="E331" s="24" t="inlineStr">
        <is>
          <t>064760</t>
        </is>
      </c>
      <c r="F331" s="24" t="inlineStr">
        <is>
          <t>2024</t>
        </is>
      </c>
      <c r="G331" s="24" t="inlineStr">
        <is>
          <t>OFS</t>
        </is>
      </c>
      <c r="H331" s="24" t="inlineStr">
        <is>
          <t>BS</t>
        </is>
      </c>
      <c r="I331" s="24" t="inlineStr">
        <is>
          <t>재무상태표</t>
        </is>
      </c>
      <c r="J331" s="24" t="inlineStr">
        <is>
          <t>ifrs-full_EquityAndLiabilities</t>
        </is>
      </c>
      <c r="K331" s="24" t="inlineStr">
        <is>
          <t>자본과부채총계</t>
        </is>
      </c>
      <c r="L331" s="24" t="inlineStr">
        <is>
          <t>-</t>
        </is>
      </c>
      <c r="M331" s="24" t="inlineStr">
        <is>
          <t>제 30 기</t>
        </is>
      </c>
      <c r="N331" s="24" t="inlineStr">
        <is>
          <t>563519610069.0</t>
        </is>
      </c>
      <c r="O331" s="24" t="inlineStr">
        <is>
          <t>495503750976.0</t>
        </is>
      </c>
      <c r="P331" s="24" t="inlineStr">
        <is>
          <t>KRW</t>
        </is>
      </c>
      <c r="Q331" s="24" t="inlineStr">
        <is>
          <t>27</t>
        </is>
      </c>
    </row>
    <row r="332" ht="24" customHeight="1">
      <c r="A332" s="29" t="inlineStr">
        <is>
          <t>OpenDART_fnlttSinglAcntAll</t>
        </is>
      </c>
      <c r="B332" s="29" t="inlineStr">
        <is>
          <t>00245472</t>
        </is>
      </c>
      <c r="C332" s="29" t="inlineStr">
        <is>
          <t>티씨케이</t>
        </is>
      </c>
      <c r="D332" s="29" t="inlineStr">
        <is>
          <t>tck</t>
        </is>
      </c>
      <c r="E332" s="29" t="inlineStr">
        <is>
          <t>064760</t>
        </is>
      </c>
      <c r="F332" s="29" t="inlineStr">
        <is>
          <t>2024</t>
        </is>
      </c>
      <c r="G332" s="29" t="inlineStr">
        <is>
          <t>OFS</t>
        </is>
      </c>
      <c r="H332" s="29" t="inlineStr">
        <is>
          <t>BS</t>
        </is>
      </c>
      <c r="I332" s="29" t="inlineStr">
        <is>
          <t>재무상태표</t>
        </is>
      </c>
      <c r="J332" s="29" t="inlineStr">
        <is>
          <t>ifrs-full_CurrentLiabilities</t>
        </is>
      </c>
      <c r="K332" s="29" t="inlineStr">
        <is>
          <t>Ⅰ. 유동부채</t>
        </is>
      </c>
      <c r="L332" s="29" t="inlineStr">
        <is>
          <t>-</t>
        </is>
      </c>
      <c r="M332" s="29" t="inlineStr">
        <is>
          <t>제 30 기</t>
        </is>
      </c>
      <c r="N332" s="29" t="inlineStr">
        <is>
          <t>44574894545.0</t>
        </is>
      </c>
      <c r="O332" s="29" t="inlineStr">
        <is>
          <t>35178759849.0</t>
        </is>
      </c>
      <c r="P332" s="29" t="inlineStr">
        <is>
          <t>KRW</t>
        </is>
      </c>
      <c r="Q332" s="29" t="inlineStr">
        <is>
          <t>29</t>
        </is>
      </c>
    </row>
    <row r="333" ht="24" customHeight="1">
      <c r="A333" s="24" t="inlineStr">
        <is>
          <t>OpenDART_fnlttSinglAcntAll</t>
        </is>
      </c>
      <c r="B333" s="24" t="inlineStr">
        <is>
          <t>00245472</t>
        </is>
      </c>
      <c r="C333" s="24" t="inlineStr">
        <is>
          <t>티씨케이</t>
        </is>
      </c>
      <c r="D333" s="24" t="inlineStr">
        <is>
          <t>tck</t>
        </is>
      </c>
      <c r="E333" s="24" t="inlineStr">
        <is>
          <t>064760</t>
        </is>
      </c>
      <c r="F333" s="24" t="inlineStr">
        <is>
          <t>2024</t>
        </is>
      </c>
      <c r="G333" s="24" t="inlineStr">
        <is>
          <t>OFS</t>
        </is>
      </c>
      <c r="H333" s="24" t="inlineStr">
        <is>
          <t>BS</t>
        </is>
      </c>
      <c r="I333" s="24" t="inlineStr">
        <is>
          <t>재무상태표</t>
        </is>
      </c>
      <c r="J333" s="24" t="inlineStr">
        <is>
          <t>dart_CurrentDerivativeLiabilities</t>
        </is>
      </c>
      <c r="K333" s="24" t="inlineStr">
        <is>
          <t>1. 파생금융부채</t>
        </is>
      </c>
      <c r="L333" s="24" t="inlineStr">
        <is>
          <t>-</t>
        </is>
      </c>
      <c r="M333" s="24" t="inlineStr">
        <is>
          <t>제 30 기</t>
        </is>
      </c>
      <c r="N333" s="24" t="inlineStr">
        <is>
          <t>845527974.0</t>
        </is>
      </c>
      <c r="O333" s="24" t="inlineStr">
        <is>
          <t>6714193.0</t>
        </is>
      </c>
      <c r="P333" s="24" t="inlineStr">
        <is>
          <t>KRW</t>
        </is>
      </c>
      <c r="Q333" s="24" t="inlineStr">
        <is>
          <t>30</t>
        </is>
      </c>
    </row>
    <row r="334" ht="24" customHeight="1">
      <c r="A334" s="29" t="inlineStr">
        <is>
          <t>OpenDART_fnlttSinglAcntAll</t>
        </is>
      </c>
      <c r="B334" s="29" t="inlineStr">
        <is>
          <t>00245472</t>
        </is>
      </c>
      <c r="C334" s="29" t="inlineStr">
        <is>
          <t>티씨케이</t>
        </is>
      </c>
      <c r="D334" s="29" t="inlineStr">
        <is>
          <t>tck</t>
        </is>
      </c>
      <c r="E334" s="29" t="inlineStr">
        <is>
          <t>064760</t>
        </is>
      </c>
      <c r="F334" s="29" t="inlineStr">
        <is>
          <t>2024</t>
        </is>
      </c>
      <c r="G334" s="29" t="inlineStr">
        <is>
          <t>OFS</t>
        </is>
      </c>
      <c r="H334" s="29" t="inlineStr">
        <is>
          <t>BS</t>
        </is>
      </c>
      <c r="I334" s="29" t="inlineStr">
        <is>
          <t>재무상태표</t>
        </is>
      </c>
      <c r="J334" s="29" t="inlineStr">
        <is>
          <t>dart_ShortTermTradePayables</t>
        </is>
      </c>
      <c r="K334" s="29" t="inlineStr">
        <is>
          <t>2. 매입채무</t>
        </is>
      </c>
      <c r="L334" s="29" t="inlineStr">
        <is>
          <t>-</t>
        </is>
      </c>
      <c r="M334" s="29" t="inlineStr">
        <is>
          <t>제 30 기</t>
        </is>
      </c>
      <c r="N334" s="29" t="inlineStr">
        <is>
          <t>9684228557.0</t>
        </is>
      </c>
      <c r="O334" s="29" t="inlineStr">
        <is>
          <t>6085300358.0</t>
        </is>
      </c>
      <c r="P334" s="29" t="inlineStr">
        <is>
          <t>KRW</t>
        </is>
      </c>
      <c r="Q334" s="29" t="inlineStr">
        <is>
          <t>31</t>
        </is>
      </c>
    </row>
    <row r="335" ht="24" customHeight="1">
      <c r="A335" s="24" t="inlineStr">
        <is>
          <t>OpenDART_fnlttSinglAcntAll</t>
        </is>
      </c>
      <c r="B335" s="24" t="inlineStr">
        <is>
          <t>00245472</t>
        </is>
      </c>
      <c r="C335" s="24" t="inlineStr">
        <is>
          <t>티씨케이</t>
        </is>
      </c>
      <c r="D335" s="24" t="inlineStr">
        <is>
          <t>tck</t>
        </is>
      </c>
      <c r="E335" s="24" t="inlineStr">
        <is>
          <t>064760</t>
        </is>
      </c>
      <c r="F335" s="24" t="inlineStr">
        <is>
          <t>2024</t>
        </is>
      </c>
      <c r="G335" s="24" t="inlineStr">
        <is>
          <t>OFS</t>
        </is>
      </c>
      <c r="H335" s="24" t="inlineStr">
        <is>
          <t>BS</t>
        </is>
      </c>
      <c r="I335" s="24" t="inlineStr">
        <is>
          <t>재무상태표</t>
        </is>
      </c>
      <c r="J335" s="24" t="inlineStr">
        <is>
          <t>ifrs-full_CurrentLeaseLiabilities</t>
        </is>
      </c>
      <c r="K335" s="24" t="inlineStr">
        <is>
          <t>7. 유동리스부채</t>
        </is>
      </c>
      <c r="L335" s="24" t="inlineStr">
        <is>
          <t>-</t>
        </is>
      </c>
      <c r="M335" s="24" t="inlineStr">
        <is>
          <t>제 30 기</t>
        </is>
      </c>
      <c r="N335" s="24" t="inlineStr">
        <is>
          <t>313675244.0</t>
        </is>
      </c>
      <c r="O335" s="24" t="inlineStr">
        <is>
          <t>255644604.0</t>
        </is>
      </c>
      <c r="P335" s="24" t="inlineStr">
        <is>
          <t>KRW</t>
        </is>
      </c>
      <c r="Q335" s="24" t="inlineStr">
        <is>
          <t>32</t>
        </is>
      </c>
    </row>
    <row r="336" ht="24" customHeight="1">
      <c r="A336" s="29" t="inlineStr">
        <is>
          <t>OpenDART_fnlttSinglAcntAll</t>
        </is>
      </c>
      <c r="B336" s="29" t="inlineStr">
        <is>
          <t>00245472</t>
        </is>
      </c>
      <c r="C336" s="29" t="inlineStr">
        <is>
          <t>티씨케이</t>
        </is>
      </c>
      <c r="D336" s="29" t="inlineStr">
        <is>
          <t>tck</t>
        </is>
      </c>
      <c r="E336" s="29" t="inlineStr">
        <is>
          <t>064760</t>
        </is>
      </c>
      <c r="F336" s="29" t="inlineStr">
        <is>
          <t>2024</t>
        </is>
      </c>
      <c r="G336" s="29" t="inlineStr">
        <is>
          <t>OFS</t>
        </is>
      </c>
      <c r="H336" s="29" t="inlineStr">
        <is>
          <t>BS</t>
        </is>
      </c>
      <c r="I336" s="29" t="inlineStr">
        <is>
          <t>재무상태표</t>
        </is>
      </c>
      <c r="J336" s="29" t="inlineStr">
        <is>
          <t>ifrs-full_CurrentProvisions</t>
        </is>
      </c>
      <c r="K336" s="29" t="inlineStr">
        <is>
          <t>6. 유동충당부채</t>
        </is>
      </c>
      <c r="L336" s="29" t="inlineStr">
        <is>
          <t>-</t>
        </is>
      </c>
      <c r="M336" s="29" t="inlineStr">
        <is>
          <t>제 30 기</t>
        </is>
      </c>
      <c r="N336" s="29" t="inlineStr">
        <is>
          <t>1314089422.0</t>
        </is>
      </c>
      <c r="O336" s="29" t="inlineStr">
        <is>
          <t>1181227972.0</t>
        </is>
      </c>
      <c r="P336" s="29" t="inlineStr">
        <is>
          <t>KRW</t>
        </is>
      </c>
      <c r="Q336" s="29" t="inlineStr">
        <is>
          <t>33</t>
        </is>
      </c>
    </row>
    <row r="337" ht="24" customHeight="1">
      <c r="A337" s="24" t="inlineStr">
        <is>
          <t>OpenDART_fnlttSinglAcntAll</t>
        </is>
      </c>
      <c r="B337" s="24" t="inlineStr">
        <is>
          <t>00245472</t>
        </is>
      </c>
      <c r="C337" s="24" t="inlineStr">
        <is>
          <t>티씨케이</t>
        </is>
      </c>
      <c r="D337" s="24" t="inlineStr">
        <is>
          <t>tck</t>
        </is>
      </c>
      <c r="E337" s="24" t="inlineStr">
        <is>
          <t>064760</t>
        </is>
      </c>
      <c r="F337" s="24" t="inlineStr">
        <is>
          <t>2024</t>
        </is>
      </c>
      <c r="G337" s="24" t="inlineStr">
        <is>
          <t>OFS</t>
        </is>
      </c>
      <c r="H337" s="24" t="inlineStr">
        <is>
          <t>BS</t>
        </is>
      </c>
      <c r="I337" s="24" t="inlineStr">
        <is>
          <t>재무상태표</t>
        </is>
      </c>
      <c r="J337" s="24" t="inlineStr">
        <is>
          <t>ifrs-full_CurrentTaxLiabilities</t>
        </is>
      </c>
      <c r="K337" s="24" t="inlineStr">
        <is>
          <t>5. 당기법인세부채</t>
        </is>
      </c>
      <c r="L337" s="24" t="inlineStr">
        <is>
          <t>-</t>
        </is>
      </c>
      <c r="M337" s="24" t="inlineStr">
        <is>
          <t>제 30 기</t>
        </is>
      </c>
      <c r="N337" s="24" t="inlineStr">
        <is>
          <t>14289508722.0</t>
        </is>
      </c>
      <c r="O337" s="24" t="inlineStr">
        <is>
          <t>11015169134.0</t>
        </is>
      </c>
      <c r="P337" s="24" t="inlineStr">
        <is>
          <t>KRW</t>
        </is>
      </c>
      <c r="Q337" s="24" t="inlineStr">
        <is>
          <t>34</t>
        </is>
      </c>
    </row>
    <row r="338" ht="24" customHeight="1">
      <c r="A338" s="29" t="inlineStr">
        <is>
          <t>OpenDART_fnlttSinglAcntAll</t>
        </is>
      </c>
      <c r="B338" s="29" t="inlineStr">
        <is>
          <t>00245472</t>
        </is>
      </c>
      <c r="C338" s="29" t="inlineStr">
        <is>
          <t>티씨케이</t>
        </is>
      </c>
      <c r="D338" s="29" t="inlineStr">
        <is>
          <t>tck</t>
        </is>
      </c>
      <c r="E338" s="29" t="inlineStr">
        <is>
          <t>064760</t>
        </is>
      </c>
      <c r="F338" s="29" t="inlineStr">
        <is>
          <t>2024</t>
        </is>
      </c>
      <c r="G338" s="29" t="inlineStr">
        <is>
          <t>OFS</t>
        </is>
      </c>
      <c r="H338" s="29" t="inlineStr">
        <is>
          <t>BS</t>
        </is>
      </c>
      <c r="I338" s="29" t="inlineStr">
        <is>
          <t>재무상태표</t>
        </is>
      </c>
      <c r="J338" s="29" t="inlineStr">
        <is>
          <t>ifrs-full_OtherCurrentFinancialLiabilities</t>
        </is>
      </c>
      <c r="K338" s="29" t="inlineStr">
        <is>
          <t>3. 기타유동금융부채</t>
        </is>
      </c>
      <c r="L338" s="29" t="inlineStr">
        <is>
          <t>-</t>
        </is>
      </c>
      <c r="M338" s="29" t="inlineStr">
        <is>
          <t>제 30 기</t>
        </is>
      </c>
      <c r="N338" s="29" t="inlineStr">
        <is>
          <t>17123745422.0</t>
        </is>
      </c>
      <c r="O338" s="29" t="inlineStr">
        <is>
          <t>16002533610.0</t>
        </is>
      </c>
      <c r="P338" s="29" t="inlineStr">
        <is>
          <t>KRW</t>
        </is>
      </c>
      <c r="Q338" s="29" t="inlineStr">
        <is>
          <t>35</t>
        </is>
      </c>
    </row>
    <row r="339" ht="24" customHeight="1">
      <c r="A339" s="24" t="inlineStr">
        <is>
          <t>OpenDART_fnlttSinglAcntAll</t>
        </is>
      </c>
      <c r="B339" s="24" t="inlineStr">
        <is>
          <t>00245472</t>
        </is>
      </c>
      <c r="C339" s="24" t="inlineStr">
        <is>
          <t>티씨케이</t>
        </is>
      </c>
      <c r="D339" s="24" t="inlineStr">
        <is>
          <t>tck</t>
        </is>
      </c>
      <c r="E339" s="24" t="inlineStr">
        <is>
          <t>064760</t>
        </is>
      </c>
      <c r="F339" s="24" t="inlineStr">
        <is>
          <t>2024</t>
        </is>
      </c>
      <c r="G339" s="24" t="inlineStr">
        <is>
          <t>OFS</t>
        </is>
      </c>
      <c r="H339" s="24" t="inlineStr">
        <is>
          <t>BS</t>
        </is>
      </c>
      <c r="I339" s="24" t="inlineStr">
        <is>
          <t>재무상태표</t>
        </is>
      </c>
      <c r="J339" s="24" t="inlineStr">
        <is>
          <t>ifrs-full_OtherCurrentLiabilities</t>
        </is>
      </c>
      <c r="K339" s="24" t="inlineStr">
        <is>
          <t>4. 기타유동부채</t>
        </is>
      </c>
      <c r="L339" s="24" t="inlineStr">
        <is>
          <t>-</t>
        </is>
      </c>
      <c r="M339" s="24" t="inlineStr">
        <is>
          <t>제 30 기</t>
        </is>
      </c>
      <c r="N339" s="24" t="inlineStr">
        <is>
          <t>1004119204.0</t>
        </is>
      </c>
      <c r="O339" s="24" t="inlineStr">
        <is>
          <t>632169978.0</t>
        </is>
      </c>
      <c r="P339" s="24" t="inlineStr">
        <is>
          <t>KRW</t>
        </is>
      </c>
      <c r="Q339" s="24" t="inlineStr">
        <is>
          <t>36</t>
        </is>
      </c>
    </row>
    <row r="340" ht="24" customHeight="1">
      <c r="A340" s="29" t="inlineStr">
        <is>
          <t>OpenDART_fnlttSinglAcntAll</t>
        </is>
      </c>
      <c r="B340" s="29" t="inlineStr">
        <is>
          <t>00245472</t>
        </is>
      </c>
      <c r="C340" s="29" t="inlineStr">
        <is>
          <t>티씨케이</t>
        </is>
      </c>
      <c r="D340" s="29" t="inlineStr">
        <is>
          <t>tck</t>
        </is>
      </c>
      <c r="E340" s="29" t="inlineStr">
        <is>
          <t>064760</t>
        </is>
      </c>
      <c r="F340" s="29" t="inlineStr">
        <is>
          <t>2024</t>
        </is>
      </c>
      <c r="G340" s="29" t="inlineStr">
        <is>
          <t>OFS</t>
        </is>
      </c>
      <c r="H340" s="29" t="inlineStr">
        <is>
          <t>BS</t>
        </is>
      </c>
      <c r="I340" s="29" t="inlineStr">
        <is>
          <t>재무상태표</t>
        </is>
      </c>
      <c r="J340" s="29" t="inlineStr">
        <is>
          <t>ifrs-full_Liabilities</t>
        </is>
      </c>
      <c r="K340" s="29" t="inlineStr">
        <is>
          <t>부채총계</t>
        </is>
      </c>
      <c r="L340" s="29" t="inlineStr">
        <is>
          <t>-</t>
        </is>
      </c>
      <c r="M340" s="29" t="inlineStr">
        <is>
          <t>제 30 기</t>
        </is>
      </c>
      <c r="N340" s="29" t="inlineStr">
        <is>
          <t>47264861755.0</t>
        </is>
      </c>
      <c r="O340" s="29" t="inlineStr">
        <is>
          <t>37233039232.0</t>
        </is>
      </c>
      <c r="P340" s="29" t="inlineStr">
        <is>
          <t>KRW</t>
        </is>
      </c>
      <c r="Q340" s="29" t="inlineStr">
        <is>
          <t>37</t>
        </is>
      </c>
    </row>
    <row r="341" ht="24" customHeight="1">
      <c r="A341" s="24" t="inlineStr">
        <is>
          <t>OpenDART_fnlttSinglAcntAll</t>
        </is>
      </c>
      <c r="B341" s="24" t="inlineStr">
        <is>
          <t>00245472</t>
        </is>
      </c>
      <c r="C341" s="24" t="inlineStr">
        <is>
          <t>티씨케이</t>
        </is>
      </c>
      <c r="D341" s="24" t="inlineStr">
        <is>
          <t>tck</t>
        </is>
      </c>
      <c r="E341" s="24" t="inlineStr">
        <is>
          <t>064760</t>
        </is>
      </c>
      <c r="F341" s="24" t="inlineStr">
        <is>
          <t>2024</t>
        </is>
      </c>
      <c r="G341" s="24" t="inlineStr">
        <is>
          <t>OFS</t>
        </is>
      </c>
      <c r="H341" s="24" t="inlineStr">
        <is>
          <t>BS</t>
        </is>
      </c>
      <c r="I341" s="24" t="inlineStr">
        <is>
          <t>재무상태표</t>
        </is>
      </c>
      <c r="J341" s="24" t="inlineStr">
        <is>
          <t>ifrs-full_NoncurrentLiabilities</t>
        </is>
      </c>
      <c r="K341" s="24" t="inlineStr">
        <is>
          <t>Ⅱ. 비유동부채</t>
        </is>
      </c>
      <c r="L341" s="24" t="inlineStr">
        <is>
          <t>-</t>
        </is>
      </c>
      <c r="M341" s="24" t="inlineStr">
        <is>
          <t>제 30 기</t>
        </is>
      </c>
      <c r="N341" s="24" t="inlineStr">
        <is>
          <t>2689967210.0</t>
        </is>
      </c>
      <c r="O341" s="24" t="inlineStr">
        <is>
          <t>2054279383.0</t>
        </is>
      </c>
      <c r="P341" s="24" t="inlineStr">
        <is>
          <t>KRW</t>
        </is>
      </c>
      <c r="Q341" s="24" t="inlineStr">
        <is>
          <t>38</t>
        </is>
      </c>
    </row>
    <row r="342" ht="24" customHeight="1">
      <c r="A342" s="29" t="inlineStr">
        <is>
          <t>OpenDART_fnlttSinglAcntAll</t>
        </is>
      </c>
      <c r="B342" s="29" t="inlineStr">
        <is>
          <t>00245472</t>
        </is>
      </c>
      <c r="C342" s="29" t="inlineStr">
        <is>
          <t>티씨케이</t>
        </is>
      </c>
      <c r="D342" s="29" t="inlineStr">
        <is>
          <t>tck</t>
        </is>
      </c>
      <c r="E342" s="29" t="inlineStr">
        <is>
          <t>064760</t>
        </is>
      </c>
      <c r="F342" s="29" t="inlineStr">
        <is>
          <t>2024</t>
        </is>
      </c>
      <c r="G342" s="29" t="inlineStr">
        <is>
          <t>OFS</t>
        </is>
      </c>
      <c r="H342" s="29" t="inlineStr">
        <is>
          <t>BS</t>
        </is>
      </c>
      <c r="I342" s="29" t="inlineStr">
        <is>
          <t>재무상태표</t>
        </is>
      </c>
      <c r="J342" s="29" t="inlineStr">
        <is>
          <t>ifrs-full_NoncurrentLeaseLiabilities</t>
        </is>
      </c>
      <c r="K342" s="29" t="inlineStr">
        <is>
          <t>2. 비유동리스부채</t>
        </is>
      </c>
      <c r="L342" s="29" t="inlineStr">
        <is>
          <t>-</t>
        </is>
      </c>
      <c r="M342" s="29" t="inlineStr">
        <is>
          <t>제 30 기</t>
        </is>
      </c>
      <c r="N342" s="29" t="inlineStr">
        <is>
          <t>335085696.0</t>
        </is>
      </c>
      <c r="O342" s="29" t="inlineStr">
        <is>
          <t>444743225.0</t>
        </is>
      </c>
      <c r="P342" s="29" t="inlineStr">
        <is>
          <t>KRW</t>
        </is>
      </c>
      <c r="Q342" s="29" t="inlineStr">
        <is>
          <t>39</t>
        </is>
      </c>
    </row>
    <row r="343" ht="24" customHeight="1">
      <c r="A343" s="24" t="inlineStr">
        <is>
          <t>OpenDART_fnlttSinglAcntAll</t>
        </is>
      </c>
      <c r="B343" s="24" t="inlineStr">
        <is>
          <t>00245472</t>
        </is>
      </c>
      <c r="C343" s="24" t="inlineStr">
        <is>
          <t>티씨케이</t>
        </is>
      </c>
      <c r="D343" s="24" t="inlineStr">
        <is>
          <t>tck</t>
        </is>
      </c>
      <c r="E343" s="24" t="inlineStr">
        <is>
          <t>064760</t>
        </is>
      </c>
      <c r="F343" s="24" t="inlineStr">
        <is>
          <t>2024</t>
        </is>
      </c>
      <c r="G343" s="24" t="inlineStr">
        <is>
          <t>OFS</t>
        </is>
      </c>
      <c r="H343" s="24" t="inlineStr">
        <is>
          <t>BS</t>
        </is>
      </c>
      <c r="I343" s="24" t="inlineStr">
        <is>
          <t>재무상태표</t>
        </is>
      </c>
      <c r="J343" s="24" t="inlineStr">
        <is>
          <t>ifrs-full_NoncurrentProvisions</t>
        </is>
      </c>
      <c r="K343" s="24" t="inlineStr">
        <is>
          <t>1. 비유동충당부채</t>
        </is>
      </c>
      <c r="L343" s="24" t="inlineStr">
        <is>
          <t>-</t>
        </is>
      </c>
      <c r="M343" s="24" t="inlineStr">
        <is>
          <t>제 30 기</t>
        </is>
      </c>
      <c r="N343" s="24" t="inlineStr">
        <is>
          <t>2354881514.0</t>
        </is>
      </c>
      <c r="O343" s="24" t="inlineStr">
        <is>
          <t>1609536158.0</t>
        </is>
      </c>
      <c r="P343" s="24" t="inlineStr">
        <is>
          <t>KRW</t>
        </is>
      </c>
      <c r="Q343" s="24" t="inlineStr">
        <is>
          <t>40</t>
        </is>
      </c>
    </row>
    <row r="344" ht="24" customHeight="1">
      <c r="A344" s="29" t="inlineStr">
        <is>
          <t>OpenDART_fnlttSinglAcntAll</t>
        </is>
      </c>
      <c r="B344" s="29" t="inlineStr">
        <is>
          <t>00245472</t>
        </is>
      </c>
      <c r="C344" s="29" t="inlineStr">
        <is>
          <t>티씨케이</t>
        </is>
      </c>
      <c r="D344" s="29" t="inlineStr">
        <is>
          <t>tck</t>
        </is>
      </c>
      <c r="E344" s="29" t="inlineStr">
        <is>
          <t>064760</t>
        </is>
      </c>
      <c r="F344" s="29" t="inlineStr">
        <is>
          <t>2024</t>
        </is>
      </c>
      <c r="G344" s="29" t="inlineStr">
        <is>
          <t>OFS</t>
        </is>
      </c>
      <c r="H344" s="29" t="inlineStr">
        <is>
          <t>CIS</t>
        </is>
      </c>
      <c r="I344" s="29" t="inlineStr">
        <is>
          <t>포괄손익계산서</t>
        </is>
      </c>
      <c r="J344" s="29" t="inlineStr">
        <is>
          <t>dart_BadDebtExpenses</t>
        </is>
      </c>
      <c r="K344" s="29" t="inlineStr">
        <is>
          <t>대손상각비</t>
        </is>
      </c>
      <c r="L344" s="29" t="inlineStr">
        <is>
          <t>-</t>
        </is>
      </c>
      <c r="M344" s="29" t="inlineStr">
        <is>
          <t>제 30 기</t>
        </is>
      </c>
      <c r="N344" s="29" t="inlineStr">
        <is>
          <t>85664844.0</t>
        </is>
      </c>
      <c r="O344" s="29" t="inlineStr">
        <is>
          <t>78154699.0</t>
        </is>
      </c>
      <c r="P344" s="29" t="inlineStr">
        <is>
          <t>KRW</t>
        </is>
      </c>
      <c r="Q344" s="29" t="inlineStr">
        <is>
          <t>2</t>
        </is>
      </c>
    </row>
    <row r="345" ht="24" customHeight="1">
      <c r="A345" s="24" t="inlineStr">
        <is>
          <t>OpenDART_fnlttSinglAcntAll</t>
        </is>
      </c>
      <c r="B345" s="24" t="inlineStr">
        <is>
          <t>00245472</t>
        </is>
      </c>
      <c r="C345" s="24" t="inlineStr">
        <is>
          <t>티씨케이</t>
        </is>
      </c>
      <c r="D345" s="24" t="inlineStr">
        <is>
          <t>tck</t>
        </is>
      </c>
      <c r="E345" s="24" t="inlineStr">
        <is>
          <t>064760</t>
        </is>
      </c>
      <c r="F345" s="24" t="inlineStr">
        <is>
          <t>2024</t>
        </is>
      </c>
      <c r="G345" s="24" t="inlineStr">
        <is>
          <t>OFS</t>
        </is>
      </c>
      <c r="H345" s="24" t="inlineStr">
        <is>
          <t>CIS</t>
        </is>
      </c>
      <c r="I345" s="24" t="inlineStr">
        <is>
          <t>포괄손익계산서</t>
        </is>
      </c>
      <c r="J345" s="24" t="inlineStr">
        <is>
          <t>dart_OperatingIncomeLoss</t>
        </is>
      </c>
      <c r="K345" s="24" t="inlineStr">
        <is>
          <t>Ⅳ. 영업이익</t>
        </is>
      </c>
      <c r="L345" s="24" t="inlineStr">
        <is>
          <t>-</t>
        </is>
      </c>
      <c r="M345" s="24" t="inlineStr">
        <is>
          <t>제 30 기</t>
        </is>
      </c>
      <c r="N345" s="24" t="inlineStr">
        <is>
          <t>80747924196.0</t>
        </is>
      </c>
      <c r="O345" s="24" t="inlineStr">
        <is>
          <t>66702958305.0</t>
        </is>
      </c>
      <c r="P345" s="24" t="inlineStr">
        <is>
          <t>KRW</t>
        </is>
      </c>
      <c r="Q345" s="24" t="inlineStr">
        <is>
          <t>7</t>
        </is>
      </c>
    </row>
    <row r="346" ht="24" customHeight="1">
      <c r="A346" s="29" t="inlineStr">
        <is>
          <t>OpenDART_fnlttSinglAcntAll</t>
        </is>
      </c>
      <c r="B346" s="29" t="inlineStr">
        <is>
          <t>00245472</t>
        </is>
      </c>
      <c r="C346" s="29" t="inlineStr">
        <is>
          <t>티씨케이</t>
        </is>
      </c>
      <c r="D346" s="29" t="inlineStr">
        <is>
          <t>tck</t>
        </is>
      </c>
      <c r="E346" s="29" t="inlineStr">
        <is>
          <t>064760</t>
        </is>
      </c>
      <c r="F346" s="29" t="inlineStr">
        <is>
          <t>2024</t>
        </is>
      </c>
      <c r="G346" s="29" t="inlineStr">
        <is>
          <t>OFS</t>
        </is>
      </c>
      <c r="H346" s="29" t="inlineStr">
        <is>
          <t>CIS</t>
        </is>
      </c>
      <c r="I346" s="29" t="inlineStr">
        <is>
          <t>포괄손익계산서</t>
        </is>
      </c>
      <c r="J346" s="29" t="inlineStr">
        <is>
          <t>dart_OtherGains</t>
        </is>
      </c>
      <c r="K346" s="29" t="inlineStr">
        <is>
          <t>기타수익</t>
        </is>
      </c>
      <c r="L346" s="29" t="inlineStr">
        <is>
          <t>-</t>
        </is>
      </c>
      <c r="M346" s="29" t="inlineStr">
        <is>
          <t>제 30 기</t>
        </is>
      </c>
      <c r="N346" s="29" t="inlineStr">
        <is>
          <t>6088579768.0</t>
        </is>
      </c>
      <c r="O346" s="29" t="inlineStr">
        <is>
          <t>4145409913.0</t>
        </is>
      </c>
      <c r="P346" s="29" t="inlineStr">
        <is>
          <t>KRW</t>
        </is>
      </c>
      <c r="Q346" s="29" t="inlineStr">
        <is>
          <t>8</t>
        </is>
      </c>
    </row>
    <row r="347" ht="24" customHeight="1">
      <c r="A347" s="24" t="inlineStr">
        <is>
          <t>OpenDART_fnlttSinglAcntAll</t>
        </is>
      </c>
      <c r="B347" s="24" t="inlineStr">
        <is>
          <t>00245472</t>
        </is>
      </c>
      <c r="C347" s="24" t="inlineStr">
        <is>
          <t>티씨케이</t>
        </is>
      </c>
      <c r="D347" s="24" t="inlineStr">
        <is>
          <t>tck</t>
        </is>
      </c>
      <c r="E347" s="24" t="inlineStr">
        <is>
          <t>064760</t>
        </is>
      </c>
      <c r="F347" s="24" t="inlineStr">
        <is>
          <t>2024</t>
        </is>
      </c>
      <c r="G347" s="24" t="inlineStr">
        <is>
          <t>OFS</t>
        </is>
      </c>
      <c r="H347" s="24" t="inlineStr">
        <is>
          <t>CIS</t>
        </is>
      </c>
      <c r="I347" s="24" t="inlineStr">
        <is>
          <t>포괄손익계산서</t>
        </is>
      </c>
      <c r="J347" s="24" t="inlineStr">
        <is>
          <t>dart_OtherLosses</t>
        </is>
      </c>
      <c r="K347" s="24" t="inlineStr">
        <is>
          <t>기타비용</t>
        </is>
      </c>
      <c r="L347" s="24" t="inlineStr">
        <is>
          <t>-</t>
        </is>
      </c>
      <c r="M347" s="24" t="inlineStr">
        <is>
          <t>제 30 기</t>
        </is>
      </c>
      <c r="N347" s="24" t="inlineStr">
        <is>
          <t>5355665584.0</t>
        </is>
      </c>
      <c r="O347" s="24" t="inlineStr">
        <is>
          <t>4493323607.0</t>
        </is>
      </c>
      <c r="P347" s="24" t="inlineStr">
        <is>
          <t>KRW</t>
        </is>
      </c>
      <c r="Q347" s="24" t="inlineStr">
        <is>
          <t>9</t>
        </is>
      </c>
    </row>
    <row r="348" ht="24" customHeight="1">
      <c r="A348" s="29" t="inlineStr">
        <is>
          <t>OpenDART_fnlttSinglAcntAll</t>
        </is>
      </c>
      <c r="B348" s="29" t="inlineStr">
        <is>
          <t>00245472</t>
        </is>
      </c>
      <c r="C348" s="29" t="inlineStr">
        <is>
          <t>티씨케이</t>
        </is>
      </c>
      <c r="D348" s="29" t="inlineStr">
        <is>
          <t>tck</t>
        </is>
      </c>
      <c r="E348" s="29" t="inlineStr">
        <is>
          <t>064760</t>
        </is>
      </c>
      <c r="F348" s="29" t="inlineStr">
        <is>
          <t>2024</t>
        </is>
      </c>
      <c r="G348" s="29" t="inlineStr">
        <is>
          <t>OFS</t>
        </is>
      </c>
      <c r="H348" s="29" t="inlineStr">
        <is>
          <t>CIS</t>
        </is>
      </c>
      <c r="I348" s="29" t="inlineStr">
        <is>
          <t>포괄손익계산서</t>
        </is>
      </c>
      <c r="J348" s="29" t="inlineStr">
        <is>
          <t>dart_TotalSellingGeneralAdministrativeExpenses</t>
        </is>
      </c>
      <c r="K348" s="29" t="inlineStr">
        <is>
          <t>판매비와관리비</t>
        </is>
      </c>
      <c r="L348" s="29" t="inlineStr">
        <is>
          <t>-</t>
        </is>
      </c>
      <c r="M348" s="29" t="inlineStr">
        <is>
          <t>제 30 기</t>
        </is>
      </c>
      <c r="N348" s="29" t="inlineStr">
        <is>
          <t>23305156004.0</t>
        </is>
      </c>
      <c r="O348" s="29" t="inlineStr">
        <is>
          <t>25151003939.0</t>
        </is>
      </c>
      <c r="P348" s="29" t="inlineStr">
        <is>
          <t>KRW</t>
        </is>
      </c>
      <c r="Q348" s="29" t="inlineStr">
        <is>
          <t>10</t>
        </is>
      </c>
    </row>
    <row r="349" ht="24" customHeight="1">
      <c r="A349" s="24" t="inlineStr">
        <is>
          <t>OpenDART_fnlttSinglAcntAll</t>
        </is>
      </c>
      <c r="B349" s="24" t="inlineStr">
        <is>
          <t>00245472</t>
        </is>
      </c>
      <c r="C349" s="24" t="inlineStr">
        <is>
          <t>티씨케이</t>
        </is>
      </c>
      <c r="D349" s="24" t="inlineStr">
        <is>
          <t>tck</t>
        </is>
      </c>
      <c r="E349" s="24" t="inlineStr">
        <is>
          <t>064760</t>
        </is>
      </c>
      <c r="F349" s="24" t="inlineStr">
        <is>
          <t>2024</t>
        </is>
      </c>
      <c r="G349" s="24" t="inlineStr">
        <is>
          <t>OFS</t>
        </is>
      </c>
      <c r="H349" s="24" t="inlineStr">
        <is>
          <t>CIS</t>
        </is>
      </c>
      <c r="I349" s="24" t="inlineStr">
        <is>
          <t>포괄손익계산서</t>
        </is>
      </c>
      <c r="J349" s="24" t="inlineStr">
        <is>
          <t>ifrs-full_ComprehensiveIncome</t>
        </is>
      </c>
      <c r="K349" s="24" t="inlineStr">
        <is>
          <t>Ⅷ. 총포괄이익</t>
        </is>
      </c>
      <c r="L349" s="24" t="inlineStr">
        <is>
          <t>-</t>
        </is>
      </c>
      <c r="M349" s="24" t="inlineStr">
        <is>
          <t>제 30 기</t>
        </is>
      </c>
      <c r="N349" s="24" t="inlineStr">
        <is>
          <t>71994036570.0</t>
        </is>
      </c>
      <c r="O349" s="24" t="inlineStr">
        <is>
          <t>61244566663.0</t>
        </is>
      </c>
      <c r="P349" s="24" t="inlineStr">
        <is>
          <t>KRW</t>
        </is>
      </c>
      <c r="Q349" s="24" t="inlineStr">
        <is>
          <t>11</t>
        </is>
      </c>
    </row>
    <row r="350" ht="24" customHeight="1">
      <c r="A350" s="29" t="inlineStr">
        <is>
          <t>OpenDART_fnlttSinglAcntAll</t>
        </is>
      </c>
      <c r="B350" s="29" t="inlineStr">
        <is>
          <t>00245472</t>
        </is>
      </c>
      <c r="C350" s="29" t="inlineStr">
        <is>
          <t>티씨케이</t>
        </is>
      </c>
      <c r="D350" s="29" t="inlineStr">
        <is>
          <t>tck</t>
        </is>
      </c>
      <c r="E350" s="29" t="inlineStr">
        <is>
          <t>064760</t>
        </is>
      </c>
      <c r="F350" s="29" t="inlineStr">
        <is>
          <t>2024</t>
        </is>
      </c>
      <c r="G350" s="29" t="inlineStr">
        <is>
          <t>OFS</t>
        </is>
      </c>
      <c r="H350" s="29" t="inlineStr">
        <is>
          <t>CIS</t>
        </is>
      </c>
      <c r="I350" s="29" t="inlineStr">
        <is>
          <t>포괄손익계산서</t>
        </is>
      </c>
      <c r="J350" s="29" t="inlineStr">
        <is>
          <t>ifrs-full_CostOfSales</t>
        </is>
      </c>
      <c r="K350" s="29" t="inlineStr">
        <is>
          <t>Ⅱ. 매출원가</t>
        </is>
      </c>
      <c r="L350" s="29" t="inlineStr">
        <is>
          <t>-</t>
        </is>
      </c>
      <c r="M350" s="29" t="inlineStr">
        <is>
          <t>제 30 기</t>
        </is>
      </c>
      <c r="N350" s="29" t="inlineStr">
        <is>
          <t>171586098400.0</t>
        </is>
      </c>
      <c r="O350" s="29" t="inlineStr">
        <is>
          <t>134720764588.0</t>
        </is>
      </c>
      <c r="P350" s="29" t="inlineStr">
        <is>
          <t>KRW</t>
        </is>
      </c>
      <c r="Q350" s="29" t="inlineStr">
        <is>
          <t>12</t>
        </is>
      </c>
    </row>
    <row r="351" ht="24" customHeight="1">
      <c r="A351" s="24" t="inlineStr">
        <is>
          <t>OpenDART_fnlttSinglAcntAll</t>
        </is>
      </c>
      <c r="B351" s="24" t="inlineStr">
        <is>
          <t>00245472</t>
        </is>
      </c>
      <c r="C351" s="24" t="inlineStr">
        <is>
          <t>티씨케이</t>
        </is>
      </c>
      <c r="D351" s="24" t="inlineStr">
        <is>
          <t>tck</t>
        </is>
      </c>
      <c r="E351" s="24" t="inlineStr">
        <is>
          <t>064760</t>
        </is>
      </c>
      <c r="F351" s="24" t="inlineStr">
        <is>
          <t>2024</t>
        </is>
      </c>
      <c r="G351" s="24" t="inlineStr">
        <is>
          <t>OFS</t>
        </is>
      </c>
      <c r="H351" s="24" t="inlineStr">
        <is>
          <t>CIS</t>
        </is>
      </c>
      <c r="I351" s="24" t="inlineStr">
        <is>
          <t>포괄손익계산서</t>
        </is>
      </c>
      <c r="J351" s="24" t="inlineStr">
        <is>
          <t>ifrs-full_BasicEarningsLossPerShare</t>
        </is>
      </c>
      <c r="K351" s="24" t="inlineStr">
        <is>
          <t>기본주당이익</t>
        </is>
      </c>
      <c r="L351" s="24" t="inlineStr">
        <is>
          <t>-</t>
        </is>
      </c>
      <c r="M351" s="24" t="inlineStr">
        <is>
          <t>제 30 기</t>
        </is>
      </c>
      <c r="N351" s="24" t="inlineStr">
        <is>
          <t>6167.0</t>
        </is>
      </c>
      <c r="O351" s="24" t="inlineStr">
        <is>
          <t>5246.0</t>
        </is>
      </c>
      <c r="P351" s="24" t="inlineStr">
        <is>
          <t>KRW</t>
        </is>
      </c>
      <c r="Q351" s="24" t="inlineStr">
        <is>
          <t>14</t>
        </is>
      </c>
    </row>
    <row r="352" ht="24" customHeight="1">
      <c r="A352" s="29" t="inlineStr">
        <is>
          <t>OpenDART_fnlttSinglAcntAll</t>
        </is>
      </c>
      <c r="B352" s="29" t="inlineStr">
        <is>
          <t>00245472</t>
        </is>
      </c>
      <c r="C352" s="29" t="inlineStr">
        <is>
          <t>티씨케이</t>
        </is>
      </c>
      <c r="D352" s="29" t="inlineStr">
        <is>
          <t>tck</t>
        </is>
      </c>
      <c r="E352" s="29" t="inlineStr">
        <is>
          <t>064760</t>
        </is>
      </c>
      <c r="F352" s="29" t="inlineStr">
        <is>
          <t>2024</t>
        </is>
      </c>
      <c r="G352" s="29" t="inlineStr">
        <is>
          <t>OFS</t>
        </is>
      </c>
      <c r="H352" s="29" t="inlineStr">
        <is>
          <t>CIS</t>
        </is>
      </c>
      <c r="I352" s="29" t="inlineStr">
        <is>
          <t>포괄손익계산서</t>
        </is>
      </c>
      <c r="J352" s="29" t="inlineStr">
        <is>
          <t>ifrs-full_DilutedEarningsLossPerShare</t>
        </is>
      </c>
      <c r="K352" s="29" t="inlineStr">
        <is>
          <t>희석주당이익</t>
        </is>
      </c>
      <c r="L352" s="29" t="inlineStr">
        <is>
          <t>-</t>
        </is>
      </c>
      <c r="M352" s="29" t="inlineStr">
        <is>
          <t>제 30 기</t>
        </is>
      </c>
      <c r="N352" s="29" t="inlineStr">
        <is>
          <t>6167.0</t>
        </is>
      </c>
      <c r="O352" s="29" t="inlineStr">
        <is>
          <t>5246.0</t>
        </is>
      </c>
      <c r="P352" s="29" t="inlineStr">
        <is>
          <t>KRW</t>
        </is>
      </c>
      <c r="Q352" s="29" t="inlineStr">
        <is>
          <t>15</t>
        </is>
      </c>
    </row>
    <row r="353" ht="24" customHeight="1">
      <c r="A353" s="24" t="inlineStr">
        <is>
          <t>OpenDART_fnlttSinglAcntAll</t>
        </is>
      </c>
      <c r="B353" s="24" t="inlineStr">
        <is>
          <t>00245472</t>
        </is>
      </c>
      <c r="C353" s="24" t="inlineStr">
        <is>
          <t>티씨케이</t>
        </is>
      </c>
      <c r="D353" s="24" t="inlineStr">
        <is>
          <t>tck</t>
        </is>
      </c>
      <c r="E353" s="24" t="inlineStr">
        <is>
          <t>064760</t>
        </is>
      </c>
      <c r="F353" s="24" t="inlineStr">
        <is>
          <t>2024</t>
        </is>
      </c>
      <c r="G353" s="24" t="inlineStr">
        <is>
          <t>OFS</t>
        </is>
      </c>
      <c r="H353" s="24" t="inlineStr">
        <is>
          <t>CIS</t>
        </is>
      </c>
      <c r="I353" s="24" t="inlineStr">
        <is>
          <t>포괄손익계산서</t>
        </is>
      </c>
      <c r="J353" s="24" t="inlineStr">
        <is>
          <t>ifrs-full_FinanceCosts</t>
        </is>
      </c>
      <c r="K353" s="24" t="inlineStr">
        <is>
          <t>금융비용</t>
        </is>
      </c>
      <c r="L353" s="24" t="inlineStr">
        <is>
          <t>-</t>
        </is>
      </c>
      <c r="M353" s="24" t="inlineStr">
        <is>
          <t>제 30 기</t>
        </is>
      </c>
      <c r="N353" s="24" t="inlineStr">
        <is>
          <t>31971330.0</t>
        </is>
      </c>
      <c r="O353" s="24" t="inlineStr">
        <is>
          <t>27593519.0</t>
        </is>
      </c>
      <c r="P353" s="24" t="inlineStr">
        <is>
          <t>KRW</t>
        </is>
      </c>
      <c r="Q353" s="24" t="inlineStr">
        <is>
          <t>16</t>
        </is>
      </c>
    </row>
    <row r="354" ht="24" customHeight="1">
      <c r="A354" s="29" t="inlineStr">
        <is>
          <t>OpenDART_fnlttSinglAcntAll</t>
        </is>
      </c>
      <c r="B354" s="29" t="inlineStr">
        <is>
          <t>00245472</t>
        </is>
      </c>
      <c r="C354" s="29" t="inlineStr">
        <is>
          <t>티씨케이</t>
        </is>
      </c>
      <c r="D354" s="29" t="inlineStr">
        <is>
          <t>tck</t>
        </is>
      </c>
      <c r="E354" s="29" t="inlineStr">
        <is>
          <t>064760</t>
        </is>
      </c>
      <c r="F354" s="29" t="inlineStr">
        <is>
          <t>2024</t>
        </is>
      </c>
      <c r="G354" s="29" t="inlineStr">
        <is>
          <t>OFS</t>
        </is>
      </c>
      <c r="H354" s="29" t="inlineStr">
        <is>
          <t>CIS</t>
        </is>
      </c>
      <c r="I354" s="29" t="inlineStr">
        <is>
          <t>포괄손익계산서</t>
        </is>
      </c>
      <c r="J354" s="29" t="inlineStr">
        <is>
          <t>ifrs-full_FinanceIncome</t>
        </is>
      </c>
      <c r="K354" s="29" t="inlineStr">
        <is>
          <t>금융수익</t>
        </is>
      </c>
      <c r="L354" s="29" t="inlineStr">
        <is>
          <t>-</t>
        </is>
      </c>
      <c r="M354" s="29" t="inlineStr">
        <is>
          <t>제 30 기</t>
        </is>
      </c>
      <c r="N354" s="29" t="inlineStr">
        <is>
          <t>9277348692.0</t>
        </is>
      </c>
      <c r="O354" s="29" t="inlineStr">
        <is>
          <t>8923773088.0</t>
        </is>
      </c>
      <c r="P354" s="29" t="inlineStr">
        <is>
          <t>KRW</t>
        </is>
      </c>
      <c r="Q354" s="29" t="inlineStr">
        <is>
          <t>17</t>
        </is>
      </c>
    </row>
    <row r="355" ht="24" customHeight="1">
      <c r="A355" s="24" t="inlineStr">
        <is>
          <t>OpenDART_fnlttSinglAcntAll</t>
        </is>
      </c>
      <c r="B355" s="24" t="inlineStr">
        <is>
          <t>00245472</t>
        </is>
      </c>
      <c r="C355" s="24" t="inlineStr">
        <is>
          <t>티씨케이</t>
        </is>
      </c>
      <c r="D355" s="24" t="inlineStr">
        <is>
          <t>tck</t>
        </is>
      </c>
      <c r="E355" s="24" t="inlineStr">
        <is>
          <t>064760</t>
        </is>
      </c>
      <c r="F355" s="24" t="inlineStr">
        <is>
          <t>2024</t>
        </is>
      </c>
      <c r="G355" s="24" t="inlineStr">
        <is>
          <t>OFS</t>
        </is>
      </c>
      <c r="H355" s="24" t="inlineStr">
        <is>
          <t>CIS</t>
        </is>
      </c>
      <c r="I355" s="24" t="inlineStr">
        <is>
          <t>포괄손익계산서</t>
        </is>
      </c>
      <c r="J355" s="24" t="inlineStr">
        <is>
          <t>ifrs-full_GrossProfit</t>
        </is>
      </c>
      <c r="K355" s="24" t="inlineStr">
        <is>
          <t>Ⅲ. 매출총이익</t>
        </is>
      </c>
      <c r="L355" s="24" t="inlineStr">
        <is>
          <t>-</t>
        </is>
      </c>
      <c r="M355" s="24" t="inlineStr">
        <is>
          <t>제 30 기</t>
        </is>
      </c>
      <c r="N355" s="24" t="inlineStr">
        <is>
          <t>104138745044.0</t>
        </is>
      </c>
      <c r="O355" s="24" t="inlineStr">
        <is>
          <t>91932116943.0</t>
        </is>
      </c>
      <c r="P355" s="24" t="inlineStr">
        <is>
          <t>KRW</t>
        </is>
      </c>
      <c r="Q355" s="24" t="inlineStr">
        <is>
          <t>18</t>
        </is>
      </c>
    </row>
    <row r="356" ht="24" customHeight="1">
      <c r="A356" s="29" t="inlineStr">
        <is>
          <t>OpenDART_fnlttSinglAcntAll</t>
        </is>
      </c>
      <c r="B356" s="29" t="inlineStr">
        <is>
          <t>00245472</t>
        </is>
      </c>
      <c r="C356" s="29" t="inlineStr">
        <is>
          <t>티씨케이</t>
        </is>
      </c>
      <c r="D356" s="29" t="inlineStr">
        <is>
          <t>tck</t>
        </is>
      </c>
      <c r="E356" s="29" t="inlineStr">
        <is>
          <t>064760</t>
        </is>
      </c>
      <c r="F356" s="29" t="inlineStr">
        <is>
          <t>2024</t>
        </is>
      </c>
      <c r="G356" s="29" t="inlineStr">
        <is>
          <t>OFS</t>
        </is>
      </c>
      <c r="H356" s="29" t="inlineStr">
        <is>
          <t>CIS</t>
        </is>
      </c>
      <c r="I356" s="29" t="inlineStr">
        <is>
          <t>포괄손익계산서</t>
        </is>
      </c>
      <c r="J356" s="29" t="inlineStr">
        <is>
          <t>ifrs-full_IncomeTaxExpenseContinuingOperations</t>
        </is>
      </c>
      <c r="K356" s="29" t="inlineStr">
        <is>
          <t>법인세비용</t>
        </is>
      </c>
      <c r="L356" s="29" t="inlineStr">
        <is>
          <t>-</t>
        </is>
      </c>
      <c r="M356" s="29" t="inlineStr">
        <is>
          <t>제 30 기</t>
        </is>
      </c>
      <c r="N356" s="29" t="inlineStr">
        <is>
          <t>18732179172.0</t>
        </is>
      </c>
      <c r="O356" s="29" t="inlineStr">
        <is>
          <t>14006657517.0</t>
        </is>
      </c>
      <c r="P356" s="29" t="inlineStr">
        <is>
          <t>KRW</t>
        </is>
      </c>
      <c r="Q356" s="29" t="inlineStr">
        <is>
          <t>19</t>
        </is>
      </c>
    </row>
    <row r="357" ht="24" customHeight="1">
      <c r="A357" s="24" t="inlineStr">
        <is>
          <t>OpenDART_fnlttSinglAcntAll</t>
        </is>
      </c>
      <c r="B357" s="24" t="inlineStr">
        <is>
          <t>00245472</t>
        </is>
      </c>
      <c r="C357" s="24" t="inlineStr">
        <is>
          <t>티씨케이</t>
        </is>
      </c>
      <c r="D357" s="24" t="inlineStr">
        <is>
          <t>tck</t>
        </is>
      </c>
      <c r="E357" s="24" t="inlineStr">
        <is>
          <t>064760</t>
        </is>
      </c>
      <c r="F357" s="24" t="inlineStr">
        <is>
          <t>2024</t>
        </is>
      </c>
      <c r="G357" s="24" t="inlineStr">
        <is>
          <t>OFS</t>
        </is>
      </c>
      <c r="H357" s="24" t="inlineStr">
        <is>
          <t>CIS</t>
        </is>
      </c>
      <c r="I357" s="24" t="inlineStr">
        <is>
          <t>포괄손익계산서</t>
        </is>
      </c>
      <c r="J357" s="24" t="inlineStr">
        <is>
          <t>ifrs-full_OtherComprehensiveIncome</t>
        </is>
      </c>
      <c r="K357" s="24" t="inlineStr">
        <is>
          <t>Ⅶ. 기타포괄손익</t>
        </is>
      </c>
      <c r="L357" s="24" t="inlineStr">
        <is>
          <t>-</t>
        </is>
      </c>
      <c r="M357" s="24" t="inlineStr">
        <is>
          <t>제 30 기</t>
        </is>
      </c>
      <c r="N357" s="24" t="inlineStr">
        <is>
          <t>0.0</t>
        </is>
      </c>
      <c r="O357" s="24" t="inlineStr">
        <is>
          <t>0.0</t>
        </is>
      </c>
      <c r="P357" s="24" t="inlineStr">
        <is>
          <t>KRW</t>
        </is>
      </c>
      <c r="Q357" s="24" t="inlineStr">
        <is>
          <t>20</t>
        </is>
      </c>
    </row>
    <row r="358" ht="24" customHeight="1">
      <c r="A358" s="29" t="inlineStr">
        <is>
          <t>OpenDART_fnlttSinglAcntAll</t>
        </is>
      </c>
      <c r="B358" s="29" t="inlineStr">
        <is>
          <t>00245472</t>
        </is>
      </c>
      <c r="C358" s="29" t="inlineStr">
        <is>
          <t>티씨케이</t>
        </is>
      </c>
      <c r="D358" s="29" t="inlineStr">
        <is>
          <t>tck</t>
        </is>
      </c>
      <c r="E358" s="29" t="inlineStr">
        <is>
          <t>064760</t>
        </is>
      </c>
      <c r="F358" s="29" t="inlineStr">
        <is>
          <t>2024</t>
        </is>
      </c>
      <c r="G358" s="29" t="inlineStr">
        <is>
          <t>OFS</t>
        </is>
      </c>
      <c r="H358" s="29" t="inlineStr">
        <is>
          <t>CIS</t>
        </is>
      </c>
      <c r="I358" s="29" t="inlineStr">
        <is>
          <t>포괄손익계산서</t>
        </is>
      </c>
      <c r="J358" s="29" t="inlineStr">
        <is>
          <t>ifrs-full_ProfitLoss</t>
        </is>
      </c>
      <c r="K358" s="29" t="inlineStr">
        <is>
          <t>Ⅵ. 당기순이익</t>
        </is>
      </c>
      <c r="L358" s="29" t="inlineStr">
        <is>
          <t>-</t>
        </is>
      </c>
      <c r="M358" s="29" t="inlineStr">
        <is>
          <t>제 30 기</t>
        </is>
      </c>
      <c r="N358" s="29" t="inlineStr">
        <is>
          <t>71994036570.0</t>
        </is>
      </c>
      <c r="O358" s="29" t="inlineStr">
        <is>
          <t>61244566663.0</t>
        </is>
      </c>
      <c r="P358" s="29" t="inlineStr">
        <is>
          <t>KRW</t>
        </is>
      </c>
      <c r="Q358" s="29" t="inlineStr">
        <is>
          <t>21</t>
        </is>
      </c>
    </row>
    <row r="359" ht="24" customHeight="1">
      <c r="A359" s="24" t="inlineStr">
        <is>
          <t>OpenDART_fnlttSinglAcntAll</t>
        </is>
      </c>
      <c r="B359" s="24" t="inlineStr">
        <is>
          <t>00245472</t>
        </is>
      </c>
      <c r="C359" s="24" t="inlineStr">
        <is>
          <t>티씨케이</t>
        </is>
      </c>
      <c r="D359" s="24" t="inlineStr">
        <is>
          <t>tck</t>
        </is>
      </c>
      <c r="E359" s="24" t="inlineStr">
        <is>
          <t>064760</t>
        </is>
      </c>
      <c r="F359" s="24" t="inlineStr">
        <is>
          <t>2024</t>
        </is>
      </c>
      <c r="G359" s="24" t="inlineStr">
        <is>
          <t>OFS</t>
        </is>
      </c>
      <c r="H359" s="24" t="inlineStr">
        <is>
          <t>CIS</t>
        </is>
      </c>
      <c r="I359" s="24" t="inlineStr">
        <is>
          <t>포괄손익계산서</t>
        </is>
      </c>
      <c r="J359" s="24" t="inlineStr">
        <is>
          <t>ifrs-full_ProfitLossBeforeTax</t>
        </is>
      </c>
      <c r="K359" s="24" t="inlineStr">
        <is>
          <t>Ⅴ. 법인세비용차감전순이익</t>
        </is>
      </c>
      <c r="L359" s="24" t="inlineStr">
        <is>
          <t>-</t>
        </is>
      </c>
      <c r="M359" s="24" t="inlineStr">
        <is>
          <t>제 30 기</t>
        </is>
      </c>
      <c r="N359" s="24" t="inlineStr">
        <is>
          <t>90726215742.0</t>
        </is>
      </c>
      <c r="O359" s="24" t="inlineStr">
        <is>
          <t>75251224180.0</t>
        </is>
      </c>
      <c r="P359" s="24" t="inlineStr">
        <is>
          <t>KRW</t>
        </is>
      </c>
      <c r="Q359" s="24" t="inlineStr">
        <is>
          <t>22</t>
        </is>
      </c>
    </row>
    <row r="360" ht="24" customHeight="1">
      <c r="A360" s="29" t="inlineStr">
        <is>
          <t>OpenDART_fnlttSinglAcntAll</t>
        </is>
      </c>
      <c r="B360" s="29" t="inlineStr">
        <is>
          <t>00245472</t>
        </is>
      </c>
      <c r="C360" s="29" t="inlineStr">
        <is>
          <t>티씨케이</t>
        </is>
      </c>
      <c r="D360" s="29" t="inlineStr">
        <is>
          <t>tck</t>
        </is>
      </c>
      <c r="E360" s="29" t="inlineStr">
        <is>
          <t>064760</t>
        </is>
      </c>
      <c r="F360" s="29" t="inlineStr">
        <is>
          <t>2024</t>
        </is>
      </c>
      <c r="G360" s="29" t="inlineStr">
        <is>
          <t>OFS</t>
        </is>
      </c>
      <c r="H360" s="29" t="inlineStr">
        <is>
          <t>CIS</t>
        </is>
      </c>
      <c r="I360" s="29" t="inlineStr">
        <is>
          <t>포괄손익계산서</t>
        </is>
      </c>
      <c r="J360" s="29" t="inlineStr">
        <is>
          <t>ifrs-full_Revenue</t>
        </is>
      </c>
      <c r="K360" s="29" t="inlineStr">
        <is>
          <t>Ⅰ. 매출액</t>
        </is>
      </c>
      <c r="L360" s="29" t="inlineStr">
        <is>
          <t>-</t>
        </is>
      </c>
      <c r="M360" s="29" t="inlineStr">
        <is>
          <t>제 30 기</t>
        </is>
      </c>
      <c r="N360" s="29" t="inlineStr">
        <is>
          <t>275724843444.0</t>
        </is>
      </c>
      <c r="O360" s="29" t="inlineStr">
        <is>
          <t>226652881531.0</t>
        </is>
      </c>
      <c r="P360" s="29" t="inlineStr">
        <is>
          <t>KRW</t>
        </is>
      </c>
      <c r="Q360" s="29" t="inlineStr">
        <is>
          <t>23</t>
        </is>
      </c>
    </row>
    <row r="361" ht="24" customHeight="1">
      <c r="A361" s="24" t="inlineStr">
        <is>
          <t>OpenDART_fnlttSinglAcntAll</t>
        </is>
      </c>
      <c r="B361" s="24" t="inlineStr">
        <is>
          <t>00245472</t>
        </is>
      </c>
      <c r="C361" s="24" t="inlineStr">
        <is>
          <t>티씨케이</t>
        </is>
      </c>
      <c r="D361" s="24" t="inlineStr">
        <is>
          <t>tck</t>
        </is>
      </c>
      <c r="E361" s="24" t="inlineStr">
        <is>
          <t>064760</t>
        </is>
      </c>
      <c r="F361" s="24" t="inlineStr">
        <is>
          <t>2024</t>
        </is>
      </c>
      <c r="G361" s="24" t="inlineStr">
        <is>
          <t>OFS</t>
        </is>
      </c>
      <c r="H361" s="24" t="inlineStr">
        <is>
          <t>CF</t>
        </is>
      </c>
      <c r="I361" s="24" t="inlineStr">
        <is>
          <t>현금흐름표</t>
        </is>
      </c>
      <c r="J361" s="24" t="inlineStr">
        <is>
          <t>dart_CashAndCashEquivalentsAtBeginningOfPeriodCf</t>
        </is>
      </c>
      <c r="K361" s="24" t="inlineStr">
        <is>
          <t>V. 기초의 현금및현금성자산</t>
        </is>
      </c>
      <c r="L361" s="24" t="inlineStr">
        <is>
          <t>-</t>
        </is>
      </c>
      <c r="M361" s="24" t="inlineStr">
        <is>
          <t>제 30 기</t>
        </is>
      </c>
      <c r="N361" s="24" t="inlineStr">
        <is>
          <t>31762843213.0</t>
        </is>
      </c>
      <c r="O361" s="24" t="inlineStr">
        <is>
          <t>44664321980.0</t>
        </is>
      </c>
      <c r="P361" s="24" t="inlineStr">
        <is>
          <t>KRW</t>
        </is>
      </c>
      <c r="Q361" s="24" t="inlineStr">
        <is>
          <t>2</t>
        </is>
      </c>
    </row>
    <row r="362" ht="24" customHeight="1">
      <c r="A362" s="29" t="inlineStr">
        <is>
          <t>OpenDART_fnlttSinglAcntAll</t>
        </is>
      </c>
      <c r="B362" s="29" t="inlineStr">
        <is>
          <t>00245472</t>
        </is>
      </c>
      <c r="C362" s="29" t="inlineStr">
        <is>
          <t>티씨케이</t>
        </is>
      </c>
      <c r="D362" s="29" t="inlineStr">
        <is>
          <t>tck</t>
        </is>
      </c>
      <c r="E362" s="29" t="inlineStr">
        <is>
          <t>064760</t>
        </is>
      </c>
      <c r="F362" s="29" t="inlineStr">
        <is>
          <t>2024</t>
        </is>
      </c>
      <c r="G362" s="29" t="inlineStr">
        <is>
          <t>OFS</t>
        </is>
      </c>
      <c r="H362" s="29" t="inlineStr">
        <is>
          <t>CF</t>
        </is>
      </c>
      <c r="I362" s="29" t="inlineStr">
        <is>
          <t>현금흐름표</t>
        </is>
      </c>
      <c r="J362" s="29" t="inlineStr">
        <is>
          <t>dart_CashAndCashEquivalentsAtEndOfPeriodCf</t>
        </is>
      </c>
      <c r="K362" s="29" t="inlineStr">
        <is>
          <t>Ⅶ. 기말의 현금및현금성자산</t>
        </is>
      </c>
      <c r="L362" s="29" t="inlineStr">
        <is>
          <t>-</t>
        </is>
      </c>
      <c r="M362" s="29" t="inlineStr">
        <is>
          <t>제 30 기</t>
        </is>
      </c>
      <c r="N362" s="29" t="inlineStr">
        <is>
          <t>33858787333.0</t>
        </is>
      </c>
      <c r="O362" s="29" t="inlineStr">
        <is>
          <t>31762843213.0</t>
        </is>
      </c>
      <c r="P362" s="29" t="inlineStr">
        <is>
          <t>KRW</t>
        </is>
      </c>
      <c r="Q362" s="29" t="inlineStr">
        <is>
          <t>3</t>
        </is>
      </c>
    </row>
    <row r="363" ht="24" customHeight="1">
      <c r="A363" s="24" t="inlineStr">
        <is>
          <t>OpenDART_fnlttSinglAcntAll</t>
        </is>
      </c>
      <c r="B363" s="24" t="inlineStr">
        <is>
          <t>00245472</t>
        </is>
      </c>
      <c r="C363" s="24" t="inlineStr">
        <is>
          <t>티씨케이</t>
        </is>
      </c>
      <c r="D363" s="24" t="inlineStr">
        <is>
          <t>tck</t>
        </is>
      </c>
      <c r="E363" s="24" t="inlineStr">
        <is>
          <t>064760</t>
        </is>
      </c>
      <c r="F363" s="24" t="inlineStr">
        <is>
          <t>2024</t>
        </is>
      </c>
      <c r="G363" s="24" t="inlineStr">
        <is>
          <t>OFS</t>
        </is>
      </c>
      <c r="H363" s="24" t="inlineStr">
        <is>
          <t>CF</t>
        </is>
      </c>
      <c r="I363" s="24" t="inlineStr">
        <is>
          <t>현금흐름표</t>
        </is>
      </c>
      <c r="J363" s="24" t="inlineStr">
        <is>
          <t>ifrs-full_CashFlowsFromUsedInFinancingActivities</t>
        </is>
      </c>
      <c r="K363" s="24" t="inlineStr">
        <is>
          <t>III. 재무활동으로 인한 현금흐름</t>
        </is>
      </c>
      <c r="L363" s="24" t="inlineStr">
        <is>
          <t>-</t>
        </is>
      </c>
      <c r="M363" s="24" t="inlineStr">
        <is>
          <t>제 30 기</t>
        </is>
      </c>
      <c r="N363" s="24" t="inlineStr">
        <is>
          <t>-286677204.0</t>
        </is>
      </c>
      <c r="O363" s="24" t="inlineStr">
        <is>
          <t>-308705985.0</t>
        </is>
      </c>
      <c r="P363" s="24" t="inlineStr">
        <is>
          <t>KRW</t>
        </is>
      </c>
      <c r="Q363" s="24" t="inlineStr">
        <is>
          <t>8</t>
        </is>
      </c>
    </row>
    <row r="364" ht="24" customHeight="1">
      <c r="A364" s="29" t="inlineStr">
        <is>
          <t>OpenDART_fnlttSinglAcntAll</t>
        </is>
      </c>
      <c r="B364" s="29" t="inlineStr">
        <is>
          <t>00245472</t>
        </is>
      </c>
      <c r="C364" s="29" t="inlineStr">
        <is>
          <t>티씨케이</t>
        </is>
      </c>
      <c r="D364" s="29" t="inlineStr">
        <is>
          <t>tck</t>
        </is>
      </c>
      <c r="E364" s="29" t="inlineStr">
        <is>
          <t>064760</t>
        </is>
      </c>
      <c r="F364" s="29" t="inlineStr">
        <is>
          <t>2024</t>
        </is>
      </c>
      <c r="G364" s="29" t="inlineStr">
        <is>
          <t>OFS</t>
        </is>
      </c>
      <c r="H364" s="29" t="inlineStr">
        <is>
          <t>CF</t>
        </is>
      </c>
      <c r="I364" s="29" t="inlineStr">
        <is>
          <t>현금흐름표</t>
        </is>
      </c>
      <c r="J364" s="29" t="inlineStr">
        <is>
          <t>-표준계정코드 미사용-</t>
        </is>
      </c>
      <c r="K364" s="29" t="inlineStr">
        <is>
          <t>1. 재무활동으로 인한 현금유입액</t>
        </is>
      </c>
      <c r="L364" s="29" t="inlineStr">
        <is>
          <t>-</t>
        </is>
      </c>
      <c r="M364" s="29" t="inlineStr">
        <is>
          <t>제 30 기</t>
        </is>
      </c>
      <c r="N364" s="29" t="inlineStr">
        <is>
          <t>0.0</t>
        </is>
      </c>
      <c r="O364" s="29" t="inlineStr">
        <is>
          <t>0.0</t>
        </is>
      </c>
      <c r="P364" s="29" t="inlineStr">
        <is>
          <t>KRW</t>
        </is>
      </c>
      <c r="Q364" s="29" t="inlineStr">
        <is>
          <t>9</t>
        </is>
      </c>
    </row>
    <row r="365" ht="24" customHeight="1">
      <c r="A365" s="24" t="inlineStr">
        <is>
          <t>OpenDART_fnlttSinglAcntAll</t>
        </is>
      </c>
      <c r="B365" s="24" t="inlineStr">
        <is>
          <t>00245472</t>
        </is>
      </c>
      <c r="C365" s="24" t="inlineStr">
        <is>
          <t>티씨케이</t>
        </is>
      </c>
      <c r="D365" s="24" t="inlineStr">
        <is>
          <t>tck</t>
        </is>
      </c>
      <c r="E365" s="24" t="inlineStr">
        <is>
          <t>064760</t>
        </is>
      </c>
      <c r="F365" s="24" t="inlineStr">
        <is>
          <t>2024</t>
        </is>
      </c>
      <c r="G365" s="24" t="inlineStr">
        <is>
          <t>OFS</t>
        </is>
      </c>
      <c r="H365" s="24" t="inlineStr">
        <is>
          <t>CF</t>
        </is>
      </c>
      <c r="I365" s="24" t="inlineStr">
        <is>
          <t>현금흐름표</t>
        </is>
      </c>
      <c r="J365" s="24" t="inlineStr">
        <is>
          <t>-표준계정코드 미사용-</t>
        </is>
      </c>
      <c r="K365" s="24" t="inlineStr">
        <is>
          <t>2. 재무활동으로 인한 현금유출액</t>
        </is>
      </c>
      <c r="L365" s="24" t="inlineStr">
        <is>
          <t>-</t>
        </is>
      </c>
      <c r="M365" s="24" t="inlineStr">
        <is>
          <t>제 30 기</t>
        </is>
      </c>
      <c r="N365" s="24" t="inlineStr">
        <is>
          <t>-286677204.0</t>
        </is>
      </c>
      <c r="O365" s="24" t="inlineStr">
        <is>
          <t>-308705985.0</t>
        </is>
      </c>
      <c r="P365" s="24" t="inlineStr">
        <is>
          <t>KRW</t>
        </is>
      </c>
      <c r="Q365" s="24" t="inlineStr">
        <is>
          <t>10</t>
        </is>
      </c>
    </row>
    <row r="366" ht="24" customHeight="1">
      <c r="A366" s="29" t="inlineStr">
        <is>
          <t>OpenDART_fnlttSinglAcntAll</t>
        </is>
      </c>
      <c r="B366" s="29" t="inlineStr">
        <is>
          <t>00245472</t>
        </is>
      </c>
      <c r="C366" s="29" t="inlineStr">
        <is>
          <t>티씨케이</t>
        </is>
      </c>
      <c r="D366" s="29" t="inlineStr">
        <is>
          <t>tck</t>
        </is>
      </c>
      <c r="E366" s="29" t="inlineStr">
        <is>
          <t>064760</t>
        </is>
      </c>
      <c r="F366" s="29" t="inlineStr">
        <is>
          <t>2024</t>
        </is>
      </c>
      <c r="G366" s="29" t="inlineStr">
        <is>
          <t>OFS</t>
        </is>
      </c>
      <c r="H366" s="29" t="inlineStr">
        <is>
          <t>CF</t>
        </is>
      </c>
      <c r="I366" s="29" t="inlineStr">
        <is>
          <t>현금흐름표</t>
        </is>
      </c>
      <c r="J366" s="29" t="inlineStr">
        <is>
          <t>ifrs-full_PaymentsOfLeaseLiabilitiesClassifiedAsFinancingActivities</t>
        </is>
      </c>
      <c r="K366" s="29" t="inlineStr">
        <is>
          <t>(1) 리스부채의 상환</t>
        </is>
      </c>
      <c r="L366" s="29" t="inlineStr">
        <is>
          <t>-</t>
        </is>
      </c>
      <c r="M366" s="29" t="inlineStr">
        <is>
          <t>제 30 기</t>
        </is>
      </c>
      <c r="N366" s="29" t="inlineStr">
        <is>
          <t>-286677204.0</t>
        </is>
      </c>
      <c r="O366" s="29" t="inlineStr">
        <is>
          <t>-308705985.0</t>
        </is>
      </c>
      <c r="P366" s="29" t="inlineStr">
        <is>
          <t>KRW</t>
        </is>
      </c>
      <c r="Q366" s="29" t="inlineStr">
        <is>
          <t>11</t>
        </is>
      </c>
    </row>
    <row r="367" ht="24" customHeight="1">
      <c r="A367" s="24" t="inlineStr">
        <is>
          <t>OpenDART_fnlttSinglAcntAll</t>
        </is>
      </c>
      <c r="B367" s="24" t="inlineStr">
        <is>
          <t>00245472</t>
        </is>
      </c>
      <c r="C367" s="24" t="inlineStr">
        <is>
          <t>티씨케이</t>
        </is>
      </c>
      <c r="D367" s="24" t="inlineStr">
        <is>
          <t>tck</t>
        </is>
      </c>
      <c r="E367" s="24" t="inlineStr">
        <is>
          <t>064760</t>
        </is>
      </c>
      <c r="F367" s="24" t="inlineStr">
        <is>
          <t>2024</t>
        </is>
      </c>
      <c r="G367" s="24" t="inlineStr">
        <is>
          <t>OFS</t>
        </is>
      </c>
      <c r="H367" s="24" t="inlineStr">
        <is>
          <t>CF</t>
        </is>
      </c>
      <c r="I367" s="24" t="inlineStr">
        <is>
          <t>현금흐름표</t>
        </is>
      </c>
      <c r="J367" s="24" t="inlineStr">
        <is>
          <t>ifrs-full_CashFlowsFromUsedInInvestingActivities</t>
        </is>
      </c>
      <c r="K367" s="24" t="inlineStr">
        <is>
          <t>II. 투자활동으로 인한 현금흐름</t>
        </is>
      </c>
      <c r="L367" s="24" t="inlineStr">
        <is>
          <t>-</t>
        </is>
      </c>
      <c r="M367" s="24" t="inlineStr">
        <is>
          <t>제 30 기</t>
        </is>
      </c>
      <c r="N367" s="24" t="inlineStr">
        <is>
          <t>-72043319977.0</t>
        </is>
      </c>
      <c r="O367" s="24" t="inlineStr">
        <is>
          <t>-33572720459.0</t>
        </is>
      </c>
      <c r="P367" s="24" t="inlineStr">
        <is>
          <t>KRW</t>
        </is>
      </c>
      <c r="Q367" s="24" t="inlineStr">
        <is>
          <t>12</t>
        </is>
      </c>
    </row>
    <row r="368" ht="24" customHeight="1">
      <c r="A368" s="29" t="inlineStr">
        <is>
          <t>OpenDART_fnlttSinglAcntAll</t>
        </is>
      </c>
      <c r="B368" s="29" t="inlineStr">
        <is>
          <t>00245472</t>
        </is>
      </c>
      <c r="C368" s="29" t="inlineStr">
        <is>
          <t>티씨케이</t>
        </is>
      </c>
      <c r="D368" s="29" t="inlineStr">
        <is>
          <t>tck</t>
        </is>
      </c>
      <c r="E368" s="29" t="inlineStr">
        <is>
          <t>064760</t>
        </is>
      </c>
      <c r="F368" s="29" t="inlineStr">
        <is>
          <t>2024</t>
        </is>
      </c>
      <c r="G368" s="29" t="inlineStr">
        <is>
          <t>OFS</t>
        </is>
      </c>
      <c r="H368" s="29" t="inlineStr">
        <is>
          <t>CF</t>
        </is>
      </c>
      <c r="I368" s="29" t="inlineStr">
        <is>
          <t>현금흐름표</t>
        </is>
      </c>
      <c r="J368" s="29" t="inlineStr">
        <is>
          <t>-표준계정코드 미사용-</t>
        </is>
      </c>
      <c r="K368" s="29" t="inlineStr">
        <is>
          <t>1. 투자활동으로 인한 현금유입액</t>
        </is>
      </c>
      <c r="L368" s="29" t="inlineStr">
        <is>
          <t>-</t>
        </is>
      </c>
      <c r="M368" s="29" t="inlineStr">
        <is>
          <t>제 30 기</t>
        </is>
      </c>
      <c r="N368" s="29" t="inlineStr">
        <is>
          <t>191455386989.0</t>
        </is>
      </c>
      <c r="O368" s="29" t="inlineStr">
        <is>
          <t>207059802623.0</t>
        </is>
      </c>
      <c r="P368" s="29" t="inlineStr">
        <is>
          <t>KRW</t>
        </is>
      </c>
      <c r="Q368" s="29" t="inlineStr">
        <is>
          <t>13</t>
        </is>
      </c>
    </row>
    <row r="369" ht="24" customHeight="1">
      <c r="A369" s="24" t="inlineStr">
        <is>
          <t>OpenDART_fnlttSinglAcntAll</t>
        </is>
      </c>
      <c r="B369" s="24" t="inlineStr">
        <is>
          <t>00245472</t>
        </is>
      </c>
      <c r="C369" s="24" t="inlineStr">
        <is>
          <t>티씨케이</t>
        </is>
      </c>
      <c r="D369" s="24" t="inlineStr">
        <is>
          <t>tck</t>
        </is>
      </c>
      <c r="E369" s="24" t="inlineStr">
        <is>
          <t>064760</t>
        </is>
      </c>
      <c r="F369" s="24" t="inlineStr">
        <is>
          <t>2024</t>
        </is>
      </c>
      <c r="G369" s="24" t="inlineStr">
        <is>
          <t>OFS</t>
        </is>
      </c>
      <c r="H369" s="24" t="inlineStr">
        <is>
          <t>CF</t>
        </is>
      </c>
      <c r="I369" s="24" t="inlineStr">
        <is>
          <t>현금흐름표</t>
        </is>
      </c>
      <c r="J369" s="24" t="inlineStr">
        <is>
          <t>dart_AdjustmentsForDecreaseIncreaseInDerivativeAssets</t>
        </is>
      </c>
      <c r="K369" s="24" t="inlineStr">
        <is>
          <t>(6) 파생상품자산의 감소</t>
        </is>
      </c>
      <c r="L369" s="24" t="inlineStr">
        <is>
          <t>-</t>
        </is>
      </c>
      <c r="M369" s="24" t="inlineStr">
        <is>
          <t>제 30 기</t>
        </is>
      </c>
      <c r="N369" s="24" t="inlineStr">
        <is>
          <t>829606806.0</t>
        </is>
      </c>
      <c r="O369" s="24" t="inlineStr">
        <is>
          <t>1807629250.0</t>
        </is>
      </c>
      <c r="P369" s="24" t="inlineStr">
        <is>
          <t>KRW</t>
        </is>
      </c>
      <c r="Q369" s="24" t="inlineStr">
        <is>
          <t>14</t>
        </is>
      </c>
    </row>
    <row r="370" ht="24" customHeight="1">
      <c r="A370" s="29" t="inlineStr">
        <is>
          <t>OpenDART_fnlttSinglAcntAll</t>
        </is>
      </c>
      <c r="B370" s="29" t="inlineStr">
        <is>
          <t>00245472</t>
        </is>
      </c>
      <c r="C370" s="29" t="inlineStr">
        <is>
          <t>티씨케이</t>
        </is>
      </c>
      <c r="D370" s="29" t="inlineStr">
        <is>
          <t>tck</t>
        </is>
      </c>
      <c r="E370" s="29" t="inlineStr">
        <is>
          <t>064760</t>
        </is>
      </c>
      <c r="F370" s="29" t="inlineStr">
        <is>
          <t>2024</t>
        </is>
      </c>
      <c r="G370" s="29" t="inlineStr">
        <is>
          <t>OFS</t>
        </is>
      </c>
      <c r="H370" s="29" t="inlineStr">
        <is>
          <t>CF</t>
        </is>
      </c>
      <c r="I370" s="29" t="inlineStr">
        <is>
          <t>현금흐름표</t>
        </is>
      </c>
      <c r="J370" s="29" t="inlineStr">
        <is>
          <t>dart_DecreaseInGuaranteeDeposits</t>
        </is>
      </c>
      <c r="K370" s="29" t="inlineStr">
        <is>
          <t>(4) 임차보증금의 감소</t>
        </is>
      </c>
      <c r="L370" s="29" t="inlineStr">
        <is>
          <t>-</t>
        </is>
      </c>
      <c r="M370" s="29" t="inlineStr">
        <is>
          <t>제 30 기</t>
        </is>
      </c>
      <c r="N370" s="29" t="inlineStr">
        <is>
          <t>0.0</t>
        </is>
      </c>
      <c r="O370" s="29" t="inlineStr">
        <is>
          <t>885000000.0</t>
        </is>
      </c>
      <c r="P370" s="29" t="inlineStr">
        <is>
          <t>KRW</t>
        </is>
      </c>
      <c r="Q370" s="29" t="inlineStr">
        <is>
          <t>15</t>
        </is>
      </c>
    </row>
    <row r="371" ht="24" customHeight="1">
      <c r="A371" s="24" t="inlineStr">
        <is>
          <t>OpenDART_fnlttSinglAcntAll</t>
        </is>
      </c>
      <c r="B371" s="24" t="inlineStr">
        <is>
          <t>00245472</t>
        </is>
      </c>
      <c r="C371" s="24" t="inlineStr">
        <is>
          <t>티씨케이</t>
        </is>
      </c>
      <c r="D371" s="24" t="inlineStr">
        <is>
          <t>tck</t>
        </is>
      </c>
      <c r="E371" s="24" t="inlineStr">
        <is>
          <t>064760</t>
        </is>
      </c>
      <c r="F371" s="24" t="inlineStr">
        <is>
          <t>2024</t>
        </is>
      </c>
      <c r="G371" s="24" t="inlineStr">
        <is>
          <t>OFS</t>
        </is>
      </c>
      <c r="H371" s="24" t="inlineStr">
        <is>
          <t>CF</t>
        </is>
      </c>
      <c r="I371" s="24" t="inlineStr">
        <is>
          <t>현금흐름표</t>
        </is>
      </c>
      <c r="J371" s="24" t="inlineStr">
        <is>
          <t>dart_ProceedsFromSalesOfLongTermLoansAndReceivables</t>
        </is>
      </c>
      <c r="K371" s="24" t="inlineStr">
        <is>
          <t>(3) 장기대여금의 감소</t>
        </is>
      </c>
      <c r="L371" s="24" t="inlineStr">
        <is>
          <t>-</t>
        </is>
      </c>
      <c r="M371" s="24" t="inlineStr">
        <is>
          <t>제 30 기</t>
        </is>
      </c>
      <c r="N371" s="24" t="inlineStr">
        <is>
          <t>0.0</t>
        </is>
      </c>
      <c r="O371" s="24" t="inlineStr">
        <is>
          <t>0.0</t>
        </is>
      </c>
      <c r="P371" s="24" t="inlineStr">
        <is>
          <t>KRW</t>
        </is>
      </c>
      <c r="Q371" s="24" t="inlineStr">
        <is>
          <t>16</t>
        </is>
      </c>
    </row>
    <row r="372" ht="24" customHeight="1">
      <c r="A372" s="29" t="inlineStr">
        <is>
          <t>OpenDART_fnlttSinglAcntAll</t>
        </is>
      </c>
      <c r="B372" s="29" t="inlineStr">
        <is>
          <t>00245472</t>
        </is>
      </c>
      <c r="C372" s="29" t="inlineStr">
        <is>
          <t>티씨케이</t>
        </is>
      </c>
      <c r="D372" s="29" t="inlineStr">
        <is>
          <t>tck</t>
        </is>
      </c>
      <c r="E372" s="29" t="inlineStr">
        <is>
          <t>064760</t>
        </is>
      </c>
      <c r="F372" s="29" t="inlineStr">
        <is>
          <t>2024</t>
        </is>
      </c>
      <c r="G372" s="29" t="inlineStr">
        <is>
          <t>OFS</t>
        </is>
      </c>
      <c r="H372" s="29" t="inlineStr">
        <is>
          <t>CF</t>
        </is>
      </c>
      <c r="I372" s="29" t="inlineStr">
        <is>
          <t>현금흐름표</t>
        </is>
      </c>
      <c r="J372" s="29" t="inlineStr">
        <is>
          <t>dart_ProceedsFromSalesOfShortTermFinancialInstruments</t>
        </is>
      </c>
      <c r="K372" s="29" t="inlineStr">
        <is>
          <t>(1) 단기금융상품의 처분</t>
        </is>
      </c>
      <c r="L372" s="29" t="inlineStr">
        <is>
          <t>-</t>
        </is>
      </c>
      <c r="M372" s="29" t="inlineStr">
        <is>
          <t>제 30 기</t>
        </is>
      </c>
      <c r="N372" s="29" t="inlineStr">
        <is>
          <t>190000000000.0</t>
        </is>
      </c>
      <c r="O372" s="29" t="inlineStr">
        <is>
          <t>204000000000.0</t>
        </is>
      </c>
      <c r="P372" s="29" t="inlineStr">
        <is>
          <t>KRW</t>
        </is>
      </c>
      <c r="Q372" s="29" t="inlineStr">
        <is>
          <t>17</t>
        </is>
      </c>
    </row>
    <row r="373" ht="24" customHeight="1">
      <c r="A373" s="24" t="inlineStr">
        <is>
          <t>OpenDART_fnlttSinglAcntAll</t>
        </is>
      </c>
      <c r="B373" s="24" t="inlineStr">
        <is>
          <t>00245472</t>
        </is>
      </c>
      <c r="C373" s="24" t="inlineStr">
        <is>
          <t>티씨케이</t>
        </is>
      </c>
      <c r="D373" s="24" t="inlineStr">
        <is>
          <t>tck</t>
        </is>
      </c>
      <c r="E373" s="24" t="inlineStr">
        <is>
          <t>064760</t>
        </is>
      </c>
      <c r="F373" s="24" t="inlineStr">
        <is>
          <t>2024</t>
        </is>
      </c>
      <c r="G373" s="24" t="inlineStr">
        <is>
          <t>OFS</t>
        </is>
      </c>
      <c r="H373" s="24" t="inlineStr">
        <is>
          <t>CF</t>
        </is>
      </c>
      <c r="I373" s="24" t="inlineStr">
        <is>
          <t>현금흐름표</t>
        </is>
      </c>
      <c r="J373" s="24" t="inlineStr">
        <is>
          <t>dart_ProceedsFromSalesOfShortTermLoansAndReceivables</t>
        </is>
      </c>
      <c r="K373" s="24" t="inlineStr">
        <is>
          <t>(2) 단기대여금의 감소</t>
        </is>
      </c>
      <c r="L373" s="24" t="inlineStr">
        <is>
          <t>-</t>
        </is>
      </c>
      <c r="M373" s="24" t="inlineStr">
        <is>
          <t>제 30 기</t>
        </is>
      </c>
      <c r="N373" s="24" t="inlineStr">
        <is>
          <t>473316010.0</t>
        </is>
      </c>
      <c r="O373" s="24" t="inlineStr">
        <is>
          <t>360551100.0</t>
        </is>
      </c>
      <c r="P373" s="24" t="inlineStr">
        <is>
          <t>KRW</t>
        </is>
      </c>
      <c r="Q373" s="24" t="inlineStr">
        <is>
          <t>18</t>
        </is>
      </c>
    </row>
    <row r="374" ht="24" customHeight="1">
      <c r="A374" s="29" t="inlineStr">
        <is>
          <t>OpenDART_fnlttSinglAcntAll</t>
        </is>
      </c>
      <c r="B374" s="29" t="inlineStr">
        <is>
          <t>00245472</t>
        </is>
      </c>
      <c r="C374" s="29" t="inlineStr">
        <is>
          <t>티씨케이</t>
        </is>
      </c>
      <c r="D374" s="29" t="inlineStr">
        <is>
          <t>tck</t>
        </is>
      </c>
      <c r="E374" s="29" t="inlineStr">
        <is>
          <t>064760</t>
        </is>
      </c>
      <c r="F374" s="29" t="inlineStr">
        <is>
          <t>2024</t>
        </is>
      </c>
      <c r="G374" s="29" t="inlineStr">
        <is>
          <t>OFS</t>
        </is>
      </c>
      <c r="H374" s="29" t="inlineStr">
        <is>
          <t>CF</t>
        </is>
      </c>
      <c r="I374" s="29" t="inlineStr">
        <is>
          <t>현금흐름표</t>
        </is>
      </c>
      <c r="J374" s="29" t="inlineStr">
        <is>
          <t>-표준계정코드 미사용-</t>
        </is>
      </c>
      <c r="K374" s="29" t="inlineStr">
        <is>
          <t>(7) 국고보조금의 취득</t>
        </is>
      </c>
      <c r="L374" s="29" t="inlineStr">
        <is>
          <t>-</t>
        </is>
      </c>
      <c r="M374" s="29" t="inlineStr">
        <is>
          <t>제 30 기</t>
        </is>
      </c>
      <c r="N374" s="29" t="inlineStr">
        <is>
          <t>10500000.0</t>
        </is>
      </c>
      <c r="O374" s="29" t="inlineStr">
        <is>
          <t>0.0</t>
        </is>
      </c>
      <c r="P374" s="29" t="inlineStr">
        <is>
          <t>KRW</t>
        </is>
      </c>
      <c r="Q374" s="29" t="inlineStr">
        <is>
          <t>19</t>
        </is>
      </c>
    </row>
    <row r="375" ht="24" customHeight="1">
      <c r="A375" s="24" t="inlineStr">
        <is>
          <t>OpenDART_fnlttSinglAcntAll</t>
        </is>
      </c>
      <c r="B375" s="24" t="inlineStr">
        <is>
          <t>00245472</t>
        </is>
      </c>
      <c r="C375" s="24" t="inlineStr">
        <is>
          <t>티씨케이</t>
        </is>
      </c>
      <c r="D375" s="24" t="inlineStr">
        <is>
          <t>tck</t>
        </is>
      </c>
      <c r="E375" s="24" t="inlineStr">
        <is>
          <t>064760</t>
        </is>
      </c>
      <c r="F375" s="24" t="inlineStr">
        <is>
          <t>2024</t>
        </is>
      </c>
      <c r="G375" s="24" t="inlineStr">
        <is>
          <t>OFS</t>
        </is>
      </c>
      <c r="H375" s="24" t="inlineStr">
        <is>
          <t>CF</t>
        </is>
      </c>
      <c r="I375" s="24" t="inlineStr">
        <is>
          <t>현금흐름표</t>
        </is>
      </c>
      <c r="J375" s="24" t="inlineStr">
        <is>
          <t>ifrs-full_ProceedsFromSalesOfPropertyPlantAndEquipmentClassifiedAsInvestingActivities</t>
        </is>
      </c>
      <c r="K375" s="24" t="inlineStr">
        <is>
          <t>(5) 유형자산의 처분</t>
        </is>
      </c>
      <c r="L375" s="24" t="inlineStr">
        <is>
          <t>-</t>
        </is>
      </c>
      <c r="M375" s="24" t="inlineStr">
        <is>
          <t>제 30 기</t>
        </is>
      </c>
      <c r="N375" s="24" t="inlineStr">
        <is>
          <t>141964173.0</t>
        </is>
      </c>
      <c r="O375" s="24" t="inlineStr">
        <is>
          <t>6622273.0</t>
        </is>
      </c>
      <c r="P375" s="24" t="inlineStr">
        <is>
          <t>KRW</t>
        </is>
      </c>
      <c r="Q375" s="24" t="inlineStr">
        <is>
          <t>20</t>
        </is>
      </c>
    </row>
    <row r="376" ht="24" customHeight="1">
      <c r="A376" s="29" t="inlineStr">
        <is>
          <t>OpenDART_fnlttSinglAcntAll</t>
        </is>
      </c>
      <c r="B376" s="29" t="inlineStr">
        <is>
          <t>00245472</t>
        </is>
      </c>
      <c r="C376" s="29" t="inlineStr">
        <is>
          <t>티씨케이</t>
        </is>
      </c>
      <c r="D376" s="29" t="inlineStr">
        <is>
          <t>tck</t>
        </is>
      </c>
      <c r="E376" s="29" t="inlineStr">
        <is>
          <t>064760</t>
        </is>
      </c>
      <c r="F376" s="29" t="inlineStr">
        <is>
          <t>2024</t>
        </is>
      </c>
      <c r="G376" s="29" t="inlineStr">
        <is>
          <t>OFS</t>
        </is>
      </c>
      <c r="H376" s="29" t="inlineStr">
        <is>
          <t>CF</t>
        </is>
      </c>
      <c r="I376" s="29" t="inlineStr">
        <is>
          <t>현금흐름표</t>
        </is>
      </c>
      <c r="J376" s="29" t="inlineStr">
        <is>
          <t>-표준계정코드 미사용-</t>
        </is>
      </c>
      <c r="K376" s="29" t="inlineStr">
        <is>
          <t>2. 투자활동으로 인한 현금유출액</t>
        </is>
      </c>
      <c r="L376" s="29" t="inlineStr">
        <is>
          <t>-</t>
        </is>
      </c>
      <c r="M376" s="29" t="inlineStr">
        <is>
          <t>제 30 기</t>
        </is>
      </c>
      <c r="N376" s="29" t="inlineStr">
        <is>
          <t>-263498706966.0</t>
        </is>
      </c>
      <c r="O376" s="29" t="inlineStr">
        <is>
          <t>-240632523082.0</t>
        </is>
      </c>
      <c r="P376" s="29" t="inlineStr">
        <is>
          <t>KRW</t>
        </is>
      </c>
      <c r="Q376" s="29" t="inlineStr">
        <is>
          <t>21</t>
        </is>
      </c>
    </row>
    <row r="377" ht="24" customHeight="1">
      <c r="A377" s="24" t="inlineStr">
        <is>
          <t>OpenDART_fnlttSinglAcntAll</t>
        </is>
      </c>
      <c r="B377" s="24" t="inlineStr">
        <is>
          <t>00245472</t>
        </is>
      </c>
      <c r="C377" s="24" t="inlineStr">
        <is>
          <t>티씨케이</t>
        </is>
      </c>
      <c r="D377" s="24" t="inlineStr">
        <is>
          <t>tck</t>
        </is>
      </c>
      <c r="E377" s="24" t="inlineStr">
        <is>
          <t>064760</t>
        </is>
      </c>
      <c r="F377" s="24" t="inlineStr">
        <is>
          <t>2024</t>
        </is>
      </c>
      <c r="G377" s="24" t="inlineStr">
        <is>
          <t>OFS</t>
        </is>
      </c>
      <c r="H377" s="24" t="inlineStr">
        <is>
          <t>CF</t>
        </is>
      </c>
      <c r="I377" s="24" t="inlineStr">
        <is>
          <t>현금흐름표</t>
        </is>
      </c>
      <c r="J377" s="24" t="inlineStr">
        <is>
          <t>dart_AdjustmentsForIncreaseDecreaseInDerivativeLiabilities</t>
        </is>
      </c>
      <c r="K377" s="24" t="inlineStr">
        <is>
          <t>(6) 파생상품부채의 감소</t>
        </is>
      </c>
      <c r="L377" s="24" t="inlineStr">
        <is>
          <t>-</t>
        </is>
      </c>
      <c r="M377" s="24" t="inlineStr">
        <is>
          <t>제 30 기</t>
        </is>
      </c>
      <c r="N377" s="24" t="inlineStr">
        <is>
          <t>-2927045087.0</t>
        </is>
      </c>
      <c r="O377" s="24" t="inlineStr">
        <is>
          <t>-2011919446.0</t>
        </is>
      </c>
      <c r="P377" s="24" t="inlineStr">
        <is>
          <t>KRW</t>
        </is>
      </c>
      <c r="Q377" s="24" t="inlineStr">
        <is>
          <t>22</t>
        </is>
      </c>
    </row>
    <row r="378" ht="24" customHeight="1">
      <c r="A378" s="29" t="inlineStr">
        <is>
          <t>OpenDART_fnlttSinglAcntAll</t>
        </is>
      </c>
      <c r="B378" s="29" t="inlineStr">
        <is>
          <t>00245472</t>
        </is>
      </c>
      <c r="C378" s="29" t="inlineStr">
        <is>
          <t>티씨케이</t>
        </is>
      </c>
      <c r="D378" s="29" t="inlineStr">
        <is>
          <t>tck</t>
        </is>
      </c>
      <c r="E378" s="29" t="inlineStr">
        <is>
          <t>064760</t>
        </is>
      </c>
      <c r="F378" s="29" t="inlineStr">
        <is>
          <t>2024</t>
        </is>
      </c>
      <c r="G378" s="29" t="inlineStr">
        <is>
          <t>OFS</t>
        </is>
      </c>
      <c r="H378" s="29" t="inlineStr">
        <is>
          <t>CF</t>
        </is>
      </c>
      <c r="I378" s="29" t="inlineStr">
        <is>
          <t>현금흐름표</t>
        </is>
      </c>
      <c r="J378" s="29" t="inlineStr">
        <is>
          <t>dart_IncreaseInGuaranteeDeposits</t>
        </is>
      </c>
      <c r="K378" s="29" t="inlineStr">
        <is>
          <t>(3) 임차보증금의 증가</t>
        </is>
      </c>
      <c r="L378" s="29" t="inlineStr">
        <is>
          <t>-</t>
        </is>
      </c>
      <c r="M378" s="29" t="inlineStr">
        <is>
          <t>제 30 기</t>
        </is>
      </c>
      <c r="N378" s="29" t="inlineStr">
        <is>
          <t>-240000000.0</t>
        </is>
      </c>
      <c r="O378" s="29" t="inlineStr">
        <is>
          <t>-310649900.0</t>
        </is>
      </c>
      <c r="P378" s="29" t="inlineStr">
        <is>
          <t>KRW</t>
        </is>
      </c>
      <c r="Q378" s="29" t="inlineStr">
        <is>
          <t>23</t>
        </is>
      </c>
    </row>
    <row r="379" ht="24" customHeight="1">
      <c r="A379" s="24" t="inlineStr">
        <is>
          <t>OpenDART_fnlttSinglAcntAll</t>
        </is>
      </c>
      <c r="B379" s="24" t="inlineStr">
        <is>
          <t>00245472</t>
        </is>
      </c>
      <c r="C379" s="24" t="inlineStr">
        <is>
          <t>티씨케이</t>
        </is>
      </c>
      <c r="D379" s="24" t="inlineStr">
        <is>
          <t>tck</t>
        </is>
      </c>
      <c r="E379" s="24" t="inlineStr">
        <is>
          <t>064760</t>
        </is>
      </c>
      <c r="F379" s="24" t="inlineStr">
        <is>
          <t>2024</t>
        </is>
      </c>
      <c r="G379" s="24" t="inlineStr">
        <is>
          <t>OFS</t>
        </is>
      </c>
      <c r="H379" s="24" t="inlineStr">
        <is>
          <t>CF</t>
        </is>
      </c>
      <c r="I379" s="24" t="inlineStr">
        <is>
          <t>현금흐름표</t>
        </is>
      </c>
      <c r="J379" s="24" t="inlineStr">
        <is>
          <t>dart_PurchaseOfLongTermLoansAndReceivables</t>
        </is>
      </c>
      <c r="K379" s="24" t="inlineStr">
        <is>
          <t>(2) 장기대여금의 증가</t>
        </is>
      </c>
      <c r="L379" s="24" t="inlineStr">
        <is>
          <t>-</t>
        </is>
      </c>
      <c r="M379" s="24" t="inlineStr">
        <is>
          <t>제 30 기</t>
        </is>
      </c>
      <c r="N379" s="24" t="inlineStr">
        <is>
          <t>-1332000000.0</t>
        </is>
      </c>
      <c r="O379" s="24" t="inlineStr">
        <is>
          <t>-366000000.0</t>
        </is>
      </c>
      <c r="P379" s="24" t="inlineStr">
        <is>
          <t>KRW</t>
        </is>
      </c>
      <c r="Q379" s="24" t="inlineStr">
        <is>
          <t>24</t>
        </is>
      </c>
    </row>
    <row r="380" ht="24" customHeight="1">
      <c r="A380" s="29" t="inlineStr">
        <is>
          <t>OpenDART_fnlttSinglAcntAll</t>
        </is>
      </c>
      <c r="B380" s="29" t="inlineStr">
        <is>
          <t>00245472</t>
        </is>
      </c>
      <c r="C380" s="29" t="inlineStr">
        <is>
          <t>티씨케이</t>
        </is>
      </c>
      <c r="D380" s="29" t="inlineStr">
        <is>
          <t>tck</t>
        </is>
      </c>
      <c r="E380" s="29" t="inlineStr">
        <is>
          <t>064760</t>
        </is>
      </c>
      <c r="F380" s="29" t="inlineStr">
        <is>
          <t>2024</t>
        </is>
      </c>
      <c r="G380" s="29" t="inlineStr">
        <is>
          <t>OFS</t>
        </is>
      </c>
      <c r="H380" s="29" t="inlineStr">
        <is>
          <t>CF</t>
        </is>
      </c>
      <c r="I380" s="29" t="inlineStr">
        <is>
          <t>현금흐름표</t>
        </is>
      </c>
      <c r="J380" s="29" t="inlineStr">
        <is>
          <t>dart_PurchaseOfShortTermFinancialInstruments</t>
        </is>
      </c>
      <c r="K380" s="29" t="inlineStr">
        <is>
          <t>(1) 단기금융상품의 취득</t>
        </is>
      </c>
      <c r="L380" s="29" t="inlineStr">
        <is>
          <t>-</t>
        </is>
      </c>
      <c r="M380" s="29" t="inlineStr">
        <is>
          <t>제 30 기</t>
        </is>
      </c>
      <c r="N380" s="29" t="inlineStr">
        <is>
          <t>-251000000000.0</t>
        </is>
      </c>
      <c r="O380" s="29" t="inlineStr">
        <is>
          <t>-190000000000.0</t>
        </is>
      </c>
      <c r="P380" s="29" t="inlineStr">
        <is>
          <t>KRW</t>
        </is>
      </c>
      <c r="Q380" s="29" t="inlineStr">
        <is>
          <t>25</t>
        </is>
      </c>
    </row>
    <row r="381" ht="24" customHeight="1">
      <c r="A381" s="24" t="inlineStr">
        <is>
          <t>OpenDART_fnlttSinglAcntAll</t>
        </is>
      </c>
      <c r="B381" s="24" t="inlineStr">
        <is>
          <t>00245472</t>
        </is>
      </c>
      <c r="C381" s="24" t="inlineStr">
        <is>
          <t>티씨케이</t>
        </is>
      </c>
      <c r="D381" s="24" t="inlineStr">
        <is>
          <t>tck</t>
        </is>
      </c>
      <c r="E381" s="24" t="inlineStr">
        <is>
          <t>064760</t>
        </is>
      </c>
      <c r="F381" s="24" t="inlineStr">
        <is>
          <t>2024</t>
        </is>
      </c>
      <c r="G381" s="24" t="inlineStr">
        <is>
          <t>OFS</t>
        </is>
      </c>
      <c r="H381" s="24" t="inlineStr">
        <is>
          <t>CF</t>
        </is>
      </c>
      <c r="I381" s="24" t="inlineStr">
        <is>
          <t>현금흐름표</t>
        </is>
      </c>
      <c r="J381" s="24" t="inlineStr">
        <is>
          <t>ifrs-full_PurchaseOfIntangibleAssetsClassifiedAsInvestingActivities</t>
        </is>
      </c>
      <c r="K381" s="24" t="inlineStr">
        <is>
          <t>(5) 무형자산의 취득</t>
        </is>
      </c>
      <c r="L381" s="24" t="inlineStr">
        <is>
          <t>-</t>
        </is>
      </c>
      <c r="M381" s="24" t="inlineStr">
        <is>
          <t>제 30 기</t>
        </is>
      </c>
      <c r="N381" s="24" t="inlineStr">
        <is>
          <t>-433979393.0</t>
        </is>
      </c>
      <c r="O381" s="24" t="inlineStr">
        <is>
          <t>-509749324.0</t>
        </is>
      </c>
      <c r="P381" s="24" t="inlineStr">
        <is>
          <t>KRW</t>
        </is>
      </c>
      <c r="Q381" s="24" t="inlineStr">
        <is>
          <t>26</t>
        </is>
      </c>
    </row>
    <row r="382" ht="24" customHeight="1">
      <c r="A382" s="29" t="inlineStr">
        <is>
          <t>OpenDART_fnlttSinglAcntAll</t>
        </is>
      </c>
      <c r="B382" s="29" t="inlineStr">
        <is>
          <t>00245472</t>
        </is>
      </c>
      <c r="C382" s="29" t="inlineStr">
        <is>
          <t>티씨케이</t>
        </is>
      </c>
      <c r="D382" s="29" t="inlineStr">
        <is>
          <t>tck</t>
        </is>
      </c>
      <c r="E382" s="29" t="inlineStr">
        <is>
          <t>064760</t>
        </is>
      </c>
      <c r="F382" s="29" t="inlineStr">
        <is>
          <t>2024</t>
        </is>
      </c>
      <c r="G382" s="29" t="inlineStr">
        <is>
          <t>OFS</t>
        </is>
      </c>
      <c r="H382" s="29" t="inlineStr">
        <is>
          <t>CF</t>
        </is>
      </c>
      <c r="I382" s="29" t="inlineStr">
        <is>
          <t>현금흐름표</t>
        </is>
      </c>
      <c r="J382" s="29" t="inlineStr">
        <is>
          <t>ifrs-full_PurchaseOfPropertyPlantAndEquipmentClassifiedAsInvestingActivities</t>
        </is>
      </c>
      <c r="K382" s="29" t="inlineStr">
        <is>
          <t>(4) 유형자산의 취득</t>
        </is>
      </c>
      <c r="L382" s="29" t="inlineStr">
        <is>
          <t>-</t>
        </is>
      </c>
      <c r="M382" s="29" t="inlineStr">
        <is>
          <t>제 30 기</t>
        </is>
      </c>
      <c r="N382" s="29" t="inlineStr">
        <is>
          <t>-7565682486.0</t>
        </is>
      </c>
      <c r="O382" s="29" t="inlineStr">
        <is>
          <t>-47434204412.0</t>
        </is>
      </c>
      <c r="P382" s="29" t="inlineStr">
        <is>
          <t>KRW</t>
        </is>
      </c>
      <c r="Q382" s="29" t="inlineStr">
        <is>
          <t>27</t>
        </is>
      </c>
    </row>
    <row r="383" ht="24" customHeight="1">
      <c r="A383" s="24" t="inlineStr">
        <is>
          <t>OpenDART_fnlttSinglAcntAll</t>
        </is>
      </c>
      <c r="B383" s="24" t="inlineStr">
        <is>
          <t>00245472</t>
        </is>
      </c>
      <c r="C383" s="24" t="inlineStr">
        <is>
          <t>티씨케이</t>
        </is>
      </c>
      <c r="D383" s="24" t="inlineStr">
        <is>
          <t>tck</t>
        </is>
      </c>
      <c r="E383" s="24" t="inlineStr">
        <is>
          <t>064760</t>
        </is>
      </c>
      <c r="F383" s="24" t="inlineStr">
        <is>
          <t>2024</t>
        </is>
      </c>
      <c r="G383" s="24" t="inlineStr">
        <is>
          <t>OFS</t>
        </is>
      </c>
      <c r="H383" s="24" t="inlineStr">
        <is>
          <t>CF</t>
        </is>
      </c>
      <c r="I383" s="24" t="inlineStr">
        <is>
          <t>현금흐름표</t>
        </is>
      </c>
      <c r="J383" s="24" t="inlineStr">
        <is>
          <t>ifrs-full_CashFlowsFromUsedInOperatingActivities</t>
        </is>
      </c>
      <c r="K383" s="24" t="inlineStr">
        <is>
          <t>I. 영업활동으로 인한 현금흐름</t>
        </is>
      </c>
      <c r="L383" s="24" t="inlineStr">
        <is>
          <t>-</t>
        </is>
      </c>
      <c r="M383" s="24" t="inlineStr">
        <is>
          <t>제 30 기</t>
        </is>
      </c>
      <c r="N383" s="24" t="inlineStr">
        <is>
          <t>74417172514.0</t>
        </is>
      </c>
      <c r="O383" s="24" t="inlineStr">
        <is>
          <t>20979642673.0</t>
        </is>
      </c>
      <c r="P383" s="24" t="inlineStr">
        <is>
          <t>KRW</t>
        </is>
      </c>
      <c r="Q383" s="24" t="inlineStr">
        <is>
          <t>28</t>
        </is>
      </c>
    </row>
    <row r="384" ht="24" customHeight="1">
      <c r="A384" s="29" t="inlineStr">
        <is>
          <t>OpenDART_fnlttSinglAcntAll</t>
        </is>
      </c>
      <c r="B384" s="29" t="inlineStr">
        <is>
          <t>00245472</t>
        </is>
      </c>
      <c r="C384" s="29" t="inlineStr">
        <is>
          <t>티씨케이</t>
        </is>
      </c>
      <c r="D384" s="29" t="inlineStr">
        <is>
          <t>tck</t>
        </is>
      </c>
      <c r="E384" s="29" t="inlineStr">
        <is>
          <t>064760</t>
        </is>
      </c>
      <c r="F384" s="29" t="inlineStr">
        <is>
          <t>2024</t>
        </is>
      </c>
      <c r="G384" s="29" t="inlineStr">
        <is>
          <t>OFS</t>
        </is>
      </c>
      <c r="H384" s="29" t="inlineStr">
        <is>
          <t>CF</t>
        </is>
      </c>
      <c r="I384" s="29" t="inlineStr">
        <is>
          <t>현금흐름표</t>
        </is>
      </c>
      <c r="J384" s="29" t="inlineStr">
        <is>
          <t>-표준계정코드 미사용-</t>
        </is>
      </c>
      <c r="K384" s="29" t="inlineStr">
        <is>
          <t>1. 영업으로부터 창출된 현금</t>
        </is>
      </c>
      <c r="L384" s="29" t="inlineStr">
        <is>
          <t>-</t>
        </is>
      </c>
      <c r="M384" s="29" t="inlineStr">
        <is>
          <t>제 30 기</t>
        </is>
      </c>
      <c r="N384" s="29" t="inlineStr">
        <is>
          <t>95637361644.0</t>
        </is>
      </c>
      <c r="O384" s="29" t="inlineStr">
        <is>
          <t>51214018044.0</t>
        </is>
      </c>
      <c r="P384" s="29" t="inlineStr">
        <is>
          <t>KRW</t>
        </is>
      </c>
      <c r="Q384" s="29" t="inlineStr">
        <is>
          <t>29</t>
        </is>
      </c>
    </row>
    <row r="385" ht="24" customHeight="1">
      <c r="A385" s="24" t="inlineStr">
        <is>
          <t>OpenDART_fnlttSinglAcntAll</t>
        </is>
      </c>
      <c r="B385" s="24" t="inlineStr">
        <is>
          <t>00245472</t>
        </is>
      </c>
      <c r="C385" s="24" t="inlineStr">
        <is>
          <t>티씨케이</t>
        </is>
      </c>
      <c r="D385" s="24" t="inlineStr">
        <is>
          <t>tck</t>
        </is>
      </c>
      <c r="E385" s="24" t="inlineStr">
        <is>
          <t>064760</t>
        </is>
      </c>
      <c r="F385" s="24" t="inlineStr">
        <is>
          <t>2024</t>
        </is>
      </c>
      <c r="G385" s="24" t="inlineStr">
        <is>
          <t>OFS</t>
        </is>
      </c>
      <c r="H385" s="24" t="inlineStr">
        <is>
          <t>CF</t>
        </is>
      </c>
      <c r="I385" s="24" t="inlineStr">
        <is>
          <t>현금흐름표</t>
        </is>
      </c>
      <c r="J385" s="24" t="inlineStr">
        <is>
          <t>dart_AdjustmentsForAssetsLiabilitiesOfOperatingActivities</t>
        </is>
      </c>
      <c r="K385" s="24" t="inlineStr">
        <is>
          <t>(3) 영업활동으로 인한 자산ㆍ부채의 변동</t>
        </is>
      </c>
      <c r="L385" s="24" t="inlineStr">
        <is>
          <t>-</t>
        </is>
      </c>
      <c r="M385" s="24" t="inlineStr">
        <is>
          <t>제 30 기</t>
        </is>
      </c>
      <c r="N385" s="24" t="inlineStr">
        <is>
          <t>-10798249692.0</t>
        </is>
      </c>
      <c r="O385" s="24" t="inlineStr">
        <is>
          <t>-36577030861.0</t>
        </is>
      </c>
      <c r="P385" s="24" t="inlineStr">
        <is>
          <t>KRW</t>
        </is>
      </c>
      <c r="Q385" s="24" t="inlineStr">
        <is>
          <t>30</t>
        </is>
      </c>
    </row>
    <row r="386" ht="24" customHeight="1">
      <c r="A386" s="29" t="inlineStr">
        <is>
          <t>OpenDART_fnlttSinglAcntAll</t>
        </is>
      </c>
      <c r="B386" s="29" t="inlineStr">
        <is>
          <t>00245472</t>
        </is>
      </c>
      <c r="C386" s="29" t="inlineStr">
        <is>
          <t>티씨케이</t>
        </is>
      </c>
      <c r="D386" s="29" t="inlineStr">
        <is>
          <t>tck</t>
        </is>
      </c>
      <c r="E386" s="29" t="inlineStr">
        <is>
          <t>064760</t>
        </is>
      </c>
      <c r="F386" s="29" t="inlineStr">
        <is>
          <t>2024</t>
        </is>
      </c>
      <c r="G386" s="29" t="inlineStr">
        <is>
          <t>OFS</t>
        </is>
      </c>
      <c r="H386" s="29" t="inlineStr">
        <is>
          <t>CF</t>
        </is>
      </c>
      <c r="I386" s="29" t="inlineStr">
        <is>
          <t>현금흐름표</t>
        </is>
      </c>
      <c r="J386" s="29" t="inlineStr">
        <is>
          <t>ifrs-full_AdjustmentsForReconcileProfitLoss</t>
        </is>
      </c>
      <c r="K386" s="29" t="inlineStr">
        <is>
          <t>(2) 조정</t>
        </is>
      </c>
      <c r="L386" s="29" t="inlineStr">
        <is>
          <t>-</t>
        </is>
      </c>
      <c r="M386" s="29" t="inlineStr">
        <is>
          <t>제 30 기</t>
        </is>
      </c>
      <c r="N386" s="29" t="inlineStr">
        <is>
          <t>34441574766.0</t>
        </is>
      </c>
      <c r="O386" s="29" t="inlineStr">
        <is>
          <t>26546482242.0</t>
        </is>
      </c>
      <c r="P386" s="29" t="inlineStr">
        <is>
          <t>KRW</t>
        </is>
      </c>
      <c r="Q386" s="29" t="inlineStr">
        <is>
          <t>31</t>
        </is>
      </c>
    </row>
    <row r="387" ht="24" customHeight="1">
      <c r="A387" s="24" t="inlineStr">
        <is>
          <t>OpenDART_fnlttSinglAcntAll</t>
        </is>
      </c>
      <c r="B387" s="24" t="inlineStr">
        <is>
          <t>00245472</t>
        </is>
      </c>
      <c r="C387" s="24" t="inlineStr">
        <is>
          <t>티씨케이</t>
        </is>
      </c>
      <c r="D387" s="24" t="inlineStr">
        <is>
          <t>tck</t>
        </is>
      </c>
      <c r="E387" s="24" t="inlineStr">
        <is>
          <t>064760</t>
        </is>
      </c>
      <c r="F387" s="24" t="inlineStr">
        <is>
          <t>2024</t>
        </is>
      </c>
      <c r="G387" s="24" t="inlineStr">
        <is>
          <t>OFS</t>
        </is>
      </c>
      <c r="H387" s="24" t="inlineStr">
        <is>
          <t>CF</t>
        </is>
      </c>
      <c r="I387" s="24" t="inlineStr">
        <is>
          <t>현금흐름표</t>
        </is>
      </c>
      <c r="J387" s="24" t="inlineStr">
        <is>
          <t>ifrs-full_ProfitLoss</t>
        </is>
      </c>
      <c r="K387" s="24" t="inlineStr">
        <is>
          <t>Ⅵ. 당기순이익</t>
        </is>
      </c>
      <c r="L387" s="24" t="inlineStr">
        <is>
          <t>-</t>
        </is>
      </c>
      <c r="M387" s="24" t="inlineStr">
        <is>
          <t>제 30 기</t>
        </is>
      </c>
      <c r="N387" s="24" t="inlineStr">
        <is>
          <t>71994036570.0</t>
        </is>
      </c>
      <c r="O387" s="24" t="inlineStr">
        <is>
          <t>61244566663.0</t>
        </is>
      </c>
      <c r="P387" s="24" t="inlineStr">
        <is>
          <t>KRW</t>
        </is>
      </c>
      <c r="Q387" s="24" t="inlineStr">
        <is>
          <t>32</t>
        </is>
      </c>
    </row>
    <row r="388" ht="24" customHeight="1">
      <c r="A388" s="29" t="inlineStr">
        <is>
          <t>OpenDART_fnlttSinglAcntAll</t>
        </is>
      </c>
      <c r="B388" s="29" t="inlineStr">
        <is>
          <t>00245472</t>
        </is>
      </c>
      <c r="C388" s="29" t="inlineStr">
        <is>
          <t>티씨케이</t>
        </is>
      </c>
      <c r="D388" s="29" t="inlineStr">
        <is>
          <t>tck</t>
        </is>
      </c>
      <c r="E388" s="29" t="inlineStr">
        <is>
          <t>064760</t>
        </is>
      </c>
      <c r="F388" s="29" t="inlineStr">
        <is>
          <t>2024</t>
        </is>
      </c>
      <c r="G388" s="29" t="inlineStr">
        <is>
          <t>OFS</t>
        </is>
      </c>
      <c r="H388" s="29" t="inlineStr">
        <is>
          <t>CF</t>
        </is>
      </c>
      <c r="I388" s="29" t="inlineStr">
        <is>
          <t>현금흐름표</t>
        </is>
      </c>
      <c r="J388" s="29" t="inlineStr">
        <is>
          <t>ifrs-full_DividendsPaidClassifiedAsOperatingActivities</t>
        </is>
      </c>
      <c r="K388" s="29" t="inlineStr">
        <is>
          <t>4. 배당금지급</t>
        </is>
      </c>
      <c r="L388" s="29" t="inlineStr">
        <is>
          <t>-</t>
        </is>
      </c>
      <c r="M388" s="29" t="inlineStr">
        <is>
          <t>제 30 기</t>
        </is>
      </c>
      <c r="N388" s="29" t="inlineStr">
        <is>
          <t>14010000000.0</t>
        </is>
      </c>
      <c r="O388" s="29" t="inlineStr">
        <is>
          <t>19847500000.0</t>
        </is>
      </c>
      <c r="P388" s="29" t="inlineStr">
        <is>
          <t>KRW</t>
        </is>
      </c>
      <c r="Q388" s="29" t="inlineStr">
        <is>
          <t>33</t>
        </is>
      </c>
    </row>
    <row r="389" ht="24" customHeight="1">
      <c r="A389" s="24" t="inlineStr">
        <is>
          <t>OpenDART_fnlttSinglAcntAll</t>
        </is>
      </c>
      <c r="B389" s="24" t="inlineStr">
        <is>
          <t>00245472</t>
        </is>
      </c>
      <c r="C389" s="24" t="inlineStr">
        <is>
          <t>티씨케이</t>
        </is>
      </c>
      <c r="D389" s="24" t="inlineStr">
        <is>
          <t>tck</t>
        </is>
      </c>
      <c r="E389" s="24" t="inlineStr">
        <is>
          <t>064760</t>
        </is>
      </c>
      <c r="F389" s="24" t="inlineStr">
        <is>
          <t>2024</t>
        </is>
      </c>
      <c r="G389" s="24" t="inlineStr">
        <is>
          <t>OFS</t>
        </is>
      </c>
      <c r="H389" s="24" t="inlineStr">
        <is>
          <t>CF</t>
        </is>
      </c>
      <c r="I389" s="24" t="inlineStr">
        <is>
          <t>현금흐름표</t>
        </is>
      </c>
      <c r="J389" s="24" t="inlineStr">
        <is>
          <t>ifrs-full_IncomeTaxesPaidRefundClassifiedAsOperatingActivities</t>
        </is>
      </c>
      <c r="K389" s="24" t="inlineStr">
        <is>
          <t>5. 법인세납부</t>
        </is>
      </c>
      <c r="L389" s="24" t="inlineStr">
        <is>
          <t>-</t>
        </is>
      </c>
      <c r="M389" s="24" t="inlineStr">
        <is>
          <t>제 30 기</t>
        </is>
      </c>
      <c r="N389" s="24" t="inlineStr">
        <is>
          <t>15834708728.0</t>
        </is>
      </c>
      <c r="O389" s="24" t="inlineStr">
        <is>
          <t>19375715624.0</t>
        </is>
      </c>
      <c r="P389" s="24" t="inlineStr">
        <is>
          <t>KRW</t>
        </is>
      </c>
      <c r="Q389" s="24" t="inlineStr">
        <is>
          <t>34</t>
        </is>
      </c>
    </row>
    <row r="390" ht="24" customHeight="1">
      <c r="A390" s="29" t="inlineStr">
        <is>
          <t>OpenDART_fnlttSinglAcntAll</t>
        </is>
      </c>
      <c r="B390" s="29" t="inlineStr">
        <is>
          <t>00245472</t>
        </is>
      </c>
      <c r="C390" s="29" t="inlineStr">
        <is>
          <t>티씨케이</t>
        </is>
      </c>
      <c r="D390" s="29" t="inlineStr">
        <is>
          <t>tck</t>
        </is>
      </c>
      <c r="E390" s="29" t="inlineStr">
        <is>
          <t>064760</t>
        </is>
      </c>
      <c r="F390" s="29" t="inlineStr">
        <is>
          <t>2024</t>
        </is>
      </c>
      <c r="G390" s="29" t="inlineStr">
        <is>
          <t>OFS</t>
        </is>
      </c>
      <c r="H390" s="29" t="inlineStr">
        <is>
          <t>CF</t>
        </is>
      </c>
      <c r="I390" s="29" t="inlineStr">
        <is>
          <t>현금흐름표</t>
        </is>
      </c>
      <c r="J390" s="29" t="inlineStr">
        <is>
          <t>ifrs-full_InterestPaidClassifiedAsOperatingActivities</t>
        </is>
      </c>
      <c r="K390" s="29" t="inlineStr">
        <is>
          <t>3. 이자지급</t>
        </is>
      </c>
      <c r="L390" s="29" t="inlineStr">
        <is>
          <t>-</t>
        </is>
      </c>
      <c r="M390" s="29" t="inlineStr">
        <is>
          <t>제 30 기</t>
        </is>
      </c>
      <c r="N390" s="29" t="inlineStr">
        <is>
          <t>31971330.0</t>
        </is>
      </c>
      <c r="O390" s="29" t="inlineStr">
        <is>
          <t>27593519.0</t>
        </is>
      </c>
      <c r="P390" s="29" t="inlineStr">
        <is>
          <t>KRW</t>
        </is>
      </c>
      <c r="Q390" s="29" t="inlineStr">
        <is>
          <t>35</t>
        </is>
      </c>
    </row>
    <row r="391" ht="24" customHeight="1">
      <c r="A391" s="24" t="inlineStr">
        <is>
          <t>OpenDART_fnlttSinglAcntAll</t>
        </is>
      </c>
      <c r="B391" s="24" t="inlineStr">
        <is>
          <t>00245472</t>
        </is>
      </c>
      <c r="C391" s="24" t="inlineStr">
        <is>
          <t>티씨케이</t>
        </is>
      </c>
      <c r="D391" s="24" t="inlineStr">
        <is>
          <t>tck</t>
        </is>
      </c>
      <c r="E391" s="24" t="inlineStr">
        <is>
          <t>064760</t>
        </is>
      </c>
      <c r="F391" s="24" t="inlineStr">
        <is>
          <t>2024</t>
        </is>
      </c>
      <c r="G391" s="24" t="inlineStr">
        <is>
          <t>OFS</t>
        </is>
      </c>
      <c r="H391" s="24" t="inlineStr">
        <is>
          <t>CF</t>
        </is>
      </c>
      <c r="I391" s="24" t="inlineStr">
        <is>
          <t>현금흐름표</t>
        </is>
      </c>
      <c r="J391" s="24" t="inlineStr">
        <is>
          <t>ifrs-full_InterestReceivedClassifiedAsOperatingActivities</t>
        </is>
      </c>
      <c r="K391" s="24" t="inlineStr">
        <is>
          <t>2. 이자수취</t>
        </is>
      </c>
      <c r="L391" s="24" t="inlineStr">
        <is>
          <t>-</t>
        </is>
      </c>
      <c r="M391" s="24" t="inlineStr">
        <is>
          <t>제 30 기</t>
        </is>
      </c>
      <c r="N391" s="24" t="inlineStr">
        <is>
          <t>8656490928.0</t>
        </is>
      </c>
      <c r="O391" s="24" t="inlineStr">
        <is>
          <t>9016433772.0</t>
        </is>
      </c>
      <c r="P391" s="24" t="inlineStr">
        <is>
          <t>KRW</t>
        </is>
      </c>
      <c r="Q391" s="24" t="inlineStr">
        <is>
          <t>36</t>
        </is>
      </c>
    </row>
    <row r="392" ht="24" customHeight="1">
      <c r="A392" s="29" t="inlineStr">
        <is>
          <t>OpenDART_fnlttSinglAcntAll</t>
        </is>
      </c>
      <c r="B392" s="29" t="inlineStr">
        <is>
          <t>00245472</t>
        </is>
      </c>
      <c r="C392" s="29" t="inlineStr">
        <is>
          <t>티씨케이</t>
        </is>
      </c>
      <c r="D392" s="29" t="inlineStr">
        <is>
          <t>tck</t>
        </is>
      </c>
      <c r="E392" s="29" t="inlineStr">
        <is>
          <t>064760</t>
        </is>
      </c>
      <c r="F392" s="29" t="inlineStr">
        <is>
          <t>2024</t>
        </is>
      </c>
      <c r="G392" s="29" t="inlineStr">
        <is>
          <t>OFS</t>
        </is>
      </c>
      <c r="H392" s="29" t="inlineStr">
        <is>
          <t>CF</t>
        </is>
      </c>
      <c r="I392" s="29" t="inlineStr">
        <is>
          <t>현금흐름표</t>
        </is>
      </c>
      <c r="J392" s="29" t="inlineStr">
        <is>
          <t>ifrs-full_EffectOfExchangeRateChangesOnCashAndCashEquivalents</t>
        </is>
      </c>
      <c r="K392" s="29" t="inlineStr">
        <is>
          <t>VI. 현금및현금성자산에 대한 환율변동효과</t>
        </is>
      </c>
      <c r="L392" s="29" t="inlineStr">
        <is>
          <t>-</t>
        </is>
      </c>
      <c r="M392" s="29" t="inlineStr">
        <is>
          <t>제 30 기</t>
        </is>
      </c>
      <c r="N392" s="29" t="inlineStr">
        <is>
          <t>8768787.0</t>
        </is>
      </c>
      <c r="O392" s="29" t="inlineStr">
        <is>
          <t>305004.0</t>
        </is>
      </c>
      <c r="P392" s="29" t="inlineStr">
        <is>
          <t>KRW</t>
        </is>
      </c>
      <c r="Q392" s="29" t="inlineStr">
        <is>
          <t>37</t>
        </is>
      </c>
    </row>
    <row r="393" ht="24" customHeight="1">
      <c r="A393" s="24" t="inlineStr">
        <is>
          <t>OpenDART_fnlttSinglAcntAll</t>
        </is>
      </c>
      <c r="B393" s="24" t="inlineStr">
        <is>
          <t>00245472</t>
        </is>
      </c>
      <c r="C393" s="24" t="inlineStr">
        <is>
          <t>티씨케이</t>
        </is>
      </c>
      <c r="D393" s="24" t="inlineStr">
        <is>
          <t>tck</t>
        </is>
      </c>
      <c r="E393" s="24" t="inlineStr">
        <is>
          <t>064760</t>
        </is>
      </c>
      <c r="F393" s="24" t="inlineStr">
        <is>
          <t>2024</t>
        </is>
      </c>
      <c r="G393" s="24" t="inlineStr">
        <is>
          <t>OFS</t>
        </is>
      </c>
      <c r="H393" s="24" t="inlineStr">
        <is>
          <t>CF</t>
        </is>
      </c>
      <c r="I393" s="24" t="inlineStr">
        <is>
          <t>현금흐름표</t>
        </is>
      </c>
      <c r="J393" s="24" t="inlineStr">
        <is>
          <t>ifrs-full_IncreaseDecreaseInCashAndCashEquivalentsBeforeEffectOfExchangeRateChanges</t>
        </is>
      </c>
      <c r="K393" s="24" t="inlineStr">
        <is>
          <t>IV. 현금및현금성자산의 증가(감소)</t>
        </is>
      </c>
      <c r="L393" s="24" t="inlineStr">
        <is>
          <t>-</t>
        </is>
      </c>
      <c r="M393" s="24" t="inlineStr">
        <is>
          <t>제 30 기</t>
        </is>
      </c>
      <c r="N393" s="24" t="inlineStr">
        <is>
          <t>2087175333.0</t>
        </is>
      </c>
      <c r="O393" s="24" t="inlineStr">
        <is>
          <t>-12901783771.0</t>
        </is>
      </c>
      <c r="P393" s="24" t="inlineStr">
        <is>
          <t>KRW</t>
        </is>
      </c>
      <c r="Q393" s="24" t="inlineStr">
        <is>
          <t>38</t>
        </is>
      </c>
    </row>
    <row r="394" ht="24" customHeight="1">
      <c r="A394" s="29" t="inlineStr">
        <is>
          <t>OpenDART_fnlttSinglAcntAll</t>
        </is>
      </c>
      <c r="B394" s="29" t="inlineStr">
        <is>
          <t>00245472</t>
        </is>
      </c>
      <c r="C394" s="29" t="inlineStr">
        <is>
          <t>티씨케이</t>
        </is>
      </c>
      <c r="D394" s="29" t="inlineStr">
        <is>
          <t>tck</t>
        </is>
      </c>
      <c r="E394" s="29" t="inlineStr">
        <is>
          <t>064760</t>
        </is>
      </c>
      <c r="F394" s="29" t="inlineStr">
        <is>
          <t>2024</t>
        </is>
      </c>
      <c r="G394" s="29" t="inlineStr">
        <is>
          <t>OFS</t>
        </is>
      </c>
      <c r="H394" s="29" t="inlineStr">
        <is>
          <t>SCE</t>
        </is>
      </c>
      <c r="I394" s="29" t="inlineStr">
        <is>
          <t>자본변동표</t>
        </is>
      </c>
      <c r="J394" s="29" t="inlineStr">
        <is>
          <t>dart_EquityAtBeginningOfPeriod</t>
        </is>
      </c>
      <c r="K394" s="29" t="inlineStr">
        <is>
          <t>기초자본</t>
        </is>
      </c>
      <c r="L394" s="29" t="inlineStr">
        <is>
          <t>자본 [구성요소]|기타자본구성요소 [구성요소]</t>
        </is>
      </c>
      <c r="M394" s="29" t="inlineStr">
        <is>
          <t>제 30 기</t>
        </is>
      </c>
      <c r="N394" s="29" t="inlineStr">
        <is>
          <t>233168836.0</t>
        </is>
      </c>
      <c r="O394" s="29" t="inlineStr">
        <is>
          <t>233168836.0</t>
        </is>
      </c>
      <c r="P394" s="29" t="inlineStr">
        <is>
          <t>KRW</t>
        </is>
      </c>
      <c r="Q394" s="29" t="inlineStr">
        <is>
          <t>3</t>
        </is>
      </c>
    </row>
    <row r="395" ht="24" customHeight="1">
      <c r="A395" s="24" t="inlineStr">
        <is>
          <t>OpenDART_fnlttSinglAcntAll</t>
        </is>
      </c>
      <c r="B395" s="24" t="inlineStr">
        <is>
          <t>00245472</t>
        </is>
      </c>
      <c r="C395" s="24" t="inlineStr">
        <is>
          <t>티씨케이</t>
        </is>
      </c>
      <c r="D395" s="24" t="inlineStr">
        <is>
          <t>tck</t>
        </is>
      </c>
      <c r="E395" s="24" t="inlineStr">
        <is>
          <t>064760</t>
        </is>
      </c>
      <c r="F395" s="24" t="inlineStr">
        <is>
          <t>2024</t>
        </is>
      </c>
      <c r="G395" s="24" t="inlineStr">
        <is>
          <t>OFS</t>
        </is>
      </c>
      <c r="H395" s="24" t="inlineStr">
        <is>
          <t>SCE</t>
        </is>
      </c>
      <c r="I395" s="24" t="inlineStr">
        <is>
          <t>자본변동표</t>
        </is>
      </c>
      <c r="J395" s="24" t="inlineStr">
        <is>
          <t>dart_EquityAtBeginningOfPeriod</t>
        </is>
      </c>
      <c r="K395" s="24" t="inlineStr">
        <is>
          <t>기초자본</t>
        </is>
      </c>
      <c r="L395" s="24" t="inlineStr">
        <is>
          <t>별도재무제표 [member]</t>
        </is>
      </c>
      <c r="M395" s="24" t="inlineStr">
        <is>
          <t>제 30 기</t>
        </is>
      </c>
      <c r="N395" s="24" t="inlineStr">
        <is>
          <t>458270711744.0</t>
        </is>
      </c>
      <c r="O395" s="24" t="inlineStr">
        <is>
          <t>416873645081.0</t>
        </is>
      </c>
      <c r="P395" s="24" t="inlineStr">
        <is>
          <t>KRW</t>
        </is>
      </c>
      <c r="Q395" s="24" t="inlineStr">
        <is>
          <t>3</t>
        </is>
      </c>
    </row>
    <row r="396" ht="24" customHeight="1">
      <c r="A396" s="29" t="inlineStr">
        <is>
          <t>OpenDART_fnlttSinglAcntAll</t>
        </is>
      </c>
      <c r="B396" s="29" t="inlineStr">
        <is>
          <t>00245472</t>
        </is>
      </c>
      <c r="C396" s="29" t="inlineStr">
        <is>
          <t>티씨케이</t>
        </is>
      </c>
      <c r="D396" s="29" t="inlineStr">
        <is>
          <t>tck</t>
        </is>
      </c>
      <c r="E396" s="29" t="inlineStr">
        <is>
          <t>064760</t>
        </is>
      </c>
      <c r="F396" s="29" t="inlineStr">
        <is>
          <t>2024</t>
        </is>
      </c>
      <c r="G396" s="29" t="inlineStr">
        <is>
          <t>OFS</t>
        </is>
      </c>
      <c r="H396" s="29" t="inlineStr">
        <is>
          <t>SCE</t>
        </is>
      </c>
      <c r="I396" s="29" t="inlineStr">
        <is>
          <t>자본변동표</t>
        </is>
      </c>
      <c r="J396" s="29" t="inlineStr">
        <is>
          <t>dart_EquityAtBeginningOfPeriod</t>
        </is>
      </c>
      <c r="K396" s="29" t="inlineStr">
        <is>
          <t>기초자본</t>
        </is>
      </c>
      <c r="L396" s="29" t="inlineStr">
        <is>
          <t>자본 [구성요소]|이익잉여금 [구성요소]</t>
        </is>
      </c>
      <c r="M396" s="29" t="inlineStr">
        <is>
          <t>제 30 기</t>
        </is>
      </c>
      <c r="N396" s="29" t="inlineStr">
        <is>
          <t>446165040988.0</t>
        </is>
      </c>
      <c r="O396" s="29" t="inlineStr">
        <is>
          <t>404767974325.0</t>
        </is>
      </c>
      <c r="P396" s="29" t="inlineStr">
        <is>
          <t>KRW</t>
        </is>
      </c>
      <c r="Q396" s="29" t="inlineStr">
        <is>
          <t>3</t>
        </is>
      </c>
    </row>
    <row r="397" ht="24" customHeight="1">
      <c r="A397" s="24" t="inlineStr">
        <is>
          <t>OpenDART_fnlttSinglAcntAll</t>
        </is>
      </c>
      <c r="B397" s="24" t="inlineStr">
        <is>
          <t>00245472</t>
        </is>
      </c>
      <c r="C397" s="24" t="inlineStr">
        <is>
          <t>티씨케이</t>
        </is>
      </c>
      <c r="D397" s="24" t="inlineStr">
        <is>
          <t>tck</t>
        </is>
      </c>
      <c r="E397" s="24" t="inlineStr">
        <is>
          <t>064760</t>
        </is>
      </c>
      <c r="F397" s="24" t="inlineStr">
        <is>
          <t>2024</t>
        </is>
      </c>
      <c r="G397" s="24" t="inlineStr">
        <is>
          <t>OFS</t>
        </is>
      </c>
      <c r="H397" s="24" t="inlineStr">
        <is>
          <t>SCE</t>
        </is>
      </c>
      <c r="I397" s="24" t="inlineStr">
        <is>
          <t>자본변동표</t>
        </is>
      </c>
      <c r="J397" s="24" t="inlineStr">
        <is>
          <t>dart_EquityAtBeginningOfPeriod</t>
        </is>
      </c>
      <c r="K397" s="24" t="inlineStr">
        <is>
          <t>기초자본</t>
        </is>
      </c>
      <c r="L397" s="24" t="inlineStr">
        <is>
          <t>자본 [구성요소]|자본잉여금 [구성요소]</t>
        </is>
      </c>
      <c r="M397" s="24" t="inlineStr">
        <is>
          <t>제 30 기</t>
        </is>
      </c>
      <c r="N397" s="24" t="inlineStr">
        <is>
          <t>6035001920.0</t>
        </is>
      </c>
      <c r="O397" s="24" t="inlineStr">
        <is>
          <t>6035001920.0</t>
        </is>
      </c>
      <c r="P397" s="24" t="inlineStr">
        <is>
          <t>KRW</t>
        </is>
      </c>
      <c r="Q397" s="24" t="inlineStr">
        <is>
          <t>3</t>
        </is>
      </c>
    </row>
    <row r="398" ht="24" customHeight="1">
      <c r="A398" s="29" t="inlineStr">
        <is>
          <t>OpenDART_fnlttSinglAcntAll</t>
        </is>
      </c>
      <c r="B398" s="29" t="inlineStr">
        <is>
          <t>00245472</t>
        </is>
      </c>
      <c r="C398" s="29" t="inlineStr">
        <is>
          <t>티씨케이</t>
        </is>
      </c>
      <c r="D398" s="29" t="inlineStr">
        <is>
          <t>tck</t>
        </is>
      </c>
      <c r="E398" s="29" t="inlineStr">
        <is>
          <t>064760</t>
        </is>
      </c>
      <c r="F398" s="29" t="inlineStr">
        <is>
          <t>2024</t>
        </is>
      </c>
      <c r="G398" s="29" t="inlineStr">
        <is>
          <t>OFS</t>
        </is>
      </c>
      <c r="H398" s="29" t="inlineStr">
        <is>
          <t>SCE</t>
        </is>
      </c>
      <c r="I398" s="29" t="inlineStr">
        <is>
          <t>자본변동표</t>
        </is>
      </c>
      <c r="J398" s="29" t="inlineStr">
        <is>
          <t>dart_EquityAtBeginningOfPeriod</t>
        </is>
      </c>
      <c r="K398" s="29" t="inlineStr">
        <is>
          <t>기초자본</t>
        </is>
      </c>
      <c r="L398" s="29" t="inlineStr">
        <is>
          <t>자본 [구성요소]|자본금 [구성요소]</t>
        </is>
      </c>
      <c r="M398" s="29" t="inlineStr">
        <is>
          <t>제 30 기</t>
        </is>
      </c>
      <c r="N398" s="29" t="inlineStr">
        <is>
          <t>5837500000.0</t>
        </is>
      </c>
      <c r="O398" s="29" t="inlineStr">
        <is>
          <t>5837500000.0</t>
        </is>
      </c>
      <c r="P398" s="29" t="inlineStr">
        <is>
          <t>KRW</t>
        </is>
      </c>
      <c r="Q398" s="29" t="inlineStr">
        <is>
          <t>3</t>
        </is>
      </c>
    </row>
    <row r="399" ht="24" customHeight="1">
      <c r="A399" s="24" t="inlineStr">
        <is>
          <t>OpenDART_fnlttSinglAcntAll</t>
        </is>
      </c>
      <c r="B399" s="24" t="inlineStr">
        <is>
          <t>00245472</t>
        </is>
      </c>
      <c r="C399" s="24" t="inlineStr">
        <is>
          <t>티씨케이</t>
        </is>
      </c>
      <c r="D399" s="24" t="inlineStr">
        <is>
          <t>tck</t>
        </is>
      </c>
      <c r="E399" s="24" t="inlineStr">
        <is>
          <t>064760</t>
        </is>
      </c>
      <c r="F399" s="24" t="inlineStr">
        <is>
          <t>2024</t>
        </is>
      </c>
      <c r="G399" s="24" t="inlineStr">
        <is>
          <t>OFS</t>
        </is>
      </c>
      <c r="H399" s="24" t="inlineStr">
        <is>
          <t>SCE</t>
        </is>
      </c>
      <c r="I399" s="24" t="inlineStr">
        <is>
          <t>자본변동표</t>
        </is>
      </c>
      <c r="J399" s="24" t="inlineStr">
        <is>
          <t>ifrs-full_DividendsPaid</t>
        </is>
      </c>
      <c r="K399" s="24" t="inlineStr">
        <is>
          <t>배당금지급</t>
        </is>
      </c>
      <c r="L399" s="24" t="inlineStr">
        <is>
          <t>별도재무제표 [member]</t>
        </is>
      </c>
      <c r="M399" s="24" t="inlineStr">
        <is>
          <t>제 30 기</t>
        </is>
      </c>
      <c r="N399" s="24" t="inlineStr">
        <is>
          <t>14010000000.0</t>
        </is>
      </c>
      <c r="O399" s="24" t="inlineStr">
        <is>
          <t>19847500000.0</t>
        </is>
      </c>
      <c r="P399" s="24" t="inlineStr">
        <is>
          <t>KRW</t>
        </is>
      </c>
      <c r="Q399" s="24" t="inlineStr">
        <is>
          <t>6</t>
        </is>
      </c>
    </row>
    <row r="400" ht="24" customHeight="1">
      <c r="A400" s="29" t="inlineStr">
        <is>
          <t>OpenDART_fnlttSinglAcntAll</t>
        </is>
      </c>
      <c r="B400" s="29" t="inlineStr">
        <is>
          <t>00245472</t>
        </is>
      </c>
      <c r="C400" s="29" t="inlineStr">
        <is>
          <t>티씨케이</t>
        </is>
      </c>
      <c r="D400" s="29" t="inlineStr">
        <is>
          <t>tck</t>
        </is>
      </c>
      <c r="E400" s="29" t="inlineStr">
        <is>
          <t>064760</t>
        </is>
      </c>
      <c r="F400" s="29" t="inlineStr">
        <is>
          <t>2024</t>
        </is>
      </c>
      <c r="G400" s="29" t="inlineStr">
        <is>
          <t>OFS</t>
        </is>
      </c>
      <c r="H400" s="29" t="inlineStr">
        <is>
          <t>SCE</t>
        </is>
      </c>
      <c r="I400" s="29" t="inlineStr">
        <is>
          <t>자본변동표</t>
        </is>
      </c>
      <c r="J400" s="29" t="inlineStr">
        <is>
          <t>ifrs-full_DividendsPaid</t>
        </is>
      </c>
      <c r="K400" s="29" t="inlineStr">
        <is>
          <t>배당금지급</t>
        </is>
      </c>
      <c r="L400" s="29" t="inlineStr">
        <is>
          <t>자본 [구성요소]|이익잉여금 [구성요소]</t>
        </is>
      </c>
      <c r="M400" s="29" t="inlineStr">
        <is>
          <t>제 30 기</t>
        </is>
      </c>
      <c r="N400" s="29" t="inlineStr">
        <is>
          <t>14010000000.0</t>
        </is>
      </c>
      <c r="O400" s="29" t="inlineStr">
        <is>
          <t>19847500000.0</t>
        </is>
      </c>
      <c r="P400" s="29" t="inlineStr">
        <is>
          <t>KRW</t>
        </is>
      </c>
      <c r="Q400" s="29" t="inlineStr">
        <is>
          <t>6</t>
        </is>
      </c>
    </row>
    <row r="401" ht="24" customHeight="1">
      <c r="A401" s="24" t="inlineStr">
        <is>
          <t>OpenDART_fnlttSinglAcntAll</t>
        </is>
      </c>
      <c r="B401" s="24" t="inlineStr">
        <is>
          <t>00245472</t>
        </is>
      </c>
      <c r="C401" s="24" t="inlineStr">
        <is>
          <t>티씨케이</t>
        </is>
      </c>
      <c r="D401" s="24" t="inlineStr">
        <is>
          <t>tck</t>
        </is>
      </c>
      <c r="E401" s="24" t="inlineStr">
        <is>
          <t>064760</t>
        </is>
      </c>
      <c r="F401" s="24" t="inlineStr">
        <is>
          <t>2024</t>
        </is>
      </c>
      <c r="G401" s="24" t="inlineStr">
        <is>
          <t>OFS</t>
        </is>
      </c>
      <c r="H401" s="24" t="inlineStr">
        <is>
          <t>SCE</t>
        </is>
      </c>
      <c r="I401" s="24" t="inlineStr">
        <is>
          <t>자본변동표</t>
        </is>
      </c>
      <c r="J401" s="24" t="inlineStr">
        <is>
          <t>ifrs-full_Equity</t>
        </is>
      </c>
      <c r="K401" s="24" t="inlineStr">
        <is>
          <t>자본총계</t>
        </is>
      </c>
      <c r="L401" s="24" t="inlineStr">
        <is>
          <t>자본 [구성요소]|기타자본구성요소 [구성요소]</t>
        </is>
      </c>
      <c r="M401" s="24" t="inlineStr">
        <is>
          <t>제 30 기</t>
        </is>
      </c>
      <c r="N401" s="24" t="inlineStr">
        <is>
          <t>233168836.0</t>
        </is>
      </c>
      <c r="O401" s="24" t="inlineStr">
        <is>
          <t>233168836.0</t>
        </is>
      </c>
      <c r="P401" s="24" t="inlineStr">
        <is>
          <t>KRW</t>
        </is>
      </c>
      <c r="Q401" s="24" t="inlineStr">
        <is>
          <t>7</t>
        </is>
      </c>
    </row>
    <row r="402" ht="24" customHeight="1">
      <c r="A402" s="29" t="inlineStr">
        <is>
          <t>OpenDART_fnlttSinglAcntAll</t>
        </is>
      </c>
      <c r="B402" s="29" t="inlineStr">
        <is>
          <t>00245472</t>
        </is>
      </c>
      <c r="C402" s="29" t="inlineStr">
        <is>
          <t>티씨케이</t>
        </is>
      </c>
      <c r="D402" s="29" t="inlineStr">
        <is>
          <t>tck</t>
        </is>
      </c>
      <c r="E402" s="29" t="inlineStr">
        <is>
          <t>064760</t>
        </is>
      </c>
      <c r="F402" s="29" t="inlineStr">
        <is>
          <t>2024</t>
        </is>
      </c>
      <c r="G402" s="29" t="inlineStr">
        <is>
          <t>OFS</t>
        </is>
      </c>
      <c r="H402" s="29" t="inlineStr">
        <is>
          <t>SCE</t>
        </is>
      </c>
      <c r="I402" s="29" t="inlineStr">
        <is>
          <t>자본변동표</t>
        </is>
      </c>
      <c r="J402" s="29" t="inlineStr">
        <is>
          <t>ifrs-full_Equity</t>
        </is>
      </c>
      <c r="K402" s="29" t="inlineStr">
        <is>
          <t>자본총계</t>
        </is>
      </c>
      <c r="L402" s="29" t="inlineStr">
        <is>
          <t>별도재무제표 [member]</t>
        </is>
      </c>
      <c r="M402" s="29" t="inlineStr">
        <is>
          <t>제 30 기</t>
        </is>
      </c>
      <c r="N402" s="29" t="inlineStr">
        <is>
          <t>516254748314.0</t>
        </is>
      </c>
      <c r="O402" s="29" t="inlineStr">
        <is>
          <t>458270711744.0</t>
        </is>
      </c>
      <c r="P402" s="29" t="inlineStr">
        <is>
          <t>KRW</t>
        </is>
      </c>
      <c r="Q402" s="29" t="inlineStr">
        <is>
          <t>7</t>
        </is>
      </c>
    </row>
    <row r="403" ht="24" customHeight="1">
      <c r="A403" s="24" t="inlineStr">
        <is>
          <t>OpenDART_fnlttSinglAcntAll</t>
        </is>
      </c>
      <c r="B403" s="24" t="inlineStr">
        <is>
          <t>00245472</t>
        </is>
      </c>
      <c r="C403" s="24" t="inlineStr">
        <is>
          <t>티씨케이</t>
        </is>
      </c>
      <c r="D403" s="24" t="inlineStr">
        <is>
          <t>tck</t>
        </is>
      </c>
      <c r="E403" s="24" t="inlineStr">
        <is>
          <t>064760</t>
        </is>
      </c>
      <c r="F403" s="24" t="inlineStr">
        <is>
          <t>2024</t>
        </is>
      </c>
      <c r="G403" s="24" t="inlineStr">
        <is>
          <t>OFS</t>
        </is>
      </c>
      <c r="H403" s="24" t="inlineStr">
        <is>
          <t>SCE</t>
        </is>
      </c>
      <c r="I403" s="24" t="inlineStr">
        <is>
          <t>자본변동표</t>
        </is>
      </c>
      <c r="J403" s="24" t="inlineStr">
        <is>
          <t>ifrs-full_Equity</t>
        </is>
      </c>
      <c r="K403" s="24" t="inlineStr">
        <is>
          <t>자본총계</t>
        </is>
      </c>
      <c r="L403" s="24" t="inlineStr">
        <is>
          <t>자본 [구성요소]|이익잉여금 [구성요소]</t>
        </is>
      </c>
      <c r="M403" s="24" t="inlineStr">
        <is>
          <t>제 30 기</t>
        </is>
      </c>
      <c r="N403" s="24" t="inlineStr">
        <is>
          <t>504149077558.0</t>
        </is>
      </c>
      <c r="O403" s="24" t="inlineStr">
        <is>
          <t>446165040988.0</t>
        </is>
      </c>
      <c r="P403" s="24" t="inlineStr">
        <is>
          <t>KRW</t>
        </is>
      </c>
      <c r="Q403" s="24" t="inlineStr">
        <is>
          <t>7</t>
        </is>
      </c>
    </row>
    <row r="404" ht="24" customHeight="1">
      <c r="A404" s="29" t="inlineStr">
        <is>
          <t>OpenDART_fnlttSinglAcntAll</t>
        </is>
      </c>
      <c r="B404" s="29" t="inlineStr">
        <is>
          <t>00245472</t>
        </is>
      </c>
      <c r="C404" s="29" t="inlineStr">
        <is>
          <t>티씨케이</t>
        </is>
      </c>
      <c r="D404" s="29" t="inlineStr">
        <is>
          <t>tck</t>
        </is>
      </c>
      <c r="E404" s="29" t="inlineStr">
        <is>
          <t>064760</t>
        </is>
      </c>
      <c r="F404" s="29" t="inlineStr">
        <is>
          <t>2024</t>
        </is>
      </c>
      <c r="G404" s="29" t="inlineStr">
        <is>
          <t>OFS</t>
        </is>
      </c>
      <c r="H404" s="29" t="inlineStr">
        <is>
          <t>SCE</t>
        </is>
      </c>
      <c r="I404" s="29" t="inlineStr">
        <is>
          <t>자본변동표</t>
        </is>
      </c>
      <c r="J404" s="29" t="inlineStr">
        <is>
          <t>ifrs-full_Equity</t>
        </is>
      </c>
      <c r="K404" s="29" t="inlineStr">
        <is>
          <t>자본총계</t>
        </is>
      </c>
      <c r="L404" s="29" t="inlineStr">
        <is>
          <t>자본 [구성요소]|자본잉여금 [구성요소]</t>
        </is>
      </c>
      <c r="M404" s="29" t="inlineStr">
        <is>
          <t>제 30 기</t>
        </is>
      </c>
      <c r="N404" s="29" t="inlineStr">
        <is>
          <t>6035001920.0</t>
        </is>
      </c>
      <c r="O404" s="29" t="inlineStr">
        <is>
          <t>6035001920.0</t>
        </is>
      </c>
      <c r="P404" s="29" t="inlineStr">
        <is>
          <t>KRW</t>
        </is>
      </c>
      <c r="Q404" s="29" t="inlineStr">
        <is>
          <t>7</t>
        </is>
      </c>
    </row>
    <row r="405" ht="24" customHeight="1">
      <c r="A405" s="24" t="inlineStr">
        <is>
          <t>OpenDART_fnlttSinglAcntAll</t>
        </is>
      </c>
      <c r="B405" s="24" t="inlineStr">
        <is>
          <t>00245472</t>
        </is>
      </c>
      <c r="C405" s="24" t="inlineStr">
        <is>
          <t>티씨케이</t>
        </is>
      </c>
      <c r="D405" s="24" t="inlineStr">
        <is>
          <t>tck</t>
        </is>
      </c>
      <c r="E405" s="24" t="inlineStr">
        <is>
          <t>064760</t>
        </is>
      </c>
      <c r="F405" s="24" t="inlineStr">
        <is>
          <t>2024</t>
        </is>
      </c>
      <c r="G405" s="24" t="inlineStr">
        <is>
          <t>OFS</t>
        </is>
      </c>
      <c r="H405" s="24" t="inlineStr">
        <is>
          <t>SCE</t>
        </is>
      </c>
      <c r="I405" s="24" t="inlineStr">
        <is>
          <t>자본변동표</t>
        </is>
      </c>
      <c r="J405" s="24" t="inlineStr">
        <is>
          <t>ifrs-full_Equity</t>
        </is>
      </c>
      <c r="K405" s="24" t="inlineStr">
        <is>
          <t>자본총계</t>
        </is>
      </c>
      <c r="L405" s="24" t="inlineStr">
        <is>
          <t>자본 [구성요소]|자본금 [구성요소]</t>
        </is>
      </c>
      <c r="M405" s="24" t="inlineStr">
        <is>
          <t>제 30 기</t>
        </is>
      </c>
      <c r="N405" s="24" t="inlineStr">
        <is>
          <t>5837500000.0</t>
        </is>
      </c>
      <c r="O405" s="24" t="inlineStr">
        <is>
          <t>5837500000.0</t>
        </is>
      </c>
      <c r="P405" s="24" t="inlineStr">
        <is>
          <t>KRW</t>
        </is>
      </c>
      <c r="Q405" s="24" t="inlineStr">
        <is>
          <t>7</t>
        </is>
      </c>
    </row>
    <row r="406" ht="24" customHeight="1">
      <c r="A406" s="29" t="inlineStr">
        <is>
          <t>OpenDART_fnlttSinglAcntAll</t>
        </is>
      </c>
      <c r="B406" s="29" t="inlineStr">
        <is>
          <t>00245472</t>
        </is>
      </c>
      <c r="C406" s="29" t="inlineStr">
        <is>
          <t>티씨케이</t>
        </is>
      </c>
      <c r="D406" s="29" t="inlineStr">
        <is>
          <t>tck</t>
        </is>
      </c>
      <c r="E406" s="29" t="inlineStr">
        <is>
          <t>064760</t>
        </is>
      </c>
      <c r="F406" s="29" t="inlineStr">
        <is>
          <t>2024</t>
        </is>
      </c>
      <c r="G406" s="29" t="inlineStr">
        <is>
          <t>OFS</t>
        </is>
      </c>
      <c r="H406" s="29" t="inlineStr">
        <is>
          <t>SCE</t>
        </is>
      </c>
      <c r="I406" s="29" t="inlineStr">
        <is>
          <t>자본변동표</t>
        </is>
      </c>
      <c r="J406" s="29" t="inlineStr">
        <is>
          <t>ifrs-full_OtherComprehensiveIncome</t>
        </is>
      </c>
      <c r="K406" s="29" t="inlineStr">
        <is>
          <t>Ⅶ. 기타포괄손익</t>
        </is>
      </c>
      <c r="L406" s="29" t="inlineStr">
        <is>
          <t>별도재무제표 [member]</t>
        </is>
      </c>
      <c r="M406" s="29" t="inlineStr">
        <is>
          <t>제 30 기</t>
        </is>
      </c>
      <c r="N406" s="29" t="inlineStr">
        <is>
          <t>0.0</t>
        </is>
      </c>
      <c r="O406" s="29" t="inlineStr">
        <is>
          <t>0.0</t>
        </is>
      </c>
      <c r="P406" s="29" t="inlineStr">
        <is>
          <t>KRW</t>
        </is>
      </c>
      <c r="Q406" s="29" t="inlineStr">
        <is>
          <t>9</t>
        </is>
      </c>
    </row>
    <row r="407" ht="24" customHeight="1">
      <c r="A407" s="24" t="inlineStr">
        <is>
          <t>OpenDART_fnlttSinglAcntAll</t>
        </is>
      </c>
      <c r="B407" s="24" t="inlineStr">
        <is>
          <t>00245472</t>
        </is>
      </c>
      <c r="C407" s="24" t="inlineStr">
        <is>
          <t>티씨케이</t>
        </is>
      </c>
      <c r="D407" s="24" t="inlineStr">
        <is>
          <t>tck</t>
        </is>
      </c>
      <c r="E407" s="24" t="inlineStr">
        <is>
          <t>064760</t>
        </is>
      </c>
      <c r="F407" s="24" t="inlineStr">
        <is>
          <t>2024</t>
        </is>
      </c>
      <c r="G407" s="24" t="inlineStr">
        <is>
          <t>OFS</t>
        </is>
      </c>
      <c r="H407" s="24" t="inlineStr">
        <is>
          <t>SCE</t>
        </is>
      </c>
      <c r="I407" s="24" t="inlineStr">
        <is>
          <t>자본변동표</t>
        </is>
      </c>
      <c r="J407" s="24" t="inlineStr">
        <is>
          <t>ifrs-full_OtherComprehensiveIncome</t>
        </is>
      </c>
      <c r="K407" s="24" t="inlineStr">
        <is>
          <t>Ⅶ. 기타포괄손익</t>
        </is>
      </c>
      <c r="L407" s="24" t="inlineStr">
        <is>
          <t>자본 [구성요소]|기타자본구성요소 [구성요소]</t>
        </is>
      </c>
      <c r="M407" s="24" t="inlineStr">
        <is>
          <t>제 30 기</t>
        </is>
      </c>
      <c r="N407" s="24" t="inlineStr">
        <is>
          <t>0.0</t>
        </is>
      </c>
      <c r="O407" s="24" t="inlineStr">
        <is>
          <t>0.0</t>
        </is>
      </c>
      <c r="P407" s="24" t="inlineStr">
        <is>
          <t>KRW</t>
        </is>
      </c>
      <c r="Q407" s="24" t="inlineStr">
        <is>
          <t>9</t>
        </is>
      </c>
    </row>
    <row r="408" ht="24" customHeight="1">
      <c r="A408" s="29" t="inlineStr">
        <is>
          <t>OpenDART_fnlttSinglAcntAll</t>
        </is>
      </c>
      <c r="B408" s="29" t="inlineStr">
        <is>
          <t>00245472</t>
        </is>
      </c>
      <c r="C408" s="29" t="inlineStr">
        <is>
          <t>티씨케이</t>
        </is>
      </c>
      <c r="D408" s="29" t="inlineStr">
        <is>
          <t>tck</t>
        </is>
      </c>
      <c r="E408" s="29" t="inlineStr">
        <is>
          <t>064760</t>
        </is>
      </c>
      <c r="F408" s="29" t="inlineStr">
        <is>
          <t>2024</t>
        </is>
      </c>
      <c r="G408" s="29" t="inlineStr">
        <is>
          <t>OFS</t>
        </is>
      </c>
      <c r="H408" s="29" t="inlineStr">
        <is>
          <t>SCE</t>
        </is>
      </c>
      <c r="I408" s="29" t="inlineStr">
        <is>
          <t>자본변동표</t>
        </is>
      </c>
      <c r="J408" s="29" t="inlineStr">
        <is>
          <t>ifrs-full_OtherComprehensiveIncome</t>
        </is>
      </c>
      <c r="K408" s="29" t="inlineStr">
        <is>
          <t>Ⅶ. 기타포괄손익</t>
        </is>
      </c>
      <c r="L408" s="29" t="inlineStr">
        <is>
          <t>자본 [구성요소]|이익잉여금 [구성요소]</t>
        </is>
      </c>
      <c r="M408" s="29" t="inlineStr">
        <is>
          <t>제 30 기</t>
        </is>
      </c>
      <c r="N408" s="29" t="inlineStr">
        <is>
          <t>0.0</t>
        </is>
      </c>
      <c r="O408" s="29" t="inlineStr">
        <is>
          <t>0.0</t>
        </is>
      </c>
      <c r="P408" s="29" t="inlineStr">
        <is>
          <t>KRW</t>
        </is>
      </c>
      <c r="Q408" s="29" t="inlineStr">
        <is>
          <t>9</t>
        </is>
      </c>
    </row>
    <row r="409" ht="24" customHeight="1">
      <c r="A409" s="24" t="inlineStr">
        <is>
          <t>OpenDART_fnlttSinglAcntAll</t>
        </is>
      </c>
      <c r="B409" s="24" t="inlineStr">
        <is>
          <t>00245472</t>
        </is>
      </c>
      <c r="C409" s="24" t="inlineStr">
        <is>
          <t>티씨케이</t>
        </is>
      </c>
      <c r="D409" s="24" t="inlineStr">
        <is>
          <t>tck</t>
        </is>
      </c>
      <c r="E409" s="24" t="inlineStr">
        <is>
          <t>064760</t>
        </is>
      </c>
      <c r="F409" s="24" t="inlineStr">
        <is>
          <t>2024</t>
        </is>
      </c>
      <c r="G409" s="24" t="inlineStr">
        <is>
          <t>OFS</t>
        </is>
      </c>
      <c r="H409" s="24" t="inlineStr">
        <is>
          <t>SCE</t>
        </is>
      </c>
      <c r="I409" s="24" t="inlineStr">
        <is>
          <t>자본변동표</t>
        </is>
      </c>
      <c r="J409" s="24" t="inlineStr">
        <is>
          <t>ifrs-full_OtherComprehensiveIncome</t>
        </is>
      </c>
      <c r="K409" s="24" t="inlineStr">
        <is>
          <t>Ⅶ. 기타포괄손익</t>
        </is>
      </c>
      <c r="L409" s="24" t="inlineStr">
        <is>
          <t>자본 [구성요소]|자본금 [구성요소]</t>
        </is>
      </c>
      <c r="M409" s="24" t="inlineStr">
        <is>
          <t>제 30 기</t>
        </is>
      </c>
      <c r="N409" s="24" t="inlineStr">
        <is>
          <t>0.0</t>
        </is>
      </c>
      <c r="O409" s="24" t="inlineStr">
        <is>
          <t>0.0</t>
        </is>
      </c>
      <c r="P409" s="24" t="inlineStr">
        <is>
          <t>KRW</t>
        </is>
      </c>
      <c r="Q409" s="24" t="inlineStr">
        <is>
          <t>9</t>
        </is>
      </c>
    </row>
    <row r="410" ht="24" customHeight="1">
      <c r="A410" s="29" t="inlineStr">
        <is>
          <t>OpenDART_fnlttSinglAcntAll</t>
        </is>
      </c>
      <c r="B410" s="29" t="inlineStr">
        <is>
          <t>00245472</t>
        </is>
      </c>
      <c r="C410" s="29" t="inlineStr">
        <is>
          <t>티씨케이</t>
        </is>
      </c>
      <c r="D410" s="29" t="inlineStr">
        <is>
          <t>tck</t>
        </is>
      </c>
      <c r="E410" s="29" t="inlineStr">
        <is>
          <t>064760</t>
        </is>
      </c>
      <c r="F410" s="29" t="inlineStr">
        <is>
          <t>2024</t>
        </is>
      </c>
      <c r="G410" s="29" t="inlineStr">
        <is>
          <t>OFS</t>
        </is>
      </c>
      <c r="H410" s="29" t="inlineStr">
        <is>
          <t>SCE</t>
        </is>
      </c>
      <c r="I410" s="29" t="inlineStr">
        <is>
          <t>자본변동표</t>
        </is>
      </c>
      <c r="J410" s="29" t="inlineStr">
        <is>
          <t>ifrs-full_OtherComprehensiveIncome</t>
        </is>
      </c>
      <c r="K410" s="29" t="inlineStr">
        <is>
          <t>Ⅶ. 기타포괄손익</t>
        </is>
      </c>
      <c r="L410" s="29" t="inlineStr">
        <is>
          <t>자본 [구성요소]|자본잉여금 [구성요소]</t>
        </is>
      </c>
      <c r="M410" s="29" t="inlineStr">
        <is>
          <t>제 30 기</t>
        </is>
      </c>
      <c r="N410" s="29" t="inlineStr">
        <is>
          <t>0.0</t>
        </is>
      </c>
      <c r="O410" s="29" t="inlineStr">
        <is>
          <t>0.0</t>
        </is>
      </c>
      <c r="P410" s="29" t="inlineStr">
        <is>
          <t>KRW</t>
        </is>
      </c>
      <c r="Q410" s="29" t="inlineStr">
        <is>
          <t>9</t>
        </is>
      </c>
    </row>
    <row r="411" ht="24" customHeight="1">
      <c r="A411" s="24" t="inlineStr">
        <is>
          <t>OpenDART_fnlttSinglAcntAll</t>
        </is>
      </c>
      <c r="B411" s="24" t="inlineStr">
        <is>
          <t>00245472</t>
        </is>
      </c>
      <c r="C411" s="24" t="inlineStr">
        <is>
          <t>티씨케이</t>
        </is>
      </c>
      <c r="D411" s="24" t="inlineStr">
        <is>
          <t>tck</t>
        </is>
      </c>
      <c r="E411" s="24" t="inlineStr">
        <is>
          <t>064760</t>
        </is>
      </c>
      <c r="F411" s="24" t="inlineStr">
        <is>
          <t>2024</t>
        </is>
      </c>
      <c r="G411" s="24" t="inlineStr">
        <is>
          <t>OFS</t>
        </is>
      </c>
      <c r="H411" s="24" t="inlineStr">
        <is>
          <t>SCE</t>
        </is>
      </c>
      <c r="I411" s="24" t="inlineStr">
        <is>
          <t>자본변동표</t>
        </is>
      </c>
      <c r="J411" s="24" t="inlineStr">
        <is>
          <t>ifrs-full_ProfitLoss</t>
        </is>
      </c>
      <c r="K411" s="24" t="inlineStr">
        <is>
          <t>Ⅵ. 당기순이익</t>
        </is>
      </c>
      <c r="L411" s="24" t="inlineStr">
        <is>
          <t>별도재무제표 [member]</t>
        </is>
      </c>
      <c r="M411" s="24" t="inlineStr">
        <is>
          <t>제 30 기</t>
        </is>
      </c>
      <c r="N411" s="24" t="inlineStr">
        <is>
          <t>71994036570.0</t>
        </is>
      </c>
      <c r="O411" s="24" t="inlineStr">
        <is>
          <t>61244566663.0</t>
        </is>
      </c>
      <c r="P411" s="24" t="inlineStr">
        <is>
          <t>KRW</t>
        </is>
      </c>
      <c r="Q411" s="24" t="inlineStr">
        <is>
          <t>10</t>
        </is>
      </c>
    </row>
    <row r="412" ht="24" customHeight="1">
      <c r="A412" s="29" t="inlineStr">
        <is>
          <t>OpenDART_fnlttSinglAcntAll</t>
        </is>
      </c>
      <c r="B412" s="29" t="inlineStr">
        <is>
          <t>00245472</t>
        </is>
      </c>
      <c r="C412" s="29" t="inlineStr">
        <is>
          <t>티씨케이</t>
        </is>
      </c>
      <c r="D412" s="29" t="inlineStr">
        <is>
          <t>tck</t>
        </is>
      </c>
      <c r="E412" s="29" t="inlineStr">
        <is>
          <t>064760</t>
        </is>
      </c>
      <c r="F412" s="29" t="inlineStr">
        <is>
          <t>2024</t>
        </is>
      </c>
      <c r="G412" s="29" t="inlineStr">
        <is>
          <t>OFS</t>
        </is>
      </c>
      <c r="H412" s="29" t="inlineStr">
        <is>
          <t>SCE</t>
        </is>
      </c>
      <c r="I412" s="29" t="inlineStr">
        <is>
          <t>자본변동표</t>
        </is>
      </c>
      <c r="J412" s="29" t="inlineStr">
        <is>
          <t>ifrs-full_ProfitLoss</t>
        </is>
      </c>
      <c r="K412" s="29" t="inlineStr">
        <is>
          <t>Ⅵ. 당기순이익</t>
        </is>
      </c>
      <c r="L412" s="29" t="inlineStr">
        <is>
          <t>자본 [구성요소]|기타자본구성요소 [구성요소]</t>
        </is>
      </c>
      <c r="M412" s="29" t="inlineStr">
        <is>
          <t>제 30 기</t>
        </is>
      </c>
      <c r="N412" s="29" t="inlineStr">
        <is>
          <t>0.0</t>
        </is>
      </c>
      <c r="O412" s="29" t="inlineStr">
        <is>
          <t>0.0</t>
        </is>
      </c>
      <c r="P412" s="29" t="inlineStr">
        <is>
          <t>KRW</t>
        </is>
      </c>
      <c r="Q412" s="29" t="inlineStr">
        <is>
          <t>10</t>
        </is>
      </c>
    </row>
    <row r="413" ht="24" customHeight="1">
      <c r="A413" s="24" t="inlineStr">
        <is>
          <t>OpenDART_fnlttSinglAcntAll</t>
        </is>
      </c>
      <c r="B413" s="24" t="inlineStr">
        <is>
          <t>00245472</t>
        </is>
      </c>
      <c r="C413" s="24" t="inlineStr">
        <is>
          <t>티씨케이</t>
        </is>
      </c>
      <c r="D413" s="24" t="inlineStr">
        <is>
          <t>tck</t>
        </is>
      </c>
      <c r="E413" s="24" t="inlineStr">
        <is>
          <t>064760</t>
        </is>
      </c>
      <c r="F413" s="24" t="inlineStr">
        <is>
          <t>2024</t>
        </is>
      </c>
      <c r="G413" s="24" t="inlineStr">
        <is>
          <t>OFS</t>
        </is>
      </c>
      <c r="H413" s="24" t="inlineStr">
        <is>
          <t>SCE</t>
        </is>
      </c>
      <c r="I413" s="24" t="inlineStr">
        <is>
          <t>자본변동표</t>
        </is>
      </c>
      <c r="J413" s="24" t="inlineStr">
        <is>
          <t>ifrs-full_ProfitLoss</t>
        </is>
      </c>
      <c r="K413" s="24" t="inlineStr">
        <is>
          <t>Ⅵ. 당기순이익</t>
        </is>
      </c>
      <c r="L413" s="24" t="inlineStr">
        <is>
          <t>자본 [구성요소]|자본금 [구성요소]</t>
        </is>
      </c>
      <c r="M413" s="24" t="inlineStr">
        <is>
          <t>제 30 기</t>
        </is>
      </c>
      <c r="N413" s="24" t="inlineStr">
        <is>
          <t>0.0</t>
        </is>
      </c>
      <c r="O413" s="24" t="inlineStr">
        <is>
          <t>0.0</t>
        </is>
      </c>
      <c r="P413" s="24" t="inlineStr">
        <is>
          <t>KRW</t>
        </is>
      </c>
      <c r="Q413" s="24" t="inlineStr">
        <is>
          <t>10</t>
        </is>
      </c>
    </row>
    <row r="414" ht="24" customHeight="1">
      <c r="A414" s="29" t="inlineStr">
        <is>
          <t>OpenDART_fnlttSinglAcntAll</t>
        </is>
      </c>
      <c r="B414" s="29" t="inlineStr">
        <is>
          <t>00245472</t>
        </is>
      </c>
      <c r="C414" s="29" t="inlineStr">
        <is>
          <t>티씨케이</t>
        </is>
      </c>
      <c r="D414" s="29" t="inlineStr">
        <is>
          <t>tck</t>
        </is>
      </c>
      <c r="E414" s="29" t="inlineStr">
        <is>
          <t>064760</t>
        </is>
      </c>
      <c r="F414" s="29" t="inlineStr">
        <is>
          <t>2024</t>
        </is>
      </c>
      <c r="G414" s="29" t="inlineStr">
        <is>
          <t>OFS</t>
        </is>
      </c>
      <c r="H414" s="29" t="inlineStr">
        <is>
          <t>SCE</t>
        </is>
      </c>
      <c r="I414" s="29" t="inlineStr">
        <is>
          <t>자본변동표</t>
        </is>
      </c>
      <c r="J414" s="29" t="inlineStr">
        <is>
          <t>ifrs-full_ProfitLoss</t>
        </is>
      </c>
      <c r="K414" s="29" t="inlineStr">
        <is>
          <t>Ⅵ. 당기순이익</t>
        </is>
      </c>
      <c r="L414" s="29" t="inlineStr">
        <is>
          <t>자본 [구성요소]|이익잉여금 [구성요소]</t>
        </is>
      </c>
      <c r="M414" s="29" t="inlineStr">
        <is>
          <t>제 30 기</t>
        </is>
      </c>
      <c r="N414" s="29" t="inlineStr">
        <is>
          <t>71994036570.0</t>
        </is>
      </c>
      <c r="O414" s="29" t="inlineStr">
        <is>
          <t>61244566663.0</t>
        </is>
      </c>
      <c r="P414" s="29" t="inlineStr">
        <is>
          <t>KRW</t>
        </is>
      </c>
      <c r="Q414" s="29" t="inlineStr">
        <is>
          <t>10</t>
        </is>
      </c>
    </row>
    <row r="415" ht="24" customHeight="1">
      <c r="A415" s="24" t="inlineStr">
        <is>
          <t>OpenDART_fnlttSinglAcntAll</t>
        </is>
      </c>
      <c r="B415" s="24" t="inlineStr">
        <is>
          <t>00245472</t>
        </is>
      </c>
      <c r="C415" s="24" t="inlineStr">
        <is>
          <t>티씨케이</t>
        </is>
      </c>
      <c r="D415" s="24" t="inlineStr">
        <is>
          <t>tck</t>
        </is>
      </c>
      <c r="E415" s="24" t="inlineStr">
        <is>
          <t>064760</t>
        </is>
      </c>
      <c r="F415" s="24" t="inlineStr">
        <is>
          <t>2024</t>
        </is>
      </c>
      <c r="G415" s="24" t="inlineStr">
        <is>
          <t>OFS</t>
        </is>
      </c>
      <c r="H415" s="24" t="inlineStr">
        <is>
          <t>SCE</t>
        </is>
      </c>
      <c r="I415" s="24" t="inlineStr">
        <is>
          <t>자본변동표</t>
        </is>
      </c>
      <c r="J415" s="24" t="inlineStr">
        <is>
          <t>ifrs-full_ProfitLoss</t>
        </is>
      </c>
      <c r="K415" s="24" t="inlineStr">
        <is>
          <t>Ⅵ. 당기순이익</t>
        </is>
      </c>
      <c r="L415" s="24" t="inlineStr">
        <is>
          <t>자본 [구성요소]|자본잉여금 [구성요소]</t>
        </is>
      </c>
      <c r="M415" s="24" t="inlineStr">
        <is>
          <t>제 30 기</t>
        </is>
      </c>
      <c r="N415" s="24" t="inlineStr">
        <is>
          <t>0.0</t>
        </is>
      </c>
      <c r="O415" s="24" t="inlineStr">
        <is>
          <t>0.0</t>
        </is>
      </c>
      <c r="P415" s="24" t="inlineStr">
        <is>
          <t>KRW</t>
        </is>
      </c>
      <c r="Q415" s="24" t="inlineStr">
        <is>
          <t>10</t>
        </is>
      </c>
    </row>
    <row r="416" ht="24" customHeight="1">
      <c r="A416" s="29" t="inlineStr">
        <is>
          <t>OpenDART_fnlttSinglAcntAll</t>
        </is>
      </c>
      <c r="B416" s="29" t="inlineStr">
        <is>
          <t>00245472</t>
        </is>
      </c>
      <c r="C416" s="29" t="inlineStr">
        <is>
          <t>티씨케이</t>
        </is>
      </c>
      <c r="D416" s="29" t="inlineStr">
        <is>
          <t>tck</t>
        </is>
      </c>
      <c r="E416" s="29" t="inlineStr">
        <is>
          <t>064760</t>
        </is>
      </c>
      <c r="F416" s="29" t="inlineStr">
        <is>
          <t>2025</t>
        </is>
      </c>
      <c r="G416" s="29" t="inlineStr">
        <is>
          <t>OFS</t>
        </is>
      </c>
      <c r="H416" s="29" t="inlineStr">
        <is>
          <t>BS</t>
        </is>
      </c>
      <c r="I416" s="29" t="inlineStr">
        <is>
          <t>재무상태표</t>
        </is>
      </c>
      <c r="J416" s="29" t="inlineStr">
        <is>
          <t>ifrs-full_Assets</t>
        </is>
      </c>
      <c r="K416" s="29" t="inlineStr">
        <is>
          <t>자산총계</t>
        </is>
      </c>
      <c r="L416" s="29" t="inlineStr">
        <is>
          <t>-</t>
        </is>
      </c>
      <c r="M416" s="29" t="inlineStr">
        <is>
          <t>제 31 기</t>
        </is>
      </c>
      <c r="N416" s="29" t="inlineStr">
        <is>
          <t>567616557963.0</t>
        </is>
      </c>
      <c r="O416" s="29" t="inlineStr">
        <is>
          <t>563519610069.0</t>
        </is>
      </c>
      <c r="P416" s="29" t="inlineStr">
        <is>
          <t>KRW</t>
        </is>
      </c>
      <c r="Q416" s="29" t="inlineStr">
        <is>
          <t>7</t>
        </is>
      </c>
    </row>
    <row r="417" ht="24" customHeight="1">
      <c r="A417" s="24" t="inlineStr">
        <is>
          <t>OpenDART_fnlttSinglAcntAll</t>
        </is>
      </c>
      <c r="B417" s="24" t="inlineStr">
        <is>
          <t>00245472</t>
        </is>
      </c>
      <c r="C417" s="24" t="inlineStr">
        <is>
          <t>티씨케이</t>
        </is>
      </c>
      <c r="D417" s="24" t="inlineStr">
        <is>
          <t>tck</t>
        </is>
      </c>
      <c r="E417" s="24" t="inlineStr">
        <is>
          <t>064760</t>
        </is>
      </c>
      <c r="F417" s="24" t="inlineStr">
        <is>
          <t>2025</t>
        </is>
      </c>
      <c r="G417" s="24" t="inlineStr">
        <is>
          <t>OFS</t>
        </is>
      </c>
      <c r="H417" s="24" t="inlineStr">
        <is>
          <t>BS</t>
        </is>
      </c>
      <c r="I417" s="24" t="inlineStr">
        <is>
          <t>재무상태표</t>
        </is>
      </c>
      <c r="J417" s="24" t="inlineStr">
        <is>
          <t>ifrs-full_CurrentAssets</t>
        </is>
      </c>
      <c r="K417" s="24" t="inlineStr">
        <is>
          <t>유동자산</t>
        </is>
      </c>
      <c r="L417" s="24" t="inlineStr">
        <is>
          <t>-</t>
        </is>
      </c>
      <c r="M417" s="24" t="inlineStr">
        <is>
          <t>제 31 기</t>
        </is>
      </c>
      <c r="N417" s="24" t="inlineStr">
        <is>
          <t>415594767417.0</t>
        </is>
      </c>
      <c r="O417" s="24" t="inlineStr">
        <is>
          <t>405757965821.0</t>
        </is>
      </c>
      <c r="P417" s="24" t="inlineStr">
        <is>
          <t>KRW</t>
        </is>
      </c>
      <c r="Q417" s="24" t="inlineStr">
        <is>
          <t>8</t>
        </is>
      </c>
    </row>
    <row r="418" ht="24" customHeight="1">
      <c r="A418" s="29" t="inlineStr">
        <is>
          <t>OpenDART_fnlttSinglAcntAll</t>
        </is>
      </c>
      <c r="B418" s="29" t="inlineStr">
        <is>
          <t>00245472</t>
        </is>
      </c>
      <c r="C418" s="29" t="inlineStr">
        <is>
          <t>티씨케이</t>
        </is>
      </c>
      <c r="D418" s="29" t="inlineStr">
        <is>
          <t>tck</t>
        </is>
      </c>
      <c r="E418" s="29" t="inlineStr">
        <is>
          <t>064760</t>
        </is>
      </c>
      <c r="F418" s="29" t="inlineStr">
        <is>
          <t>2025</t>
        </is>
      </c>
      <c r="G418" s="29" t="inlineStr">
        <is>
          <t>OFS</t>
        </is>
      </c>
      <c r="H418" s="29" t="inlineStr">
        <is>
          <t>BS</t>
        </is>
      </c>
      <c r="I418" s="29" t="inlineStr">
        <is>
          <t>재무상태표</t>
        </is>
      </c>
      <c r="J418" s="29" t="inlineStr">
        <is>
          <t>ifrs-full_CashEquivalents</t>
        </is>
      </c>
      <c r="K418" s="29" t="inlineStr">
        <is>
          <t>현금성자산</t>
        </is>
      </c>
      <c r="L418" s="29" t="inlineStr">
        <is>
          <t>-</t>
        </is>
      </c>
      <c r="M418" s="29" t="inlineStr">
        <is>
          <t>제 31 기</t>
        </is>
      </c>
      <c r="N418" s="29" t="inlineStr">
        <is>
          <t>41816101299.0</t>
        </is>
      </c>
      <c r="O418" s="29" t="inlineStr">
        <is>
          <t>33858787333.0</t>
        </is>
      </c>
      <c r="P418" s="29" t="inlineStr">
        <is>
          <t>KRW</t>
        </is>
      </c>
      <c r="Q418" s="29" t="inlineStr">
        <is>
          <t>9</t>
        </is>
      </c>
    </row>
    <row r="419" ht="24" customHeight="1">
      <c r="A419" s="24" t="inlineStr">
        <is>
          <t>OpenDART_fnlttSinglAcntAll</t>
        </is>
      </c>
      <c r="B419" s="24" t="inlineStr">
        <is>
          <t>00245472</t>
        </is>
      </c>
      <c r="C419" s="24" t="inlineStr">
        <is>
          <t>티씨케이</t>
        </is>
      </c>
      <c r="D419" s="24" t="inlineStr">
        <is>
          <t>tck</t>
        </is>
      </c>
      <c r="E419" s="24" t="inlineStr">
        <is>
          <t>064760</t>
        </is>
      </c>
      <c r="F419" s="24" t="inlineStr">
        <is>
          <t>2025</t>
        </is>
      </c>
      <c r="G419" s="24" t="inlineStr">
        <is>
          <t>OFS</t>
        </is>
      </c>
      <c r="H419" s="24" t="inlineStr">
        <is>
          <t>BS</t>
        </is>
      </c>
      <c r="I419" s="24" t="inlineStr">
        <is>
          <t>재무상태표</t>
        </is>
      </c>
      <c r="J419" s="24" t="inlineStr">
        <is>
          <t>ifrs-full_CurrentDerivativeFinancialAssets</t>
        </is>
      </c>
      <c r="K419" s="24" t="inlineStr">
        <is>
          <t>파생금융자산</t>
        </is>
      </c>
      <c r="L419" s="24" t="inlineStr">
        <is>
          <t>-</t>
        </is>
      </c>
      <c r="M419" s="24" t="inlineStr">
        <is>
          <t>제 31 기</t>
        </is>
      </c>
      <c r="N419" s="24" t="inlineStr">
        <is>
          <t>348344701.0</t>
        </is>
      </c>
      <c r="O419" s="24" t="inlineStr">
        <is>
          <t>58653544.0</t>
        </is>
      </c>
      <c r="P419" s="24" t="inlineStr">
        <is>
          <t>KRW</t>
        </is>
      </c>
      <c r="Q419" s="24" t="inlineStr">
        <is>
          <t>10</t>
        </is>
      </c>
    </row>
    <row r="420" ht="24" customHeight="1">
      <c r="A420" s="29" t="inlineStr">
        <is>
          <t>OpenDART_fnlttSinglAcntAll</t>
        </is>
      </c>
      <c r="B420" s="29" t="inlineStr">
        <is>
          <t>00245472</t>
        </is>
      </c>
      <c r="C420" s="29" t="inlineStr">
        <is>
          <t>티씨케이</t>
        </is>
      </c>
      <c r="D420" s="29" t="inlineStr">
        <is>
          <t>tck</t>
        </is>
      </c>
      <c r="E420" s="29" t="inlineStr">
        <is>
          <t>064760</t>
        </is>
      </c>
      <c r="F420" s="29" t="inlineStr">
        <is>
          <t>2025</t>
        </is>
      </c>
      <c r="G420" s="29" t="inlineStr">
        <is>
          <t>OFS</t>
        </is>
      </c>
      <c r="H420" s="29" t="inlineStr">
        <is>
          <t>BS</t>
        </is>
      </c>
      <c r="I420" s="29" t="inlineStr">
        <is>
          <t>재무상태표</t>
        </is>
      </c>
      <c r="J420" s="29" t="inlineStr">
        <is>
          <t>ifrs-full_CurrentTradeReceivables</t>
        </is>
      </c>
      <c r="K420" s="29" t="inlineStr">
        <is>
          <t>매출채권</t>
        </is>
      </c>
      <c r="L420" s="29" t="inlineStr">
        <is>
          <t>-</t>
        </is>
      </c>
      <c r="M420" s="29" t="inlineStr">
        <is>
          <t>제 31 기</t>
        </is>
      </c>
      <c r="N420" s="29" t="inlineStr">
        <is>
          <t>45750431146.0</t>
        </is>
      </c>
      <c r="O420" s="29" t="inlineStr">
        <is>
          <t>47615537055.0</t>
        </is>
      </c>
      <c r="P420" s="29" t="inlineStr">
        <is>
          <t>KRW</t>
        </is>
      </c>
      <c r="Q420" s="29" t="inlineStr">
        <is>
          <t>11</t>
        </is>
      </c>
    </row>
    <row r="421" ht="24" customHeight="1">
      <c r="A421" s="24" t="inlineStr">
        <is>
          <t>OpenDART_fnlttSinglAcntAll</t>
        </is>
      </c>
      <c r="B421" s="24" t="inlineStr">
        <is>
          <t>00245472</t>
        </is>
      </c>
      <c r="C421" s="24" t="inlineStr">
        <is>
          <t>티씨케이</t>
        </is>
      </c>
      <c r="D421" s="24" t="inlineStr">
        <is>
          <t>tck</t>
        </is>
      </c>
      <c r="E421" s="24" t="inlineStr">
        <is>
          <t>064760</t>
        </is>
      </c>
      <c r="F421" s="24" t="inlineStr">
        <is>
          <t>2025</t>
        </is>
      </c>
      <c r="G421" s="24" t="inlineStr">
        <is>
          <t>OFS</t>
        </is>
      </c>
      <c r="H421" s="24" t="inlineStr">
        <is>
          <t>BS</t>
        </is>
      </c>
      <c r="I421" s="24" t="inlineStr">
        <is>
          <t>재무상태표</t>
        </is>
      </c>
      <c r="J421" s="24" t="inlineStr">
        <is>
          <t>ifrs-full_Inventories</t>
        </is>
      </c>
      <c r="K421" s="24" t="inlineStr">
        <is>
          <t>재고자산</t>
        </is>
      </c>
      <c r="L421" s="24" t="inlineStr">
        <is>
          <t>-</t>
        </is>
      </c>
      <c r="M421" s="24" t="inlineStr">
        <is>
          <t>제 31 기</t>
        </is>
      </c>
      <c r="N421" s="24" t="inlineStr">
        <is>
          <t>85141670269.0</t>
        </is>
      </c>
      <c r="O421" s="24" t="inlineStr">
        <is>
          <t>68818777821.0</t>
        </is>
      </c>
      <c r="P421" s="24" t="inlineStr">
        <is>
          <t>KRW</t>
        </is>
      </c>
      <c r="Q421" s="24" t="inlineStr">
        <is>
          <t>12</t>
        </is>
      </c>
    </row>
    <row r="422" ht="24" customHeight="1">
      <c r="A422" s="29" t="inlineStr">
        <is>
          <t>OpenDART_fnlttSinglAcntAll</t>
        </is>
      </c>
      <c r="B422" s="29" t="inlineStr">
        <is>
          <t>00245472</t>
        </is>
      </c>
      <c r="C422" s="29" t="inlineStr">
        <is>
          <t>티씨케이</t>
        </is>
      </c>
      <c r="D422" s="29" t="inlineStr">
        <is>
          <t>tck</t>
        </is>
      </c>
      <c r="E422" s="29" t="inlineStr">
        <is>
          <t>064760</t>
        </is>
      </c>
      <c r="F422" s="29" t="inlineStr">
        <is>
          <t>2025</t>
        </is>
      </c>
      <c r="G422" s="29" t="inlineStr">
        <is>
          <t>OFS</t>
        </is>
      </c>
      <c r="H422" s="29" t="inlineStr">
        <is>
          <t>BS</t>
        </is>
      </c>
      <c r="I422" s="29" t="inlineStr">
        <is>
          <t>재무상태표</t>
        </is>
      </c>
      <c r="J422" s="29" t="inlineStr">
        <is>
          <t>ifrs-full_OtherCurrentAssets</t>
        </is>
      </c>
      <c r="K422" s="29" t="inlineStr">
        <is>
          <t>기타유동자산</t>
        </is>
      </c>
      <c r="L422" s="29" t="inlineStr">
        <is>
          <t>-</t>
        </is>
      </c>
      <c r="M422" s="29" t="inlineStr">
        <is>
          <t>제 31 기</t>
        </is>
      </c>
      <c r="N422" s="29" t="inlineStr">
        <is>
          <t>1148305348.0</t>
        </is>
      </c>
      <c r="O422" s="29" t="inlineStr">
        <is>
          <t>997946800.0</t>
        </is>
      </c>
      <c r="P422" s="29" t="inlineStr">
        <is>
          <t>KRW</t>
        </is>
      </c>
      <c r="Q422" s="29" t="inlineStr">
        <is>
          <t>13</t>
        </is>
      </c>
    </row>
    <row r="423" ht="24" customHeight="1">
      <c r="A423" s="24" t="inlineStr">
        <is>
          <t>OpenDART_fnlttSinglAcntAll</t>
        </is>
      </c>
      <c r="B423" s="24" t="inlineStr">
        <is>
          <t>00245472</t>
        </is>
      </c>
      <c r="C423" s="24" t="inlineStr">
        <is>
          <t>티씨케이</t>
        </is>
      </c>
      <c r="D423" s="24" t="inlineStr">
        <is>
          <t>tck</t>
        </is>
      </c>
      <c r="E423" s="24" t="inlineStr">
        <is>
          <t>064760</t>
        </is>
      </c>
      <c r="F423" s="24" t="inlineStr">
        <is>
          <t>2025</t>
        </is>
      </c>
      <c r="G423" s="24" t="inlineStr">
        <is>
          <t>OFS</t>
        </is>
      </c>
      <c r="H423" s="24" t="inlineStr">
        <is>
          <t>BS</t>
        </is>
      </c>
      <c r="I423" s="24" t="inlineStr">
        <is>
          <t>재무상태표</t>
        </is>
      </c>
      <c r="J423" s="24" t="inlineStr">
        <is>
          <t>ifrs-full_OtherCurrentFinancialAssets</t>
        </is>
      </c>
      <c r="K423" s="24" t="inlineStr">
        <is>
          <t>기타유동금융자산</t>
        </is>
      </c>
      <c r="L423" s="24" t="inlineStr">
        <is>
          <t>-</t>
        </is>
      </c>
      <c r="M423" s="24" t="inlineStr">
        <is>
          <t>제 31 기</t>
        </is>
      </c>
      <c r="N423" s="24" t="inlineStr">
        <is>
          <t>241389914654.0</t>
        </is>
      </c>
      <c r="O423" s="24" t="inlineStr">
        <is>
          <t>254408263268.0</t>
        </is>
      </c>
      <c r="P423" s="24" t="inlineStr">
        <is>
          <t>KRW</t>
        </is>
      </c>
      <c r="Q423" s="24" t="inlineStr">
        <is>
          <t>14</t>
        </is>
      </c>
    </row>
    <row r="424" ht="24" customHeight="1">
      <c r="A424" s="29" t="inlineStr">
        <is>
          <t>OpenDART_fnlttSinglAcntAll</t>
        </is>
      </c>
      <c r="B424" s="29" t="inlineStr">
        <is>
          <t>00245472</t>
        </is>
      </c>
      <c r="C424" s="29" t="inlineStr">
        <is>
          <t>티씨케이</t>
        </is>
      </c>
      <c r="D424" s="29" t="inlineStr">
        <is>
          <t>tck</t>
        </is>
      </c>
      <c r="E424" s="29" t="inlineStr">
        <is>
          <t>064760</t>
        </is>
      </c>
      <c r="F424" s="29" t="inlineStr">
        <is>
          <t>2025</t>
        </is>
      </c>
      <c r="G424" s="29" t="inlineStr">
        <is>
          <t>OFS</t>
        </is>
      </c>
      <c r="H424" s="29" t="inlineStr">
        <is>
          <t>BS</t>
        </is>
      </c>
      <c r="I424" s="29" t="inlineStr">
        <is>
          <t>재무상태표</t>
        </is>
      </c>
      <c r="J424" s="29" t="inlineStr">
        <is>
          <t>ifrs-full_NoncurrentAssets</t>
        </is>
      </c>
      <c r="K424" s="29" t="inlineStr">
        <is>
          <t>비유동자산</t>
        </is>
      </c>
      <c r="L424" s="29" t="inlineStr">
        <is>
          <t>-</t>
        </is>
      </c>
      <c r="M424" s="29" t="inlineStr">
        <is>
          <t>제 31 기</t>
        </is>
      </c>
      <c r="N424" s="29" t="inlineStr">
        <is>
          <t>152021790546.0</t>
        </is>
      </c>
      <c r="O424" s="29" t="inlineStr">
        <is>
          <t>157761644248.0</t>
        </is>
      </c>
      <c r="P424" s="29" t="inlineStr">
        <is>
          <t>KRW</t>
        </is>
      </c>
      <c r="Q424" s="29" t="inlineStr">
        <is>
          <t>15</t>
        </is>
      </c>
    </row>
    <row r="425" ht="24" customHeight="1">
      <c r="A425" s="24" t="inlineStr">
        <is>
          <t>OpenDART_fnlttSinglAcntAll</t>
        </is>
      </c>
      <c r="B425" s="24" t="inlineStr">
        <is>
          <t>00245472</t>
        </is>
      </c>
      <c r="C425" s="24" t="inlineStr">
        <is>
          <t>티씨케이</t>
        </is>
      </c>
      <c r="D425" s="24" t="inlineStr">
        <is>
          <t>tck</t>
        </is>
      </c>
      <c r="E425" s="24" t="inlineStr">
        <is>
          <t>064760</t>
        </is>
      </c>
      <c r="F425" s="24" t="inlineStr">
        <is>
          <t>2025</t>
        </is>
      </c>
      <c r="G425" s="24" t="inlineStr">
        <is>
          <t>OFS</t>
        </is>
      </c>
      <c r="H425" s="24" t="inlineStr">
        <is>
          <t>BS</t>
        </is>
      </c>
      <c r="I425" s="24" t="inlineStr">
        <is>
          <t>재무상태표</t>
        </is>
      </c>
      <c r="J425" s="24" t="inlineStr">
        <is>
          <t>ifrs-full_IntangibleAssetsOtherThanGoodwill</t>
        </is>
      </c>
      <c r="K425" s="24" t="inlineStr">
        <is>
          <t>무형자산</t>
        </is>
      </c>
      <c r="L425" s="24" t="inlineStr">
        <is>
          <t>-</t>
        </is>
      </c>
      <c r="M425" s="24" t="inlineStr">
        <is>
          <t>제 31 기</t>
        </is>
      </c>
      <c r="N425" s="24" t="inlineStr">
        <is>
          <t>2190979406.0</t>
        </is>
      </c>
      <c r="O425" s="24" t="inlineStr">
        <is>
          <t>2398506411.0</t>
        </is>
      </c>
      <c r="P425" s="24" t="inlineStr">
        <is>
          <t>KRW</t>
        </is>
      </c>
      <c r="Q425" s="24" t="inlineStr">
        <is>
          <t>16</t>
        </is>
      </c>
    </row>
    <row r="426" ht="24" customHeight="1">
      <c r="A426" s="29" t="inlineStr">
        <is>
          <t>OpenDART_fnlttSinglAcntAll</t>
        </is>
      </c>
      <c r="B426" s="29" t="inlineStr">
        <is>
          <t>00245472</t>
        </is>
      </c>
      <c r="C426" s="29" t="inlineStr">
        <is>
          <t>티씨케이</t>
        </is>
      </c>
      <c r="D426" s="29" t="inlineStr">
        <is>
          <t>tck</t>
        </is>
      </c>
      <c r="E426" s="29" t="inlineStr">
        <is>
          <t>064760</t>
        </is>
      </c>
      <c r="F426" s="29" t="inlineStr">
        <is>
          <t>2025</t>
        </is>
      </c>
      <c r="G426" s="29" t="inlineStr">
        <is>
          <t>OFS</t>
        </is>
      </c>
      <c r="H426" s="29" t="inlineStr">
        <is>
          <t>BS</t>
        </is>
      </c>
      <c r="I426" s="29" t="inlineStr">
        <is>
          <t>재무상태표</t>
        </is>
      </c>
      <c r="J426" s="29" t="inlineStr">
        <is>
          <t>ifrs-full_NetDeferredTaxAssets</t>
        </is>
      </c>
      <c r="K426" s="29" t="inlineStr">
        <is>
          <t>이연법인세자산</t>
        </is>
      </c>
      <c r="L426" s="29" t="inlineStr">
        <is>
          <t>-</t>
        </is>
      </c>
      <c r="M426" s="29" t="inlineStr">
        <is>
          <t>제 31 기</t>
        </is>
      </c>
      <c r="N426" s="29" t="inlineStr">
        <is>
          <t>847417035.0</t>
        </is>
      </c>
      <c r="O426" s="29" t="inlineStr">
        <is>
          <t>430592175.0</t>
        </is>
      </c>
      <c r="P426" s="29" t="inlineStr">
        <is>
          <t>KRW</t>
        </is>
      </c>
      <c r="Q426" s="29" t="inlineStr">
        <is>
          <t>17</t>
        </is>
      </c>
    </row>
    <row r="427" ht="24" customHeight="1">
      <c r="A427" s="24" t="inlineStr">
        <is>
          <t>OpenDART_fnlttSinglAcntAll</t>
        </is>
      </c>
      <c r="B427" s="24" t="inlineStr">
        <is>
          <t>00245472</t>
        </is>
      </c>
      <c r="C427" s="24" t="inlineStr">
        <is>
          <t>티씨케이</t>
        </is>
      </c>
      <c r="D427" s="24" t="inlineStr">
        <is>
          <t>tck</t>
        </is>
      </c>
      <c r="E427" s="24" t="inlineStr">
        <is>
          <t>064760</t>
        </is>
      </c>
      <c r="F427" s="24" t="inlineStr">
        <is>
          <t>2025</t>
        </is>
      </c>
      <c r="G427" s="24" t="inlineStr">
        <is>
          <t>OFS</t>
        </is>
      </c>
      <c r="H427" s="24" t="inlineStr">
        <is>
          <t>BS</t>
        </is>
      </c>
      <c r="I427" s="24" t="inlineStr">
        <is>
          <t>재무상태표</t>
        </is>
      </c>
      <c r="J427" s="24" t="inlineStr">
        <is>
          <t>ifrs-full_NoncurrentFinancialAssetsMeasuredAtFairValueThroughOtherComprehensiveIncome</t>
        </is>
      </c>
      <c r="K427" s="24" t="inlineStr">
        <is>
          <t>기타포괄손익-공정가치 측정 금융자산</t>
        </is>
      </c>
      <c r="L427" s="24" t="inlineStr">
        <is>
          <t>-</t>
        </is>
      </c>
      <c r="M427" s="24" t="inlineStr">
        <is>
          <t>제 31 기</t>
        </is>
      </c>
      <c r="N427" s="24" t="inlineStr">
        <is>
          <t>4448349172.0</t>
        </is>
      </c>
      <c r="O427" s="24" t="inlineStr">
        <is>
          <t>0.0</t>
        </is>
      </c>
      <c r="P427" s="24" t="inlineStr">
        <is>
          <t>KRW</t>
        </is>
      </c>
      <c r="Q427" s="24" t="inlineStr">
        <is>
          <t>18</t>
        </is>
      </c>
    </row>
    <row r="428" ht="24" customHeight="1">
      <c r="A428" s="29" t="inlineStr">
        <is>
          <t>OpenDART_fnlttSinglAcntAll</t>
        </is>
      </c>
      <c r="B428" s="29" t="inlineStr">
        <is>
          <t>00245472</t>
        </is>
      </c>
      <c r="C428" s="29" t="inlineStr">
        <is>
          <t>티씨케이</t>
        </is>
      </c>
      <c r="D428" s="29" t="inlineStr">
        <is>
          <t>tck</t>
        </is>
      </c>
      <c r="E428" s="29" t="inlineStr">
        <is>
          <t>064760</t>
        </is>
      </c>
      <c r="F428" s="29" t="inlineStr">
        <is>
          <t>2025</t>
        </is>
      </c>
      <c r="G428" s="29" t="inlineStr">
        <is>
          <t>OFS</t>
        </is>
      </c>
      <c r="H428" s="29" t="inlineStr">
        <is>
          <t>BS</t>
        </is>
      </c>
      <c r="I428" s="29" t="inlineStr">
        <is>
          <t>재무상태표</t>
        </is>
      </c>
      <c r="J428" s="29" t="inlineStr">
        <is>
          <t>ifrs-full_OtherNoncurrentFinancialAssets</t>
        </is>
      </c>
      <c r="K428" s="29" t="inlineStr">
        <is>
          <t>기타비유동금융자산</t>
        </is>
      </c>
      <c r="L428" s="29" t="inlineStr">
        <is>
          <t>-</t>
        </is>
      </c>
      <c r="M428" s="29" t="inlineStr">
        <is>
          <t>제 31 기</t>
        </is>
      </c>
      <c r="N428" s="29" t="inlineStr">
        <is>
          <t>2068060667.0</t>
        </is>
      </c>
      <c r="O428" s="29" t="inlineStr">
        <is>
          <t>4149702744.0</t>
        </is>
      </c>
      <c r="P428" s="29" t="inlineStr">
        <is>
          <t>KRW</t>
        </is>
      </c>
      <c r="Q428" s="29" t="inlineStr">
        <is>
          <t>19</t>
        </is>
      </c>
    </row>
    <row r="429" ht="24" customHeight="1">
      <c r="A429" s="24" t="inlineStr">
        <is>
          <t>OpenDART_fnlttSinglAcntAll</t>
        </is>
      </c>
      <c r="B429" s="24" t="inlineStr">
        <is>
          <t>00245472</t>
        </is>
      </c>
      <c r="C429" s="24" t="inlineStr">
        <is>
          <t>티씨케이</t>
        </is>
      </c>
      <c r="D429" s="24" t="inlineStr">
        <is>
          <t>tck</t>
        </is>
      </c>
      <c r="E429" s="24" t="inlineStr">
        <is>
          <t>064760</t>
        </is>
      </c>
      <c r="F429" s="24" t="inlineStr">
        <is>
          <t>2025</t>
        </is>
      </c>
      <c r="G429" s="24" t="inlineStr">
        <is>
          <t>OFS</t>
        </is>
      </c>
      <c r="H429" s="24" t="inlineStr">
        <is>
          <t>BS</t>
        </is>
      </c>
      <c r="I429" s="24" t="inlineStr">
        <is>
          <t>재무상태표</t>
        </is>
      </c>
      <c r="J429" s="24" t="inlineStr">
        <is>
          <t>ifrs-full_PropertyPlantAndEquipment</t>
        </is>
      </c>
      <c r="K429" s="24" t="inlineStr">
        <is>
          <t>유형자산</t>
        </is>
      </c>
      <c r="L429" s="24" t="inlineStr">
        <is>
          <t>-</t>
        </is>
      </c>
      <c r="M429" s="24" t="inlineStr">
        <is>
          <t>제 31 기</t>
        </is>
      </c>
      <c r="N429" s="24" t="inlineStr">
        <is>
          <t>141537538770.0</t>
        </is>
      </c>
      <c r="O429" s="24" t="inlineStr">
        <is>
          <t>150021993969.0</t>
        </is>
      </c>
      <c r="P429" s="24" t="inlineStr">
        <is>
          <t>KRW</t>
        </is>
      </c>
      <c r="Q429" s="24" t="inlineStr">
        <is>
          <t>20</t>
        </is>
      </c>
    </row>
    <row r="430" ht="24" customHeight="1">
      <c r="A430" s="29" t="inlineStr">
        <is>
          <t>OpenDART_fnlttSinglAcntAll</t>
        </is>
      </c>
      <c r="B430" s="29" t="inlineStr">
        <is>
          <t>00245472</t>
        </is>
      </c>
      <c r="C430" s="29" t="inlineStr">
        <is>
          <t>티씨케이</t>
        </is>
      </c>
      <c r="D430" s="29" t="inlineStr">
        <is>
          <t>tck</t>
        </is>
      </c>
      <c r="E430" s="29" t="inlineStr">
        <is>
          <t>064760</t>
        </is>
      </c>
      <c r="F430" s="29" t="inlineStr">
        <is>
          <t>2025</t>
        </is>
      </c>
      <c r="G430" s="29" t="inlineStr">
        <is>
          <t>OFS</t>
        </is>
      </c>
      <c r="H430" s="29" t="inlineStr">
        <is>
          <t>BS</t>
        </is>
      </c>
      <c r="I430" s="29" t="inlineStr">
        <is>
          <t>재무상태표</t>
        </is>
      </c>
      <c r="J430" s="29" t="inlineStr">
        <is>
          <t>ifrs-full_RightofuseAssets</t>
        </is>
      </c>
      <c r="K430" s="29" t="inlineStr">
        <is>
          <t>사용권자산</t>
        </is>
      </c>
      <c r="L430" s="29" t="inlineStr">
        <is>
          <t>-</t>
        </is>
      </c>
      <c r="M430" s="29" t="inlineStr">
        <is>
          <t>제 31 기</t>
        </is>
      </c>
      <c r="N430" s="29" t="inlineStr">
        <is>
          <t>929445496.0</t>
        </is>
      </c>
      <c r="O430" s="29" t="inlineStr">
        <is>
          <t>760848949.0</t>
        </is>
      </c>
      <c r="P430" s="29" t="inlineStr">
        <is>
          <t>KRW</t>
        </is>
      </c>
      <c r="Q430" s="29" t="inlineStr">
        <is>
          <t>21</t>
        </is>
      </c>
    </row>
    <row r="431" ht="24" customHeight="1">
      <c r="A431" s="24" t="inlineStr">
        <is>
          <t>OpenDART_fnlttSinglAcntAll</t>
        </is>
      </c>
      <c r="B431" s="24" t="inlineStr">
        <is>
          <t>00245472</t>
        </is>
      </c>
      <c r="C431" s="24" t="inlineStr">
        <is>
          <t>티씨케이</t>
        </is>
      </c>
      <c r="D431" s="24" t="inlineStr">
        <is>
          <t>tck</t>
        </is>
      </c>
      <c r="E431" s="24" t="inlineStr">
        <is>
          <t>064760</t>
        </is>
      </c>
      <c r="F431" s="24" t="inlineStr">
        <is>
          <t>2025</t>
        </is>
      </c>
      <c r="G431" s="24" t="inlineStr">
        <is>
          <t>OFS</t>
        </is>
      </c>
      <c r="H431" s="24" t="inlineStr">
        <is>
          <t>BS</t>
        </is>
      </c>
      <c r="I431" s="24" t="inlineStr">
        <is>
          <t>재무상태표</t>
        </is>
      </c>
      <c r="J431" s="24" t="inlineStr">
        <is>
          <t>dart_CapitalSurplus</t>
        </is>
      </c>
      <c r="K431" s="24" t="inlineStr">
        <is>
          <t>자본잉여금</t>
        </is>
      </c>
      <c r="L431" s="24" t="inlineStr">
        <is>
          <t>-</t>
        </is>
      </c>
      <c r="M431" s="24" t="inlineStr">
        <is>
          <t>제 31 기</t>
        </is>
      </c>
      <c r="N431" s="24" t="inlineStr">
        <is>
          <t>6035001920.0</t>
        </is>
      </c>
      <c r="O431" s="24" t="inlineStr">
        <is>
          <t>6035001920.0</t>
        </is>
      </c>
      <c r="P431" s="24" t="inlineStr">
        <is>
          <t>KRW</t>
        </is>
      </c>
      <c r="Q431" s="24" t="inlineStr">
        <is>
          <t>23</t>
        </is>
      </c>
    </row>
    <row r="432" ht="24" customHeight="1">
      <c r="A432" s="29" t="inlineStr">
        <is>
          <t>OpenDART_fnlttSinglAcntAll</t>
        </is>
      </c>
      <c r="B432" s="29" t="inlineStr">
        <is>
          <t>00245472</t>
        </is>
      </c>
      <c r="C432" s="29" t="inlineStr">
        <is>
          <t>티씨케이</t>
        </is>
      </c>
      <c r="D432" s="29" t="inlineStr">
        <is>
          <t>tck</t>
        </is>
      </c>
      <c r="E432" s="29" t="inlineStr">
        <is>
          <t>064760</t>
        </is>
      </c>
      <c r="F432" s="29" t="inlineStr">
        <is>
          <t>2025</t>
        </is>
      </c>
      <c r="G432" s="29" t="inlineStr">
        <is>
          <t>OFS</t>
        </is>
      </c>
      <c r="H432" s="29" t="inlineStr">
        <is>
          <t>BS</t>
        </is>
      </c>
      <c r="I432" s="29" t="inlineStr">
        <is>
          <t>재무상태표</t>
        </is>
      </c>
      <c r="J432" s="29" t="inlineStr">
        <is>
          <t>dart_ElementsOfOtherStockholdersEquity</t>
        </is>
      </c>
      <c r="K432" s="29" t="inlineStr">
        <is>
          <t>기타자본구성요소</t>
        </is>
      </c>
      <c r="L432" s="29" t="inlineStr">
        <is>
          <t>-</t>
        </is>
      </c>
      <c r="M432" s="29" t="inlineStr">
        <is>
          <t>제 31 기</t>
        </is>
      </c>
      <c r="N432" s="29" t="inlineStr">
        <is>
          <t>233168836.0</t>
        </is>
      </c>
      <c r="O432" s="29" t="inlineStr">
        <is>
          <t>233168836.0</t>
        </is>
      </c>
      <c r="P432" s="29" t="inlineStr">
        <is>
          <t>KRW</t>
        </is>
      </c>
      <c r="Q432" s="29" t="inlineStr">
        <is>
          <t>24</t>
        </is>
      </c>
    </row>
    <row r="433" ht="24" customHeight="1">
      <c r="A433" s="24" t="inlineStr">
        <is>
          <t>OpenDART_fnlttSinglAcntAll</t>
        </is>
      </c>
      <c r="B433" s="24" t="inlineStr">
        <is>
          <t>00245472</t>
        </is>
      </c>
      <c r="C433" s="24" t="inlineStr">
        <is>
          <t>티씨케이</t>
        </is>
      </c>
      <c r="D433" s="24" t="inlineStr">
        <is>
          <t>tck</t>
        </is>
      </c>
      <c r="E433" s="24" t="inlineStr">
        <is>
          <t>064760</t>
        </is>
      </c>
      <c r="F433" s="24" t="inlineStr">
        <is>
          <t>2025</t>
        </is>
      </c>
      <c r="G433" s="24" t="inlineStr">
        <is>
          <t>OFS</t>
        </is>
      </c>
      <c r="H433" s="24" t="inlineStr">
        <is>
          <t>BS</t>
        </is>
      </c>
      <c r="I433" s="24" t="inlineStr">
        <is>
          <t>재무상태표</t>
        </is>
      </c>
      <c r="J433" s="24" t="inlineStr">
        <is>
          <t>dart_OtherComprehensiveIncomeLossAccumulatedAmount</t>
        </is>
      </c>
      <c r="K433" s="24" t="inlineStr">
        <is>
          <t>기타포괄손익누계액</t>
        </is>
      </c>
      <c r="L433" s="24" t="inlineStr">
        <is>
          <t>-</t>
        </is>
      </c>
      <c r="M433" s="24" t="inlineStr">
        <is>
          <t>제 31 기</t>
        </is>
      </c>
      <c r="N433" s="24" t="inlineStr">
        <is>
          <t>-392939876.0</t>
        </is>
      </c>
      <c r="O433" s="24" t="inlineStr">
        <is>
          <t>0.0</t>
        </is>
      </c>
      <c r="P433" s="24" t="inlineStr">
        <is>
          <t>KRW</t>
        </is>
      </c>
      <c r="Q433" s="24" t="inlineStr">
        <is>
          <t>25</t>
        </is>
      </c>
    </row>
    <row r="434" ht="24" customHeight="1">
      <c r="A434" s="29" t="inlineStr">
        <is>
          <t>OpenDART_fnlttSinglAcntAll</t>
        </is>
      </c>
      <c r="B434" s="29" t="inlineStr">
        <is>
          <t>00245472</t>
        </is>
      </c>
      <c r="C434" s="29" t="inlineStr">
        <is>
          <t>티씨케이</t>
        </is>
      </c>
      <c r="D434" s="29" t="inlineStr">
        <is>
          <t>tck</t>
        </is>
      </c>
      <c r="E434" s="29" t="inlineStr">
        <is>
          <t>064760</t>
        </is>
      </c>
      <c r="F434" s="29" t="inlineStr">
        <is>
          <t>2025</t>
        </is>
      </c>
      <c r="G434" s="29" t="inlineStr">
        <is>
          <t>OFS</t>
        </is>
      </c>
      <c r="H434" s="29" t="inlineStr">
        <is>
          <t>BS</t>
        </is>
      </c>
      <c r="I434" s="29" t="inlineStr">
        <is>
          <t>재무상태표</t>
        </is>
      </c>
      <c r="J434" s="29" t="inlineStr">
        <is>
          <t>ifrs-full_Equity</t>
        </is>
      </c>
      <c r="K434" s="29" t="inlineStr">
        <is>
          <t>자본총계</t>
        </is>
      </c>
      <c r="L434" s="29" t="inlineStr">
        <is>
          <t>-</t>
        </is>
      </c>
      <c r="M434" s="29" t="inlineStr">
        <is>
          <t>제 31 기</t>
        </is>
      </c>
      <c r="N434" s="29" t="inlineStr">
        <is>
          <t>519302794390.0</t>
        </is>
      </c>
      <c r="O434" s="29" t="inlineStr">
        <is>
          <t>516254748314.0</t>
        </is>
      </c>
      <c r="P434" s="29" t="inlineStr">
        <is>
          <t>KRW</t>
        </is>
      </c>
      <c r="Q434" s="29" t="inlineStr">
        <is>
          <t>26</t>
        </is>
      </c>
    </row>
    <row r="435" ht="24" customHeight="1">
      <c r="A435" s="24" t="inlineStr">
        <is>
          <t>OpenDART_fnlttSinglAcntAll</t>
        </is>
      </c>
      <c r="B435" s="24" t="inlineStr">
        <is>
          <t>00245472</t>
        </is>
      </c>
      <c r="C435" s="24" t="inlineStr">
        <is>
          <t>티씨케이</t>
        </is>
      </c>
      <c r="D435" s="24" t="inlineStr">
        <is>
          <t>tck</t>
        </is>
      </c>
      <c r="E435" s="24" t="inlineStr">
        <is>
          <t>064760</t>
        </is>
      </c>
      <c r="F435" s="24" t="inlineStr">
        <is>
          <t>2025</t>
        </is>
      </c>
      <c r="G435" s="24" t="inlineStr">
        <is>
          <t>OFS</t>
        </is>
      </c>
      <c r="H435" s="24" t="inlineStr">
        <is>
          <t>BS</t>
        </is>
      </c>
      <c r="I435" s="24" t="inlineStr">
        <is>
          <t>재무상태표</t>
        </is>
      </c>
      <c r="J435" s="24" t="inlineStr">
        <is>
          <t>ifrs-full_IssuedCapital</t>
        </is>
      </c>
      <c r="K435" s="24" t="inlineStr">
        <is>
          <t>자본금</t>
        </is>
      </c>
      <c r="L435" s="24" t="inlineStr">
        <is>
          <t>-</t>
        </is>
      </c>
      <c r="M435" s="24" t="inlineStr">
        <is>
          <t>제 31 기</t>
        </is>
      </c>
      <c r="N435" s="24" t="inlineStr">
        <is>
          <t>5837500000.0</t>
        </is>
      </c>
      <c r="O435" s="24" t="inlineStr">
        <is>
          <t>5837500000.0</t>
        </is>
      </c>
      <c r="P435" s="24" t="inlineStr">
        <is>
          <t>KRW</t>
        </is>
      </c>
      <c r="Q435" s="24" t="inlineStr">
        <is>
          <t>27</t>
        </is>
      </c>
    </row>
    <row r="436" ht="24" customHeight="1">
      <c r="A436" s="29" t="inlineStr">
        <is>
          <t>OpenDART_fnlttSinglAcntAll</t>
        </is>
      </c>
      <c r="B436" s="29" t="inlineStr">
        <is>
          <t>00245472</t>
        </is>
      </c>
      <c r="C436" s="29" t="inlineStr">
        <is>
          <t>티씨케이</t>
        </is>
      </c>
      <c r="D436" s="29" t="inlineStr">
        <is>
          <t>tck</t>
        </is>
      </c>
      <c r="E436" s="29" t="inlineStr">
        <is>
          <t>064760</t>
        </is>
      </c>
      <c r="F436" s="29" t="inlineStr">
        <is>
          <t>2025</t>
        </is>
      </c>
      <c r="G436" s="29" t="inlineStr">
        <is>
          <t>OFS</t>
        </is>
      </c>
      <c r="H436" s="29" t="inlineStr">
        <is>
          <t>BS</t>
        </is>
      </c>
      <c r="I436" s="29" t="inlineStr">
        <is>
          <t>재무상태표</t>
        </is>
      </c>
      <c r="J436" s="29" t="inlineStr">
        <is>
          <t>ifrs-full_RetainedEarnings</t>
        </is>
      </c>
      <c r="K436" s="29" t="inlineStr">
        <is>
          <t>이익잉여금</t>
        </is>
      </c>
      <c r="L436" s="29" t="inlineStr">
        <is>
          <t>-</t>
        </is>
      </c>
      <c r="M436" s="29" t="inlineStr">
        <is>
          <t>제 31 기</t>
        </is>
      </c>
      <c r="N436" s="29" t="inlineStr">
        <is>
          <t>507590063510.0</t>
        </is>
      </c>
      <c r="O436" s="29" t="inlineStr">
        <is>
          <t>504149077558.0</t>
        </is>
      </c>
      <c r="P436" s="29" t="inlineStr">
        <is>
          <t>KRW</t>
        </is>
      </c>
      <c r="Q436" s="29" t="inlineStr">
        <is>
          <t>28</t>
        </is>
      </c>
    </row>
    <row r="437" ht="24" customHeight="1">
      <c r="A437" s="24" t="inlineStr">
        <is>
          <t>OpenDART_fnlttSinglAcntAll</t>
        </is>
      </c>
      <c r="B437" s="24" t="inlineStr">
        <is>
          <t>00245472</t>
        </is>
      </c>
      <c r="C437" s="24" t="inlineStr">
        <is>
          <t>티씨케이</t>
        </is>
      </c>
      <c r="D437" s="24" t="inlineStr">
        <is>
          <t>tck</t>
        </is>
      </c>
      <c r="E437" s="24" t="inlineStr">
        <is>
          <t>064760</t>
        </is>
      </c>
      <c r="F437" s="24" t="inlineStr">
        <is>
          <t>2025</t>
        </is>
      </c>
      <c r="G437" s="24" t="inlineStr">
        <is>
          <t>OFS</t>
        </is>
      </c>
      <c r="H437" s="24" t="inlineStr">
        <is>
          <t>BS</t>
        </is>
      </c>
      <c r="I437" s="24" t="inlineStr">
        <is>
          <t>재무상태표</t>
        </is>
      </c>
      <c r="J437" s="24" t="inlineStr">
        <is>
          <t>ifrs-full_EquityAndLiabilities</t>
        </is>
      </c>
      <c r="K437" s="24" t="inlineStr">
        <is>
          <t>자본과부채총계</t>
        </is>
      </c>
      <c r="L437" s="24" t="inlineStr">
        <is>
          <t>-</t>
        </is>
      </c>
      <c r="M437" s="24" t="inlineStr">
        <is>
          <t>제 31 기</t>
        </is>
      </c>
      <c r="N437" s="24" t="inlineStr">
        <is>
          <t>567616557963.0</t>
        </is>
      </c>
      <c r="O437" s="24" t="inlineStr">
        <is>
          <t>563519610069.0</t>
        </is>
      </c>
      <c r="P437" s="24" t="inlineStr">
        <is>
          <t>KRW</t>
        </is>
      </c>
      <c r="Q437" s="24" t="inlineStr">
        <is>
          <t>29</t>
        </is>
      </c>
    </row>
    <row r="438" ht="24" customHeight="1">
      <c r="A438" s="29" t="inlineStr">
        <is>
          <t>OpenDART_fnlttSinglAcntAll</t>
        </is>
      </c>
      <c r="B438" s="29" t="inlineStr">
        <is>
          <t>00245472</t>
        </is>
      </c>
      <c r="C438" s="29" t="inlineStr">
        <is>
          <t>티씨케이</t>
        </is>
      </c>
      <c r="D438" s="29" t="inlineStr">
        <is>
          <t>tck</t>
        </is>
      </c>
      <c r="E438" s="29" t="inlineStr">
        <is>
          <t>064760</t>
        </is>
      </c>
      <c r="F438" s="29" t="inlineStr">
        <is>
          <t>2025</t>
        </is>
      </c>
      <c r="G438" s="29" t="inlineStr">
        <is>
          <t>OFS</t>
        </is>
      </c>
      <c r="H438" s="29" t="inlineStr">
        <is>
          <t>BS</t>
        </is>
      </c>
      <c r="I438" s="29" t="inlineStr">
        <is>
          <t>재무상태표</t>
        </is>
      </c>
      <c r="J438" s="29" t="inlineStr">
        <is>
          <t>ifrs-full_CurrentLiabilities</t>
        </is>
      </c>
      <c r="K438" s="29" t="inlineStr">
        <is>
          <t>유동부채</t>
        </is>
      </c>
      <c r="L438" s="29" t="inlineStr">
        <is>
          <t>-</t>
        </is>
      </c>
      <c r="M438" s="29" t="inlineStr">
        <is>
          <t>제 31 기</t>
        </is>
      </c>
      <c r="N438" s="29" t="inlineStr">
        <is>
          <t>44857503162.0</t>
        </is>
      </c>
      <c r="O438" s="29" t="inlineStr">
        <is>
          <t>44574894545.0</t>
        </is>
      </c>
      <c r="P438" s="29" t="inlineStr">
        <is>
          <t>KRW</t>
        </is>
      </c>
      <c r="Q438" s="29" t="inlineStr">
        <is>
          <t>31</t>
        </is>
      </c>
    </row>
    <row r="439" ht="24" customHeight="1">
      <c r="A439" s="24" t="inlineStr">
        <is>
          <t>OpenDART_fnlttSinglAcntAll</t>
        </is>
      </c>
      <c r="B439" s="24" t="inlineStr">
        <is>
          <t>00245472</t>
        </is>
      </c>
      <c r="C439" s="24" t="inlineStr">
        <is>
          <t>티씨케이</t>
        </is>
      </c>
      <c r="D439" s="24" t="inlineStr">
        <is>
          <t>tck</t>
        </is>
      </c>
      <c r="E439" s="24" t="inlineStr">
        <is>
          <t>064760</t>
        </is>
      </c>
      <c r="F439" s="24" t="inlineStr">
        <is>
          <t>2025</t>
        </is>
      </c>
      <c r="G439" s="24" t="inlineStr">
        <is>
          <t>OFS</t>
        </is>
      </c>
      <c r="H439" s="24" t="inlineStr">
        <is>
          <t>BS</t>
        </is>
      </c>
      <c r="I439" s="24" t="inlineStr">
        <is>
          <t>재무상태표</t>
        </is>
      </c>
      <c r="J439" s="24" t="inlineStr">
        <is>
          <t>ifrs-full_CurrentDerivativeFinancialLiabilities</t>
        </is>
      </c>
      <c r="K439" s="24" t="inlineStr">
        <is>
          <t>파생금융부채</t>
        </is>
      </c>
      <c r="L439" s="24" t="inlineStr">
        <is>
          <t>-</t>
        </is>
      </c>
      <c r="M439" s="24" t="inlineStr">
        <is>
          <t>제 31 기</t>
        </is>
      </c>
      <c r="N439" s="24" t="inlineStr">
        <is>
          <t>53031589.0</t>
        </is>
      </c>
      <c r="O439" s="24" t="inlineStr">
        <is>
          <t>845527974.0</t>
        </is>
      </c>
      <c r="P439" s="24" t="inlineStr">
        <is>
          <t>KRW</t>
        </is>
      </c>
      <c r="Q439" s="24" t="inlineStr">
        <is>
          <t>32</t>
        </is>
      </c>
    </row>
    <row r="440" ht="24" customHeight="1">
      <c r="A440" s="29" t="inlineStr">
        <is>
          <t>OpenDART_fnlttSinglAcntAll</t>
        </is>
      </c>
      <c r="B440" s="29" t="inlineStr">
        <is>
          <t>00245472</t>
        </is>
      </c>
      <c r="C440" s="29" t="inlineStr">
        <is>
          <t>티씨케이</t>
        </is>
      </c>
      <c r="D440" s="29" t="inlineStr">
        <is>
          <t>tck</t>
        </is>
      </c>
      <c r="E440" s="29" t="inlineStr">
        <is>
          <t>064760</t>
        </is>
      </c>
      <c r="F440" s="29" t="inlineStr">
        <is>
          <t>2025</t>
        </is>
      </c>
      <c r="G440" s="29" t="inlineStr">
        <is>
          <t>OFS</t>
        </is>
      </c>
      <c r="H440" s="29" t="inlineStr">
        <is>
          <t>BS</t>
        </is>
      </c>
      <c r="I440" s="29" t="inlineStr">
        <is>
          <t>재무상태표</t>
        </is>
      </c>
      <c r="J440" s="29" t="inlineStr">
        <is>
          <t>ifrs-full_CurrentLeaseLiabilities</t>
        </is>
      </c>
      <c r="K440" s="29" t="inlineStr">
        <is>
          <t>유동 리스부채</t>
        </is>
      </c>
      <c r="L440" s="29" t="inlineStr">
        <is>
          <t>-</t>
        </is>
      </c>
      <c r="M440" s="29" t="inlineStr">
        <is>
          <t>제 31 기</t>
        </is>
      </c>
      <c r="N440" s="29" t="inlineStr">
        <is>
          <t>540406716.0</t>
        </is>
      </c>
      <c r="O440" s="29" t="inlineStr">
        <is>
          <t>313675244.0</t>
        </is>
      </c>
      <c r="P440" s="29" t="inlineStr">
        <is>
          <t>KRW</t>
        </is>
      </c>
      <c r="Q440" s="29" t="inlineStr">
        <is>
          <t>33</t>
        </is>
      </c>
    </row>
    <row r="441" ht="24" customHeight="1">
      <c r="A441" s="24" t="inlineStr">
        <is>
          <t>OpenDART_fnlttSinglAcntAll</t>
        </is>
      </c>
      <c r="B441" s="24" t="inlineStr">
        <is>
          <t>00245472</t>
        </is>
      </c>
      <c r="C441" s="24" t="inlineStr">
        <is>
          <t>티씨케이</t>
        </is>
      </c>
      <c r="D441" s="24" t="inlineStr">
        <is>
          <t>tck</t>
        </is>
      </c>
      <c r="E441" s="24" t="inlineStr">
        <is>
          <t>064760</t>
        </is>
      </c>
      <c r="F441" s="24" t="inlineStr">
        <is>
          <t>2025</t>
        </is>
      </c>
      <c r="G441" s="24" t="inlineStr">
        <is>
          <t>OFS</t>
        </is>
      </c>
      <c r="H441" s="24" t="inlineStr">
        <is>
          <t>BS</t>
        </is>
      </c>
      <c r="I441" s="24" t="inlineStr">
        <is>
          <t>재무상태표</t>
        </is>
      </c>
      <c r="J441" s="24" t="inlineStr">
        <is>
          <t>ifrs-full_CurrentProvisions</t>
        </is>
      </c>
      <c r="K441" s="24" t="inlineStr">
        <is>
          <t>유동충당부채</t>
        </is>
      </c>
      <c r="L441" s="24" t="inlineStr">
        <is>
          <t>-</t>
        </is>
      </c>
      <c r="M441" s="24" t="inlineStr">
        <is>
          <t>제 31 기</t>
        </is>
      </c>
      <c r="N441" s="24" t="inlineStr">
        <is>
          <t>1481332829.0</t>
        </is>
      </c>
      <c r="O441" s="24" t="inlineStr">
        <is>
          <t>1314089422.0</t>
        </is>
      </c>
      <c r="P441" s="24" t="inlineStr">
        <is>
          <t>KRW</t>
        </is>
      </c>
      <c r="Q441" s="24" t="inlineStr">
        <is>
          <t>34</t>
        </is>
      </c>
    </row>
    <row r="442" ht="24" customHeight="1">
      <c r="A442" s="29" t="inlineStr">
        <is>
          <t>OpenDART_fnlttSinglAcntAll</t>
        </is>
      </c>
      <c r="B442" s="29" t="inlineStr">
        <is>
          <t>00245472</t>
        </is>
      </c>
      <c r="C442" s="29" t="inlineStr">
        <is>
          <t>티씨케이</t>
        </is>
      </c>
      <c r="D442" s="29" t="inlineStr">
        <is>
          <t>tck</t>
        </is>
      </c>
      <c r="E442" s="29" t="inlineStr">
        <is>
          <t>064760</t>
        </is>
      </c>
      <c r="F442" s="29" t="inlineStr">
        <is>
          <t>2025</t>
        </is>
      </c>
      <c r="G442" s="29" t="inlineStr">
        <is>
          <t>OFS</t>
        </is>
      </c>
      <c r="H442" s="29" t="inlineStr">
        <is>
          <t>BS</t>
        </is>
      </c>
      <c r="I442" s="29" t="inlineStr">
        <is>
          <t>재무상태표</t>
        </is>
      </c>
      <c r="J442" s="29" t="inlineStr">
        <is>
          <t>ifrs-full_CurrentTaxLiabilities</t>
        </is>
      </c>
      <c r="K442" s="29" t="inlineStr">
        <is>
          <t>당기법인세부채</t>
        </is>
      </c>
      <c r="L442" s="29" t="inlineStr">
        <is>
          <t>-</t>
        </is>
      </c>
      <c r="M442" s="29" t="inlineStr">
        <is>
          <t>제 31 기</t>
        </is>
      </c>
      <c r="N442" s="29" t="inlineStr">
        <is>
          <t>10466088560.0</t>
        </is>
      </c>
      <c r="O442" s="29" t="inlineStr">
        <is>
          <t>14289508722.0</t>
        </is>
      </c>
      <c r="P442" s="29" t="inlineStr">
        <is>
          <t>KRW</t>
        </is>
      </c>
      <c r="Q442" s="29" t="inlineStr">
        <is>
          <t>35</t>
        </is>
      </c>
    </row>
    <row r="443" ht="24" customHeight="1">
      <c r="A443" s="24" t="inlineStr">
        <is>
          <t>OpenDART_fnlttSinglAcntAll</t>
        </is>
      </c>
      <c r="B443" s="24" t="inlineStr">
        <is>
          <t>00245472</t>
        </is>
      </c>
      <c r="C443" s="24" t="inlineStr">
        <is>
          <t>티씨케이</t>
        </is>
      </c>
      <c r="D443" s="24" t="inlineStr">
        <is>
          <t>tck</t>
        </is>
      </c>
      <c r="E443" s="24" t="inlineStr">
        <is>
          <t>064760</t>
        </is>
      </c>
      <c r="F443" s="24" t="inlineStr">
        <is>
          <t>2025</t>
        </is>
      </c>
      <c r="G443" s="24" t="inlineStr">
        <is>
          <t>OFS</t>
        </is>
      </c>
      <c r="H443" s="24" t="inlineStr">
        <is>
          <t>BS</t>
        </is>
      </c>
      <c r="I443" s="24" t="inlineStr">
        <is>
          <t>재무상태표</t>
        </is>
      </c>
      <c r="J443" s="24" t="inlineStr">
        <is>
          <t>ifrs-full_OtherCurrentFinancialLiabilities</t>
        </is>
      </c>
      <c r="K443" s="24" t="inlineStr">
        <is>
          <t>기타유동금융부채</t>
        </is>
      </c>
      <c r="L443" s="24" t="inlineStr">
        <is>
          <t>-</t>
        </is>
      </c>
      <c r="M443" s="24" t="inlineStr">
        <is>
          <t>제 31 기</t>
        </is>
      </c>
      <c r="N443" s="24" t="inlineStr">
        <is>
          <t>19699800904.0</t>
        </is>
      </c>
      <c r="O443" s="24" t="inlineStr">
        <is>
          <t>17123745422.0</t>
        </is>
      </c>
      <c r="P443" s="24" t="inlineStr">
        <is>
          <t>KRW</t>
        </is>
      </c>
      <c r="Q443" s="24" t="inlineStr">
        <is>
          <t>36</t>
        </is>
      </c>
    </row>
    <row r="444" ht="24" customHeight="1">
      <c r="A444" s="29" t="inlineStr">
        <is>
          <t>OpenDART_fnlttSinglAcntAll</t>
        </is>
      </c>
      <c r="B444" s="29" t="inlineStr">
        <is>
          <t>00245472</t>
        </is>
      </c>
      <c r="C444" s="29" t="inlineStr">
        <is>
          <t>티씨케이</t>
        </is>
      </c>
      <c r="D444" s="29" t="inlineStr">
        <is>
          <t>tck</t>
        </is>
      </c>
      <c r="E444" s="29" t="inlineStr">
        <is>
          <t>064760</t>
        </is>
      </c>
      <c r="F444" s="29" t="inlineStr">
        <is>
          <t>2025</t>
        </is>
      </c>
      <c r="G444" s="29" t="inlineStr">
        <is>
          <t>OFS</t>
        </is>
      </c>
      <c r="H444" s="29" t="inlineStr">
        <is>
          <t>BS</t>
        </is>
      </c>
      <c r="I444" s="29" t="inlineStr">
        <is>
          <t>재무상태표</t>
        </is>
      </c>
      <c r="J444" s="29" t="inlineStr">
        <is>
          <t>ifrs-full_OtherCurrentLiabilities</t>
        </is>
      </c>
      <c r="K444" s="29" t="inlineStr">
        <is>
          <t>기타유동부채</t>
        </is>
      </c>
      <c r="L444" s="29" t="inlineStr">
        <is>
          <t>-</t>
        </is>
      </c>
      <c r="M444" s="29" t="inlineStr">
        <is>
          <t>제 31 기</t>
        </is>
      </c>
      <c r="N444" s="29" t="inlineStr">
        <is>
          <t>1109818564.0</t>
        </is>
      </c>
      <c r="O444" s="29" t="inlineStr">
        <is>
          <t>1004119204.0</t>
        </is>
      </c>
      <c r="P444" s="29" t="inlineStr">
        <is>
          <t>KRW</t>
        </is>
      </c>
      <c r="Q444" s="29" t="inlineStr">
        <is>
          <t>37</t>
        </is>
      </c>
    </row>
    <row r="445" ht="24" customHeight="1">
      <c r="A445" s="24" t="inlineStr">
        <is>
          <t>OpenDART_fnlttSinglAcntAll</t>
        </is>
      </c>
      <c r="B445" s="24" t="inlineStr">
        <is>
          <t>00245472</t>
        </is>
      </c>
      <c r="C445" s="24" t="inlineStr">
        <is>
          <t>티씨케이</t>
        </is>
      </c>
      <c r="D445" s="24" t="inlineStr">
        <is>
          <t>tck</t>
        </is>
      </c>
      <c r="E445" s="24" t="inlineStr">
        <is>
          <t>064760</t>
        </is>
      </c>
      <c r="F445" s="24" t="inlineStr">
        <is>
          <t>2025</t>
        </is>
      </c>
      <c r="G445" s="24" t="inlineStr">
        <is>
          <t>OFS</t>
        </is>
      </c>
      <c r="H445" s="24" t="inlineStr">
        <is>
          <t>BS</t>
        </is>
      </c>
      <c r="I445" s="24" t="inlineStr">
        <is>
          <t>재무상태표</t>
        </is>
      </c>
      <c r="J445" s="24" t="inlineStr">
        <is>
          <t>ifrs-full_TradeAndOtherCurrentPayablesToTradeSuppliers</t>
        </is>
      </c>
      <c r="K445" s="24" t="inlineStr">
        <is>
          <t>매입채무</t>
        </is>
      </c>
      <c r="L445" s="24" t="inlineStr">
        <is>
          <t>-</t>
        </is>
      </c>
      <c r="M445" s="24" t="inlineStr">
        <is>
          <t>제 31 기</t>
        </is>
      </c>
      <c r="N445" s="24" t="inlineStr">
        <is>
          <t>11507024000.0</t>
        </is>
      </c>
      <c r="O445" s="24" t="inlineStr">
        <is>
          <t>9684228557.0</t>
        </is>
      </c>
      <c r="P445" s="24" t="inlineStr">
        <is>
          <t>KRW</t>
        </is>
      </c>
      <c r="Q445" s="24" t="inlineStr">
        <is>
          <t>38</t>
        </is>
      </c>
    </row>
    <row r="446" ht="24" customHeight="1">
      <c r="A446" s="29" t="inlineStr">
        <is>
          <t>OpenDART_fnlttSinglAcntAll</t>
        </is>
      </c>
      <c r="B446" s="29" t="inlineStr">
        <is>
          <t>00245472</t>
        </is>
      </c>
      <c r="C446" s="29" t="inlineStr">
        <is>
          <t>티씨케이</t>
        </is>
      </c>
      <c r="D446" s="29" t="inlineStr">
        <is>
          <t>tck</t>
        </is>
      </c>
      <c r="E446" s="29" t="inlineStr">
        <is>
          <t>064760</t>
        </is>
      </c>
      <c r="F446" s="29" t="inlineStr">
        <is>
          <t>2025</t>
        </is>
      </c>
      <c r="G446" s="29" t="inlineStr">
        <is>
          <t>OFS</t>
        </is>
      </c>
      <c r="H446" s="29" t="inlineStr">
        <is>
          <t>BS</t>
        </is>
      </c>
      <c r="I446" s="29" t="inlineStr">
        <is>
          <t>재무상태표</t>
        </is>
      </c>
      <c r="J446" s="29" t="inlineStr">
        <is>
          <t>ifrs-full_Liabilities</t>
        </is>
      </c>
      <c r="K446" s="29" t="inlineStr">
        <is>
          <t>부채총계</t>
        </is>
      </c>
      <c r="L446" s="29" t="inlineStr">
        <is>
          <t>-</t>
        </is>
      </c>
      <c r="M446" s="29" t="inlineStr">
        <is>
          <t>제 31 기</t>
        </is>
      </c>
      <c r="N446" s="29" t="inlineStr">
        <is>
          <t>48313763573.0</t>
        </is>
      </c>
      <c r="O446" s="29" t="inlineStr">
        <is>
          <t>47264861755.0</t>
        </is>
      </c>
      <c r="P446" s="29" t="inlineStr">
        <is>
          <t>KRW</t>
        </is>
      </c>
      <c r="Q446" s="29" t="inlineStr">
        <is>
          <t>39</t>
        </is>
      </c>
    </row>
    <row r="447" ht="24" customHeight="1">
      <c r="A447" s="24" t="inlineStr">
        <is>
          <t>OpenDART_fnlttSinglAcntAll</t>
        </is>
      </c>
      <c r="B447" s="24" t="inlineStr">
        <is>
          <t>00245472</t>
        </is>
      </c>
      <c r="C447" s="24" t="inlineStr">
        <is>
          <t>티씨케이</t>
        </is>
      </c>
      <c r="D447" s="24" t="inlineStr">
        <is>
          <t>tck</t>
        </is>
      </c>
      <c r="E447" s="24" t="inlineStr">
        <is>
          <t>064760</t>
        </is>
      </c>
      <c r="F447" s="24" t="inlineStr">
        <is>
          <t>2025</t>
        </is>
      </c>
      <c r="G447" s="24" t="inlineStr">
        <is>
          <t>OFS</t>
        </is>
      </c>
      <c r="H447" s="24" t="inlineStr">
        <is>
          <t>BS</t>
        </is>
      </c>
      <c r="I447" s="24" t="inlineStr">
        <is>
          <t>재무상태표</t>
        </is>
      </c>
      <c r="J447" s="24" t="inlineStr">
        <is>
          <t>ifrs-full_NoncurrentLiabilities</t>
        </is>
      </c>
      <c r="K447" s="24" t="inlineStr">
        <is>
          <t>비유동부채</t>
        </is>
      </c>
      <c r="L447" s="24" t="inlineStr">
        <is>
          <t>-</t>
        </is>
      </c>
      <c r="M447" s="24" t="inlineStr">
        <is>
          <t>제 31 기</t>
        </is>
      </c>
      <c r="N447" s="24" t="inlineStr">
        <is>
          <t>3456260411.0</t>
        </is>
      </c>
      <c r="O447" s="24" t="inlineStr">
        <is>
          <t>2689967210.0</t>
        </is>
      </c>
      <c r="P447" s="24" t="inlineStr">
        <is>
          <t>KRW</t>
        </is>
      </c>
      <c r="Q447" s="24" t="inlineStr">
        <is>
          <t>40</t>
        </is>
      </c>
    </row>
    <row r="448" ht="24" customHeight="1">
      <c r="A448" s="29" t="inlineStr">
        <is>
          <t>OpenDART_fnlttSinglAcntAll</t>
        </is>
      </c>
      <c r="B448" s="29" t="inlineStr">
        <is>
          <t>00245472</t>
        </is>
      </c>
      <c r="C448" s="29" t="inlineStr">
        <is>
          <t>티씨케이</t>
        </is>
      </c>
      <c r="D448" s="29" t="inlineStr">
        <is>
          <t>tck</t>
        </is>
      </c>
      <c r="E448" s="29" t="inlineStr">
        <is>
          <t>064760</t>
        </is>
      </c>
      <c r="F448" s="29" t="inlineStr">
        <is>
          <t>2025</t>
        </is>
      </c>
      <c r="G448" s="29" t="inlineStr">
        <is>
          <t>OFS</t>
        </is>
      </c>
      <c r="H448" s="29" t="inlineStr">
        <is>
          <t>BS</t>
        </is>
      </c>
      <c r="I448" s="29" t="inlineStr">
        <is>
          <t>재무상태표</t>
        </is>
      </c>
      <c r="J448" s="29" t="inlineStr">
        <is>
          <t>ifrs-full_NoncurrentLeaseLiabilities</t>
        </is>
      </c>
      <c r="K448" s="29" t="inlineStr">
        <is>
          <t>비유동리스부채</t>
        </is>
      </c>
      <c r="L448" s="29" t="inlineStr">
        <is>
          <t>-</t>
        </is>
      </c>
      <c r="M448" s="29" t="inlineStr">
        <is>
          <t>제 31 기</t>
        </is>
      </c>
      <c r="N448" s="29" t="inlineStr">
        <is>
          <t>398463656.0</t>
        </is>
      </c>
      <c r="O448" s="29" t="inlineStr">
        <is>
          <t>335085696.0</t>
        </is>
      </c>
      <c r="P448" s="29" t="inlineStr">
        <is>
          <t>KRW</t>
        </is>
      </c>
      <c r="Q448" s="29" t="inlineStr">
        <is>
          <t>41</t>
        </is>
      </c>
    </row>
    <row r="449" ht="24" customHeight="1">
      <c r="A449" s="24" t="inlineStr">
        <is>
          <t>OpenDART_fnlttSinglAcntAll</t>
        </is>
      </c>
      <c r="B449" s="24" t="inlineStr">
        <is>
          <t>00245472</t>
        </is>
      </c>
      <c r="C449" s="24" t="inlineStr">
        <is>
          <t>티씨케이</t>
        </is>
      </c>
      <c r="D449" s="24" t="inlineStr">
        <is>
          <t>tck</t>
        </is>
      </c>
      <c r="E449" s="24" t="inlineStr">
        <is>
          <t>064760</t>
        </is>
      </c>
      <c r="F449" s="24" t="inlineStr">
        <is>
          <t>2025</t>
        </is>
      </c>
      <c r="G449" s="24" t="inlineStr">
        <is>
          <t>OFS</t>
        </is>
      </c>
      <c r="H449" s="24" t="inlineStr">
        <is>
          <t>BS</t>
        </is>
      </c>
      <c r="I449" s="24" t="inlineStr">
        <is>
          <t>재무상태표</t>
        </is>
      </c>
      <c r="J449" s="24" t="inlineStr">
        <is>
          <t>ifrs-full_NoncurrentProvisions</t>
        </is>
      </c>
      <c r="K449" s="24" t="inlineStr">
        <is>
          <t>비유동충당부채</t>
        </is>
      </c>
      <c r="L449" s="24" t="inlineStr">
        <is>
          <t>-</t>
        </is>
      </c>
      <c r="M449" s="24" t="inlineStr">
        <is>
          <t>제 31 기</t>
        </is>
      </c>
      <c r="N449" s="24" t="inlineStr">
        <is>
          <t>3057796755.0</t>
        </is>
      </c>
      <c r="O449" s="24" t="inlineStr">
        <is>
          <t>2354881514.0</t>
        </is>
      </c>
      <c r="P449" s="24" t="inlineStr">
        <is>
          <t>KRW</t>
        </is>
      </c>
      <c r="Q449" s="24" t="inlineStr">
        <is>
          <t>42</t>
        </is>
      </c>
    </row>
    <row r="450" ht="24" customHeight="1">
      <c r="A450" s="29" t="inlineStr">
        <is>
          <t>OpenDART_fnlttSinglAcntAll</t>
        </is>
      </c>
      <c r="B450" s="29" t="inlineStr">
        <is>
          <t>00245472</t>
        </is>
      </c>
      <c r="C450" s="29" t="inlineStr">
        <is>
          <t>티씨케이</t>
        </is>
      </c>
      <c r="D450" s="29" t="inlineStr">
        <is>
          <t>tck</t>
        </is>
      </c>
      <c r="E450" s="29" t="inlineStr">
        <is>
          <t>064760</t>
        </is>
      </c>
      <c r="F450" s="29" t="inlineStr">
        <is>
          <t>2025</t>
        </is>
      </c>
      <c r="G450" s="29" t="inlineStr">
        <is>
          <t>OFS</t>
        </is>
      </c>
      <c r="H450" s="29" t="inlineStr">
        <is>
          <t>CIS</t>
        </is>
      </c>
      <c r="I450" s="29" t="inlineStr">
        <is>
          <t>포괄손익계산서</t>
        </is>
      </c>
      <c r="J450" s="29" t="inlineStr">
        <is>
          <t>dart_OperatingIncomeLoss</t>
        </is>
      </c>
      <c r="K450" s="29" t="inlineStr">
        <is>
          <t>영업이익</t>
        </is>
      </c>
      <c r="L450" s="29" t="inlineStr">
        <is>
          <t>-</t>
        </is>
      </c>
      <c r="M450" s="29" t="inlineStr">
        <is>
          <t>제 31 기</t>
        </is>
      </c>
      <c r="N450" s="29" t="inlineStr">
        <is>
          <t>83887319363.0</t>
        </is>
      </c>
      <c r="O450" s="29" t="inlineStr">
        <is>
          <t>80747924196.0</t>
        </is>
      </c>
      <c r="P450" s="29" t="inlineStr">
        <is>
          <t>KRW</t>
        </is>
      </c>
      <c r="Q450" s="29" t="inlineStr">
        <is>
          <t>6</t>
        </is>
      </c>
    </row>
    <row r="451" ht="24" customHeight="1">
      <c r="A451" s="24" t="inlineStr">
        <is>
          <t>OpenDART_fnlttSinglAcntAll</t>
        </is>
      </c>
      <c r="B451" s="24" t="inlineStr">
        <is>
          <t>00245472</t>
        </is>
      </c>
      <c r="C451" s="24" t="inlineStr">
        <is>
          <t>티씨케이</t>
        </is>
      </c>
      <c r="D451" s="24" t="inlineStr">
        <is>
          <t>tck</t>
        </is>
      </c>
      <c r="E451" s="24" t="inlineStr">
        <is>
          <t>064760</t>
        </is>
      </c>
      <c r="F451" s="24" t="inlineStr">
        <is>
          <t>2025</t>
        </is>
      </c>
      <c r="G451" s="24" t="inlineStr">
        <is>
          <t>OFS</t>
        </is>
      </c>
      <c r="H451" s="24" t="inlineStr">
        <is>
          <t>CIS</t>
        </is>
      </c>
      <c r="I451" s="24" t="inlineStr">
        <is>
          <t>포괄손익계산서</t>
        </is>
      </c>
      <c r="J451" s="24" t="inlineStr">
        <is>
          <t>dart_OtherGains</t>
        </is>
      </c>
      <c r="K451" s="24" t="inlineStr">
        <is>
          <t>기타수익</t>
        </is>
      </c>
      <c r="L451" s="24" t="inlineStr">
        <is>
          <t>-</t>
        </is>
      </c>
      <c r="M451" s="24" t="inlineStr">
        <is>
          <t>제 31 기</t>
        </is>
      </c>
      <c r="N451" s="24" t="inlineStr">
        <is>
          <t>5366539951.0</t>
        </is>
      </c>
      <c r="O451" s="24" t="inlineStr">
        <is>
          <t>6088579768.0</t>
        </is>
      </c>
      <c r="P451" s="24" t="inlineStr">
        <is>
          <t>KRW</t>
        </is>
      </c>
      <c r="Q451" s="24" t="inlineStr">
        <is>
          <t>7</t>
        </is>
      </c>
    </row>
    <row r="452" ht="24" customHeight="1">
      <c r="A452" s="29" t="inlineStr">
        <is>
          <t>OpenDART_fnlttSinglAcntAll</t>
        </is>
      </c>
      <c r="B452" s="29" t="inlineStr">
        <is>
          <t>00245472</t>
        </is>
      </c>
      <c r="C452" s="29" t="inlineStr">
        <is>
          <t>티씨케이</t>
        </is>
      </c>
      <c r="D452" s="29" t="inlineStr">
        <is>
          <t>tck</t>
        </is>
      </c>
      <c r="E452" s="29" t="inlineStr">
        <is>
          <t>064760</t>
        </is>
      </c>
      <c r="F452" s="29" t="inlineStr">
        <is>
          <t>2025</t>
        </is>
      </c>
      <c r="G452" s="29" t="inlineStr">
        <is>
          <t>OFS</t>
        </is>
      </c>
      <c r="H452" s="29" t="inlineStr">
        <is>
          <t>CIS</t>
        </is>
      </c>
      <c r="I452" s="29" t="inlineStr">
        <is>
          <t>포괄손익계산서</t>
        </is>
      </c>
      <c r="J452" s="29" t="inlineStr">
        <is>
          <t>dart_OtherLosses</t>
        </is>
      </c>
      <c r="K452" s="29" t="inlineStr">
        <is>
          <t>기타비용</t>
        </is>
      </c>
      <c r="L452" s="29" t="inlineStr">
        <is>
          <t>-</t>
        </is>
      </c>
      <c r="M452" s="29" t="inlineStr">
        <is>
          <t>제 31 기</t>
        </is>
      </c>
      <c r="N452" s="29" t="inlineStr">
        <is>
          <t>6155823504.0</t>
        </is>
      </c>
      <c r="O452" s="29" t="inlineStr">
        <is>
          <t>5355665584.0</t>
        </is>
      </c>
      <c r="P452" s="29" t="inlineStr">
        <is>
          <t>KRW</t>
        </is>
      </c>
      <c r="Q452" s="29" t="inlineStr">
        <is>
          <t>8</t>
        </is>
      </c>
    </row>
    <row r="453" ht="24" customHeight="1">
      <c r="A453" s="24" t="inlineStr">
        <is>
          <t>OpenDART_fnlttSinglAcntAll</t>
        </is>
      </c>
      <c r="B453" s="24" t="inlineStr">
        <is>
          <t>00245472</t>
        </is>
      </c>
      <c r="C453" s="24" t="inlineStr">
        <is>
          <t>티씨케이</t>
        </is>
      </c>
      <c r="D453" s="24" t="inlineStr">
        <is>
          <t>tck</t>
        </is>
      </c>
      <c r="E453" s="24" t="inlineStr">
        <is>
          <t>064760</t>
        </is>
      </c>
      <c r="F453" s="24" t="inlineStr">
        <is>
          <t>2025</t>
        </is>
      </c>
      <c r="G453" s="24" t="inlineStr">
        <is>
          <t>OFS</t>
        </is>
      </c>
      <c r="H453" s="24" t="inlineStr">
        <is>
          <t>CIS</t>
        </is>
      </c>
      <c r="I453" s="24" t="inlineStr">
        <is>
          <t>포괄손익계산서</t>
        </is>
      </c>
      <c r="J453" s="24" t="inlineStr">
        <is>
          <t>dart_TotalSellingGeneralAdministrativeExpenses</t>
        </is>
      </c>
      <c r="K453" s="24" t="inlineStr">
        <is>
          <t>판매비와관리비</t>
        </is>
      </c>
      <c r="L453" s="24" t="inlineStr">
        <is>
          <t>-</t>
        </is>
      </c>
      <c r="M453" s="24" t="inlineStr">
        <is>
          <t>제 31 기</t>
        </is>
      </c>
      <c r="N453" s="24" t="inlineStr">
        <is>
          <t>25874842723.0</t>
        </is>
      </c>
      <c r="O453" s="24" t="inlineStr">
        <is>
          <t>23390820848.0</t>
        </is>
      </c>
      <c r="P453" s="24" t="inlineStr">
        <is>
          <t>KRW</t>
        </is>
      </c>
      <c r="Q453" s="24" t="inlineStr">
        <is>
          <t>9</t>
        </is>
      </c>
    </row>
    <row r="454" ht="24" customHeight="1">
      <c r="A454" s="29" t="inlineStr">
        <is>
          <t>OpenDART_fnlttSinglAcntAll</t>
        </is>
      </c>
      <c r="B454" s="29" t="inlineStr">
        <is>
          <t>00245472</t>
        </is>
      </c>
      <c r="C454" s="29" t="inlineStr">
        <is>
          <t>티씨케이</t>
        </is>
      </c>
      <c r="D454" s="29" t="inlineStr">
        <is>
          <t>tck</t>
        </is>
      </c>
      <c r="E454" s="29" t="inlineStr">
        <is>
          <t>064760</t>
        </is>
      </c>
      <c r="F454" s="29" t="inlineStr">
        <is>
          <t>2025</t>
        </is>
      </c>
      <c r="G454" s="29" t="inlineStr">
        <is>
          <t>OFS</t>
        </is>
      </c>
      <c r="H454" s="29" t="inlineStr">
        <is>
          <t>CIS</t>
        </is>
      </c>
      <c r="I454" s="29" t="inlineStr">
        <is>
          <t>포괄손익계산서</t>
        </is>
      </c>
      <c r="J454" s="29" t="inlineStr">
        <is>
          <t>ifrs-full_ComprehensiveIncome</t>
        </is>
      </c>
      <c r="K454" s="29" t="inlineStr">
        <is>
          <t>총포괄이익</t>
        </is>
      </c>
      <c r="L454" s="29" t="inlineStr">
        <is>
          <t>-</t>
        </is>
      </c>
      <c r="M454" s="29" t="inlineStr">
        <is>
          <t>제 31 기</t>
        </is>
      </c>
      <c r="N454" s="29" t="inlineStr">
        <is>
          <t>69509784676.0</t>
        </is>
      </c>
      <c r="O454" s="29" t="inlineStr">
        <is>
          <t>71994036570.0</t>
        </is>
      </c>
      <c r="P454" s="29" t="inlineStr">
        <is>
          <t>KRW</t>
        </is>
      </c>
      <c r="Q454" s="29" t="inlineStr">
        <is>
          <t>10</t>
        </is>
      </c>
    </row>
    <row r="455" ht="24" customHeight="1">
      <c r="A455" s="24" t="inlineStr">
        <is>
          <t>OpenDART_fnlttSinglAcntAll</t>
        </is>
      </c>
      <c r="B455" s="24" t="inlineStr">
        <is>
          <t>00245472</t>
        </is>
      </c>
      <c r="C455" s="24" t="inlineStr">
        <is>
          <t>티씨케이</t>
        </is>
      </c>
      <c r="D455" s="24" t="inlineStr">
        <is>
          <t>tck</t>
        </is>
      </c>
      <c r="E455" s="24" t="inlineStr">
        <is>
          <t>064760</t>
        </is>
      </c>
      <c r="F455" s="24" t="inlineStr">
        <is>
          <t>2025</t>
        </is>
      </c>
      <c r="G455" s="24" t="inlineStr">
        <is>
          <t>OFS</t>
        </is>
      </c>
      <c r="H455" s="24" t="inlineStr">
        <is>
          <t>CIS</t>
        </is>
      </c>
      <c r="I455" s="24" t="inlineStr">
        <is>
          <t>포괄손익계산서</t>
        </is>
      </c>
      <c r="J455" s="24" t="inlineStr">
        <is>
          <t>ifrs-full_CostOfSales</t>
        </is>
      </c>
      <c r="K455" s="24" t="inlineStr">
        <is>
          <t>매출원가</t>
        </is>
      </c>
      <c r="L455" s="24" t="inlineStr">
        <is>
          <t>-</t>
        </is>
      </c>
      <c r="M455" s="24" t="inlineStr">
        <is>
          <t>제 31 기</t>
        </is>
      </c>
      <c r="N455" s="24" t="inlineStr">
        <is>
          <t>191572140758.0</t>
        </is>
      </c>
      <c r="O455" s="24" t="inlineStr">
        <is>
          <t>171586098400.0</t>
        </is>
      </c>
      <c r="P455" s="24" t="inlineStr">
        <is>
          <t>KRW</t>
        </is>
      </c>
      <c r="Q455" s="24" t="inlineStr">
        <is>
          <t>11</t>
        </is>
      </c>
    </row>
    <row r="456" ht="24" customHeight="1">
      <c r="A456" s="29" t="inlineStr">
        <is>
          <t>OpenDART_fnlttSinglAcntAll</t>
        </is>
      </c>
      <c r="B456" s="29" t="inlineStr">
        <is>
          <t>00245472</t>
        </is>
      </c>
      <c r="C456" s="29" t="inlineStr">
        <is>
          <t>티씨케이</t>
        </is>
      </c>
      <c r="D456" s="29" t="inlineStr">
        <is>
          <t>tck</t>
        </is>
      </c>
      <c r="E456" s="29" t="inlineStr">
        <is>
          <t>064760</t>
        </is>
      </c>
      <c r="F456" s="29" t="inlineStr">
        <is>
          <t>2025</t>
        </is>
      </c>
      <c r="G456" s="29" t="inlineStr">
        <is>
          <t>OFS</t>
        </is>
      </c>
      <c r="H456" s="29" t="inlineStr">
        <is>
          <t>CIS</t>
        </is>
      </c>
      <c r="I456" s="29" t="inlineStr">
        <is>
          <t>포괄손익계산서</t>
        </is>
      </c>
      <c r="J456" s="29" t="inlineStr">
        <is>
          <t>ifrs-full_BasicEarningsLossPerShare</t>
        </is>
      </c>
      <c r="K456" s="29" t="inlineStr">
        <is>
          <t>기본주당이익(손실)</t>
        </is>
      </c>
      <c r="L456" s="29" t="inlineStr">
        <is>
          <t>-</t>
        </is>
      </c>
      <c r="M456" s="29" t="inlineStr">
        <is>
          <t>제 31 기</t>
        </is>
      </c>
      <c r="N456" s="29" t="inlineStr">
        <is>
          <t>6138.0</t>
        </is>
      </c>
      <c r="O456" s="29" t="inlineStr">
        <is>
          <t>6167.0</t>
        </is>
      </c>
      <c r="P456" s="29" t="inlineStr">
        <is>
          <t>KRW</t>
        </is>
      </c>
      <c r="Q456" s="29" t="inlineStr">
        <is>
          <t>13</t>
        </is>
      </c>
    </row>
    <row r="457" ht="24" customHeight="1">
      <c r="A457" s="24" t="inlineStr">
        <is>
          <t>OpenDART_fnlttSinglAcntAll</t>
        </is>
      </c>
      <c r="B457" s="24" t="inlineStr">
        <is>
          <t>00245472</t>
        </is>
      </c>
      <c r="C457" s="24" t="inlineStr">
        <is>
          <t>티씨케이</t>
        </is>
      </c>
      <c r="D457" s="24" t="inlineStr">
        <is>
          <t>tck</t>
        </is>
      </c>
      <c r="E457" s="24" t="inlineStr">
        <is>
          <t>064760</t>
        </is>
      </c>
      <c r="F457" s="24" t="inlineStr">
        <is>
          <t>2025</t>
        </is>
      </c>
      <c r="G457" s="24" t="inlineStr">
        <is>
          <t>OFS</t>
        </is>
      </c>
      <c r="H457" s="24" t="inlineStr">
        <is>
          <t>CIS</t>
        </is>
      </c>
      <c r="I457" s="24" t="inlineStr">
        <is>
          <t>포괄손익계산서</t>
        </is>
      </c>
      <c r="J457" s="24" t="inlineStr">
        <is>
          <t>ifrs-full_DilutedEarningsLossPerShare</t>
        </is>
      </c>
      <c r="K457" s="24" t="inlineStr">
        <is>
          <t>희석주당이익(손실)</t>
        </is>
      </c>
      <c r="L457" s="24" t="inlineStr">
        <is>
          <t>-</t>
        </is>
      </c>
      <c r="M457" s="24" t="inlineStr">
        <is>
          <t>제 31 기</t>
        </is>
      </c>
      <c r="N457" s="24" t="inlineStr">
        <is>
          <t>6138.0</t>
        </is>
      </c>
      <c r="O457" s="24" t="inlineStr">
        <is>
          <t>6167.0</t>
        </is>
      </c>
      <c r="P457" s="24" t="inlineStr">
        <is>
          <t>KRW</t>
        </is>
      </c>
      <c r="Q457" s="24" t="inlineStr">
        <is>
          <t>14</t>
        </is>
      </c>
    </row>
    <row r="458" ht="24" customHeight="1">
      <c r="A458" s="29" t="inlineStr">
        <is>
          <t>OpenDART_fnlttSinglAcntAll</t>
        </is>
      </c>
      <c r="B458" s="29" t="inlineStr">
        <is>
          <t>00245472</t>
        </is>
      </c>
      <c r="C458" s="29" t="inlineStr">
        <is>
          <t>티씨케이</t>
        </is>
      </c>
      <c r="D458" s="29" t="inlineStr">
        <is>
          <t>tck</t>
        </is>
      </c>
      <c r="E458" s="29" t="inlineStr">
        <is>
          <t>064760</t>
        </is>
      </c>
      <c r="F458" s="29" t="inlineStr">
        <is>
          <t>2025</t>
        </is>
      </c>
      <c r="G458" s="29" t="inlineStr">
        <is>
          <t>OFS</t>
        </is>
      </c>
      <c r="H458" s="29" t="inlineStr">
        <is>
          <t>CIS</t>
        </is>
      </c>
      <c r="I458" s="29" t="inlineStr">
        <is>
          <t>포괄손익계산서</t>
        </is>
      </c>
      <c r="J458" s="29" t="inlineStr">
        <is>
          <t>ifrs-full_FinanceCosts</t>
        </is>
      </c>
      <c r="K458" s="29" t="inlineStr">
        <is>
          <t>금융비용</t>
        </is>
      </c>
      <c r="L458" s="29" t="inlineStr">
        <is>
          <t>-</t>
        </is>
      </c>
      <c r="M458" s="29" t="inlineStr">
        <is>
          <t>제 31 기</t>
        </is>
      </c>
      <c r="N458" s="29" t="inlineStr">
        <is>
          <t>37081976.0</t>
        </is>
      </c>
      <c r="O458" s="29" t="inlineStr">
        <is>
          <t>31971330.0</t>
        </is>
      </c>
      <c r="P458" s="29" t="inlineStr">
        <is>
          <t>KRW</t>
        </is>
      </c>
      <c r="Q458" s="29" t="inlineStr">
        <is>
          <t>15</t>
        </is>
      </c>
    </row>
    <row r="459" ht="24" customHeight="1">
      <c r="A459" s="24" t="inlineStr">
        <is>
          <t>OpenDART_fnlttSinglAcntAll</t>
        </is>
      </c>
      <c r="B459" s="24" t="inlineStr">
        <is>
          <t>00245472</t>
        </is>
      </c>
      <c r="C459" s="24" t="inlineStr">
        <is>
          <t>티씨케이</t>
        </is>
      </c>
      <c r="D459" s="24" t="inlineStr">
        <is>
          <t>tck</t>
        </is>
      </c>
      <c r="E459" s="24" t="inlineStr">
        <is>
          <t>064760</t>
        </is>
      </c>
      <c r="F459" s="24" t="inlineStr">
        <is>
          <t>2025</t>
        </is>
      </c>
      <c r="G459" s="24" t="inlineStr">
        <is>
          <t>OFS</t>
        </is>
      </c>
      <c r="H459" s="24" t="inlineStr">
        <is>
          <t>CIS</t>
        </is>
      </c>
      <c r="I459" s="24" t="inlineStr">
        <is>
          <t>포괄손익계산서</t>
        </is>
      </c>
      <c r="J459" s="24" t="inlineStr">
        <is>
          <t>ifrs-full_FinanceIncome</t>
        </is>
      </c>
      <c r="K459" s="24" t="inlineStr">
        <is>
          <t>금융수익</t>
        </is>
      </c>
      <c r="L459" s="24" t="inlineStr">
        <is>
          <t>-</t>
        </is>
      </c>
      <c r="M459" s="24" t="inlineStr">
        <is>
          <t>제 31 기</t>
        </is>
      </c>
      <c r="N459" s="24" t="inlineStr">
        <is>
          <t>8307692970.0</t>
        </is>
      </c>
      <c r="O459" s="24" t="inlineStr">
        <is>
          <t>9277348692.0</t>
        </is>
      </c>
      <c r="P459" s="24" t="inlineStr">
        <is>
          <t>KRW</t>
        </is>
      </c>
      <c r="Q459" s="24" t="inlineStr">
        <is>
          <t>16</t>
        </is>
      </c>
    </row>
    <row r="460" ht="24" customHeight="1">
      <c r="A460" s="29" t="inlineStr">
        <is>
          <t>OpenDART_fnlttSinglAcntAll</t>
        </is>
      </c>
      <c r="B460" s="29" t="inlineStr">
        <is>
          <t>00245472</t>
        </is>
      </c>
      <c r="C460" s="29" t="inlineStr">
        <is>
          <t>티씨케이</t>
        </is>
      </c>
      <c r="D460" s="29" t="inlineStr">
        <is>
          <t>tck</t>
        </is>
      </c>
      <c r="E460" s="29" t="inlineStr">
        <is>
          <t>064760</t>
        </is>
      </c>
      <c r="F460" s="29" t="inlineStr">
        <is>
          <t>2025</t>
        </is>
      </c>
      <c r="G460" s="29" t="inlineStr">
        <is>
          <t>OFS</t>
        </is>
      </c>
      <c r="H460" s="29" t="inlineStr">
        <is>
          <t>CIS</t>
        </is>
      </c>
      <c r="I460" s="29" t="inlineStr">
        <is>
          <t>포괄손익계산서</t>
        </is>
      </c>
      <c r="J460" s="29" t="inlineStr">
        <is>
          <t>ifrs-full_GrossProfit</t>
        </is>
      </c>
      <c r="K460" s="29" t="inlineStr">
        <is>
          <t>매출총이익</t>
        </is>
      </c>
      <c r="L460" s="29" t="inlineStr">
        <is>
          <t>-</t>
        </is>
      </c>
      <c r="M460" s="29" t="inlineStr">
        <is>
          <t>제 31 기</t>
        </is>
      </c>
      <c r="N460" s="29" t="inlineStr">
        <is>
          <t>109762162086.0</t>
        </is>
      </c>
      <c r="O460" s="29" t="inlineStr">
        <is>
          <t>104138745044.0</t>
        </is>
      </c>
      <c r="P460" s="29" t="inlineStr">
        <is>
          <t>KRW</t>
        </is>
      </c>
      <c r="Q460" s="29" t="inlineStr">
        <is>
          <t>17</t>
        </is>
      </c>
    </row>
    <row r="461" ht="24" customHeight="1">
      <c r="A461" s="24" t="inlineStr">
        <is>
          <t>OpenDART_fnlttSinglAcntAll</t>
        </is>
      </c>
      <c r="B461" s="24" t="inlineStr">
        <is>
          <t>00245472</t>
        </is>
      </c>
      <c r="C461" s="24" t="inlineStr">
        <is>
          <t>티씨케이</t>
        </is>
      </c>
      <c r="D461" s="24" t="inlineStr">
        <is>
          <t>tck</t>
        </is>
      </c>
      <c r="E461" s="24" t="inlineStr">
        <is>
          <t>064760</t>
        </is>
      </c>
      <c r="F461" s="24" t="inlineStr">
        <is>
          <t>2025</t>
        </is>
      </c>
      <c r="G461" s="24" t="inlineStr">
        <is>
          <t>OFS</t>
        </is>
      </c>
      <c r="H461" s="24" t="inlineStr">
        <is>
          <t>CIS</t>
        </is>
      </c>
      <c r="I461" s="24" t="inlineStr">
        <is>
          <t>포괄손익계산서</t>
        </is>
      </c>
      <c r="J461" s="24" t="inlineStr">
        <is>
          <t>ifrs-full_IncomeTaxExpenseContinuingOperations</t>
        </is>
      </c>
      <c r="K461" s="24" t="inlineStr">
        <is>
          <t>법인세비용</t>
        </is>
      </c>
      <c r="L461" s="24" t="inlineStr">
        <is>
          <t>-</t>
        </is>
      </c>
      <c r="M461" s="24" t="inlineStr">
        <is>
          <t>제 31 기</t>
        </is>
      </c>
      <c r="N461" s="24" t="inlineStr">
        <is>
          <t>21465922252.0</t>
        </is>
      </c>
      <c r="O461" s="24" t="inlineStr">
        <is>
          <t>18732179172.0</t>
        </is>
      </c>
      <c r="P461" s="24" t="inlineStr">
        <is>
          <t>KRW</t>
        </is>
      </c>
      <c r="Q461" s="24" t="inlineStr">
        <is>
          <t>18</t>
        </is>
      </c>
    </row>
    <row r="462" ht="24" customHeight="1">
      <c r="A462" s="29" t="inlineStr">
        <is>
          <t>OpenDART_fnlttSinglAcntAll</t>
        </is>
      </c>
      <c r="B462" s="29" t="inlineStr">
        <is>
          <t>00245472</t>
        </is>
      </c>
      <c r="C462" s="29" t="inlineStr">
        <is>
          <t>티씨케이</t>
        </is>
      </c>
      <c r="D462" s="29" t="inlineStr">
        <is>
          <t>tck</t>
        </is>
      </c>
      <c r="E462" s="29" t="inlineStr">
        <is>
          <t>064760</t>
        </is>
      </c>
      <c r="F462" s="29" t="inlineStr">
        <is>
          <t>2025</t>
        </is>
      </c>
      <c r="G462" s="29" t="inlineStr">
        <is>
          <t>OFS</t>
        </is>
      </c>
      <c r="H462" s="29" t="inlineStr">
        <is>
          <t>CIS</t>
        </is>
      </c>
      <c r="I462" s="29" t="inlineStr">
        <is>
          <t>포괄손익계산서</t>
        </is>
      </c>
      <c r="J462" s="29" t="inlineStr">
        <is>
          <t>ifrs-full_OtherComprehensiveIncome</t>
        </is>
      </c>
      <c r="K462" s="29" t="inlineStr">
        <is>
          <t>기타포괄손익</t>
        </is>
      </c>
      <c r="L462" s="29" t="inlineStr">
        <is>
          <t>-</t>
        </is>
      </c>
      <c r="M462" s="29" t="inlineStr">
        <is>
          <t>제 31 기</t>
        </is>
      </c>
      <c r="N462" s="29" t="inlineStr">
        <is>
          <t>-392939876.0</t>
        </is>
      </c>
      <c r="O462" s="29" t="inlineStr">
        <is>
          <t>0.0</t>
        </is>
      </c>
      <c r="P462" s="29" t="inlineStr">
        <is>
          <t>KRW</t>
        </is>
      </c>
      <c r="Q462" s="29" t="inlineStr">
        <is>
          <t>19</t>
        </is>
      </c>
    </row>
    <row r="463" ht="24" customHeight="1">
      <c r="A463" s="24" t="inlineStr">
        <is>
          <t>OpenDART_fnlttSinglAcntAll</t>
        </is>
      </c>
      <c r="B463" s="24" t="inlineStr">
        <is>
          <t>00245472</t>
        </is>
      </c>
      <c r="C463" s="24" t="inlineStr">
        <is>
          <t>티씨케이</t>
        </is>
      </c>
      <c r="D463" s="24" t="inlineStr">
        <is>
          <t>tck</t>
        </is>
      </c>
      <c r="E463" s="24" t="inlineStr">
        <is>
          <t>064760</t>
        </is>
      </c>
      <c r="F463" s="24" t="inlineStr">
        <is>
          <t>2025</t>
        </is>
      </c>
      <c r="G463" s="24" t="inlineStr">
        <is>
          <t>OFS</t>
        </is>
      </c>
      <c r="H463" s="24" t="inlineStr">
        <is>
          <t>CIS</t>
        </is>
      </c>
      <c r="I463" s="24" t="inlineStr">
        <is>
          <t>포괄손익계산서</t>
        </is>
      </c>
      <c r="J463" s="24" t="inlineStr">
        <is>
          <t>ifrs-full_OtherComprehensiveIncomeThatWillBeReclassifiedToProfitOrLossNetOfTax</t>
        </is>
      </c>
      <c r="K463" s="24" t="inlineStr">
        <is>
          <t>당기손익으로 재분류되는 세후기타포괄손익</t>
        </is>
      </c>
      <c r="L463" s="24" t="inlineStr">
        <is>
          <t>-</t>
        </is>
      </c>
      <c r="M463" s="24" t="inlineStr">
        <is>
          <t>제 31 기</t>
        </is>
      </c>
      <c r="N463" s="24" t="inlineStr">
        <is>
          <t>-392939876.0</t>
        </is>
      </c>
      <c r="O463" s="24" t="inlineStr">
        <is>
          <t>0.0</t>
        </is>
      </c>
      <c r="P463" s="24" t="inlineStr">
        <is>
          <t>KRW</t>
        </is>
      </c>
      <c r="Q463" s="24" t="inlineStr">
        <is>
          <t>20</t>
        </is>
      </c>
    </row>
    <row r="464" ht="24" customHeight="1">
      <c r="A464" s="29" t="inlineStr">
        <is>
          <t>OpenDART_fnlttSinglAcntAll</t>
        </is>
      </c>
      <c r="B464" s="29" t="inlineStr">
        <is>
          <t>00245472</t>
        </is>
      </c>
      <c r="C464" s="29" t="inlineStr">
        <is>
          <t>티씨케이</t>
        </is>
      </c>
      <c r="D464" s="29" t="inlineStr">
        <is>
          <t>tck</t>
        </is>
      </c>
      <c r="E464" s="29" t="inlineStr">
        <is>
          <t>064760</t>
        </is>
      </c>
      <c r="F464" s="29" t="inlineStr">
        <is>
          <t>2025</t>
        </is>
      </c>
      <c r="G464" s="29" t="inlineStr">
        <is>
          <t>OFS</t>
        </is>
      </c>
      <c r="H464" s="29" t="inlineStr">
        <is>
          <t>CIS</t>
        </is>
      </c>
      <c r="I464" s="29" t="inlineStr">
        <is>
          <t>포괄손익계산서</t>
        </is>
      </c>
      <c r="J464" s="29" t="inlineStr">
        <is>
          <t>ifrs-full_GainsLossesOnFinancialAssetsMeasuredAtFairValueThroughOtherComprehensiveIncomeNetOfTax</t>
        </is>
      </c>
      <c r="K464" s="29" t="inlineStr">
        <is>
          <t>기타포괄손익-공정가치로 측정되는 금융자산의 세후차손익</t>
        </is>
      </c>
      <c r="L464" s="29" t="inlineStr">
        <is>
          <t>-</t>
        </is>
      </c>
      <c r="M464" s="29" t="inlineStr">
        <is>
          <t>제 31 기</t>
        </is>
      </c>
      <c r="N464" s="29" t="inlineStr">
        <is>
          <t>-392939876.0</t>
        </is>
      </c>
      <c r="O464" s="29" t="inlineStr">
        <is>
          <t>0.0</t>
        </is>
      </c>
      <c r="P464" s="29" t="inlineStr">
        <is>
          <t>KRW</t>
        </is>
      </c>
      <c r="Q464" s="29" t="inlineStr">
        <is>
          <t>21</t>
        </is>
      </c>
    </row>
    <row r="465" ht="24" customHeight="1">
      <c r="A465" s="24" t="inlineStr">
        <is>
          <t>OpenDART_fnlttSinglAcntAll</t>
        </is>
      </c>
      <c r="B465" s="24" t="inlineStr">
        <is>
          <t>00245472</t>
        </is>
      </c>
      <c r="C465" s="24" t="inlineStr">
        <is>
          <t>티씨케이</t>
        </is>
      </c>
      <c r="D465" s="24" t="inlineStr">
        <is>
          <t>tck</t>
        </is>
      </c>
      <c r="E465" s="24" t="inlineStr">
        <is>
          <t>064760</t>
        </is>
      </c>
      <c r="F465" s="24" t="inlineStr">
        <is>
          <t>2025</t>
        </is>
      </c>
      <c r="G465" s="24" t="inlineStr">
        <is>
          <t>OFS</t>
        </is>
      </c>
      <c r="H465" s="24" t="inlineStr">
        <is>
          <t>CIS</t>
        </is>
      </c>
      <c r="I465" s="24" t="inlineStr">
        <is>
          <t>포괄손익계산서</t>
        </is>
      </c>
      <c r="J465" s="24" t="inlineStr">
        <is>
          <t>ifrs-full_ProfitLoss</t>
        </is>
      </c>
      <c r="K465" s="24" t="inlineStr">
        <is>
          <t>당기순이익</t>
        </is>
      </c>
      <c r="L465" s="24" t="inlineStr">
        <is>
          <t>-</t>
        </is>
      </c>
      <c r="M465" s="24" t="inlineStr">
        <is>
          <t>제 31 기</t>
        </is>
      </c>
      <c r="N465" s="24" t="inlineStr">
        <is>
          <t>69902724552.0</t>
        </is>
      </c>
      <c r="O465" s="24" t="inlineStr">
        <is>
          <t>71994036570.0</t>
        </is>
      </c>
      <c r="P465" s="24" t="inlineStr">
        <is>
          <t>KRW</t>
        </is>
      </c>
      <c r="Q465" s="24" t="inlineStr">
        <is>
          <t>22</t>
        </is>
      </c>
    </row>
    <row r="466" ht="24" customHeight="1">
      <c r="A466" s="29" t="inlineStr">
        <is>
          <t>OpenDART_fnlttSinglAcntAll</t>
        </is>
      </c>
      <c r="B466" s="29" t="inlineStr">
        <is>
          <t>00245472</t>
        </is>
      </c>
      <c r="C466" s="29" t="inlineStr">
        <is>
          <t>티씨케이</t>
        </is>
      </c>
      <c r="D466" s="29" t="inlineStr">
        <is>
          <t>tck</t>
        </is>
      </c>
      <c r="E466" s="29" t="inlineStr">
        <is>
          <t>064760</t>
        </is>
      </c>
      <c r="F466" s="29" t="inlineStr">
        <is>
          <t>2025</t>
        </is>
      </c>
      <c r="G466" s="29" t="inlineStr">
        <is>
          <t>OFS</t>
        </is>
      </c>
      <c r="H466" s="29" t="inlineStr">
        <is>
          <t>CIS</t>
        </is>
      </c>
      <c r="I466" s="29" t="inlineStr">
        <is>
          <t>포괄손익계산서</t>
        </is>
      </c>
      <c r="J466" s="29" t="inlineStr">
        <is>
          <t>ifrs-full_ProfitLossBeforeTax</t>
        </is>
      </c>
      <c r="K466" s="29" t="inlineStr">
        <is>
          <t>법인세비용차감전순이익(손실)</t>
        </is>
      </c>
      <c r="L466" s="29" t="inlineStr">
        <is>
          <t>-</t>
        </is>
      </c>
      <c r="M466" s="29" t="inlineStr">
        <is>
          <t>제 31 기</t>
        </is>
      </c>
      <c r="N466" s="29" t="inlineStr">
        <is>
          <t>91368646804.0</t>
        </is>
      </c>
      <c r="O466" s="29" t="inlineStr">
        <is>
          <t>90726215742.0</t>
        </is>
      </c>
      <c r="P466" s="29" t="inlineStr">
        <is>
          <t>KRW</t>
        </is>
      </c>
      <c r="Q466" s="29" t="inlineStr">
        <is>
          <t>23</t>
        </is>
      </c>
    </row>
    <row r="467" ht="24" customHeight="1">
      <c r="A467" s="24" t="inlineStr">
        <is>
          <t>OpenDART_fnlttSinglAcntAll</t>
        </is>
      </c>
      <c r="B467" s="24" t="inlineStr">
        <is>
          <t>00245472</t>
        </is>
      </c>
      <c r="C467" s="24" t="inlineStr">
        <is>
          <t>티씨케이</t>
        </is>
      </c>
      <c r="D467" s="24" t="inlineStr">
        <is>
          <t>tck</t>
        </is>
      </c>
      <c r="E467" s="24" t="inlineStr">
        <is>
          <t>064760</t>
        </is>
      </c>
      <c r="F467" s="24" t="inlineStr">
        <is>
          <t>2025</t>
        </is>
      </c>
      <c r="G467" s="24" t="inlineStr">
        <is>
          <t>OFS</t>
        </is>
      </c>
      <c r="H467" s="24" t="inlineStr">
        <is>
          <t>CIS</t>
        </is>
      </c>
      <c r="I467" s="24" t="inlineStr">
        <is>
          <t>포괄손익계산서</t>
        </is>
      </c>
      <c r="J467" s="24" t="inlineStr">
        <is>
          <t>ifrs-full_Revenue</t>
        </is>
      </c>
      <c r="K467" s="24" t="inlineStr">
        <is>
          <t>매출액</t>
        </is>
      </c>
      <c r="L467" s="24" t="inlineStr">
        <is>
          <t>-</t>
        </is>
      </c>
      <c r="M467" s="24" t="inlineStr">
        <is>
          <t>제 31 기</t>
        </is>
      </c>
      <c r="N467" s="24" t="inlineStr">
        <is>
          <t>301334302844.0</t>
        </is>
      </c>
      <c r="O467" s="24" t="inlineStr">
        <is>
          <t>275724843444.0</t>
        </is>
      </c>
      <c r="P467" s="24" t="inlineStr">
        <is>
          <t>KRW</t>
        </is>
      </c>
      <c r="Q467" s="24" t="inlineStr">
        <is>
          <t>24</t>
        </is>
      </c>
    </row>
    <row r="468" ht="24" customHeight="1">
      <c r="A468" s="29" t="inlineStr">
        <is>
          <t>OpenDART_fnlttSinglAcntAll</t>
        </is>
      </c>
      <c r="B468" s="29" t="inlineStr">
        <is>
          <t>00245472</t>
        </is>
      </c>
      <c r="C468" s="29" t="inlineStr">
        <is>
          <t>티씨케이</t>
        </is>
      </c>
      <c r="D468" s="29" t="inlineStr">
        <is>
          <t>tck</t>
        </is>
      </c>
      <c r="E468" s="29" t="inlineStr">
        <is>
          <t>064760</t>
        </is>
      </c>
      <c r="F468" s="29" t="inlineStr">
        <is>
          <t>2025</t>
        </is>
      </c>
      <c r="G468" s="29" t="inlineStr">
        <is>
          <t>OFS</t>
        </is>
      </c>
      <c r="H468" s="29" t="inlineStr">
        <is>
          <t>CF</t>
        </is>
      </c>
      <c r="I468" s="29" t="inlineStr">
        <is>
          <t>현금흐름표</t>
        </is>
      </c>
      <c r="J468" s="29" t="inlineStr">
        <is>
          <t>dart_CashAndCashEquivalentsAtBeginningOfPeriodCf</t>
        </is>
      </c>
      <c r="K468" s="29" t="inlineStr">
        <is>
          <t>기초 현금및현금성자산</t>
        </is>
      </c>
      <c r="L468" s="29" t="inlineStr">
        <is>
          <t>-</t>
        </is>
      </c>
      <c r="M468" s="29" t="inlineStr">
        <is>
          <t>제 31 기</t>
        </is>
      </c>
      <c r="N468" s="29" t="inlineStr">
        <is>
          <t>33858787333.0</t>
        </is>
      </c>
      <c r="O468" s="29" t="inlineStr">
        <is>
          <t>31762843213.0</t>
        </is>
      </c>
      <c r="P468" s="29" t="inlineStr">
        <is>
          <t>KRW</t>
        </is>
      </c>
      <c r="Q468" s="29" t="inlineStr">
        <is>
          <t>2</t>
        </is>
      </c>
    </row>
    <row r="469" ht="24" customHeight="1">
      <c r="A469" s="24" t="inlineStr">
        <is>
          <t>OpenDART_fnlttSinglAcntAll</t>
        </is>
      </c>
      <c r="B469" s="24" t="inlineStr">
        <is>
          <t>00245472</t>
        </is>
      </c>
      <c r="C469" s="24" t="inlineStr">
        <is>
          <t>티씨케이</t>
        </is>
      </c>
      <c r="D469" s="24" t="inlineStr">
        <is>
          <t>tck</t>
        </is>
      </c>
      <c r="E469" s="24" t="inlineStr">
        <is>
          <t>064760</t>
        </is>
      </c>
      <c r="F469" s="24" t="inlineStr">
        <is>
          <t>2025</t>
        </is>
      </c>
      <c r="G469" s="24" t="inlineStr">
        <is>
          <t>OFS</t>
        </is>
      </c>
      <c r="H469" s="24" t="inlineStr">
        <is>
          <t>CF</t>
        </is>
      </c>
      <c r="I469" s="24" t="inlineStr">
        <is>
          <t>현금흐름표</t>
        </is>
      </c>
      <c r="J469" s="24" t="inlineStr">
        <is>
          <t>dart_CashAndCashEquivalentsAtEndOfPeriodCf</t>
        </is>
      </c>
      <c r="K469" s="24" t="inlineStr">
        <is>
          <t>기말 현금및현금성자산</t>
        </is>
      </c>
      <c r="L469" s="24" t="inlineStr">
        <is>
          <t>-</t>
        </is>
      </c>
      <c r="M469" s="24" t="inlineStr">
        <is>
          <t>제 31 기</t>
        </is>
      </c>
      <c r="N469" s="24" t="inlineStr">
        <is>
          <t>41816101299.0</t>
        </is>
      </c>
      <c r="O469" s="24" t="inlineStr">
        <is>
          <t>33858787333.0</t>
        </is>
      </c>
      <c r="P469" s="24" t="inlineStr">
        <is>
          <t>KRW</t>
        </is>
      </c>
      <c r="Q469" s="24" t="inlineStr">
        <is>
          <t>3</t>
        </is>
      </c>
    </row>
    <row r="470" ht="24" customHeight="1">
      <c r="A470" s="29" t="inlineStr">
        <is>
          <t>OpenDART_fnlttSinglAcntAll</t>
        </is>
      </c>
      <c r="B470" s="29" t="inlineStr">
        <is>
          <t>00245472</t>
        </is>
      </c>
      <c r="C470" s="29" t="inlineStr">
        <is>
          <t>티씨케이</t>
        </is>
      </c>
      <c r="D470" s="29" t="inlineStr">
        <is>
          <t>tck</t>
        </is>
      </c>
      <c r="E470" s="29" t="inlineStr">
        <is>
          <t>064760</t>
        </is>
      </c>
      <c r="F470" s="29" t="inlineStr">
        <is>
          <t>2025</t>
        </is>
      </c>
      <c r="G470" s="29" t="inlineStr">
        <is>
          <t>OFS</t>
        </is>
      </c>
      <c r="H470" s="29" t="inlineStr">
        <is>
          <t>CF</t>
        </is>
      </c>
      <c r="I470" s="29" t="inlineStr">
        <is>
          <t>현금흐름표</t>
        </is>
      </c>
      <c r="J470" s="29" t="inlineStr">
        <is>
          <t>ifrs-full_CashFlowsFromUsedInFinancingActivities</t>
        </is>
      </c>
      <c r="K470" s="29" t="inlineStr">
        <is>
          <t>재무활동으로 인한 현금흐름</t>
        </is>
      </c>
      <c r="L470" s="29" t="inlineStr">
        <is>
          <t>-</t>
        </is>
      </c>
      <c r="M470" s="29" t="inlineStr">
        <is>
          <t>제 31 기</t>
        </is>
      </c>
      <c r="N470" s="29" t="inlineStr">
        <is>
          <t>-50508261180.0</t>
        </is>
      </c>
      <c r="O470" s="29" t="inlineStr">
        <is>
          <t>-286677204.0</t>
        </is>
      </c>
      <c r="P470" s="29" t="inlineStr">
        <is>
          <t>KRW</t>
        </is>
      </c>
      <c r="Q470" s="29" t="inlineStr">
        <is>
          <t>8</t>
        </is>
      </c>
    </row>
    <row r="471" ht="24" customHeight="1">
      <c r="A471" s="24" t="inlineStr">
        <is>
          <t>OpenDART_fnlttSinglAcntAll</t>
        </is>
      </c>
      <c r="B471" s="24" t="inlineStr">
        <is>
          <t>00245472</t>
        </is>
      </c>
      <c r="C471" s="24" t="inlineStr">
        <is>
          <t>티씨케이</t>
        </is>
      </c>
      <c r="D471" s="24" t="inlineStr">
        <is>
          <t>tck</t>
        </is>
      </c>
      <c r="E471" s="24" t="inlineStr">
        <is>
          <t>064760</t>
        </is>
      </c>
      <c r="F471" s="24" t="inlineStr">
        <is>
          <t>2025</t>
        </is>
      </c>
      <c r="G471" s="24" t="inlineStr">
        <is>
          <t>OFS</t>
        </is>
      </c>
      <c r="H471" s="24" t="inlineStr">
        <is>
          <t>CF</t>
        </is>
      </c>
      <c r="I471" s="24" t="inlineStr">
        <is>
          <t>현금흐름표</t>
        </is>
      </c>
      <c r="J471" s="24" t="inlineStr">
        <is>
          <t>-표준계정코드 미사용-</t>
        </is>
      </c>
      <c r="K471" s="24" t="inlineStr">
        <is>
          <t>재무활동으로 인한 현금유입액</t>
        </is>
      </c>
      <c r="L471" s="24" t="inlineStr">
        <is>
          <t>-</t>
        </is>
      </c>
      <c r="M471" s="24" t="inlineStr">
        <is>
          <t>제 31 기</t>
        </is>
      </c>
      <c r="N471" s="24" t="inlineStr">
        <is>
          <t>0.0</t>
        </is>
      </c>
      <c r="O471" s="24" t="inlineStr">
        <is>
          <t>0.0</t>
        </is>
      </c>
      <c r="P471" s="24" t="inlineStr">
        <is>
          <t>KRW</t>
        </is>
      </c>
      <c r="Q471" s="24" t="inlineStr">
        <is>
          <t>9</t>
        </is>
      </c>
    </row>
    <row r="472" ht="24" customHeight="1">
      <c r="A472" s="29" t="inlineStr">
        <is>
          <t>OpenDART_fnlttSinglAcntAll</t>
        </is>
      </c>
      <c r="B472" s="29" t="inlineStr">
        <is>
          <t>00245472</t>
        </is>
      </c>
      <c r="C472" s="29" t="inlineStr">
        <is>
          <t>티씨케이</t>
        </is>
      </c>
      <c r="D472" s="29" t="inlineStr">
        <is>
          <t>tck</t>
        </is>
      </c>
      <c r="E472" s="29" t="inlineStr">
        <is>
          <t>064760</t>
        </is>
      </c>
      <c r="F472" s="29" t="inlineStr">
        <is>
          <t>2025</t>
        </is>
      </c>
      <c r="G472" s="29" t="inlineStr">
        <is>
          <t>OFS</t>
        </is>
      </c>
      <c r="H472" s="29" t="inlineStr">
        <is>
          <t>CF</t>
        </is>
      </c>
      <c r="I472" s="29" t="inlineStr">
        <is>
          <t>현금흐름표</t>
        </is>
      </c>
      <c r="J472" s="29" t="inlineStr">
        <is>
          <t>-표준계정코드 미사용-</t>
        </is>
      </c>
      <c r="K472" s="29" t="inlineStr">
        <is>
          <t>재무활동으로 인한 현금유출액</t>
        </is>
      </c>
      <c r="L472" s="29" t="inlineStr">
        <is>
          <t>-</t>
        </is>
      </c>
      <c r="M472" s="29" t="inlineStr">
        <is>
          <t>제 31 기</t>
        </is>
      </c>
      <c r="N472" s="29" t="inlineStr">
        <is>
          <t>50508261180.0</t>
        </is>
      </c>
      <c r="O472" s="29" t="inlineStr">
        <is>
          <t>286677204.0</t>
        </is>
      </c>
      <c r="P472" s="29" t="inlineStr">
        <is>
          <t>KRW</t>
        </is>
      </c>
      <c r="Q472" s="29" t="inlineStr">
        <is>
          <t>10</t>
        </is>
      </c>
    </row>
    <row r="473" ht="24" customHeight="1">
      <c r="A473" s="24" t="inlineStr">
        <is>
          <t>OpenDART_fnlttSinglAcntAll</t>
        </is>
      </c>
      <c r="B473" s="24" t="inlineStr">
        <is>
          <t>00245472</t>
        </is>
      </c>
      <c r="C473" s="24" t="inlineStr">
        <is>
          <t>티씨케이</t>
        </is>
      </c>
      <c r="D473" s="24" t="inlineStr">
        <is>
          <t>tck</t>
        </is>
      </c>
      <c r="E473" s="24" t="inlineStr">
        <is>
          <t>064760</t>
        </is>
      </c>
      <c r="F473" s="24" t="inlineStr">
        <is>
          <t>2025</t>
        </is>
      </c>
      <c r="G473" s="24" t="inlineStr">
        <is>
          <t>OFS</t>
        </is>
      </c>
      <c r="H473" s="24" t="inlineStr">
        <is>
          <t>CF</t>
        </is>
      </c>
      <c r="I473" s="24" t="inlineStr">
        <is>
          <t>현금흐름표</t>
        </is>
      </c>
      <c r="J473" s="24" t="inlineStr">
        <is>
          <t>ifrs-full_PaymentsOfLeaseLiabilitiesClassifiedAsFinancingActivities</t>
        </is>
      </c>
      <c r="K473" s="24" t="inlineStr">
        <is>
          <t>리스부채의 상환</t>
        </is>
      </c>
      <c r="L473" s="24" t="inlineStr">
        <is>
          <t>-</t>
        </is>
      </c>
      <c r="M473" s="24" t="inlineStr">
        <is>
          <t>제 31 기</t>
        </is>
      </c>
      <c r="N473" s="24" t="inlineStr">
        <is>
          <t>508272580.0</t>
        </is>
      </c>
      <c r="O473" s="24" t="inlineStr">
        <is>
          <t>286677204.0</t>
        </is>
      </c>
      <c r="P473" s="24" t="inlineStr">
        <is>
          <t>KRW</t>
        </is>
      </c>
      <c r="Q473" s="24" t="inlineStr">
        <is>
          <t>11</t>
        </is>
      </c>
    </row>
    <row r="474" ht="24" customHeight="1">
      <c r="A474" s="29" t="inlineStr">
        <is>
          <t>OpenDART_fnlttSinglAcntAll</t>
        </is>
      </c>
      <c r="B474" s="29" t="inlineStr">
        <is>
          <t>00245472</t>
        </is>
      </c>
      <c r="C474" s="29" t="inlineStr">
        <is>
          <t>티씨케이</t>
        </is>
      </c>
      <c r="D474" s="29" t="inlineStr">
        <is>
          <t>tck</t>
        </is>
      </c>
      <c r="E474" s="29" t="inlineStr">
        <is>
          <t>064760</t>
        </is>
      </c>
      <c r="F474" s="29" t="inlineStr">
        <is>
          <t>2025</t>
        </is>
      </c>
      <c r="G474" s="29" t="inlineStr">
        <is>
          <t>OFS</t>
        </is>
      </c>
      <c r="H474" s="29" t="inlineStr">
        <is>
          <t>CF</t>
        </is>
      </c>
      <c r="I474" s="29" t="inlineStr">
        <is>
          <t>현금흐름표</t>
        </is>
      </c>
      <c r="J474" s="29" t="inlineStr">
        <is>
          <t>ifrs-full_PurchaseOfTreasuryShares</t>
        </is>
      </c>
      <c r="K474" s="29" t="inlineStr">
        <is>
          <t>자기주식의 취득</t>
        </is>
      </c>
      <c r="L474" s="29" t="inlineStr">
        <is>
          <t>-</t>
        </is>
      </c>
      <c r="M474" s="29" t="inlineStr">
        <is>
          <t>제 31 기</t>
        </is>
      </c>
      <c r="N474" s="29" t="inlineStr">
        <is>
          <t>49999988600.0</t>
        </is>
      </c>
      <c r="O474" s="29" t="inlineStr">
        <is>
          <t>0.0</t>
        </is>
      </c>
      <c r="P474" s="29" t="inlineStr">
        <is>
          <t>KRW</t>
        </is>
      </c>
      <c r="Q474" s="29" t="inlineStr">
        <is>
          <t>12</t>
        </is>
      </c>
    </row>
    <row r="475" ht="24" customHeight="1">
      <c r="A475" s="24" t="inlineStr">
        <is>
          <t>OpenDART_fnlttSinglAcntAll</t>
        </is>
      </c>
      <c r="B475" s="24" t="inlineStr">
        <is>
          <t>00245472</t>
        </is>
      </c>
      <c r="C475" s="24" t="inlineStr">
        <is>
          <t>티씨케이</t>
        </is>
      </c>
      <c r="D475" s="24" t="inlineStr">
        <is>
          <t>tck</t>
        </is>
      </c>
      <c r="E475" s="24" t="inlineStr">
        <is>
          <t>064760</t>
        </is>
      </c>
      <c r="F475" s="24" t="inlineStr">
        <is>
          <t>2025</t>
        </is>
      </c>
      <c r="G475" s="24" t="inlineStr">
        <is>
          <t>OFS</t>
        </is>
      </c>
      <c r="H475" s="24" t="inlineStr">
        <is>
          <t>CF</t>
        </is>
      </c>
      <c r="I475" s="24" t="inlineStr">
        <is>
          <t>현금흐름표</t>
        </is>
      </c>
      <c r="J475" s="24" t="inlineStr">
        <is>
          <t>ifrs-full_CashFlowsFromUsedInInvestingActivities</t>
        </is>
      </c>
      <c r="K475" s="24" t="inlineStr">
        <is>
          <t>투자활동으로 인한 현금흐름</t>
        </is>
      </c>
      <c r="L475" s="24" t="inlineStr">
        <is>
          <t>-</t>
        </is>
      </c>
      <c r="M475" s="24" t="inlineStr">
        <is>
          <t>제 31 기</t>
        </is>
      </c>
      <c r="N475" s="24" t="inlineStr">
        <is>
          <t>4361225849.0</t>
        </is>
      </c>
      <c r="O475" s="24" t="inlineStr">
        <is>
          <t>-72043319977.0</t>
        </is>
      </c>
      <c r="P475" s="24" t="inlineStr">
        <is>
          <t>KRW</t>
        </is>
      </c>
      <c r="Q475" s="24" t="inlineStr">
        <is>
          <t>13</t>
        </is>
      </c>
    </row>
    <row r="476" ht="24" customHeight="1">
      <c r="A476" s="29" t="inlineStr">
        <is>
          <t>OpenDART_fnlttSinglAcntAll</t>
        </is>
      </c>
      <c r="B476" s="29" t="inlineStr">
        <is>
          <t>00245472</t>
        </is>
      </c>
      <c r="C476" s="29" t="inlineStr">
        <is>
          <t>티씨케이</t>
        </is>
      </c>
      <c r="D476" s="29" t="inlineStr">
        <is>
          <t>tck</t>
        </is>
      </c>
      <c r="E476" s="29" t="inlineStr">
        <is>
          <t>064760</t>
        </is>
      </c>
      <c r="F476" s="29" t="inlineStr">
        <is>
          <t>2025</t>
        </is>
      </c>
      <c r="G476" s="29" t="inlineStr">
        <is>
          <t>OFS</t>
        </is>
      </c>
      <c r="H476" s="29" t="inlineStr">
        <is>
          <t>CF</t>
        </is>
      </c>
      <c r="I476" s="29" t="inlineStr">
        <is>
          <t>현금흐름표</t>
        </is>
      </c>
      <c r="J476" s="29" t="inlineStr">
        <is>
          <t>ifrs-full_InflowsOfCashFromInvestingActivities</t>
        </is>
      </c>
      <c r="K476" s="29" t="inlineStr">
        <is>
          <t>투자활동으로 인한 현금유입액</t>
        </is>
      </c>
      <c r="L476" s="29" t="inlineStr">
        <is>
          <t>-</t>
        </is>
      </c>
      <c r="M476" s="29" t="inlineStr">
        <is>
          <t>제 31 기</t>
        </is>
      </c>
      <c r="N476" s="29" t="inlineStr">
        <is>
          <t>304204219137.0</t>
        </is>
      </c>
      <c r="O476" s="29" t="inlineStr">
        <is>
          <t>191455386989.0</t>
        </is>
      </c>
      <c r="P476" s="29" t="inlineStr">
        <is>
          <t>KRW</t>
        </is>
      </c>
      <c r="Q476" s="29" t="inlineStr">
        <is>
          <t>14</t>
        </is>
      </c>
    </row>
    <row r="477" ht="24" customHeight="1">
      <c r="A477" s="24" t="inlineStr">
        <is>
          <t>OpenDART_fnlttSinglAcntAll</t>
        </is>
      </c>
      <c r="B477" s="24" t="inlineStr">
        <is>
          <t>00245472</t>
        </is>
      </c>
      <c r="C477" s="24" t="inlineStr">
        <is>
          <t>티씨케이</t>
        </is>
      </c>
      <c r="D477" s="24" t="inlineStr">
        <is>
          <t>tck</t>
        </is>
      </c>
      <c r="E477" s="24" t="inlineStr">
        <is>
          <t>064760</t>
        </is>
      </c>
      <c r="F477" s="24" t="inlineStr">
        <is>
          <t>2025</t>
        </is>
      </c>
      <c r="G477" s="24" t="inlineStr">
        <is>
          <t>OFS</t>
        </is>
      </c>
      <c r="H477" s="24" t="inlineStr">
        <is>
          <t>CF</t>
        </is>
      </c>
      <c r="I477" s="24" t="inlineStr">
        <is>
          <t>현금흐름표</t>
        </is>
      </c>
      <c r="J477" s="24" t="inlineStr">
        <is>
          <t>dart_DecreaseInGuaranteeDeposits</t>
        </is>
      </c>
      <c r="K477" s="24" t="inlineStr">
        <is>
          <t>임차보증금의 감소</t>
        </is>
      </c>
      <c r="L477" s="24" t="inlineStr">
        <is>
          <t>-</t>
        </is>
      </c>
      <c r="M477" s="24" t="inlineStr">
        <is>
          <t>제 31 기</t>
        </is>
      </c>
      <c r="N477" s="24" t="inlineStr">
        <is>
          <t>175000000.0</t>
        </is>
      </c>
      <c r="O477" s="24" t="inlineStr">
        <is>
          <t>0.0</t>
        </is>
      </c>
      <c r="P477" s="24" t="inlineStr">
        <is>
          <t>KRW</t>
        </is>
      </c>
      <c r="Q477" s="24" t="inlineStr">
        <is>
          <t>15</t>
        </is>
      </c>
    </row>
    <row r="478" ht="24" customHeight="1">
      <c r="A478" s="29" t="inlineStr">
        <is>
          <t>OpenDART_fnlttSinglAcntAll</t>
        </is>
      </c>
      <c r="B478" s="29" t="inlineStr">
        <is>
          <t>00245472</t>
        </is>
      </c>
      <c r="C478" s="29" t="inlineStr">
        <is>
          <t>티씨케이</t>
        </is>
      </c>
      <c r="D478" s="29" t="inlineStr">
        <is>
          <t>tck</t>
        </is>
      </c>
      <c r="E478" s="29" t="inlineStr">
        <is>
          <t>064760</t>
        </is>
      </c>
      <c r="F478" s="29" t="inlineStr">
        <is>
          <t>2025</t>
        </is>
      </c>
      <c r="G478" s="29" t="inlineStr">
        <is>
          <t>OFS</t>
        </is>
      </c>
      <c r="H478" s="29" t="inlineStr">
        <is>
          <t>CF</t>
        </is>
      </c>
      <c r="I478" s="29" t="inlineStr">
        <is>
          <t>현금흐름표</t>
        </is>
      </c>
      <c r="J478" s="29" t="inlineStr">
        <is>
          <t>dart_ProceedsFromSalesOfShortTermFinancialInstruments</t>
        </is>
      </c>
      <c r="K478" s="29" t="inlineStr">
        <is>
          <t>단기금융상품의 처분</t>
        </is>
      </c>
      <c r="L478" s="29" t="inlineStr">
        <is>
          <t>-</t>
        </is>
      </c>
      <c r="M478" s="29" t="inlineStr">
        <is>
          <t>제 31 기</t>
        </is>
      </c>
      <c r="N478" s="29" t="inlineStr">
        <is>
          <t>301317774296.0</t>
        </is>
      </c>
      <c r="O478" s="29" t="inlineStr">
        <is>
          <t>190000000000.0</t>
        </is>
      </c>
      <c r="P478" s="29" t="inlineStr">
        <is>
          <t>KRW</t>
        </is>
      </c>
      <c r="Q478" s="29" t="inlineStr">
        <is>
          <t>16</t>
        </is>
      </c>
    </row>
    <row r="479" ht="24" customHeight="1">
      <c r="A479" s="24" t="inlineStr">
        <is>
          <t>OpenDART_fnlttSinglAcntAll</t>
        </is>
      </c>
      <c r="B479" s="24" t="inlineStr">
        <is>
          <t>00245472</t>
        </is>
      </c>
      <c r="C479" s="24" t="inlineStr">
        <is>
          <t>티씨케이</t>
        </is>
      </c>
      <c r="D479" s="24" t="inlineStr">
        <is>
          <t>tck</t>
        </is>
      </c>
      <c r="E479" s="24" t="inlineStr">
        <is>
          <t>064760</t>
        </is>
      </c>
      <c r="F479" s="24" t="inlineStr">
        <is>
          <t>2025</t>
        </is>
      </c>
      <c r="G479" s="24" t="inlineStr">
        <is>
          <t>OFS</t>
        </is>
      </c>
      <c r="H479" s="24" t="inlineStr">
        <is>
          <t>CF</t>
        </is>
      </c>
      <c r="I479" s="24" t="inlineStr">
        <is>
          <t>현금흐름표</t>
        </is>
      </c>
      <c r="J479" s="24" t="inlineStr">
        <is>
          <t>dart_ProceedsFromSalesOfShortTermLoansAndReceivables</t>
        </is>
      </c>
      <c r="K479" s="24" t="inlineStr">
        <is>
          <t>단기대여금의 감소</t>
        </is>
      </c>
      <c r="L479" s="24" t="inlineStr">
        <is>
          <t>-</t>
        </is>
      </c>
      <c r="M479" s="24" t="inlineStr">
        <is>
          <t>제 31 기</t>
        </is>
      </c>
      <c r="N479" s="24" t="inlineStr">
        <is>
          <t>629611090.0</t>
        </is>
      </c>
      <c r="O479" s="24" t="inlineStr">
        <is>
          <t>473316010.0</t>
        </is>
      </c>
      <c r="P479" s="24" t="inlineStr">
        <is>
          <t>KRW</t>
        </is>
      </c>
      <c r="Q479" s="24" t="inlineStr">
        <is>
          <t>17</t>
        </is>
      </c>
    </row>
    <row r="480" ht="24" customHeight="1">
      <c r="A480" s="29" t="inlineStr">
        <is>
          <t>OpenDART_fnlttSinglAcntAll</t>
        </is>
      </c>
      <c r="B480" s="29" t="inlineStr">
        <is>
          <t>00245472</t>
        </is>
      </c>
      <c r="C480" s="29" t="inlineStr">
        <is>
          <t>티씨케이</t>
        </is>
      </c>
      <c r="D480" s="29" t="inlineStr">
        <is>
          <t>tck</t>
        </is>
      </c>
      <c r="E480" s="29" t="inlineStr">
        <is>
          <t>064760</t>
        </is>
      </c>
      <c r="F480" s="29" t="inlineStr">
        <is>
          <t>2025</t>
        </is>
      </c>
      <c r="G480" s="29" t="inlineStr">
        <is>
          <t>OFS</t>
        </is>
      </c>
      <c r="H480" s="29" t="inlineStr">
        <is>
          <t>CF</t>
        </is>
      </c>
      <c r="I480" s="29" t="inlineStr">
        <is>
          <t>현금흐름표</t>
        </is>
      </c>
      <c r="J480" s="29" t="inlineStr">
        <is>
          <t>ifrs-full_CashReceiptsFromFutureContractsForwardContractsOptionContractsAndSwapContractsClassifiedAsInvestingActivities</t>
        </is>
      </c>
      <c r="K480" s="29" t="inlineStr">
        <is>
          <t>파생상품자산의 감소</t>
        </is>
      </c>
      <c r="L480" s="29" t="inlineStr">
        <is>
          <t>-</t>
        </is>
      </c>
      <c r="M480" s="29" t="inlineStr">
        <is>
          <t>제 31 기</t>
        </is>
      </c>
      <c r="N480" s="29" t="inlineStr">
        <is>
          <t>1801268751.0</t>
        </is>
      </c>
      <c r="O480" s="29" t="inlineStr">
        <is>
          <t>829606806.0</t>
        </is>
      </c>
      <c r="P480" s="29" t="inlineStr">
        <is>
          <t>KRW</t>
        </is>
      </c>
      <c r="Q480" s="29" t="inlineStr">
        <is>
          <t>18</t>
        </is>
      </c>
    </row>
    <row r="481" ht="24" customHeight="1">
      <c r="A481" s="24" t="inlineStr">
        <is>
          <t>OpenDART_fnlttSinglAcntAll</t>
        </is>
      </c>
      <c r="B481" s="24" t="inlineStr">
        <is>
          <t>00245472</t>
        </is>
      </c>
      <c r="C481" s="24" t="inlineStr">
        <is>
          <t>티씨케이</t>
        </is>
      </c>
      <c r="D481" s="24" t="inlineStr">
        <is>
          <t>tck</t>
        </is>
      </c>
      <c r="E481" s="24" t="inlineStr">
        <is>
          <t>064760</t>
        </is>
      </c>
      <c r="F481" s="24" t="inlineStr">
        <is>
          <t>2025</t>
        </is>
      </c>
      <c r="G481" s="24" t="inlineStr">
        <is>
          <t>OFS</t>
        </is>
      </c>
      <c r="H481" s="24" t="inlineStr">
        <is>
          <t>CF</t>
        </is>
      </c>
      <c r="I481" s="24" t="inlineStr">
        <is>
          <t>현금흐름표</t>
        </is>
      </c>
      <c r="J481" s="24" t="inlineStr">
        <is>
          <t>ifrs-full_ProceedsFromGovernmentGrantsClassifiedAsInvestingActivities</t>
        </is>
      </c>
      <c r="K481" s="24" t="inlineStr">
        <is>
          <t>국고보조금의 취득</t>
        </is>
      </c>
      <c r="L481" s="24" t="inlineStr">
        <is>
          <t>-</t>
        </is>
      </c>
      <c r="M481" s="24" t="inlineStr">
        <is>
          <t>제 31 기</t>
        </is>
      </c>
      <c r="N481" s="24" t="inlineStr">
        <is>
          <t>271765000.0</t>
        </is>
      </c>
      <c r="O481" s="24" t="inlineStr">
        <is>
          <t>10500000.0</t>
        </is>
      </c>
      <c r="P481" s="24" t="inlineStr">
        <is>
          <t>KRW</t>
        </is>
      </c>
      <c r="Q481" s="24" t="inlineStr">
        <is>
          <t>19</t>
        </is>
      </c>
    </row>
    <row r="482" ht="24" customHeight="1">
      <c r="A482" s="29" t="inlineStr">
        <is>
          <t>OpenDART_fnlttSinglAcntAll</t>
        </is>
      </c>
      <c r="B482" s="29" t="inlineStr">
        <is>
          <t>00245472</t>
        </is>
      </c>
      <c r="C482" s="29" t="inlineStr">
        <is>
          <t>티씨케이</t>
        </is>
      </c>
      <c r="D482" s="29" t="inlineStr">
        <is>
          <t>tck</t>
        </is>
      </c>
      <c r="E482" s="29" t="inlineStr">
        <is>
          <t>064760</t>
        </is>
      </c>
      <c r="F482" s="29" t="inlineStr">
        <is>
          <t>2025</t>
        </is>
      </c>
      <c r="G482" s="29" t="inlineStr">
        <is>
          <t>OFS</t>
        </is>
      </c>
      <c r="H482" s="29" t="inlineStr">
        <is>
          <t>CF</t>
        </is>
      </c>
      <c r="I482" s="29" t="inlineStr">
        <is>
          <t>현금흐름표</t>
        </is>
      </c>
      <c r="J482" s="29" t="inlineStr">
        <is>
          <t>ifrs-full_ProceedsFromSalesOfPropertyPlantAndEquipmentClassifiedAsInvestingActivities</t>
        </is>
      </c>
      <c r="K482" s="29" t="inlineStr">
        <is>
          <t>유형자산의 처분</t>
        </is>
      </c>
      <c r="L482" s="29" t="inlineStr">
        <is>
          <t>-</t>
        </is>
      </c>
      <c r="M482" s="29" t="inlineStr">
        <is>
          <t>제 31 기</t>
        </is>
      </c>
      <c r="N482" s="29" t="inlineStr">
        <is>
          <t>8800000.0</t>
        </is>
      </c>
      <c r="O482" s="29" t="inlineStr">
        <is>
          <t>141964173.0</t>
        </is>
      </c>
      <c r="P482" s="29" t="inlineStr">
        <is>
          <t>KRW</t>
        </is>
      </c>
      <c r="Q482" s="29" t="inlineStr">
        <is>
          <t>20</t>
        </is>
      </c>
    </row>
    <row r="483" ht="24" customHeight="1">
      <c r="A483" s="24" t="inlineStr">
        <is>
          <t>OpenDART_fnlttSinglAcntAll</t>
        </is>
      </c>
      <c r="B483" s="24" t="inlineStr">
        <is>
          <t>00245472</t>
        </is>
      </c>
      <c r="C483" s="24" t="inlineStr">
        <is>
          <t>티씨케이</t>
        </is>
      </c>
      <c r="D483" s="24" t="inlineStr">
        <is>
          <t>tck</t>
        </is>
      </c>
      <c r="E483" s="24" t="inlineStr">
        <is>
          <t>064760</t>
        </is>
      </c>
      <c r="F483" s="24" t="inlineStr">
        <is>
          <t>2025</t>
        </is>
      </c>
      <c r="G483" s="24" t="inlineStr">
        <is>
          <t>OFS</t>
        </is>
      </c>
      <c r="H483" s="24" t="inlineStr">
        <is>
          <t>CF</t>
        </is>
      </c>
      <c r="I483" s="24" t="inlineStr">
        <is>
          <t>현금흐름표</t>
        </is>
      </c>
      <c r="J483" s="24" t="inlineStr">
        <is>
          <t>ifrs-full_OutflowsOfCashFromInvestingActivities</t>
        </is>
      </c>
      <c r="K483" s="24" t="inlineStr">
        <is>
          <t>투자활동으로부터의 현금유출</t>
        </is>
      </c>
      <c r="L483" s="24" t="inlineStr">
        <is>
          <t>-</t>
        </is>
      </c>
      <c r="M483" s="24" t="inlineStr">
        <is>
          <t>제 31 기</t>
        </is>
      </c>
      <c r="N483" s="24" t="inlineStr">
        <is>
          <t>299842993288.0</t>
        </is>
      </c>
      <c r="O483" s="24" t="inlineStr">
        <is>
          <t>263498706966.0</t>
        </is>
      </c>
      <c r="P483" s="24" t="inlineStr">
        <is>
          <t>KRW</t>
        </is>
      </c>
      <c r="Q483" s="24" t="inlineStr">
        <is>
          <t>21</t>
        </is>
      </c>
    </row>
    <row r="484" ht="24" customHeight="1">
      <c r="A484" s="29" t="inlineStr">
        <is>
          <t>OpenDART_fnlttSinglAcntAll</t>
        </is>
      </c>
      <c r="B484" s="29" t="inlineStr">
        <is>
          <t>00245472</t>
        </is>
      </c>
      <c r="C484" s="29" t="inlineStr">
        <is>
          <t>티씨케이</t>
        </is>
      </c>
      <c r="D484" s="29" t="inlineStr">
        <is>
          <t>tck</t>
        </is>
      </c>
      <c r="E484" s="29" t="inlineStr">
        <is>
          <t>064760</t>
        </is>
      </c>
      <c r="F484" s="29" t="inlineStr">
        <is>
          <t>2025</t>
        </is>
      </c>
      <c r="G484" s="29" t="inlineStr">
        <is>
          <t>OFS</t>
        </is>
      </c>
      <c r="H484" s="29" t="inlineStr">
        <is>
          <t>CF</t>
        </is>
      </c>
      <c r="I484" s="29" t="inlineStr">
        <is>
          <t>현금흐름표</t>
        </is>
      </c>
      <c r="J484" s="29" t="inlineStr">
        <is>
          <t>dart_IncreaseInGuaranteeDeposits</t>
        </is>
      </c>
      <c r="K484" s="29" t="inlineStr">
        <is>
          <t>임차보증금의 증가</t>
        </is>
      </c>
      <c r="L484" s="29" t="inlineStr">
        <is>
          <t>-</t>
        </is>
      </c>
      <c r="M484" s="29" t="inlineStr">
        <is>
          <t>제 31 기</t>
        </is>
      </c>
      <c r="N484" s="29" t="inlineStr">
        <is>
          <t>620000000.0</t>
        </is>
      </c>
      <c r="O484" s="29" t="inlineStr">
        <is>
          <t>240000000.0</t>
        </is>
      </c>
      <c r="P484" s="29" t="inlineStr">
        <is>
          <t>KRW</t>
        </is>
      </c>
      <c r="Q484" s="29" t="inlineStr">
        <is>
          <t>22</t>
        </is>
      </c>
    </row>
    <row r="485" ht="24" customHeight="1">
      <c r="A485" s="24" t="inlineStr">
        <is>
          <t>OpenDART_fnlttSinglAcntAll</t>
        </is>
      </c>
      <c r="B485" s="24" t="inlineStr">
        <is>
          <t>00245472</t>
        </is>
      </c>
      <c r="C485" s="24" t="inlineStr">
        <is>
          <t>티씨케이</t>
        </is>
      </c>
      <c r="D485" s="24" t="inlineStr">
        <is>
          <t>tck</t>
        </is>
      </c>
      <c r="E485" s="24" t="inlineStr">
        <is>
          <t>064760</t>
        </is>
      </c>
      <c r="F485" s="24" t="inlineStr">
        <is>
          <t>2025</t>
        </is>
      </c>
      <c r="G485" s="24" t="inlineStr">
        <is>
          <t>OFS</t>
        </is>
      </c>
      <c r="H485" s="24" t="inlineStr">
        <is>
          <t>CF</t>
        </is>
      </c>
      <c r="I485" s="24" t="inlineStr">
        <is>
          <t>현금흐름표</t>
        </is>
      </c>
      <c r="J485" s="24" t="inlineStr">
        <is>
          <t>dart_PurchaseOfIntangibleAssetsOtherThanGoodwill</t>
        </is>
      </c>
      <c r="K485" s="24" t="inlineStr">
        <is>
          <t>무형자산의 취득</t>
        </is>
      </c>
      <c r="L485" s="24" t="inlineStr">
        <is>
          <t>-</t>
        </is>
      </c>
      <c r="M485" s="24" t="inlineStr">
        <is>
          <t>제 31 기</t>
        </is>
      </c>
      <c r="N485" s="24" t="inlineStr">
        <is>
          <t>81937721.0</t>
        </is>
      </c>
      <c r="O485" s="24" t="inlineStr">
        <is>
          <t>433979393.0</t>
        </is>
      </c>
      <c r="P485" s="24" t="inlineStr">
        <is>
          <t>KRW</t>
        </is>
      </c>
      <c r="Q485" s="24" t="inlineStr">
        <is>
          <t>23</t>
        </is>
      </c>
    </row>
    <row r="486" ht="24" customHeight="1">
      <c r="A486" s="29" t="inlineStr">
        <is>
          <t>OpenDART_fnlttSinglAcntAll</t>
        </is>
      </c>
      <c r="B486" s="29" t="inlineStr">
        <is>
          <t>00245472</t>
        </is>
      </c>
      <c r="C486" s="29" t="inlineStr">
        <is>
          <t>티씨케이</t>
        </is>
      </c>
      <c r="D486" s="29" t="inlineStr">
        <is>
          <t>tck</t>
        </is>
      </c>
      <c r="E486" s="29" t="inlineStr">
        <is>
          <t>064760</t>
        </is>
      </c>
      <c r="F486" s="29" t="inlineStr">
        <is>
          <t>2025</t>
        </is>
      </c>
      <c r="G486" s="29" t="inlineStr">
        <is>
          <t>OFS</t>
        </is>
      </c>
      <c r="H486" s="29" t="inlineStr">
        <is>
          <t>CF</t>
        </is>
      </c>
      <c r="I486" s="29" t="inlineStr">
        <is>
          <t>현금흐름표</t>
        </is>
      </c>
      <c r="J486" s="29" t="inlineStr">
        <is>
          <t>dart_PurchaseOfLongTermFinancialInstruments</t>
        </is>
      </c>
      <c r="K486" s="29" t="inlineStr">
        <is>
          <t>장기금융상품의 취득</t>
        </is>
      </c>
      <c r="L486" s="29" t="inlineStr">
        <is>
          <t>-</t>
        </is>
      </c>
      <c r="M486" s="29" t="inlineStr">
        <is>
          <t>제 31 기</t>
        </is>
      </c>
      <c r="N486" s="29" t="inlineStr">
        <is>
          <t>4966739509.0</t>
        </is>
      </c>
      <c r="O486" s="29" t="inlineStr">
        <is>
          <t>0.0</t>
        </is>
      </c>
      <c r="P486" s="29" t="inlineStr">
        <is>
          <t>KRW</t>
        </is>
      </c>
      <c r="Q486" s="29" t="inlineStr">
        <is>
          <t>24</t>
        </is>
      </c>
    </row>
    <row r="487" ht="24" customHeight="1">
      <c r="A487" s="24" t="inlineStr">
        <is>
          <t>OpenDART_fnlttSinglAcntAll</t>
        </is>
      </c>
      <c r="B487" s="24" t="inlineStr">
        <is>
          <t>00245472</t>
        </is>
      </c>
      <c r="C487" s="24" t="inlineStr">
        <is>
          <t>티씨케이</t>
        </is>
      </c>
      <c r="D487" s="24" t="inlineStr">
        <is>
          <t>tck</t>
        </is>
      </c>
      <c r="E487" s="24" t="inlineStr">
        <is>
          <t>064760</t>
        </is>
      </c>
      <c r="F487" s="24" t="inlineStr">
        <is>
          <t>2025</t>
        </is>
      </c>
      <c r="G487" s="24" t="inlineStr">
        <is>
          <t>OFS</t>
        </is>
      </c>
      <c r="H487" s="24" t="inlineStr">
        <is>
          <t>CF</t>
        </is>
      </c>
      <c r="I487" s="24" t="inlineStr">
        <is>
          <t>현금흐름표</t>
        </is>
      </c>
      <c r="J487" s="24" t="inlineStr">
        <is>
          <t>dart_PurchaseOfLongTermLoansAndReceivables</t>
        </is>
      </c>
      <c r="K487" s="24" t="inlineStr">
        <is>
          <t>장기대여금의 증가</t>
        </is>
      </c>
      <c r="L487" s="24" t="inlineStr">
        <is>
          <t>-</t>
        </is>
      </c>
      <c r="M487" s="24" t="inlineStr">
        <is>
          <t>제 31 기</t>
        </is>
      </c>
      <c r="N487" s="24" t="inlineStr">
        <is>
          <t>796000000.0</t>
        </is>
      </c>
      <c r="O487" s="24" t="inlineStr">
        <is>
          <t>1332000000.0</t>
        </is>
      </c>
      <c r="P487" s="24" t="inlineStr">
        <is>
          <t>KRW</t>
        </is>
      </c>
      <c r="Q487" s="24" t="inlineStr">
        <is>
          <t>25</t>
        </is>
      </c>
    </row>
    <row r="488" ht="24" customHeight="1">
      <c r="A488" s="29" t="inlineStr">
        <is>
          <t>OpenDART_fnlttSinglAcntAll</t>
        </is>
      </c>
      <c r="B488" s="29" t="inlineStr">
        <is>
          <t>00245472</t>
        </is>
      </c>
      <c r="C488" s="29" t="inlineStr">
        <is>
          <t>티씨케이</t>
        </is>
      </c>
      <c r="D488" s="29" t="inlineStr">
        <is>
          <t>tck</t>
        </is>
      </c>
      <c r="E488" s="29" t="inlineStr">
        <is>
          <t>064760</t>
        </is>
      </c>
      <c r="F488" s="29" t="inlineStr">
        <is>
          <t>2025</t>
        </is>
      </c>
      <c r="G488" s="29" t="inlineStr">
        <is>
          <t>OFS</t>
        </is>
      </c>
      <c r="H488" s="29" t="inlineStr">
        <is>
          <t>CF</t>
        </is>
      </c>
      <c r="I488" s="29" t="inlineStr">
        <is>
          <t>현금흐름표</t>
        </is>
      </c>
      <c r="J488" s="29" t="inlineStr">
        <is>
          <t>dart_PurchaseOfShortTermFinancialInstruments</t>
        </is>
      </c>
      <c r="K488" s="29" t="inlineStr">
        <is>
          <t>단기금융상품의 취득</t>
        </is>
      </c>
      <c r="L488" s="29" t="inlineStr">
        <is>
          <t>-</t>
        </is>
      </c>
      <c r="M488" s="29" t="inlineStr">
        <is>
          <t>제 31 기</t>
        </is>
      </c>
      <c r="N488" s="29" t="inlineStr">
        <is>
          <t>286000000000.0</t>
        </is>
      </c>
      <c r="O488" s="29" t="inlineStr">
        <is>
          <t>251000000000.0</t>
        </is>
      </c>
      <c r="P488" s="29" t="inlineStr">
        <is>
          <t>KRW</t>
        </is>
      </c>
      <c r="Q488" s="29" t="inlineStr">
        <is>
          <t>26</t>
        </is>
      </c>
    </row>
    <row r="489" ht="24" customHeight="1">
      <c r="A489" s="24" t="inlineStr">
        <is>
          <t>OpenDART_fnlttSinglAcntAll</t>
        </is>
      </c>
      <c r="B489" s="24" t="inlineStr">
        <is>
          <t>00245472</t>
        </is>
      </c>
      <c r="C489" s="24" t="inlineStr">
        <is>
          <t>티씨케이</t>
        </is>
      </c>
      <c r="D489" s="24" t="inlineStr">
        <is>
          <t>tck</t>
        </is>
      </c>
      <c r="E489" s="24" t="inlineStr">
        <is>
          <t>064760</t>
        </is>
      </c>
      <c r="F489" s="24" t="inlineStr">
        <is>
          <t>2025</t>
        </is>
      </c>
      <c r="G489" s="24" t="inlineStr">
        <is>
          <t>OFS</t>
        </is>
      </c>
      <c r="H489" s="24" t="inlineStr">
        <is>
          <t>CF</t>
        </is>
      </c>
      <c r="I489" s="24" t="inlineStr">
        <is>
          <t>현금흐름표</t>
        </is>
      </c>
      <c r="J489" s="24" t="inlineStr">
        <is>
          <t>ifrs-full_CashPaymentsForFutureContractsForwardContractsOptionContractsAndSwapContractsClassifiedAsInvestingActivities</t>
        </is>
      </c>
      <c r="K489" s="24" t="inlineStr">
        <is>
          <t>파생상품부채의 감소</t>
        </is>
      </c>
      <c r="L489" s="24" t="inlineStr">
        <is>
          <t>-</t>
        </is>
      </c>
      <c r="M489" s="24" t="inlineStr">
        <is>
          <t>제 31 기</t>
        </is>
      </c>
      <c r="N489" s="24" t="inlineStr">
        <is>
          <t>2881594472.0</t>
        </is>
      </c>
      <c r="O489" s="24" t="inlineStr">
        <is>
          <t>2927045087.0</t>
        </is>
      </c>
      <c r="P489" s="24" t="inlineStr">
        <is>
          <t>KRW</t>
        </is>
      </c>
      <c r="Q489" s="24" t="inlineStr">
        <is>
          <t>27</t>
        </is>
      </c>
    </row>
    <row r="490" ht="24" customHeight="1">
      <c r="A490" s="29" t="inlineStr">
        <is>
          <t>OpenDART_fnlttSinglAcntAll</t>
        </is>
      </c>
      <c r="B490" s="29" t="inlineStr">
        <is>
          <t>00245472</t>
        </is>
      </c>
      <c r="C490" s="29" t="inlineStr">
        <is>
          <t>티씨케이</t>
        </is>
      </c>
      <c r="D490" s="29" t="inlineStr">
        <is>
          <t>tck</t>
        </is>
      </c>
      <c r="E490" s="29" t="inlineStr">
        <is>
          <t>064760</t>
        </is>
      </c>
      <c r="F490" s="29" t="inlineStr">
        <is>
          <t>2025</t>
        </is>
      </c>
      <c r="G490" s="29" t="inlineStr">
        <is>
          <t>OFS</t>
        </is>
      </c>
      <c r="H490" s="29" t="inlineStr">
        <is>
          <t>CF</t>
        </is>
      </c>
      <c r="I490" s="29" t="inlineStr">
        <is>
          <t>현금흐름표</t>
        </is>
      </c>
      <c r="J490" s="29" t="inlineStr">
        <is>
          <t>ifrs-full_PurchaseOfPropertyPlantAndEquipmentClassifiedAsInvestingActivities</t>
        </is>
      </c>
      <c r="K490" s="29" t="inlineStr">
        <is>
          <t>유형자산의 취득</t>
        </is>
      </c>
      <c r="L490" s="29" t="inlineStr">
        <is>
          <t>-</t>
        </is>
      </c>
      <c r="M490" s="29" t="inlineStr">
        <is>
          <t>제 31 기</t>
        </is>
      </c>
      <c r="N490" s="29" t="inlineStr">
        <is>
          <t>4496721586.0</t>
        </is>
      </c>
      <c r="O490" s="29" t="inlineStr">
        <is>
          <t>7565682486.0</t>
        </is>
      </c>
      <c r="P490" s="29" t="inlineStr">
        <is>
          <t>KRW</t>
        </is>
      </c>
      <c r="Q490" s="29" t="inlineStr">
        <is>
          <t>28</t>
        </is>
      </c>
    </row>
    <row r="491" ht="24" customHeight="1">
      <c r="A491" s="24" t="inlineStr">
        <is>
          <t>OpenDART_fnlttSinglAcntAll</t>
        </is>
      </c>
      <c r="B491" s="24" t="inlineStr">
        <is>
          <t>00245472</t>
        </is>
      </c>
      <c r="C491" s="24" t="inlineStr">
        <is>
          <t>티씨케이</t>
        </is>
      </c>
      <c r="D491" s="24" t="inlineStr">
        <is>
          <t>tck</t>
        </is>
      </c>
      <c r="E491" s="24" t="inlineStr">
        <is>
          <t>064760</t>
        </is>
      </c>
      <c r="F491" s="24" t="inlineStr">
        <is>
          <t>2025</t>
        </is>
      </c>
      <c r="G491" s="24" t="inlineStr">
        <is>
          <t>OFS</t>
        </is>
      </c>
      <c r="H491" s="24" t="inlineStr">
        <is>
          <t>CF</t>
        </is>
      </c>
      <c r="I491" s="24" t="inlineStr">
        <is>
          <t>현금흐름표</t>
        </is>
      </c>
      <c r="J491" s="24" t="inlineStr">
        <is>
          <t>ifrs-full_CashFlowsFromUsedInOperatingActivities</t>
        </is>
      </c>
      <c r="K491" s="24" t="inlineStr">
        <is>
          <t>영업활동으로 인한 현금흐름</t>
        </is>
      </c>
      <c r="L491" s="24" t="inlineStr">
        <is>
          <t>-</t>
        </is>
      </c>
      <c r="M491" s="24" t="inlineStr">
        <is>
          <t>제 31 기</t>
        </is>
      </c>
      <c r="N491" s="24" t="inlineStr">
        <is>
          <t>54111434312.0</t>
        </is>
      </c>
      <c r="O491" s="24" t="inlineStr">
        <is>
          <t>74417172514.0</t>
        </is>
      </c>
      <c r="P491" s="24" t="inlineStr">
        <is>
          <t>KRW</t>
        </is>
      </c>
      <c r="Q491" s="24" t="inlineStr">
        <is>
          <t>29</t>
        </is>
      </c>
    </row>
    <row r="492" ht="24" customHeight="1">
      <c r="A492" s="29" t="inlineStr">
        <is>
          <t>OpenDART_fnlttSinglAcntAll</t>
        </is>
      </c>
      <c r="B492" s="29" t="inlineStr">
        <is>
          <t>00245472</t>
        </is>
      </c>
      <c r="C492" s="29" t="inlineStr">
        <is>
          <t>티씨케이</t>
        </is>
      </c>
      <c r="D492" s="29" t="inlineStr">
        <is>
          <t>tck</t>
        </is>
      </c>
      <c r="E492" s="29" t="inlineStr">
        <is>
          <t>064760</t>
        </is>
      </c>
      <c r="F492" s="29" t="inlineStr">
        <is>
          <t>2025</t>
        </is>
      </c>
      <c r="G492" s="29" t="inlineStr">
        <is>
          <t>OFS</t>
        </is>
      </c>
      <c r="H492" s="29" t="inlineStr">
        <is>
          <t>CF</t>
        </is>
      </c>
      <c r="I492" s="29" t="inlineStr">
        <is>
          <t>현금흐름표</t>
        </is>
      </c>
      <c r="J492" s="29" t="inlineStr">
        <is>
          <t>ifrs-full_CashFlowsFromUsedInOperations</t>
        </is>
      </c>
      <c r="K492" s="29" t="inlineStr">
        <is>
          <t>영업으로부터 창출된 현금흐름</t>
        </is>
      </c>
      <c r="L492" s="29" t="inlineStr">
        <is>
          <t>-</t>
        </is>
      </c>
      <c r="M492" s="29" t="inlineStr">
        <is>
          <t>제 31 기</t>
        </is>
      </c>
      <c r="N492" s="29" t="inlineStr">
        <is>
          <t>87539462393.0</t>
        </is>
      </c>
      <c r="O492" s="29" t="inlineStr">
        <is>
          <t>95637361644.0</t>
        </is>
      </c>
      <c r="P492" s="29" t="inlineStr">
        <is>
          <t>KRW</t>
        </is>
      </c>
      <c r="Q492" s="29" t="inlineStr">
        <is>
          <t>30</t>
        </is>
      </c>
    </row>
    <row r="493" ht="24" customHeight="1">
      <c r="A493" s="24" t="inlineStr">
        <is>
          <t>OpenDART_fnlttSinglAcntAll</t>
        </is>
      </c>
      <c r="B493" s="24" t="inlineStr">
        <is>
          <t>00245472</t>
        </is>
      </c>
      <c r="C493" s="24" t="inlineStr">
        <is>
          <t>티씨케이</t>
        </is>
      </c>
      <c r="D493" s="24" t="inlineStr">
        <is>
          <t>tck</t>
        </is>
      </c>
      <c r="E493" s="24" t="inlineStr">
        <is>
          <t>064760</t>
        </is>
      </c>
      <c r="F493" s="24" t="inlineStr">
        <is>
          <t>2025</t>
        </is>
      </c>
      <c r="G493" s="24" t="inlineStr">
        <is>
          <t>OFS</t>
        </is>
      </c>
      <c r="H493" s="24" t="inlineStr">
        <is>
          <t>CF</t>
        </is>
      </c>
      <c r="I493" s="24" t="inlineStr">
        <is>
          <t>현금흐름표</t>
        </is>
      </c>
      <c r="J493" s="24" t="inlineStr">
        <is>
          <t>dart_AdjustmentsForAssetsLiabilitiesOfOperatingActivities</t>
        </is>
      </c>
      <c r="K493" s="24" t="inlineStr">
        <is>
          <t>영업활동으로 인한 자산 부채의 변동</t>
        </is>
      </c>
      <c r="L493" s="24" t="inlineStr">
        <is>
          <t>-</t>
        </is>
      </c>
      <c r="M493" s="24" t="inlineStr">
        <is>
          <t>제 31 기</t>
        </is>
      </c>
      <c r="N493" s="24" t="inlineStr">
        <is>
          <t>-14245364291.0</t>
        </is>
      </c>
      <c r="O493" s="24" t="inlineStr">
        <is>
          <t>-10798249692.0</t>
        </is>
      </c>
      <c r="P493" s="24" t="inlineStr">
        <is>
          <t>KRW</t>
        </is>
      </c>
      <c r="Q493" s="24" t="inlineStr">
        <is>
          <t>31</t>
        </is>
      </c>
    </row>
    <row r="494" ht="24" customHeight="1">
      <c r="A494" s="29" t="inlineStr">
        <is>
          <t>OpenDART_fnlttSinglAcntAll</t>
        </is>
      </c>
      <c r="B494" s="29" t="inlineStr">
        <is>
          <t>00245472</t>
        </is>
      </c>
      <c r="C494" s="29" t="inlineStr">
        <is>
          <t>티씨케이</t>
        </is>
      </c>
      <c r="D494" s="29" t="inlineStr">
        <is>
          <t>tck</t>
        </is>
      </c>
      <c r="E494" s="29" t="inlineStr">
        <is>
          <t>064760</t>
        </is>
      </c>
      <c r="F494" s="29" t="inlineStr">
        <is>
          <t>2025</t>
        </is>
      </c>
      <c r="G494" s="29" t="inlineStr">
        <is>
          <t>OFS</t>
        </is>
      </c>
      <c r="H494" s="29" t="inlineStr">
        <is>
          <t>CF</t>
        </is>
      </c>
      <c r="I494" s="29" t="inlineStr">
        <is>
          <t>현금흐름표</t>
        </is>
      </c>
      <c r="J494" s="29" t="inlineStr">
        <is>
          <t>ifrs-full_AdjustmentsForReconcileProfitLoss</t>
        </is>
      </c>
      <c r="K494" s="29" t="inlineStr">
        <is>
          <t>조정</t>
        </is>
      </c>
      <c r="L494" s="29" t="inlineStr">
        <is>
          <t>-</t>
        </is>
      </c>
      <c r="M494" s="29" t="inlineStr">
        <is>
          <t>제 31 기</t>
        </is>
      </c>
      <c r="N494" s="29" t="inlineStr">
        <is>
          <t>31882102132.0</t>
        </is>
      </c>
      <c r="O494" s="29" t="inlineStr">
        <is>
          <t>34441574766.0</t>
        </is>
      </c>
      <c r="P494" s="29" t="inlineStr">
        <is>
          <t>KRW</t>
        </is>
      </c>
      <c r="Q494" s="29" t="inlineStr">
        <is>
          <t>32</t>
        </is>
      </c>
    </row>
    <row r="495" ht="24" customHeight="1">
      <c r="A495" s="24" t="inlineStr">
        <is>
          <t>OpenDART_fnlttSinglAcntAll</t>
        </is>
      </c>
      <c r="B495" s="24" t="inlineStr">
        <is>
          <t>00245472</t>
        </is>
      </c>
      <c r="C495" s="24" t="inlineStr">
        <is>
          <t>티씨케이</t>
        </is>
      </c>
      <c r="D495" s="24" t="inlineStr">
        <is>
          <t>tck</t>
        </is>
      </c>
      <c r="E495" s="24" t="inlineStr">
        <is>
          <t>064760</t>
        </is>
      </c>
      <c r="F495" s="24" t="inlineStr">
        <is>
          <t>2025</t>
        </is>
      </c>
      <c r="G495" s="24" t="inlineStr">
        <is>
          <t>OFS</t>
        </is>
      </c>
      <c r="H495" s="24" t="inlineStr">
        <is>
          <t>CF</t>
        </is>
      </c>
      <c r="I495" s="24" t="inlineStr">
        <is>
          <t>현금흐름표</t>
        </is>
      </c>
      <c r="J495" s="24" t="inlineStr">
        <is>
          <t>ifrs-full_ProfitLoss</t>
        </is>
      </c>
      <c r="K495" s="24" t="inlineStr">
        <is>
          <t>당기순이익</t>
        </is>
      </c>
      <c r="L495" s="24" t="inlineStr">
        <is>
          <t>-</t>
        </is>
      </c>
      <c r="M495" s="24" t="inlineStr">
        <is>
          <t>제 31 기</t>
        </is>
      </c>
      <c r="N495" s="24" t="inlineStr">
        <is>
          <t>69902724552.0</t>
        </is>
      </c>
      <c r="O495" s="24" t="inlineStr">
        <is>
          <t>71994036570.0</t>
        </is>
      </c>
      <c r="P495" s="24" t="inlineStr">
        <is>
          <t>KRW</t>
        </is>
      </c>
      <c r="Q495" s="24" t="inlineStr">
        <is>
          <t>33</t>
        </is>
      </c>
    </row>
    <row r="496" ht="24" customHeight="1">
      <c r="A496" s="29" t="inlineStr">
        <is>
          <t>OpenDART_fnlttSinglAcntAll</t>
        </is>
      </c>
      <c r="B496" s="29" t="inlineStr">
        <is>
          <t>00245472</t>
        </is>
      </c>
      <c r="C496" s="29" t="inlineStr">
        <is>
          <t>티씨케이</t>
        </is>
      </c>
      <c r="D496" s="29" t="inlineStr">
        <is>
          <t>tck</t>
        </is>
      </c>
      <c r="E496" s="29" t="inlineStr">
        <is>
          <t>064760</t>
        </is>
      </c>
      <c r="F496" s="29" t="inlineStr">
        <is>
          <t>2025</t>
        </is>
      </c>
      <c r="G496" s="29" t="inlineStr">
        <is>
          <t>OFS</t>
        </is>
      </c>
      <c r="H496" s="29" t="inlineStr">
        <is>
          <t>CF</t>
        </is>
      </c>
      <c r="I496" s="29" t="inlineStr">
        <is>
          <t>현금흐름표</t>
        </is>
      </c>
      <c r="J496" s="29" t="inlineStr">
        <is>
          <t>ifrs-full_DividendsPaidClassifiedAsOperatingActivities</t>
        </is>
      </c>
      <c r="K496" s="29" t="inlineStr">
        <is>
          <t>배당금지급</t>
        </is>
      </c>
      <c r="L496" s="29" t="inlineStr">
        <is>
          <t>-</t>
        </is>
      </c>
      <c r="M496" s="29" t="inlineStr">
        <is>
          <t>제 31 기</t>
        </is>
      </c>
      <c r="N496" s="29" t="inlineStr">
        <is>
          <t>16461750000.0</t>
        </is>
      </c>
      <c r="O496" s="29" t="inlineStr">
        <is>
          <t>14010000000.0</t>
        </is>
      </c>
      <c r="P496" s="29" t="inlineStr">
        <is>
          <t>KRW</t>
        </is>
      </c>
      <c r="Q496" s="29" t="inlineStr">
        <is>
          <t>34</t>
        </is>
      </c>
    </row>
    <row r="497" ht="24" customHeight="1">
      <c r="A497" s="24" t="inlineStr">
        <is>
          <t>OpenDART_fnlttSinglAcntAll</t>
        </is>
      </c>
      <c r="B497" s="24" t="inlineStr">
        <is>
          <t>00245472</t>
        </is>
      </c>
      <c r="C497" s="24" t="inlineStr">
        <is>
          <t>티씨케이</t>
        </is>
      </c>
      <c r="D497" s="24" t="inlineStr">
        <is>
          <t>tck</t>
        </is>
      </c>
      <c r="E497" s="24" t="inlineStr">
        <is>
          <t>064760</t>
        </is>
      </c>
      <c r="F497" s="24" t="inlineStr">
        <is>
          <t>2025</t>
        </is>
      </c>
      <c r="G497" s="24" t="inlineStr">
        <is>
          <t>OFS</t>
        </is>
      </c>
      <c r="H497" s="24" t="inlineStr">
        <is>
          <t>CF</t>
        </is>
      </c>
      <c r="I497" s="24" t="inlineStr">
        <is>
          <t>현금흐름표</t>
        </is>
      </c>
      <c r="J497" s="24" t="inlineStr">
        <is>
          <t>ifrs-full_IncomeTaxesPaidRefundClassifiedAsOperatingActivities</t>
        </is>
      </c>
      <c r="K497" s="24" t="inlineStr">
        <is>
          <t>법인세납부</t>
        </is>
      </c>
      <c r="L497" s="24" t="inlineStr">
        <is>
          <t>-</t>
        </is>
      </c>
      <c r="M497" s="24" t="inlineStr">
        <is>
          <t>제 31 기</t>
        </is>
      </c>
      <c r="N497" s="24" t="inlineStr">
        <is>
          <t>25580716813.0</t>
        </is>
      </c>
      <c r="O497" s="24" t="inlineStr">
        <is>
          <t>15834708728.0</t>
        </is>
      </c>
      <c r="P497" s="24" t="inlineStr">
        <is>
          <t>KRW</t>
        </is>
      </c>
      <c r="Q497" s="24" t="inlineStr">
        <is>
          <t>35</t>
        </is>
      </c>
    </row>
    <row r="498" ht="24" customHeight="1">
      <c r="A498" s="29" t="inlineStr">
        <is>
          <t>OpenDART_fnlttSinglAcntAll</t>
        </is>
      </c>
      <c r="B498" s="29" t="inlineStr">
        <is>
          <t>00245472</t>
        </is>
      </c>
      <c r="C498" s="29" t="inlineStr">
        <is>
          <t>티씨케이</t>
        </is>
      </c>
      <c r="D498" s="29" t="inlineStr">
        <is>
          <t>tck</t>
        </is>
      </c>
      <c r="E498" s="29" t="inlineStr">
        <is>
          <t>064760</t>
        </is>
      </c>
      <c r="F498" s="29" t="inlineStr">
        <is>
          <t>2025</t>
        </is>
      </c>
      <c r="G498" s="29" t="inlineStr">
        <is>
          <t>OFS</t>
        </is>
      </c>
      <c r="H498" s="29" t="inlineStr">
        <is>
          <t>CF</t>
        </is>
      </c>
      <c r="I498" s="29" t="inlineStr">
        <is>
          <t>현금흐름표</t>
        </is>
      </c>
      <c r="J498" s="29" t="inlineStr">
        <is>
          <t>ifrs-full_InterestPaidClassifiedAsOperatingActivities</t>
        </is>
      </c>
      <c r="K498" s="29" t="inlineStr">
        <is>
          <t>이자지급</t>
        </is>
      </c>
      <c r="L498" s="29" t="inlineStr">
        <is>
          <t>-</t>
        </is>
      </c>
      <c r="M498" s="29" t="inlineStr">
        <is>
          <t>제 31 기</t>
        </is>
      </c>
      <c r="N498" s="29" t="inlineStr">
        <is>
          <t>37081976.0</t>
        </is>
      </c>
      <c r="O498" s="29" t="inlineStr">
        <is>
          <t>31971330.0</t>
        </is>
      </c>
      <c r="P498" s="29" t="inlineStr">
        <is>
          <t>KRW</t>
        </is>
      </c>
      <c r="Q498" s="29" t="inlineStr">
        <is>
          <t>36</t>
        </is>
      </c>
    </row>
    <row r="499" ht="24" customHeight="1">
      <c r="A499" s="24" t="inlineStr">
        <is>
          <t>OpenDART_fnlttSinglAcntAll</t>
        </is>
      </c>
      <c r="B499" s="24" t="inlineStr">
        <is>
          <t>00245472</t>
        </is>
      </c>
      <c r="C499" s="24" t="inlineStr">
        <is>
          <t>티씨케이</t>
        </is>
      </c>
      <c r="D499" s="24" t="inlineStr">
        <is>
          <t>tck</t>
        </is>
      </c>
      <c r="E499" s="24" t="inlineStr">
        <is>
          <t>064760</t>
        </is>
      </c>
      <c r="F499" s="24" t="inlineStr">
        <is>
          <t>2025</t>
        </is>
      </c>
      <c r="G499" s="24" t="inlineStr">
        <is>
          <t>OFS</t>
        </is>
      </c>
      <c r="H499" s="24" t="inlineStr">
        <is>
          <t>CF</t>
        </is>
      </c>
      <c r="I499" s="24" t="inlineStr">
        <is>
          <t>현금흐름표</t>
        </is>
      </c>
      <c r="J499" s="24" t="inlineStr">
        <is>
          <t>ifrs-full_InterestReceivedClassifiedAsOperatingActivities</t>
        </is>
      </c>
      <c r="K499" s="24" t="inlineStr">
        <is>
          <t>이자수취</t>
        </is>
      </c>
      <c r="L499" s="24" t="inlineStr">
        <is>
          <t>-</t>
        </is>
      </c>
      <c r="M499" s="24" t="inlineStr">
        <is>
          <t>제 31 기</t>
        </is>
      </c>
      <c r="N499" s="24" t="inlineStr">
        <is>
          <t>8651520708.0</t>
        </is>
      </c>
      <c r="O499" s="24" t="inlineStr">
        <is>
          <t>8656490928.0</t>
        </is>
      </c>
      <c r="P499" s="24" t="inlineStr">
        <is>
          <t>KRW</t>
        </is>
      </c>
      <c r="Q499" s="24" t="inlineStr">
        <is>
          <t>37</t>
        </is>
      </c>
    </row>
    <row r="500" ht="24" customHeight="1">
      <c r="A500" s="29" t="inlineStr">
        <is>
          <t>OpenDART_fnlttSinglAcntAll</t>
        </is>
      </c>
      <c r="B500" s="29" t="inlineStr">
        <is>
          <t>00245472</t>
        </is>
      </c>
      <c r="C500" s="29" t="inlineStr">
        <is>
          <t>티씨케이</t>
        </is>
      </c>
      <c r="D500" s="29" t="inlineStr">
        <is>
          <t>tck</t>
        </is>
      </c>
      <c r="E500" s="29" t="inlineStr">
        <is>
          <t>064760</t>
        </is>
      </c>
      <c r="F500" s="29" t="inlineStr">
        <is>
          <t>2025</t>
        </is>
      </c>
      <c r="G500" s="29" t="inlineStr">
        <is>
          <t>OFS</t>
        </is>
      </c>
      <c r="H500" s="29" t="inlineStr">
        <is>
          <t>CF</t>
        </is>
      </c>
      <c r="I500" s="29" t="inlineStr">
        <is>
          <t>현금흐름표</t>
        </is>
      </c>
      <c r="J500" s="29" t="inlineStr">
        <is>
          <t>ifrs-full_EffectOfExchangeRateChangesOnCashAndCashEquivalents</t>
        </is>
      </c>
      <c r="K500" s="29" t="inlineStr">
        <is>
          <t>현금및현금성자산에 대한 환율변동효과</t>
        </is>
      </c>
      <c r="L500" s="29" t="inlineStr">
        <is>
          <t>-</t>
        </is>
      </c>
      <c r="M500" s="29" t="inlineStr">
        <is>
          <t>제 31 기</t>
        </is>
      </c>
      <c r="N500" s="29" t="inlineStr">
        <is>
          <t>-7085015.0</t>
        </is>
      </c>
      <c r="O500" s="29" t="inlineStr">
        <is>
          <t>8768787.0</t>
        </is>
      </c>
      <c r="P500" s="29" t="inlineStr">
        <is>
          <t>KRW</t>
        </is>
      </c>
      <c r="Q500" s="29" t="inlineStr">
        <is>
          <t>38</t>
        </is>
      </c>
    </row>
    <row r="501" ht="24" customHeight="1">
      <c r="A501" s="24" t="inlineStr">
        <is>
          <t>OpenDART_fnlttSinglAcntAll</t>
        </is>
      </c>
      <c r="B501" s="24" t="inlineStr">
        <is>
          <t>00245472</t>
        </is>
      </c>
      <c r="C501" s="24" t="inlineStr">
        <is>
          <t>티씨케이</t>
        </is>
      </c>
      <c r="D501" s="24" t="inlineStr">
        <is>
          <t>tck</t>
        </is>
      </c>
      <c r="E501" s="24" t="inlineStr">
        <is>
          <t>064760</t>
        </is>
      </c>
      <c r="F501" s="24" t="inlineStr">
        <is>
          <t>2025</t>
        </is>
      </c>
      <c r="G501" s="24" t="inlineStr">
        <is>
          <t>OFS</t>
        </is>
      </c>
      <c r="H501" s="24" t="inlineStr">
        <is>
          <t>CF</t>
        </is>
      </c>
      <c r="I501" s="24" t="inlineStr">
        <is>
          <t>현금흐름표</t>
        </is>
      </c>
      <c r="J501" s="24" t="inlineStr">
        <is>
          <t>ifrs-full_IncreaseDecreaseInCashAndCashEquivalents</t>
        </is>
      </c>
      <c r="K501" s="24" t="inlineStr">
        <is>
          <t>현금및현금성자산의 증가(감소)</t>
        </is>
      </c>
      <c r="L501" s="24" t="inlineStr">
        <is>
          <t>-</t>
        </is>
      </c>
      <c r="M501" s="24" t="inlineStr">
        <is>
          <t>제 31 기</t>
        </is>
      </c>
      <c r="N501" s="24" t="inlineStr">
        <is>
          <t>7957313966.0</t>
        </is>
      </c>
      <c r="O501" s="24" t="inlineStr">
        <is>
          <t>2095944120.0</t>
        </is>
      </c>
      <c r="P501" s="24" t="inlineStr">
        <is>
          <t>KRW</t>
        </is>
      </c>
      <c r="Q501" s="24" t="inlineStr">
        <is>
          <t>39</t>
        </is>
      </c>
    </row>
    <row r="502" ht="24" customHeight="1">
      <c r="A502" s="29" t="inlineStr">
        <is>
          <t>OpenDART_fnlttSinglAcntAll</t>
        </is>
      </c>
      <c r="B502" s="29" t="inlineStr">
        <is>
          <t>00245472</t>
        </is>
      </c>
      <c r="C502" s="29" t="inlineStr">
        <is>
          <t>티씨케이</t>
        </is>
      </c>
      <c r="D502" s="29" t="inlineStr">
        <is>
          <t>tck</t>
        </is>
      </c>
      <c r="E502" s="29" t="inlineStr">
        <is>
          <t>064760</t>
        </is>
      </c>
      <c r="F502" s="29" t="inlineStr">
        <is>
          <t>2025</t>
        </is>
      </c>
      <c r="G502" s="29" t="inlineStr">
        <is>
          <t>OFS</t>
        </is>
      </c>
      <c r="H502" s="29" t="inlineStr">
        <is>
          <t>CF</t>
        </is>
      </c>
      <c r="I502" s="29" t="inlineStr">
        <is>
          <t>현금흐름표</t>
        </is>
      </c>
      <c r="J502" s="29" t="inlineStr">
        <is>
          <t>ifrs-full_IncreaseDecreaseInCashAndCashEquivalentsBeforeEffectOfExchangeRateChanges</t>
        </is>
      </c>
      <c r="K502" s="29" t="inlineStr">
        <is>
          <t>환율변동효과전현금및현금성자산의 증가(감소)</t>
        </is>
      </c>
      <c r="L502" s="29" t="inlineStr">
        <is>
          <t>-</t>
        </is>
      </c>
      <c r="M502" s="29" t="inlineStr">
        <is>
          <t>제 31 기</t>
        </is>
      </c>
      <c r="N502" s="29" t="inlineStr">
        <is>
          <t>7964398981.0</t>
        </is>
      </c>
      <c r="O502" s="29" t="inlineStr">
        <is>
          <t>2087175333.0</t>
        </is>
      </c>
      <c r="P502" s="29" t="inlineStr">
        <is>
          <t>KRW</t>
        </is>
      </c>
      <c r="Q502" s="29" t="inlineStr">
        <is>
          <t>40</t>
        </is>
      </c>
    </row>
    <row r="503" ht="24" customHeight="1">
      <c r="A503" s="24" t="inlineStr">
        <is>
          <t>OpenDART_fnlttSinglAcntAll</t>
        </is>
      </c>
      <c r="B503" s="24" t="inlineStr">
        <is>
          <t>00245472</t>
        </is>
      </c>
      <c r="C503" s="24" t="inlineStr">
        <is>
          <t>티씨케이</t>
        </is>
      </c>
      <c r="D503" s="24" t="inlineStr">
        <is>
          <t>tck</t>
        </is>
      </c>
      <c r="E503" s="24" t="inlineStr">
        <is>
          <t>064760</t>
        </is>
      </c>
      <c r="F503" s="24" t="inlineStr">
        <is>
          <t>2025</t>
        </is>
      </c>
      <c r="G503" s="24" t="inlineStr">
        <is>
          <t>OFS</t>
        </is>
      </c>
      <c r="H503" s="24" t="inlineStr">
        <is>
          <t>SCE</t>
        </is>
      </c>
      <c r="I503" s="24" t="inlineStr">
        <is>
          <t>자본변동표</t>
        </is>
      </c>
      <c r="J503" s="24" t="inlineStr">
        <is>
          <t>dart_EquityAtBeginningOfPeriod</t>
        </is>
      </c>
      <c r="K503" s="24" t="inlineStr">
        <is>
          <t>기초자본</t>
        </is>
      </c>
      <c r="L503" s="24" t="inlineStr">
        <is>
          <t>별도재무제표 [member]</t>
        </is>
      </c>
      <c r="M503" s="24" t="inlineStr">
        <is>
          <t>제 31 기</t>
        </is>
      </c>
      <c r="N503" s="24" t="inlineStr">
        <is>
          <t>516254748314.0</t>
        </is>
      </c>
      <c r="O503" s="24" t="inlineStr">
        <is>
          <t>458270711744.0</t>
        </is>
      </c>
      <c r="P503" s="24" t="inlineStr">
        <is>
          <t>KRW</t>
        </is>
      </c>
      <c r="Q503" s="24" t="inlineStr">
        <is>
          <t>3</t>
        </is>
      </c>
    </row>
    <row r="504" ht="24" customHeight="1">
      <c r="A504" s="29" t="inlineStr">
        <is>
          <t>OpenDART_fnlttSinglAcntAll</t>
        </is>
      </c>
      <c r="B504" s="29" t="inlineStr">
        <is>
          <t>00245472</t>
        </is>
      </c>
      <c r="C504" s="29" t="inlineStr">
        <is>
          <t>티씨케이</t>
        </is>
      </c>
      <c r="D504" s="29" t="inlineStr">
        <is>
          <t>tck</t>
        </is>
      </c>
      <c r="E504" s="29" t="inlineStr">
        <is>
          <t>064760</t>
        </is>
      </c>
      <c r="F504" s="29" t="inlineStr">
        <is>
          <t>2025</t>
        </is>
      </c>
      <c r="G504" s="29" t="inlineStr">
        <is>
          <t>OFS</t>
        </is>
      </c>
      <c r="H504" s="29" t="inlineStr">
        <is>
          <t>SCE</t>
        </is>
      </c>
      <c r="I504" s="29" t="inlineStr">
        <is>
          <t>자본변동표</t>
        </is>
      </c>
      <c r="J504" s="29" t="inlineStr">
        <is>
          <t>dart_EquityAtBeginningOfPeriod</t>
        </is>
      </c>
      <c r="K504" s="29" t="inlineStr">
        <is>
          <t>기초자본</t>
        </is>
      </c>
      <c r="L504" s="29" t="inlineStr">
        <is>
          <t>자본 [구성요소]|기타자본구성요소 [구성요소]</t>
        </is>
      </c>
      <c r="M504" s="29" t="inlineStr">
        <is>
          <t>제 31 기</t>
        </is>
      </c>
      <c r="N504" s="29" t="inlineStr">
        <is>
          <t>233168836.0</t>
        </is>
      </c>
      <c r="O504" s="29" t="inlineStr">
        <is>
          <t>233168836.0</t>
        </is>
      </c>
      <c r="P504" s="29" t="inlineStr">
        <is>
          <t>KRW</t>
        </is>
      </c>
      <c r="Q504" s="29" t="inlineStr">
        <is>
          <t>3</t>
        </is>
      </c>
    </row>
    <row r="505" ht="24" customHeight="1">
      <c r="A505" s="24" t="inlineStr">
        <is>
          <t>OpenDART_fnlttSinglAcntAll</t>
        </is>
      </c>
      <c r="B505" s="24" t="inlineStr">
        <is>
          <t>00245472</t>
        </is>
      </c>
      <c r="C505" s="24" t="inlineStr">
        <is>
          <t>티씨케이</t>
        </is>
      </c>
      <c r="D505" s="24" t="inlineStr">
        <is>
          <t>tck</t>
        </is>
      </c>
      <c r="E505" s="24" t="inlineStr">
        <is>
          <t>064760</t>
        </is>
      </c>
      <c r="F505" s="24" t="inlineStr">
        <is>
          <t>2025</t>
        </is>
      </c>
      <c r="G505" s="24" t="inlineStr">
        <is>
          <t>OFS</t>
        </is>
      </c>
      <c r="H505" s="24" t="inlineStr">
        <is>
          <t>SCE</t>
        </is>
      </c>
      <c r="I505" s="24" t="inlineStr">
        <is>
          <t>자본변동표</t>
        </is>
      </c>
      <c r="J505" s="24" t="inlineStr">
        <is>
          <t>dart_EquityAtBeginningOfPeriod</t>
        </is>
      </c>
      <c r="K505" s="24" t="inlineStr">
        <is>
          <t>기초자본</t>
        </is>
      </c>
      <c r="L505" s="24" t="inlineStr">
        <is>
          <t>자본 [구성요소]|기타포괄손익누계액 [구성요소]</t>
        </is>
      </c>
      <c r="M505" s="24" t="inlineStr">
        <is>
          <t>제 31 기</t>
        </is>
      </c>
      <c r="N505" s="24" t="inlineStr">
        <is>
          <t>0.0</t>
        </is>
      </c>
      <c r="O505" s="24" t="inlineStr">
        <is>
          <t>0.0</t>
        </is>
      </c>
      <c r="P505" s="24" t="inlineStr">
        <is>
          <t>KRW</t>
        </is>
      </c>
      <c r="Q505" s="24" t="inlineStr">
        <is>
          <t>3</t>
        </is>
      </c>
    </row>
    <row r="506" ht="24" customHeight="1">
      <c r="A506" s="29" t="inlineStr">
        <is>
          <t>OpenDART_fnlttSinglAcntAll</t>
        </is>
      </c>
      <c r="B506" s="29" t="inlineStr">
        <is>
          <t>00245472</t>
        </is>
      </c>
      <c r="C506" s="29" t="inlineStr">
        <is>
          <t>티씨케이</t>
        </is>
      </c>
      <c r="D506" s="29" t="inlineStr">
        <is>
          <t>tck</t>
        </is>
      </c>
      <c r="E506" s="29" t="inlineStr">
        <is>
          <t>064760</t>
        </is>
      </c>
      <c r="F506" s="29" t="inlineStr">
        <is>
          <t>2025</t>
        </is>
      </c>
      <c r="G506" s="29" t="inlineStr">
        <is>
          <t>OFS</t>
        </is>
      </c>
      <c r="H506" s="29" t="inlineStr">
        <is>
          <t>SCE</t>
        </is>
      </c>
      <c r="I506" s="29" t="inlineStr">
        <is>
          <t>자본변동표</t>
        </is>
      </c>
      <c r="J506" s="29" t="inlineStr">
        <is>
          <t>dart_EquityAtBeginningOfPeriod</t>
        </is>
      </c>
      <c r="K506" s="29" t="inlineStr">
        <is>
          <t>기초자본</t>
        </is>
      </c>
      <c r="L506" s="29" t="inlineStr">
        <is>
          <t>자본 [구성요소]|이익잉여금 [구성요소]</t>
        </is>
      </c>
      <c r="M506" s="29" t="inlineStr">
        <is>
          <t>제 31 기</t>
        </is>
      </c>
      <c r="N506" s="29" t="inlineStr">
        <is>
          <t>504149077558.0</t>
        </is>
      </c>
      <c r="O506" s="29" t="inlineStr">
        <is>
          <t>446165040988.0</t>
        </is>
      </c>
      <c r="P506" s="29" t="inlineStr">
        <is>
          <t>KRW</t>
        </is>
      </c>
      <c r="Q506" s="29" t="inlineStr">
        <is>
          <t>3</t>
        </is>
      </c>
    </row>
    <row r="507" ht="24" customHeight="1">
      <c r="A507" s="24" t="inlineStr">
        <is>
          <t>OpenDART_fnlttSinglAcntAll</t>
        </is>
      </c>
      <c r="B507" s="24" t="inlineStr">
        <is>
          <t>00245472</t>
        </is>
      </c>
      <c r="C507" s="24" t="inlineStr">
        <is>
          <t>티씨케이</t>
        </is>
      </c>
      <c r="D507" s="24" t="inlineStr">
        <is>
          <t>tck</t>
        </is>
      </c>
      <c r="E507" s="24" t="inlineStr">
        <is>
          <t>064760</t>
        </is>
      </c>
      <c r="F507" s="24" t="inlineStr">
        <is>
          <t>2025</t>
        </is>
      </c>
      <c r="G507" s="24" t="inlineStr">
        <is>
          <t>OFS</t>
        </is>
      </c>
      <c r="H507" s="24" t="inlineStr">
        <is>
          <t>SCE</t>
        </is>
      </c>
      <c r="I507" s="24" t="inlineStr">
        <is>
          <t>자본변동표</t>
        </is>
      </c>
      <c r="J507" s="24" t="inlineStr">
        <is>
          <t>dart_EquityAtBeginningOfPeriod</t>
        </is>
      </c>
      <c r="K507" s="24" t="inlineStr">
        <is>
          <t>기초자본</t>
        </is>
      </c>
      <c r="L507" s="24" t="inlineStr">
        <is>
          <t>자본 [구성요소]|자본금 [구성요소]</t>
        </is>
      </c>
      <c r="M507" s="24" t="inlineStr">
        <is>
          <t>제 31 기</t>
        </is>
      </c>
      <c r="N507" s="24" t="inlineStr">
        <is>
          <t>5837500000.0</t>
        </is>
      </c>
      <c r="O507" s="24" t="inlineStr">
        <is>
          <t>5837500000.0</t>
        </is>
      </c>
      <c r="P507" s="24" t="inlineStr">
        <is>
          <t>KRW</t>
        </is>
      </c>
      <c r="Q507" s="24" t="inlineStr">
        <is>
          <t>3</t>
        </is>
      </c>
    </row>
    <row r="508" ht="24" customHeight="1">
      <c r="A508" s="29" t="inlineStr">
        <is>
          <t>OpenDART_fnlttSinglAcntAll</t>
        </is>
      </c>
      <c r="B508" s="29" t="inlineStr">
        <is>
          <t>00245472</t>
        </is>
      </c>
      <c r="C508" s="29" t="inlineStr">
        <is>
          <t>티씨케이</t>
        </is>
      </c>
      <c r="D508" s="29" t="inlineStr">
        <is>
          <t>tck</t>
        </is>
      </c>
      <c r="E508" s="29" t="inlineStr">
        <is>
          <t>064760</t>
        </is>
      </c>
      <c r="F508" s="29" t="inlineStr">
        <is>
          <t>2025</t>
        </is>
      </c>
      <c r="G508" s="29" t="inlineStr">
        <is>
          <t>OFS</t>
        </is>
      </c>
      <c r="H508" s="29" t="inlineStr">
        <is>
          <t>SCE</t>
        </is>
      </c>
      <c r="I508" s="29" t="inlineStr">
        <is>
          <t>자본변동표</t>
        </is>
      </c>
      <c r="J508" s="29" t="inlineStr">
        <is>
          <t>dart_EquityAtBeginningOfPeriod</t>
        </is>
      </c>
      <c r="K508" s="29" t="inlineStr">
        <is>
          <t>기초자본</t>
        </is>
      </c>
      <c r="L508" s="29" t="inlineStr">
        <is>
          <t>자본 [구성요소]|자본잉여금 [구성요소]</t>
        </is>
      </c>
      <c r="M508" s="29" t="inlineStr">
        <is>
          <t>제 31 기</t>
        </is>
      </c>
      <c r="N508" s="29" t="inlineStr">
        <is>
          <t>6035001920.0</t>
        </is>
      </c>
      <c r="O508" s="29" t="inlineStr">
        <is>
          <t>6035001920.0</t>
        </is>
      </c>
      <c r="P508" s="29" t="inlineStr">
        <is>
          <t>KRW</t>
        </is>
      </c>
      <c r="Q508" s="29" t="inlineStr">
        <is>
          <t>3</t>
        </is>
      </c>
    </row>
    <row r="509" ht="24" customHeight="1">
      <c r="A509" s="24" t="inlineStr">
        <is>
          <t>OpenDART_fnlttSinglAcntAll</t>
        </is>
      </c>
      <c r="B509" s="24" t="inlineStr">
        <is>
          <t>00245472</t>
        </is>
      </c>
      <c r="C509" s="24" t="inlineStr">
        <is>
          <t>티씨케이</t>
        </is>
      </c>
      <c r="D509" s="24" t="inlineStr">
        <is>
          <t>tck</t>
        </is>
      </c>
      <c r="E509" s="24" t="inlineStr">
        <is>
          <t>064760</t>
        </is>
      </c>
      <c r="F509" s="24" t="inlineStr">
        <is>
          <t>2025</t>
        </is>
      </c>
      <c r="G509" s="24" t="inlineStr">
        <is>
          <t>OFS</t>
        </is>
      </c>
      <c r="H509" s="24" t="inlineStr">
        <is>
          <t>SCE</t>
        </is>
      </c>
      <c r="I509" s="24" t="inlineStr">
        <is>
          <t>자본변동표</t>
        </is>
      </c>
      <c r="J509" s="24" t="inlineStr">
        <is>
          <t>ifrs-full_Equity</t>
        </is>
      </c>
      <c r="K509" s="24" t="inlineStr">
        <is>
          <t>자본총계</t>
        </is>
      </c>
      <c r="L509" s="24" t="inlineStr">
        <is>
          <t>자본 [구성요소]|자본잉여금 [구성요소]</t>
        </is>
      </c>
      <c r="M509" s="24" t="inlineStr">
        <is>
          <t>제 31 기</t>
        </is>
      </c>
      <c r="N509" s="24" t="inlineStr">
        <is>
          <t>6035001920.0</t>
        </is>
      </c>
      <c r="O509" s="24" t="inlineStr">
        <is>
          <t>6035001920.0</t>
        </is>
      </c>
      <c r="P509" s="24" t="inlineStr">
        <is>
          <t>KRW</t>
        </is>
      </c>
      <c r="Q509" s="24" t="inlineStr">
        <is>
          <t>4</t>
        </is>
      </c>
    </row>
    <row r="510" ht="24" customHeight="1">
      <c r="A510" s="29" t="inlineStr">
        <is>
          <t>OpenDART_fnlttSinglAcntAll</t>
        </is>
      </c>
      <c r="B510" s="29" t="inlineStr">
        <is>
          <t>00245472</t>
        </is>
      </c>
      <c r="C510" s="29" t="inlineStr">
        <is>
          <t>티씨케이</t>
        </is>
      </c>
      <c r="D510" s="29" t="inlineStr">
        <is>
          <t>tck</t>
        </is>
      </c>
      <c r="E510" s="29" t="inlineStr">
        <is>
          <t>064760</t>
        </is>
      </c>
      <c r="F510" s="29" t="inlineStr">
        <is>
          <t>2025</t>
        </is>
      </c>
      <c r="G510" s="29" t="inlineStr">
        <is>
          <t>OFS</t>
        </is>
      </c>
      <c r="H510" s="29" t="inlineStr">
        <is>
          <t>SCE</t>
        </is>
      </c>
      <c r="I510" s="29" t="inlineStr">
        <is>
          <t>자본변동표</t>
        </is>
      </c>
      <c r="J510" s="29" t="inlineStr">
        <is>
          <t>ifrs-full_Equity</t>
        </is>
      </c>
      <c r="K510" s="29" t="inlineStr">
        <is>
          <t>자본총계</t>
        </is>
      </c>
      <c r="L510" s="29" t="inlineStr">
        <is>
          <t>자본 [구성요소]|자본금 [구성요소]</t>
        </is>
      </c>
      <c r="M510" s="29" t="inlineStr">
        <is>
          <t>제 31 기</t>
        </is>
      </c>
      <c r="N510" s="29" t="inlineStr">
        <is>
          <t>5837500000.0</t>
        </is>
      </c>
      <c r="O510" s="29" t="inlineStr">
        <is>
          <t>5837500000.0</t>
        </is>
      </c>
      <c r="P510" s="29" t="inlineStr">
        <is>
          <t>KRW</t>
        </is>
      </c>
      <c r="Q510" s="29" t="inlineStr">
        <is>
          <t>4</t>
        </is>
      </c>
    </row>
    <row r="511" ht="24" customHeight="1">
      <c r="A511" s="24" t="inlineStr">
        <is>
          <t>OpenDART_fnlttSinglAcntAll</t>
        </is>
      </c>
      <c r="B511" s="24" t="inlineStr">
        <is>
          <t>00245472</t>
        </is>
      </c>
      <c r="C511" s="24" t="inlineStr">
        <is>
          <t>티씨케이</t>
        </is>
      </c>
      <c r="D511" s="24" t="inlineStr">
        <is>
          <t>tck</t>
        </is>
      </c>
      <c r="E511" s="24" t="inlineStr">
        <is>
          <t>064760</t>
        </is>
      </c>
      <c r="F511" s="24" t="inlineStr">
        <is>
          <t>2025</t>
        </is>
      </c>
      <c r="G511" s="24" t="inlineStr">
        <is>
          <t>OFS</t>
        </is>
      </c>
      <c r="H511" s="24" t="inlineStr">
        <is>
          <t>SCE</t>
        </is>
      </c>
      <c r="I511" s="24" t="inlineStr">
        <is>
          <t>자본변동표</t>
        </is>
      </c>
      <c r="J511" s="24" t="inlineStr">
        <is>
          <t>ifrs-full_Equity</t>
        </is>
      </c>
      <c r="K511" s="24" t="inlineStr">
        <is>
          <t>자본총계</t>
        </is>
      </c>
      <c r="L511" s="24" t="inlineStr">
        <is>
          <t>자본 [구성요소]|이익잉여금 [구성요소]</t>
        </is>
      </c>
      <c r="M511" s="24" t="inlineStr">
        <is>
          <t>제 31 기</t>
        </is>
      </c>
      <c r="N511" s="24" t="inlineStr">
        <is>
          <t>507590063510.0</t>
        </is>
      </c>
      <c r="O511" s="24" t="inlineStr">
        <is>
          <t>504149077558.0</t>
        </is>
      </c>
      <c r="P511" s="24" t="inlineStr">
        <is>
          <t>KRW</t>
        </is>
      </c>
      <c r="Q511" s="24" t="inlineStr">
        <is>
          <t>4</t>
        </is>
      </c>
    </row>
    <row r="512" ht="24" customHeight="1">
      <c r="A512" s="29" t="inlineStr">
        <is>
          <t>OpenDART_fnlttSinglAcntAll</t>
        </is>
      </c>
      <c r="B512" s="29" t="inlineStr">
        <is>
          <t>00245472</t>
        </is>
      </c>
      <c r="C512" s="29" t="inlineStr">
        <is>
          <t>티씨케이</t>
        </is>
      </c>
      <c r="D512" s="29" t="inlineStr">
        <is>
          <t>tck</t>
        </is>
      </c>
      <c r="E512" s="29" t="inlineStr">
        <is>
          <t>064760</t>
        </is>
      </c>
      <c r="F512" s="29" t="inlineStr">
        <is>
          <t>2025</t>
        </is>
      </c>
      <c r="G512" s="29" t="inlineStr">
        <is>
          <t>OFS</t>
        </is>
      </c>
      <c r="H512" s="29" t="inlineStr">
        <is>
          <t>SCE</t>
        </is>
      </c>
      <c r="I512" s="29" t="inlineStr">
        <is>
          <t>자본변동표</t>
        </is>
      </c>
      <c r="J512" s="29" t="inlineStr">
        <is>
          <t>ifrs-full_Equity</t>
        </is>
      </c>
      <c r="K512" s="29" t="inlineStr">
        <is>
          <t>자본총계</t>
        </is>
      </c>
      <c r="L512" s="29" t="inlineStr">
        <is>
          <t>자본 [구성요소]|기타포괄손익누계액 [구성요소]</t>
        </is>
      </c>
      <c r="M512" s="29" t="inlineStr">
        <is>
          <t>제 31 기</t>
        </is>
      </c>
      <c r="N512" s="29" t="inlineStr">
        <is>
          <t>-392939876.0</t>
        </is>
      </c>
      <c r="O512" s="29" t="inlineStr">
        <is>
          <t>0.0</t>
        </is>
      </c>
      <c r="P512" s="29" t="inlineStr">
        <is>
          <t>KRW</t>
        </is>
      </c>
      <c r="Q512" s="29" t="inlineStr">
        <is>
          <t>4</t>
        </is>
      </c>
    </row>
    <row r="513" ht="24" customHeight="1">
      <c r="A513" s="24" t="inlineStr">
        <is>
          <t>OpenDART_fnlttSinglAcntAll</t>
        </is>
      </c>
      <c r="B513" s="24" t="inlineStr">
        <is>
          <t>00245472</t>
        </is>
      </c>
      <c r="C513" s="24" t="inlineStr">
        <is>
          <t>티씨케이</t>
        </is>
      </c>
      <c r="D513" s="24" t="inlineStr">
        <is>
          <t>tck</t>
        </is>
      </c>
      <c r="E513" s="24" t="inlineStr">
        <is>
          <t>064760</t>
        </is>
      </c>
      <c r="F513" s="24" t="inlineStr">
        <is>
          <t>2025</t>
        </is>
      </c>
      <c r="G513" s="24" t="inlineStr">
        <is>
          <t>OFS</t>
        </is>
      </c>
      <c r="H513" s="24" t="inlineStr">
        <is>
          <t>SCE</t>
        </is>
      </c>
      <c r="I513" s="24" t="inlineStr">
        <is>
          <t>자본변동표</t>
        </is>
      </c>
      <c r="J513" s="24" t="inlineStr">
        <is>
          <t>ifrs-full_Equity</t>
        </is>
      </c>
      <c r="K513" s="24" t="inlineStr">
        <is>
          <t>자본총계</t>
        </is>
      </c>
      <c r="L513" s="24" t="inlineStr">
        <is>
          <t>자본 [구성요소]|기타자본구성요소 [구성요소]</t>
        </is>
      </c>
      <c r="M513" s="24" t="inlineStr">
        <is>
          <t>제 31 기</t>
        </is>
      </c>
      <c r="N513" s="24" t="inlineStr">
        <is>
          <t>233168836.0</t>
        </is>
      </c>
      <c r="O513" s="24" t="inlineStr">
        <is>
          <t>233168836.0</t>
        </is>
      </c>
      <c r="P513" s="24" t="inlineStr">
        <is>
          <t>KRW</t>
        </is>
      </c>
      <c r="Q513" s="24" t="inlineStr">
        <is>
          <t>4</t>
        </is>
      </c>
    </row>
    <row r="514" ht="24" customHeight="1">
      <c r="A514" s="29" t="inlineStr">
        <is>
          <t>OpenDART_fnlttSinglAcntAll</t>
        </is>
      </c>
      <c r="B514" s="29" t="inlineStr">
        <is>
          <t>00245472</t>
        </is>
      </c>
      <c r="C514" s="29" t="inlineStr">
        <is>
          <t>티씨케이</t>
        </is>
      </c>
      <c r="D514" s="29" t="inlineStr">
        <is>
          <t>tck</t>
        </is>
      </c>
      <c r="E514" s="29" t="inlineStr">
        <is>
          <t>064760</t>
        </is>
      </c>
      <c r="F514" s="29" t="inlineStr">
        <is>
          <t>2025</t>
        </is>
      </c>
      <c r="G514" s="29" t="inlineStr">
        <is>
          <t>OFS</t>
        </is>
      </c>
      <c r="H514" s="29" t="inlineStr">
        <is>
          <t>SCE</t>
        </is>
      </c>
      <c r="I514" s="29" t="inlineStr">
        <is>
          <t>자본변동표</t>
        </is>
      </c>
      <c r="J514" s="29" t="inlineStr">
        <is>
          <t>ifrs-full_Equity</t>
        </is>
      </c>
      <c r="K514" s="29" t="inlineStr">
        <is>
          <t>자본총계</t>
        </is>
      </c>
      <c r="L514" s="29" t="inlineStr">
        <is>
          <t>별도재무제표 [member]</t>
        </is>
      </c>
      <c r="M514" s="29" t="inlineStr">
        <is>
          <t>제 31 기</t>
        </is>
      </c>
      <c r="N514" s="29" t="inlineStr">
        <is>
          <t>519302794390.0</t>
        </is>
      </c>
      <c r="O514" s="29" t="inlineStr">
        <is>
          <t>516254748314.0</t>
        </is>
      </c>
      <c r="P514" s="29" t="inlineStr">
        <is>
          <t>KRW</t>
        </is>
      </c>
      <c r="Q514" s="29" t="inlineStr">
        <is>
          <t>4</t>
        </is>
      </c>
    </row>
    <row r="515" ht="24" customHeight="1">
      <c r="A515" s="24" t="inlineStr">
        <is>
          <t>OpenDART_fnlttSinglAcntAll</t>
        </is>
      </c>
      <c r="B515" s="24" t="inlineStr">
        <is>
          <t>00245472</t>
        </is>
      </c>
      <c r="C515" s="24" t="inlineStr">
        <is>
          <t>티씨케이</t>
        </is>
      </c>
      <c r="D515" s="24" t="inlineStr">
        <is>
          <t>tck</t>
        </is>
      </c>
      <c r="E515" s="24" t="inlineStr">
        <is>
          <t>064760</t>
        </is>
      </c>
      <c r="F515" s="24" t="inlineStr">
        <is>
          <t>2025</t>
        </is>
      </c>
      <c r="G515" s="24" t="inlineStr">
        <is>
          <t>OFS</t>
        </is>
      </c>
      <c r="H515" s="24" t="inlineStr">
        <is>
          <t>SCE</t>
        </is>
      </c>
      <c r="I515" s="24" t="inlineStr">
        <is>
          <t>자본변동표</t>
        </is>
      </c>
      <c r="J515" s="24" t="inlineStr">
        <is>
          <t>ifrs-full_IncreaseDecreaseThroughTransactionsWithOwners</t>
        </is>
      </c>
      <c r="K515" s="24" t="inlineStr">
        <is>
          <t>소유주와의 거래로 인한 증가(감소), 자본</t>
        </is>
      </c>
      <c r="L515" s="24" t="inlineStr">
        <is>
          <t>자본 [구성요소]|자본잉여금 [구성요소]</t>
        </is>
      </c>
      <c r="M515" s="24" t="inlineStr">
        <is>
          <t>제 31 기</t>
        </is>
      </c>
      <c r="N515" s="24" t="inlineStr">
        <is>
          <t>0.0</t>
        </is>
      </c>
      <c r="O515" s="24" t="inlineStr">
        <is>
          <t>0.0</t>
        </is>
      </c>
      <c r="P515" s="24" t="inlineStr">
        <is>
          <t>KRW</t>
        </is>
      </c>
      <c r="Q515" s="24" t="inlineStr">
        <is>
          <t>5</t>
        </is>
      </c>
    </row>
    <row r="516" ht="24" customHeight="1">
      <c r="A516" s="29" t="inlineStr">
        <is>
          <t>OpenDART_fnlttSinglAcntAll</t>
        </is>
      </c>
      <c r="B516" s="29" t="inlineStr">
        <is>
          <t>00245472</t>
        </is>
      </c>
      <c r="C516" s="29" t="inlineStr">
        <is>
          <t>티씨케이</t>
        </is>
      </c>
      <c r="D516" s="29" t="inlineStr">
        <is>
          <t>tck</t>
        </is>
      </c>
      <c r="E516" s="29" t="inlineStr">
        <is>
          <t>064760</t>
        </is>
      </c>
      <c r="F516" s="29" t="inlineStr">
        <is>
          <t>2025</t>
        </is>
      </c>
      <c r="G516" s="29" t="inlineStr">
        <is>
          <t>OFS</t>
        </is>
      </c>
      <c r="H516" s="29" t="inlineStr">
        <is>
          <t>SCE</t>
        </is>
      </c>
      <c r="I516" s="29" t="inlineStr">
        <is>
          <t>자본변동표</t>
        </is>
      </c>
      <c r="J516" s="29" t="inlineStr">
        <is>
          <t>ifrs-full_IncreaseDecreaseThroughTransactionsWithOwners</t>
        </is>
      </c>
      <c r="K516" s="29" t="inlineStr">
        <is>
          <t>소유주와의 거래로 인한 증가(감소), 자본</t>
        </is>
      </c>
      <c r="L516" s="29" t="inlineStr">
        <is>
          <t>자본 [구성요소]|자본금 [구성요소]</t>
        </is>
      </c>
      <c r="M516" s="29" t="inlineStr">
        <is>
          <t>제 31 기</t>
        </is>
      </c>
      <c r="N516" s="29" t="inlineStr">
        <is>
          <t>0.0</t>
        </is>
      </c>
      <c r="O516" s="29" t="inlineStr">
        <is>
          <t>0.0</t>
        </is>
      </c>
      <c r="P516" s="29" t="inlineStr">
        <is>
          <t>KRW</t>
        </is>
      </c>
      <c r="Q516" s="29" t="inlineStr">
        <is>
          <t>5</t>
        </is>
      </c>
    </row>
    <row r="517" ht="24" customHeight="1">
      <c r="A517" s="24" t="inlineStr">
        <is>
          <t>OpenDART_fnlttSinglAcntAll</t>
        </is>
      </c>
      <c r="B517" s="24" t="inlineStr">
        <is>
          <t>00245472</t>
        </is>
      </c>
      <c r="C517" s="24" t="inlineStr">
        <is>
          <t>티씨케이</t>
        </is>
      </c>
      <c r="D517" s="24" t="inlineStr">
        <is>
          <t>tck</t>
        </is>
      </c>
      <c r="E517" s="24" t="inlineStr">
        <is>
          <t>064760</t>
        </is>
      </c>
      <c r="F517" s="24" t="inlineStr">
        <is>
          <t>2025</t>
        </is>
      </c>
      <c r="G517" s="24" t="inlineStr">
        <is>
          <t>OFS</t>
        </is>
      </c>
      <c r="H517" s="24" t="inlineStr">
        <is>
          <t>SCE</t>
        </is>
      </c>
      <c r="I517" s="24" t="inlineStr">
        <is>
          <t>자본변동표</t>
        </is>
      </c>
      <c r="J517" s="24" t="inlineStr">
        <is>
          <t>ifrs-full_IncreaseDecreaseThroughTransactionsWithOwners</t>
        </is>
      </c>
      <c r="K517" s="24" t="inlineStr">
        <is>
          <t>소유주와의 거래로 인한 증가(감소), 자본</t>
        </is>
      </c>
      <c r="L517" s="24" t="inlineStr">
        <is>
          <t>자본 [구성요소]|이익잉여금 [구성요소]</t>
        </is>
      </c>
      <c r="M517" s="24" t="inlineStr">
        <is>
          <t>제 31 기</t>
        </is>
      </c>
      <c r="N517" s="24" t="inlineStr">
        <is>
          <t>-66461738600.0</t>
        </is>
      </c>
      <c r="O517" s="24" t="inlineStr">
        <is>
          <t>-14010000000.0</t>
        </is>
      </c>
      <c r="P517" s="24" t="inlineStr">
        <is>
          <t>KRW</t>
        </is>
      </c>
      <c r="Q517" s="24" t="inlineStr">
        <is>
          <t>5</t>
        </is>
      </c>
    </row>
    <row r="518" ht="24" customHeight="1">
      <c r="A518" s="29" t="inlineStr">
        <is>
          <t>OpenDART_fnlttSinglAcntAll</t>
        </is>
      </c>
      <c r="B518" s="29" t="inlineStr">
        <is>
          <t>00245472</t>
        </is>
      </c>
      <c r="C518" s="29" t="inlineStr">
        <is>
          <t>티씨케이</t>
        </is>
      </c>
      <c r="D518" s="29" t="inlineStr">
        <is>
          <t>tck</t>
        </is>
      </c>
      <c r="E518" s="29" t="inlineStr">
        <is>
          <t>064760</t>
        </is>
      </c>
      <c r="F518" s="29" t="inlineStr">
        <is>
          <t>2025</t>
        </is>
      </c>
      <c r="G518" s="29" t="inlineStr">
        <is>
          <t>OFS</t>
        </is>
      </c>
      <c r="H518" s="29" t="inlineStr">
        <is>
          <t>SCE</t>
        </is>
      </c>
      <c r="I518" s="29" t="inlineStr">
        <is>
          <t>자본변동표</t>
        </is>
      </c>
      <c r="J518" s="29" t="inlineStr">
        <is>
          <t>ifrs-full_IncreaseDecreaseThroughTransactionsWithOwners</t>
        </is>
      </c>
      <c r="K518" s="29" t="inlineStr">
        <is>
          <t>소유주와의 거래로 인한 증가(감소), 자본</t>
        </is>
      </c>
      <c r="L518" s="29" t="inlineStr">
        <is>
          <t>자본 [구성요소]|기타포괄손익누계액 [구성요소]</t>
        </is>
      </c>
      <c r="M518" s="29" t="inlineStr">
        <is>
          <t>제 31 기</t>
        </is>
      </c>
      <c r="N518" s="29" t="inlineStr">
        <is>
          <t>0.0</t>
        </is>
      </c>
      <c r="O518" s="29" t="inlineStr">
        <is>
          <t>0.0</t>
        </is>
      </c>
      <c r="P518" s="29" t="inlineStr">
        <is>
          <t>KRW</t>
        </is>
      </c>
      <c r="Q518" s="29" t="inlineStr">
        <is>
          <t>5</t>
        </is>
      </c>
    </row>
    <row r="519" ht="24" customHeight="1">
      <c r="A519" s="24" t="inlineStr">
        <is>
          <t>OpenDART_fnlttSinglAcntAll</t>
        </is>
      </c>
      <c r="B519" s="24" t="inlineStr">
        <is>
          <t>00245472</t>
        </is>
      </c>
      <c r="C519" s="24" t="inlineStr">
        <is>
          <t>티씨케이</t>
        </is>
      </c>
      <c r="D519" s="24" t="inlineStr">
        <is>
          <t>tck</t>
        </is>
      </c>
      <c r="E519" s="24" t="inlineStr">
        <is>
          <t>064760</t>
        </is>
      </c>
      <c r="F519" s="24" t="inlineStr">
        <is>
          <t>2025</t>
        </is>
      </c>
      <c r="G519" s="24" t="inlineStr">
        <is>
          <t>OFS</t>
        </is>
      </c>
      <c r="H519" s="24" t="inlineStr">
        <is>
          <t>SCE</t>
        </is>
      </c>
      <c r="I519" s="24" t="inlineStr">
        <is>
          <t>자본변동표</t>
        </is>
      </c>
      <c r="J519" s="24" t="inlineStr">
        <is>
          <t>ifrs-full_IncreaseDecreaseThroughTransactionsWithOwners</t>
        </is>
      </c>
      <c r="K519" s="24" t="inlineStr">
        <is>
          <t>소유주와의 거래로 인한 증가(감소), 자본</t>
        </is>
      </c>
      <c r="L519" s="24" t="inlineStr">
        <is>
          <t>자본 [구성요소]|기타자본구성요소 [구성요소]</t>
        </is>
      </c>
      <c r="M519" s="24" t="inlineStr">
        <is>
          <t>제 31 기</t>
        </is>
      </c>
      <c r="N519" s="24" t="inlineStr">
        <is>
          <t>0.0</t>
        </is>
      </c>
      <c r="O519" s="24" t="inlineStr">
        <is>
          <t>0.0</t>
        </is>
      </c>
      <c r="P519" s="24" t="inlineStr">
        <is>
          <t>KRW</t>
        </is>
      </c>
      <c r="Q519" s="24" t="inlineStr">
        <is>
          <t>5</t>
        </is>
      </c>
    </row>
    <row r="520" ht="24" customHeight="1">
      <c r="A520" s="29" t="inlineStr">
        <is>
          <t>OpenDART_fnlttSinglAcntAll</t>
        </is>
      </c>
      <c r="B520" s="29" t="inlineStr">
        <is>
          <t>00245472</t>
        </is>
      </c>
      <c r="C520" s="29" t="inlineStr">
        <is>
          <t>티씨케이</t>
        </is>
      </c>
      <c r="D520" s="29" t="inlineStr">
        <is>
          <t>tck</t>
        </is>
      </c>
      <c r="E520" s="29" t="inlineStr">
        <is>
          <t>064760</t>
        </is>
      </c>
      <c r="F520" s="29" t="inlineStr">
        <is>
          <t>2025</t>
        </is>
      </c>
      <c r="G520" s="29" t="inlineStr">
        <is>
          <t>OFS</t>
        </is>
      </c>
      <c r="H520" s="29" t="inlineStr">
        <is>
          <t>SCE</t>
        </is>
      </c>
      <c r="I520" s="29" t="inlineStr">
        <is>
          <t>자본변동표</t>
        </is>
      </c>
      <c r="J520" s="29" t="inlineStr">
        <is>
          <t>ifrs-full_IncreaseDecreaseThroughTransactionsWithOwners</t>
        </is>
      </c>
      <c r="K520" s="29" t="inlineStr">
        <is>
          <t>소유주와의 거래로 인한 증가(감소), 자본</t>
        </is>
      </c>
      <c r="L520" s="29" t="inlineStr">
        <is>
          <t>별도재무제표 [member]</t>
        </is>
      </c>
      <c r="M520" s="29" t="inlineStr">
        <is>
          <t>제 31 기</t>
        </is>
      </c>
      <c r="N520" s="29" t="inlineStr">
        <is>
          <t>-66461738600.0</t>
        </is>
      </c>
      <c r="O520" s="29" t="inlineStr">
        <is>
          <t>-14010000000.0</t>
        </is>
      </c>
      <c r="P520" s="29" t="inlineStr">
        <is>
          <t>KRW</t>
        </is>
      </c>
      <c r="Q520" s="29" t="inlineStr">
        <is>
          <t>5</t>
        </is>
      </c>
    </row>
    <row r="521" ht="24" customHeight="1">
      <c r="A521" s="24" t="inlineStr">
        <is>
          <t>OpenDART_fnlttSinglAcntAll</t>
        </is>
      </c>
      <c r="B521" s="24" t="inlineStr">
        <is>
          <t>00245472</t>
        </is>
      </c>
      <c r="C521" s="24" t="inlineStr">
        <is>
          <t>티씨케이</t>
        </is>
      </c>
      <c r="D521" s="24" t="inlineStr">
        <is>
          <t>tck</t>
        </is>
      </c>
      <c r="E521" s="24" t="inlineStr">
        <is>
          <t>064760</t>
        </is>
      </c>
      <c r="F521" s="24" t="inlineStr">
        <is>
          <t>2025</t>
        </is>
      </c>
      <c r="G521" s="24" t="inlineStr">
        <is>
          <t>OFS</t>
        </is>
      </c>
      <c r="H521" s="24" t="inlineStr">
        <is>
          <t>SCE</t>
        </is>
      </c>
      <c r="I521" s="24" t="inlineStr">
        <is>
          <t>자본변동표</t>
        </is>
      </c>
      <c r="J521" s="24" t="inlineStr">
        <is>
          <t>ifrs-full_CancellationOfTreasuryShares</t>
        </is>
      </c>
      <c r="K521" s="24" t="inlineStr">
        <is>
          <t>자기주식 소각</t>
        </is>
      </c>
      <c r="L521" s="24" t="inlineStr">
        <is>
          <t>자본 [구성요소]|기타자본구성요소 [구성요소]</t>
        </is>
      </c>
      <c r="M521" s="24" t="inlineStr">
        <is>
          <t>제 31 기</t>
        </is>
      </c>
      <c r="N521" s="24" t="inlineStr">
        <is>
          <t>49999988600.0</t>
        </is>
      </c>
      <c r="O521" s="24" t="inlineStr">
        <is>
          <t>0.0</t>
        </is>
      </c>
      <c r="P521" s="24" t="inlineStr">
        <is>
          <t>KRW</t>
        </is>
      </c>
      <c r="Q521" s="24" t="inlineStr">
        <is>
          <t>6</t>
        </is>
      </c>
    </row>
    <row r="522" ht="24" customHeight="1">
      <c r="A522" s="29" t="inlineStr">
        <is>
          <t>OpenDART_fnlttSinglAcntAll</t>
        </is>
      </c>
      <c r="B522" s="29" t="inlineStr">
        <is>
          <t>00245472</t>
        </is>
      </c>
      <c r="C522" s="29" t="inlineStr">
        <is>
          <t>티씨케이</t>
        </is>
      </c>
      <c r="D522" s="29" t="inlineStr">
        <is>
          <t>tck</t>
        </is>
      </c>
      <c r="E522" s="29" t="inlineStr">
        <is>
          <t>064760</t>
        </is>
      </c>
      <c r="F522" s="29" t="inlineStr">
        <is>
          <t>2025</t>
        </is>
      </c>
      <c r="G522" s="29" t="inlineStr">
        <is>
          <t>OFS</t>
        </is>
      </c>
      <c r="H522" s="29" t="inlineStr">
        <is>
          <t>SCE</t>
        </is>
      </c>
      <c r="I522" s="29" t="inlineStr">
        <is>
          <t>자본변동표</t>
        </is>
      </c>
      <c r="J522" s="29" t="inlineStr">
        <is>
          <t>ifrs-full_CancellationOfTreasuryShares</t>
        </is>
      </c>
      <c r="K522" s="29" t="inlineStr">
        <is>
          <t>자기주식 소각</t>
        </is>
      </c>
      <c r="L522" s="29" t="inlineStr">
        <is>
          <t>별도재무제표 [member]</t>
        </is>
      </c>
      <c r="M522" s="29" t="inlineStr">
        <is>
          <t>제 31 기</t>
        </is>
      </c>
      <c r="N522" s="29" t="inlineStr">
        <is>
          <t>0.0</t>
        </is>
      </c>
      <c r="O522" s="29" t="inlineStr">
        <is>
          <t>0.0</t>
        </is>
      </c>
      <c r="P522" s="29" t="inlineStr">
        <is>
          <t>KRW</t>
        </is>
      </c>
      <c r="Q522" s="29" t="inlineStr">
        <is>
          <t>6</t>
        </is>
      </c>
    </row>
    <row r="523" ht="24" customHeight="1">
      <c r="A523" s="24" t="inlineStr">
        <is>
          <t>OpenDART_fnlttSinglAcntAll</t>
        </is>
      </c>
      <c r="B523" s="24" t="inlineStr">
        <is>
          <t>00245472</t>
        </is>
      </c>
      <c r="C523" s="24" t="inlineStr">
        <is>
          <t>티씨케이</t>
        </is>
      </c>
      <c r="D523" s="24" t="inlineStr">
        <is>
          <t>tck</t>
        </is>
      </c>
      <c r="E523" s="24" t="inlineStr">
        <is>
          <t>064760</t>
        </is>
      </c>
      <c r="F523" s="24" t="inlineStr">
        <is>
          <t>2025</t>
        </is>
      </c>
      <c r="G523" s="24" t="inlineStr">
        <is>
          <t>OFS</t>
        </is>
      </c>
      <c r="H523" s="24" t="inlineStr">
        <is>
          <t>SCE</t>
        </is>
      </c>
      <c r="I523" s="24" t="inlineStr">
        <is>
          <t>자본변동표</t>
        </is>
      </c>
      <c r="J523" s="24" t="inlineStr">
        <is>
          <t>ifrs-full_CancellationOfTreasuryShares</t>
        </is>
      </c>
      <c r="K523" s="24" t="inlineStr">
        <is>
          <t>자기주식 소각</t>
        </is>
      </c>
      <c r="L523" s="24" t="inlineStr">
        <is>
          <t>자본 [구성요소]|기타포괄손익누계액 [구성요소]</t>
        </is>
      </c>
      <c r="M523" s="24" t="inlineStr">
        <is>
          <t>제 31 기</t>
        </is>
      </c>
      <c r="N523" s="24" t="inlineStr">
        <is>
          <t>0.0</t>
        </is>
      </c>
      <c r="O523" s="24" t="inlineStr">
        <is>
          <t>0.0</t>
        </is>
      </c>
      <c r="P523" s="24" t="inlineStr">
        <is>
          <t>KRW</t>
        </is>
      </c>
      <c r="Q523" s="24" t="inlineStr">
        <is>
          <t>6</t>
        </is>
      </c>
    </row>
    <row r="524" ht="24" customHeight="1">
      <c r="A524" s="29" t="inlineStr">
        <is>
          <t>OpenDART_fnlttSinglAcntAll</t>
        </is>
      </c>
      <c r="B524" s="29" t="inlineStr">
        <is>
          <t>00245472</t>
        </is>
      </c>
      <c r="C524" s="29" t="inlineStr">
        <is>
          <t>티씨케이</t>
        </is>
      </c>
      <c r="D524" s="29" t="inlineStr">
        <is>
          <t>tck</t>
        </is>
      </c>
      <c r="E524" s="29" t="inlineStr">
        <is>
          <t>064760</t>
        </is>
      </c>
      <c r="F524" s="29" t="inlineStr">
        <is>
          <t>2025</t>
        </is>
      </c>
      <c r="G524" s="29" t="inlineStr">
        <is>
          <t>OFS</t>
        </is>
      </c>
      <c r="H524" s="29" t="inlineStr">
        <is>
          <t>SCE</t>
        </is>
      </c>
      <c r="I524" s="29" t="inlineStr">
        <is>
          <t>자본변동표</t>
        </is>
      </c>
      <c r="J524" s="29" t="inlineStr">
        <is>
          <t>ifrs-full_CancellationOfTreasuryShares</t>
        </is>
      </c>
      <c r="K524" s="29" t="inlineStr">
        <is>
          <t>자기주식 소각</t>
        </is>
      </c>
      <c r="L524" s="29" t="inlineStr">
        <is>
          <t>자본 [구성요소]|이익잉여금 [구성요소]</t>
        </is>
      </c>
      <c r="M524" s="29" t="inlineStr">
        <is>
          <t>제 31 기</t>
        </is>
      </c>
      <c r="N524" s="29" t="inlineStr">
        <is>
          <t>-49999988600.0</t>
        </is>
      </c>
      <c r="O524" s="29" t="inlineStr">
        <is>
          <t>0.0</t>
        </is>
      </c>
      <c r="P524" s="29" t="inlineStr">
        <is>
          <t>KRW</t>
        </is>
      </c>
      <c r="Q524" s="29" t="inlineStr">
        <is>
          <t>6</t>
        </is>
      </c>
    </row>
    <row r="525" ht="24" customHeight="1">
      <c r="A525" s="24" t="inlineStr">
        <is>
          <t>OpenDART_fnlttSinglAcntAll</t>
        </is>
      </c>
      <c r="B525" s="24" t="inlineStr">
        <is>
          <t>00245472</t>
        </is>
      </c>
      <c r="C525" s="24" t="inlineStr">
        <is>
          <t>티씨케이</t>
        </is>
      </c>
      <c r="D525" s="24" t="inlineStr">
        <is>
          <t>tck</t>
        </is>
      </c>
      <c r="E525" s="24" t="inlineStr">
        <is>
          <t>064760</t>
        </is>
      </c>
      <c r="F525" s="24" t="inlineStr">
        <is>
          <t>2025</t>
        </is>
      </c>
      <c r="G525" s="24" t="inlineStr">
        <is>
          <t>OFS</t>
        </is>
      </c>
      <c r="H525" s="24" t="inlineStr">
        <is>
          <t>SCE</t>
        </is>
      </c>
      <c r="I525" s="24" t="inlineStr">
        <is>
          <t>자본변동표</t>
        </is>
      </c>
      <c r="J525" s="24" t="inlineStr">
        <is>
          <t>ifrs-full_CancellationOfTreasuryShares</t>
        </is>
      </c>
      <c r="K525" s="24" t="inlineStr">
        <is>
          <t>자기주식 소각</t>
        </is>
      </c>
      <c r="L525" s="24" t="inlineStr">
        <is>
          <t>자본 [구성요소]|자본금 [구성요소]</t>
        </is>
      </c>
      <c r="M525" s="24" t="inlineStr">
        <is>
          <t>제 31 기</t>
        </is>
      </c>
      <c r="N525" s="24" t="inlineStr">
        <is>
          <t>0.0</t>
        </is>
      </c>
      <c r="O525" s="24" t="inlineStr">
        <is>
          <t>0.0</t>
        </is>
      </c>
      <c r="P525" s="24" t="inlineStr">
        <is>
          <t>KRW</t>
        </is>
      </c>
      <c r="Q525" s="24" t="inlineStr">
        <is>
          <t>6</t>
        </is>
      </c>
    </row>
    <row r="526" ht="24" customHeight="1">
      <c r="A526" s="29" t="inlineStr">
        <is>
          <t>OpenDART_fnlttSinglAcntAll</t>
        </is>
      </c>
      <c r="B526" s="29" t="inlineStr">
        <is>
          <t>00245472</t>
        </is>
      </c>
      <c r="C526" s="29" t="inlineStr">
        <is>
          <t>티씨케이</t>
        </is>
      </c>
      <c r="D526" s="29" t="inlineStr">
        <is>
          <t>tck</t>
        </is>
      </c>
      <c r="E526" s="29" t="inlineStr">
        <is>
          <t>064760</t>
        </is>
      </c>
      <c r="F526" s="29" t="inlineStr">
        <is>
          <t>2025</t>
        </is>
      </c>
      <c r="G526" s="29" t="inlineStr">
        <is>
          <t>OFS</t>
        </is>
      </c>
      <c r="H526" s="29" t="inlineStr">
        <is>
          <t>SCE</t>
        </is>
      </c>
      <c r="I526" s="29" t="inlineStr">
        <is>
          <t>자본변동표</t>
        </is>
      </c>
      <c r="J526" s="29" t="inlineStr">
        <is>
          <t>ifrs-full_CancellationOfTreasuryShares</t>
        </is>
      </c>
      <c r="K526" s="29" t="inlineStr">
        <is>
          <t>자기주식 소각</t>
        </is>
      </c>
      <c r="L526" s="29" t="inlineStr">
        <is>
          <t>자본 [구성요소]|자본잉여금 [구성요소]</t>
        </is>
      </c>
      <c r="M526" s="29" t="inlineStr">
        <is>
          <t>제 31 기</t>
        </is>
      </c>
      <c r="N526" s="29" t="inlineStr">
        <is>
          <t>0.0</t>
        </is>
      </c>
      <c r="O526" s="29" t="inlineStr">
        <is>
          <t>0.0</t>
        </is>
      </c>
      <c r="P526" s="29" t="inlineStr">
        <is>
          <t>KRW</t>
        </is>
      </c>
      <c r="Q526" s="29" t="inlineStr">
        <is>
          <t>6</t>
        </is>
      </c>
    </row>
    <row r="527" ht="24" customHeight="1">
      <c r="A527" s="24" t="inlineStr">
        <is>
          <t>OpenDART_fnlttSinglAcntAll</t>
        </is>
      </c>
      <c r="B527" s="24" t="inlineStr">
        <is>
          <t>00245472</t>
        </is>
      </c>
      <c r="C527" s="24" t="inlineStr">
        <is>
          <t>티씨케이</t>
        </is>
      </c>
      <c r="D527" s="24" t="inlineStr">
        <is>
          <t>tck</t>
        </is>
      </c>
      <c r="E527" s="24" t="inlineStr">
        <is>
          <t>064760</t>
        </is>
      </c>
      <c r="F527" s="24" t="inlineStr">
        <is>
          <t>2025</t>
        </is>
      </c>
      <c r="G527" s="24" t="inlineStr">
        <is>
          <t>OFS</t>
        </is>
      </c>
      <c r="H527" s="24" t="inlineStr">
        <is>
          <t>SCE</t>
        </is>
      </c>
      <c r="I527" s="24" t="inlineStr">
        <is>
          <t>자본변동표</t>
        </is>
      </c>
      <c r="J527" s="24" t="inlineStr">
        <is>
          <t>ifrs-full_DividendsPaid</t>
        </is>
      </c>
      <c r="K527" s="24" t="inlineStr">
        <is>
          <t>배당금지급</t>
        </is>
      </c>
      <c r="L527" s="24" t="inlineStr">
        <is>
          <t>자본 [구성요소]|자본잉여금 [구성요소]</t>
        </is>
      </c>
      <c r="M527" s="24" t="inlineStr">
        <is>
          <t>제 31 기</t>
        </is>
      </c>
      <c r="N527" s="24" t="inlineStr">
        <is>
          <t>0.0</t>
        </is>
      </c>
      <c r="O527" s="24" t="inlineStr">
        <is>
          <t>0.0</t>
        </is>
      </c>
      <c r="P527" s="24" t="inlineStr">
        <is>
          <t>KRW</t>
        </is>
      </c>
      <c r="Q527" s="24" t="inlineStr">
        <is>
          <t>7</t>
        </is>
      </c>
    </row>
    <row r="528" ht="24" customHeight="1">
      <c r="A528" s="29" t="inlineStr">
        <is>
          <t>OpenDART_fnlttSinglAcntAll</t>
        </is>
      </c>
      <c r="B528" s="29" t="inlineStr">
        <is>
          <t>00245472</t>
        </is>
      </c>
      <c r="C528" s="29" t="inlineStr">
        <is>
          <t>티씨케이</t>
        </is>
      </c>
      <c r="D528" s="29" t="inlineStr">
        <is>
          <t>tck</t>
        </is>
      </c>
      <c r="E528" s="29" t="inlineStr">
        <is>
          <t>064760</t>
        </is>
      </c>
      <c r="F528" s="29" t="inlineStr">
        <is>
          <t>2025</t>
        </is>
      </c>
      <c r="G528" s="29" t="inlineStr">
        <is>
          <t>OFS</t>
        </is>
      </c>
      <c r="H528" s="29" t="inlineStr">
        <is>
          <t>SCE</t>
        </is>
      </c>
      <c r="I528" s="29" t="inlineStr">
        <is>
          <t>자본변동표</t>
        </is>
      </c>
      <c r="J528" s="29" t="inlineStr">
        <is>
          <t>ifrs-full_DividendsPaid</t>
        </is>
      </c>
      <c r="K528" s="29" t="inlineStr">
        <is>
          <t>배당금지급</t>
        </is>
      </c>
      <c r="L528" s="29" t="inlineStr">
        <is>
          <t>자본 [구성요소]|자본금 [구성요소]</t>
        </is>
      </c>
      <c r="M528" s="29" t="inlineStr">
        <is>
          <t>제 31 기</t>
        </is>
      </c>
      <c r="N528" s="29" t="inlineStr">
        <is>
          <t>0.0</t>
        </is>
      </c>
      <c r="O528" s="29" t="inlineStr">
        <is>
          <t>0.0</t>
        </is>
      </c>
      <c r="P528" s="29" t="inlineStr">
        <is>
          <t>KRW</t>
        </is>
      </c>
      <c r="Q528" s="29" t="inlineStr">
        <is>
          <t>7</t>
        </is>
      </c>
    </row>
    <row r="529" ht="24" customHeight="1">
      <c r="A529" s="24" t="inlineStr">
        <is>
          <t>OpenDART_fnlttSinglAcntAll</t>
        </is>
      </c>
      <c r="B529" s="24" t="inlineStr">
        <is>
          <t>00245472</t>
        </is>
      </c>
      <c r="C529" s="24" t="inlineStr">
        <is>
          <t>티씨케이</t>
        </is>
      </c>
      <c r="D529" s="24" t="inlineStr">
        <is>
          <t>tck</t>
        </is>
      </c>
      <c r="E529" s="24" t="inlineStr">
        <is>
          <t>064760</t>
        </is>
      </c>
      <c r="F529" s="24" t="inlineStr">
        <is>
          <t>2025</t>
        </is>
      </c>
      <c r="G529" s="24" t="inlineStr">
        <is>
          <t>OFS</t>
        </is>
      </c>
      <c r="H529" s="24" t="inlineStr">
        <is>
          <t>SCE</t>
        </is>
      </c>
      <c r="I529" s="24" t="inlineStr">
        <is>
          <t>자본변동표</t>
        </is>
      </c>
      <c r="J529" s="24" t="inlineStr">
        <is>
          <t>ifrs-full_DividendsPaid</t>
        </is>
      </c>
      <c r="K529" s="24" t="inlineStr">
        <is>
          <t>배당금지급</t>
        </is>
      </c>
      <c r="L529" s="24" t="inlineStr">
        <is>
          <t>자본 [구성요소]|이익잉여금 [구성요소]</t>
        </is>
      </c>
      <c r="M529" s="24" t="inlineStr">
        <is>
          <t>제 31 기</t>
        </is>
      </c>
      <c r="N529" s="24" t="inlineStr">
        <is>
          <t>16461750000.0</t>
        </is>
      </c>
      <c r="O529" s="24" t="inlineStr">
        <is>
          <t>14010000000.0</t>
        </is>
      </c>
      <c r="P529" s="24" t="inlineStr">
        <is>
          <t>KRW</t>
        </is>
      </c>
      <c r="Q529" s="24" t="inlineStr">
        <is>
          <t>7</t>
        </is>
      </c>
    </row>
    <row r="530" ht="24" customHeight="1">
      <c r="A530" s="29" t="inlineStr">
        <is>
          <t>OpenDART_fnlttSinglAcntAll</t>
        </is>
      </c>
      <c r="B530" s="29" t="inlineStr">
        <is>
          <t>00245472</t>
        </is>
      </c>
      <c r="C530" s="29" t="inlineStr">
        <is>
          <t>티씨케이</t>
        </is>
      </c>
      <c r="D530" s="29" t="inlineStr">
        <is>
          <t>tck</t>
        </is>
      </c>
      <c r="E530" s="29" t="inlineStr">
        <is>
          <t>064760</t>
        </is>
      </c>
      <c r="F530" s="29" t="inlineStr">
        <is>
          <t>2025</t>
        </is>
      </c>
      <c r="G530" s="29" t="inlineStr">
        <is>
          <t>OFS</t>
        </is>
      </c>
      <c r="H530" s="29" t="inlineStr">
        <is>
          <t>SCE</t>
        </is>
      </c>
      <c r="I530" s="29" t="inlineStr">
        <is>
          <t>자본변동표</t>
        </is>
      </c>
      <c r="J530" s="29" t="inlineStr">
        <is>
          <t>ifrs-full_DividendsPaid</t>
        </is>
      </c>
      <c r="K530" s="29" t="inlineStr">
        <is>
          <t>배당금지급</t>
        </is>
      </c>
      <c r="L530" s="29" t="inlineStr">
        <is>
          <t>자본 [구성요소]|기타포괄손익누계액 [구성요소]</t>
        </is>
      </c>
      <c r="M530" s="29" t="inlineStr">
        <is>
          <t>제 31 기</t>
        </is>
      </c>
      <c r="N530" s="29" t="inlineStr">
        <is>
          <t>0.0</t>
        </is>
      </c>
      <c r="O530" s="29" t="inlineStr">
        <is>
          <t>0.0</t>
        </is>
      </c>
      <c r="P530" s="29" t="inlineStr">
        <is>
          <t>KRW</t>
        </is>
      </c>
      <c r="Q530" s="29" t="inlineStr">
        <is>
          <t>7</t>
        </is>
      </c>
    </row>
    <row r="531" ht="24" customHeight="1">
      <c r="A531" s="24" t="inlineStr">
        <is>
          <t>OpenDART_fnlttSinglAcntAll</t>
        </is>
      </c>
      <c r="B531" s="24" t="inlineStr">
        <is>
          <t>00245472</t>
        </is>
      </c>
      <c r="C531" s="24" t="inlineStr">
        <is>
          <t>티씨케이</t>
        </is>
      </c>
      <c r="D531" s="24" t="inlineStr">
        <is>
          <t>tck</t>
        </is>
      </c>
      <c r="E531" s="24" t="inlineStr">
        <is>
          <t>064760</t>
        </is>
      </c>
      <c r="F531" s="24" t="inlineStr">
        <is>
          <t>2025</t>
        </is>
      </c>
      <c r="G531" s="24" t="inlineStr">
        <is>
          <t>OFS</t>
        </is>
      </c>
      <c r="H531" s="24" t="inlineStr">
        <is>
          <t>SCE</t>
        </is>
      </c>
      <c r="I531" s="24" t="inlineStr">
        <is>
          <t>자본변동표</t>
        </is>
      </c>
      <c r="J531" s="24" t="inlineStr">
        <is>
          <t>ifrs-full_DividendsPaid</t>
        </is>
      </c>
      <c r="K531" s="24" t="inlineStr">
        <is>
          <t>배당금지급</t>
        </is>
      </c>
      <c r="L531" s="24" t="inlineStr">
        <is>
          <t>자본 [구성요소]|기타자본구성요소 [구성요소]</t>
        </is>
      </c>
      <c r="M531" s="24" t="inlineStr">
        <is>
          <t>제 31 기</t>
        </is>
      </c>
      <c r="N531" s="24" t="inlineStr">
        <is>
          <t>0.0</t>
        </is>
      </c>
      <c r="O531" s="24" t="inlineStr">
        <is>
          <t>0.0</t>
        </is>
      </c>
      <c r="P531" s="24" t="inlineStr">
        <is>
          <t>KRW</t>
        </is>
      </c>
      <c r="Q531" s="24" t="inlineStr">
        <is>
          <t>7</t>
        </is>
      </c>
    </row>
    <row r="532" ht="24" customHeight="1">
      <c r="A532" s="29" t="inlineStr">
        <is>
          <t>OpenDART_fnlttSinglAcntAll</t>
        </is>
      </c>
      <c r="B532" s="29" t="inlineStr">
        <is>
          <t>00245472</t>
        </is>
      </c>
      <c r="C532" s="29" t="inlineStr">
        <is>
          <t>티씨케이</t>
        </is>
      </c>
      <c r="D532" s="29" t="inlineStr">
        <is>
          <t>tck</t>
        </is>
      </c>
      <c r="E532" s="29" t="inlineStr">
        <is>
          <t>064760</t>
        </is>
      </c>
      <c r="F532" s="29" t="inlineStr">
        <is>
          <t>2025</t>
        </is>
      </c>
      <c r="G532" s="29" t="inlineStr">
        <is>
          <t>OFS</t>
        </is>
      </c>
      <c r="H532" s="29" t="inlineStr">
        <is>
          <t>SCE</t>
        </is>
      </c>
      <c r="I532" s="29" t="inlineStr">
        <is>
          <t>자본변동표</t>
        </is>
      </c>
      <c r="J532" s="29" t="inlineStr">
        <is>
          <t>ifrs-full_DividendsPaid</t>
        </is>
      </c>
      <c r="K532" s="29" t="inlineStr">
        <is>
          <t>배당금지급</t>
        </is>
      </c>
      <c r="L532" s="29" t="inlineStr">
        <is>
          <t>별도재무제표 [member]</t>
        </is>
      </c>
      <c r="M532" s="29" t="inlineStr">
        <is>
          <t>제 31 기</t>
        </is>
      </c>
      <c r="N532" s="29" t="inlineStr">
        <is>
          <t>16461750000.0</t>
        </is>
      </c>
      <c r="O532" s="29" t="inlineStr">
        <is>
          <t>14010000000.0</t>
        </is>
      </c>
      <c r="P532" s="29" t="inlineStr">
        <is>
          <t>KRW</t>
        </is>
      </c>
      <c r="Q532" s="29" t="inlineStr">
        <is>
          <t>7</t>
        </is>
      </c>
    </row>
    <row r="533" ht="24" customHeight="1">
      <c r="A533" s="24" t="inlineStr">
        <is>
          <t>OpenDART_fnlttSinglAcntAll</t>
        </is>
      </c>
      <c r="B533" s="24" t="inlineStr">
        <is>
          <t>00245472</t>
        </is>
      </c>
      <c r="C533" s="24" t="inlineStr">
        <is>
          <t>티씨케이</t>
        </is>
      </c>
      <c r="D533" s="24" t="inlineStr">
        <is>
          <t>tck</t>
        </is>
      </c>
      <c r="E533" s="24" t="inlineStr">
        <is>
          <t>064760</t>
        </is>
      </c>
      <c r="F533" s="24" t="inlineStr">
        <is>
          <t>2025</t>
        </is>
      </c>
      <c r="G533" s="24" t="inlineStr">
        <is>
          <t>OFS</t>
        </is>
      </c>
      <c r="H533" s="24" t="inlineStr">
        <is>
          <t>SCE</t>
        </is>
      </c>
      <c r="I533" s="24" t="inlineStr">
        <is>
          <t>자본변동표</t>
        </is>
      </c>
      <c r="J533" s="24" t="inlineStr">
        <is>
          <t>ifrs-full_PurchaseOfTreasuryShares</t>
        </is>
      </c>
      <c r="K533" s="24" t="inlineStr">
        <is>
          <t>자기주식의 취득</t>
        </is>
      </c>
      <c r="L533" s="24" t="inlineStr">
        <is>
          <t>자본 [구성요소]|기타자본구성요소 [구성요소]</t>
        </is>
      </c>
      <c r="M533" s="24" t="inlineStr">
        <is>
          <t>제 31 기</t>
        </is>
      </c>
      <c r="N533" s="24" t="inlineStr">
        <is>
          <t>49999988600.0</t>
        </is>
      </c>
      <c r="O533" s="24" t="inlineStr">
        <is>
          <t>0.0</t>
        </is>
      </c>
      <c r="P533" s="24" t="inlineStr">
        <is>
          <t>KRW</t>
        </is>
      </c>
      <c r="Q533" s="24" t="inlineStr">
        <is>
          <t>8</t>
        </is>
      </c>
    </row>
    <row r="534" ht="24" customHeight="1">
      <c r="A534" s="29" t="inlineStr">
        <is>
          <t>OpenDART_fnlttSinglAcntAll</t>
        </is>
      </c>
      <c r="B534" s="29" t="inlineStr">
        <is>
          <t>00245472</t>
        </is>
      </c>
      <c r="C534" s="29" t="inlineStr">
        <is>
          <t>티씨케이</t>
        </is>
      </c>
      <c r="D534" s="29" t="inlineStr">
        <is>
          <t>tck</t>
        </is>
      </c>
      <c r="E534" s="29" t="inlineStr">
        <is>
          <t>064760</t>
        </is>
      </c>
      <c r="F534" s="29" t="inlineStr">
        <is>
          <t>2025</t>
        </is>
      </c>
      <c r="G534" s="29" t="inlineStr">
        <is>
          <t>OFS</t>
        </is>
      </c>
      <c r="H534" s="29" t="inlineStr">
        <is>
          <t>SCE</t>
        </is>
      </c>
      <c r="I534" s="29" t="inlineStr">
        <is>
          <t>자본변동표</t>
        </is>
      </c>
      <c r="J534" s="29" t="inlineStr">
        <is>
          <t>ifrs-full_PurchaseOfTreasuryShares</t>
        </is>
      </c>
      <c r="K534" s="29" t="inlineStr">
        <is>
          <t>자기주식의 취득</t>
        </is>
      </c>
      <c r="L534" s="29" t="inlineStr">
        <is>
          <t>별도재무제표 [member]</t>
        </is>
      </c>
      <c r="M534" s="29" t="inlineStr">
        <is>
          <t>제 31 기</t>
        </is>
      </c>
      <c r="N534" s="29" t="inlineStr">
        <is>
          <t>49999988600.0</t>
        </is>
      </c>
      <c r="O534" s="29" t="inlineStr">
        <is>
          <t>0.0</t>
        </is>
      </c>
      <c r="P534" s="29" t="inlineStr">
        <is>
          <t>KRW</t>
        </is>
      </c>
      <c r="Q534" s="29" t="inlineStr">
        <is>
          <t>8</t>
        </is>
      </c>
    </row>
    <row r="535" ht="24" customHeight="1">
      <c r="A535" s="24" t="inlineStr">
        <is>
          <t>OpenDART_fnlttSinglAcntAll</t>
        </is>
      </c>
      <c r="B535" s="24" t="inlineStr">
        <is>
          <t>00245472</t>
        </is>
      </c>
      <c r="C535" s="24" t="inlineStr">
        <is>
          <t>티씨케이</t>
        </is>
      </c>
      <c r="D535" s="24" t="inlineStr">
        <is>
          <t>tck</t>
        </is>
      </c>
      <c r="E535" s="24" t="inlineStr">
        <is>
          <t>064760</t>
        </is>
      </c>
      <c r="F535" s="24" t="inlineStr">
        <is>
          <t>2025</t>
        </is>
      </c>
      <c r="G535" s="24" t="inlineStr">
        <is>
          <t>OFS</t>
        </is>
      </c>
      <c r="H535" s="24" t="inlineStr">
        <is>
          <t>SCE</t>
        </is>
      </c>
      <c r="I535" s="24" t="inlineStr">
        <is>
          <t>자본변동표</t>
        </is>
      </c>
      <c r="J535" s="24" t="inlineStr">
        <is>
          <t>ifrs-full_PurchaseOfTreasuryShares</t>
        </is>
      </c>
      <c r="K535" s="24" t="inlineStr">
        <is>
          <t>자기주식의 취득</t>
        </is>
      </c>
      <c r="L535" s="24" t="inlineStr">
        <is>
          <t>자본 [구성요소]|기타포괄손익누계액 [구성요소]</t>
        </is>
      </c>
      <c r="M535" s="24" t="inlineStr">
        <is>
          <t>제 31 기</t>
        </is>
      </c>
      <c r="N535" s="24" t="inlineStr">
        <is>
          <t>0.0</t>
        </is>
      </c>
      <c r="O535" s="24" t="inlineStr">
        <is>
          <t>0.0</t>
        </is>
      </c>
      <c r="P535" s="24" t="inlineStr">
        <is>
          <t>KRW</t>
        </is>
      </c>
      <c r="Q535" s="24" t="inlineStr">
        <is>
          <t>8</t>
        </is>
      </c>
    </row>
    <row r="536" ht="24" customHeight="1">
      <c r="A536" s="29" t="inlineStr">
        <is>
          <t>OpenDART_fnlttSinglAcntAll</t>
        </is>
      </c>
      <c r="B536" s="29" t="inlineStr">
        <is>
          <t>00245472</t>
        </is>
      </c>
      <c r="C536" s="29" t="inlineStr">
        <is>
          <t>티씨케이</t>
        </is>
      </c>
      <c r="D536" s="29" t="inlineStr">
        <is>
          <t>tck</t>
        </is>
      </c>
      <c r="E536" s="29" t="inlineStr">
        <is>
          <t>064760</t>
        </is>
      </c>
      <c r="F536" s="29" t="inlineStr">
        <is>
          <t>2025</t>
        </is>
      </c>
      <c r="G536" s="29" t="inlineStr">
        <is>
          <t>OFS</t>
        </is>
      </c>
      <c r="H536" s="29" t="inlineStr">
        <is>
          <t>SCE</t>
        </is>
      </c>
      <c r="I536" s="29" t="inlineStr">
        <is>
          <t>자본변동표</t>
        </is>
      </c>
      <c r="J536" s="29" t="inlineStr">
        <is>
          <t>ifrs-full_PurchaseOfTreasuryShares</t>
        </is>
      </c>
      <c r="K536" s="29" t="inlineStr">
        <is>
          <t>자기주식의 취득</t>
        </is>
      </c>
      <c r="L536" s="29" t="inlineStr">
        <is>
          <t>자본 [구성요소]|이익잉여금 [구성요소]</t>
        </is>
      </c>
      <c r="M536" s="29" t="inlineStr">
        <is>
          <t>제 31 기</t>
        </is>
      </c>
      <c r="N536" s="29" t="inlineStr">
        <is>
          <t>0.0</t>
        </is>
      </c>
      <c r="O536" s="29" t="inlineStr">
        <is>
          <t>0.0</t>
        </is>
      </c>
      <c r="P536" s="29" t="inlineStr">
        <is>
          <t>KRW</t>
        </is>
      </c>
      <c r="Q536" s="29" t="inlineStr">
        <is>
          <t>8</t>
        </is>
      </c>
    </row>
    <row r="537" ht="24" customHeight="1">
      <c r="A537" s="24" t="inlineStr">
        <is>
          <t>OpenDART_fnlttSinglAcntAll</t>
        </is>
      </c>
      <c r="B537" s="24" t="inlineStr">
        <is>
          <t>00245472</t>
        </is>
      </c>
      <c r="C537" s="24" t="inlineStr">
        <is>
          <t>티씨케이</t>
        </is>
      </c>
      <c r="D537" s="24" t="inlineStr">
        <is>
          <t>tck</t>
        </is>
      </c>
      <c r="E537" s="24" t="inlineStr">
        <is>
          <t>064760</t>
        </is>
      </c>
      <c r="F537" s="24" t="inlineStr">
        <is>
          <t>2025</t>
        </is>
      </c>
      <c r="G537" s="24" t="inlineStr">
        <is>
          <t>OFS</t>
        </is>
      </c>
      <c r="H537" s="24" t="inlineStr">
        <is>
          <t>SCE</t>
        </is>
      </c>
      <c r="I537" s="24" t="inlineStr">
        <is>
          <t>자본변동표</t>
        </is>
      </c>
      <c r="J537" s="24" t="inlineStr">
        <is>
          <t>ifrs-full_PurchaseOfTreasuryShares</t>
        </is>
      </c>
      <c r="K537" s="24" t="inlineStr">
        <is>
          <t>자기주식의 취득</t>
        </is>
      </c>
      <c r="L537" s="24" t="inlineStr">
        <is>
          <t>자본 [구성요소]|자본금 [구성요소]</t>
        </is>
      </c>
      <c r="M537" s="24" t="inlineStr">
        <is>
          <t>제 31 기</t>
        </is>
      </c>
      <c r="N537" s="24" t="inlineStr">
        <is>
          <t>0.0</t>
        </is>
      </c>
      <c r="O537" s="24" t="inlineStr">
        <is>
          <t>0.0</t>
        </is>
      </c>
      <c r="P537" s="24" t="inlineStr">
        <is>
          <t>KRW</t>
        </is>
      </c>
      <c r="Q537" s="24" t="inlineStr">
        <is>
          <t>8</t>
        </is>
      </c>
    </row>
    <row r="538" ht="24" customHeight="1">
      <c r="A538" s="29" t="inlineStr">
        <is>
          <t>OpenDART_fnlttSinglAcntAll</t>
        </is>
      </c>
      <c r="B538" s="29" t="inlineStr">
        <is>
          <t>00245472</t>
        </is>
      </c>
      <c r="C538" s="29" t="inlineStr">
        <is>
          <t>티씨케이</t>
        </is>
      </c>
      <c r="D538" s="29" t="inlineStr">
        <is>
          <t>tck</t>
        </is>
      </c>
      <c r="E538" s="29" t="inlineStr">
        <is>
          <t>064760</t>
        </is>
      </c>
      <c r="F538" s="29" t="inlineStr">
        <is>
          <t>2025</t>
        </is>
      </c>
      <c r="G538" s="29" t="inlineStr">
        <is>
          <t>OFS</t>
        </is>
      </c>
      <c r="H538" s="29" t="inlineStr">
        <is>
          <t>SCE</t>
        </is>
      </c>
      <c r="I538" s="29" t="inlineStr">
        <is>
          <t>자본변동표</t>
        </is>
      </c>
      <c r="J538" s="29" t="inlineStr">
        <is>
          <t>ifrs-full_PurchaseOfTreasuryShares</t>
        </is>
      </c>
      <c r="K538" s="29" t="inlineStr">
        <is>
          <t>자기주식의 취득</t>
        </is>
      </c>
      <c r="L538" s="29" t="inlineStr">
        <is>
          <t>자본 [구성요소]|자본잉여금 [구성요소]</t>
        </is>
      </c>
      <c r="M538" s="29" t="inlineStr">
        <is>
          <t>제 31 기</t>
        </is>
      </c>
      <c r="N538" s="29" t="inlineStr">
        <is>
          <t>0.0</t>
        </is>
      </c>
      <c r="O538" s="29" t="inlineStr">
        <is>
          <t>0.0</t>
        </is>
      </c>
      <c r="P538" s="29" t="inlineStr">
        <is>
          <t>KRW</t>
        </is>
      </c>
      <c r="Q538" s="29" t="inlineStr">
        <is>
          <t>8</t>
        </is>
      </c>
    </row>
    <row r="539" ht="24" customHeight="1">
      <c r="A539" s="24" t="inlineStr">
        <is>
          <t>OpenDART_fnlttSinglAcntAll</t>
        </is>
      </c>
      <c r="B539" s="24" t="inlineStr">
        <is>
          <t>00245472</t>
        </is>
      </c>
      <c r="C539" s="24" t="inlineStr">
        <is>
          <t>티씨케이</t>
        </is>
      </c>
      <c r="D539" s="24" t="inlineStr">
        <is>
          <t>tck</t>
        </is>
      </c>
      <c r="E539" s="24" t="inlineStr">
        <is>
          <t>064760</t>
        </is>
      </c>
      <c r="F539" s="24" t="inlineStr">
        <is>
          <t>2025</t>
        </is>
      </c>
      <c r="G539" s="24" t="inlineStr">
        <is>
          <t>OFS</t>
        </is>
      </c>
      <c r="H539" s="24" t="inlineStr">
        <is>
          <t>SCE</t>
        </is>
      </c>
      <c r="I539" s="24" t="inlineStr">
        <is>
          <t>자본변동표</t>
        </is>
      </c>
      <c r="J539" s="24" t="inlineStr">
        <is>
          <t>ifrs-full_OtherComprehensiveIncome</t>
        </is>
      </c>
      <c r="K539" s="24" t="inlineStr">
        <is>
          <t>기타포괄손익</t>
        </is>
      </c>
      <c r="L539" s="24" t="inlineStr">
        <is>
          <t>자본 [구성요소]|기타자본구성요소 [구성요소]</t>
        </is>
      </c>
      <c r="M539" s="24" t="inlineStr">
        <is>
          <t>제 31 기</t>
        </is>
      </c>
      <c r="N539" s="24" t="inlineStr">
        <is>
          <t>0.0</t>
        </is>
      </c>
      <c r="O539" s="24" t="inlineStr">
        <is>
          <t>0.0</t>
        </is>
      </c>
      <c r="P539" s="24" t="inlineStr">
        <is>
          <t>KRW</t>
        </is>
      </c>
      <c r="Q539" s="24" t="inlineStr">
        <is>
          <t>9</t>
        </is>
      </c>
    </row>
    <row r="540" ht="24" customHeight="1">
      <c r="A540" s="29" t="inlineStr">
        <is>
          <t>OpenDART_fnlttSinglAcntAll</t>
        </is>
      </c>
      <c r="B540" s="29" t="inlineStr">
        <is>
          <t>00245472</t>
        </is>
      </c>
      <c r="C540" s="29" t="inlineStr">
        <is>
          <t>티씨케이</t>
        </is>
      </c>
      <c r="D540" s="29" t="inlineStr">
        <is>
          <t>tck</t>
        </is>
      </c>
      <c r="E540" s="29" t="inlineStr">
        <is>
          <t>064760</t>
        </is>
      </c>
      <c r="F540" s="29" t="inlineStr">
        <is>
          <t>2025</t>
        </is>
      </c>
      <c r="G540" s="29" t="inlineStr">
        <is>
          <t>OFS</t>
        </is>
      </c>
      <c r="H540" s="29" t="inlineStr">
        <is>
          <t>SCE</t>
        </is>
      </c>
      <c r="I540" s="29" t="inlineStr">
        <is>
          <t>자본변동표</t>
        </is>
      </c>
      <c r="J540" s="29" t="inlineStr">
        <is>
          <t>ifrs-full_OtherComprehensiveIncome</t>
        </is>
      </c>
      <c r="K540" s="29" t="inlineStr">
        <is>
          <t>기타포괄손익</t>
        </is>
      </c>
      <c r="L540" s="29" t="inlineStr">
        <is>
          <t>자본 [구성요소]|기타포괄손익누계액 [구성요소]</t>
        </is>
      </c>
      <c r="M540" s="29" t="inlineStr">
        <is>
          <t>제 31 기</t>
        </is>
      </c>
      <c r="N540" s="29" t="inlineStr">
        <is>
          <t>-392939876.0</t>
        </is>
      </c>
      <c r="O540" s="29" t="inlineStr">
        <is>
          <t>0.0</t>
        </is>
      </c>
      <c r="P540" s="29" t="inlineStr">
        <is>
          <t>KRW</t>
        </is>
      </c>
      <c r="Q540" s="29" t="inlineStr">
        <is>
          <t>9</t>
        </is>
      </c>
    </row>
    <row r="541" ht="24" customHeight="1">
      <c r="A541" s="24" t="inlineStr">
        <is>
          <t>OpenDART_fnlttSinglAcntAll</t>
        </is>
      </c>
      <c r="B541" s="24" t="inlineStr">
        <is>
          <t>00245472</t>
        </is>
      </c>
      <c r="C541" s="24" t="inlineStr">
        <is>
          <t>티씨케이</t>
        </is>
      </c>
      <c r="D541" s="24" t="inlineStr">
        <is>
          <t>tck</t>
        </is>
      </c>
      <c r="E541" s="24" t="inlineStr">
        <is>
          <t>064760</t>
        </is>
      </c>
      <c r="F541" s="24" t="inlineStr">
        <is>
          <t>2025</t>
        </is>
      </c>
      <c r="G541" s="24" t="inlineStr">
        <is>
          <t>OFS</t>
        </is>
      </c>
      <c r="H541" s="24" t="inlineStr">
        <is>
          <t>SCE</t>
        </is>
      </c>
      <c r="I541" s="24" t="inlineStr">
        <is>
          <t>자본변동표</t>
        </is>
      </c>
      <c r="J541" s="24" t="inlineStr">
        <is>
          <t>ifrs-full_OtherComprehensiveIncome</t>
        </is>
      </c>
      <c r="K541" s="24" t="inlineStr">
        <is>
          <t>기타포괄손익</t>
        </is>
      </c>
      <c r="L541" s="24" t="inlineStr">
        <is>
          <t>자본 [구성요소]|이익잉여금 [구성요소]</t>
        </is>
      </c>
      <c r="M541" s="24" t="inlineStr">
        <is>
          <t>제 31 기</t>
        </is>
      </c>
      <c r="N541" s="24" t="inlineStr">
        <is>
          <t>0.0</t>
        </is>
      </c>
      <c r="O541" s="24" t="inlineStr">
        <is>
          <t>0.0</t>
        </is>
      </c>
      <c r="P541" s="24" t="inlineStr">
        <is>
          <t>KRW</t>
        </is>
      </c>
      <c r="Q541" s="24" t="inlineStr">
        <is>
          <t>9</t>
        </is>
      </c>
    </row>
    <row r="542" ht="24" customHeight="1">
      <c r="A542" s="29" t="inlineStr">
        <is>
          <t>OpenDART_fnlttSinglAcntAll</t>
        </is>
      </c>
      <c r="B542" s="29" t="inlineStr">
        <is>
          <t>00245472</t>
        </is>
      </c>
      <c r="C542" s="29" t="inlineStr">
        <is>
          <t>티씨케이</t>
        </is>
      </c>
      <c r="D542" s="29" t="inlineStr">
        <is>
          <t>tck</t>
        </is>
      </c>
      <c r="E542" s="29" t="inlineStr">
        <is>
          <t>064760</t>
        </is>
      </c>
      <c r="F542" s="29" t="inlineStr">
        <is>
          <t>2025</t>
        </is>
      </c>
      <c r="G542" s="29" t="inlineStr">
        <is>
          <t>OFS</t>
        </is>
      </c>
      <c r="H542" s="29" t="inlineStr">
        <is>
          <t>SCE</t>
        </is>
      </c>
      <c r="I542" s="29" t="inlineStr">
        <is>
          <t>자본변동표</t>
        </is>
      </c>
      <c r="J542" s="29" t="inlineStr">
        <is>
          <t>ifrs-full_OtherComprehensiveIncome</t>
        </is>
      </c>
      <c r="K542" s="29" t="inlineStr">
        <is>
          <t>기타포괄손익</t>
        </is>
      </c>
      <c r="L542" s="29" t="inlineStr">
        <is>
          <t>자본 [구성요소]|자본금 [구성요소]</t>
        </is>
      </c>
      <c r="M542" s="29" t="inlineStr">
        <is>
          <t>제 31 기</t>
        </is>
      </c>
      <c r="N542" s="29" t="inlineStr">
        <is>
          <t>0.0</t>
        </is>
      </c>
      <c r="O542" s="29" t="inlineStr">
        <is>
          <t>0.0</t>
        </is>
      </c>
      <c r="P542" s="29" t="inlineStr">
        <is>
          <t>KRW</t>
        </is>
      </c>
      <c r="Q542" s="29" t="inlineStr">
        <is>
          <t>9</t>
        </is>
      </c>
    </row>
    <row r="543" ht="24" customHeight="1">
      <c r="A543" s="24" t="inlineStr">
        <is>
          <t>OpenDART_fnlttSinglAcntAll</t>
        </is>
      </c>
      <c r="B543" s="24" t="inlineStr">
        <is>
          <t>00245472</t>
        </is>
      </c>
      <c r="C543" s="24" t="inlineStr">
        <is>
          <t>티씨케이</t>
        </is>
      </c>
      <c r="D543" s="24" t="inlineStr">
        <is>
          <t>tck</t>
        </is>
      </c>
      <c r="E543" s="24" t="inlineStr">
        <is>
          <t>064760</t>
        </is>
      </c>
      <c r="F543" s="24" t="inlineStr">
        <is>
          <t>2025</t>
        </is>
      </c>
      <c r="G543" s="24" t="inlineStr">
        <is>
          <t>OFS</t>
        </is>
      </c>
      <c r="H543" s="24" t="inlineStr">
        <is>
          <t>SCE</t>
        </is>
      </c>
      <c r="I543" s="24" t="inlineStr">
        <is>
          <t>자본변동표</t>
        </is>
      </c>
      <c r="J543" s="24" t="inlineStr">
        <is>
          <t>ifrs-full_OtherComprehensiveIncome</t>
        </is>
      </c>
      <c r="K543" s="24" t="inlineStr">
        <is>
          <t>기타포괄손익</t>
        </is>
      </c>
      <c r="L543" s="24" t="inlineStr">
        <is>
          <t>자본 [구성요소]|자본잉여금 [구성요소]</t>
        </is>
      </c>
      <c r="M543" s="24" t="inlineStr">
        <is>
          <t>제 31 기</t>
        </is>
      </c>
      <c r="N543" s="24" t="inlineStr">
        <is>
          <t>0.0</t>
        </is>
      </c>
      <c r="O543" s="24" t="inlineStr">
        <is>
          <t>0.0</t>
        </is>
      </c>
      <c r="P543" s="24" t="inlineStr">
        <is>
          <t>KRW</t>
        </is>
      </c>
      <c r="Q543" s="24" t="inlineStr">
        <is>
          <t>9</t>
        </is>
      </c>
    </row>
    <row r="544" ht="24" customHeight="1">
      <c r="A544" s="29" t="inlineStr">
        <is>
          <t>OpenDART_fnlttSinglAcntAll</t>
        </is>
      </c>
      <c r="B544" s="29" t="inlineStr">
        <is>
          <t>00245472</t>
        </is>
      </c>
      <c r="C544" s="29" t="inlineStr">
        <is>
          <t>티씨케이</t>
        </is>
      </c>
      <c r="D544" s="29" t="inlineStr">
        <is>
          <t>tck</t>
        </is>
      </c>
      <c r="E544" s="29" t="inlineStr">
        <is>
          <t>064760</t>
        </is>
      </c>
      <c r="F544" s="29" t="inlineStr">
        <is>
          <t>2025</t>
        </is>
      </c>
      <c r="G544" s="29" t="inlineStr">
        <is>
          <t>OFS</t>
        </is>
      </c>
      <c r="H544" s="29" t="inlineStr">
        <is>
          <t>SCE</t>
        </is>
      </c>
      <c r="I544" s="29" t="inlineStr">
        <is>
          <t>자본변동표</t>
        </is>
      </c>
      <c r="J544" s="29" t="inlineStr">
        <is>
          <t>ifrs-full_OtherComprehensiveIncome</t>
        </is>
      </c>
      <c r="K544" s="29" t="inlineStr">
        <is>
          <t>기타포괄손익</t>
        </is>
      </c>
      <c r="L544" s="29" t="inlineStr">
        <is>
          <t>별도재무제표 [member]</t>
        </is>
      </c>
      <c r="M544" s="29" t="inlineStr">
        <is>
          <t>제 31 기</t>
        </is>
      </c>
      <c r="N544" s="29" t="inlineStr">
        <is>
          <t>-392939876.0</t>
        </is>
      </c>
      <c r="O544" s="29" t="inlineStr">
        <is>
          <t>0.0</t>
        </is>
      </c>
      <c r="P544" s="29" t="inlineStr">
        <is>
          <t>KRW</t>
        </is>
      </c>
      <c r="Q544" s="29" t="inlineStr">
        <is>
          <t>9</t>
        </is>
      </c>
    </row>
    <row r="545" ht="24" customHeight="1">
      <c r="A545" s="24" t="inlineStr">
        <is>
          <t>OpenDART_fnlttSinglAcntAll</t>
        </is>
      </c>
      <c r="B545" s="24" t="inlineStr">
        <is>
          <t>00245472</t>
        </is>
      </c>
      <c r="C545" s="24" t="inlineStr">
        <is>
          <t>티씨케이</t>
        </is>
      </c>
      <c r="D545" s="24" t="inlineStr">
        <is>
          <t>tck</t>
        </is>
      </c>
      <c r="E545" s="24" t="inlineStr">
        <is>
          <t>064760</t>
        </is>
      </c>
      <c r="F545" s="24" t="inlineStr">
        <is>
          <t>2025</t>
        </is>
      </c>
      <c r="G545" s="24" t="inlineStr">
        <is>
          <t>OFS</t>
        </is>
      </c>
      <c r="H545" s="24" t="inlineStr">
        <is>
          <t>SCE</t>
        </is>
      </c>
      <c r="I545" s="24" t="inlineStr">
        <is>
          <t>자본변동표</t>
        </is>
      </c>
      <c r="J545" s="24" t="inlineStr">
        <is>
          <t>ifrs-full_ProfitLoss</t>
        </is>
      </c>
      <c r="K545" s="24" t="inlineStr">
        <is>
          <t>당기순이익</t>
        </is>
      </c>
      <c r="L545" s="24" t="inlineStr">
        <is>
          <t>자본 [구성요소]|자본금 [구성요소]</t>
        </is>
      </c>
      <c r="M545" s="24" t="inlineStr">
        <is>
          <t>제 31 기</t>
        </is>
      </c>
      <c r="N545" s="24" t="inlineStr">
        <is>
          <t>0.0</t>
        </is>
      </c>
      <c r="O545" s="24" t="inlineStr">
        <is>
          <t>0.0</t>
        </is>
      </c>
      <c r="P545" s="24" t="inlineStr">
        <is>
          <t>KRW</t>
        </is>
      </c>
      <c r="Q545" s="24" t="inlineStr">
        <is>
          <t>10</t>
        </is>
      </c>
    </row>
    <row r="546" ht="24" customHeight="1">
      <c r="A546" s="29" t="inlineStr">
        <is>
          <t>OpenDART_fnlttSinglAcntAll</t>
        </is>
      </c>
      <c r="B546" s="29" t="inlineStr">
        <is>
          <t>00245472</t>
        </is>
      </c>
      <c r="C546" s="29" t="inlineStr">
        <is>
          <t>티씨케이</t>
        </is>
      </c>
      <c r="D546" s="29" t="inlineStr">
        <is>
          <t>tck</t>
        </is>
      </c>
      <c r="E546" s="29" t="inlineStr">
        <is>
          <t>064760</t>
        </is>
      </c>
      <c r="F546" s="29" t="inlineStr">
        <is>
          <t>2025</t>
        </is>
      </c>
      <c r="G546" s="29" t="inlineStr">
        <is>
          <t>OFS</t>
        </is>
      </c>
      <c r="H546" s="29" t="inlineStr">
        <is>
          <t>SCE</t>
        </is>
      </c>
      <c r="I546" s="29" t="inlineStr">
        <is>
          <t>자본변동표</t>
        </is>
      </c>
      <c r="J546" s="29" t="inlineStr">
        <is>
          <t>ifrs-full_ProfitLoss</t>
        </is>
      </c>
      <c r="K546" s="29" t="inlineStr">
        <is>
          <t>당기순이익</t>
        </is>
      </c>
      <c r="L546" s="29" t="inlineStr">
        <is>
          <t>자본 [구성요소]|이익잉여금 [구성요소]</t>
        </is>
      </c>
      <c r="M546" s="29" t="inlineStr">
        <is>
          <t>제 31 기</t>
        </is>
      </c>
      <c r="N546" s="29" t="inlineStr">
        <is>
          <t>69902724552.0</t>
        </is>
      </c>
      <c r="O546" s="29" t="inlineStr">
        <is>
          <t>71994036570.0</t>
        </is>
      </c>
      <c r="P546" s="29" t="inlineStr">
        <is>
          <t>KRW</t>
        </is>
      </c>
      <c r="Q546" s="29" t="inlineStr">
        <is>
          <t>10</t>
        </is>
      </c>
    </row>
    <row r="547" ht="24" customHeight="1">
      <c r="A547" s="24" t="inlineStr">
        <is>
          <t>OpenDART_fnlttSinglAcntAll</t>
        </is>
      </c>
      <c r="B547" s="24" t="inlineStr">
        <is>
          <t>00245472</t>
        </is>
      </c>
      <c r="C547" s="24" t="inlineStr">
        <is>
          <t>티씨케이</t>
        </is>
      </c>
      <c r="D547" s="24" t="inlineStr">
        <is>
          <t>tck</t>
        </is>
      </c>
      <c r="E547" s="24" t="inlineStr">
        <is>
          <t>064760</t>
        </is>
      </c>
      <c r="F547" s="24" t="inlineStr">
        <is>
          <t>2025</t>
        </is>
      </c>
      <c r="G547" s="24" t="inlineStr">
        <is>
          <t>OFS</t>
        </is>
      </c>
      <c r="H547" s="24" t="inlineStr">
        <is>
          <t>SCE</t>
        </is>
      </c>
      <c r="I547" s="24" t="inlineStr">
        <is>
          <t>자본변동표</t>
        </is>
      </c>
      <c r="J547" s="24" t="inlineStr">
        <is>
          <t>ifrs-full_ProfitLoss</t>
        </is>
      </c>
      <c r="K547" s="24" t="inlineStr">
        <is>
          <t>당기순이익</t>
        </is>
      </c>
      <c r="L547" s="24" t="inlineStr">
        <is>
          <t>자본 [구성요소]|기타포괄손익누계액 [구성요소]</t>
        </is>
      </c>
      <c r="M547" s="24" t="inlineStr">
        <is>
          <t>제 31 기</t>
        </is>
      </c>
      <c r="N547" s="24" t="inlineStr">
        <is>
          <t>0.0</t>
        </is>
      </c>
      <c r="O547" s="24" t="inlineStr">
        <is>
          <t>0.0</t>
        </is>
      </c>
      <c r="P547" s="24" t="inlineStr">
        <is>
          <t>KRW</t>
        </is>
      </c>
      <c r="Q547" s="24" t="inlineStr">
        <is>
          <t>10</t>
        </is>
      </c>
    </row>
    <row r="548" ht="24" customHeight="1">
      <c r="A548" s="29" t="inlineStr">
        <is>
          <t>OpenDART_fnlttSinglAcntAll</t>
        </is>
      </c>
      <c r="B548" s="29" t="inlineStr">
        <is>
          <t>00245472</t>
        </is>
      </c>
      <c r="C548" s="29" t="inlineStr">
        <is>
          <t>티씨케이</t>
        </is>
      </c>
      <c r="D548" s="29" t="inlineStr">
        <is>
          <t>tck</t>
        </is>
      </c>
      <c r="E548" s="29" t="inlineStr">
        <is>
          <t>064760</t>
        </is>
      </c>
      <c r="F548" s="29" t="inlineStr">
        <is>
          <t>2025</t>
        </is>
      </c>
      <c r="G548" s="29" t="inlineStr">
        <is>
          <t>OFS</t>
        </is>
      </c>
      <c r="H548" s="29" t="inlineStr">
        <is>
          <t>SCE</t>
        </is>
      </c>
      <c r="I548" s="29" t="inlineStr">
        <is>
          <t>자본변동표</t>
        </is>
      </c>
      <c r="J548" s="29" t="inlineStr">
        <is>
          <t>ifrs-full_ProfitLoss</t>
        </is>
      </c>
      <c r="K548" s="29" t="inlineStr">
        <is>
          <t>당기순이익</t>
        </is>
      </c>
      <c r="L548" s="29" t="inlineStr">
        <is>
          <t>자본 [구성요소]|기타자본구성요소 [구성요소]</t>
        </is>
      </c>
      <c r="M548" s="29" t="inlineStr">
        <is>
          <t>제 31 기</t>
        </is>
      </c>
      <c r="N548" s="29" t="inlineStr">
        <is>
          <t>0.0</t>
        </is>
      </c>
      <c r="O548" s="29" t="inlineStr">
        <is>
          <t>0.0</t>
        </is>
      </c>
      <c r="P548" s="29" t="inlineStr">
        <is>
          <t>KRW</t>
        </is>
      </c>
      <c r="Q548" s="29" t="inlineStr">
        <is>
          <t>10</t>
        </is>
      </c>
    </row>
    <row r="549" ht="24" customHeight="1">
      <c r="A549" s="24" t="inlineStr">
        <is>
          <t>OpenDART_fnlttSinglAcntAll</t>
        </is>
      </c>
      <c r="B549" s="24" t="inlineStr">
        <is>
          <t>00245472</t>
        </is>
      </c>
      <c r="C549" s="24" t="inlineStr">
        <is>
          <t>티씨케이</t>
        </is>
      </c>
      <c r="D549" s="24" t="inlineStr">
        <is>
          <t>tck</t>
        </is>
      </c>
      <c r="E549" s="24" t="inlineStr">
        <is>
          <t>064760</t>
        </is>
      </c>
      <c r="F549" s="24" t="inlineStr">
        <is>
          <t>2025</t>
        </is>
      </c>
      <c r="G549" s="24" t="inlineStr">
        <is>
          <t>OFS</t>
        </is>
      </c>
      <c r="H549" s="24" t="inlineStr">
        <is>
          <t>SCE</t>
        </is>
      </c>
      <c r="I549" s="24" t="inlineStr">
        <is>
          <t>자본변동표</t>
        </is>
      </c>
      <c r="J549" s="24" t="inlineStr">
        <is>
          <t>ifrs-full_ProfitLoss</t>
        </is>
      </c>
      <c r="K549" s="24" t="inlineStr">
        <is>
          <t>당기순이익</t>
        </is>
      </c>
      <c r="L549" s="24" t="inlineStr">
        <is>
          <t>별도재무제표 [member]</t>
        </is>
      </c>
      <c r="M549" s="24" t="inlineStr">
        <is>
          <t>제 31 기</t>
        </is>
      </c>
      <c r="N549" s="24" t="inlineStr">
        <is>
          <t>69902724552.0</t>
        </is>
      </c>
      <c r="O549" s="24" t="inlineStr">
        <is>
          <t>71994036570.0</t>
        </is>
      </c>
      <c r="P549" s="24" t="inlineStr">
        <is>
          <t>KRW</t>
        </is>
      </c>
      <c r="Q549" s="24" t="inlineStr">
        <is>
          <t>10</t>
        </is>
      </c>
    </row>
    <row r="550" ht="24" customHeight="1">
      <c r="A550" s="29" t="inlineStr">
        <is>
          <t>OpenDART_fnlttSinglAcntAll</t>
        </is>
      </c>
      <c r="B550" s="29" t="inlineStr">
        <is>
          <t>00245472</t>
        </is>
      </c>
      <c r="C550" s="29" t="inlineStr">
        <is>
          <t>티씨케이</t>
        </is>
      </c>
      <c r="D550" s="29" t="inlineStr">
        <is>
          <t>tck</t>
        </is>
      </c>
      <c r="E550" s="29" t="inlineStr">
        <is>
          <t>064760</t>
        </is>
      </c>
      <c r="F550" s="29" t="inlineStr">
        <is>
          <t>2025</t>
        </is>
      </c>
      <c r="G550" s="29" t="inlineStr">
        <is>
          <t>OFS</t>
        </is>
      </c>
      <c r="H550" s="29" t="inlineStr">
        <is>
          <t>SCE</t>
        </is>
      </c>
      <c r="I550" s="29" t="inlineStr">
        <is>
          <t>자본변동표</t>
        </is>
      </c>
      <c r="J550" s="29" t="inlineStr">
        <is>
          <t>ifrs-full_ProfitLoss</t>
        </is>
      </c>
      <c r="K550" s="29" t="inlineStr">
        <is>
          <t>당기순이익</t>
        </is>
      </c>
      <c r="L550" s="29" t="inlineStr">
        <is>
          <t>자본 [구성요소]|자본잉여금 [구성요소]</t>
        </is>
      </c>
      <c r="M550" s="29" t="inlineStr">
        <is>
          <t>제 31 기</t>
        </is>
      </c>
      <c r="N550" s="29" t="inlineStr">
        <is>
          <t>0.0</t>
        </is>
      </c>
      <c r="O550" s="29" t="inlineStr">
        <is>
          <t>0.0</t>
        </is>
      </c>
      <c r="P550" s="29" t="inlineStr">
        <is>
          <t>KRW</t>
        </is>
      </c>
      <c r="Q550" s="29" t="inlineStr">
        <is>
          <t>10</t>
        </is>
      </c>
    </row>
  </sheetData>
  <autoFilter ref="A2:Q550"/>
  <mergeCells count="1">
    <mergeCell ref="A1:F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E7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3" customWidth="1" min="31" max="31"/>
  </cols>
  <sheetData>
    <row r="1" ht="30" customHeight="1">
      <c r="A1" s="16" t="inlineStr">
        <is>
          <t>주가 데이터·기술적 지표</t>
        </is>
      </c>
    </row>
    <row r="2" ht="28" customHeight="1">
      <c r="A2" s="17" t="inlineStr">
        <is>
          <t>Valuation Agent 전용 주가 intake: 종가·이동평균·수익률·MDD·롤링 변동성</t>
        </is>
      </c>
    </row>
    <row r="3" ht="24" customHeight="1"/>
    <row r="4" ht="24" customHeight="1">
      <c r="A4" s="22" t="inlineStr">
        <is>
          <t>주가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데이터 행 수</t>
        </is>
      </c>
      <c r="B6" s="30" t="n">
        <v>1220</v>
      </c>
      <c r="C6" s="24" t="inlineStr">
        <is>
          <t>valuation_price_history.csv 기준</t>
        </is>
      </c>
    </row>
    <row r="7" ht="24" customHeight="1">
      <c r="A7" s="29" t="inlineStr">
        <is>
          <t>수집 시작일</t>
        </is>
      </c>
      <c r="B7" s="29" t="inlineStr">
        <is>
          <t>2021-05-20</t>
        </is>
      </c>
      <c r="C7" s="29" t="inlineStr">
        <is>
          <t>가격 데이터 시작</t>
        </is>
      </c>
    </row>
    <row r="8" ht="24" customHeight="1">
      <c r="A8" s="24" t="inlineStr">
        <is>
          <t>수집 종료일</t>
        </is>
      </c>
      <c r="B8" s="24" t="inlineStr">
        <is>
          <t>2026-05-20</t>
        </is>
      </c>
      <c r="C8" s="24" t="inlineStr">
        <is>
          <t>가격 데이터 종료</t>
        </is>
      </c>
    </row>
    <row r="9" ht="24" customHeight="1">
      <c r="A9" s="29" t="inlineStr">
        <is>
          <t>현재가</t>
        </is>
      </c>
      <c r="B9" s="31" t="n">
        <v>274500</v>
      </c>
      <c r="C9" s="29" t="inlineStr">
        <is>
          <t>최근 종가</t>
        </is>
      </c>
    </row>
    <row r="10" ht="24" customHeight="1">
      <c r="A10" s="24" t="inlineStr">
        <is>
          <t>1년 수익률</t>
        </is>
      </c>
      <c r="B10" s="30" t="n">
        <v>1.877358490566038</v>
      </c>
      <c r="C10" s="24" t="inlineStr">
        <is>
          <t>최근 약 1년</t>
        </is>
      </c>
    </row>
    <row r="11" ht="24" customHeight="1">
      <c r="A11" s="29" t="inlineStr">
        <is>
          <t>연환산 변동성</t>
        </is>
      </c>
      <c r="B11" s="31" t="n">
        <v>0.5065281396657912</v>
      </c>
      <c r="C11" s="29" t="inlineStr">
        <is>
          <t>일수익률 × √252</t>
        </is>
      </c>
    </row>
    <row r="12" ht="24" customHeight="1">
      <c r="A12" s="24" t="inlineStr">
        <is>
          <t>MDD</t>
        </is>
      </c>
      <c r="B12" s="30" t="n">
        <v>-0.6708922476840565</v>
      </c>
      <c r="C12" s="24" t="inlineStr">
        <is>
          <t>기간 중 최대 낙폭</t>
        </is>
      </c>
    </row>
    <row r="13" ht="24" customHeight="1">
      <c r="A13" s="29" t="inlineStr">
        <is>
          <t>52주 고가</t>
        </is>
      </c>
      <c r="B13" s="31" t="n">
        <v>348500</v>
      </c>
      <c r="C13" s="29" t="inlineStr">
        <is>
          <t>최근 252거래일</t>
        </is>
      </c>
    </row>
    <row r="14" ht="24" customHeight="1">
      <c r="A14" s="24" t="inlineStr">
        <is>
          <t>52주 저가</t>
        </is>
      </c>
      <c r="B14" s="30" t="n">
        <v>85000</v>
      </c>
      <c r="C14" s="24" t="inlineStr">
        <is>
          <t>최근 252거래일</t>
        </is>
      </c>
    </row>
    <row r="15" ht="24" customHeight="1">
      <c r="A15" s="29" t="inlineStr">
        <is>
          <t>발행주식 수</t>
        </is>
      </c>
      <c r="B15" s="31" t="n">
        <v>11179416</v>
      </c>
      <c r="C15" s="29" t="inlineStr">
        <is>
          <t>DART stockTotqySttus</t>
        </is>
      </c>
    </row>
    <row r="16" ht="24" customHeight="1">
      <c r="A16" s="24" t="inlineStr">
        <is>
          <t>시가총액</t>
        </is>
      </c>
      <c r="B16" s="30" t="n">
        <v>3068749692000</v>
      </c>
      <c r="C16" s="24" t="inlineStr">
        <is>
          <t>현재가 × 발행주식 수</t>
        </is>
      </c>
    </row>
    <row r="17" ht="24" customHeight="1">
      <c r="A17" s="22" t="inlineStr">
        <is>
          <t>최근 주가 원천 데이터</t>
        </is>
      </c>
      <c r="B17" s="32" t="n"/>
      <c r="C17" s="32" t="n"/>
      <c r="D17" s="32" t="n"/>
      <c r="E17" s="32" t="n"/>
      <c r="F17" s="33" t="n"/>
    </row>
    <row r="18" ht="24" customHeight="1">
      <c r="A18" s="25" t="inlineStr">
        <is>
          <t>일자</t>
        </is>
      </c>
      <c r="B18" s="34" t="inlineStr">
        <is>
          <t>시가</t>
        </is>
      </c>
      <c r="C18" s="25" t="inlineStr">
        <is>
          <t>고가</t>
        </is>
      </c>
      <c r="D18" s="25" t="inlineStr">
        <is>
          <t>저가</t>
        </is>
      </c>
      <c r="E18" s="25" t="inlineStr">
        <is>
          <t>종가</t>
        </is>
      </c>
      <c r="F18" s="25" t="inlineStr">
        <is>
          <t>수정종가</t>
        </is>
      </c>
      <c r="G18" s="25" t="inlineStr">
        <is>
          <t>거래량</t>
        </is>
      </c>
      <c r="H18" s="25" t="inlineStr">
        <is>
          <t>일수익률</t>
        </is>
      </c>
      <c r="I18" s="25" t="inlineStr">
        <is>
          <t>드로다운</t>
        </is>
      </c>
      <c r="J18" s="25" t="inlineStr">
        <is>
          <t>20일선</t>
        </is>
      </c>
      <c r="K18" s="25" t="inlineStr">
        <is>
          <t>60일선</t>
        </is>
      </c>
      <c r="L18" s="25" t="inlineStr">
        <is>
          <t>120일선</t>
        </is>
      </c>
      <c r="M18" s="25" t="inlineStr">
        <is>
          <t>20일 변동성</t>
        </is>
      </c>
      <c r="N18" s="25" t="inlineStr">
        <is>
          <t>60일 변동성</t>
        </is>
      </c>
      <c r="O18" s="25" t="inlineStr">
        <is>
          <t>20일 수익률</t>
        </is>
      </c>
      <c r="P18" s="25" t="inlineStr">
        <is>
          <t>60일 수익률</t>
        </is>
      </c>
      <c r="Q18" s="25" t="inlineStr">
        <is>
          <t>120일 수익률</t>
        </is>
      </c>
      <c r="R18" s="25" t="inlineStr">
        <is>
          <t>20일선 괴리</t>
        </is>
      </c>
      <c r="S18" s="25" t="inlineStr">
        <is>
          <t>60일선 괴리</t>
        </is>
      </c>
      <c r="T18" s="25" t="inlineStr">
        <is>
          <t>120일선 괴리</t>
        </is>
      </c>
      <c r="U18" s="25" t="inlineStr">
        <is>
          <t>52주 고가</t>
        </is>
      </c>
      <c r="V18" s="25" t="inlineStr">
        <is>
          <t>52주 저가</t>
        </is>
      </c>
      <c r="W18" s="25" t="inlineStr">
        <is>
          <t>52주 고가 대비</t>
        </is>
      </c>
      <c r="X18" s="25" t="inlineStr">
        <is>
          <t>52주 저가 대비</t>
        </is>
      </c>
      <c r="Y18" s="25" t="inlineStr">
        <is>
          <t>발행주식 수</t>
        </is>
      </c>
      <c r="Z18" s="25" t="inlineStr">
        <is>
          <t>시가총액</t>
        </is>
      </c>
      <c r="AA18" s="25" t="inlineStr">
        <is>
          <t>거래대금</t>
        </is>
      </c>
      <c r="AB18" s="25" t="inlineStr">
        <is>
          <t>20일 평균 거래대금</t>
        </is>
      </c>
      <c r="AC18" s="25" t="inlineStr">
        <is>
          <t>거래회전율</t>
        </is>
      </c>
      <c r="AD18" s="25" t="inlineStr">
        <is>
          <t>출처</t>
        </is>
      </c>
      <c r="AE18" s="25" t="inlineStr">
        <is>
          <t>티커</t>
        </is>
      </c>
    </row>
    <row r="19" ht="24" customHeight="1">
      <c r="A19" s="24" t="inlineStr">
        <is>
          <t>2023-06-30</t>
        </is>
      </c>
      <c r="B19" s="30" t="n">
        <v>115000</v>
      </c>
      <c r="C19" s="30" t="n">
        <v>115700</v>
      </c>
      <c r="D19" s="30" t="n">
        <v>112400</v>
      </c>
      <c r="E19" s="30" t="n">
        <v>115100</v>
      </c>
      <c r="F19" s="30" t="n">
        <v>110310.7265625</v>
      </c>
      <c r="G19" s="30" t="n">
        <v>45568</v>
      </c>
      <c r="H19" s="35" t="n">
        <v>0.006118881118881037</v>
      </c>
      <c r="I19" s="35" t="n">
        <v>-0.4388103364212579</v>
      </c>
      <c r="J19" s="30" t="n">
        <v>107730</v>
      </c>
      <c r="K19" s="30" t="n">
        <v>101993.3333333333</v>
      </c>
      <c r="L19" s="30" t="n">
        <v>102998.3333333333</v>
      </c>
      <c r="M19" s="35" t="n">
        <v>0.3723258327245135</v>
      </c>
      <c r="N19" s="35" t="n">
        <v>0.3573874337355013</v>
      </c>
      <c r="O19" s="35" t="n">
        <v>0.09099526066350716</v>
      </c>
      <c r="P19" s="35" t="n">
        <v>0.1142303969022265</v>
      </c>
      <c r="Q19" s="35" t="n">
        <v>0.1768916155419222</v>
      </c>
      <c r="R19" s="35" t="n">
        <v>0.06841177016615618</v>
      </c>
      <c r="S19" s="35" t="n">
        <v>0.1285051310543173</v>
      </c>
      <c r="T19" s="35" t="n">
        <v>0.1174938105794592</v>
      </c>
      <c r="U19" s="30" t="n">
        <v>129800</v>
      </c>
      <c r="V19" s="30" t="n">
        <v>87000</v>
      </c>
      <c r="W19" s="35" t="n">
        <v>-0.113251155624037</v>
      </c>
      <c r="X19" s="35" t="n">
        <v>0.3229885057471265</v>
      </c>
      <c r="Y19" s="30" t="n">
        <v>11179416</v>
      </c>
      <c r="Z19" s="30" t="n">
        <v>1286750781600</v>
      </c>
      <c r="AA19" s="30" t="n">
        <v>5244876800</v>
      </c>
      <c r="AB19" s="30" t="n">
        <v>4770223125</v>
      </c>
      <c r="AC19" s="35" t="n">
        <v>0.00407606264942641</v>
      </c>
      <c r="AD19" s="24" t="inlineStr">
        <is>
          <t>yfinance_download</t>
        </is>
      </c>
      <c r="AE19" s="24" t="inlineStr">
        <is>
          <t>064760.KQ</t>
        </is>
      </c>
    </row>
    <row r="20" ht="24" customHeight="1">
      <c r="A20" s="29" t="inlineStr">
        <is>
          <t>2023-07-03</t>
        </is>
      </c>
      <c r="B20" s="31" t="n">
        <v>115200</v>
      </c>
      <c r="C20" s="31" t="n">
        <v>118800</v>
      </c>
      <c r="D20" s="31" t="n">
        <v>113200</v>
      </c>
      <c r="E20" s="31" t="n">
        <v>113600</v>
      </c>
      <c r="F20" s="31" t="n">
        <v>108873.140625</v>
      </c>
      <c r="G20" s="31" t="n">
        <v>53904</v>
      </c>
      <c r="H20" s="36" t="n">
        <v>-0.01303214596003477</v>
      </c>
      <c r="I20" s="36" t="n">
        <v>-0.4461238420282789</v>
      </c>
      <c r="J20" s="31" t="n">
        <v>108145</v>
      </c>
      <c r="K20" s="31" t="n">
        <v>102218.3333333333</v>
      </c>
      <c r="L20" s="31" t="n">
        <v>103135</v>
      </c>
      <c r="M20" s="36" t="n">
        <v>0.3769808207195662</v>
      </c>
      <c r="N20" s="36" t="n">
        <v>0.352158213903616</v>
      </c>
      <c r="O20" s="36" t="n">
        <v>0.07882241215574548</v>
      </c>
      <c r="P20" s="36" t="n">
        <v>0.1348651348651349</v>
      </c>
      <c r="Q20" s="36" t="n">
        <v>0.168724279835391</v>
      </c>
      <c r="R20" s="36" t="n">
        <v>0.05044153682555819</v>
      </c>
      <c r="S20" s="36" t="n">
        <v>0.1113466273173436</v>
      </c>
      <c r="T20" s="36" t="n">
        <v>0.1014689484656033</v>
      </c>
      <c r="U20" s="31" t="n">
        <v>129800</v>
      </c>
      <c r="V20" s="31" t="n">
        <v>87000</v>
      </c>
      <c r="W20" s="36" t="n">
        <v>-0.1248073959938367</v>
      </c>
      <c r="X20" s="36" t="n">
        <v>0.3057471264367817</v>
      </c>
      <c r="Y20" s="31" t="n">
        <v>11179416</v>
      </c>
      <c r="Z20" s="31" t="n">
        <v>1269981657600</v>
      </c>
      <c r="AA20" s="31" t="n">
        <v>6123494400</v>
      </c>
      <c r="AB20" s="31" t="n">
        <v>4822830180</v>
      </c>
      <c r="AC20" s="36" t="n">
        <v>0.004821718773145216</v>
      </c>
      <c r="AD20" s="29" t="inlineStr">
        <is>
          <t>yfinance_download</t>
        </is>
      </c>
      <c r="AE20" s="29" t="inlineStr">
        <is>
          <t>064760.KQ</t>
        </is>
      </c>
    </row>
    <row r="21" ht="24" customHeight="1">
      <c r="A21" s="24" t="inlineStr">
        <is>
          <t>2023-07-04</t>
        </is>
      </c>
      <c r="B21" s="30" t="n">
        <v>112700</v>
      </c>
      <c r="C21" s="30" t="n">
        <v>112700</v>
      </c>
      <c r="D21" s="30" t="n">
        <v>110000</v>
      </c>
      <c r="E21" s="30" t="n">
        <v>111900</v>
      </c>
      <c r="F21" s="30" t="n">
        <v>107243.875</v>
      </c>
      <c r="G21" s="30" t="n">
        <v>40542</v>
      </c>
      <c r="H21" s="35" t="n">
        <v>-0.01496478873239437</v>
      </c>
      <c r="I21" s="35" t="n">
        <v>-0.4544124817162359</v>
      </c>
      <c r="J21" s="30" t="n">
        <v>108575</v>
      </c>
      <c r="K21" s="30" t="n">
        <v>102451.6666666667</v>
      </c>
      <c r="L21" s="30" t="n">
        <v>103235</v>
      </c>
      <c r="M21" s="35" t="n">
        <v>0.3739718371340557</v>
      </c>
      <c r="N21" s="35" t="n">
        <v>0.3503778062445156</v>
      </c>
      <c r="O21" s="35" t="n">
        <v>0.08325266214908034</v>
      </c>
      <c r="P21" s="35" t="n">
        <v>0.1430030643513789</v>
      </c>
      <c r="Q21" s="35" t="n">
        <v>0.1201201201201201</v>
      </c>
      <c r="R21" s="35" t="n">
        <v>0.03062399263182125</v>
      </c>
      <c r="S21" s="35" t="n">
        <v>0.09222234874981683</v>
      </c>
      <c r="T21" s="35" t="n">
        <v>0.08393471206470671</v>
      </c>
      <c r="U21" s="30" t="n">
        <v>129800</v>
      </c>
      <c r="V21" s="30" t="n">
        <v>87000</v>
      </c>
      <c r="W21" s="35" t="n">
        <v>-0.137904468412943</v>
      </c>
      <c r="X21" s="35" t="n">
        <v>0.2862068965517242</v>
      </c>
      <c r="Y21" s="30" t="n">
        <v>11179416</v>
      </c>
      <c r="Z21" s="30" t="n">
        <v>1250976650400</v>
      </c>
      <c r="AA21" s="30" t="n">
        <v>4536649800</v>
      </c>
      <c r="AB21" s="30" t="n">
        <v>4875829430</v>
      </c>
      <c r="AC21" s="35" t="n">
        <v>0.003626486392491343</v>
      </c>
      <c r="AD21" s="24" t="inlineStr">
        <is>
          <t>yfinance_download</t>
        </is>
      </c>
      <c r="AE21" s="24" t="inlineStr">
        <is>
          <t>064760.KQ</t>
        </is>
      </c>
    </row>
    <row r="22" ht="24" customHeight="1">
      <c r="A22" s="29" t="inlineStr">
        <is>
          <t>2023-07-05</t>
        </is>
      </c>
      <c r="B22" s="31" t="n">
        <v>110900</v>
      </c>
      <c r="C22" s="31" t="n">
        <v>114800</v>
      </c>
      <c r="D22" s="31" t="n">
        <v>109700</v>
      </c>
      <c r="E22" s="31" t="n">
        <v>113400</v>
      </c>
      <c r="F22" s="31" t="n">
        <v>108681.4609375</v>
      </c>
      <c r="G22" s="31" t="n">
        <v>44026</v>
      </c>
      <c r="H22" s="36" t="n">
        <v>0.01340482573726542</v>
      </c>
      <c r="I22" s="36" t="n">
        <v>-0.447098976109215</v>
      </c>
      <c r="J22" s="31" t="n">
        <v>109165</v>
      </c>
      <c r="K22" s="31" t="n">
        <v>102756.6666666667</v>
      </c>
      <c r="L22" s="31" t="n">
        <v>103324.1666666667</v>
      </c>
      <c r="M22" s="36" t="n">
        <v>0.3669811402919723</v>
      </c>
      <c r="N22" s="36" t="n">
        <v>0.3450045193974254</v>
      </c>
      <c r="O22" s="36" t="n">
        <v>0.1161417322834646</v>
      </c>
      <c r="P22" s="36" t="n">
        <v>0.1924290220820188</v>
      </c>
      <c r="Q22" s="36" t="n">
        <v>0.1041869522882182</v>
      </c>
      <c r="R22" s="36" t="n">
        <v>0.03879448541199104</v>
      </c>
      <c r="S22" s="36" t="n">
        <v>0.103578032244461</v>
      </c>
      <c r="T22" s="36" t="n">
        <v>0.09751671519247673</v>
      </c>
      <c r="U22" s="31" t="n">
        <v>129800</v>
      </c>
      <c r="V22" s="31" t="n">
        <v>87000</v>
      </c>
      <c r="W22" s="36" t="n">
        <v>-0.1263482280431433</v>
      </c>
      <c r="X22" s="36" t="n">
        <v>0.3034482758620689</v>
      </c>
      <c r="Y22" s="31" t="n">
        <v>11179416</v>
      </c>
      <c r="Z22" s="31" t="n">
        <v>1267745774400</v>
      </c>
      <c r="AA22" s="31" t="n">
        <v>4992548400</v>
      </c>
      <c r="AB22" s="31" t="n">
        <v>4909866730</v>
      </c>
      <c r="AC22" s="36" t="n">
        <v>0.003938130578556161</v>
      </c>
      <c r="AD22" s="29" t="inlineStr">
        <is>
          <t>yfinance_download</t>
        </is>
      </c>
      <c r="AE22" s="29" t="inlineStr">
        <is>
          <t>064760.KQ</t>
        </is>
      </c>
    </row>
    <row r="23" ht="24" customHeight="1">
      <c r="A23" s="24" t="inlineStr">
        <is>
          <t>2023-07-06</t>
        </is>
      </c>
      <c r="B23" s="30" t="n">
        <v>112200</v>
      </c>
      <c r="C23" s="30" t="n">
        <v>112200</v>
      </c>
      <c r="D23" s="30" t="n">
        <v>106000</v>
      </c>
      <c r="E23" s="30" t="n">
        <v>106800</v>
      </c>
      <c r="F23" s="30" t="n">
        <v>102356.078125</v>
      </c>
      <c r="G23" s="30" t="n">
        <v>54309</v>
      </c>
      <c r="H23" s="35" t="n">
        <v>-0.05820105820105825</v>
      </c>
      <c r="I23" s="35" t="n">
        <v>-0.4792784007801073</v>
      </c>
      <c r="J23" s="30" t="n">
        <v>109435</v>
      </c>
      <c r="K23" s="30" t="n">
        <v>102855</v>
      </c>
      <c r="L23" s="30" t="n">
        <v>103372.5</v>
      </c>
      <c r="M23" s="35" t="n">
        <v>0.4313295762648307</v>
      </c>
      <c r="N23" s="35" t="n">
        <v>0.3461510680038978</v>
      </c>
      <c r="O23" s="35" t="n">
        <v>0.05325443786982254</v>
      </c>
      <c r="P23" s="35" t="n">
        <v>0.05847373637264619</v>
      </c>
      <c r="Q23" s="35" t="n">
        <v>0.05742574257425748</v>
      </c>
      <c r="R23" s="35" t="n">
        <v>-0.02407821994791426</v>
      </c>
      <c r="S23" s="35" t="n">
        <v>0.03835496572845276</v>
      </c>
      <c r="T23" s="35" t="n">
        <v>0.03315678734673155</v>
      </c>
      <c r="U23" s="30" t="n">
        <v>129800</v>
      </c>
      <c r="V23" s="30" t="n">
        <v>87000</v>
      </c>
      <c r="W23" s="35" t="n">
        <v>-0.1771956856702619</v>
      </c>
      <c r="X23" s="35" t="n">
        <v>0.2275862068965517</v>
      </c>
      <c r="Y23" s="30" t="n">
        <v>11179416</v>
      </c>
      <c r="Z23" s="30" t="n">
        <v>1193961628800</v>
      </c>
      <c r="AA23" s="30" t="n">
        <v>5800201200</v>
      </c>
      <c r="AB23" s="30" t="n">
        <v>4887838570</v>
      </c>
      <c r="AC23" s="35" t="n">
        <v>0.004857946068023589</v>
      </c>
      <c r="AD23" s="24" t="inlineStr">
        <is>
          <t>yfinance_download</t>
        </is>
      </c>
      <c r="AE23" s="24" t="inlineStr">
        <is>
          <t>064760.KQ</t>
        </is>
      </c>
    </row>
    <row r="24" ht="24" customHeight="1">
      <c r="A24" s="29" t="inlineStr">
        <is>
          <t>2023-07-07</t>
        </is>
      </c>
      <c r="B24" s="31" t="n">
        <v>105600</v>
      </c>
      <c r="C24" s="31" t="n">
        <v>106400</v>
      </c>
      <c r="D24" s="31" t="n">
        <v>101700</v>
      </c>
      <c r="E24" s="31" t="n">
        <v>101700</v>
      </c>
      <c r="F24" s="31" t="n">
        <v>97468.296875</v>
      </c>
      <c r="G24" s="31" t="n">
        <v>58759</v>
      </c>
      <c r="H24" s="36" t="n">
        <v>-0.047752808988764</v>
      </c>
      <c r="I24" s="36" t="n">
        <v>-0.5041443198439786</v>
      </c>
      <c r="J24" s="31" t="n">
        <v>109165</v>
      </c>
      <c r="K24" s="31" t="n">
        <v>102900</v>
      </c>
      <c r="L24" s="31" t="n">
        <v>103350.8333333333</v>
      </c>
      <c r="M24" s="36" t="n">
        <v>0.4187377783005483</v>
      </c>
      <c r="N24" s="36" t="n">
        <v>0.3581584089088281</v>
      </c>
      <c r="O24" s="36" t="n">
        <v>-0.05042016806722693</v>
      </c>
      <c r="P24" s="36" t="n">
        <v>0.02727272727272734</v>
      </c>
      <c r="Q24" s="36" t="n">
        <v>-0.02492809204218605</v>
      </c>
      <c r="R24" s="36" t="n">
        <v>-0.06838272340035723</v>
      </c>
      <c r="S24" s="36" t="n">
        <v>-0.01166180758017488</v>
      </c>
      <c r="T24" s="36" t="n">
        <v>-0.01597310132961349</v>
      </c>
      <c r="U24" s="31" t="n">
        <v>129800</v>
      </c>
      <c r="V24" s="31" t="n">
        <v>87000</v>
      </c>
      <c r="W24" s="36" t="n">
        <v>-0.2164869029275809</v>
      </c>
      <c r="X24" s="36" t="n">
        <v>0.1689655172413793</v>
      </c>
      <c r="Y24" s="31" t="n">
        <v>11179416</v>
      </c>
      <c r="Z24" s="31" t="n">
        <v>1136946607200</v>
      </c>
      <c r="AA24" s="31" t="n">
        <v>5975790300</v>
      </c>
      <c r="AB24" s="31" t="n">
        <v>4844197255</v>
      </c>
      <c r="AC24" s="36" t="n">
        <v>0.005255999061131637</v>
      </c>
      <c r="AD24" s="29" t="inlineStr">
        <is>
          <t>yfinance_download</t>
        </is>
      </c>
      <c r="AE24" s="29" t="inlineStr">
        <is>
          <t>064760.KQ</t>
        </is>
      </c>
    </row>
    <row r="25" ht="24" customHeight="1">
      <c r="A25" s="24" t="inlineStr">
        <is>
          <t>2023-07-10</t>
        </is>
      </c>
      <c r="B25" s="30" t="n">
        <v>100200</v>
      </c>
      <c r="C25" s="30" t="n">
        <v>102600</v>
      </c>
      <c r="D25" s="30" t="n">
        <v>99500</v>
      </c>
      <c r="E25" s="30" t="n">
        <v>99800</v>
      </c>
      <c r="F25" s="30" t="n">
        <v>95647.3515625</v>
      </c>
      <c r="G25" s="30" t="n">
        <v>40093</v>
      </c>
      <c r="H25" s="35" t="n">
        <v>-0.01868239921337267</v>
      </c>
      <c r="I25" s="35" t="n">
        <v>-0.5134080936128718</v>
      </c>
      <c r="J25" s="30" t="n">
        <v>108760</v>
      </c>
      <c r="K25" s="30" t="n">
        <v>102890</v>
      </c>
      <c r="L25" s="30" t="n">
        <v>103334.1666666667</v>
      </c>
      <c r="M25" s="35" t="n">
        <v>0.4209702295452347</v>
      </c>
      <c r="N25" s="35" t="n">
        <v>0.3592112659804212</v>
      </c>
      <c r="O25" s="35" t="n">
        <v>-0.07506950880444851</v>
      </c>
      <c r="P25" s="35" t="n">
        <v>-0.005976095617529875</v>
      </c>
      <c r="Q25" s="35" t="n">
        <v>-0.01964636542239684</v>
      </c>
      <c r="R25" s="35" t="n">
        <v>-0.08238322912835605</v>
      </c>
      <c r="S25" s="35" t="n">
        <v>-0.03003207308776368</v>
      </c>
      <c r="T25" s="35" t="n">
        <v>-0.03420133708599127</v>
      </c>
      <c r="U25" s="30" t="n">
        <v>129800</v>
      </c>
      <c r="V25" s="30" t="n">
        <v>87000</v>
      </c>
      <c r="W25" s="35" t="n">
        <v>-0.2311248073959938</v>
      </c>
      <c r="X25" s="35" t="n">
        <v>0.1471264367816092</v>
      </c>
      <c r="Y25" s="30" t="n">
        <v>11179416</v>
      </c>
      <c r="Z25" s="30" t="n">
        <v>1115705716800</v>
      </c>
      <c r="AA25" s="30" t="n">
        <v>4001281400</v>
      </c>
      <c r="AB25" s="30" t="n">
        <v>4809427765</v>
      </c>
      <c r="AC25" s="35" t="n">
        <v>0.003586323292737295</v>
      </c>
      <c r="AD25" s="24" t="inlineStr">
        <is>
          <t>yfinance_download</t>
        </is>
      </c>
      <c r="AE25" s="24" t="inlineStr">
        <is>
          <t>064760.KQ</t>
        </is>
      </c>
    </row>
    <row r="26" ht="24" customHeight="1">
      <c r="A26" s="29" t="inlineStr">
        <is>
          <t>2023-07-12</t>
        </is>
      </c>
      <c r="B26" s="31" t="n">
        <v>101300</v>
      </c>
      <c r="C26" s="31" t="n">
        <v>103900</v>
      </c>
      <c r="D26" s="31" t="n">
        <v>101200</v>
      </c>
      <c r="E26" s="31" t="n">
        <v>103300</v>
      </c>
      <c r="F26" s="31" t="n">
        <v>99001.7109375</v>
      </c>
      <c r="G26" s="31" t="n">
        <v>23978</v>
      </c>
      <c r="H26" s="36" t="n">
        <v>0.0350701402805611</v>
      </c>
      <c r="I26" s="36" t="n">
        <v>-0.4963432471964895</v>
      </c>
      <c r="J26" s="31" t="n">
        <v>108460</v>
      </c>
      <c r="K26" s="31" t="n">
        <v>102968.3333333333</v>
      </c>
      <c r="L26" s="31" t="n">
        <v>103351.6666666667</v>
      </c>
      <c r="M26" s="36" t="n">
        <v>0.4393827338481171</v>
      </c>
      <c r="N26" s="36" t="n">
        <v>0.3642051174256777</v>
      </c>
      <c r="O26" s="36" t="n">
        <v>-0.05489478499542544</v>
      </c>
      <c r="P26" s="36" t="n">
        <v>0.04766734279918872</v>
      </c>
      <c r="Q26" s="36" t="n">
        <v>0.02075098814229248</v>
      </c>
      <c r="R26" s="36" t="n">
        <v>-0.04757514290982856</v>
      </c>
      <c r="S26" s="36" t="n">
        <v>0.00322105501691472</v>
      </c>
      <c r="T26" s="36" t="n">
        <v>-0.0004999113060586424</v>
      </c>
      <c r="U26" s="31" t="n">
        <v>129800</v>
      </c>
      <c r="V26" s="31" t="n">
        <v>87000</v>
      </c>
      <c r="W26" s="36" t="n">
        <v>-0.2041602465331279</v>
      </c>
      <c r="X26" s="36" t="n">
        <v>0.1873563218390804</v>
      </c>
      <c r="Y26" s="31" t="n">
        <v>11179416</v>
      </c>
      <c r="Z26" s="31" t="n">
        <v>1154833672800</v>
      </c>
      <c r="AA26" s="31" t="n">
        <v>2476927400</v>
      </c>
      <c r="AB26" s="31" t="n">
        <v>4651761055</v>
      </c>
      <c r="AC26" s="36" t="n">
        <v>0.002144834757021297</v>
      </c>
      <c r="AD26" s="29" t="inlineStr">
        <is>
          <t>yfinance_download</t>
        </is>
      </c>
      <c r="AE26" s="29" t="inlineStr">
        <is>
          <t>064760.KQ</t>
        </is>
      </c>
    </row>
    <row r="27" ht="24" customHeight="1">
      <c r="A27" s="24" t="inlineStr">
        <is>
          <t>2023-07-13</t>
        </is>
      </c>
      <c r="B27" s="30" t="n">
        <v>104100</v>
      </c>
      <c r="C27" s="30" t="n">
        <v>107000</v>
      </c>
      <c r="D27" s="30" t="n">
        <v>103500</v>
      </c>
      <c r="E27" s="30" t="n">
        <v>104000</v>
      </c>
      <c r="F27" s="30" t="n">
        <v>99672.5859375</v>
      </c>
      <c r="G27" s="30" t="n">
        <v>31680</v>
      </c>
      <c r="H27" s="35" t="n">
        <v>0.006776379477250627</v>
      </c>
      <c r="I27" s="35" t="n">
        <v>-0.4929302779132131</v>
      </c>
      <c r="J27" s="30" t="n">
        <v>108350</v>
      </c>
      <c r="K27" s="30" t="n">
        <v>103056.6666666667</v>
      </c>
      <c r="L27" s="30" t="n">
        <v>103368.3333333333</v>
      </c>
      <c r="M27" s="35" t="n">
        <v>0.4294936925475275</v>
      </c>
      <c r="N27" s="35" t="n">
        <v>0.3643952465915896</v>
      </c>
      <c r="O27" s="35" t="n">
        <v>-0.0207156308851224</v>
      </c>
      <c r="P27" s="35" t="n">
        <v>0.05369807497467072</v>
      </c>
      <c r="Q27" s="35" t="n">
        <v>0.01960784313725483</v>
      </c>
      <c r="R27" s="35" t="n">
        <v>-0.04014766958929394</v>
      </c>
      <c r="S27" s="35" t="n">
        <v>0.009153540123556514</v>
      </c>
      <c r="T27" s="35" t="n">
        <v>0.006110833427387607</v>
      </c>
      <c r="U27" s="30" t="n">
        <v>129800</v>
      </c>
      <c r="V27" s="30" t="n">
        <v>87000</v>
      </c>
      <c r="W27" s="35" t="n">
        <v>-0.1987673343605547</v>
      </c>
      <c r="X27" s="35" t="n">
        <v>0.1954022988505748</v>
      </c>
      <c r="Y27" s="30" t="n">
        <v>11179416</v>
      </c>
      <c r="Z27" s="30" t="n">
        <v>1162659264000</v>
      </c>
      <c r="AA27" s="30" t="n">
        <v>3294720000</v>
      </c>
      <c r="AB27" s="30" t="n">
        <v>4587731635</v>
      </c>
      <c r="AC27" s="35" t="n">
        <v>0.002833779510486058</v>
      </c>
      <c r="AD27" s="24" t="inlineStr">
        <is>
          <t>yfinance_download</t>
        </is>
      </c>
      <c r="AE27" s="24" t="inlineStr">
        <is>
          <t>064760.KQ</t>
        </is>
      </c>
    </row>
    <row r="28" ht="24" customHeight="1">
      <c r="A28" s="29" t="inlineStr">
        <is>
          <t>2023-07-14</t>
        </is>
      </c>
      <c r="B28" s="31" t="n">
        <v>105500</v>
      </c>
      <c r="C28" s="31" t="n">
        <v>106100</v>
      </c>
      <c r="D28" s="31" t="n">
        <v>102600</v>
      </c>
      <c r="E28" s="31" t="n">
        <v>104000</v>
      </c>
      <c r="F28" s="31" t="n">
        <v>99672.5859375</v>
      </c>
      <c r="G28" s="31" t="n">
        <v>52491</v>
      </c>
      <c r="H28" s="36" t="n">
        <v>0</v>
      </c>
      <c r="I28" s="36" t="n">
        <v>-0.4929302779132131</v>
      </c>
      <c r="J28" s="31" t="n">
        <v>108170</v>
      </c>
      <c r="K28" s="31" t="n">
        <v>103153.3333333333</v>
      </c>
      <c r="L28" s="31" t="n">
        <v>103395</v>
      </c>
      <c r="M28" s="36" t="n">
        <v>0.4263815395067317</v>
      </c>
      <c r="N28" s="36" t="n">
        <v>0.3641752344280875</v>
      </c>
      <c r="O28" s="36" t="n">
        <v>-0.03345724907063197</v>
      </c>
      <c r="P28" s="36" t="n">
        <v>0.05906313645621175</v>
      </c>
      <c r="Q28" s="36" t="n">
        <v>0.03174603174603186</v>
      </c>
      <c r="R28" s="36" t="n">
        <v>-0.03855042987889434</v>
      </c>
      <c r="S28" s="36" t="n">
        <v>0.008207845925159996</v>
      </c>
      <c r="T28" s="36" t="n">
        <v>0.00585134677692345</v>
      </c>
      <c r="U28" s="31" t="n">
        <v>129800</v>
      </c>
      <c r="V28" s="31" t="n">
        <v>87000</v>
      </c>
      <c r="W28" s="36" t="n">
        <v>-0.1987673343605547</v>
      </c>
      <c r="X28" s="36" t="n">
        <v>0.1954022988505748</v>
      </c>
      <c r="Y28" s="31" t="n">
        <v>11179416</v>
      </c>
      <c r="Z28" s="31" t="n">
        <v>1162659264000</v>
      </c>
      <c r="AA28" s="31" t="n">
        <v>5459064000</v>
      </c>
      <c r="AB28" s="31" t="n">
        <v>4670189795</v>
      </c>
      <c r="AC28" s="36" t="n">
        <v>0.00469532576656956</v>
      </c>
      <c r="AD28" s="29" t="inlineStr">
        <is>
          <t>yfinance_download</t>
        </is>
      </c>
      <c r="AE28" s="29" t="inlineStr">
        <is>
          <t>064760.KQ</t>
        </is>
      </c>
    </row>
    <row r="29" ht="24" customHeight="1">
      <c r="A29" s="24" t="inlineStr">
        <is>
          <t>2023-07-17</t>
        </is>
      </c>
      <c r="B29" s="30" t="n">
        <v>102600</v>
      </c>
      <c r="C29" s="30" t="n">
        <v>106200</v>
      </c>
      <c r="D29" s="30" t="n">
        <v>101900</v>
      </c>
      <c r="E29" s="30" t="n">
        <v>104800</v>
      </c>
      <c r="F29" s="30" t="n">
        <v>100439.3125</v>
      </c>
      <c r="G29" s="30" t="n">
        <v>34524</v>
      </c>
      <c r="H29" s="35" t="n">
        <v>0.007692307692307665</v>
      </c>
      <c r="I29" s="35" t="n">
        <v>-0.4890297415894685</v>
      </c>
      <c r="J29" s="30" t="n">
        <v>108150</v>
      </c>
      <c r="K29" s="30" t="n">
        <v>103268.3333333333</v>
      </c>
      <c r="L29" s="30" t="n">
        <v>103421.6666666667</v>
      </c>
      <c r="M29" s="35" t="n">
        <v>0.42008245464315</v>
      </c>
      <c r="N29" s="35" t="n">
        <v>0.3643032361626198</v>
      </c>
      <c r="O29" s="35" t="n">
        <v>-0.003802281368821325</v>
      </c>
      <c r="P29" s="35" t="n">
        <v>0.0704800817160367</v>
      </c>
      <c r="Q29" s="35" t="n">
        <v>0.03149606299212593</v>
      </c>
      <c r="R29" s="35" t="n">
        <v>-0.03097549699491442</v>
      </c>
      <c r="S29" s="35" t="n">
        <v>0.01483191039524878</v>
      </c>
      <c r="T29" s="35" t="n">
        <v>0.01332731697097644</v>
      </c>
      <c r="U29" s="30" t="n">
        <v>129800</v>
      </c>
      <c r="V29" s="30" t="n">
        <v>87000</v>
      </c>
      <c r="W29" s="35" t="n">
        <v>-0.1926040061633282</v>
      </c>
      <c r="X29" s="35" t="n">
        <v>0.2045977011494253</v>
      </c>
      <c r="Y29" s="30" t="n">
        <v>11179416</v>
      </c>
      <c r="Z29" s="30" t="n">
        <v>1171602796800</v>
      </c>
      <c r="AA29" s="30" t="n">
        <v>3618115200</v>
      </c>
      <c r="AB29" s="30" t="n">
        <v>4713520255</v>
      </c>
      <c r="AC29" s="35" t="n">
        <v>0.003088175625631965</v>
      </c>
      <c r="AD29" s="24" t="inlineStr">
        <is>
          <t>yfinance_download</t>
        </is>
      </c>
      <c r="AE29" s="24" t="inlineStr">
        <is>
          <t>064760.KQ</t>
        </is>
      </c>
    </row>
    <row r="30" ht="24" customHeight="1">
      <c r="A30" s="29" t="inlineStr">
        <is>
          <t>2023-07-18</t>
        </is>
      </c>
      <c r="B30" s="31" t="n">
        <v>105900</v>
      </c>
      <c r="C30" s="31" t="n">
        <v>105900</v>
      </c>
      <c r="D30" s="31" t="n">
        <v>101700</v>
      </c>
      <c r="E30" s="31" t="n">
        <v>103500</v>
      </c>
      <c r="F30" s="31" t="n">
        <v>99193.3984375</v>
      </c>
      <c r="G30" s="31" t="n">
        <v>53162</v>
      </c>
      <c r="H30" s="36" t="n">
        <v>-0.01240458015267176</v>
      </c>
      <c r="I30" s="36" t="n">
        <v>-0.4953681131155534</v>
      </c>
      <c r="J30" s="31" t="n">
        <v>107925</v>
      </c>
      <c r="K30" s="31" t="n">
        <v>103355</v>
      </c>
      <c r="L30" s="31" t="n">
        <v>103436.6666666667</v>
      </c>
      <c r="M30" s="36" t="n">
        <v>0.4101880219227919</v>
      </c>
      <c r="N30" s="36" t="n">
        <v>0.3653485653194104</v>
      </c>
      <c r="O30" s="36" t="n">
        <v>-0.04166666666666663</v>
      </c>
      <c r="P30" s="36" t="n">
        <v>0.0528992878942014</v>
      </c>
      <c r="Q30" s="36" t="n">
        <v>0.01769911504424782</v>
      </c>
      <c r="R30" s="36" t="n">
        <v>-0.04100069492703262</v>
      </c>
      <c r="S30" s="36" t="n">
        <v>0.001402931643365024</v>
      </c>
      <c r="T30" s="36" t="n">
        <v>0.0006122909348715844</v>
      </c>
      <c r="U30" s="31" t="n">
        <v>129800</v>
      </c>
      <c r="V30" s="31" t="n">
        <v>87000</v>
      </c>
      <c r="W30" s="36" t="n">
        <v>-0.2026194144838213</v>
      </c>
      <c r="X30" s="36" t="n">
        <v>0.1896551724137931</v>
      </c>
      <c r="Y30" s="31" t="n">
        <v>11179416</v>
      </c>
      <c r="Z30" s="31" t="n">
        <v>1157069556000</v>
      </c>
      <c r="AA30" s="31" t="n">
        <v>5502267000</v>
      </c>
      <c r="AB30" s="31" t="n">
        <v>4794120205</v>
      </c>
      <c r="AC30" s="36" t="n">
        <v>0.004755346790923605</v>
      </c>
      <c r="AD30" s="29" t="inlineStr">
        <is>
          <t>yfinance_download</t>
        </is>
      </c>
      <c r="AE30" s="29" t="inlineStr">
        <is>
          <t>064760.KQ</t>
        </is>
      </c>
    </row>
    <row r="31" ht="24" customHeight="1">
      <c r="A31" s="24" t="inlineStr">
        <is>
          <t>2023-07-19</t>
        </is>
      </c>
      <c r="B31" s="30" t="n">
        <v>103500</v>
      </c>
      <c r="C31" s="30" t="n">
        <v>103600</v>
      </c>
      <c r="D31" s="30" t="n">
        <v>100800</v>
      </c>
      <c r="E31" s="30" t="n">
        <v>102400</v>
      </c>
      <c r="F31" s="30" t="n">
        <v>98139.171875</v>
      </c>
      <c r="G31" s="30" t="n">
        <v>43477</v>
      </c>
      <c r="H31" s="35" t="n">
        <v>-0.01062801932367152</v>
      </c>
      <c r="I31" s="35" t="n">
        <v>-0.5007313505607021</v>
      </c>
      <c r="J31" s="30" t="n">
        <v>107680</v>
      </c>
      <c r="K31" s="30" t="n">
        <v>103433.3333333333</v>
      </c>
      <c r="L31" s="30" t="n">
        <v>103439.1666666667</v>
      </c>
      <c r="M31" s="35" t="n">
        <v>0.4110779301948087</v>
      </c>
      <c r="N31" s="35" t="n">
        <v>0.3658478344101987</v>
      </c>
      <c r="O31" s="35" t="n">
        <v>-0.04566635601118363</v>
      </c>
      <c r="P31" s="35" t="n">
        <v>0.04810644831115662</v>
      </c>
      <c r="Q31" s="35" t="n">
        <v>0.002938295788442735</v>
      </c>
      <c r="R31" s="35" t="n">
        <v>-0.04903417533432397</v>
      </c>
      <c r="S31" s="35" t="n">
        <v>-0.009990331936835295</v>
      </c>
      <c r="T31" s="35" t="n">
        <v>-0.01004616239818901</v>
      </c>
      <c r="U31" s="30" t="n">
        <v>129800</v>
      </c>
      <c r="V31" s="30" t="n">
        <v>87000</v>
      </c>
      <c r="W31" s="35" t="n">
        <v>-0.2110939907550077</v>
      </c>
      <c r="X31" s="35" t="n">
        <v>0.1770114942528735</v>
      </c>
      <c r="Y31" s="30" t="n">
        <v>11179416</v>
      </c>
      <c r="Z31" s="30" t="n">
        <v>1144772198400</v>
      </c>
      <c r="AA31" s="30" t="n">
        <v>4452044800</v>
      </c>
      <c r="AB31" s="30" t="n">
        <v>4901358850</v>
      </c>
      <c r="AC31" s="35" t="n">
        <v>0.003889022467721033</v>
      </c>
      <c r="AD31" s="24" t="inlineStr">
        <is>
          <t>yfinance_download</t>
        </is>
      </c>
      <c r="AE31" s="24" t="inlineStr">
        <is>
          <t>064760.KQ</t>
        </is>
      </c>
    </row>
    <row r="32" ht="24" customHeight="1">
      <c r="A32" s="29" t="inlineStr">
        <is>
          <t>2023-07-20</t>
        </is>
      </c>
      <c r="B32" s="31" t="n">
        <v>102300</v>
      </c>
      <c r="C32" s="31" t="n">
        <v>102400</v>
      </c>
      <c r="D32" s="31" t="n">
        <v>99800</v>
      </c>
      <c r="E32" s="31" t="n">
        <v>102000</v>
      </c>
      <c r="F32" s="31" t="n">
        <v>97755.8125</v>
      </c>
      <c r="G32" s="31" t="n">
        <v>48828</v>
      </c>
      <c r="H32" s="36" t="n">
        <v>-0.00390625</v>
      </c>
      <c r="I32" s="36" t="n">
        <v>-0.5026816187225743</v>
      </c>
      <c r="J32" s="31" t="n">
        <v>107520</v>
      </c>
      <c r="K32" s="31" t="n">
        <v>103546.6666666667</v>
      </c>
      <c r="L32" s="31" t="n">
        <v>103412.5</v>
      </c>
      <c r="M32" s="36" t="n">
        <v>0.4059325990169035</v>
      </c>
      <c r="N32" s="36" t="n">
        <v>0.3617825774887642</v>
      </c>
      <c r="O32" s="36" t="n">
        <v>-0.03041825095057038</v>
      </c>
      <c r="P32" s="36" t="n">
        <v>0.0714285714285714</v>
      </c>
      <c r="Q32" s="36" t="n">
        <v>-0.03041825095057038</v>
      </c>
      <c r="R32" s="36" t="n">
        <v>-0.0513392857142857</v>
      </c>
      <c r="S32" s="36" t="n">
        <v>-0.01493690445531815</v>
      </c>
      <c r="T32" s="36" t="n">
        <v>-0.01365889036625167</v>
      </c>
      <c r="U32" s="31" t="n">
        <v>129800</v>
      </c>
      <c r="V32" s="31" t="n">
        <v>87000</v>
      </c>
      <c r="W32" s="36" t="n">
        <v>-0.214175654853621</v>
      </c>
      <c r="X32" s="36" t="n">
        <v>0.1724137931034482</v>
      </c>
      <c r="Y32" s="31" t="n">
        <v>11179416</v>
      </c>
      <c r="Z32" s="31" t="n">
        <v>1140300432000</v>
      </c>
      <c r="AA32" s="31" t="n">
        <v>4980456000</v>
      </c>
      <c r="AB32" s="31" t="n">
        <v>4982950590</v>
      </c>
      <c r="AC32" s="36" t="n">
        <v>0.004367670010669609</v>
      </c>
      <c r="AD32" s="29" t="inlineStr">
        <is>
          <t>yfinance_download</t>
        </is>
      </c>
      <c r="AE32" s="29" t="inlineStr">
        <is>
          <t>064760.KQ</t>
        </is>
      </c>
    </row>
    <row r="33" ht="24" customHeight="1">
      <c r="A33" s="24" t="inlineStr">
        <is>
          <t>2023-07-21</t>
        </is>
      </c>
      <c r="B33" s="30" t="n">
        <v>100400</v>
      </c>
      <c r="C33" s="30" t="n">
        <v>100400</v>
      </c>
      <c r="D33" s="30" t="n">
        <v>97100</v>
      </c>
      <c r="E33" s="30" t="n">
        <v>100000</v>
      </c>
      <c r="F33" s="30" t="n">
        <v>95839.03125</v>
      </c>
      <c r="G33" s="30" t="n">
        <v>60285</v>
      </c>
      <c r="H33" s="35" t="n">
        <v>-0.01960784313725494</v>
      </c>
      <c r="I33" s="35" t="n">
        <v>-0.5124329595319357</v>
      </c>
      <c r="J33" s="30" t="n">
        <v>107065</v>
      </c>
      <c r="K33" s="30" t="n">
        <v>103608.3333333333</v>
      </c>
      <c r="L33" s="30" t="n">
        <v>103374.1666666667</v>
      </c>
      <c r="M33" s="35" t="n">
        <v>0.3842806111555642</v>
      </c>
      <c r="N33" s="35" t="n">
        <v>0.3636798772936142</v>
      </c>
      <c r="O33" s="35" t="n">
        <v>-0.08340971585701196</v>
      </c>
      <c r="P33" s="35" t="n">
        <v>0.03842159916926269</v>
      </c>
      <c r="Q33" s="35" t="n">
        <v>-0.04397705544933084</v>
      </c>
      <c r="R33" s="35" t="n">
        <v>-0.06598795124457102</v>
      </c>
      <c r="S33" s="35" t="n">
        <v>-0.03482667095632586</v>
      </c>
      <c r="T33" s="35" t="n">
        <v>-0.03264032761247571</v>
      </c>
      <c r="U33" s="30" t="n">
        <v>129800</v>
      </c>
      <c r="V33" s="30" t="n">
        <v>87000</v>
      </c>
      <c r="W33" s="35" t="n">
        <v>-0.2295839753466872</v>
      </c>
      <c r="X33" s="35" t="n">
        <v>0.1494252873563218</v>
      </c>
      <c r="Y33" s="30" t="n">
        <v>11179416</v>
      </c>
      <c r="Z33" s="30" t="n">
        <v>1117941600000</v>
      </c>
      <c r="AA33" s="30" t="n">
        <v>6028500000</v>
      </c>
      <c r="AB33" s="30" t="n">
        <v>5036980430</v>
      </c>
      <c r="AC33" s="35" t="n">
        <v>0.005392499930228913</v>
      </c>
      <c r="AD33" s="24" t="inlineStr">
        <is>
          <t>yfinance_download</t>
        </is>
      </c>
      <c r="AE33" s="24" t="inlineStr">
        <is>
          <t>064760.KQ</t>
        </is>
      </c>
    </row>
    <row r="34" ht="24" customHeight="1">
      <c r="A34" s="29" t="inlineStr">
        <is>
          <t>2023-07-24</t>
        </is>
      </c>
      <c r="B34" s="31" t="n">
        <v>99300</v>
      </c>
      <c r="C34" s="31" t="n">
        <v>99300</v>
      </c>
      <c r="D34" s="31" t="n">
        <v>96100</v>
      </c>
      <c r="E34" s="31" t="n">
        <v>97200</v>
      </c>
      <c r="F34" s="31" t="n">
        <v>93155.5390625</v>
      </c>
      <c r="G34" s="31" t="n">
        <v>69586</v>
      </c>
      <c r="H34" s="36" t="n">
        <v>-0.02800000000000002</v>
      </c>
      <c r="I34" s="36" t="n">
        <v>-0.5260848366650415</v>
      </c>
      <c r="J34" s="31" t="n">
        <v>106455</v>
      </c>
      <c r="K34" s="31" t="n">
        <v>103671.6666666667</v>
      </c>
      <c r="L34" s="31" t="n">
        <v>103321.6666666667</v>
      </c>
      <c r="M34" s="36" t="n">
        <v>0.3924629450800172</v>
      </c>
      <c r="N34" s="36" t="n">
        <v>0.36293522534239</v>
      </c>
      <c r="O34" s="36" t="n">
        <v>-0.1115173674588665</v>
      </c>
      <c r="P34" s="36" t="n">
        <v>0.04068522483940051</v>
      </c>
      <c r="Q34" s="36" t="n">
        <v>-0.06086956521739129</v>
      </c>
      <c r="R34" s="36" t="n">
        <v>-0.08693814287727208</v>
      </c>
      <c r="S34" s="36" t="n">
        <v>-0.06242464189830077</v>
      </c>
      <c r="T34" s="36" t="n">
        <v>-0.05924862484474058</v>
      </c>
      <c r="U34" s="31" t="n">
        <v>129800</v>
      </c>
      <c r="V34" s="31" t="n">
        <v>87000</v>
      </c>
      <c r="W34" s="36" t="n">
        <v>-0.25115562403698</v>
      </c>
      <c r="X34" s="36" t="n">
        <v>0.1172413793103448</v>
      </c>
      <c r="Y34" s="31" t="n">
        <v>11179416</v>
      </c>
      <c r="Z34" s="31" t="n">
        <v>1086639235200</v>
      </c>
      <c r="AA34" s="31" t="n">
        <v>6763759200</v>
      </c>
      <c r="AB34" s="31" t="n">
        <v>5047608380</v>
      </c>
      <c r="AC34" s="36" t="n">
        <v>0.006224475410880139</v>
      </c>
      <c r="AD34" s="29" t="inlineStr">
        <is>
          <t>yfinance_download</t>
        </is>
      </c>
      <c r="AE34" s="29" t="inlineStr">
        <is>
          <t>064760.KQ</t>
        </is>
      </c>
    </row>
    <row r="35" ht="24" customHeight="1">
      <c r="A35" s="24" t="inlineStr">
        <is>
          <t>2023-07-25</t>
        </is>
      </c>
      <c r="B35" s="30" t="n">
        <v>97200</v>
      </c>
      <c r="C35" s="30" t="n">
        <v>98700</v>
      </c>
      <c r="D35" s="30" t="n">
        <v>95100</v>
      </c>
      <c r="E35" s="30" t="n">
        <v>95600</v>
      </c>
      <c r="F35" s="30" t="n">
        <v>91622.1171875</v>
      </c>
      <c r="G35" s="30" t="n">
        <v>55046</v>
      </c>
      <c r="H35" s="35" t="n">
        <v>-0.01646090534979427</v>
      </c>
      <c r="I35" s="35" t="n">
        <v>-0.5338859093125305</v>
      </c>
      <c r="J35" s="30" t="n">
        <v>105640</v>
      </c>
      <c r="K35" s="30" t="n">
        <v>103710</v>
      </c>
      <c r="L35" s="30" t="n">
        <v>103251.6666666667</v>
      </c>
      <c r="M35" s="35" t="n">
        <v>0.3792464957514858</v>
      </c>
      <c r="N35" s="35" t="n">
        <v>0.3646620869161948</v>
      </c>
      <c r="O35" s="35" t="n">
        <v>-0.1456657730116175</v>
      </c>
      <c r="P35" s="35" t="n">
        <v>0.02465166130760976</v>
      </c>
      <c r="Q35" s="35" t="n">
        <v>-0.08076923076923082</v>
      </c>
      <c r="R35" s="35" t="n">
        <v>-0.09503975766755013</v>
      </c>
      <c r="S35" s="35" t="n">
        <v>-0.07819882364285025</v>
      </c>
      <c r="T35" s="35" t="n">
        <v>-0.07410695549708646</v>
      </c>
      <c r="U35" s="30" t="n">
        <v>129800</v>
      </c>
      <c r="V35" s="30" t="n">
        <v>87000</v>
      </c>
      <c r="W35" s="35" t="n">
        <v>-0.263482280431433</v>
      </c>
      <c r="X35" s="35" t="n">
        <v>0.09885057471264358</v>
      </c>
      <c r="Y35" s="30" t="n">
        <v>11179416</v>
      </c>
      <c r="Z35" s="30" t="n">
        <v>1068752169600</v>
      </c>
      <c r="AA35" s="30" t="n">
        <v>5262397600</v>
      </c>
      <c r="AB35" s="30" t="n">
        <v>5028382180</v>
      </c>
      <c r="AC35" s="35" t="n">
        <v>0.004923870799691147</v>
      </c>
      <c r="AD35" s="24" t="inlineStr">
        <is>
          <t>yfinance_download</t>
        </is>
      </c>
      <c r="AE35" s="24" t="inlineStr">
        <is>
          <t>064760.KQ</t>
        </is>
      </c>
    </row>
    <row r="36" ht="24" customHeight="1">
      <c r="A36" s="29" t="inlineStr">
        <is>
          <t>2023-07-26</t>
        </is>
      </c>
      <c r="B36" s="31" t="n">
        <v>95700</v>
      </c>
      <c r="C36" s="31" t="n">
        <v>95700</v>
      </c>
      <c r="D36" s="31" t="n">
        <v>91500</v>
      </c>
      <c r="E36" s="31" t="n">
        <v>93400</v>
      </c>
      <c r="F36" s="31" t="n">
        <v>89513.65625</v>
      </c>
      <c r="G36" s="31" t="n">
        <v>87784</v>
      </c>
      <c r="H36" s="36" t="n">
        <v>-0.02301255230125521</v>
      </c>
      <c r="I36" s="36" t="n">
        <v>-0.5446123842028279</v>
      </c>
      <c r="J36" s="31" t="n">
        <v>104825</v>
      </c>
      <c r="K36" s="31" t="n">
        <v>103590</v>
      </c>
      <c r="L36" s="31" t="n">
        <v>103163.3333333333</v>
      </c>
      <c r="M36" s="36" t="n">
        <v>0.3808474358476827</v>
      </c>
      <c r="N36" s="36" t="n">
        <v>0.3300552468530557</v>
      </c>
      <c r="O36" s="36" t="n">
        <v>-0.1485870556061987</v>
      </c>
      <c r="P36" s="36" t="n">
        <v>-0.07157057654075549</v>
      </c>
      <c r="Q36" s="36" t="n">
        <v>-0.1019230769230769</v>
      </c>
      <c r="R36" s="36" t="n">
        <v>-0.1089911757691391</v>
      </c>
      <c r="S36" s="36" t="n">
        <v>-0.0983685683946327</v>
      </c>
      <c r="T36" s="36" t="n">
        <v>-0.0946395683220782</v>
      </c>
      <c r="U36" s="31" t="n">
        <v>129800</v>
      </c>
      <c r="V36" s="31" t="n">
        <v>87000</v>
      </c>
      <c r="W36" s="36" t="n">
        <v>-0.2804314329738059</v>
      </c>
      <c r="X36" s="36" t="n">
        <v>0.0735632183908046</v>
      </c>
      <c r="Y36" s="31" t="n">
        <v>11179416</v>
      </c>
      <c r="Z36" s="31" t="n">
        <v>1044157454400</v>
      </c>
      <c r="AA36" s="31" t="n">
        <v>8199025600</v>
      </c>
      <c r="AB36" s="31" t="n">
        <v>5275379595</v>
      </c>
      <c r="AC36" s="36" t="n">
        <v>0.007852288527415027</v>
      </c>
      <c r="AD36" s="29" t="inlineStr">
        <is>
          <t>yfinance_download</t>
        </is>
      </c>
      <c r="AE36" s="29" t="inlineStr">
        <is>
          <t>064760.KQ</t>
        </is>
      </c>
    </row>
    <row r="37" ht="24" customHeight="1">
      <c r="A37" s="24" t="inlineStr">
        <is>
          <t>2023-07-27</t>
        </is>
      </c>
      <c r="B37" s="30" t="n">
        <v>94000</v>
      </c>
      <c r="C37" s="30" t="n">
        <v>98000</v>
      </c>
      <c r="D37" s="30" t="n">
        <v>93000</v>
      </c>
      <c r="E37" s="30" t="n">
        <v>98000</v>
      </c>
      <c r="F37" s="30" t="n">
        <v>93922.2421875</v>
      </c>
      <c r="G37" s="30" t="n">
        <v>59087</v>
      </c>
      <c r="H37" s="35" t="n">
        <v>0.04925053533190571</v>
      </c>
      <c r="I37" s="35" t="n">
        <v>-0.5221843003412969</v>
      </c>
      <c r="J37" s="30" t="n">
        <v>104245</v>
      </c>
      <c r="K37" s="30" t="n">
        <v>103535</v>
      </c>
      <c r="L37" s="30" t="n">
        <v>103073.3333333333</v>
      </c>
      <c r="M37" s="35" t="n">
        <v>0.4310790748364523</v>
      </c>
      <c r="N37" s="35" t="n">
        <v>0.3454457126860918</v>
      </c>
      <c r="O37" s="35" t="n">
        <v>-0.1058394160583942</v>
      </c>
      <c r="P37" s="35" t="n">
        <v>-0.03257650542941759</v>
      </c>
      <c r="Q37" s="35" t="n">
        <v>-0.09926470588235292</v>
      </c>
      <c r="R37" s="35" t="n">
        <v>-0.05990694997361978</v>
      </c>
      <c r="S37" s="35" t="n">
        <v>-0.05346018254696483</v>
      </c>
      <c r="T37" s="35" t="n">
        <v>-0.04922061962356894</v>
      </c>
      <c r="U37" s="30" t="n">
        <v>129800</v>
      </c>
      <c r="V37" s="30" t="n">
        <v>87000</v>
      </c>
      <c r="W37" s="35" t="n">
        <v>-0.2449922958397535</v>
      </c>
      <c r="X37" s="35" t="n">
        <v>0.1264367816091954</v>
      </c>
      <c r="Y37" s="30" t="n">
        <v>11179416</v>
      </c>
      <c r="Z37" s="30" t="n">
        <v>1095582768000</v>
      </c>
      <c r="AA37" s="30" t="n">
        <v>5790526000</v>
      </c>
      <c r="AB37" s="30" t="n">
        <v>5349344615</v>
      </c>
      <c r="AC37" s="35" t="n">
        <v>0.005285338697477579</v>
      </c>
      <c r="AD37" s="24" t="inlineStr">
        <is>
          <t>yfinance_download</t>
        </is>
      </c>
      <c r="AE37" s="24" t="inlineStr">
        <is>
          <t>064760.KQ</t>
        </is>
      </c>
    </row>
    <row r="38" ht="24" customHeight="1">
      <c r="A38" s="29" t="inlineStr">
        <is>
          <t>2023-07-28</t>
        </is>
      </c>
      <c r="B38" s="31" t="n">
        <v>99000</v>
      </c>
      <c r="C38" s="31" t="n">
        <v>99000</v>
      </c>
      <c r="D38" s="31" t="n">
        <v>96100</v>
      </c>
      <c r="E38" s="31" t="n">
        <v>97800</v>
      </c>
      <c r="F38" s="31" t="n">
        <v>93730.5703125</v>
      </c>
      <c r="G38" s="31" t="n">
        <v>41832</v>
      </c>
      <c r="H38" s="36" t="n">
        <v>-0.002040816326530637</v>
      </c>
      <c r="I38" s="36" t="n">
        <v>-0.523159434422233</v>
      </c>
      <c r="J38" s="31" t="n">
        <v>103415</v>
      </c>
      <c r="K38" s="31" t="n">
        <v>103505</v>
      </c>
      <c r="L38" s="31" t="n">
        <v>102956.6666666667</v>
      </c>
      <c r="M38" s="36" t="n">
        <v>0.3907633534503838</v>
      </c>
      <c r="N38" s="36" t="n">
        <v>0.3437621582672543</v>
      </c>
      <c r="O38" s="36" t="n">
        <v>-0.1451048951048951</v>
      </c>
      <c r="P38" s="36" t="n">
        <v>-0.01807228915662651</v>
      </c>
      <c r="Q38" s="36" t="n">
        <v>-0.1252236135957067</v>
      </c>
      <c r="R38" s="36" t="n">
        <v>-0.05429579848184496</v>
      </c>
      <c r="S38" s="36" t="n">
        <v>-0.05511811023622049</v>
      </c>
      <c r="T38" s="36" t="n">
        <v>-0.05008579661346202</v>
      </c>
      <c r="U38" s="31" t="n">
        <v>129800</v>
      </c>
      <c r="V38" s="31" t="n">
        <v>87000</v>
      </c>
      <c r="W38" s="36" t="n">
        <v>-0.2465331278890601</v>
      </c>
      <c r="X38" s="36" t="n">
        <v>0.1241379310344828</v>
      </c>
      <c r="Y38" s="31" t="n">
        <v>11179416</v>
      </c>
      <c r="Z38" s="31" t="n">
        <v>1093346884800</v>
      </c>
      <c r="AA38" s="31" t="n">
        <v>4091169600</v>
      </c>
      <c r="AB38" s="31" t="n">
        <v>5129690735</v>
      </c>
      <c r="AC38" s="36" t="n">
        <v>0.003741877035437271</v>
      </c>
      <c r="AD38" s="29" t="inlineStr">
        <is>
          <t>yfinance_download</t>
        </is>
      </c>
      <c r="AE38" s="29" t="inlineStr">
        <is>
          <t>064760.KQ</t>
        </is>
      </c>
    </row>
    <row r="39" ht="24" customHeight="1">
      <c r="A39" s="24" t="inlineStr">
        <is>
          <t>2023-07-31</t>
        </is>
      </c>
      <c r="B39" s="30" t="n">
        <v>99000</v>
      </c>
      <c r="C39" s="30" t="n">
        <v>99600</v>
      </c>
      <c r="D39" s="30" t="n">
        <v>97100</v>
      </c>
      <c r="E39" s="30" t="n">
        <v>99100</v>
      </c>
      <c r="F39" s="30" t="n">
        <v>94976.4765625</v>
      </c>
      <c r="G39" s="30" t="n">
        <v>43286</v>
      </c>
      <c r="H39" s="35" t="n">
        <v>0.01329243353783238</v>
      </c>
      <c r="I39" s="35" t="n">
        <v>-0.5168210628961483</v>
      </c>
      <c r="J39" s="30" t="n">
        <v>102615</v>
      </c>
      <c r="K39" s="30" t="n">
        <v>103520</v>
      </c>
      <c r="L39" s="30" t="n">
        <v>102858.3333333333</v>
      </c>
      <c r="M39" s="35" t="n">
        <v>0.3948917915061996</v>
      </c>
      <c r="N39" s="35" t="n">
        <v>0.3435800413634592</v>
      </c>
      <c r="O39" s="35" t="n">
        <v>-0.1390095569070373</v>
      </c>
      <c r="P39" s="35" t="n">
        <v>0.009164969450101923</v>
      </c>
      <c r="Q39" s="35" t="n">
        <v>-0.1064021641118125</v>
      </c>
      <c r="R39" s="35" t="n">
        <v>-0.0342542513277786</v>
      </c>
      <c r="S39" s="35" t="n">
        <v>-0.04269706336939727</v>
      </c>
      <c r="T39" s="35" t="n">
        <v>-0.03653892894758159</v>
      </c>
      <c r="U39" s="30" t="n">
        <v>129800</v>
      </c>
      <c r="V39" s="30" t="n">
        <v>87000</v>
      </c>
      <c r="W39" s="35" t="n">
        <v>-0.236517719568567</v>
      </c>
      <c r="X39" s="35" t="n">
        <v>0.139080459770115</v>
      </c>
      <c r="Y39" s="30" t="n">
        <v>11179416</v>
      </c>
      <c r="Z39" s="30" t="n">
        <v>1107880125600</v>
      </c>
      <c r="AA39" s="30" t="n">
        <v>4289642600</v>
      </c>
      <c r="AB39" s="30" t="n">
        <v>5081929025</v>
      </c>
      <c r="AC39" s="35" t="n">
        <v>0.003871937496556171</v>
      </c>
      <c r="AD39" s="24" t="inlineStr">
        <is>
          <t>yfinance_download</t>
        </is>
      </c>
      <c r="AE39" s="24" t="inlineStr">
        <is>
          <t>064760.KQ</t>
        </is>
      </c>
    </row>
    <row r="40" ht="24" customHeight="1">
      <c r="A40" s="29" t="inlineStr">
        <is>
          <t>2023-08-01</t>
        </is>
      </c>
      <c r="B40" s="31" t="n">
        <v>98500</v>
      </c>
      <c r="C40" s="31" t="n">
        <v>100400</v>
      </c>
      <c r="D40" s="31" t="n">
        <v>97700</v>
      </c>
      <c r="E40" s="31" t="n">
        <v>100000</v>
      </c>
      <c r="F40" s="31" t="n">
        <v>95839.03125</v>
      </c>
      <c r="G40" s="31" t="n">
        <v>35782</v>
      </c>
      <c r="H40" s="36" t="n">
        <v>0.00908173562058523</v>
      </c>
      <c r="I40" s="36" t="n">
        <v>-0.5124329595319357</v>
      </c>
      <c r="J40" s="31" t="n">
        <v>101935</v>
      </c>
      <c r="K40" s="31" t="n">
        <v>103575</v>
      </c>
      <c r="L40" s="31" t="n">
        <v>102809.1666666667</v>
      </c>
      <c r="M40" s="36" t="n">
        <v>0.3983175215683145</v>
      </c>
      <c r="N40" s="36" t="n">
        <v>0.3424635443528598</v>
      </c>
      <c r="O40" s="36" t="n">
        <v>-0.1197183098591549</v>
      </c>
      <c r="P40" s="36" t="n">
        <v>0.03412616339193386</v>
      </c>
      <c r="Q40" s="36" t="n">
        <v>-0.05571293673276678</v>
      </c>
      <c r="R40" s="36" t="n">
        <v>-0.01898268504439105</v>
      </c>
      <c r="S40" s="36" t="n">
        <v>-0.03451605117064926</v>
      </c>
      <c r="T40" s="36" t="n">
        <v>-0.02732408750840964</v>
      </c>
      <c r="U40" s="31" t="n">
        <v>129800</v>
      </c>
      <c r="V40" s="31" t="n">
        <v>87000</v>
      </c>
      <c r="W40" s="36" t="n">
        <v>-0.2295839753466872</v>
      </c>
      <c r="X40" s="36" t="n">
        <v>0.1494252873563218</v>
      </c>
      <c r="Y40" s="31" t="n">
        <v>11179416</v>
      </c>
      <c r="Z40" s="31" t="n">
        <v>1117941600000</v>
      </c>
      <c r="AA40" s="31" t="n">
        <v>3578200000</v>
      </c>
      <c r="AB40" s="31" t="n">
        <v>4954664305</v>
      </c>
      <c r="AC40" s="36" t="n">
        <v>0.003200703865031948</v>
      </c>
      <c r="AD40" s="29" t="inlineStr">
        <is>
          <t>yfinance_download</t>
        </is>
      </c>
      <c r="AE40" s="29" t="inlineStr">
        <is>
          <t>064760.KQ</t>
        </is>
      </c>
    </row>
    <row r="41" ht="24" customHeight="1">
      <c r="A41" s="24" t="inlineStr">
        <is>
          <t>2023-08-02</t>
        </is>
      </c>
      <c r="B41" s="30" t="n">
        <v>98600</v>
      </c>
      <c r="C41" s="30" t="n">
        <v>99600</v>
      </c>
      <c r="D41" s="30" t="n">
        <v>96600</v>
      </c>
      <c r="E41" s="30" t="n">
        <v>97600</v>
      </c>
      <c r="F41" s="30" t="n">
        <v>93538.890625</v>
      </c>
      <c r="G41" s="30" t="n">
        <v>35432</v>
      </c>
      <c r="H41" s="35" t="n">
        <v>-0.02400000000000002</v>
      </c>
      <c r="I41" s="35" t="n">
        <v>-0.5241345685031692</v>
      </c>
      <c r="J41" s="30" t="n">
        <v>101220</v>
      </c>
      <c r="K41" s="30" t="n">
        <v>103603.3333333333</v>
      </c>
      <c r="L41" s="30" t="n">
        <v>102712.5</v>
      </c>
      <c r="M41" s="35" t="n">
        <v>0.4022697381681785</v>
      </c>
      <c r="N41" s="35" t="n">
        <v>0.3457417772526634</v>
      </c>
      <c r="O41" s="35" t="n">
        <v>-0.127792672028597</v>
      </c>
      <c r="P41" s="35" t="n">
        <v>0.01772679874869665</v>
      </c>
      <c r="Q41" s="35" t="n">
        <v>-0.1062271062271062</v>
      </c>
      <c r="R41" s="35" t="n">
        <v>-0.03576368306658761</v>
      </c>
      <c r="S41" s="35" t="n">
        <v>-0.05794536855313526</v>
      </c>
      <c r="T41" s="35" t="n">
        <v>-0.04977485700377271</v>
      </c>
      <c r="U41" s="30" t="n">
        <v>129800</v>
      </c>
      <c r="V41" s="30" t="n">
        <v>87000</v>
      </c>
      <c r="W41" s="35" t="n">
        <v>-0.2480739599383667</v>
      </c>
      <c r="X41" s="35" t="n">
        <v>0.1218390804597702</v>
      </c>
      <c r="Y41" s="30" t="n">
        <v>11179416</v>
      </c>
      <c r="Z41" s="30" t="n">
        <v>1091111001600</v>
      </c>
      <c r="AA41" s="30" t="n">
        <v>3458163200</v>
      </c>
      <c r="AB41" s="30" t="n">
        <v>4900739975</v>
      </c>
      <c r="AC41" s="35" t="n">
        <v>0.003169396326248169</v>
      </c>
      <c r="AD41" s="24" t="inlineStr">
        <is>
          <t>yfinance_download</t>
        </is>
      </c>
      <c r="AE41" s="24" t="inlineStr">
        <is>
          <t>064760.KQ</t>
        </is>
      </c>
    </row>
    <row r="42" ht="24" customHeight="1">
      <c r="A42" s="29" t="inlineStr">
        <is>
          <t>2023-08-03</t>
        </is>
      </c>
      <c r="B42" s="31" t="n">
        <v>96600</v>
      </c>
      <c r="C42" s="31" t="n">
        <v>98100</v>
      </c>
      <c r="D42" s="31" t="n">
        <v>95600</v>
      </c>
      <c r="E42" s="31" t="n">
        <v>98000</v>
      </c>
      <c r="F42" s="31" t="n">
        <v>93922.2421875</v>
      </c>
      <c r="G42" s="31" t="n">
        <v>29982</v>
      </c>
      <c r="H42" s="36" t="n">
        <v>0.004098360655737654</v>
      </c>
      <c r="I42" s="36" t="n">
        <v>-0.5221843003412969</v>
      </c>
      <c r="J42" s="31" t="n">
        <v>100450</v>
      </c>
      <c r="K42" s="31" t="n">
        <v>103620</v>
      </c>
      <c r="L42" s="31" t="n">
        <v>102616.6666666667</v>
      </c>
      <c r="M42" s="36" t="n">
        <v>0.3974881279481469</v>
      </c>
      <c r="N42" s="36" t="n">
        <v>0.3450744879784958</v>
      </c>
      <c r="O42" s="36" t="n">
        <v>-0.1358024691358025</v>
      </c>
      <c r="P42" s="36" t="n">
        <v>0.01030927835051543</v>
      </c>
      <c r="Q42" s="36" t="n">
        <v>-0.1050228310502284</v>
      </c>
      <c r="R42" s="36" t="n">
        <v>-0.02439024390243905</v>
      </c>
      <c r="S42" s="36" t="n">
        <v>-0.0542366338544682</v>
      </c>
      <c r="T42" s="36" t="n">
        <v>-0.04498944291050844</v>
      </c>
      <c r="U42" s="31" t="n">
        <v>129800</v>
      </c>
      <c r="V42" s="31" t="n">
        <v>87000</v>
      </c>
      <c r="W42" s="36" t="n">
        <v>-0.2449922958397535</v>
      </c>
      <c r="X42" s="36" t="n">
        <v>0.1264367816091954</v>
      </c>
      <c r="Y42" s="31" t="n">
        <v>11179416</v>
      </c>
      <c r="Z42" s="31" t="n">
        <v>1095582768000</v>
      </c>
      <c r="AA42" s="31" t="n">
        <v>2938236000</v>
      </c>
      <c r="AB42" s="31" t="n">
        <v>4798024355</v>
      </c>
      <c r="AC42" s="36" t="n">
        <v>0.002681893222329324</v>
      </c>
      <c r="AD42" s="29" t="inlineStr">
        <is>
          <t>yfinance_download</t>
        </is>
      </c>
      <c r="AE42" s="29" t="inlineStr">
        <is>
          <t>064760.KQ</t>
        </is>
      </c>
    </row>
    <row r="43" ht="24" customHeight="1">
      <c r="A43" s="24" t="inlineStr">
        <is>
          <t>2023-08-04</t>
        </is>
      </c>
      <c r="B43" s="30" t="n">
        <v>98300</v>
      </c>
      <c r="C43" s="30" t="n">
        <v>98900</v>
      </c>
      <c r="D43" s="30" t="n">
        <v>96800</v>
      </c>
      <c r="E43" s="30" t="n">
        <v>97800</v>
      </c>
      <c r="F43" s="30" t="n">
        <v>93730.5703125</v>
      </c>
      <c r="G43" s="30" t="n">
        <v>19462</v>
      </c>
      <c r="H43" s="35" t="n">
        <v>-0.002040816326530637</v>
      </c>
      <c r="I43" s="35" t="n">
        <v>-0.523159434422233</v>
      </c>
      <c r="J43" s="30" t="n">
        <v>100000</v>
      </c>
      <c r="K43" s="30" t="n">
        <v>103648.3333333333</v>
      </c>
      <c r="L43" s="30" t="n">
        <v>102540.8333333333</v>
      </c>
      <c r="M43" s="35" t="n">
        <v>0.3484527919713129</v>
      </c>
      <c r="N43" s="35" t="n">
        <v>0.3445255627794234</v>
      </c>
      <c r="O43" s="35" t="n">
        <v>-0.0842696629213483</v>
      </c>
      <c r="P43" s="35" t="n">
        <v>0.01768990634755463</v>
      </c>
      <c r="Q43" s="35" t="n">
        <v>-0.08512628624883067</v>
      </c>
      <c r="R43" s="35" t="n">
        <v>-0.02200000000000002</v>
      </c>
      <c r="S43" s="35" t="n">
        <v>-0.05642476965379728</v>
      </c>
      <c r="T43" s="35" t="n">
        <v>-0.04623361425123318</v>
      </c>
      <c r="U43" s="30" t="n">
        <v>128000</v>
      </c>
      <c r="V43" s="30" t="n">
        <v>87000</v>
      </c>
      <c r="W43" s="35" t="n">
        <v>-0.2359375</v>
      </c>
      <c r="X43" s="35" t="n">
        <v>0.1241379310344828</v>
      </c>
      <c r="Y43" s="30" t="n">
        <v>11179416</v>
      </c>
      <c r="Z43" s="30" t="n">
        <v>1093346884800</v>
      </c>
      <c r="AA43" s="30" t="n">
        <v>1903383600</v>
      </c>
      <c r="AB43" s="30" t="n">
        <v>4603183475</v>
      </c>
      <c r="AC43" s="35" t="n">
        <v>0.001740878056599737</v>
      </c>
      <c r="AD43" s="24" t="inlineStr">
        <is>
          <t>yfinance_download</t>
        </is>
      </c>
      <c r="AE43" s="24" t="inlineStr">
        <is>
          <t>064760.KQ</t>
        </is>
      </c>
    </row>
    <row r="44" ht="24" customHeight="1">
      <c r="A44" s="29" t="inlineStr">
        <is>
          <t>2023-08-07</t>
        </is>
      </c>
      <c r="B44" s="31" t="n">
        <v>97800</v>
      </c>
      <c r="C44" s="31" t="n">
        <v>97900</v>
      </c>
      <c r="D44" s="31" t="n">
        <v>95600</v>
      </c>
      <c r="E44" s="31" t="n">
        <v>96600</v>
      </c>
      <c r="F44" s="31" t="n">
        <v>92580.5</v>
      </c>
      <c r="G44" s="31" t="n">
        <v>18551</v>
      </c>
      <c r="H44" s="36" t="n">
        <v>-0.01226993865030679</v>
      </c>
      <c r="I44" s="36" t="n">
        <v>-0.5290102389078498</v>
      </c>
      <c r="J44" s="31" t="n">
        <v>99745</v>
      </c>
      <c r="K44" s="31" t="n">
        <v>103673.3333333333</v>
      </c>
      <c r="L44" s="31" t="n">
        <v>102450.8333333333</v>
      </c>
      <c r="M44" s="36" t="n">
        <v>0.3102512853532201</v>
      </c>
      <c r="N44" s="36" t="n">
        <v>0.3447992088532279</v>
      </c>
      <c r="O44" s="36" t="n">
        <v>-0.05014749262536877</v>
      </c>
      <c r="P44" s="36" t="n">
        <v>0.01577287066246047</v>
      </c>
      <c r="Q44" s="36" t="n">
        <v>-0.1005586592178771</v>
      </c>
      <c r="R44" s="36" t="n">
        <v>-0.03153040252644246</v>
      </c>
      <c r="S44" s="36" t="n">
        <v>-0.0682271236576425</v>
      </c>
      <c r="T44" s="36" t="n">
        <v>-0.05710869441439381</v>
      </c>
      <c r="U44" s="31" t="n">
        <v>122400</v>
      </c>
      <c r="V44" s="31" t="n">
        <v>87000</v>
      </c>
      <c r="W44" s="36" t="n">
        <v>-0.2107843137254902</v>
      </c>
      <c r="X44" s="36" t="n">
        <v>0.1103448275862069</v>
      </c>
      <c r="Y44" s="31" t="n">
        <v>11179416</v>
      </c>
      <c r="Z44" s="31" t="n">
        <v>1079931585600</v>
      </c>
      <c r="AA44" s="31" t="n">
        <v>1792026600</v>
      </c>
      <c r="AB44" s="31" t="n">
        <v>4393995290</v>
      </c>
      <c r="AC44" s="36" t="n">
        <v>0.0016593890056511</v>
      </c>
      <c r="AD44" s="29" t="inlineStr">
        <is>
          <t>yfinance_download</t>
        </is>
      </c>
      <c r="AE44" s="29" t="inlineStr">
        <is>
          <t>064760.KQ</t>
        </is>
      </c>
    </row>
    <row r="45" ht="24" customHeight="1">
      <c r="A45" s="24" t="inlineStr">
        <is>
          <t>2023-08-08</t>
        </is>
      </c>
      <c r="B45" s="30" t="n">
        <v>97700</v>
      </c>
      <c r="C45" s="30" t="n">
        <v>98500</v>
      </c>
      <c r="D45" s="30" t="n">
        <v>95500</v>
      </c>
      <c r="E45" s="30" t="n">
        <v>96700</v>
      </c>
      <c r="F45" s="30" t="n">
        <v>92676.34375</v>
      </c>
      <c r="G45" s="30" t="n">
        <v>19120</v>
      </c>
      <c r="H45" s="35" t="n">
        <v>0.00103519668737051</v>
      </c>
      <c r="I45" s="35" t="n">
        <v>-0.5285226718673818</v>
      </c>
      <c r="J45" s="30" t="n">
        <v>99590</v>
      </c>
      <c r="K45" s="30" t="n">
        <v>103668.3333333333</v>
      </c>
      <c r="L45" s="30" t="n">
        <v>102373.3333333333</v>
      </c>
      <c r="M45" s="35" t="n">
        <v>0.3043564228752051</v>
      </c>
      <c r="N45" s="35" t="n">
        <v>0.3424037295695005</v>
      </c>
      <c r="O45" s="35" t="n">
        <v>-0.03106212424849697</v>
      </c>
      <c r="P45" s="35" t="n">
        <v>-0.003092783505154628</v>
      </c>
      <c r="Q45" s="35" t="n">
        <v>-0.08773584905660381</v>
      </c>
      <c r="R45" s="35" t="n">
        <v>-0.02901897780901697</v>
      </c>
      <c r="S45" s="35" t="n">
        <v>-0.06721756884937535</v>
      </c>
      <c r="T45" s="35" t="n">
        <v>-0.05541807762438133</v>
      </c>
      <c r="U45" s="30" t="n">
        <v>121400</v>
      </c>
      <c r="V45" s="30" t="n">
        <v>87000</v>
      </c>
      <c r="W45" s="35" t="n">
        <v>-0.2034596375617792</v>
      </c>
      <c r="X45" s="35" t="n">
        <v>0.1114942528735632</v>
      </c>
      <c r="Y45" s="30" t="n">
        <v>11179416</v>
      </c>
      <c r="Z45" s="30" t="n">
        <v>1081049527200</v>
      </c>
      <c r="AA45" s="30" t="n">
        <v>1848904000</v>
      </c>
      <c r="AB45" s="30" t="n">
        <v>4286376420</v>
      </c>
      <c r="AC45" s="35" t="n">
        <v>0.001710286118702444</v>
      </c>
      <c r="AD45" s="24" t="inlineStr">
        <is>
          <t>yfinance_download</t>
        </is>
      </c>
      <c r="AE45" s="24" t="inlineStr">
        <is>
          <t>064760.KQ</t>
        </is>
      </c>
    </row>
    <row r="46" ht="24" customHeight="1">
      <c r="A46" s="29" t="inlineStr">
        <is>
          <t>2023-08-09</t>
        </is>
      </c>
      <c r="B46" s="31" t="n">
        <v>97100</v>
      </c>
      <c r="C46" s="31" t="n">
        <v>97600</v>
      </c>
      <c r="D46" s="31" t="n">
        <v>95100</v>
      </c>
      <c r="E46" s="31" t="n">
        <v>97100</v>
      </c>
      <c r="F46" s="31" t="n">
        <v>93059.703125</v>
      </c>
      <c r="G46" s="31" t="n">
        <v>19967</v>
      </c>
      <c r="H46" s="36" t="n">
        <v>0.004136504653567741</v>
      </c>
      <c r="I46" s="36" t="n">
        <v>-0.5265724037055095</v>
      </c>
      <c r="J46" s="31" t="n">
        <v>99280</v>
      </c>
      <c r="K46" s="31" t="n">
        <v>103663.3333333333</v>
      </c>
      <c r="L46" s="31" t="n">
        <v>102285.8333333333</v>
      </c>
      <c r="M46" s="36" t="n">
        <v>0.2734242339601864</v>
      </c>
      <c r="N46" s="36" t="n">
        <v>0.3424043604727373</v>
      </c>
      <c r="O46" s="36" t="n">
        <v>-0.06001936108422068</v>
      </c>
      <c r="P46" s="36" t="n">
        <v>-0.003080082135523576</v>
      </c>
      <c r="Q46" s="36" t="n">
        <v>-0.09758364312267653</v>
      </c>
      <c r="R46" s="36" t="n">
        <v>-0.02195809830781625</v>
      </c>
      <c r="S46" s="36" t="n">
        <v>-0.06331393292388821</v>
      </c>
      <c r="T46" s="36" t="n">
        <v>-0.05069942888800172</v>
      </c>
      <c r="U46" s="31" t="n">
        <v>121400</v>
      </c>
      <c r="V46" s="31" t="n">
        <v>87000</v>
      </c>
      <c r="W46" s="36" t="n">
        <v>-0.200164744645799</v>
      </c>
      <c r="X46" s="36" t="n">
        <v>0.1160919540229886</v>
      </c>
      <c r="Y46" s="31" t="n">
        <v>11179416</v>
      </c>
      <c r="Z46" s="31" t="n">
        <v>1085521293600</v>
      </c>
      <c r="AA46" s="31" t="n">
        <v>1938795700</v>
      </c>
      <c r="AB46" s="31" t="n">
        <v>4259469835</v>
      </c>
      <c r="AC46" s="36" t="n">
        <v>0.001786050362559189</v>
      </c>
      <c r="AD46" s="29" t="inlineStr">
        <is>
          <t>yfinance_download</t>
        </is>
      </c>
      <c r="AE46" s="29" t="inlineStr">
        <is>
          <t>064760.KQ</t>
        </is>
      </c>
    </row>
    <row r="47" ht="24" customHeight="1">
      <c r="A47" s="24" t="inlineStr">
        <is>
          <t>2023-08-10</t>
        </is>
      </c>
      <c r="B47" s="30" t="n">
        <v>96500</v>
      </c>
      <c r="C47" s="30" t="n">
        <v>99000</v>
      </c>
      <c r="D47" s="30" t="n">
        <v>95300</v>
      </c>
      <c r="E47" s="30" t="n">
        <v>98700</v>
      </c>
      <c r="F47" s="30" t="n">
        <v>94593.125</v>
      </c>
      <c r="G47" s="30" t="n">
        <v>34037</v>
      </c>
      <c r="H47" s="35" t="n">
        <v>0.01647785787847589</v>
      </c>
      <c r="I47" s="35" t="n">
        <v>-0.5187713310580204</v>
      </c>
      <c r="J47" s="30" t="n">
        <v>99015</v>
      </c>
      <c r="K47" s="30" t="n">
        <v>103700</v>
      </c>
      <c r="L47" s="30" t="n">
        <v>102224.1666666667</v>
      </c>
      <c r="M47" s="35" t="n">
        <v>0.2800889922428476</v>
      </c>
      <c r="N47" s="35" t="n">
        <v>0.3434382681863431</v>
      </c>
      <c r="O47" s="35" t="n">
        <v>-0.0509615384615385</v>
      </c>
      <c r="P47" s="35" t="n">
        <v>0.02279792746113984</v>
      </c>
      <c r="Q47" s="35" t="n">
        <v>-0.06974552309142323</v>
      </c>
      <c r="R47" s="35" t="n">
        <v>-0.003181336161187653</v>
      </c>
      <c r="S47" s="35" t="n">
        <v>-0.04821600771456125</v>
      </c>
      <c r="T47" s="35" t="n">
        <v>-0.03447488770594043</v>
      </c>
      <c r="U47" s="30" t="n">
        <v>121400</v>
      </c>
      <c r="V47" s="30" t="n">
        <v>87000</v>
      </c>
      <c r="W47" s="35" t="n">
        <v>-0.1869851729818781</v>
      </c>
      <c r="X47" s="35" t="n">
        <v>0.1344827586206896</v>
      </c>
      <c r="Y47" s="30" t="n">
        <v>11179416</v>
      </c>
      <c r="Z47" s="30" t="n">
        <v>1103408359200</v>
      </c>
      <c r="AA47" s="30" t="n">
        <v>3359451900</v>
      </c>
      <c r="AB47" s="30" t="n">
        <v>4262706430</v>
      </c>
      <c r="AC47" s="35" t="n">
        <v>0.003044613421667107</v>
      </c>
      <c r="AD47" s="24" t="inlineStr">
        <is>
          <t>yfinance_download</t>
        </is>
      </c>
      <c r="AE47" s="24" t="inlineStr">
        <is>
          <t>064760.KQ</t>
        </is>
      </c>
    </row>
    <row r="48" ht="24" customHeight="1">
      <c r="A48" s="29" t="inlineStr">
        <is>
          <t>2023-08-11</t>
        </is>
      </c>
      <c r="B48" s="31" t="n">
        <v>97500</v>
      </c>
      <c r="C48" s="31" t="n">
        <v>99000</v>
      </c>
      <c r="D48" s="31" t="n">
        <v>96300</v>
      </c>
      <c r="E48" s="31" t="n">
        <v>96400</v>
      </c>
      <c r="F48" s="31" t="n">
        <v>92388.828125</v>
      </c>
      <c r="G48" s="31" t="n">
        <v>21201</v>
      </c>
      <c r="H48" s="36" t="n">
        <v>-0.02330293819655527</v>
      </c>
      <c r="I48" s="36" t="n">
        <v>-0.529985372988786</v>
      </c>
      <c r="J48" s="31" t="n">
        <v>98635</v>
      </c>
      <c r="K48" s="31" t="n">
        <v>103688.3333333333</v>
      </c>
      <c r="L48" s="31" t="n">
        <v>102080</v>
      </c>
      <c r="M48" s="36" t="n">
        <v>0.2894271155696415</v>
      </c>
      <c r="N48" s="36" t="n">
        <v>0.3466911296671531</v>
      </c>
      <c r="O48" s="36" t="n">
        <v>-0.07307692307692304</v>
      </c>
      <c r="P48" s="36" t="n">
        <v>-0.007209062821833201</v>
      </c>
      <c r="Q48" s="36" t="n">
        <v>-0.1521547933157432</v>
      </c>
      <c r="R48" s="36" t="n">
        <v>-0.02265929943731937</v>
      </c>
      <c r="S48" s="36" t="n">
        <v>-0.07029077523990157</v>
      </c>
      <c r="T48" s="36" t="n">
        <v>-0.05564263322884011</v>
      </c>
      <c r="U48" s="31" t="n">
        <v>121400</v>
      </c>
      <c r="V48" s="31" t="n">
        <v>87000</v>
      </c>
      <c r="W48" s="36" t="n">
        <v>-0.2059308072487644</v>
      </c>
      <c r="X48" s="36" t="n">
        <v>0.1080459770114943</v>
      </c>
      <c r="Y48" s="31" t="n">
        <v>11179416</v>
      </c>
      <c r="Z48" s="31" t="n">
        <v>1077695702400</v>
      </c>
      <c r="AA48" s="31" t="n">
        <v>2043776400</v>
      </c>
      <c r="AB48" s="31" t="n">
        <v>4091942050</v>
      </c>
      <c r="AC48" s="36" t="n">
        <v>0.001896431799299713</v>
      </c>
      <c r="AD48" s="29" t="inlineStr">
        <is>
          <t>yfinance_download</t>
        </is>
      </c>
      <c r="AE48" s="29" t="inlineStr">
        <is>
          <t>064760.KQ</t>
        </is>
      </c>
    </row>
    <row r="49" ht="24" customHeight="1">
      <c r="A49" s="24" t="inlineStr">
        <is>
          <t>2023-08-14</t>
        </is>
      </c>
      <c r="B49" s="30" t="n">
        <v>97200</v>
      </c>
      <c r="C49" s="30" t="n">
        <v>97200</v>
      </c>
      <c r="D49" s="30" t="n">
        <v>95000</v>
      </c>
      <c r="E49" s="30" t="n">
        <v>96300</v>
      </c>
      <c r="F49" s="30" t="n">
        <v>92292.984375</v>
      </c>
      <c r="G49" s="30" t="n">
        <v>15487</v>
      </c>
      <c r="H49" s="35" t="n">
        <v>-0.001037344398340245</v>
      </c>
      <c r="I49" s="35" t="n">
        <v>-0.530472940029254</v>
      </c>
      <c r="J49" s="30" t="n">
        <v>98210</v>
      </c>
      <c r="K49" s="30" t="n">
        <v>103648.3333333333</v>
      </c>
      <c r="L49" s="30" t="n">
        <v>101938.3333333333</v>
      </c>
      <c r="M49" s="35" t="n">
        <v>0.2865419562058008</v>
      </c>
      <c r="N49" s="35" t="n">
        <v>0.3450141434167504</v>
      </c>
      <c r="O49" s="35" t="n">
        <v>-0.08110687022900764</v>
      </c>
      <c r="P49" s="35" t="n">
        <v>-0.0243161094224924</v>
      </c>
      <c r="Q49" s="35" t="n">
        <v>-0.1500441306266549</v>
      </c>
      <c r="R49" s="35" t="n">
        <v>-0.01944812137256902</v>
      </c>
      <c r="S49" s="35" t="n">
        <v>-0.07089678238916841</v>
      </c>
      <c r="T49" s="35" t="n">
        <v>-0.05531121756617563</v>
      </c>
      <c r="U49" s="30" t="n">
        <v>119600</v>
      </c>
      <c r="V49" s="30" t="n">
        <v>87000</v>
      </c>
      <c r="W49" s="35" t="n">
        <v>-0.1948160535117057</v>
      </c>
      <c r="X49" s="35" t="n">
        <v>0.106896551724138</v>
      </c>
      <c r="Y49" s="30" t="n">
        <v>11179416</v>
      </c>
      <c r="Z49" s="30" t="n">
        <v>1076577760800</v>
      </c>
      <c r="AA49" s="30" t="n">
        <v>1491398100</v>
      </c>
      <c r="AB49" s="30" t="n">
        <v>3985606195</v>
      </c>
      <c r="AC49" s="35" t="n">
        <v>0.001385313866126817</v>
      </c>
      <c r="AD49" s="24" t="inlineStr">
        <is>
          <t>yfinance_download</t>
        </is>
      </c>
      <c r="AE49" s="24" t="inlineStr">
        <is>
          <t>064760.KQ</t>
        </is>
      </c>
    </row>
    <row r="50" ht="24" customHeight="1">
      <c r="A50" s="29" t="inlineStr">
        <is>
          <t>2023-08-16</t>
        </is>
      </c>
      <c r="B50" s="31" t="n">
        <v>96300</v>
      </c>
      <c r="C50" s="31" t="n">
        <v>97500</v>
      </c>
      <c r="D50" s="31" t="n">
        <v>95100</v>
      </c>
      <c r="E50" s="31" t="n">
        <v>97300</v>
      </c>
      <c r="F50" s="31" t="n">
        <v>93251.375</v>
      </c>
      <c r="G50" s="31" t="n">
        <v>27443</v>
      </c>
      <c r="H50" s="36" t="n">
        <v>0.0103842159916927</v>
      </c>
      <c r="I50" s="36" t="n">
        <v>-0.5255972696245734</v>
      </c>
      <c r="J50" s="31" t="n">
        <v>97900</v>
      </c>
      <c r="K50" s="31" t="n">
        <v>103611.6666666667</v>
      </c>
      <c r="L50" s="31" t="n">
        <v>101779.1666666667</v>
      </c>
      <c r="M50" s="36" t="n">
        <v>0.2891534742009065</v>
      </c>
      <c r="N50" s="36" t="n">
        <v>0.3452793505000488</v>
      </c>
      <c r="O50" s="36" t="n">
        <v>-0.05990338164251208</v>
      </c>
      <c r="P50" s="36" t="n">
        <v>-0.02211055276381912</v>
      </c>
      <c r="Q50" s="36" t="n">
        <v>-0.1640893470790378</v>
      </c>
      <c r="R50" s="36" t="n">
        <v>-0.006128702757916216</v>
      </c>
      <c r="S50" s="36" t="n">
        <v>-0.06091656345006202</v>
      </c>
      <c r="T50" s="36" t="n">
        <v>-0.04400867892086635</v>
      </c>
      <c r="U50" s="31" t="n">
        <v>119600</v>
      </c>
      <c r="V50" s="31" t="n">
        <v>87000</v>
      </c>
      <c r="W50" s="36" t="n">
        <v>-0.1864548494983278</v>
      </c>
      <c r="X50" s="36" t="n">
        <v>0.1183908045977011</v>
      </c>
      <c r="Y50" s="31" t="n">
        <v>11179416</v>
      </c>
      <c r="Z50" s="31" t="n">
        <v>1087757176800</v>
      </c>
      <c r="AA50" s="31" t="n">
        <v>2670203900</v>
      </c>
      <c r="AB50" s="31" t="n">
        <v>3844003040</v>
      </c>
      <c r="AC50" s="36" t="n">
        <v>0.002454779390980709</v>
      </c>
      <c r="AD50" s="29" t="inlineStr">
        <is>
          <t>yfinance_download</t>
        </is>
      </c>
      <c r="AE50" s="29" t="inlineStr">
        <is>
          <t>064760.KQ</t>
        </is>
      </c>
    </row>
    <row r="51" ht="24" customHeight="1">
      <c r="A51" s="24" t="inlineStr">
        <is>
          <t>2023-08-17</t>
        </is>
      </c>
      <c r="B51" s="30" t="n">
        <v>97300</v>
      </c>
      <c r="C51" s="30" t="n">
        <v>98700</v>
      </c>
      <c r="D51" s="30" t="n">
        <v>96100</v>
      </c>
      <c r="E51" s="30" t="n">
        <v>97900</v>
      </c>
      <c r="F51" s="30" t="n">
        <v>93826.40625</v>
      </c>
      <c r="G51" s="30" t="n">
        <v>40137</v>
      </c>
      <c r="H51" s="35" t="n">
        <v>0.006166495375128367</v>
      </c>
      <c r="I51" s="35" t="n">
        <v>-0.522671867381765</v>
      </c>
      <c r="J51" s="30" t="n">
        <v>97675</v>
      </c>
      <c r="K51" s="30" t="n">
        <v>103526.6666666667</v>
      </c>
      <c r="L51" s="30" t="n">
        <v>101681.6666666667</v>
      </c>
      <c r="M51" s="35" t="n">
        <v>0.2893667078033949</v>
      </c>
      <c r="N51" s="35" t="n">
        <v>0.3376397521554638</v>
      </c>
      <c r="O51" s="35" t="n">
        <v>-0.0439453125</v>
      </c>
      <c r="P51" s="35" t="n">
        <v>-0.04951456310679614</v>
      </c>
      <c r="Q51" s="35" t="n">
        <v>-0.1067518248175182</v>
      </c>
      <c r="R51" s="35" t="n">
        <v>0.00230355771691837</v>
      </c>
      <c r="S51" s="35" t="n">
        <v>-0.05434992594500621</v>
      </c>
      <c r="T51" s="35" t="n">
        <v>-0.03719123408021774</v>
      </c>
      <c r="U51" s="30" t="n">
        <v>119600</v>
      </c>
      <c r="V51" s="30" t="n">
        <v>87000</v>
      </c>
      <c r="W51" s="35" t="n">
        <v>-0.181438127090301</v>
      </c>
      <c r="X51" s="35" t="n">
        <v>0.1252873563218391</v>
      </c>
      <c r="Y51" s="30" t="n">
        <v>11179416</v>
      </c>
      <c r="Z51" s="30" t="n">
        <v>1094464826400</v>
      </c>
      <c r="AA51" s="30" t="n">
        <v>3929412300</v>
      </c>
      <c r="AB51" s="30" t="n">
        <v>3817871415</v>
      </c>
      <c r="AC51" s="35" t="n">
        <v>0.00359025909761297</v>
      </c>
      <c r="AD51" s="24" t="inlineStr">
        <is>
          <t>yfinance_download</t>
        </is>
      </c>
      <c r="AE51" s="24" t="inlineStr">
        <is>
          <t>064760.KQ</t>
        </is>
      </c>
    </row>
    <row r="52" ht="24" customHeight="1">
      <c r="A52" s="29" t="inlineStr">
        <is>
          <t>2023-08-18</t>
        </is>
      </c>
      <c r="B52" s="31" t="n">
        <v>96400</v>
      </c>
      <c r="C52" s="31" t="n">
        <v>96900</v>
      </c>
      <c r="D52" s="31" t="n">
        <v>93800</v>
      </c>
      <c r="E52" s="31" t="n">
        <v>96200</v>
      </c>
      <c r="F52" s="31" t="n">
        <v>92197.1484375</v>
      </c>
      <c r="G52" s="31" t="n">
        <v>35767</v>
      </c>
      <c r="H52" s="36" t="n">
        <v>-0.01736465781409602</v>
      </c>
      <c r="I52" s="36" t="n">
        <v>-0.5309605070697221</v>
      </c>
      <c r="J52" s="31" t="n">
        <v>97385</v>
      </c>
      <c r="K52" s="31" t="n">
        <v>103388.3333333333</v>
      </c>
      <c r="L52" s="31" t="n">
        <v>101615.8333333333</v>
      </c>
      <c r="M52" s="36" t="n">
        <v>0.294388353594478</v>
      </c>
      <c r="N52" s="36" t="n">
        <v>0.3378459674703386</v>
      </c>
      <c r="O52" s="36" t="n">
        <v>-0.05686274509803924</v>
      </c>
      <c r="P52" s="36" t="n">
        <v>-0.07942583732057418</v>
      </c>
      <c r="Q52" s="36" t="n">
        <v>-0.07588856868395777</v>
      </c>
      <c r="R52" s="36" t="n">
        <v>-0.01216819838784211</v>
      </c>
      <c r="S52" s="36" t="n">
        <v>-0.06952750955136777</v>
      </c>
      <c r="T52" s="36" t="n">
        <v>-0.05329714037346533</v>
      </c>
      <c r="U52" s="31" t="n">
        <v>119600</v>
      </c>
      <c r="V52" s="31" t="n">
        <v>87000</v>
      </c>
      <c r="W52" s="36" t="n">
        <v>-0.1956521739130435</v>
      </c>
      <c r="X52" s="36" t="n">
        <v>0.1057471264367815</v>
      </c>
      <c r="Y52" s="31" t="n">
        <v>11179416</v>
      </c>
      <c r="Z52" s="31" t="n">
        <v>1075459819200</v>
      </c>
      <c r="AA52" s="31" t="n">
        <v>3440785400</v>
      </c>
      <c r="AB52" s="31" t="n">
        <v>3740887885</v>
      </c>
      <c r="AC52" s="36" t="n">
        <v>0.003199362113369786</v>
      </c>
      <c r="AD52" s="29" t="inlineStr">
        <is>
          <t>yfinance_download</t>
        </is>
      </c>
      <c r="AE52" s="29" t="inlineStr">
        <is>
          <t>064760.KQ</t>
        </is>
      </c>
    </row>
    <row r="53" ht="24" customHeight="1">
      <c r="A53" s="24" t="inlineStr">
        <is>
          <t>2023-08-21</t>
        </is>
      </c>
      <c r="B53" s="30" t="n">
        <v>98000</v>
      </c>
      <c r="C53" s="30" t="n">
        <v>98000</v>
      </c>
      <c r="D53" s="30" t="n">
        <v>94200</v>
      </c>
      <c r="E53" s="30" t="n">
        <v>95000</v>
      </c>
      <c r="F53" s="30" t="n">
        <v>91047.078125</v>
      </c>
      <c r="G53" s="30" t="n">
        <v>26504</v>
      </c>
      <c r="H53" s="35" t="n">
        <v>-0.01247401247401247</v>
      </c>
      <c r="I53" s="35" t="n">
        <v>-0.5368113115553388</v>
      </c>
      <c r="J53" s="30" t="n">
        <v>97135</v>
      </c>
      <c r="K53" s="30" t="n">
        <v>103228.3333333333</v>
      </c>
      <c r="L53" s="30" t="n">
        <v>101505</v>
      </c>
      <c r="M53" s="35" t="n">
        <v>0.2900304884575268</v>
      </c>
      <c r="N53" s="35" t="n">
        <v>0.3386075940194768</v>
      </c>
      <c r="O53" s="35" t="n">
        <v>-0.05000000000000004</v>
      </c>
      <c r="P53" s="35" t="n">
        <v>-0.09177820267686421</v>
      </c>
      <c r="Q53" s="35" t="n">
        <v>-0.1228070175438597</v>
      </c>
      <c r="R53" s="35" t="n">
        <v>-0.02197971894785611</v>
      </c>
      <c r="S53" s="35" t="n">
        <v>-0.07971002793160786</v>
      </c>
      <c r="T53" s="35" t="n">
        <v>-0.06408551302891485</v>
      </c>
      <c r="U53" s="30" t="n">
        <v>119600</v>
      </c>
      <c r="V53" s="30" t="n">
        <v>87000</v>
      </c>
      <c r="W53" s="35" t="n">
        <v>-0.205685618729097</v>
      </c>
      <c r="X53" s="35" t="n">
        <v>0.09195402298850586</v>
      </c>
      <c r="Y53" s="30" t="n">
        <v>11179416</v>
      </c>
      <c r="Z53" s="30" t="n">
        <v>1062044520000</v>
      </c>
      <c r="AA53" s="30" t="n">
        <v>2517880000</v>
      </c>
      <c r="AB53" s="30" t="n">
        <v>3565356885</v>
      </c>
      <c r="AC53" s="35" t="n">
        <v>0.002370785736929371</v>
      </c>
      <c r="AD53" s="24" t="inlineStr">
        <is>
          <t>yfinance_download</t>
        </is>
      </c>
      <c r="AE53" s="24" t="inlineStr">
        <is>
          <t>064760.KQ</t>
        </is>
      </c>
    </row>
    <row r="54" ht="24" customHeight="1">
      <c r="A54" s="29" t="inlineStr">
        <is>
          <t>2023-08-22</t>
        </is>
      </c>
      <c r="B54" s="31" t="n">
        <v>94900</v>
      </c>
      <c r="C54" s="31" t="n">
        <v>95300</v>
      </c>
      <c r="D54" s="31" t="n">
        <v>90000</v>
      </c>
      <c r="E54" s="31" t="n">
        <v>90300</v>
      </c>
      <c r="F54" s="31" t="n">
        <v>86542.640625</v>
      </c>
      <c r="G54" s="31" t="n">
        <v>60977</v>
      </c>
      <c r="H54" s="36" t="n">
        <v>-0.04947368421052634</v>
      </c>
      <c r="I54" s="36" t="n">
        <v>-0.5597269624573379</v>
      </c>
      <c r="J54" s="31" t="n">
        <v>96790</v>
      </c>
      <c r="K54" s="31" t="n">
        <v>103025</v>
      </c>
      <c r="L54" s="31" t="n">
        <v>101370.8333333333</v>
      </c>
      <c r="M54" s="36" t="n">
        <v>0.3232765101948968</v>
      </c>
      <c r="N54" s="36" t="n">
        <v>0.3506848001329077</v>
      </c>
      <c r="O54" s="36" t="n">
        <v>-0.07098765432098764</v>
      </c>
      <c r="P54" s="36" t="n">
        <v>-0.1190243902439024</v>
      </c>
      <c r="Q54" s="36" t="n">
        <v>-0.1513157894736842</v>
      </c>
      <c r="R54" s="36" t="n">
        <v>-0.0670523814443641</v>
      </c>
      <c r="S54" s="36" t="n">
        <v>-0.1235137102644989</v>
      </c>
      <c r="T54" s="36" t="n">
        <v>-0.1092112293970159</v>
      </c>
      <c r="U54" s="31" t="n">
        <v>119600</v>
      </c>
      <c r="V54" s="31" t="n">
        <v>87000</v>
      </c>
      <c r="W54" s="36" t="n">
        <v>-0.2449832775919732</v>
      </c>
      <c r="X54" s="36" t="n">
        <v>0.03793103448275859</v>
      </c>
      <c r="Y54" s="31" t="n">
        <v>11179416</v>
      </c>
      <c r="Z54" s="31" t="n">
        <v>1009501264800</v>
      </c>
      <c r="AA54" s="31" t="n">
        <v>5506223100</v>
      </c>
      <c r="AB54" s="31" t="n">
        <v>3502480080</v>
      </c>
      <c r="AC54" s="36" t="n">
        <v>0.005454399406909985</v>
      </c>
      <c r="AD54" s="29" t="inlineStr">
        <is>
          <t>yfinance_download</t>
        </is>
      </c>
      <c r="AE54" s="29" t="inlineStr">
        <is>
          <t>064760.KQ</t>
        </is>
      </c>
    </row>
    <row r="55" ht="24" customHeight="1">
      <c r="A55" s="24" t="inlineStr">
        <is>
          <t>2023-08-23</t>
        </is>
      </c>
      <c r="B55" s="30" t="n">
        <v>89800</v>
      </c>
      <c r="C55" s="30" t="n">
        <v>90700</v>
      </c>
      <c r="D55" s="30" t="n">
        <v>88700</v>
      </c>
      <c r="E55" s="30" t="n">
        <v>90100</v>
      </c>
      <c r="F55" s="30" t="n">
        <v>86350.96875</v>
      </c>
      <c r="G55" s="30" t="n">
        <v>31021</v>
      </c>
      <c r="H55" s="35" t="n">
        <v>-0.002214839424141801</v>
      </c>
      <c r="I55" s="35" t="n">
        <v>-0.5607020965382741</v>
      </c>
      <c r="J55" s="30" t="n">
        <v>96515</v>
      </c>
      <c r="K55" s="30" t="n">
        <v>102803.3333333333</v>
      </c>
      <c r="L55" s="30" t="n">
        <v>101254.1666666667</v>
      </c>
      <c r="M55" s="35" t="n">
        <v>0.3196225688426459</v>
      </c>
      <c r="N55" s="35" t="n">
        <v>0.349981779141598</v>
      </c>
      <c r="O55" s="35" t="n">
        <v>-0.05753138075313813</v>
      </c>
      <c r="P55" s="35" t="n">
        <v>-0.1286266924564797</v>
      </c>
      <c r="Q55" s="35" t="n">
        <v>-0.1344860710854947</v>
      </c>
      <c r="R55" s="35" t="n">
        <v>-0.06646635238045895</v>
      </c>
      <c r="S55" s="35" t="n">
        <v>-0.1235692746668395</v>
      </c>
      <c r="T55" s="35" t="n">
        <v>-0.1101600757170488</v>
      </c>
      <c r="U55" s="30" t="n">
        <v>119600</v>
      </c>
      <c r="V55" s="30" t="n">
        <v>87000</v>
      </c>
      <c r="W55" s="35" t="n">
        <v>-0.2466555183946488</v>
      </c>
      <c r="X55" s="35" t="n">
        <v>0.03563218390804601</v>
      </c>
      <c r="Y55" s="30" t="n">
        <v>11179416</v>
      </c>
      <c r="Z55" s="30" t="n">
        <v>1007265381600</v>
      </c>
      <c r="AA55" s="30" t="n">
        <v>2794992100</v>
      </c>
      <c r="AB55" s="30" t="n">
        <v>3379109805</v>
      </c>
      <c r="AC55" s="35" t="n">
        <v>0.002774831887461742</v>
      </c>
      <c r="AD55" s="24" t="inlineStr">
        <is>
          <t>yfinance_download</t>
        </is>
      </c>
      <c r="AE55" s="24" t="inlineStr">
        <is>
          <t>064760.KQ</t>
        </is>
      </c>
    </row>
    <row r="56" ht="24" customHeight="1">
      <c r="A56" s="29" t="inlineStr">
        <is>
          <t>2023-08-24</t>
        </is>
      </c>
      <c r="B56" s="31" t="n">
        <v>91300</v>
      </c>
      <c r="C56" s="31" t="n">
        <v>92500</v>
      </c>
      <c r="D56" s="31" t="n">
        <v>90300</v>
      </c>
      <c r="E56" s="31" t="n">
        <v>91900</v>
      </c>
      <c r="F56" s="31" t="n">
        <v>88076.0703125</v>
      </c>
      <c r="G56" s="31" t="n">
        <v>35155</v>
      </c>
      <c r="H56" s="36" t="n">
        <v>0.01997780244173142</v>
      </c>
      <c r="I56" s="36" t="n">
        <v>-0.5519258898098489</v>
      </c>
      <c r="J56" s="31" t="n">
        <v>96440</v>
      </c>
      <c r="K56" s="31" t="n">
        <v>102620</v>
      </c>
      <c r="L56" s="31" t="n">
        <v>101135.8333333333</v>
      </c>
      <c r="M56" s="36" t="n">
        <v>0.3199315398007045</v>
      </c>
      <c r="N56" s="36" t="n">
        <v>0.3528220911399957</v>
      </c>
      <c r="O56" s="36" t="n">
        <v>-0.01605995717344755</v>
      </c>
      <c r="P56" s="36" t="n">
        <v>-0.1068999028182702</v>
      </c>
      <c r="Q56" s="36" t="n">
        <v>-0.1338360037700282</v>
      </c>
      <c r="R56" s="36" t="n">
        <v>-0.04707590211530488</v>
      </c>
      <c r="S56" s="36" t="n">
        <v>-0.1044630676281426</v>
      </c>
      <c r="T56" s="36" t="n">
        <v>-0.0913210780880499</v>
      </c>
      <c r="U56" s="31" t="n">
        <v>119600</v>
      </c>
      <c r="V56" s="31" t="n">
        <v>87000</v>
      </c>
      <c r="W56" s="36" t="n">
        <v>-0.2316053511705686</v>
      </c>
      <c r="X56" s="36" t="n">
        <v>0.05632183908045985</v>
      </c>
      <c r="Y56" s="31" t="n">
        <v>11179416</v>
      </c>
      <c r="Z56" s="31" t="n">
        <v>1027388330400</v>
      </c>
      <c r="AA56" s="31" t="n">
        <v>3230744500</v>
      </c>
      <c r="AB56" s="31" t="n">
        <v>3130695750</v>
      </c>
      <c r="AC56" s="36" t="n">
        <v>0.003144618645553578</v>
      </c>
      <c r="AD56" s="29" t="inlineStr">
        <is>
          <t>yfinance_download</t>
        </is>
      </c>
      <c r="AE56" s="29" t="inlineStr">
        <is>
          <t>064760.KQ</t>
        </is>
      </c>
    </row>
    <row r="57" ht="24" customHeight="1">
      <c r="A57" s="24" t="inlineStr">
        <is>
          <t>2023-08-25</t>
        </is>
      </c>
      <c r="B57" s="30" t="n">
        <v>90900</v>
      </c>
      <c r="C57" s="30" t="n">
        <v>91900</v>
      </c>
      <c r="D57" s="30" t="n">
        <v>89300</v>
      </c>
      <c r="E57" s="30" t="n">
        <v>91700</v>
      </c>
      <c r="F57" s="30" t="n">
        <v>87884.390625</v>
      </c>
      <c r="G57" s="30" t="n">
        <v>22755</v>
      </c>
      <c r="H57" s="35" t="n">
        <v>-0.002176278563656098</v>
      </c>
      <c r="I57" s="35" t="n">
        <v>-0.552901023890785</v>
      </c>
      <c r="J57" s="30" t="n">
        <v>96125</v>
      </c>
      <c r="K57" s="30" t="n">
        <v>102395</v>
      </c>
      <c r="L57" s="30" t="n">
        <v>101032.5</v>
      </c>
      <c r="M57" s="35" t="n">
        <v>0.2601031366807525</v>
      </c>
      <c r="N57" s="35" t="n">
        <v>0.3492612026208307</v>
      </c>
      <c r="O57" s="35" t="n">
        <v>-0.06428571428571428</v>
      </c>
      <c r="P57" s="35" t="n">
        <v>-0.1283269961977186</v>
      </c>
      <c r="Q57" s="35" t="n">
        <v>-0.1191162343900096</v>
      </c>
      <c r="R57" s="35" t="n">
        <v>-0.04603381014304286</v>
      </c>
      <c r="S57" s="35" t="n">
        <v>-0.1044484593974315</v>
      </c>
      <c r="T57" s="35" t="n">
        <v>-0.09237126667161555</v>
      </c>
      <c r="U57" s="30" t="n">
        <v>116600</v>
      </c>
      <c r="V57" s="30" t="n">
        <v>87000</v>
      </c>
      <c r="W57" s="35" t="n">
        <v>-0.2135506003430532</v>
      </c>
      <c r="X57" s="35" t="n">
        <v>0.05402298850574705</v>
      </c>
      <c r="Y57" s="30" t="n">
        <v>11179416</v>
      </c>
      <c r="Z57" s="30" t="n">
        <v>1025152447200</v>
      </c>
      <c r="AA57" s="30" t="n">
        <v>2086633500</v>
      </c>
      <c r="AB57" s="30" t="n">
        <v>2945501125</v>
      </c>
      <c r="AC57" s="35" t="n">
        <v>0.002035437271499692</v>
      </c>
      <c r="AD57" s="24" t="inlineStr">
        <is>
          <t>yfinance_download</t>
        </is>
      </c>
      <c r="AE57" s="24" t="inlineStr">
        <is>
          <t>064760.KQ</t>
        </is>
      </c>
    </row>
    <row r="58" ht="24" customHeight="1">
      <c r="A58" s="29" t="inlineStr">
        <is>
          <t>2023-08-28</t>
        </is>
      </c>
      <c r="B58" s="31" t="n">
        <v>92800</v>
      </c>
      <c r="C58" s="31" t="n">
        <v>92800</v>
      </c>
      <c r="D58" s="31" t="n">
        <v>89700</v>
      </c>
      <c r="E58" s="31" t="n">
        <v>90700</v>
      </c>
      <c r="F58" s="31" t="n">
        <v>86926</v>
      </c>
      <c r="G58" s="31" t="n">
        <v>20523</v>
      </c>
      <c r="H58" s="36" t="n">
        <v>-0.01090512540894217</v>
      </c>
      <c r="I58" s="36" t="n">
        <v>-0.5577766942954656</v>
      </c>
      <c r="J58" s="31" t="n">
        <v>95770</v>
      </c>
      <c r="K58" s="31" t="n">
        <v>102145</v>
      </c>
      <c r="L58" s="31" t="n">
        <v>100935</v>
      </c>
      <c r="M58" s="36" t="n">
        <v>0.2614844789821101</v>
      </c>
      <c r="N58" s="36" t="n">
        <v>0.349432967869764</v>
      </c>
      <c r="O58" s="36" t="n">
        <v>-0.07259713701431492</v>
      </c>
      <c r="P58" s="36" t="n">
        <v>-0.1419110690633869</v>
      </c>
      <c r="Q58" s="36" t="n">
        <v>-0.1142578125</v>
      </c>
      <c r="R58" s="36" t="n">
        <v>-0.05293933382061189</v>
      </c>
      <c r="S58" s="36" t="n">
        <v>-0.1120466004209701</v>
      </c>
      <c r="T58" s="36" t="n">
        <v>-0.1014018923069302</v>
      </c>
      <c r="U58" s="31" t="n">
        <v>116400</v>
      </c>
      <c r="V58" s="31" t="n">
        <v>87000</v>
      </c>
      <c r="W58" s="36" t="n">
        <v>-0.2207903780068728</v>
      </c>
      <c r="X58" s="36" t="n">
        <v>0.04252873563218396</v>
      </c>
      <c r="Y58" s="31" t="n">
        <v>11179416</v>
      </c>
      <c r="Z58" s="31" t="n">
        <v>1013973031200</v>
      </c>
      <c r="AA58" s="31" t="n">
        <v>1861436100</v>
      </c>
      <c r="AB58" s="31" t="n">
        <v>2834014450</v>
      </c>
      <c r="AC58" s="36" t="n">
        <v>0.001835784624169992</v>
      </c>
      <c r="AD58" s="29" t="inlineStr">
        <is>
          <t>yfinance_download</t>
        </is>
      </c>
      <c r="AE58" s="29" t="inlineStr">
        <is>
          <t>064760.KQ</t>
        </is>
      </c>
    </row>
    <row r="59" ht="24" customHeight="1">
      <c r="A59" s="24" t="inlineStr">
        <is>
          <t>2023-08-29</t>
        </is>
      </c>
      <c r="B59" s="30" t="n">
        <v>91400</v>
      </c>
      <c r="C59" s="30" t="n">
        <v>92200</v>
      </c>
      <c r="D59" s="30" t="n">
        <v>90600</v>
      </c>
      <c r="E59" s="30" t="n">
        <v>92100</v>
      </c>
      <c r="F59" s="30" t="n">
        <v>88267.7421875</v>
      </c>
      <c r="G59" s="30" t="n">
        <v>23403</v>
      </c>
      <c r="H59" s="35" t="n">
        <v>0.0154355016538037</v>
      </c>
      <c r="I59" s="35" t="n">
        <v>-0.5509507557289127</v>
      </c>
      <c r="J59" s="30" t="n">
        <v>95420</v>
      </c>
      <c r="K59" s="30" t="n">
        <v>101921.6666666667</v>
      </c>
      <c r="L59" s="30" t="n">
        <v>100838.3333333333</v>
      </c>
      <c r="M59" s="35" t="n">
        <v>0.2634274632813725</v>
      </c>
      <c r="N59" s="35" t="n">
        <v>0.3513206466657545</v>
      </c>
      <c r="O59" s="35" t="n">
        <v>-0.07063572149344099</v>
      </c>
      <c r="P59" s="35" t="n">
        <v>-0.1270142180094787</v>
      </c>
      <c r="Q59" s="35" t="n">
        <v>-0.1118611378977821</v>
      </c>
      <c r="R59" s="35" t="n">
        <v>-0.03479354433032911</v>
      </c>
      <c r="S59" s="35" t="n">
        <v>-0.09636485536277861</v>
      </c>
      <c r="T59" s="35" t="n">
        <v>-0.08665685999041361</v>
      </c>
      <c r="U59" s="30" t="n">
        <v>116400</v>
      </c>
      <c r="V59" s="30" t="n">
        <v>87000</v>
      </c>
      <c r="W59" s="35" t="n">
        <v>-0.2087628865979382</v>
      </c>
      <c r="X59" s="35" t="n">
        <v>0.05862068965517242</v>
      </c>
      <c r="Y59" s="30" t="n">
        <v>11179416</v>
      </c>
      <c r="Z59" s="30" t="n">
        <v>1029624213600</v>
      </c>
      <c r="AA59" s="30" t="n">
        <v>2155416300</v>
      </c>
      <c r="AB59" s="30" t="n">
        <v>2727303135</v>
      </c>
      <c r="AC59" s="35" t="n">
        <v>0.002093400943305089</v>
      </c>
      <c r="AD59" s="24" t="inlineStr">
        <is>
          <t>yfinance_download</t>
        </is>
      </c>
      <c r="AE59" s="24" t="inlineStr">
        <is>
          <t>064760.KQ</t>
        </is>
      </c>
    </row>
    <row r="60" ht="24" customHeight="1">
      <c r="A60" s="29" t="inlineStr">
        <is>
          <t>2023-08-30</t>
        </is>
      </c>
      <c r="B60" s="31" t="n">
        <v>92500</v>
      </c>
      <c r="C60" s="31" t="n">
        <v>93200</v>
      </c>
      <c r="D60" s="31" t="n">
        <v>91500</v>
      </c>
      <c r="E60" s="31" t="n">
        <v>92000</v>
      </c>
      <c r="F60" s="31" t="n">
        <v>88171.90625</v>
      </c>
      <c r="G60" s="31" t="n">
        <v>18912</v>
      </c>
      <c r="H60" s="36" t="n">
        <v>-0.001085776330076005</v>
      </c>
      <c r="I60" s="36" t="n">
        <v>-0.5514383227693809</v>
      </c>
      <c r="J60" s="31" t="n">
        <v>95020</v>
      </c>
      <c r="K60" s="31" t="n">
        <v>101700</v>
      </c>
      <c r="L60" s="31" t="n">
        <v>100746.6666666667</v>
      </c>
      <c r="M60" s="36" t="n">
        <v>0.2594165255852466</v>
      </c>
      <c r="N60" s="36" t="n">
        <v>0.3513257974538748</v>
      </c>
      <c r="O60" s="36" t="n">
        <v>-0.07999999999999996</v>
      </c>
      <c r="P60" s="36" t="n">
        <v>-0.1263057929724596</v>
      </c>
      <c r="Q60" s="36" t="n">
        <v>-0.1067961165048543</v>
      </c>
      <c r="R60" s="36" t="n">
        <v>-0.03178278257209011</v>
      </c>
      <c r="S60" s="36" t="n">
        <v>-0.09537856440511305</v>
      </c>
      <c r="T60" s="36" t="n">
        <v>-0.08681842244573856</v>
      </c>
      <c r="U60" s="31" t="n">
        <v>116400</v>
      </c>
      <c r="V60" s="31" t="n">
        <v>87000</v>
      </c>
      <c r="W60" s="36" t="n">
        <v>-0.2096219931271478</v>
      </c>
      <c r="X60" s="36" t="n">
        <v>0.05747126436781613</v>
      </c>
      <c r="Y60" s="31" t="n">
        <v>11179416</v>
      </c>
      <c r="Z60" s="31" t="n">
        <v>1028506272000</v>
      </c>
      <c r="AA60" s="31" t="n">
        <v>1739904000</v>
      </c>
      <c r="AB60" s="31" t="n">
        <v>2635388335</v>
      </c>
      <c r="AC60" s="36" t="n">
        <v>0.001691680495653798</v>
      </c>
      <c r="AD60" s="29" t="inlineStr">
        <is>
          <t>yfinance_download</t>
        </is>
      </c>
      <c r="AE60" s="29" t="inlineStr">
        <is>
          <t>064760.KQ</t>
        </is>
      </c>
    </row>
    <row r="61" ht="24" customHeight="1">
      <c r="A61" s="24" t="inlineStr">
        <is>
          <t>2023-08-31</t>
        </is>
      </c>
      <c r="B61" s="30" t="n">
        <v>92200</v>
      </c>
      <c r="C61" s="30" t="n">
        <v>92200</v>
      </c>
      <c r="D61" s="30" t="n">
        <v>90700</v>
      </c>
      <c r="E61" s="30" t="n">
        <v>91800</v>
      </c>
      <c r="F61" s="30" t="n">
        <v>87980.234375</v>
      </c>
      <c r="G61" s="30" t="n">
        <v>25202</v>
      </c>
      <c r="H61" s="35" t="n">
        <v>-0.002173913043478248</v>
      </c>
      <c r="I61" s="35" t="n">
        <v>-0.552413456850317</v>
      </c>
      <c r="J61" s="30" t="n">
        <v>94730</v>
      </c>
      <c r="K61" s="30" t="n">
        <v>101508.3333333333</v>
      </c>
      <c r="L61" s="30" t="n">
        <v>100654.1666666667</v>
      </c>
      <c r="M61" s="35" t="n">
        <v>0.2484719742888244</v>
      </c>
      <c r="N61" s="35" t="n">
        <v>0.3495388641582027</v>
      </c>
      <c r="O61" s="35" t="n">
        <v>-0.05942622950819676</v>
      </c>
      <c r="P61" s="35" t="n">
        <v>-0.111326234269119</v>
      </c>
      <c r="Q61" s="35" t="n">
        <v>-0.1078717201166181</v>
      </c>
      <c r="R61" s="35" t="n">
        <v>-0.03093001161194975</v>
      </c>
      <c r="S61" s="35" t="n">
        <v>-0.09564075199080535</v>
      </c>
      <c r="T61" s="35" t="n">
        <v>-0.08796622097114715</v>
      </c>
      <c r="U61" s="30" t="n">
        <v>116400</v>
      </c>
      <c r="V61" s="30" t="n">
        <v>87000</v>
      </c>
      <c r="W61" s="35" t="n">
        <v>-0.211340206185567</v>
      </c>
      <c r="X61" s="35" t="n">
        <v>0.05517241379310356</v>
      </c>
      <c r="Y61" s="30" t="n">
        <v>11179416</v>
      </c>
      <c r="Z61" s="30" t="n">
        <v>1026270388800</v>
      </c>
      <c r="AA61" s="30" t="n">
        <v>2313543600</v>
      </c>
      <c r="AB61" s="30" t="n">
        <v>2578157355</v>
      </c>
      <c r="AC61" s="35" t="n">
        <v>0.002254321692653713</v>
      </c>
      <c r="AD61" s="24" t="inlineStr">
        <is>
          <t>yfinance_download</t>
        </is>
      </c>
      <c r="AE61" s="24" t="inlineStr">
        <is>
          <t>064760.KQ</t>
        </is>
      </c>
    </row>
    <row r="62" ht="24" customHeight="1">
      <c r="A62" s="29" t="inlineStr">
        <is>
          <t>2023-09-01</t>
        </is>
      </c>
      <c r="B62" s="31" t="n">
        <v>91500</v>
      </c>
      <c r="C62" s="31" t="n">
        <v>97200</v>
      </c>
      <c r="D62" s="31" t="n">
        <v>90800</v>
      </c>
      <c r="E62" s="31" t="n">
        <v>97000</v>
      </c>
      <c r="F62" s="31" t="n">
        <v>92963.859375</v>
      </c>
      <c r="G62" s="31" t="n">
        <v>64784</v>
      </c>
      <c r="H62" s="36" t="n">
        <v>0.05664488017429203</v>
      </c>
      <c r="I62" s="36" t="n">
        <v>-0.5270599707459775</v>
      </c>
      <c r="J62" s="31" t="n">
        <v>94680</v>
      </c>
      <c r="K62" s="31" t="n">
        <v>101431.6666666667</v>
      </c>
      <c r="L62" s="31" t="n">
        <v>100612.5</v>
      </c>
      <c r="M62" s="36" t="n">
        <v>0.326097666636792</v>
      </c>
      <c r="N62" s="36" t="n">
        <v>0.367998980076196</v>
      </c>
      <c r="O62" s="36" t="n">
        <v>-0.01020408163265307</v>
      </c>
      <c r="P62" s="36" t="n">
        <v>-0.04527559055118113</v>
      </c>
      <c r="Q62" s="36" t="n">
        <v>-0.0490196078431373</v>
      </c>
      <c r="R62" s="36" t="n">
        <v>0.02450359104351496</v>
      </c>
      <c r="S62" s="36" t="n">
        <v>-0.04369115496475462</v>
      </c>
      <c r="T62" s="36" t="n">
        <v>-0.03590508137656856</v>
      </c>
      <c r="U62" s="31" t="n">
        <v>116400</v>
      </c>
      <c r="V62" s="31" t="n">
        <v>87000</v>
      </c>
      <c r="W62" s="36" t="n">
        <v>-0.1666666666666666</v>
      </c>
      <c r="X62" s="36" t="n">
        <v>0.1149425287356323</v>
      </c>
      <c r="Y62" s="31" t="n">
        <v>11179416</v>
      </c>
      <c r="Z62" s="31" t="n">
        <v>1084403352000</v>
      </c>
      <c r="AA62" s="31" t="n">
        <v>6284048000</v>
      </c>
      <c r="AB62" s="31" t="n">
        <v>2745447955</v>
      </c>
      <c r="AC62" s="36" t="n">
        <v>0.00579493597876669</v>
      </c>
      <c r="AD62" s="29" t="inlineStr">
        <is>
          <t>yfinance_download</t>
        </is>
      </c>
      <c r="AE62" s="29" t="inlineStr">
        <is>
          <t>064760.KQ</t>
        </is>
      </c>
    </row>
    <row r="63" ht="24" customHeight="1">
      <c r="A63" s="24" t="inlineStr">
        <is>
          <t>2023-09-04</t>
        </is>
      </c>
      <c r="B63" s="30" t="n">
        <v>97300</v>
      </c>
      <c r="C63" s="30" t="n">
        <v>97400</v>
      </c>
      <c r="D63" s="30" t="n">
        <v>96000</v>
      </c>
      <c r="E63" s="30" t="n">
        <v>97400</v>
      </c>
      <c r="F63" s="30" t="n">
        <v>93347.21875</v>
      </c>
      <c r="G63" s="30" t="n">
        <v>24777</v>
      </c>
      <c r="H63" s="35" t="n">
        <v>0.004123711340206171</v>
      </c>
      <c r="I63" s="35" t="n">
        <v>-0.5251097025841054</v>
      </c>
      <c r="J63" s="30" t="n">
        <v>94660</v>
      </c>
      <c r="K63" s="30" t="n">
        <v>101365</v>
      </c>
      <c r="L63" s="30" t="n">
        <v>100596.6666666667</v>
      </c>
      <c r="M63" s="35" t="n">
        <v>0.3263984935873662</v>
      </c>
      <c r="N63" s="35" t="n">
        <v>0.3681075196312776</v>
      </c>
      <c r="O63" s="35" t="n">
        <v>-0.004089979550102263</v>
      </c>
      <c r="P63" s="35" t="n">
        <v>-0.03944773175542404</v>
      </c>
      <c r="Q63" s="35" t="n">
        <v>-0.01913393756294057</v>
      </c>
      <c r="R63" s="35" t="n">
        <v>0.02894570040143662</v>
      </c>
      <c r="S63" s="35" t="n">
        <v>-0.03911606570315196</v>
      </c>
      <c r="T63" s="35" t="n">
        <v>-0.03177706352099141</v>
      </c>
      <c r="U63" s="30" t="n">
        <v>116400</v>
      </c>
      <c r="V63" s="30" t="n">
        <v>87000</v>
      </c>
      <c r="W63" s="35" t="n">
        <v>-0.1632302405498282</v>
      </c>
      <c r="X63" s="35" t="n">
        <v>0.1195402298850574</v>
      </c>
      <c r="Y63" s="30" t="n">
        <v>11179416</v>
      </c>
      <c r="Z63" s="30" t="n">
        <v>1088875118400</v>
      </c>
      <c r="AA63" s="30" t="n">
        <v>2413279800</v>
      </c>
      <c r="AB63" s="30" t="n">
        <v>2770942765</v>
      </c>
      <c r="AC63" s="35" t="n">
        <v>0.002216305395559124</v>
      </c>
      <c r="AD63" s="24" t="inlineStr">
        <is>
          <t>yfinance_download</t>
        </is>
      </c>
      <c r="AE63" s="24" t="inlineStr">
        <is>
          <t>064760.KQ</t>
        </is>
      </c>
    </row>
    <row r="64" ht="24" customHeight="1">
      <c r="A64" s="29" t="inlineStr">
        <is>
          <t>2023-09-05</t>
        </is>
      </c>
      <c r="B64" s="31" t="n">
        <v>97600</v>
      </c>
      <c r="C64" s="31" t="n">
        <v>97600</v>
      </c>
      <c r="D64" s="31" t="n">
        <v>95500</v>
      </c>
      <c r="E64" s="31" t="n">
        <v>96300</v>
      </c>
      <c r="F64" s="31" t="n">
        <v>92292.984375</v>
      </c>
      <c r="G64" s="31" t="n">
        <v>21030</v>
      </c>
      <c r="H64" s="36" t="n">
        <v>-0.01129363449691989</v>
      </c>
      <c r="I64" s="36" t="n">
        <v>-0.530472940029254</v>
      </c>
      <c r="J64" s="31" t="n">
        <v>94645</v>
      </c>
      <c r="K64" s="31" t="n">
        <v>101185</v>
      </c>
      <c r="L64" s="31" t="n">
        <v>100563.3333333333</v>
      </c>
      <c r="M64" s="36" t="n">
        <v>0.3259299732709574</v>
      </c>
      <c r="N64" s="36" t="n">
        <v>0.3492740349247944</v>
      </c>
      <c r="O64" s="36" t="n">
        <v>-0.003105590062111752</v>
      </c>
      <c r="P64" s="36" t="n">
        <v>-0.1008403361344538</v>
      </c>
      <c r="Q64" s="36" t="n">
        <v>-0.03988035892323027</v>
      </c>
      <c r="R64" s="36" t="n">
        <v>0.01748639653441808</v>
      </c>
      <c r="S64" s="36" t="n">
        <v>-0.04827790680436828</v>
      </c>
      <c r="T64" s="36" t="n">
        <v>-0.04239451092180713</v>
      </c>
      <c r="U64" s="31" t="n">
        <v>116400</v>
      </c>
      <c r="V64" s="31" t="n">
        <v>87000</v>
      </c>
      <c r="W64" s="36" t="n">
        <v>-0.1726804123711341</v>
      </c>
      <c r="X64" s="36" t="n">
        <v>0.106896551724138</v>
      </c>
      <c r="Y64" s="31" t="n">
        <v>11179416</v>
      </c>
      <c r="Z64" s="31" t="n">
        <v>1076577760800</v>
      </c>
      <c r="AA64" s="31" t="n">
        <v>2025189000</v>
      </c>
      <c r="AB64" s="31" t="n">
        <v>2782600885</v>
      </c>
      <c r="AC64" s="36" t="n">
        <v>0.001881135830351067</v>
      </c>
      <c r="AD64" s="29" t="inlineStr">
        <is>
          <t>yfinance_download</t>
        </is>
      </c>
      <c r="AE64" s="29" t="inlineStr">
        <is>
          <t>064760.KQ</t>
        </is>
      </c>
    </row>
    <row r="65" ht="24" customHeight="1">
      <c r="A65" s="24" t="inlineStr">
        <is>
          <t>2023-09-06</t>
        </is>
      </c>
      <c r="B65" s="30" t="n">
        <v>96300</v>
      </c>
      <c r="C65" s="30" t="n">
        <v>97100</v>
      </c>
      <c r="D65" s="30" t="n">
        <v>95100</v>
      </c>
      <c r="E65" s="30" t="n">
        <v>96800</v>
      </c>
      <c r="F65" s="30" t="n">
        <v>92772.1796875</v>
      </c>
      <c r="G65" s="30" t="n">
        <v>23052</v>
      </c>
      <c r="H65" s="35" t="n">
        <v>0.005192107995846351</v>
      </c>
      <c r="I65" s="35" t="n">
        <v>-0.5280351048269136</v>
      </c>
      <c r="J65" s="30" t="n">
        <v>94650</v>
      </c>
      <c r="K65" s="30" t="n">
        <v>101000</v>
      </c>
      <c r="L65" s="30" t="n">
        <v>100577.5</v>
      </c>
      <c r="M65" s="35" t="n">
        <v>0.3264312659592339</v>
      </c>
      <c r="N65" s="35" t="n">
        <v>0.3490544445225079</v>
      </c>
      <c r="O65" s="35" t="n">
        <v>0.001034126163391935</v>
      </c>
      <c r="P65" s="35" t="n">
        <v>-0.102873030583874</v>
      </c>
      <c r="Q65" s="35" t="n">
        <v>0.01787592008412209</v>
      </c>
      <c r="R65" s="35" t="n">
        <v>0.02271526677231916</v>
      </c>
      <c r="S65" s="35" t="n">
        <v>-0.04158415841584162</v>
      </c>
      <c r="T65" s="35" t="n">
        <v>-0.03755810196117426</v>
      </c>
      <c r="U65" s="30" t="n">
        <v>116400</v>
      </c>
      <c r="V65" s="30" t="n">
        <v>87000</v>
      </c>
      <c r="W65" s="35" t="n">
        <v>-0.1683848797250859</v>
      </c>
      <c r="X65" s="35" t="n">
        <v>0.1126436781609195</v>
      </c>
      <c r="Y65" s="30" t="n">
        <v>11179416</v>
      </c>
      <c r="Z65" s="30" t="n">
        <v>1082167468800</v>
      </c>
      <c r="AA65" s="30" t="n">
        <v>2231433600</v>
      </c>
      <c r="AB65" s="30" t="n">
        <v>2801727365</v>
      </c>
      <c r="AC65" s="35" t="n">
        <v>0.002062003954410499</v>
      </c>
      <c r="AD65" s="24" t="inlineStr">
        <is>
          <t>yfinance_download</t>
        </is>
      </c>
      <c r="AE65" s="24" t="inlineStr">
        <is>
          <t>064760.KQ</t>
        </is>
      </c>
    </row>
    <row r="66" ht="24" customHeight="1">
      <c r="A66" s="29" t="inlineStr">
        <is>
          <t>2023-09-07</t>
        </is>
      </c>
      <c r="B66" s="31" t="n">
        <v>96300</v>
      </c>
      <c r="C66" s="31" t="n">
        <v>96300</v>
      </c>
      <c r="D66" s="31" t="n">
        <v>94800</v>
      </c>
      <c r="E66" s="31" t="n">
        <v>95500</v>
      </c>
      <c r="F66" s="31" t="n">
        <v>91526.2734375</v>
      </c>
      <c r="G66" s="31" t="n">
        <v>19544</v>
      </c>
      <c r="H66" s="36" t="n">
        <v>-0.01342975206611574</v>
      </c>
      <c r="I66" s="36" t="n">
        <v>-0.5343734763529986</v>
      </c>
      <c r="J66" s="31" t="n">
        <v>94570</v>
      </c>
      <c r="K66" s="31" t="n">
        <v>100770</v>
      </c>
      <c r="L66" s="31" t="n">
        <v>100573.3333333333</v>
      </c>
      <c r="M66" s="36" t="n">
        <v>0.3295986467263732</v>
      </c>
      <c r="N66" s="36" t="n">
        <v>0.34854920758574</v>
      </c>
      <c r="O66" s="36" t="n">
        <v>-0.01647785787847578</v>
      </c>
      <c r="P66" s="36" t="n">
        <v>-0.1262580054894785</v>
      </c>
      <c r="Q66" s="36" t="n">
        <v>-0.00520833333333337</v>
      </c>
      <c r="R66" s="36" t="n">
        <v>0.009833985407634582</v>
      </c>
      <c r="S66" s="36" t="n">
        <v>-0.05229731070755184</v>
      </c>
      <c r="T66" s="36" t="n">
        <v>-0.05044412037650803</v>
      </c>
      <c r="U66" s="31" t="n">
        <v>116400</v>
      </c>
      <c r="V66" s="31" t="n">
        <v>87000</v>
      </c>
      <c r="W66" s="36" t="n">
        <v>-0.179553264604811</v>
      </c>
      <c r="X66" s="36" t="n">
        <v>0.09770114942528729</v>
      </c>
      <c r="Y66" s="31" t="n">
        <v>11179416</v>
      </c>
      <c r="Z66" s="31" t="n">
        <v>1067634228000</v>
      </c>
      <c r="AA66" s="31" t="n">
        <v>1866452000</v>
      </c>
      <c r="AB66" s="31" t="n">
        <v>2798110180</v>
      </c>
      <c r="AC66" s="36" t="n">
        <v>0.001748212965686222</v>
      </c>
      <c r="AD66" s="29" t="inlineStr">
        <is>
          <t>yfinance_download</t>
        </is>
      </c>
      <c r="AE66" s="29" t="inlineStr">
        <is>
          <t>064760.KQ</t>
        </is>
      </c>
    </row>
    <row r="67" ht="24" customHeight="1">
      <c r="A67" s="24" t="inlineStr">
        <is>
          <t>2023-09-08</t>
        </is>
      </c>
      <c r="B67" s="30" t="n">
        <v>96200</v>
      </c>
      <c r="C67" s="30" t="n">
        <v>96300</v>
      </c>
      <c r="D67" s="30" t="n">
        <v>93500</v>
      </c>
      <c r="E67" s="30" t="n">
        <v>95700</v>
      </c>
      <c r="F67" s="30" t="n">
        <v>91717.9609375</v>
      </c>
      <c r="G67" s="30" t="n">
        <v>25341</v>
      </c>
      <c r="H67" s="35" t="n">
        <v>0.002094240837696271</v>
      </c>
      <c r="I67" s="35" t="n">
        <v>-0.5333983422720624</v>
      </c>
      <c r="J67" s="30" t="n">
        <v>94420</v>
      </c>
      <c r="K67" s="30" t="n">
        <v>100595</v>
      </c>
      <c r="L67" s="30" t="n">
        <v>100562.5</v>
      </c>
      <c r="M67" s="35" t="n">
        <v>0.3235985207065187</v>
      </c>
      <c r="N67" s="35" t="n">
        <v>0.3442765864468272</v>
      </c>
      <c r="O67" s="35" t="n">
        <v>-0.03039513677811545</v>
      </c>
      <c r="P67" s="35" t="n">
        <v>-0.09887005649717517</v>
      </c>
      <c r="Q67" s="35" t="n">
        <v>-0.01340206185567006</v>
      </c>
      <c r="R67" s="35" t="n">
        <v>0.01355644990468119</v>
      </c>
      <c r="S67" s="35" t="n">
        <v>-0.04866047020229636</v>
      </c>
      <c r="T67" s="35" t="n">
        <v>-0.04835301429459293</v>
      </c>
      <c r="U67" s="30" t="n">
        <v>116400</v>
      </c>
      <c r="V67" s="30" t="n">
        <v>87000</v>
      </c>
      <c r="W67" s="35" t="n">
        <v>-0.1778350515463918</v>
      </c>
      <c r="X67" s="35" t="n">
        <v>0.1000000000000001</v>
      </c>
      <c r="Y67" s="30" t="n">
        <v>11179416</v>
      </c>
      <c r="Z67" s="30" t="n">
        <v>1069870111200</v>
      </c>
      <c r="AA67" s="30" t="n">
        <v>2425133700</v>
      </c>
      <c r="AB67" s="30" t="n">
        <v>2751394270</v>
      </c>
      <c r="AC67" s="35" t="n">
        <v>0.002266755258056414</v>
      </c>
      <c r="AD67" s="24" t="inlineStr">
        <is>
          <t>yfinance_download</t>
        </is>
      </c>
      <c r="AE67" s="24" t="inlineStr">
        <is>
          <t>064760.KQ</t>
        </is>
      </c>
    </row>
    <row r="68" ht="24" customHeight="1">
      <c r="A68" s="29" t="inlineStr">
        <is>
          <t>2023-09-11</t>
        </is>
      </c>
      <c r="B68" s="31" t="n">
        <v>95700</v>
      </c>
      <c r="C68" s="31" t="n">
        <v>95700</v>
      </c>
      <c r="D68" s="31" t="n">
        <v>91400</v>
      </c>
      <c r="E68" s="31" t="n">
        <v>92100</v>
      </c>
      <c r="F68" s="31" t="n">
        <v>88267.7421875</v>
      </c>
      <c r="G68" s="31" t="n">
        <v>26034</v>
      </c>
      <c r="H68" s="36" t="n">
        <v>-0.03761755485893414</v>
      </c>
      <c r="I68" s="36" t="n">
        <v>-0.5509507557289127</v>
      </c>
      <c r="J68" s="31" t="n">
        <v>94205</v>
      </c>
      <c r="K68" s="31" t="n">
        <v>100336.6666666667</v>
      </c>
      <c r="L68" s="31" t="n">
        <v>100465.8333333333</v>
      </c>
      <c r="M68" s="36" t="n">
        <v>0.3400519624946088</v>
      </c>
      <c r="N68" s="36" t="n">
        <v>0.3507028635648254</v>
      </c>
      <c r="O68" s="36" t="n">
        <v>-0.04460580912863066</v>
      </c>
      <c r="P68" s="36" t="n">
        <v>-0.1440520446096655</v>
      </c>
      <c r="Q68" s="36" t="n">
        <v>-0.1118611378977821</v>
      </c>
      <c r="R68" s="36" t="n">
        <v>-0.02234488615253971</v>
      </c>
      <c r="S68" s="36" t="n">
        <v>-0.08209029600345508</v>
      </c>
      <c r="T68" s="36" t="n">
        <v>-0.08327043190471051</v>
      </c>
      <c r="U68" s="31" t="n">
        <v>116400</v>
      </c>
      <c r="V68" s="31" t="n">
        <v>87000</v>
      </c>
      <c r="W68" s="36" t="n">
        <v>-0.2087628865979382</v>
      </c>
      <c r="X68" s="36" t="n">
        <v>0.05862068965517242</v>
      </c>
      <c r="Y68" s="31" t="n">
        <v>11179416</v>
      </c>
      <c r="Z68" s="31" t="n">
        <v>1029624213600</v>
      </c>
      <c r="AA68" s="31" t="n">
        <v>2397731400</v>
      </c>
      <c r="AB68" s="31" t="n">
        <v>2769092020</v>
      </c>
      <c r="AC68" s="36" t="n">
        <v>0.002328744184848296</v>
      </c>
      <c r="AD68" s="29" t="inlineStr">
        <is>
          <t>yfinance_download</t>
        </is>
      </c>
      <c r="AE68" s="29" t="inlineStr">
        <is>
          <t>064760.KQ</t>
        </is>
      </c>
    </row>
    <row r="69" ht="24" customHeight="1">
      <c r="A69" s="24" t="inlineStr">
        <is>
          <t>2023-09-12</t>
        </is>
      </c>
      <c r="B69" s="30" t="n">
        <v>92800</v>
      </c>
      <c r="C69" s="30" t="n">
        <v>93500</v>
      </c>
      <c r="D69" s="30" t="n">
        <v>91000</v>
      </c>
      <c r="E69" s="30" t="n">
        <v>93000</v>
      </c>
      <c r="F69" s="30" t="n">
        <v>89130.3046875</v>
      </c>
      <c r="G69" s="30" t="n">
        <v>29698</v>
      </c>
      <c r="H69" s="35" t="n">
        <v>0.009771986970684043</v>
      </c>
      <c r="I69" s="35" t="n">
        <v>-0.5465626523647001</v>
      </c>
      <c r="J69" s="30" t="n">
        <v>94040</v>
      </c>
      <c r="K69" s="30" t="n">
        <v>100133.3333333333</v>
      </c>
      <c r="L69" s="30" t="n">
        <v>100418.3333333333</v>
      </c>
      <c r="M69" s="35" t="n">
        <v>0.3426385350101131</v>
      </c>
      <c r="N69" s="35" t="n">
        <v>0.3490642516424066</v>
      </c>
      <c r="O69" s="35" t="n">
        <v>-0.03426791277258567</v>
      </c>
      <c r="P69" s="35" t="n">
        <v>-0.1159695817490495</v>
      </c>
      <c r="Q69" s="35" t="n">
        <v>-0.05775075987841949</v>
      </c>
      <c r="R69" s="35" t="n">
        <v>-0.01105912377711615</v>
      </c>
      <c r="S69" s="35" t="n">
        <v>-0.0712383488681757</v>
      </c>
      <c r="T69" s="35" t="n">
        <v>-0.07387429254286226</v>
      </c>
      <c r="U69" s="30" t="n">
        <v>116400</v>
      </c>
      <c r="V69" s="30" t="n">
        <v>87000</v>
      </c>
      <c r="W69" s="35" t="n">
        <v>-0.2010309278350515</v>
      </c>
      <c r="X69" s="35" t="n">
        <v>0.06896551724137923</v>
      </c>
      <c r="Y69" s="30" t="n">
        <v>11179416</v>
      </c>
      <c r="Z69" s="30" t="n">
        <v>1039685688000</v>
      </c>
      <c r="AA69" s="30" t="n">
        <v>2761914000</v>
      </c>
      <c r="AB69" s="30" t="n">
        <v>2832617815</v>
      </c>
      <c r="AC69" s="35" t="n">
        <v>0.002656489390859058</v>
      </c>
      <c r="AD69" s="24" t="inlineStr">
        <is>
          <t>yfinance_download</t>
        </is>
      </c>
      <c r="AE69" s="24" t="inlineStr">
        <is>
          <t>064760.KQ</t>
        </is>
      </c>
    </row>
    <row r="70" ht="24" customHeight="1">
      <c r="A70" s="29" t="inlineStr">
        <is>
          <t>2023-09-13</t>
        </is>
      </c>
      <c r="B70" s="31" t="n">
        <v>92700</v>
      </c>
      <c r="C70" s="31" t="n">
        <v>95400</v>
      </c>
      <c r="D70" s="31" t="n">
        <v>91900</v>
      </c>
      <c r="E70" s="31" t="n">
        <v>93200</v>
      </c>
      <c r="F70" s="31" t="n">
        <v>89321.984375</v>
      </c>
      <c r="G70" s="31" t="n">
        <v>34014</v>
      </c>
      <c r="H70" s="36" t="n">
        <v>0.002150537634408645</v>
      </c>
      <c r="I70" s="36" t="n">
        <v>-0.545587518283764</v>
      </c>
      <c r="J70" s="31" t="n">
        <v>93835</v>
      </c>
      <c r="K70" s="31" t="n">
        <v>99886.66666666667</v>
      </c>
      <c r="L70" s="31" t="n">
        <v>100375</v>
      </c>
      <c r="M70" s="36" t="n">
        <v>0.3400811283325223</v>
      </c>
      <c r="N70" s="36" t="n">
        <v>0.3441192184270089</v>
      </c>
      <c r="O70" s="36" t="n">
        <v>-0.04213771839671121</v>
      </c>
      <c r="P70" s="36" t="n">
        <v>-0.1370370370370371</v>
      </c>
      <c r="Q70" s="36" t="n">
        <v>-0.05284552845528456</v>
      </c>
      <c r="R70" s="36" t="n">
        <v>-0.006767197740715103</v>
      </c>
      <c r="S70" s="36" t="n">
        <v>-0.06694253487285595</v>
      </c>
      <c r="T70" s="36" t="n">
        <v>-0.07148194271481945</v>
      </c>
      <c r="U70" s="31" t="n">
        <v>116400</v>
      </c>
      <c r="V70" s="31" t="n">
        <v>87000</v>
      </c>
      <c r="W70" s="36" t="n">
        <v>-0.1993127147766323</v>
      </c>
      <c r="X70" s="36" t="n">
        <v>0.07126436781609202</v>
      </c>
      <c r="Y70" s="31" t="n">
        <v>11179416</v>
      </c>
      <c r="Z70" s="31" t="n">
        <v>1041921571200</v>
      </c>
      <c r="AA70" s="31" t="n">
        <v>3170104800</v>
      </c>
      <c r="AB70" s="31" t="n">
        <v>2857612860</v>
      </c>
      <c r="AC70" s="36" t="n">
        <v>0.003042556069118458</v>
      </c>
      <c r="AD70" s="29" t="inlineStr">
        <is>
          <t>yfinance_download</t>
        </is>
      </c>
      <c r="AE70" s="29" t="inlineStr">
        <is>
          <t>064760.KQ</t>
        </is>
      </c>
    </row>
    <row r="71" ht="24" customHeight="1">
      <c r="A71" s="24" t="inlineStr">
        <is>
          <t>2023-09-14</t>
        </is>
      </c>
      <c r="B71" s="30" t="n">
        <v>94300</v>
      </c>
      <c r="C71" s="30" t="n">
        <v>95700</v>
      </c>
      <c r="D71" s="30" t="n">
        <v>93000</v>
      </c>
      <c r="E71" s="30" t="n">
        <v>94500</v>
      </c>
      <c r="F71" s="30" t="n">
        <v>90567.8828125</v>
      </c>
      <c r="G71" s="30" t="n">
        <v>68702</v>
      </c>
      <c r="H71" s="35" t="n">
        <v>0.01394849785407715</v>
      </c>
      <c r="I71" s="35" t="n">
        <v>-0.5392491467576792</v>
      </c>
      <c r="J71" s="30" t="n">
        <v>93665</v>
      </c>
      <c r="K71" s="30" t="n">
        <v>99673.33333333333</v>
      </c>
      <c r="L71" s="30" t="n">
        <v>100340.8333333333</v>
      </c>
      <c r="M71" s="35" t="n">
        <v>0.3436424054962449</v>
      </c>
      <c r="N71" s="35" t="n">
        <v>0.3455831600495598</v>
      </c>
      <c r="O71" s="35" t="n">
        <v>-0.03472931562819204</v>
      </c>
      <c r="P71" s="35" t="n">
        <v>-0.119291705498602</v>
      </c>
      <c r="Q71" s="35" t="n">
        <v>-0.04158215010141986</v>
      </c>
      <c r="R71" s="35" t="n">
        <v>0.008914749372764597</v>
      </c>
      <c r="S71" s="35" t="n">
        <v>-0.05190288275031762</v>
      </c>
      <c r="T71" s="35" t="n">
        <v>-0.05820993447333667</v>
      </c>
      <c r="U71" s="30" t="n">
        <v>116400</v>
      </c>
      <c r="V71" s="30" t="n">
        <v>87000</v>
      </c>
      <c r="W71" s="35" t="n">
        <v>-0.1881443298969072</v>
      </c>
      <c r="X71" s="35" t="n">
        <v>0.0862068965517242</v>
      </c>
      <c r="Y71" s="30" t="n">
        <v>11179416</v>
      </c>
      <c r="Z71" s="30" t="n">
        <v>1056454812000</v>
      </c>
      <c r="AA71" s="30" t="n">
        <v>6492339000</v>
      </c>
      <c r="AB71" s="30" t="n">
        <v>2985759195</v>
      </c>
      <c r="AC71" s="35" t="n">
        <v>0.006145401512923394</v>
      </c>
      <c r="AD71" s="24" t="inlineStr">
        <is>
          <t>yfinance_download</t>
        </is>
      </c>
      <c r="AE71" s="24" t="inlineStr">
        <is>
          <t>064760.KQ</t>
        </is>
      </c>
    </row>
    <row r="72" ht="24" customHeight="1">
      <c r="A72" s="29" t="inlineStr">
        <is>
          <t>2023-09-15</t>
        </is>
      </c>
      <c r="B72" s="31" t="n">
        <v>96600</v>
      </c>
      <c r="C72" s="31" t="n">
        <v>103900</v>
      </c>
      <c r="D72" s="31" t="n">
        <v>96600</v>
      </c>
      <c r="E72" s="31" t="n">
        <v>98400</v>
      </c>
      <c r="F72" s="31" t="n">
        <v>94305.609375</v>
      </c>
      <c r="G72" s="31" t="n">
        <v>117924</v>
      </c>
      <c r="H72" s="36" t="n">
        <v>0.04126984126984135</v>
      </c>
      <c r="I72" s="36" t="n">
        <v>-0.5202340321794247</v>
      </c>
      <c r="J72" s="31" t="n">
        <v>93775</v>
      </c>
      <c r="K72" s="31" t="n">
        <v>99560</v>
      </c>
      <c r="L72" s="31" t="n">
        <v>100324.1666666667</v>
      </c>
      <c r="M72" s="36" t="n">
        <v>0.3698667382097321</v>
      </c>
      <c r="N72" s="36" t="n">
        <v>0.3546559762874156</v>
      </c>
      <c r="O72" s="36" t="n">
        <v>0.02286902286902293</v>
      </c>
      <c r="P72" s="36" t="n">
        <v>-0.06463878326996197</v>
      </c>
      <c r="Q72" s="36" t="n">
        <v>-0.01992031872509958</v>
      </c>
      <c r="R72" s="36" t="n">
        <v>0.04932018128499061</v>
      </c>
      <c r="S72" s="36" t="n">
        <v>-0.01165126556850138</v>
      </c>
      <c r="T72" s="36" t="n">
        <v>-0.01917949314306133</v>
      </c>
      <c r="U72" s="31" t="n">
        <v>116400</v>
      </c>
      <c r="V72" s="31" t="n">
        <v>87000</v>
      </c>
      <c r="W72" s="36" t="n">
        <v>-0.154639175257732</v>
      </c>
      <c r="X72" s="36" t="n">
        <v>0.1310344827586207</v>
      </c>
      <c r="Y72" s="31" t="n">
        <v>11179416</v>
      </c>
      <c r="Z72" s="31" t="n">
        <v>1100054534400</v>
      </c>
      <c r="AA72" s="31" t="n">
        <v>11603721600</v>
      </c>
      <c r="AB72" s="31" t="n">
        <v>3393906005</v>
      </c>
      <c r="AC72" s="36" t="n">
        <v>0.01054831486725246</v>
      </c>
      <c r="AD72" s="29" t="inlineStr">
        <is>
          <t>yfinance_download</t>
        </is>
      </c>
      <c r="AE72" s="29" t="inlineStr">
        <is>
          <t>064760.KQ</t>
        </is>
      </c>
    </row>
    <row r="73" ht="24" customHeight="1">
      <c r="A73" s="24" t="inlineStr">
        <is>
          <t>2023-09-18</t>
        </is>
      </c>
      <c r="B73" s="30" t="n">
        <v>97000</v>
      </c>
      <c r="C73" s="30" t="n">
        <v>97900</v>
      </c>
      <c r="D73" s="30" t="n">
        <v>93700</v>
      </c>
      <c r="E73" s="30" t="n">
        <v>96800</v>
      </c>
      <c r="F73" s="30" t="n">
        <v>92772.1796875</v>
      </c>
      <c r="G73" s="30" t="n">
        <v>44453</v>
      </c>
      <c r="H73" s="35" t="n">
        <v>-0.01626016260162599</v>
      </c>
      <c r="I73" s="35" t="n">
        <v>-0.5280351048269136</v>
      </c>
      <c r="J73" s="30" t="n">
        <v>93865</v>
      </c>
      <c r="K73" s="30" t="n">
        <v>99355</v>
      </c>
      <c r="L73" s="30" t="n">
        <v>100277.5</v>
      </c>
      <c r="M73" s="35" t="n">
        <v>0.371986888369076</v>
      </c>
      <c r="N73" s="35" t="n">
        <v>0.3470478830800305</v>
      </c>
      <c r="O73" s="35" t="n">
        <v>0.0189473684210526</v>
      </c>
      <c r="P73" s="35" t="n">
        <v>-0.1127406049495875</v>
      </c>
      <c r="Q73" s="35" t="n">
        <v>-0.0546875</v>
      </c>
      <c r="R73" s="35" t="n">
        <v>0.03126831087199711</v>
      </c>
      <c r="S73" s="35" t="n">
        <v>-0.02571586734437115</v>
      </c>
      <c r="T73" s="35" t="n">
        <v>-0.03467876642317569</v>
      </c>
      <c r="U73" s="30" t="n">
        <v>116400</v>
      </c>
      <c r="V73" s="30" t="n">
        <v>87000</v>
      </c>
      <c r="W73" s="35" t="n">
        <v>-0.1683848797250859</v>
      </c>
      <c r="X73" s="35" t="n">
        <v>0.1126436781609195</v>
      </c>
      <c r="Y73" s="30" t="n">
        <v>11179416</v>
      </c>
      <c r="Z73" s="30" t="n">
        <v>1082167468800</v>
      </c>
      <c r="AA73" s="30" t="n">
        <v>4303050400</v>
      </c>
      <c r="AB73" s="30" t="n">
        <v>3483164525</v>
      </c>
      <c r="AC73" s="35" t="n">
        <v>0.003976325775872371</v>
      </c>
      <c r="AD73" s="24" t="inlineStr">
        <is>
          <t>yfinance_download</t>
        </is>
      </c>
      <c r="AE73" s="24" t="inlineStr">
        <is>
          <t>064760.KQ</t>
        </is>
      </c>
    </row>
    <row r="74" ht="24" customHeight="1">
      <c r="A74" s="29" t="inlineStr">
        <is>
          <t>2023-09-19</t>
        </is>
      </c>
      <c r="B74" s="31" t="n">
        <v>96100</v>
      </c>
      <c r="C74" s="31" t="n">
        <v>96400</v>
      </c>
      <c r="D74" s="31" t="n">
        <v>94300</v>
      </c>
      <c r="E74" s="31" t="n">
        <v>95600</v>
      </c>
      <c r="F74" s="31" t="n">
        <v>91622.1171875</v>
      </c>
      <c r="G74" s="31" t="n">
        <v>23820</v>
      </c>
      <c r="H74" s="36" t="n">
        <v>-0.01239669421487599</v>
      </c>
      <c r="I74" s="36" t="n">
        <v>-0.5338859093125305</v>
      </c>
      <c r="J74" s="31" t="n">
        <v>94130</v>
      </c>
      <c r="K74" s="31" t="n">
        <v>99125</v>
      </c>
      <c r="L74" s="31" t="n">
        <v>100234.1666666667</v>
      </c>
      <c r="M74" s="36" t="n">
        <v>0.3253585586460589</v>
      </c>
      <c r="N74" s="36" t="n">
        <v>0.3475956225743439</v>
      </c>
      <c r="O74" s="36" t="n">
        <v>0.05869324473975635</v>
      </c>
      <c r="P74" s="36" t="n">
        <v>-0.1261425959780622</v>
      </c>
      <c r="Q74" s="36" t="n">
        <v>-0.05158730158730163</v>
      </c>
      <c r="R74" s="36" t="n">
        <v>0.01561670030808449</v>
      </c>
      <c r="S74" s="36" t="n">
        <v>-0.03556116015132404</v>
      </c>
      <c r="T74" s="36" t="n">
        <v>-0.0462334034469285</v>
      </c>
      <c r="U74" s="31" t="n">
        <v>116400</v>
      </c>
      <c r="V74" s="31" t="n">
        <v>87000</v>
      </c>
      <c r="W74" s="36" t="n">
        <v>-0.1786941580756014</v>
      </c>
      <c r="X74" s="36" t="n">
        <v>0.09885057471264358</v>
      </c>
      <c r="Y74" s="31" t="n">
        <v>11179416</v>
      </c>
      <c r="Z74" s="31" t="n">
        <v>1068752169600</v>
      </c>
      <c r="AA74" s="31" t="n">
        <v>2277192000</v>
      </c>
      <c r="AB74" s="31" t="n">
        <v>3321712970</v>
      </c>
      <c r="AC74" s="36" t="n">
        <v>0.002130701639513191</v>
      </c>
      <c r="AD74" s="29" t="inlineStr">
        <is>
          <t>yfinance_download</t>
        </is>
      </c>
      <c r="AE74" s="29" t="inlineStr">
        <is>
          <t>064760.KQ</t>
        </is>
      </c>
    </row>
    <row r="75" ht="24" customHeight="1">
      <c r="A75" s="24" t="inlineStr">
        <is>
          <t>2023-09-20</t>
        </is>
      </c>
      <c r="B75" s="30" t="n">
        <v>95900</v>
      </c>
      <c r="C75" s="30" t="n">
        <v>95900</v>
      </c>
      <c r="D75" s="30" t="n">
        <v>94100</v>
      </c>
      <c r="E75" s="30" t="n">
        <v>95600</v>
      </c>
      <c r="F75" s="30" t="n">
        <v>91622.1171875</v>
      </c>
      <c r="G75" s="30" t="n">
        <v>19439</v>
      </c>
      <c r="H75" s="35" t="n">
        <v>0</v>
      </c>
      <c r="I75" s="35" t="n">
        <v>-0.5338859093125305</v>
      </c>
      <c r="J75" s="30" t="n">
        <v>94405</v>
      </c>
      <c r="K75" s="30" t="n">
        <v>98853.33333333333</v>
      </c>
      <c r="L75" s="30" t="n">
        <v>100166.6666666667</v>
      </c>
      <c r="M75" s="35" t="n">
        <v>0.3249777240220926</v>
      </c>
      <c r="N75" s="35" t="n">
        <v>0.3437483188391307</v>
      </c>
      <c r="O75" s="35" t="n">
        <v>0.06104328523862379</v>
      </c>
      <c r="P75" s="35" t="n">
        <v>-0.1456657730116175</v>
      </c>
      <c r="Q75" s="35" t="n">
        <v>-0.07810993249758924</v>
      </c>
      <c r="R75" s="35" t="n">
        <v>0.01265822784810133</v>
      </c>
      <c r="S75" s="35" t="n">
        <v>-0.03291070946857289</v>
      </c>
      <c r="T75" s="35" t="n">
        <v>-0.04559068219633944</v>
      </c>
      <c r="U75" s="30" t="n">
        <v>116400</v>
      </c>
      <c r="V75" s="30" t="n">
        <v>87000</v>
      </c>
      <c r="W75" s="35" t="n">
        <v>-0.1786941580756014</v>
      </c>
      <c r="X75" s="35" t="n">
        <v>0.09885057471264358</v>
      </c>
      <c r="Y75" s="30" t="n">
        <v>11179416</v>
      </c>
      <c r="Z75" s="30" t="n">
        <v>1068752169600</v>
      </c>
      <c r="AA75" s="30" t="n">
        <v>1858368400</v>
      </c>
      <c r="AB75" s="30" t="n">
        <v>3274881785</v>
      </c>
      <c r="AC75" s="35" t="n">
        <v>0.001738820704051088</v>
      </c>
      <c r="AD75" s="24" t="inlineStr">
        <is>
          <t>yfinance_download</t>
        </is>
      </c>
      <c r="AE75" s="24" t="inlineStr">
        <is>
          <t>064760.KQ</t>
        </is>
      </c>
    </row>
    <row r="76" ht="24" customHeight="1">
      <c r="A76" s="29" t="inlineStr">
        <is>
          <t>2023-09-21</t>
        </is>
      </c>
      <c r="B76" s="31" t="n">
        <v>95400</v>
      </c>
      <c r="C76" s="31" t="n">
        <v>95400</v>
      </c>
      <c r="D76" s="31" t="n">
        <v>93000</v>
      </c>
      <c r="E76" s="31" t="n">
        <v>94000</v>
      </c>
      <c r="F76" s="31" t="n">
        <v>90088.6875</v>
      </c>
      <c r="G76" s="31" t="n">
        <v>28708</v>
      </c>
      <c r="H76" s="36" t="n">
        <v>-0.01673640167364021</v>
      </c>
      <c r="I76" s="36" t="n">
        <v>-0.5416869819600195</v>
      </c>
      <c r="J76" s="31" t="n">
        <v>94510</v>
      </c>
      <c r="K76" s="31" t="n">
        <v>98591.66666666667</v>
      </c>
      <c r="L76" s="31" t="n">
        <v>100087.5</v>
      </c>
      <c r="M76" s="36" t="n">
        <v>0.3259128111575903</v>
      </c>
      <c r="N76" s="36" t="n">
        <v>0.3431725994134485</v>
      </c>
      <c r="O76" s="36" t="n">
        <v>0.02285092491838947</v>
      </c>
      <c r="P76" s="36" t="n">
        <v>-0.1431175934366454</v>
      </c>
      <c r="Q76" s="36" t="n">
        <v>-0.09178743961352653</v>
      </c>
      <c r="R76" s="36" t="n">
        <v>-0.005396254364617548</v>
      </c>
      <c r="S76" s="36" t="n">
        <v>-0.04657256360409101</v>
      </c>
      <c r="T76" s="36" t="n">
        <v>-0.06082178094167601</v>
      </c>
      <c r="U76" s="31" t="n">
        <v>116400</v>
      </c>
      <c r="V76" s="31" t="n">
        <v>87000</v>
      </c>
      <c r="W76" s="36" t="n">
        <v>-0.1924398625429553</v>
      </c>
      <c r="X76" s="36" t="n">
        <v>0.08045977011494254</v>
      </c>
      <c r="Y76" s="31" t="n">
        <v>11179416</v>
      </c>
      <c r="Z76" s="31" t="n">
        <v>1050865104000</v>
      </c>
      <c r="AA76" s="31" t="n">
        <v>2698552000</v>
      </c>
      <c r="AB76" s="31" t="n">
        <v>3248272160</v>
      </c>
      <c r="AC76" s="36" t="n">
        <v>0.002567933781156368</v>
      </c>
      <c r="AD76" s="29" t="inlineStr">
        <is>
          <t>yfinance_download</t>
        </is>
      </c>
      <c r="AE76" s="29" t="inlineStr">
        <is>
          <t>064760.KQ</t>
        </is>
      </c>
    </row>
    <row r="77" ht="24" customHeight="1">
      <c r="A77" s="24" t="inlineStr">
        <is>
          <t>2023-09-22</t>
        </is>
      </c>
      <c r="B77" s="30" t="n">
        <v>93800</v>
      </c>
      <c r="C77" s="30" t="n">
        <v>94600</v>
      </c>
      <c r="D77" s="30" t="n">
        <v>93000</v>
      </c>
      <c r="E77" s="30" t="n">
        <v>94600</v>
      </c>
      <c r="F77" s="30" t="n">
        <v>90663.7265625</v>
      </c>
      <c r="G77" s="30" t="n">
        <v>19854</v>
      </c>
      <c r="H77" s="35" t="n">
        <v>0.006382978723404209</v>
      </c>
      <c r="I77" s="35" t="n">
        <v>-0.5387615797172112</v>
      </c>
      <c r="J77" s="30" t="n">
        <v>94655</v>
      </c>
      <c r="K77" s="30" t="n">
        <v>98341.66666666667</v>
      </c>
      <c r="L77" s="30" t="n">
        <v>99988.33333333333</v>
      </c>
      <c r="M77" s="35" t="n">
        <v>0.3261083592981197</v>
      </c>
      <c r="N77" s="35" t="n">
        <v>0.3436277020933334</v>
      </c>
      <c r="O77" s="35" t="n">
        <v>0.03162486368593243</v>
      </c>
      <c r="P77" s="35" t="n">
        <v>-0.1368613138686131</v>
      </c>
      <c r="Q77" s="35" t="n">
        <v>-0.111737089201878</v>
      </c>
      <c r="R77" s="35" t="n">
        <v>-0.0005810575246949501</v>
      </c>
      <c r="S77" s="35" t="n">
        <v>-0.03804762308278964</v>
      </c>
      <c r="T77" s="35" t="n">
        <v>-0.05388962045571977</v>
      </c>
      <c r="U77" s="30" t="n">
        <v>116400</v>
      </c>
      <c r="V77" s="30" t="n">
        <v>87000</v>
      </c>
      <c r="W77" s="35" t="n">
        <v>-0.1872852233676976</v>
      </c>
      <c r="X77" s="35" t="n">
        <v>0.08735632183908049</v>
      </c>
      <c r="Y77" s="30" t="n">
        <v>11179416</v>
      </c>
      <c r="Z77" s="30" t="n">
        <v>1057572753600</v>
      </c>
      <c r="AA77" s="30" t="n">
        <v>1878188400</v>
      </c>
      <c r="AB77" s="30" t="n">
        <v>3237849905</v>
      </c>
      <c r="AC77" s="35" t="n">
        <v>0.001775942500037569</v>
      </c>
      <c r="AD77" s="24" t="inlineStr">
        <is>
          <t>yfinance_download</t>
        </is>
      </c>
      <c r="AE77" s="24" t="inlineStr">
        <is>
          <t>064760.KQ</t>
        </is>
      </c>
    </row>
    <row r="78" ht="24" customHeight="1">
      <c r="A78" s="29" t="inlineStr">
        <is>
          <t>2023-09-25</t>
        </is>
      </c>
      <c r="B78" s="31" t="n">
        <v>94000</v>
      </c>
      <c r="C78" s="31" t="n">
        <v>94400</v>
      </c>
      <c r="D78" s="31" t="n">
        <v>93400</v>
      </c>
      <c r="E78" s="31" t="n">
        <v>94000</v>
      </c>
      <c r="F78" s="31" t="n">
        <v>90088.6875</v>
      </c>
      <c r="G78" s="31" t="n">
        <v>16747</v>
      </c>
      <c r="H78" s="36" t="n">
        <v>-0.006342494714587699</v>
      </c>
      <c r="I78" s="36" t="n">
        <v>-0.5416869819600195</v>
      </c>
      <c r="J78" s="31" t="n">
        <v>94820</v>
      </c>
      <c r="K78" s="31" t="n">
        <v>98001.66666666667</v>
      </c>
      <c r="L78" s="31" t="n">
        <v>99899.16666666667</v>
      </c>
      <c r="M78" s="36" t="n">
        <v>0.3241552392274002</v>
      </c>
      <c r="N78" s="36" t="n">
        <v>0.3300452254372918</v>
      </c>
      <c r="O78" s="36" t="n">
        <v>0.03638368246968016</v>
      </c>
      <c r="P78" s="36" t="n">
        <v>-0.1783216783216783</v>
      </c>
      <c r="Q78" s="36" t="n">
        <v>-0.102196752626552</v>
      </c>
      <c r="R78" s="36" t="n">
        <v>-0.008647964564437838</v>
      </c>
      <c r="S78" s="36" t="n">
        <v>-0.04083263890069899</v>
      </c>
      <c r="T78" s="36" t="n">
        <v>-0.0590512099700532</v>
      </c>
      <c r="U78" s="31" t="n">
        <v>116400</v>
      </c>
      <c r="V78" s="31" t="n">
        <v>87000</v>
      </c>
      <c r="W78" s="36" t="n">
        <v>-0.1924398625429553</v>
      </c>
      <c r="X78" s="36" t="n">
        <v>0.08045977011494254</v>
      </c>
      <c r="Y78" s="31" t="n">
        <v>11179416</v>
      </c>
      <c r="Z78" s="31" t="n">
        <v>1050865104000</v>
      </c>
      <c r="AA78" s="31" t="n">
        <v>1574218000</v>
      </c>
      <c r="AB78" s="31" t="n">
        <v>3223489000</v>
      </c>
      <c r="AC78" s="36" t="n">
        <v>0.001498021005748422</v>
      </c>
      <c r="AD78" s="29" t="inlineStr">
        <is>
          <t>yfinance_download</t>
        </is>
      </c>
      <c r="AE78" s="29" t="inlineStr">
        <is>
          <t>064760.KQ</t>
        </is>
      </c>
    </row>
    <row r="79" ht="24" customHeight="1">
      <c r="A79" s="24" t="inlineStr">
        <is>
          <t>2023-09-26</t>
        </is>
      </c>
      <c r="B79" s="30" t="n">
        <v>94900</v>
      </c>
      <c r="C79" s="30" t="n">
        <v>95000</v>
      </c>
      <c r="D79" s="30" t="n">
        <v>92600</v>
      </c>
      <c r="E79" s="30" t="n">
        <v>94700</v>
      </c>
      <c r="F79" s="30" t="n">
        <v>90759.5625</v>
      </c>
      <c r="G79" s="30" t="n">
        <v>12905</v>
      </c>
      <c r="H79" s="35" t="n">
        <v>0.007446808510638281</v>
      </c>
      <c r="I79" s="35" t="n">
        <v>-0.5382740126767431</v>
      </c>
      <c r="J79" s="30" t="n">
        <v>94950</v>
      </c>
      <c r="K79" s="30" t="n">
        <v>97661.66666666667</v>
      </c>
      <c r="L79" s="30" t="n">
        <v>99827.5</v>
      </c>
      <c r="M79" s="35" t="n">
        <v>0.3209831822299388</v>
      </c>
      <c r="N79" s="35" t="n">
        <v>0.3302140588985372</v>
      </c>
      <c r="O79" s="35" t="n">
        <v>0.02823018458197613</v>
      </c>
      <c r="P79" s="35" t="n">
        <v>-0.1772371850564727</v>
      </c>
      <c r="Q79" s="35" t="n">
        <v>-0.08325266214908034</v>
      </c>
      <c r="R79" s="35" t="n">
        <v>-0.00263296471827279</v>
      </c>
      <c r="S79" s="35" t="n">
        <v>-0.03032578459648105</v>
      </c>
      <c r="T79" s="35" t="n">
        <v>-0.05136360221381886</v>
      </c>
      <c r="U79" s="30" t="n">
        <v>116400</v>
      </c>
      <c r="V79" s="30" t="n">
        <v>87000</v>
      </c>
      <c r="W79" s="35" t="n">
        <v>-0.186426116838488</v>
      </c>
      <c r="X79" s="35" t="n">
        <v>0.08850574712643677</v>
      </c>
      <c r="Y79" s="30" t="n">
        <v>11179416</v>
      </c>
      <c r="Z79" s="30" t="n">
        <v>1058690695200</v>
      </c>
      <c r="AA79" s="30" t="n">
        <v>1222103500</v>
      </c>
      <c r="AB79" s="30" t="n">
        <v>3176823360</v>
      </c>
      <c r="AC79" s="35" t="n">
        <v>0.001154353680013339</v>
      </c>
      <c r="AD79" s="24" t="inlineStr">
        <is>
          <t>yfinance_download</t>
        </is>
      </c>
      <c r="AE79" s="24" t="inlineStr">
        <is>
          <t>064760.KQ</t>
        </is>
      </c>
    </row>
    <row r="80" ht="24" customHeight="1">
      <c r="A80" s="29" t="inlineStr">
        <is>
          <t>2023-09-27</t>
        </is>
      </c>
      <c r="B80" s="31" t="n">
        <v>94600</v>
      </c>
      <c r="C80" s="31" t="n">
        <v>94700</v>
      </c>
      <c r="D80" s="31" t="n">
        <v>91800</v>
      </c>
      <c r="E80" s="31" t="n">
        <v>94700</v>
      </c>
      <c r="F80" s="31" t="n">
        <v>90759.5625</v>
      </c>
      <c r="G80" s="31" t="n">
        <v>32266</v>
      </c>
      <c r="H80" s="36" t="n">
        <v>0</v>
      </c>
      <c r="I80" s="36" t="n">
        <v>-0.5382740126767431</v>
      </c>
      <c r="J80" s="31" t="n">
        <v>95085</v>
      </c>
      <c r="K80" s="31" t="n">
        <v>97346.66666666667</v>
      </c>
      <c r="L80" s="31" t="n">
        <v>99782.5</v>
      </c>
      <c r="M80" s="36" t="n">
        <v>0.3208865069334285</v>
      </c>
      <c r="N80" s="36" t="n">
        <v>0.329608082320218</v>
      </c>
      <c r="O80" s="36" t="n">
        <v>0.02934782608695663</v>
      </c>
      <c r="P80" s="36" t="n">
        <v>-0.1663732394366197</v>
      </c>
      <c r="Q80" s="36" t="n">
        <v>-0.0539460539460539</v>
      </c>
      <c r="R80" s="36" t="n">
        <v>-0.004049008781616403</v>
      </c>
      <c r="S80" s="36" t="n">
        <v>-0.02718805643062594</v>
      </c>
      <c r="T80" s="36" t="n">
        <v>-0.0509357853330995</v>
      </c>
      <c r="U80" s="31" t="n">
        <v>116400</v>
      </c>
      <c r="V80" s="31" t="n">
        <v>87000</v>
      </c>
      <c r="W80" s="36" t="n">
        <v>-0.186426116838488</v>
      </c>
      <c r="X80" s="36" t="n">
        <v>0.08850574712643677</v>
      </c>
      <c r="Y80" s="31" t="n">
        <v>11179416</v>
      </c>
      <c r="Z80" s="31" t="n">
        <v>1058690695200</v>
      </c>
      <c r="AA80" s="31" t="n">
        <v>3055590200</v>
      </c>
      <c r="AB80" s="31" t="n">
        <v>3242607670</v>
      </c>
      <c r="AC80" s="36" t="n">
        <v>0.002886197275421185</v>
      </c>
      <c r="AD80" s="29" t="inlineStr">
        <is>
          <t>yfinance_download</t>
        </is>
      </c>
      <c r="AE80" s="29" t="inlineStr">
        <is>
          <t>064760.KQ</t>
        </is>
      </c>
    </row>
    <row r="81" ht="24" customHeight="1">
      <c r="A81" s="24" t="inlineStr">
        <is>
          <t>2023-10-04</t>
        </is>
      </c>
      <c r="B81" s="30" t="n">
        <v>93900</v>
      </c>
      <c r="C81" s="30" t="n">
        <v>93900</v>
      </c>
      <c r="D81" s="30" t="n">
        <v>91300</v>
      </c>
      <c r="E81" s="30" t="n">
        <v>91800</v>
      </c>
      <c r="F81" s="30" t="n">
        <v>87980.234375</v>
      </c>
      <c r="G81" s="30" t="n">
        <v>34257</v>
      </c>
      <c r="H81" s="35" t="n">
        <v>-0.03062302006335793</v>
      </c>
      <c r="I81" s="35" t="n">
        <v>-0.552413456850317</v>
      </c>
      <c r="J81" s="30" t="n">
        <v>95085</v>
      </c>
      <c r="K81" s="30" t="n">
        <v>97011.66666666667</v>
      </c>
      <c r="L81" s="30" t="n">
        <v>99731.66666666667</v>
      </c>
      <c r="M81" s="35" t="n">
        <v>0.3406511517151696</v>
      </c>
      <c r="N81" s="35" t="n">
        <v>0.3336109492350763</v>
      </c>
      <c r="O81" s="35" t="n">
        <v>0</v>
      </c>
      <c r="P81" s="35" t="n">
        <v>-0.1796246648793566</v>
      </c>
      <c r="Q81" s="35" t="n">
        <v>-0.06230847803881512</v>
      </c>
      <c r="R81" s="35" t="n">
        <v>-0.0345480359678183</v>
      </c>
      <c r="S81" s="35" t="n">
        <v>-0.05372206092050791</v>
      </c>
      <c r="T81" s="35" t="n">
        <v>-0.07953007236083498</v>
      </c>
      <c r="U81" s="30" t="n">
        <v>116400</v>
      </c>
      <c r="V81" s="30" t="n">
        <v>87000</v>
      </c>
      <c r="W81" s="35" t="n">
        <v>-0.211340206185567</v>
      </c>
      <c r="X81" s="35" t="n">
        <v>0.05517241379310356</v>
      </c>
      <c r="Y81" s="30" t="n">
        <v>11179416</v>
      </c>
      <c r="Z81" s="30" t="n">
        <v>1026270388800</v>
      </c>
      <c r="AA81" s="30" t="n">
        <v>3144792600</v>
      </c>
      <c r="AB81" s="30" t="n">
        <v>3284170120</v>
      </c>
      <c r="AC81" s="35" t="n">
        <v>0.003064292446045482</v>
      </c>
      <c r="AD81" s="24" t="inlineStr">
        <is>
          <t>yfinance_download</t>
        </is>
      </c>
      <c r="AE81" s="24" t="inlineStr">
        <is>
          <t>064760.KQ</t>
        </is>
      </c>
    </row>
    <row r="82" ht="24" customHeight="1">
      <c r="A82" s="29" t="inlineStr">
        <is>
          <t>2023-10-05</t>
        </is>
      </c>
      <c r="B82" s="31" t="n">
        <v>92500</v>
      </c>
      <c r="C82" s="31" t="n">
        <v>97500</v>
      </c>
      <c r="D82" s="31" t="n">
        <v>92200</v>
      </c>
      <c r="E82" s="31" t="n">
        <v>96100</v>
      </c>
      <c r="F82" s="31" t="n">
        <v>92101.3125</v>
      </c>
      <c r="G82" s="31" t="n">
        <v>45392</v>
      </c>
      <c r="H82" s="36" t="n">
        <v>0.0468409586056644</v>
      </c>
      <c r="I82" s="36" t="n">
        <v>-0.5314480741101901</v>
      </c>
      <c r="J82" s="31" t="n">
        <v>95040</v>
      </c>
      <c r="K82" s="31" t="n">
        <v>96723.33333333333</v>
      </c>
      <c r="L82" s="31" t="n">
        <v>99740</v>
      </c>
      <c r="M82" s="36" t="n">
        <v>0.3202801170067767</v>
      </c>
      <c r="N82" s="36" t="n">
        <v>0.3474180740873478</v>
      </c>
      <c r="O82" s="36" t="n">
        <v>-0.009278350515463885</v>
      </c>
      <c r="P82" s="36" t="n">
        <v>-0.1525573192239859</v>
      </c>
      <c r="Q82" s="36" t="n">
        <v>0.01051524710830698</v>
      </c>
      <c r="R82" s="36" t="n">
        <v>0.01115319865319875</v>
      </c>
      <c r="S82" s="36" t="n">
        <v>-0.00644449805286551</v>
      </c>
      <c r="T82" s="36" t="n">
        <v>-0.0364948867054341</v>
      </c>
      <c r="U82" s="31" t="n">
        <v>116400</v>
      </c>
      <c r="V82" s="31" t="n">
        <v>87000</v>
      </c>
      <c r="W82" s="36" t="n">
        <v>-0.1743986254295533</v>
      </c>
      <c r="X82" s="36" t="n">
        <v>0.1045977011494252</v>
      </c>
      <c r="Y82" s="31" t="n">
        <v>11179416</v>
      </c>
      <c r="Z82" s="31" t="n">
        <v>1074341877600</v>
      </c>
      <c r="AA82" s="31" t="n">
        <v>4362171200</v>
      </c>
      <c r="AB82" s="31" t="n">
        <v>3188076280</v>
      </c>
      <c r="AC82" s="36" t="n">
        <v>0.00406031942992371</v>
      </c>
      <c r="AD82" s="29" t="inlineStr">
        <is>
          <t>yfinance_download</t>
        </is>
      </c>
      <c r="AE82" s="29" t="inlineStr">
        <is>
          <t>064760.KQ</t>
        </is>
      </c>
    </row>
    <row r="83" ht="24" customHeight="1">
      <c r="A83" s="24" t="inlineStr">
        <is>
          <t>2023-10-06</t>
        </is>
      </c>
      <c r="B83" s="30" t="n">
        <v>98100</v>
      </c>
      <c r="C83" s="30" t="n">
        <v>98100</v>
      </c>
      <c r="D83" s="30" t="n">
        <v>95000</v>
      </c>
      <c r="E83" s="30" t="n">
        <v>96600</v>
      </c>
      <c r="F83" s="30" t="n">
        <v>92580.5</v>
      </c>
      <c r="G83" s="30" t="n">
        <v>16453</v>
      </c>
      <c r="H83" s="35" t="n">
        <v>0.00520291363163361</v>
      </c>
      <c r="I83" s="35" t="n">
        <v>-0.5290102389078498</v>
      </c>
      <c r="J83" s="30" t="n">
        <v>95000</v>
      </c>
      <c r="K83" s="30" t="n">
        <v>96553.33333333333</v>
      </c>
      <c r="L83" s="30" t="n">
        <v>99704.16666666667</v>
      </c>
      <c r="M83" s="35" t="n">
        <v>0.3204994850517723</v>
      </c>
      <c r="N83" s="35" t="n">
        <v>0.3277580781471904</v>
      </c>
      <c r="O83" s="35" t="n">
        <v>-0.008213552361396315</v>
      </c>
      <c r="P83" s="35" t="n">
        <v>-0.0955056179775281</v>
      </c>
      <c r="Q83" s="35" t="n">
        <v>-0.04261645193260655</v>
      </c>
      <c r="R83" s="35" t="n">
        <v>0.01684210526315799</v>
      </c>
      <c r="S83" s="35" t="n">
        <v>0.0004833252779121722</v>
      </c>
      <c r="T83" s="35" t="n">
        <v>-0.0311337707384346</v>
      </c>
      <c r="U83" s="30" t="n">
        <v>116400</v>
      </c>
      <c r="V83" s="30" t="n">
        <v>87000</v>
      </c>
      <c r="W83" s="35" t="n">
        <v>-0.1701030927835051</v>
      </c>
      <c r="X83" s="35" t="n">
        <v>0.1103448275862069</v>
      </c>
      <c r="Y83" s="30" t="n">
        <v>11179416</v>
      </c>
      <c r="Z83" s="30" t="n">
        <v>1079931585600</v>
      </c>
      <c r="AA83" s="30" t="n">
        <v>1589359800</v>
      </c>
      <c r="AB83" s="30" t="n">
        <v>3146880280</v>
      </c>
      <c r="AC83" s="35" t="n">
        <v>0.001471722673170047</v>
      </c>
      <c r="AD83" s="24" t="inlineStr">
        <is>
          <t>yfinance_download</t>
        </is>
      </c>
      <c r="AE83" s="24" t="inlineStr">
        <is>
          <t>064760.KQ</t>
        </is>
      </c>
    </row>
    <row r="84" ht="24" customHeight="1">
      <c r="A84" s="29" t="inlineStr">
        <is>
          <t>2023-10-10</t>
        </is>
      </c>
      <c r="B84" s="31" t="n">
        <v>97500</v>
      </c>
      <c r="C84" s="31" t="n">
        <v>98300</v>
      </c>
      <c r="D84" s="31" t="n">
        <v>95000</v>
      </c>
      <c r="E84" s="31" t="n">
        <v>95000</v>
      </c>
      <c r="F84" s="31" t="n">
        <v>91047.078125</v>
      </c>
      <c r="G84" s="31" t="n">
        <v>29344</v>
      </c>
      <c r="H84" s="36" t="n">
        <v>-0.0165631469979296</v>
      </c>
      <c r="I84" s="36" t="n">
        <v>-0.5368113115553388</v>
      </c>
      <c r="J84" s="31" t="n">
        <v>94935</v>
      </c>
      <c r="K84" s="31" t="n">
        <v>96441.66666666667</v>
      </c>
      <c r="L84" s="31" t="n">
        <v>99670.83333333333</v>
      </c>
      <c r="M84" s="36" t="n">
        <v>0.3234465686523702</v>
      </c>
      <c r="N84" s="36" t="n">
        <v>0.3149252094899504</v>
      </c>
      <c r="O84" s="36" t="n">
        <v>-0.01349948078920038</v>
      </c>
      <c r="P84" s="36" t="n">
        <v>-0.06588003933136677</v>
      </c>
      <c r="Q84" s="36" t="n">
        <v>-0.04040404040404044</v>
      </c>
      <c r="R84" s="36" t="n">
        <v>0.000684678990888532</v>
      </c>
      <c r="S84" s="36" t="n">
        <v>-0.01494858722889492</v>
      </c>
      <c r="T84" s="36" t="n">
        <v>-0.04686258935663223</v>
      </c>
      <c r="U84" s="31" t="n">
        <v>116400</v>
      </c>
      <c r="V84" s="31" t="n">
        <v>88300</v>
      </c>
      <c r="W84" s="36" t="n">
        <v>-0.1838487972508591</v>
      </c>
      <c r="X84" s="36" t="n">
        <v>0.07587768969422415</v>
      </c>
      <c r="Y84" s="31" t="n">
        <v>11179416</v>
      </c>
      <c r="Z84" s="31" t="n">
        <v>1062044520000</v>
      </c>
      <c r="AA84" s="31" t="n">
        <v>2787680000</v>
      </c>
      <c r="AB84" s="31" t="n">
        <v>3185004830</v>
      </c>
      <c r="AC84" s="36" t="n">
        <v>0.002624824051632035</v>
      </c>
      <c r="AD84" s="29" t="inlineStr">
        <is>
          <t>yfinance_download</t>
        </is>
      </c>
      <c r="AE84" s="29" t="inlineStr">
        <is>
          <t>064760.KQ</t>
        </is>
      </c>
    </row>
    <row r="85" ht="24" customHeight="1">
      <c r="A85" s="24" t="inlineStr">
        <is>
          <t>2023-10-11</t>
        </is>
      </c>
      <c r="B85" s="30" t="n">
        <v>95600</v>
      </c>
      <c r="C85" s="30" t="n">
        <v>96900</v>
      </c>
      <c r="D85" s="30" t="n">
        <v>92900</v>
      </c>
      <c r="E85" s="30" t="n">
        <v>93600</v>
      </c>
      <c r="F85" s="30" t="n">
        <v>89705.3359375</v>
      </c>
      <c r="G85" s="30" t="n">
        <v>48039</v>
      </c>
      <c r="H85" s="35" t="n">
        <v>-0.01473684210526316</v>
      </c>
      <c r="I85" s="35" t="n">
        <v>-0.5436372501218918</v>
      </c>
      <c r="J85" s="30" t="n">
        <v>94775</v>
      </c>
      <c r="K85" s="30" t="n">
        <v>96338.33333333333</v>
      </c>
      <c r="L85" s="30" t="n">
        <v>99614.16666666667</v>
      </c>
      <c r="M85" s="35" t="n">
        <v>0.3265296588058663</v>
      </c>
      <c r="N85" s="35" t="n">
        <v>0.3140786126541947</v>
      </c>
      <c r="O85" s="35" t="n">
        <v>-0.03305785123966942</v>
      </c>
      <c r="P85" s="35" t="n">
        <v>-0.06212424849699394</v>
      </c>
      <c r="Q85" s="35" t="n">
        <v>-0.0677290836653387</v>
      </c>
      <c r="R85" s="35" t="n">
        <v>-0.01239778422579796</v>
      </c>
      <c r="S85" s="35" t="n">
        <v>-0.02842413023545487</v>
      </c>
      <c r="T85" s="35" t="n">
        <v>-0.06037461204480621</v>
      </c>
      <c r="U85" s="30" t="n">
        <v>116400</v>
      </c>
      <c r="V85" s="30" t="n">
        <v>88300</v>
      </c>
      <c r="W85" s="35" t="n">
        <v>-0.1958762886597938</v>
      </c>
      <c r="X85" s="35" t="n">
        <v>0.06002265005662522</v>
      </c>
      <c r="Y85" s="30" t="n">
        <v>11179416</v>
      </c>
      <c r="Z85" s="30" t="n">
        <v>1046393337600</v>
      </c>
      <c r="AA85" s="30" t="n">
        <v>4496450400</v>
      </c>
      <c r="AB85" s="30" t="n">
        <v>3298255670</v>
      </c>
      <c r="AC85" s="35" t="n">
        <v>0.00429709387323989</v>
      </c>
      <c r="AD85" s="24" t="inlineStr">
        <is>
          <t>yfinance_download</t>
        </is>
      </c>
      <c r="AE85" s="24" t="inlineStr">
        <is>
          <t>064760.KQ</t>
        </is>
      </c>
    </row>
    <row r="86" ht="24" customHeight="1">
      <c r="A86" s="29" t="inlineStr">
        <is>
          <t>2023-10-12</t>
        </is>
      </c>
      <c r="B86" s="31" t="n">
        <v>94100</v>
      </c>
      <c r="C86" s="31" t="n">
        <v>95300</v>
      </c>
      <c r="D86" s="31" t="n">
        <v>93200</v>
      </c>
      <c r="E86" s="31" t="n">
        <v>95200</v>
      </c>
      <c r="F86" s="31" t="n">
        <v>91238.75</v>
      </c>
      <c r="G86" s="31" t="n">
        <v>30870</v>
      </c>
      <c r="H86" s="36" t="n">
        <v>0.01709401709401703</v>
      </c>
      <c r="I86" s="36" t="n">
        <v>-0.5358361774744027</v>
      </c>
      <c r="J86" s="31" t="n">
        <v>94760</v>
      </c>
      <c r="K86" s="31" t="n">
        <v>96203.33333333333</v>
      </c>
      <c r="L86" s="31" t="n">
        <v>99585.83333333333</v>
      </c>
      <c r="M86" s="36" t="n">
        <v>0.3296747219724668</v>
      </c>
      <c r="N86" s="36" t="n">
        <v>0.3073801079524622</v>
      </c>
      <c r="O86" s="36" t="n">
        <v>-0.003141361256544517</v>
      </c>
      <c r="P86" s="36" t="n">
        <v>-0.0784123910939013</v>
      </c>
      <c r="Q86" s="36" t="n">
        <v>-0.03448275862068961</v>
      </c>
      <c r="R86" s="36" t="n">
        <v>0.004643309413254526</v>
      </c>
      <c r="S86" s="36" t="n">
        <v>-0.01042929905408674</v>
      </c>
      <c r="T86" s="36" t="n">
        <v>-0.04404073537902808</v>
      </c>
      <c r="U86" s="31" t="n">
        <v>116400</v>
      </c>
      <c r="V86" s="31" t="n">
        <v>90100</v>
      </c>
      <c r="W86" s="36" t="n">
        <v>-0.1821305841924399</v>
      </c>
      <c r="X86" s="36" t="n">
        <v>0.05660377358490565</v>
      </c>
      <c r="Y86" s="31" t="n">
        <v>11179416</v>
      </c>
      <c r="Z86" s="31" t="n">
        <v>1064280403200</v>
      </c>
      <c r="AA86" s="31" t="n">
        <v>2938824000</v>
      </c>
      <c r="AB86" s="31" t="n">
        <v>3351874270</v>
      </c>
      <c r="AC86" s="36" t="n">
        <v>0.002761324920729312</v>
      </c>
      <c r="AD86" s="29" t="inlineStr">
        <is>
          <t>yfinance_download</t>
        </is>
      </c>
      <c r="AE86" s="29" t="inlineStr">
        <is>
          <t>064760.KQ</t>
        </is>
      </c>
    </row>
    <row r="87" ht="24" customHeight="1">
      <c r="A87" s="24" t="inlineStr">
        <is>
          <t>2023-10-13</t>
        </is>
      </c>
      <c r="B87" s="30" t="n">
        <v>94500</v>
      </c>
      <c r="C87" s="30" t="n">
        <v>95800</v>
      </c>
      <c r="D87" s="30" t="n">
        <v>89900</v>
      </c>
      <c r="E87" s="30" t="n">
        <v>91900</v>
      </c>
      <c r="F87" s="30" t="n">
        <v>88076.0703125</v>
      </c>
      <c r="G87" s="30" t="n">
        <v>169099</v>
      </c>
      <c r="H87" s="35" t="n">
        <v>-0.03466386554621848</v>
      </c>
      <c r="I87" s="35" t="n">
        <v>-0.5519258898098489</v>
      </c>
      <c r="J87" s="30" t="n">
        <v>94570</v>
      </c>
      <c r="K87" s="30" t="n">
        <v>96001.66666666667</v>
      </c>
      <c r="L87" s="30" t="n">
        <v>99529.16666666667</v>
      </c>
      <c r="M87" s="35" t="n">
        <v>0.3517288461909048</v>
      </c>
      <c r="N87" s="35" t="n">
        <v>0.3144514851936224</v>
      </c>
      <c r="O87" s="35" t="n">
        <v>-0.03970741901776387</v>
      </c>
      <c r="P87" s="35" t="n">
        <v>-0.1163461538461539</v>
      </c>
      <c r="Q87" s="35" t="n">
        <v>-0.06889564336372844</v>
      </c>
      <c r="R87" s="35" t="n">
        <v>-0.02823305487998307</v>
      </c>
      <c r="S87" s="35" t="n">
        <v>-0.04272495269179355</v>
      </c>
      <c r="T87" s="35" t="n">
        <v>-0.07665257252899071</v>
      </c>
      <c r="U87" s="30" t="n">
        <v>116400</v>
      </c>
      <c r="V87" s="30" t="n">
        <v>90100</v>
      </c>
      <c r="W87" s="35" t="n">
        <v>-0.2104810996563574</v>
      </c>
      <c r="X87" s="35" t="n">
        <v>0.01997780244173142</v>
      </c>
      <c r="Y87" s="30" t="n">
        <v>11179416</v>
      </c>
      <c r="Z87" s="30" t="n">
        <v>1027388330400</v>
      </c>
      <c r="AA87" s="30" t="n">
        <v>15540198100</v>
      </c>
      <c r="AB87" s="30" t="n">
        <v>4007627490</v>
      </c>
      <c r="AC87" s="35" t="n">
        <v>0.01512592428799501</v>
      </c>
      <c r="AD87" s="24" t="inlineStr">
        <is>
          <t>yfinance_download</t>
        </is>
      </c>
      <c r="AE87" s="24" t="inlineStr">
        <is>
          <t>064760.KQ</t>
        </is>
      </c>
    </row>
    <row r="88" ht="24" customHeight="1">
      <c r="A88" s="29" t="inlineStr">
        <is>
          <t>2023-10-16</t>
        </is>
      </c>
      <c r="B88" s="31" t="n">
        <v>91700</v>
      </c>
      <c r="C88" s="31" t="n">
        <v>91800</v>
      </c>
      <c r="D88" s="31" t="n">
        <v>89100</v>
      </c>
      <c r="E88" s="31" t="n">
        <v>91100</v>
      </c>
      <c r="F88" s="31" t="n">
        <v>87309.359375</v>
      </c>
      <c r="G88" s="31" t="n">
        <v>36338</v>
      </c>
      <c r="H88" s="36" t="n">
        <v>-0.008705114254624613</v>
      </c>
      <c r="I88" s="36" t="n">
        <v>-0.5558264261335933</v>
      </c>
      <c r="J88" s="31" t="n">
        <v>94520</v>
      </c>
      <c r="K88" s="31" t="n">
        <v>95786.66666666667</v>
      </c>
      <c r="L88" s="31" t="n">
        <v>99470</v>
      </c>
      <c r="M88" s="36" t="n">
        <v>0.3267560235548759</v>
      </c>
      <c r="N88" s="36" t="n">
        <v>0.3147366120578079</v>
      </c>
      <c r="O88" s="36" t="n">
        <v>-0.01085776330076005</v>
      </c>
      <c r="P88" s="36" t="n">
        <v>-0.1240384615384615</v>
      </c>
      <c r="Q88" s="36" t="n">
        <v>-0.07230142566191444</v>
      </c>
      <c r="R88" s="36" t="n">
        <v>-0.03618281845112148</v>
      </c>
      <c r="S88" s="36" t="n">
        <v>-0.04892817371937641</v>
      </c>
      <c r="T88" s="36" t="n">
        <v>-0.08414597366040011</v>
      </c>
      <c r="U88" s="31" t="n">
        <v>116400</v>
      </c>
      <c r="V88" s="31" t="n">
        <v>90100</v>
      </c>
      <c r="W88" s="36" t="n">
        <v>-0.2173539518900344</v>
      </c>
      <c r="X88" s="36" t="n">
        <v>0.01109877913429513</v>
      </c>
      <c r="Y88" s="31" t="n">
        <v>11179416</v>
      </c>
      <c r="Z88" s="31" t="n">
        <v>1018444797600</v>
      </c>
      <c r="AA88" s="31" t="n">
        <v>3310391800</v>
      </c>
      <c r="AB88" s="31" t="n">
        <v>4053260510</v>
      </c>
      <c r="AC88" s="36" t="n">
        <v>0.003250438126642751</v>
      </c>
      <c r="AD88" s="29" t="inlineStr">
        <is>
          <t>yfinance_download</t>
        </is>
      </c>
      <c r="AE88" s="29" t="inlineStr">
        <is>
          <t>064760.KQ</t>
        </is>
      </c>
    </row>
    <row r="89" ht="24" customHeight="1">
      <c r="A89" s="24" t="inlineStr">
        <is>
          <t>2023-10-17</t>
        </is>
      </c>
      <c r="B89" s="30" t="n">
        <v>91100</v>
      </c>
      <c r="C89" s="30" t="n">
        <v>92600</v>
      </c>
      <c r="D89" s="30" t="n">
        <v>90300</v>
      </c>
      <c r="E89" s="30" t="n">
        <v>91800</v>
      </c>
      <c r="F89" s="30" t="n">
        <v>87980.234375</v>
      </c>
      <c r="G89" s="30" t="n">
        <v>30583</v>
      </c>
      <c r="H89" s="35" t="n">
        <v>0.007683863885839637</v>
      </c>
      <c r="I89" s="35" t="n">
        <v>-0.552413456850317</v>
      </c>
      <c r="J89" s="30" t="n">
        <v>94460</v>
      </c>
      <c r="K89" s="30" t="n">
        <v>95570</v>
      </c>
      <c r="L89" s="30" t="n">
        <v>99419.16666666667</v>
      </c>
      <c r="M89" s="35" t="n">
        <v>0.3259815990878971</v>
      </c>
      <c r="N89" s="35" t="n">
        <v>0.3147355004635437</v>
      </c>
      <c r="O89" s="35" t="n">
        <v>-0.01290322580645165</v>
      </c>
      <c r="P89" s="35" t="n">
        <v>-0.1240458015267175</v>
      </c>
      <c r="Q89" s="35" t="n">
        <v>-0.06230847803881512</v>
      </c>
      <c r="R89" s="35" t="n">
        <v>-0.02816006775354651</v>
      </c>
      <c r="S89" s="35" t="n">
        <v>-0.03944752537407137</v>
      </c>
      <c r="T89" s="35" t="n">
        <v>-0.07663679873934437</v>
      </c>
      <c r="U89" s="30" t="n">
        <v>116400</v>
      </c>
      <c r="V89" s="30" t="n">
        <v>90100</v>
      </c>
      <c r="W89" s="35" t="n">
        <v>-0.211340206185567</v>
      </c>
      <c r="X89" s="35" t="n">
        <v>0.01886792452830188</v>
      </c>
      <c r="Y89" s="30" t="n">
        <v>11179416</v>
      </c>
      <c r="Z89" s="30" t="n">
        <v>1026270388800</v>
      </c>
      <c r="AA89" s="30" t="n">
        <v>2807519400</v>
      </c>
      <c r="AB89" s="30" t="n">
        <v>4055540780</v>
      </c>
      <c r="AC89" s="35" t="n">
        <v>0.002735652738926613</v>
      </c>
      <c r="AD89" s="24" t="inlineStr">
        <is>
          <t>yfinance_download</t>
        </is>
      </c>
      <c r="AE89" s="24" t="inlineStr">
        <is>
          <t>064760.KQ</t>
        </is>
      </c>
    </row>
    <row r="90" ht="24" customHeight="1">
      <c r="A90" s="29" t="inlineStr">
        <is>
          <t>2023-10-18</t>
        </is>
      </c>
      <c r="B90" s="31" t="n">
        <v>91000</v>
      </c>
      <c r="C90" s="31" t="n">
        <v>91300</v>
      </c>
      <c r="D90" s="31" t="n">
        <v>89500</v>
      </c>
      <c r="E90" s="31" t="n">
        <v>89700</v>
      </c>
      <c r="F90" s="31" t="n">
        <v>85967.6171875</v>
      </c>
      <c r="G90" s="31" t="n">
        <v>32393</v>
      </c>
      <c r="H90" s="36" t="n">
        <v>-0.02287581699346408</v>
      </c>
      <c r="I90" s="36" t="n">
        <v>-0.5626523647001462</v>
      </c>
      <c r="J90" s="31" t="n">
        <v>94285</v>
      </c>
      <c r="K90" s="31" t="n">
        <v>95340</v>
      </c>
      <c r="L90" s="31" t="n">
        <v>99347.5</v>
      </c>
      <c r="M90" s="36" t="n">
        <v>0.3353043198333028</v>
      </c>
      <c r="N90" s="36" t="n">
        <v>0.3169361021148258</v>
      </c>
      <c r="O90" s="36" t="n">
        <v>-0.03755364806866957</v>
      </c>
      <c r="P90" s="36" t="n">
        <v>-0.1333333333333333</v>
      </c>
      <c r="Q90" s="36" t="n">
        <v>-0.08748728382502546</v>
      </c>
      <c r="R90" s="36" t="n">
        <v>-0.04862915628148701</v>
      </c>
      <c r="S90" s="36" t="n">
        <v>-0.05915670232850845</v>
      </c>
      <c r="T90" s="36" t="n">
        <v>-0.0971086338357785</v>
      </c>
      <c r="U90" s="31" t="n">
        <v>116400</v>
      </c>
      <c r="V90" s="31" t="n">
        <v>89700</v>
      </c>
      <c r="W90" s="36" t="n">
        <v>-0.229381443298969</v>
      </c>
      <c r="X90" s="36" t="n">
        <v>0</v>
      </c>
      <c r="Y90" s="31" t="n">
        <v>11179416</v>
      </c>
      <c r="Z90" s="31" t="n">
        <v>1002793615200</v>
      </c>
      <c r="AA90" s="31" t="n">
        <v>2905652100</v>
      </c>
      <c r="AB90" s="31" t="n">
        <v>4042318145</v>
      </c>
      <c r="AC90" s="36" t="n">
        <v>0.002897557439494156</v>
      </c>
      <c r="AD90" s="29" t="inlineStr">
        <is>
          <t>yfinance_download</t>
        </is>
      </c>
      <c r="AE90" s="29" t="inlineStr">
        <is>
          <t>064760.KQ</t>
        </is>
      </c>
    </row>
    <row r="91" ht="24" customHeight="1">
      <c r="A91" s="24" t="inlineStr">
        <is>
          <t>2023-10-19</t>
        </is>
      </c>
      <c r="B91" s="30" t="n">
        <v>88500</v>
      </c>
      <c r="C91" s="30" t="n">
        <v>88500</v>
      </c>
      <c r="D91" s="30" t="n">
        <v>85100</v>
      </c>
      <c r="E91" s="30" t="n">
        <v>85400</v>
      </c>
      <c r="F91" s="30" t="n">
        <v>81846.53125</v>
      </c>
      <c r="G91" s="30" t="n">
        <v>47937</v>
      </c>
      <c r="H91" s="35" t="n">
        <v>-0.04793756967670015</v>
      </c>
      <c r="I91" s="35" t="n">
        <v>-0.5836177474402731</v>
      </c>
      <c r="J91" s="30" t="n">
        <v>93830</v>
      </c>
      <c r="K91" s="30" t="n">
        <v>95056.66666666667</v>
      </c>
      <c r="L91" s="30" t="n">
        <v>99245</v>
      </c>
      <c r="M91" s="35" t="n">
        <v>0.3674153742289951</v>
      </c>
      <c r="N91" s="35" t="n">
        <v>0.3301288721774079</v>
      </c>
      <c r="O91" s="35" t="n">
        <v>-0.09629629629629632</v>
      </c>
      <c r="P91" s="35" t="n">
        <v>-0.166015625</v>
      </c>
      <c r="Q91" s="35" t="n">
        <v>-0.1258955987717503</v>
      </c>
      <c r="R91" s="35" t="n">
        <v>-0.08984333368858577</v>
      </c>
      <c r="S91" s="35" t="n">
        <v>-0.1015885261423012</v>
      </c>
      <c r="T91" s="35" t="n">
        <v>-0.1395032495339815</v>
      </c>
      <c r="U91" s="30" t="n">
        <v>116400</v>
      </c>
      <c r="V91" s="30" t="n">
        <v>85400</v>
      </c>
      <c r="W91" s="35" t="n">
        <v>-0.2663230240549829</v>
      </c>
      <c r="X91" s="35" t="n">
        <v>0</v>
      </c>
      <c r="Y91" s="30" t="n">
        <v>11179416</v>
      </c>
      <c r="Z91" s="30" t="n">
        <v>954722126400</v>
      </c>
      <c r="AA91" s="30" t="n">
        <v>4093819800</v>
      </c>
      <c r="AB91" s="30" t="n">
        <v>3922392185</v>
      </c>
      <c r="AC91" s="35" t="n">
        <v>0.004287969961937189</v>
      </c>
      <c r="AD91" s="24" t="inlineStr">
        <is>
          <t>yfinance_download</t>
        </is>
      </c>
      <c r="AE91" s="24" t="inlineStr">
        <is>
          <t>064760.KQ</t>
        </is>
      </c>
    </row>
    <row r="92" ht="24" customHeight="1">
      <c r="A92" s="29" t="inlineStr">
        <is>
          <t>2023-10-20</t>
        </is>
      </c>
      <c r="B92" s="31" t="n">
        <v>84400</v>
      </c>
      <c r="C92" s="31" t="n">
        <v>85300</v>
      </c>
      <c r="D92" s="31" t="n">
        <v>81100</v>
      </c>
      <c r="E92" s="31" t="n">
        <v>83500</v>
      </c>
      <c r="F92" s="31" t="n">
        <v>80025.5859375</v>
      </c>
      <c r="G92" s="31" t="n">
        <v>47280</v>
      </c>
      <c r="H92" s="36" t="n">
        <v>-0.02224824355971899</v>
      </c>
      <c r="I92" s="36" t="n">
        <v>-0.5928815212091663</v>
      </c>
      <c r="J92" s="31" t="n">
        <v>93085</v>
      </c>
      <c r="K92" s="31" t="n">
        <v>94748.33333333333</v>
      </c>
      <c r="L92" s="31" t="n">
        <v>99147.5</v>
      </c>
      <c r="M92" s="36" t="n">
        <v>0.3289574444540087</v>
      </c>
      <c r="N92" s="36" t="n">
        <v>0.3325206452164013</v>
      </c>
      <c r="O92" s="36" t="n">
        <v>-0.1514227642276422</v>
      </c>
      <c r="P92" s="36" t="n">
        <v>-0.1813725490196079</v>
      </c>
      <c r="Q92" s="36" t="n">
        <v>-0.1228991596638656</v>
      </c>
      <c r="R92" s="36" t="n">
        <v>-0.1029704033947467</v>
      </c>
      <c r="S92" s="36" t="n">
        <v>-0.1187180073528118</v>
      </c>
      <c r="T92" s="36" t="n">
        <v>-0.1578204190725938</v>
      </c>
      <c r="U92" s="31" t="n">
        <v>116400</v>
      </c>
      <c r="V92" s="31" t="n">
        <v>83500</v>
      </c>
      <c r="W92" s="36" t="n">
        <v>-0.2826460481099656</v>
      </c>
      <c r="X92" s="36" t="n">
        <v>0</v>
      </c>
      <c r="Y92" s="31" t="n">
        <v>11179416</v>
      </c>
      <c r="Z92" s="31" t="n">
        <v>933481236000</v>
      </c>
      <c r="AA92" s="31" t="n">
        <v>3947880000</v>
      </c>
      <c r="AB92" s="31" t="n">
        <v>3539600105</v>
      </c>
      <c r="AC92" s="36" t="n">
        <v>0.004229201239134495</v>
      </c>
      <c r="AD92" s="29" t="inlineStr">
        <is>
          <t>yfinance_download</t>
        </is>
      </c>
      <c r="AE92" s="29" t="inlineStr">
        <is>
          <t>064760.KQ</t>
        </is>
      </c>
    </row>
    <row r="93" ht="24" customHeight="1">
      <c r="A93" s="24" t="inlineStr">
        <is>
          <t>2023-10-23</t>
        </is>
      </c>
      <c r="B93" s="30" t="n">
        <v>83000</v>
      </c>
      <c r="C93" s="30" t="n">
        <v>87500</v>
      </c>
      <c r="D93" s="30" t="n">
        <v>83000</v>
      </c>
      <c r="E93" s="30" t="n">
        <v>86000</v>
      </c>
      <c r="F93" s="30" t="n">
        <v>82421.5625</v>
      </c>
      <c r="G93" s="30" t="n">
        <v>36381</v>
      </c>
      <c r="H93" s="35" t="n">
        <v>0.02994011976047894</v>
      </c>
      <c r="I93" s="35" t="n">
        <v>-0.5806923451974646</v>
      </c>
      <c r="J93" s="30" t="n">
        <v>92545</v>
      </c>
      <c r="K93" s="30" t="n">
        <v>94515</v>
      </c>
      <c r="L93" s="30" t="n">
        <v>99061.66666666667</v>
      </c>
      <c r="M93" s="35" t="n">
        <v>0.3534823955130748</v>
      </c>
      <c r="N93" s="35" t="n">
        <v>0.3374910097748441</v>
      </c>
      <c r="O93" s="35" t="n">
        <v>-0.1115702479338843</v>
      </c>
      <c r="P93" s="35" t="n">
        <v>-0.14</v>
      </c>
      <c r="Q93" s="35" t="n">
        <v>-0.106957424714434</v>
      </c>
      <c r="R93" s="35" t="n">
        <v>-0.0707223512885623</v>
      </c>
      <c r="S93" s="35" t="n">
        <v>-0.09009151986457176</v>
      </c>
      <c r="T93" s="35" t="n">
        <v>-0.1318538957215203</v>
      </c>
      <c r="U93" s="30" t="n">
        <v>116400</v>
      </c>
      <c r="V93" s="30" t="n">
        <v>83500</v>
      </c>
      <c r="W93" s="35" t="n">
        <v>-0.261168384879725</v>
      </c>
      <c r="X93" s="35" t="n">
        <v>0.02994011976047894</v>
      </c>
      <c r="Y93" s="30" t="n">
        <v>11179416</v>
      </c>
      <c r="Z93" s="30" t="n">
        <v>961429776000</v>
      </c>
      <c r="AA93" s="30" t="n">
        <v>3128766000</v>
      </c>
      <c r="AB93" s="30" t="n">
        <v>3480885885</v>
      </c>
      <c r="AC93" s="35" t="n">
        <v>0.003254284481407616</v>
      </c>
      <c r="AD93" s="24" t="inlineStr">
        <is>
          <t>yfinance_download</t>
        </is>
      </c>
      <c r="AE93" s="24" t="inlineStr">
        <is>
          <t>064760.KQ</t>
        </is>
      </c>
    </row>
    <row r="94" ht="24" customHeight="1">
      <c r="A94" s="29" t="inlineStr">
        <is>
          <t>2023-10-24</t>
        </is>
      </c>
      <c r="B94" s="31" t="n">
        <v>87500</v>
      </c>
      <c r="C94" s="31" t="n">
        <v>87700</v>
      </c>
      <c r="D94" s="31" t="n">
        <v>85700</v>
      </c>
      <c r="E94" s="31" t="n">
        <v>87400</v>
      </c>
      <c r="F94" s="31" t="n">
        <v>83763.3125</v>
      </c>
      <c r="G94" s="31" t="n">
        <v>32539</v>
      </c>
      <c r="H94" s="36" t="n">
        <v>0.01627906976744176</v>
      </c>
      <c r="I94" s="36" t="n">
        <v>-0.5738664066309118</v>
      </c>
      <c r="J94" s="31" t="n">
        <v>92135</v>
      </c>
      <c r="K94" s="31" t="n">
        <v>94351.66666666667</v>
      </c>
      <c r="L94" s="31" t="n">
        <v>99011.66666666667</v>
      </c>
      <c r="M94" s="36" t="n">
        <v>0.3608155418156562</v>
      </c>
      <c r="N94" s="36" t="n">
        <v>0.3352755718431967</v>
      </c>
      <c r="O94" s="36" t="n">
        <v>-0.08577405857740583</v>
      </c>
      <c r="P94" s="36" t="n">
        <v>-0.1008230452674898</v>
      </c>
      <c r="Q94" s="36" t="n">
        <v>-0.06423982869379019</v>
      </c>
      <c r="R94" s="36" t="n">
        <v>-0.05139197916101368</v>
      </c>
      <c r="S94" s="36" t="n">
        <v>-0.07367826040875458</v>
      </c>
      <c r="T94" s="36" t="n">
        <v>-0.1172757419159359</v>
      </c>
      <c r="U94" s="31" t="n">
        <v>116400</v>
      </c>
      <c r="V94" s="31" t="n">
        <v>83500</v>
      </c>
      <c r="W94" s="36" t="n">
        <v>-0.2491408934707904</v>
      </c>
      <c r="X94" s="36" t="n">
        <v>0.04670658682634721</v>
      </c>
      <c r="Y94" s="31" t="n">
        <v>11179416</v>
      </c>
      <c r="Z94" s="31" t="n">
        <v>977080958400</v>
      </c>
      <c r="AA94" s="31" t="n">
        <v>2843908600</v>
      </c>
      <c r="AB94" s="31" t="n">
        <v>3509221715</v>
      </c>
      <c r="AC94" s="36" t="n">
        <v>0.002910617155672532</v>
      </c>
      <c r="AD94" s="29" t="inlineStr">
        <is>
          <t>yfinance_download</t>
        </is>
      </c>
      <c r="AE94" s="29" t="inlineStr">
        <is>
          <t>064760.KQ</t>
        </is>
      </c>
    </row>
    <row r="95" ht="24" customHeight="1">
      <c r="A95" s="24" t="inlineStr">
        <is>
          <t>2023-10-25</t>
        </is>
      </c>
      <c r="B95" s="30" t="n">
        <v>87400</v>
      </c>
      <c r="C95" s="30" t="n">
        <v>87400</v>
      </c>
      <c r="D95" s="30" t="n">
        <v>83500</v>
      </c>
      <c r="E95" s="30" t="n">
        <v>84300</v>
      </c>
      <c r="F95" s="30" t="n">
        <v>80792.3046875</v>
      </c>
      <c r="G95" s="30" t="n">
        <v>37838</v>
      </c>
      <c r="H95" s="35" t="n">
        <v>-0.03546910755148747</v>
      </c>
      <c r="I95" s="35" t="n">
        <v>-0.5889809848854217</v>
      </c>
      <c r="J95" s="30" t="n">
        <v>91570</v>
      </c>
      <c r="K95" s="30" t="n">
        <v>94163.33333333333</v>
      </c>
      <c r="L95" s="30" t="n">
        <v>98936.66666666667</v>
      </c>
      <c r="M95" s="35" t="n">
        <v>0.3769102289698568</v>
      </c>
      <c r="N95" s="35" t="n">
        <v>0.3410985408385674</v>
      </c>
      <c r="O95" s="35" t="n">
        <v>-0.1182008368200836</v>
      </c>
      <c r="P95" s="35" t="n">
        <v>-0.1182008368200836</v>
      </c>
      <c r="Q95" s="35" t="n">
        <v>-0.09646302250803862</v>
      </c>
      <c r="R95" s="35" t="n">
        <v>-0.07939281424047173</v>
      </c>
      <c r="S95" s="35" t="n">
        <v>-0.1047470706927678</v>
      </c>
      <c r="T95" s="35" t="n">
        <v>-0.1479397594420674</v>
      </c>
      <c r="U95" s="30" t="n">
        <v>116400</v>
      </c>
      <c r="V95" s="30" t="n">
        <v>83500</v>
      </c>
      <c r="W95" s="35" t="n">
        <v>-0.2757731958762887</v>
      </c>
      <c r="X95" s="35" t="n">
        <v>0.009580838323353325</v>
      </c>
      <c r="Y95" s="30" t="n">
        <v>11179416</v>
      </c>
      <c r="Z95" s="30" t="n">
        <v>942424768800</v>
      </c>
      <c r="AA95" s="30" t="n">
        <v>3189743400</v>
      </c>
      <c r="AB95" s="30" t="n">
        <v>3575790465</v>
      </c>
      <c r="AC95" s="35" t="n">
        <v>0.003384613292858947</v>
      </c>
      <c r="AD95" s="24" t="inlineStr">
        <is>
          <t>yfinance_download</t>
        </is>
      </c>
      <c r="AE95" s="24" t="inlineStr">
        <is>
          <t>064760.KQ</t>
        </is>
      </c>
    </row>
    <row r="96" ht="24" customHeight="1">
      <c r="A96" s="29" t="inlineStr">
        <is>
          <t>2023-10-26</t>
        </is>
      </c>
      <c r="B96" s="31" t="n">
        <v>85100</v>
      </c>
      <c r="C96" s="31" t="n">
        <v>85100</v>
      </c>
      <c r="D96" s="31" t="n">
        <v>82000</v>
      </c>
      <c r="E96" s="31" t="n">
        <v>84200</v>
      </c>
      <c r="F96" s="31" t="n">
        <v>80696.46875</v>
      </c>
      <c r="G96" s="31" t="n">
        <v>41773</v>
      </c>
      <c r="H96" s="36" t="n">
        <v>-0.001186239620403318</v>
      </c>
      <c r="I96" s="36" t="n">
        <v>-0.5894685519258898</v>
      </c>
      <c r="J96" s="31" t="n">
        <v>91080</v>
      </c>
      <c r="K96" s="31" t="n">
        <v>94010</v>
      </c>
      <c r="L96" s="31" t="n">
        <v>98800</v>
      </c>
      <c r="M96" s="36" t="n">
        <v>0.3750734468576843</v>
      </c>
      <c r="N96" s="36" t="n">
        <v>0.3382405052475528</v>
      </c>
      <c r="O96" s="36" t="n">
        <v>-0.1042553191489362</v>
      </c>
      <c r="P96" s="36" t="n">
        <v>-0.09850107066381153</v>
      </c>
      <c r="Q96" s="36" t="n">
        <v>-0.1630218687872763</v>
      </c>
      <c r="R96" s="36" t="n">
        <v>-0.07553798858146688</v>
      </c>
      <c r="S96" s="36" t="n">
        <v>-0.1043506009998937</v>
      </c>
      <c r="T96" s="36" t="n">
        <v>-0.1477732793522267</v>
      </c>
      <c r="U96" s="31" t="n">
        <v>116400</v>
      </c>
      <c r="V96" s="31" t="n">
        <v>83500</v>
      </c>
      <c r="W96" s="36" t="n">
        <v>-0.2766323024054983</v>
      </c>
      <c r="X96" s="36" t="n">
        <v>0.008383233532934131</v>
      </c>
      <c r="Y96" s="31" t="n">
        <v>11179416</v>
      </c>
      <c r="Z96" s="31" t="n">
        <v>941306827200</v>
      </c>
      <c r="AA96" s="31" t="n">
        <v>3517286600</v>
      </c>
      <c r="AB96" s="31" t="n">
        <v>3616727195</v>
      </c>
      <c r="AC96" s="36" t="n">
        <v>0.003736599478899435</v>
      </c>
      <c r="AD96" s="29" t="inlineStr">
        <is>
          <t>yfinance_download</t>
        </is>
      </c>
      <c r="AE96" s="29" t="inlineStr">
        <is>
          <t>064760.KQ</t>
        </is>
      </c>
    </row>
    <row r="97" ht="24" customHeight="1">
      <c r="A97" s="24" t="inlineStr">
        <is>
          <t>2023-10-27</t>
        </is>
      </c>
      <c r="B97" s="30" t="n">
        <v>85100</v>
      </c>
      <c r="C97" s="30" t="n">
        <v>86400</v>
      </c>
      <c r="D97" s="30" t="n">
        <v>83500</v>
      </c>
      <c r="E97" s="30" t="n">
        <v>85000</v>
      </c>
      <c r="F97" s="30" t="n">
        <v>81463.171875</v>
      </c>
      <c r="G97" s="30" t="n">
        <v>31379</v>
      </c>
      <c r="H97" s="35" t="n">
        <v>0.009501187648456089</v>
      </c>
      <c r="I97" s="35" t="n">
        <v>-0.5855680156021452</v>
      </c>
      <c r="J97" s="30" t="n">
        <v>90600</v>
      </c>
      <c r="K97" s="30" t="n">
        <v>93793.33333333333</v>
      </c>
      <c r="L97" s="30" t="n">
        <v>98664.16666666667</v>
      </c>
      <c r="M97" s="35" t="n">
        <v>0.3765138413929037</v>
      </c>
      <c r="N97" s="35" t="n">
        <v>0.322193693952894</v>
      </c>
      <c r="O97" s="35" t="n">
        <v>-0.1014799154334038</v>
      </c>
      <c r="P97" s="35" t="n">
        <v>-0.1326530612244898</v>
      </c>
      <c r="Q97" s="35" t="n">
        <v>-0.1609081934846989</v>
      </c>
      <c r="R97" s="35" t="n">
        <v>-0.0618101545253863</v>
      </c>
      <c r="S97" s="35" t="n">
        <v>-0.09375222119553628</v>
      </c>
      <c r="T97" s="35" t="n">
        <v>-0.138491684755526</v>
      </c>
      <c r="U97" s="30" t="n">
        <v>116400</v>
      </c>
      <c r="V97" s="30" t="n">
        <v>83500</v>
      </c>
      <c r="W97" s="35" t="n">
        <v>-0.2697594501718213</v>
      </c>
      <c r="X97" s="35" t="n">
        <v>0.01796407185628746</v>
      </c>
      <c r="Y97" s="30" t="n">
        <v>11179416</v>
      </c>
      <c r="Z97" s="30" t="n">
        <v>950250360000</v>
      </c>
      <c r="AA97" s="30" t="n">
        <v>2667215000</v>
      </c>
      <c r="AB97" s="30" t="n">
        <v>3656178525</v>
      </c>
      <c r="AC97" s="35" t="n">
        <v>0.002806855027132008</v>
      </c>
      <c r="AD97" s="24" t="inlineStr">
        <is>
          <t>yfinance_download</t>
        </is>
      </c>
      <c r="AE97" s="24" t="inlineStr">
        <is>
          <t>064760.KQ</t>
        </is>
      </c>
    </row>
    <row r="98" ht="24" customHeight="1">
      <c r="A98" s="29" t="inlineStr">
        <is>
          <t>2023-10-30</t>
        </is>
      </c>
      <c r="B98" s="31" t="n">
        <v>85800</v>
      </c>
      <c r="C98" s="31" t="n">
        <v>86200</v>
      </c>
      <c r="D98" s="31" t="n">
        <v>84400</v>
      </c>
      <c r="E98" s="31" t="n">
        <v>85800</v>
      </c>
      <c r="F98" s="31" t="n">
        <v>82229.890625</v>
      </c>
      <c r="G98" s="31" t="n">
        <v>15272</v>
      </c>
      <c r="H98" s="36" t="n">
        <v>0.009411764705882453</v>
      </c>
      <c r="I98" s="36" t="n">
        <v>-0.5816674792784008</v>
      </c>
      <c r="J98" s="31" t="n">
        <v>90190</v>
      </c>
      <c r="K98" s="31" t="n">
        <v>93593.33333333333</v>
      </c>
      <c r="L98" s="31" t="n">
        <v>98549.16666666667</v>
      </c>
      <c r="M98" s="36" t="n">
        <v>0.3799439291227868</v>
      </c>
      <c r="N98" s="36" t="n">
        <v>0.3230664859267571</v>
      </c>
      <c r="O98" s="36" t="n">
        <v>-0.08723404255319145</v>
      </c>
      <c r="P98" s="36" t="n">
        <v>-0.1226993865030674</v>
      </c>
      <c r="Q98" s="36" t="n">
        <v>-0.1385542168674698</v>
      </c>
      <c r="R98" s="36" t="n">
        <v>-0.04867501940348151</v>
      </c>
      <c r="S98" s="36" t="n">
        <v>-0.08326803903411917</v>
      </c>
      <c r="T98" s="36" t="n">
        <v>-0.1293685892828453</v>
      </c>
      <c r="U98" s="31" t="n">
        <v>116400</v>
      </c>
      <c r="V98" s="31" t="n">
        <v>83500</v>
      </c>
      <c r="W98" s="36" t="n">
        <v>-0.2628865979381443</v>
      </c>
      <c r="X98" s="36" t="n">
        <v>0.02754491017964078</v>
      </c>
      <c r="Y98" s="31" t="n">
        <v>11179416</v>
      </c>
      <c r="Z98" s="31" t="n">
        <v>959193892800</v>
      </c>
      <c r="AA98" s="31" t="n">
        <v>1310337600</v>
      </c>
      <c r="AB98" s="31" t="n">
        <v>3642984505</v>
      </c>
      <c r="AC98" s="36" t="n">
        <v>0.001366082092302496</v>
      </c>
      <c r="AD98" s="29" t="inlineStr">
        <is>
          <t>yfinance_download</t>
        </is>
      </c>
      <c r="AE98" s="29" t="inlineStr">
        <is>
          <t>064760.KQ</t>
        </is>
      </c>
    </row>
    <row r="99" ht="24" customHeight="1">
      <c r="A99" s="24" t="inlineStr">
        <is>
          <t>2023-10-31</t>
        </is>
      </c>
      <c r="B99" s="30" t="n">
        <v>85600</v>
      </c>
      <c r="C99" s="30" t="n">
        <v>85800</v>
      </c>
      <c r="D99" s="30" t="n">
        <v>82200</v>
      </c>
      <c r="E99" s="30" t="n">
        <v>82900</v>
      </c>
      <c r="F99" s="30" t="n">
        <v>79450.5546875</v>
      </c>
      <c r="G99" s="30" t="n">
        <v>25739</v>
      </c>
      <c r="H99" s="35" t="n">
        <v>-0.03379953379953382</v>
      </c>
      <c r="I99" s="35" t="n">
        <v>-0.5958069234519747</v>
      </c>
      <c r="J99" s="30" t="n">
        <v>89600</v>
      </c>
      <c r="K99" s="30" t="n">
        <v>93323.33333333333</v>
      </c>
      <c r="L99" s="30" t="n">
        <v>98421.66666666667</v>
      </c>
      <c r="M99" s="35" t="n">
        <v>0.3911040312231807</v>
      </c>
      <c r="N99" s="35" t="n">
        <v>0.3279391633500531</v>
      </c>
      <c r="O99" s="35" t="n">
        <v>-0.1246040126715945</v>
      </c>
      <c r="P99" s="35" t="n">
        <v>-0.1634712411705348</v>
      </c>
      <c r="Q99" s="35" t="n">
        <v>-0.1558044806517311</v>
      </c>
      <c r="R99" s="35" t="n">
        <v>-0.0747767857142857</v>
      </c>
      <c r="S99" s="35" t="n">
        <v>-0.1116905382719576</v>
      </c>
      <c r="T99" s="35" t="n">
        <v>-0.1577057897143245</v>
      </c>
      <c r="U99" s="30" t="n">
        <v>116400</v>
      </c>
      <c r="V99" s="30" t="n">
        <v>82900</v>
      </c>
      <c r="W99" s="35" t="n">
        <v>-0.2878006872852233</v>
      </c>
      <c r="X99" s="35" t="n">
        <v>0</v>
      </c>
      <c r="Y99" s="30" t="n">
        <v>11179416</v>
      </c>
      <c r="Z99" s="30" t="n">
        <v>926773586400</v>
      </c>
      <c r="AA99" s="30" t="n">
        <v>2133763100</v>
      </c>
      <c r="AB99" s="30" t="n">
        <v>3688567485</v>
      </c>
      <c r="AC99" s="35" t="n">
        <v>0.002302356402159111</v>
      </c>
      <c r="AD99" s="24" t="inlineStr">
        <is>
          <t>yfinance_download</t>
        </is>
      </c>
      <c r="AE99" s="24" t="inlineStr">
        <is>
          <t>064760.KQ</t>
        </is>
      </c>
    </row>
    <row r="100" ht="24" customHeight="1">
      <c r="A100" s="29" t="inlineStr">
        <is>
          <t>2023-11-01</t>
        </is>
      </c>
      <c r="B100" s="31" t="n">
        <v>83000</v>
      </c>
      <c r="C100" s="31" t="n">
        <v>84200</v>
      </c>
      <c r="D100" s="31" t="n">
        <v>81200</v>
      </c>
      <c r="E100" s="31" t="n">
        <v>82800</v>
      </c>
      <c r="F100" s="31" t="n">
        <v>79354.71875</v>
      </c>
      <c r="G100" s="31" t="n">
        <v>26095</v>
      </c>
      <c r="H100" s="36" t="n">
        <v>-0.001206272617611526</v>
      </c>
      <c r="I100" s="36" t="n">
        <v>-0.5962944904924428</v>
      </c>
      <c r="J100" s="31" t="n">
        <v>89005</v>
      </c>
      <c r="K100" s="31" t="n">
        <v>93036.66666666667</v>
      </c>
      <c r="L100" s="31" t="n">
        <v>98305.83333333333</v>
      </c>
      <c r="M100" s="36" t="n">
        <v>0.3908679354163289</v>
      </c>
      <c r="N100" s="36" t="n">
        <v>0.3270288838532679</v>
      </c>
      <c r="O100" s="36" t="n">
        <v>-0.1256599788806758</v>
      </c>
      <c r="P100" s="36" t="n">
        <v>-0.172</v>
      </c>
      <c r="Q100" s="36" t="n">
        <v>-0.1437435367114788</v>
      </c>
      <c r="R100" s="36" t="n">
        <v>-0.06971518454019432</v>
      </c>
      <c r="S100" s="36" t="n">
        <v>-0.1100283042528036</v>
      </c>
      <c r="T100" s="36" t="n">
        <v>-0.1577305517644765</v>
      </c>
      <c r="U100" s="31" t="n">
        <v>116400</v>
      </c>
      <c r="V100" s="31" t="n">
        <v>82800</v>
      </c>
      <c r="W100" s="36" t="n">
        <v>-0.288659793814433</v>
      </c>
      <c r="X100" s="36" t="n">
        <v>0</v>
      </c>
      <c r="Y100" s="31" t="n">
        <v>11179416</v>
      </c>
      <c r="Z100" s="31" t="n">
        <v>925655644800</v>
      </c>
      <c r="AA100" s="31" t="n">
        <v>2160666000</v>
      </c>
      <c r="AB100" s="31" t="n">
        <v>3643821275</v>
      </c>
      <c r="AC100" s="36" t="n">
        <v>0.002334200641607755</v>
      </c>
      <c r="AD100" s="29" t="inlineStr">
        <is>
          <t>yfinance_download</t>
        </is>
      </c>
      <c r="AE100" s="29" t="inlineStr">
        <is>
          <t>064760.KQ</t>
        </is>
      </c>
    </row>
    <row r="101" ht="24" customHeight="1">
      <c r="A101" s="24" t="inlineStr">
        <is>
          <t>2023-11-02</t>
        </is>
      </c>
      <c r="B101" s="30" t="n">
        <v>84500</v>
      </c>
      <c r="C101" s="30" t="n">
        <v>85900</v>
      </c>
      <c r="D101" s="30" t="n">
        <v>84400</v>
      </c>
      <c r="E101" s="30" t="n">
        <v>85000</v>
      </c>
      <c r="F101" s="30" t="n">
        <v>81463.171875</v>
      </c>
      <c r="G101" s="30" t="n">
        <v>72400</v>
      </c>
      <c r="H101" s="35" t="n">
        <v>0.02657004830917864</v>
      </c>
      <c r="I101" s="35" t="n">
        <v>-0.5855680156021452</v>
      </c>
      <c r="J101" s="30" t="n">
        <v>88665</v>
      </c>
      <c r="K101" s="30" t="n">
        <v>92826.66666666667</v>
      </c>
      <c r="L101" s="30" t="n">
        <v>98215</v>
      </c>
      <c r="M101" s="35" t="n">
        <v>0.3965454476185935</v>
      </c>
      <c r="N101" s="35" t="n">
        <v>0.3295262415195906</v>
      </c>
      <c r="O101" s="35" t="n">
        <v>-0.07407407407407407</v>
      </c>
      <c r="P101" s="35" t="n">
        <v>-0.1290983606557377</v>
      </c>
      <c r="Q101" s="35" t="n">
        <v>-0.113660062565172</v>
      </c>
      <c r="R101" s="35" t="n">
        <v>-0.04133536344668132</v>
      </c>
      <c r="S101" s="35" t="n">
        <v>-0.08431485205400757</v>
      </c>
      <c r="T101" s="35" t="n">
        <v>-0.1345517487145548</v>
      </c>
      <c r="U101" s="30" t="n">
        <v>116400</v>
      </c>
      <c r="V101" s="30" t="n">
        <v>82800</v>
      </c>
      <c r="W101" s="35" t="n">
        <v>-0.2697594501718213</v>
      </c>
      <c r="X101" s="35" t="n">
        <v>0.02657004830917864</v>
      </c>
      <c r="Y101" s="30" t="n">
        <v>11179416</v>
      </c>
      <c r="Z101" s="30" t="n">
        <v>950250360000</v>
      </c>
      <c r="AA101" s="30" t="n">
        <v>6154000000</v>
      </c>
      <c r="AB101" s="30" t="n">
        <v>3794281645</v>
      </c>
      <c r="AC101" s="35" t="n">
        <v>0.006476188022701722</v>
      </c>
      <c r="AD101" s="24" t="inlineStr">
        <is>
          <t>yfinance_download</t>
        </is>
      </c>
      <c r="AE101" s="24" t="inlineStr">
        <is>
          <t>064760.KQ</t>
        </is>
      </c>
    </row>
    <row r="102" ht="24" customHeight="1">
      <c r="A102" s="29" t="inlineStr">
        <is>
          <t>2023-11-03</t>
        </is>
      </c>
      <c r="B102" s="31" t="n">
        <v>85400</v>
      </c>
      <c r="C102" s="31" t="n">
        <v>85900</v>
      </c>
      <c r="D102" s="31" t="n">
        <v>83600</v>
      </c>
      <c r="E102" s="31" t="n">
        <v>84700</v>
      </c>
      <c r="F102" s="31" t="n">
        <v>81175.65625</v>
      </c>
      <c r="G102" s="31" t="n">
        <v>40853</v>
      </c>
      <c r="H102" s="36" t="n">
        <v>-0.003529411764705892</v>
      </c>
      <c r="I102" s="36" t="n">
        <v>-0.5870307167235496</v>
      </c>
      <c r="J102" s="31" t="n">
        <v>88095</v>
      </c>
      <c r="K102" s="31" t="n">
        <v>92605</v>
      </c>
      <c r="L102" s="31" t="n">
        <v>98112.5</v>
      </c>
      <c r="M102" s="36" t="n">
        <v>0.3491362559829658</v>
      </c>
      <c r="N102" s="36" t="n">
        <v>0.3292851925226823</v>
      </c>
      <c r="O102" s="36" t="n">
        <v>-0.1186264308012487</v>
      </c>
      <c r="P102" s="36" t="n">
        <v>-0.1357142857142857</v>
      </c>
      <c r="Q102" s="36" t="n">
        <v>-0.1268041237113402</v>
      </c>
      <c r="R102" s="36" t="n">
        <v>-0.03853794199443783</v>
      </c>
      <c r="S102" s="36" t="n">
        <v>-0.08536256141677012</v>
      </c>
      <c r="T102" s="36" t="n">
        <v>-0.1367053127786979</v>
      </c>
      <c r="U102" s="31" t="n">
        <v>116400</v>
      </c>
      <c r="V102" s="31" t="n">
        <v>82800</v>
      </c>
      <c r="W102" s="36" t="n">
        <v>-0.2723367697594502</v>
      </c>
      <c r="X102" s="36" t="n">
        <v>0.02294685990338174</v>
      </c>
      <c r="Y102" s="31" t="n">
        <v>11179416</v>
      </c>
      <c r="Z102" s="31" t="n">
        <v>946896535200</v>
      </c>
      <c r="AA102" s="31" t="n">
        <v>3460249100</v>
      </c>
      <c r="AB102" s="31" t="n">
        <v>3749185540</v>
      </c>
      <c r="AC102" s="36" t="n">
        <v>0.003654305376953501</v>
      </c>
      <c r="AD102" s="29" t="inlineStr">
        <is>
          <t>yfinance_download</t>
        </is>
      </c>
      <c r="AE102" s="29" t="inlineStr">
        <is>
          <t>064760.KQ</t>
        </is>
      </c>
    </row>
    <row r="103" ht="24" customHeight="1">
      <c r="A103" s="24" t="inlineStr">
        <is>
          <t>2023-11-06</t>
        </is>
      </c>
      <c r="B103" s="30" t="n">
        <v>86700</v>
      </c>
      <c r="C103" s="30" t="n">
        <v>86700</v>
      </c>
      <c r="D103" s="30" t="n">
        <v>84200</v>
      </c>
      <c r="E103" s="30" t="n">
        <v>85000</v>
      </c>
      <c r="F103" s="30" t="n">
        <v>81463.171875</v>
      </c>
      <c r="G103" s="30" t="n">
        <v>102499</v>
      </c>
      <c r="H103" s="35" t="n">
        <v>0.003541912632821775</v>
      </c>
      <c r="I103" s="35" t="n">
        <v>-0.5855680156021452</v>
      </c>
      <c r="J103" s="30" t="n">
        <v>87515</v>
      </c>
      <c r="K103" s="30" t="n">
        <v>92391.66666666667</v>
      </c>
      <c r="L103" s="30" t="n">
        <v>98020</v>
      </c>
      <c r="M103" s="35" t="n">
        <v>0.3484746144753653</v>
      </c>
      <c r="N103" s="35" t="n">
        <v>0.3294965961752652</v>
      </c>
      <c r="O103" s="35" t="n">
        <v>-0.1200828157349897</v>
      </c>
      <c r="P103" s="35" t="n">
        <v>-0.130879345603272</v>
      </c>
      <c r="Q103" s="35" t="n">
        <v>-0.1155046826222684</v>
      </c>
      <c r="R103" s="35" t="n">
        <v>-0.0287379306404616</v>
      </c>
      <c r="S103" s="35" t="n">
        <v>-0.08000360782898897</v>
      </c>
      <c r="T103" s="35" t="n">
        <v>-0.1328300346867987</v>
      </c>
      <c r="U103" s="30" t="n">
        <v>116400</v>
      </c>
      <c r="V103" s="30" t="n">
        <v>82800</v>
      </c>
      <c r="W103" s="35" t="n">
        <v>-0.2697594501718213</v>
      </c>
      <c r="X103" s="35" t="n">
        <v>0.02657004830917864</v>
      </c>
      <c r="Y103" s="30" t="n">
        <v>11179416</v>
      </c>
      <c r="Z103" s="30" t="n">
        <v>950250360000</v>
      </c>
      <c r="AA103" s="30" t="n">
        <v>8712415000</v>
      </c>
      <c r="AB103" s="30" t="n">
        <v>4105338300</v>
      </c>
      <c r="AC103" s="35" t="n">
        <v>0.009168546907995909</v>
      </c>
      <c r="AD103" s="24" t="inlineStr">
        <is>
          <t>yfinance_download</t>
        </is>
      </c>
      <c r="AE103" s="24" t="inlineStr">
        <is>
          <t>064760.KQ</t>
        </is>
      </c>
    </row>
    <row r="104" ht="24" customHeight="1">
      <c r="A104" s="29" t="inlineStr">
        <is>
          <t>2023-11-07</t>
        </is>
      </c>
      <c r="B104" s="31" t="n">
        <v>85500</v>
      </c>
      <c r="C104" s="31" t="n">
        <v>86000</v>
      </c>
      <c r="D104" s="31" t="n">
        <v>84400</v>
      </c>
      <c r="E104" s="31" t="n">
        <v>84500</v>
      </c>
      <c r="F104" s="31" t="n">
        <v>80983.984375</v>
      </c>
      <c r="G104" s="31" t="n">
        <v>76082</v>
      </c>
      <c r="H104" s="36" t="n">
        <v>-0.00588235294117645</v>
      </c>
      <c r="I104" s="36" t="n">
        <v>-0.5880058508044856</v>
      </c>
      <c r="J104" s="31" t="n">
        <v>86990</v>
      </c>
      <c r="K104" s="31" t="n">
        <v>92190</v>
      </c>
      <c r="L104" s="31" t="n">
        <v>97931.66666666667</v>
      </c>
      <c r="M104" s="36" t="n">
        <v>0.3462950387052209</v>
      </c>
      <c r="N104" s="36" t="n">
        <v>0.3289159711738426</v>
      </c>
      <c r="O104" s="36" t="n">
        <v>-0.1105263157894737</v>
      </c>
      <c r="P104" s="36" t="n">
        <v>-0.1252587991718427</v>
      </c>
      <c r="Q104" s="36" t="n">
        <v>-0.1114616193480547</v>
      </c>
      <c r="R104" s="36" t="n">
        <v>-0.02862397976778941</v>
      </c>
      <c r="S104" s="36" t="n">
        <v>-0.08341468705933397</v>
      </c>
      <c r="T104" s="36" t="n">
        <v>-0.137153457342705</v>
      </c>
      <c r="U104" s="31" t="n">
        <v>116400</v>
      </c>
      <c r="V104" s="31" t="n">
        <v>82800</v>
      </c>
      <c r="W104" s="36" t="n">
        <v>-0.2740549828178694</v>
      </c>
      <c r="X104" s="36" t="n">
        <v>0.02053140096618367</v>
      </c>
      <c r="Y104" s="31" t="n">
        <v>11179416</v>
      </c>
      <c r="Z104" s="31" t="n">
        <v>944660652000</v>
      </c>
      <c r="AA104" s="31" t="n">
        <v>6428929000</v>
      </c>
      <c r="AB104" s="31" t="n">
        <v>4287400750</v>
      </c>
      <c r="AC104" s="36" t="n">
        <v>0.006805543330707078</v>
      </c>
      <c r="AD104" s="29" t="inlineStr">
        <is>
          <t>yfinance_download</t>
        </is>
      </c>
      <c r="AE104" s="29" t="inlineStr">
        <is>
          <t>064760.KQ</t>
        </is>
      </c>
    </row>
    <row r="105" ht="24" customHeight="1">
      <c r="A105" s="24" t="inlineStr">
        <is>
          <t>2023-11-08</t>
        </is>
      </c>
      <c r="B105" s="30" t="n">
        <v>85600</v>
      </c>
      <c r="C105" s="30" t="n">
        <v>86200</v>
      </c>
      <c r="D105" s="30" t="n">
        <v>83200</v>
      </c>
      <c r="E105" s="30" t="n">
        <v>83800</v>
      </c>
      <c r="F105" s="30" t="n">
        <v>80313.109375</v>
      </c>
      <c r="G105" s="30" t="n">
        <v>44180</v>
      </c>
      <c r="H105" s="35" t="n">
        <v>-0.008284023668639007</v>
      </c>
      <c r="I105" s="35" t="n">
        <v>-0.5914188200877621</v>
      </c>
      <c r="J105" s="30" t="n">
        <v>86500</v>
      </c>
      <c r="K105" s="30" t="n">
        <v>91975</v>
      </c>
      <c r="L105" s="30" t="n">
        <v>97821.66666666667</v>
      </c>
      <c r="M105" s="35" t="n">
        <v>0.3447938861206674</v>
      </c>
      <c r="N105" s="35" t="n">
        <v>0.3291010705337984</v>
      </c>
      <c r="O105" s="35" t="n">
        <v>-0.1047008547008547</v>
      </c>
      <c r="P105" s="35" t="n">
        <v>-0.1334022750775594</v>
      </c>
      <c r="Q105" s="35" t="n">
        <v>-0.1360824742268041</v>
      </c>
      <c r="R105" s="35" t="n">
        <v>-0.03121387283236998</v>
      </c>
      <c r="S105" s="35" t="n">
        <v>-0.08888284860016304</v>
      </c>
      <c r="T105" s="35" t="n">
        <v>-0.1433390693949875</v>
      </c>
      <c r="U105" s="30" t="n">
        <v>116400</v>
      </c>
      <c r="V105" s="30" t="n">
        <v>82800</v>
      </c>
      <c r="W105" s="35" t="n">
        <v>-0.2800687285223368</v>
      </c>
      <c r="X105" s="35" t="n">
        <v>0.01207729468599039</v>
      </c>
      <c r="Y105" s="30" t="n">
        <v>11179416</v>
      </c>
      <c r="Z105" s="30" t="n">
        <v>936835060800</v>
      </c>
      <c r="AA105" s="30" t="n">
        <v>3702284000</v>
      </c>
      <c r="AB105" s="30" t="n">
        <v>4247692430</v>
      </c>
      <c r="AC105" s="35" t="n">
        <v>0.003951905895621024</v>
      </c>
      <c r="AD105" s="24" t="inlineStr">
        <is>
          <t>yfinance_download</t>
        </is>
      </c>
      <c r="AE105" s="24" t="inlineStr">
        <is>
          <t>064760.KQ</t>
        </is>
      </c>
    </row>
    <row r="106" ht="24" customHeight="1">
      <c r="A106" s="29" t="inlineStr">
        <is>
          <t>2023-11-09</t>
        </is>
      </c>
      <c r="B106" s="31" t="n">
        <v>83900</v>
      </c>
      <c r="C106" s="31" t="n">
        <v>84300</v>
      </c>
      <c r="D106" s="31" t="n">
        <v>82400</v>
      </c>
      <c r="E106" s="31" t="n">
        <v>82600</v>
      </c>
      <c r="F106" s="31" t="n">
        <v>79163.0390625</v>
      </c>
      <c r="G106" s="31" t="n">
        <v>31950</v>
      </c>
      <c r="H106" s="36" t="n">
        <v>-0.01431980906921237</v>
      </c>
      <c r="I106" s="36" t="n">
        <v>-0.5972696245733788</v>
      </c>
      <c r="J106" s="31" t="n">
        <v>85870</v>
      </c>
      <c r="K106" s="31" t="n">
        <v>91733.33333333333</v>
      </c>
      <c r="L106" s="31" t="n">
        <v>97698.33333333333</v>
      </c>
      <c r="M106" s="36" t="n">
        <v>0.3356573414677817</v>
      </c>
      <c r="N106" s="36" t="n">
        <v>0.3297628916068144</v>
      </c>
      <c r="O106" s="36" t="n">
        <v>-0.1323529411764706</v>
      </c>
      <c r="P106" s="36" t="n">
        <v>-0.149330587023687</v>
      </c>
      <c r="Q106" s="36" t="n">
        <v>-0.1519507186858317</v>
      </c>
      <c r="R106" s="36" t="n">
        <v>-0.03808081984395018</v>
      </c>
      <c r="S106" s="36" t="n">
        <v>-0.09956395348837199</v>
      </c>
      <c r="T106" s="36" t="n">
        <v>-0.1545403367508827</v>
      </c>
      <c r="U106" s="31" t="n">
        <v>116400</v>
      </c>
      <c r="V106" s="31" t="n">
        <v>82600</v>
      </c>
      <c r="W106" s="36" t="n">
        <v>-0.2903780068728522</v>
      </c>
      <c r="X106" s="36" t="n">
        <v>0</v>
      </c>
      <c r="Y106" s="31" t="n">
        <v>11179416</v>
      </c>
      <c r="Z106" s="31" t="n">
        <v>923419761600</v>
      </c>
      <c r="AA106" s="31" t="n">
        <v>2639070000</v>
      </c>
      <c r="AB106" s="31" t="n">
        <v>4232704730</v>
      </c>
      <c r="AC106" s="36" t="n">
        <v>0.002857931040404973</v>
      </c>
      <c r="AD106" s="29" t="inlineStr">
        <is>
          <t>yfinance_download</t>
        </is>
      </c>
      <c r="AE106" s="29" t="inlineStr">
        <is>
          <t>064760.KQ</t>
        </is>
      </c>
    </row>
    <row r="107" ht="24" customHeight="1">
      <c r="A107" s="24" t="inlineStr">
        <is>
          <t>2023-11-10</t>
        </is>
      </c>
      <c r="B107" s="30" t="n">
        <v>82500</v>
      </c>
      <c r="C107" s="30" t="n">
        <v>82800</v>
      </c>
      <c r="D107" s="30" t="n">
        <v>81200</v>
      </c>
      <c r="E107" s="30" t="n">
        <v>82400</v>
      </c>
      <c r="F107" s="30" t="n">
        <v>78971.359375</v>
      </c>
      <c r="G107" s="30" t="n">
        <v>27284</v>
      </c>
      <c r="H107" s="35" t="n">
        <v>-0.002421307506053294</v>
      </c>
      <c r="I107" s="35" t="n">
        <v>-0.5982447586543149</v>
      </c>
      <c r="J107" s="30" t="n">
        <v>85395</v>
      </c>
      <c r="K107" s="30" t="n">
        <v>91461.66666666667</v>
      </c>
      <c r="L107" s="30" t="n">
        <v>97580.83333333333</v>
      </c>
      <c r="M107" s="35" t="n">
        <v>0.3193489051608159</v>
      </c>
      <c r="N107" s="35" t="n">
        <v>0.3273883545727179</v>
      </c>
      <c r="O107" s="35" t="n">
        <v>-0.1033732317736671</v>
      </c>
      <c r="P107" s="35" t="n">
        <v>-0.1651469098277609</v>
      </c>
      <c r="Q107" s="35" t="n">
        <v>-0.1461139896373057</v>
      </c>
      <c r="R107" s="35" t="n">
        <v>-0.03507231102523567</v>
      </c>
      <c r="S107" s="35" t="n">
        <v>-0.09907611567687746</v>
      </c>
      <c r="T107" s="35" t="n">
        <v>-0.1555718763076765</v>
      </c>
      <c r="U107" s="30" t="n">
        <v>116400</v>
      </c>
      <c r="V107" s="30" t="n">
        <v>82400</v>
      </c>
      <c r="W107" s="35" t="n">
        <v>-0.2920962199312714</v>
      </c>
      <c r="X107" s="35" t="n">
        <v>0</v>
      </c>
      <c r="Y107" s="30" t="n">
        <v>11179416</v>
      </c>
      <c r="Z107" s="30" t="n">
        <v>921183878400</v>
      </c>
      <c r="AA107" s="30" t="n">
        <v>2248201600</v>
      </c>
      <c r="AB107" s="30" t="n">
        <v>3568104905</v>
      </c>
      <c r="AC107" s="35" t="n">
        <v>0.002440556823361793</v>
      </c>
      <c r="AD107" s="24" t="inlineStr">
        <is>
          <t>yfinance_download</t>
        </is>
      </c>
      <c r="AE107" s="24" t="inlineStr">
        <is>
          <t>064760.KQ</t>
        </is>
      </c>
    </row>
    <row r="108" ht="24" customHeight="1">
      <c r="A108" s="29" t="inlineStr">
        <is>
          <t>2023-11-13</t>
        </is>
      </c>
      <c r="B108" s="31" t="n">
        <v>83200</v>
      </c>
      <c r="C108" s="31" t="n">
        <v>83400</v>
      </c>
      <c r="D108" s="31" t="n">
        <v>80500</v>
      </c>
      <c r="E108" s="31" t="n">
        <v>81800</v>
      </c>
      <c r="F108" s="31" t="n">
        <v>78396.328125</v>
      </c>
      <c r="G108" s="31" t="n">
        <v>39659</v>
      </c>
      <c r="H108" s="36" t="n">
        <v>-0.007281553398058249</v>
      </c>
      <c r="I108" s="36" t="n">
        <v>-0.6011701608971234</v>
      </c>
      <c r="J108" s="31" t="n">
        <v>84930</v>
      </c>
      <c r="K108" s="31" t="n">
        <v>91218.33333333333</v>
      </c>
      <c r="L108" s="31" t="n">
        <v>97453.33333333333</v>
      </c>
      <c r="M108" s="36" t="n">
        <v>0.3191843773915382</v>
      </c>
      <c r="N108" s="36" t="n">
        <v>0.3247374922812325</v>
      </c>
      <c r="O108" s="36" t="n">
        <v>-0.102085620197585</v>
      </c>
      <c r="P108" s="36" t="n">
        <v>-0.1514522821576764</v>
      </c>
      <c r="Q108" s="36" t="n">
        <v>-0.1575695159629248</v>
      </c>
      <c r="R108" s="36" t="n">
        <v>-0.03685387966560694</v>
      </c>
      <c r="S108" s="36" t="n">
        <v>-0.103250443076136</v>
      </c>
      <c r="T108" s="36" t="n">
        <v>-0.1606238883568203</v>
      </c>
      <c r="U108" s="31" t="n">
        <v>116400</v>
      </c>
      <c r="V108" s="31" t="n">
        <v>81800</v>
      </c>
      <c r="W108" s="36" t="n">
        <v>-0.2972508591065293</v>
      </c>
      <c r="X108" s="36" t="n">
        <v>0</v>
      </c>
      <c r="Y108" s="31" t="n">
        <v>11179416</v>
      </c>
      <c r="Z108" s="31" t="n">
        <v>914476228800</v>
      </c>
      <c r="AA108" s="31" t="n">
        <v>3244106200</v>
      </c>
      <c r="AB108" s="31" t="n">
        <v>3564790625</v>
      </c>
      <c r="AC108" s="36" t="n">
        <v>0.003547501944645409</v>
      </c>
      <c r="AD108" s="29" t="inlineStr">
        <is>
          <t>yfinance_download</t>
        </is>
      </c>
      <c r="AE108" s="29" t="inlineStr">
        <is>
          <t>064760.KQ</t>
        </is>
      </c>
    </row>
    <row r="109" ht="24" customHeight="1">
      <c r="A109" s="24" t="inlineStr">
        <is>
          <t>2023-11-14</t>
        </is>
      </c>
      <c r="B109" s="30" t="n">
        <v>82400</v>
      </c>
      <c r="C109" s="30" t="n">
        <v>83000</v>
      </c>
      <c r="D109" s="30" t="n">
        <v>81600</v>
      </c>
      <c r="E109" s="30" t="n">
        <v>82800</v>
      </c>
      <c r="F109" s="30" t="n">
        <v>79354.71875</v>
      </c>
      <c r="G109" s="30" t="n">
        <v>37793</v>
      </c>
      <c r="H109" s="35" t="n">
        <v>0.01222493887530551</v>
      </c>
      <c r="I109" s="35" t="n">
        <v>-0.5962944904924428</v>
      </c>
      <c r="J109" s="30" t="n">
        <v>84480</v>
      </c>
      <c r="K109" s="30" t="n">
        <v>90993.33333333333</v>
      </c>
      <c r="L109" s="30" t="n">
        <v>97320.83333333333</v>
      </c>
      <c r="M109" s="35" t="n">
        <v>0.3220054794200417</v>
      </c>
      <c r="N109" s="35" t="n">
        <v>0.3261318904734733</v>
      </c>
      <c r="O109" s="35" t="n">
        <v>-0.09803921568627449</v>
      </c>
      <c r="P109" s="35" t="n">
        <v>-0.1401869158878505</v>
      </c>
      <c r="Q109" s="35" t="n">
        <v>-0.1610942249240122</v>
      </c>
      <c r="R109" s="35" t="n">
        <v>-0.01988636363636365</v>
      </c>
      <c r="S109" s="35" t="n">
        <v>-0.09004322661000796</v>
      </c>
      <c r="T109" s="35" t="n">
        <v>-0.149205805540095</v>
      </c>
      <c r="U109" s="30" t="n">
        <v>116400</v>
      </c>
      <c r="V109" s="30" t="n">
        <v>81800</v>
      </c>
      <c r="W109" s="35" t="n">
        <v>-0.288659793814433</v>
      </c>
      <c r="X109" s="35" t="n">
        <v>0.01222493887530551</v>
      </c>
      <c r="Y109" s="30" t="n">
        <v>11179416</v>
      </c>
      <c r="Z109" s="30" t="n">
        <v>925655644800</v>
      </c>
      <c r="AA109" s="30" t="n">
        <v>3129260400</v>
      </c>
      <c r="AB109" s="30" t="n">
        <v>3580877675</v>
      </c>
      <c r="AC109" s="35" t="n">
        <v>0.003380588037872461</v>
      </c>
      <c r="AD109" s="24" t="inlineStr">
        <is>
          <t>yfinance_download</t>
        </is>
      </c>
      <c r="AE109" s="24" t="inlineStr">
        <is>
          <t>064760.KQ</t>
        </is>
      </c>
    </row>
    <row r="110" ht="24" customHeight="1">
      <c r="A110" s="29" t="inlineStr">
        <is>
          <t>2023-11-15</t>
        </is>
      </c>
      <c r="B110" s="31" t="n">
        <v>83700</v>
      </c>
      <c r="C110" s="31" t="n">
        <v>91700</v>
      </c>
      <c r="D110" s="31" t="n">
        <v>83700</v>
      </c>
      <c r="E110" s="31" t="n">
        <v>89900</v>
      </c>
      <c r="F110" s="31" t="n">
        <v>86159.2890625</v>
      </c>
      <c r="G110" s="31" t="n">
        <v>97571</v>
      </c>
      <c r="H110" s="36" t="n">
        <v>0.08574879227053134</v>
      </c>
      <c r="I110" s="36" t="n">
        <v>-0.5616772306192102</v>
      </c>
      <c r="J110" s="31" t="n">
        <v>84490</v>
      </c>
      <c r="K110" s="31" t="n">
        <v>90870</v>
      </c>
      <c r="L110" s="31" t="n">
        <v>97240.83333333333</v>
      </c>
      <c r="M110" s="36" t="n">
        <v>0.4479990349380079</v>
      </c>
      <c r="N110" s="36" t="n">
        <v>0.3720047318218599</v>
      </c>
      <c r="O110" s="36" t="n">
        <v>0.002229654403567372</v>
      </c>
      <c r="P110" s="36" t="n">
        <v>-0.07605344295991778</v>
      </c>
      <c r="Q110" s="36" t="n">
        <v>-0.0964824120603015</v>
      </c>
      <c r="R110" s="36" t="n">
        <v>0.0640312463013375</v>
      </c>
      <c r="S110" s="36" t="n">
        <v>-0.01067459007373173</v>
      </c>
      <c r="T110" s="36" t="n">
        <v>-0.07549126310106347</v>
      </c>
      <c r="U110" s="31" t="n">
        <v>116400</v>
      </c>
      <c r="V110" s="31" t="n">
        <v>81800</v>
      </c>
      <c r="W110" s="36" t="n">
        <v>-0.2276632302405498</v>
      </c>
      <c r="X110" s="36" t="n">
        <v>0.09902200488997548</v>
      </c>
      <c r="Y110" s="31" t="n">
        <v>11179416</v>
      </c>
      <c r="Z110" s="31" t="n">
        <v>1005029498400</v>
      </c>
      <c r="AA110" s="31" t="n">
        <v>8771632900</v>
      </c>
      <c r="AB110" s="31" t="n">
        <v>3874176715</v>
      </c>
      <c r="AC110" s="36" t="n">
        <v>0.008727736761920301</v>
      </c>
      <c r="AD110" s="29" t="inlineStr">
        <is>
          <t>yfinance_download</t>
        </is>
      </c>
      <c r="AE110" s="29" t="inlineStr">
        <is>
          <t>064760.KQ</t>
        </is>
      </c>
    </row>
    <row r="111" ht="24" customHeight="1">
      <c r="A111" s="24" t="inlineStr">
        <is>
          <t>2023-11-16</t>
        </is>
      </c>
      <c r="B111" s="30" t="n">
        <v>90500</v>
      </c>
      <c r="C111" s="30" t="n">
        <v>95800</v>
      </c>
      <c r="D111" s="30" t="n">
        <v>88500</v>
      </c>
      <c r="E111" s="30" t="n">
        <v>95000</v>
      </c>
      <c r="F111" s="30" t="n">
        <v>91047.078125</v>
      </c>
      <c r="G111" s="30" t="n">
        <v>76038</v>
      </c>
      <c r="H111" s="35" t="n">
        <v>0.05672969966629582</v>
      </c>
      <c r="I111" s="35" t="n">
        <v>-0.5368113115553388</v>
      </c>
      <c r="J111" s="30" t="n">
        <v>84970</v>
      </c>
      <c r="K111" s="30" t="n">
        <v>90821.66666666667</v>
      </c>
      <c r="L111" s="30" t="n">
        <v>97174.16666666667</v>
      </c>
      <c r="M111" s="35" t="n">
        <v>0.4519994641965959</v>
      </c>
      <c r="N111" s="35" t="n">
        <v>0.3901828504661579</v>
      </c>
      <c r="O111" s="35" t="n">
        <v>0.1124121779859484</v>
      </c>
      <c r="P111" s="35" t="n">
        <v>-0.02962206332992845</v>
      </c>
      <c r="Q111" s="35" t="n">
        <v>-0.07766990291262132</v>
      </c>
      <c r="R111" s="35" t="n">
        <v>0.1180416617629751</v>
      </c>
      <c r="S111" s="35" t="n">
        <v>0.0460059090158369</v>
      </c>
      <c r="T111" s="35" t="n">
        <v>-0.02237391625003216</v>
      </c>
      <c r="U111" s="30" t="n">
        <v>116400</v>
      </c>
      <c r="V111" s="30" t="n">
        <v>81800</v>
      </c>
      <c r="W111" s="35" t="n">
        <v>-0.1838487972508591</v>
      </c>
      <c r="X111" s="35" t="n">
        <v>0.1613691931540342</v>
      </c>
      <c r="Y111" s="30" t="n">
        <v>11179416</v>
      </c>
      <c r="Z111" s="30" t="n">
        <v>1062044520000</v>
      </c>
      <c r="AA111" s="30" t="n">
        <v>7223610000</v>
      </c>
      <c r="AB111" s="30" t="n">
        <v>4030666225</v>
      </c>
      <c r="AC111" s="35" t="n">
        <v>0.006801607525831403</v>
      </c>
      <c r="AD111" s="24" t="inlineStr">
        <is>
          <t>yfinance_download</t>
        </is>
      </c>
      <c r="AE111" s="24" t="inlineStr">
        <is>
          <t>064760.KQ</t>
        </is>
      </c>
    </row>
    <row r="112" ht="24" customHeight="1">
      <c r="A112" s="29" t="inlineStr">
        <is>
          <t>2023-11-17</t>
        </is>
      </c>
      <c r="B112" s="31" t="n">
        <v>95100</v>
      </c>
      <c r="C112" s="31" t="n">
        <v>97900</v>
      </c>
      <c r="D112" s="31" t="n">
        <v>94200</v>
      </c>
      <c r="E112" s="31" t="n">
        <v>95900</v>
      </c>
      <c r="F112" s="31" t="n">
        <v>91909.6328125</v>
      </c>
      <c r="G112" s="31" t="n">
        <v>44722</v>
      </c>
      <c r="H112" s="36" t="n">
        <v>0.009473684210526301</v>
      </c>
      <c r="I112" s="36" t="n">
        <v>-0.5324232081911262</v>
      </c>
      <c r="J112" s="31" t="n">
        <v>85590</v>
      </c>
      <c r="K112" s="31" t="n">
        <v>90816.66666666667</v>
      </c>
      <c r="L112" s="31" t="n">
        <v>97102.5</v>
      </c>
      <c r="M112" s="36" t="n">
        <v>0.4398314556518481</v>
      </c>
      <c r="N112" s="36" t="n">
        <v>0.3890173202434664</v>
      </c>
      <c r="O112" s="36" t="n">
        <v>0.148502994011976</v>
      </c>
      <c r="P112" s="36" t="n">
        <v>-0.003118503118503146</v>
      </c>
      <c r="Q112" s="36" t="n">
        <v>-0.08229665071770331</v>
      </c>
      <c r="R112" s="36" t="n">
        <v>0.1204579974296063</v>
      </c>
      <c r="S112" s="36" t="n">
        <v>0.05597357313268492</v>
      </c>
      <c r="T112" s="36" t="n">
        <v>-0.01238382121984505</v>
      </c>
      <c r="U112" s="31" t="n">
        <v>116400</v>
      </c>
      <c r="V112" s="31" t="n">
        <v>81800</v>
      </c>
      <c r="W112" s="36" t="n">
        <v>-0.1761168384879725</v>
      </c>
      <c r="X112" s="36" t="n">
        <v>0.1723716381418092</v>
      </c>
      <c r="Y112" s="31" t="n">
        <v>11179416</v>
      </c>
      <c r="Z112" s="31" t="n">
        <v>1072105994400</v>
      </c>
      <c r="AA112" s="31" t="n">
        <v>4288839800</v>
      </c>
      <c r="AB112" s="31" t="n">
        <v>4047714215</v>
      </c>
      <c r="AC112" s="36" t="n">
        <v>0.004000387855680475</v>
      </c>
      <c r="AD112" s="29" t="inlineStr">
        <is>
          <t>yfinance_download</t>
        </is>
      </c>
      <c r="AE112" s="29" t="inlineStr">
        <is>
          <t>064760.KQ</t>
        </is>
      </c>
    </row>
    <row r="113" ht="24" customHeight="1">
      <c r="A113" s="24" t="inlineStr">
        <is>
          <t>2023-11-20</t>
        </is>
      </c>
      <c r="B113" s="30" t="n">
        <v>95000</v>
      </c>
      <c r="C113" s="30" t="n">
        <v>96200</v>
      </c>
      <c r="D113" s="30" t="n">
        <v>93800</v>
      </c>
      <c r="E113" s="30" t="n">
        <v>94800</v>
      </c>
      <c r="F113" s="30" t="n">
        <v>90855.3984375</v>
      </c>
      <c r="G113" s="30" t="n">
        <v>23659</v>
      </c>
      <c r="H113" s="35" t="n">
        <v>-0.01147028154327423</v>
      </c>
      <c r="I113" s="35" t="n">
        <v>-0.537786445636275</v>
      </c>
      <c r="J113" s="30" t="n">
        <v>86030</v>
      </c>
      <c r="K113" s="30" t="n">
        <v>90813.33333333333</v>
      </c>
      <c r="L113" s="30" t="n">
        <v>97020.83333333333</v>
      </c>
      <c r="M113" s="35" t="n">
        <v>0.4361093389834895</v>
      </c>
      <c r="N113" s="35" t="n">
        <v>0.3888826279643475</v>
      </c>
      <c r="O113" s="35" t="n">
        <v>0.1023255813953488</v>
      </c>
      <c r="P113" s="35" t="n">
        <v>-0.002105263157894721</v>
      </c>
      <c r="Q113" s="35" t="n">
        <v>-0.09369024856596553</v>
      </c>
      <c r="R113" s="35" t="n">
        <v>0.1019411833081483</v>
      </c>
      <c r="S113" s="35" t="n">
        <v>0.04389957421817647</v>
      </c>
      <c r="T113" s="35" t="n">
        <v>-0.02289027270775168</v>
      </c>
      <c r="U113" s="30" t="n">
        <v>116400</v>
      </c>
      <c r="V113" s="30" t="n">
        <v>81800</v>
      </c>
      <c r="W113" s="35" t="n">
        <v>-0.1855670103092784</v>
      </c>
      <c r="X113" s="35" t="n">
        <v>0.158924205378973</v>
      </c>
      <c r="Y113" s="30" t="n">
        <v>11179416</v>
      </c>
      <c r="Z113" s="30" t="n">
        <v>1059808636800</v>
      </c>
      <c r="AA113" s="30" t="n">
        <v>2242873200</v>
      </c>
      <c r="AB113" s="30" t="n">
        <v>4003419575</v>
      </c>
      <c r="AC113" s="35" t="n">
        <v>0.002116300171672653</v>
      </c>
      <c r="AD113" s="24" t="inlineStr">
        <is>
          <t>yfinance_download</t>
        </is>
      </c>
      <c r="AE113" s="24" t="inlineStr">
        <is>
          <t>064760.KQ</t>
        </is>
      </c>
    </row>
    <row r="114" ht="24" customHeight="1">
      <c r="A114" s="29" t="inlineStr">
        <is>
          <t>2023-11-21</t>
        </is>
      </c>
      <c r="B114" s="31" t="n">
        <v>94800</v>
      </c>
      <c r="C114" s="31" t="n">
        <v>97200</v>
      </c>
      <c r="D114" s="31" t="n">
        <v>94700</v>
      </c>
      <c r="E114" s="31" t="n">
        <v>96000</v>
      </c>
      <c r="F114" s="31" t="n">
        <v>92005.4765625</v>
      </c>
      <c r="G114" s="31" t="n">
        <v>26974</v>
      </c>
      <c r="H114" s="36" t="n">
        <v>0.01265822784810133</v>
      </c>
      <c r="I114" s="36" t="n">
        <v>-0.5319356411506582</v>
      </c>
      <c r="J114" s="31" t="n">
        <v>86460</v>
      </c>
      <c r="K114" s="31" t="n">
        <v>90908.33333333333</v>
      </c>
      <c r="L114" s="31" t="n">
        <v>96966.66666666667</v>
      </c>
      <c r="M114" s="36" t="n">
        <v>0.4350809821929967</v>
      </c>
      <c r="N114" s="36" t="n">
        <v>0.3755648250781954</v>
      </c>
      <c r="O114" s="36" t="n">
        <v>0.09839816933638446</v>
      </c>
      <c r="P114" s="36" t="n">
        <v>0.06312292358803995</v>
      </c>
      <c r="Q114" s="36" t="n">
        <v>-0.06341463414634141</v>
      </c>
      <c r="R114" s="36" t="n">
        <v>0.1103400416377516</v>
      </c>
      <c r="S114" s="36" t="n">
        <v>0.05600880007333409</v>
      </c>
      <c r="T114" s="36" t="n">
        <v>-0.009969061533173007</v>
      </c>
      <c r="U114" s="31" t="n">
        <v>116400</v>
      </c>
      <c r="V114" s="31" t="n">
        <v>81800</v>
      </c>
      <c r="W114" s="36" t="n">
        <v>-0.1752577319587629</v>
      </c>
      <c r="X114" s="36" t="n">
        <v>0.1735941320293399</v>
      </c>
      <c r="Y114" s="31" t="n">
        <v>11179416</v>
      </c>
      <c r="Z114" s="31" t="n">
        <v>1073223936000</v>
      </c>
      <c r="AA114" s="31" t="n">
        <v>2589504000</v>
      </c>
      <c r="AB114" s="31" t="n">
        <v>3990699345</v>
      </c>
      <c r="AC114" s="36" t="n">
        <v>0.002412827289010446</v>
      </c>
      <c r="AD114" s="29" t="inlineStr">
        <is>
          <t>yfinance_download</t>
        </is>
      </c>
      <c r="AE114" s="29" t="inlineStr">
        <is>
          <t>064760.KQ</t>
        </is>
      </c>
    </row>
    <row r="115" ht="24" customHeight="1">
      <c r="A115" s="24" t="inlineStr">
        <is>
          <t>2023-11-22</t>
        </is>
      </c>
      <c r="B115" s="30" t="n">
        <v>96000</v>
      </c>
      <c r="C115" s="30" t="n">
        <v>97100</v>
      </c>
      <c r="D115" s="30" t="n">
        <v>95200</v>
      </c>
      <c r="E115" s="30" t="n">
        <v>96500</v>
      </c>
      <c r="F115" s="30" t="n">
        <v>92484.6640625</v>
      </c>
      <c r="G115" s="30" t="n">
        <v>29582</v>
      </c>
      <c r="H115" s="35" t="n">
        <v>0.005208333333333259</v>
      </c>
      <c r="I115" s="35" t="n">
        <v>-0.529497805948318</v>
      </c>
      <c r="J115" s="30" t="n">
        <v>87070</v>
      </c>
      <c r="K115" s="30" t="n">
        <v>91015</v>
      </c>
      <c r="L115" s="30" t="n">
        <v>96909.16666666667</v>
      </c>
      <c r="M115" s="35" t="n">
        <v>0.4079491516967631</v>
      </c>
      <c r="N115" s="35" t="n">
        <v>0.3755769102141472</v>
      </c>
      <c r="O115" s="35" t="n">
        <v>0.1447212336892052</v>
      </c>
      <c r="P115" s="35" t="n">
        <v>0.07103218645948939</v>
      </c>
      <c r="Q115" s="35" t="n">
        <v>-0.0667311411992263</v>
      </c>
      <c r="R115" s="35" t="n">
        <v>0.1083036637188468</v>
      </c>
      <c r="S115" s="35" t="n">
        <v>0.06026479151788178</v>
      </c>
      <c r="T115" s="35" t="n">
        <v>-0.004222166805685768</v>
      </c>
      <c r="U115" s="30" t="n">
        <v>116400</v>
      </c>
      <c r="V115" s="30" t="n">
        <v>81800</v>
      </c>
      <c r="W115" s="35" t="n">
        <v>-0.1709621993127147</v>
      </c>
      <c r="X115" s="35" t="n">
        <v>0.1797066014669926</v>
      </c>
      <c r="Y115" s="30" t="n">
        <v>11179416</v>
      </c>
      <c r="Z115" s="30" t="n">
        <v>1078813644000</v>
      </c>
      <c r="AA115" s="30" t="n">
        <v>2854663000</v>
      </c>
      <c r="AB115" s="30" t="n">
        <v>3973945325</v>
      </c>
      <c r="AC115" s="35" t="n">
        <v>0.002646113178005005</v>
      </c>
      <c r="AD115" s="24" t="inlineStr">
        <is>
          <t>yfinance_download</t>
        </is>
      </c>
      <c r="AE115" s="24" t="inlineStr">
        <is>
          <t>064760.KQ</t>
        </is>
      </c>
    </row>
    <row r="116" ht="24" customHeight="1">
      <c r="A116" s="29" t="inlineStr">
        <is>
          <t>2023-11-23</t>
        </is>
      </c>
      <c r="B116" s="31" t="n">
        <v>99300</v>
      </c>
      <c r="C116" s="31" t="n">
        <v>101300</v>
      </c>
      <c r="D116" s="31" t="n">
        <v>98400</v>
      </c>
      <c r="E116" s="31" t="n">
        <v>99400</v>
      </c>
      <c r="F116" s="31" t="n">
        <v>95263.9921875</v>
      </c>
      <c r="G116" s="31" t="n">
        <v>73805</v>
      </c>
      <c r="H116" s="36" t="n">
        <v>0.03005181347150265</v>
      </c>
      <c r="I116" s="36" t="n">
        <v>-0.515358361774744</v>
      </c>
      <c r="J116" s="31" t="n">
        <v>87830</v>
      </c>
      <c r="K116" s="31" t="n">
        <v>91140</v>
      </c>
      <c r="L116" s="31" t="n">
        <v>96880</v>
      </c>
      <c r="M116" s="36" t="n">
        <v>0.414565429933035</v>
      </c>
      <c r="N116" s="36" t="n">
        <v>0.3782613597370972</v>
      </c>
      <c r="O116" s="36" t="n">
        <v>0.180522565320665</v>
      </c>
      <c r="P116" s="36" t="n">
        <v>0.08161044613710544</v>
      </c>
      <c r="Q116" s="36" t="n">
        <v>-0.03401360544217691</v>
      </c>
      <c r="R116" s="36" t="n">
        <v>0.1317317545257886</v>
      </c>
      <c r="S116" s="36" t="n">
        <v>0.09062980030721968</v>
      </c>
      <c r="T116" s="36" t="n">
        <v>0.02601156069364152</v>
      </c>
      <c r="U116" s="31" t="n">
        <v>116400</v>
      </c>
      <c r="V116" s="31" t="n">
        <v>81800</v>
      </c>
      <c r="W116" s="36" t="n">
        <v>-0.1460481099656358</v>
      </c>
      <c r="X116" s="36" t="n">
        <v>0.2151589242053791</v>
      </c>
      <c r="Y116" s="31" t="n">
        <v>11179416</v>
      </c>
      <c r="Z116" s="31" t="n">
        <v>1111233950400</v>
      </c>
      <c r="AA116" s="31" t="n">
        <v>7336217000</v>
      </c>
      <c r="AB116" s="31" t="n">
        <v>4164891845</v>
      </c>
      <c r="AC116" s="36" t="n">
        <v>0.006601865428390892</v>
      </c>
      <c r="AD116" s="29" t="inlineStr">
        <is>
          <t>yfinance_download</t>
        </is>
      </c>
      <c r="AE116" s="29" t="inlineStr">
        <is>
          <t>064760.KQ</t>
        </is>
      </c>
    </row>
    <row r="117" ht="24" customHeight="1">
      <c r="A117" s="24" t="inlineStr">
        <is>
          <t>2023-11-24</t>
        </is>
      </c>
      <c r="B117" s="30" t="n">
        <v>99500</v>
      </c>
      <c r="C117" s="30" t="n">
        <v>102500</v>
      </c>
      <c r="D117" s="30" t="n">
        <v>97000</v>
      </c>
      <c r="E117" s="30" t="n">
        <v>99000</v>
      </c>
      <c r="F117" s="30" t="n">
        <v>94880.640625</v>
      </c>
      <c r="G117" s="30" t="n">
        <v>37313</v>
      </c>
      <c r="H117" s="35" t="n">
        <v>-0.004024144869215318</v>
      </c>
      <c r="I117" s="35" t="n">
        <v>-0.5173086299366163</v>
      </c>
      <c r="J117" s="30" t="n">
        <v>88530</v>
      </c>
      <c r="K117" s="30" t="n">
        <v>91261.66666666667</v>
      </c>
      <c r="L117" s="30" t="n">
        <v>96828.33333333333</v>
      </c>
      <c r="M117" s="35" t="n">
        <v>0.4169685301078954</v>
      </c>
      <c r="N117" s="35" t="n">
        <v>0.3783587504178303</v>
      </c>
      <c r="O117" s="35" t="n">
        <v>0.1647058823529413</v>
      </c>
      <c r="P117" s="35" t="n">
        <v>0.07960741548527817</v>
      </c>
      <c r="Q117" s="35" t="n">
        <v>-0.05893536121673004</v>
      </c>
      <c r="R117" s="35" t="n">
        <v>0.1182649949169774</v>
      </c>
      <c r="S117" s="35" t="n">
        <v>0.08479281187793331</v>
      </c>
      <c r="T117" s="35" t="n">
        <v>0.02242800833089498</v>
      </c>
      <c r="U117" s="30" t="n">
        <v>116400</v>
      </c>
      <c r="V117" s="30" t="n">
        <v>81800</v>
      </c>
      <c r="W117" s="35" t="n">
        <v>-0.1494845360824743</v>
      </c>
      <c r="X117" s="35" t="n">
        <v>0.2102689486552567</v>
      </c>
      <c r="Y117" s="30" t="n">
        <v>11179416</v>
      </c>
      <c r="Z117" s="30" t="n">
        <v>1106762184000</v>
      </c>
      <c r="AA117" s="30" t="n">
        <v>3693987000</v>
      </c>
      <c r="AB117" s="30" t="n">
        <v>4216230445</v>
      </c>
      <c r="AC117" s="35" t="n">
        <v>0.003337651984683279</v>
      </c>
      <c r="AD117" s="24" t="inlineStr">
        <is>
          <t>yfinance_download</t>
        </is>
      </c>
      <c r="AE117" s="24" t="inlineStr">
        <is>
          <t>064760.KQ</t>
        </is>
      </c>
    </row>
    <row r="118" ht="24" customHeight="1">
      <c r="A118" s="29" t="inlineStr">
        <is>
          <t>2023-11-27</t>
        </is>
      </c>
      <c r="B118" s="31" t="n">
        <v>98700</v>
      </c>
      <c r="C118" s="31" t="n">
        <v>99400</v>
      </c>
      <c r="D118" s="31" t="n">
        <v>97000</v>
      </c>
      <c r="E118" s="31" t="n">
        <v>98700</v>
      </c>
      <c r="F118" s="31" t="n">
        <v>94593.125</v>
      </c>
      <c r="G118" s="31" t="n">
        <v>29548</v>
      </c>
      <c r="H118" s="36" t="n">
        <v>-0.00303030303030305</v>
      </c>
      <c r="I118" s="36" t="n">
        <v>-0.5187713310580204</v>
      </c>
      <c r="J118" s="31" t="n">
        <v>89175</v>
      </c>
      <c r="K118" s="31" t="n">
        <v>91395</v>
      </c>
      <c r="L118" s="31" t="n">
        <v>96770</v>
      </c>
      <c r="M118" s="36" t="n">
        <v>0.4187331658145418</v>
      </c>
      <c r="N118" s="36" t="n">
        <v>0.3775947217396579</v>
      </c>
      <c r="O118" s="36" t="n">
        <v>0.1503496503496504</v>
      </c>
      <c r="P118" s="36" t="n">
        <v>0.08820286659316423</v>
      </c>
      <c r="Q118" s="36" t="n">
        <v>-0.06622516556291391</v>
      </c>
      <c r="R118" s="36" t="n">
        <v>0.1068124474348191</v>
      </c>
      <c r="S118" s="36" t="n">
        <v>0.07992778598391603</v>
      </c>
      <c r="T118" s="36" t="n">
        <v>0.01994419758189525</v>
      </c>
      <c r="U118" s="31" t="n">
        <v>116400</v>
      </c>
      <c r="V118" s="31" t="n">
        <v>81800</v>
      </c>
      <c r="W118" s="36" t="n">
        <v>-0.1520618556701031</v>
      </c>
      <c r="X118" s="36" t="n">
        <v>0.206601466992665</v>
      </c>
      <c r="Y118" s="31" t="n">
        <v>11179416</v>
      </c>
      <c r="Z118" s="31" t="n">
        <v>1103408359200</v>
      </c>
      <c r="AA118" s="31" t="n">
        <v>2916387600</v>
      </c>
      <c r="AB118" s="31" t="n">
        <v>4296532945</v>
      </c>
      <c r="AC118" s="36" t="n">
        <v>0.002643071874237438</v>
      </c>
      <c r="AD118" s="29" t="inlineStr">
        <is>
          <t>yfinance_download</t>
        </is>
      </c>
      <c r="AE118" s="29" t="inlineStr">
        <is>
          <t>064760.KQ</t>
        </is>
      </c>
    </row>
    <row r="119" ht="24" customHeight="1">
      <c r="A119" s="24" t="inlineStr">
        <is>
          <t>2023-11-28</t>
        </is>
      </c>
      <c r="B119" s="30" t="n">
        <v>98800</v>
      </c>
      <c r="C119" s="30" t="n">
        <v>100500</v>
      </c>
      <c r="D119" s="30" t="n">
        <v>96600</v>
      </c>
      <c r="E119" s="30" t="n">
        <v>97600</v>
      </c>
      <c r="F119" s="30" t="n">
        <v>93538.890625</v>
      </c>
      <c r="G119" s="30" t="n">
        <v>44276</v>
      </c>
      <c r="H119" s="35" t="n">
        <v>-0.01114488348530907</v>
      </c>
      <c r="I119" s="35" t="n">
        <v>-0.5241345685031692</v>
      </c>
      <c r="J119" s="30" t="n">
        <v>89910</v>
      </c>
      <c r="K119" s="30" t="n">
        <v>91486.66666666667</v>
      </c>
      <c r="L119" s="30" t="n">
        <v>96704.16666666667</v>
      </c>
      <c r="M119" s="35" t="n">
        <v>0.3963292422454873</v>
      </c>
      <c r="N119" s="35" t="n">
        <v>0.3773893079699924</v>
      </c>
      <c r="O119" s="35" t="n">
        <v>0.1773220747889024</v>
      </c>
      <c r="P119" s="35" t="n">
        <v>0.05971769815418027</v>
      </c>
      <c r="Q119" s="35" t="n">
        <v>-0.07488151658767772</v>
      </c>
      <c r="R119" s="35" t="n">
        <v>0.08552997441886334</v>
      </c>
      <c r="S119" s="35" t="n">
        <v>0.06682212344239602</v>
      </c>
      <c r="T119" s="35" t="n">
        <v>0.009263647722866031</v>
      </c>
      <c r="U119" s="30" t="n">
        <v>116400</v>
      </c>
      <c r="V119" s="30" t="n">
        <v>81800</v>
      </c>
      <c r="W119" s="35" t="n">
        <v>-0.1615120274914089</v>
      </c>
      <c r="X119" s="35" t="n">
        <v>0.1931540342298288</v>
      </c>
      <c r="Y119" s="30" t="n">
        <v>11179416</v>
      </c>
      <c r="Z119" s="30" t="n">
        <v>1091111001600</v>
      </c>
      <c r="AA119" s="30" t="n">
        <v>4321337600</v>
      </c>
      <c r="AB119" s="30" t="n">
        <v>4405911670</v>
      </c>
      <c r="AC119" s="35" t="n">
        <v>0.00396049310625886</v>
      </c>
      <c r="AD119" s="24" t="inlineStr">
        <is>
          <t>yfinance_download</t>
        </is>
      </c>
      <c r="AE119" s="24" t="inlineStr">
        <is>
          <t>064760.KQ</t>
        </is>
      </c>
    </row>
    <row r="120" ht="24" customHeight="1">
      <c r="A120" s="29" t="inlineStr">
        <is>
          <t>2023-11-29</t>
        </is>
      </c>
      <c r="B120" s="31" t="n">
        <v>97500</v>
      </c>
      <c r="C120" s="31" t="n">
        <v>99700</v>
      </c>
      <c r="D120" s="31" t="n">
        <v>95300</v>
      </c>
      <c r="E120" s="31" t="n">
        <v>99700</v>
      </c>
      <c r="F120" s="31" t="n">
        <v>95551.515625</v>
      </c>
      <c r="G120" s="31" t="n">
        <v>32719</v>
      </c>
      <c r="H120" s="36" t="n">
        <v>0.02151639344262302</v>
      </c>
      <c r="I120" s="36" t="n">
        <v>-0.5138956606533398</v>
      </c>
      <c r="J120" s="31" t="n">
        <v>90755</v>
      </c>
      <c r="K120" s="31" t="n">
        <v>91615</v>
      </c>
      <c r="L120" s="31" t="n">
        <v>96657.5</v>
      </c>
      <c r="M120" s="36" t="n">
        <v>0.3971696264981692</v>
      </c>
      <c r="N120" s="36" t="n">
        <v>0.3796301992825619</v>
      </c>
      <c r="O120" s="36" t="n">
        <v>0.2041062801932367</v>
      </c>
      <c r="P120" s="36" t="n">
        <v>0.08369565217391295</v>
      </c>
      <c r="Q120" s="36" t="n">
        <v>-0.05318138651471982</v>
      </c>
      <c r="R120" s="36" t="n">
        <v>0.09856206269627021</v>
      </c>
      <c r="S120" s="36" t="n">
        <v>0.08824974076297543</v>
      </c>
      <c r="T120" s="36" t="n">
        <v>0.03147712283061321</v>
      </c>
      <c r="U120" s="31" t="n">
        <v>116400</v>
      </c>
      <c r="V120" s="31" t="n">
        <v>81800</v>
      </c>
      <c r="W120" s="36" t="n">
        <v>-0.1434707903780069</v>
      </c>
      <c r="X120" s="36" t="n">
        <v>0.2188264058679708</v>
      </c>
      <c r="Y120" s="31" t="n">
        <v>11179416</v>
      </c>
      <c r="Z120" s="31" t="n">
        <v>1114587775200</v>
      </c>
      <c r="AA120" s="31" t="n">
        <v>3262084300</v>
      </c>
      <c r="AB120" s="31" t="n">
        <v>4460982585</v>
      </c>
      <c r="AC120" s="36" t="n">
        <v>0.002926718175618476</v>
      </c>
      <c r="AD120" s="29" t="inlineStr">
        <is>
          <t>yfinance_download</t>
        </is>
      </c>
      <c r="AE120" s="29" t="inlineStr">
        <is>
          <t>064760.KQ</t>
        </is>
      </c>
    </row>
    <row r="121" ht="24" customHeight="1">
      <c r="A121" s="24" t="inlineStr">
        <is>
          <t>2023-11-30</t>
        </is>
      </c>
      <c r="B121" s="30" t="n">
        <v>99400</v>
      </c>
      <c r="C121" s="30" t="n">
        <v>99900</v>
      </c>
      <c r="D121" s="30" t="n">
        <v>97000</v>
      </c>
      <c r="E121" s="30" t="n">
        <v>99000</v>
      </c>
      <c r="F121" s="30" t="n">
        <v>94880.640625</v>
      </c>
      <c r="G121" s="30" t="n">
        <v>19614</v>
      </c>
      <c r="H121" s="35" t="n">
        <v>-0.007021063189568744</v>
      </c>
      <c r="I121" s="35" t="n">
        <v>-0.5173086299366163</v>
      </c>
      <c r="J121" s="30" t="n">
        <v>91455</v>
      </c>
      <c r="K121" s="30" t="n">
        <v>91735</v>
      </c>
      <c r="L121" s="30" t="n">
        <v>96621.66666666667</v>
      </c>
      <c r="M121" s="35" t="n">
        <v>0.3960491228388757</v>
      </c>
      <c r="N121" s="35" t="n">
        <v>0.3799667806859109</v>
      </c>
      <c r="O121" s="35" t="n">
        <v>0.1647058823529413</v>
      </c>
      <c r="P121" s="35" t="n">
        <v>0.07843137254901955</v>
      </c>
      <c r="Q121" s="35" t="n">
        <v>-0.04162633107454017</v>
      </c>
      <c r="R121" s="35" t="n">
        <v>0.08249958996227647</v>
      </c>
      <c r="S121" s="35" t="n">
        <v>0.07919550880252912</v>
      </c>
      <c r="T121" s="35" t="n">
        <v>0.02461490693943724</v>
      </c>
      <c r="U121" s="30" t="n">
        <v>116400</v>
      </c>
      <c r="V121" s="30" t="n">
        <v>81800</v>
      </c>
      <c r="W121" s="35" t="n">
        <v>-0.1494845360824743</v>
      </c>
      <c r="X121" s="35" t="n">
        <v>0.2102689486552567</v>
      </c>
      <c r="Y121" s="30" t="n">
        <v>11179416</v>
      </c>
      <c r="Z121" s="30" t="n">
        <v>1106762184000</v>
      </c>
      <c r="AA121" s="30" t="n">
        <v>1941786000</v>
      </c>
      <c r="AB121" s="30" t="n">
        <v>4250371885</v>
      </c>
      <c r="AC121" s="35" t="n">
        <v>0.001754474473442978</v>
      </c>
      <c r="AD121" s="24" t="inlineStr">
        <is>
          <t>yfinance_download</t>
        </is>
      </c>
      <c r="AE121" s="24" t="inlineStr">
        <is>
          <t>064760.KQ</t>
        </is>
      </c>
    </row>
    <row r="122" ht="24" customHeight="1">
      <c r="A122" s="29" t="inlineStr">
        <is>
          <t>2023-12-01</t>
        </is>
      </c>
      <c r="B122" s="31" t="n">
        <v>97700</v>
      </c>
      <c r="C122" s="31" t="n">
        <v>101800</v>
      </c>
      <c r="D122" s="31" t="n">
        <v>96500</v>
      </c>
      <c r="E122" s="31" t="n">
        <v>101500</v>
      </c>
      <c r="F122" s="31" t="n">
        <v>97276.6171875</v>
      </c>
      <c r="G122" s="31" t="n">
        <v>57813</v>
      </c>
      <c r="H122" s="36" t="n">
        <v>0.0252525252525253</v>
      </c>
      <c r="I122" s="36" t="n">
        <v>-0.5051194539249146</v>
      </c>
      <c r="J122" s="31" t="n">
        <v>92295</v>
      </c>
      <c r="K122" s="31" t="n">
        <v>91810</v>
      </c>
      <c r="L122" s="31" t="n">
        <v>96620.83333333333</v>
      </c>
      <c r="M122" s="36" t="n">
        <v>0.3981685657574291</v>
      </c>
      <c r="N122" s="36" t="n">
        <v>0.3656988887425177</v>
      </c>
      <c r="O122" s="36" t="n">
        <v>0.1983471074380165</v>
      </c>
      <c r="P122" s="36" t="n">
        <v>0.04639175257731964</v>
      </c>
      <c r="Q122" s="36" t="n">
        <v>-0.0009842519685039353</v>
      </c>
      <c r="R122" s="36" t="n">
        <v>0.0997345468335229</v>
      </c>
      <c r="S122" s="36" t="n">
        <v>0.10554405838144</v>
      </c>
      <c r="T122" s="36" t="n">
        <v>0.05049808098667485</v>
      </c>
      <c r="U122" s="31" t="n">
        <v>116400</v>
      </c>
      <c r="V122" s="31" t="n">
        <v>81800</v>
      </c>
      <c r="W122" s="36" t="n">
        <v>-0.1280068728522337</v>
      </c>
      <c r="X122" s="36" t="n">
        <v>0.2408312958435208</v>
      </c>
      <c r="Y122" s="31" t="n">
        <v>11179416</v>
      </c>
      <c r="Z122" s="31" t="n">
        <v>1134710724000</v>
      </c>
      <c r="AA122" s="31" t="n">
        <v>5868019500</v>
      </c>
      <c r="AB122" s="31" t="n">
        <v>4370760405</v>
      </c>
      <c r="AC122" s="36" t="n">
        <v>0.005171379256304623</v>
      </c>
      <c r="AD122" s="29" t="inlineStr">
        <is>
          <t>yfinance_download</t>
        </is>
      </c>
      <c r="AE122" s="29" t="inlineStr">
        <is>
          <t>064760.KQ</t>
        </is>
      </c>
    </row>
    <row r="123" ht="24" customHeight="1">
      <c r="A123" s="24" t="inlineStr">
        <is>
          <t>2023-12-04</t>
        </is>
      </c>
      <c r="B123" s="30" t="n">
        <v>102000</v>
      </c>
      <c r="C123" s="30" t="n">
        <v>103300</v>
      </c>
      <c r="D123" s="30" t="n">
        <v>98300</v>
      </c>
      <c r="E123" s="30" t="n">
        <v>99000</v>
      </c>
      <c r="F123" s="30" t="n">
        <v>94880.640625</v>
      </c>
      <c r="G123" s="30" t="n">
        <v>26567</v>
      </c>
      <c r="H123" s="35" t="n">
        <v>-0.02463054187192115</v>
      </c>
      <c r="I123" s="35" t="n">
        <v>-0.5173086299366163</v>
      </c>
      <c r="J123" s="30" t="n">
        <v>92995</v>
      </c>
      <c r="K123" s="30" t="n">
        <v>91836.66666666667</v>
      </c>
      <c r="L123" s="30" t="n">
        <v>96600.83333333333</v>
      </c>
      <c r="M123" s="35" t="n">
        <v>0.4158110052400726</v>
      </c>
      <c r="N123" s="35" t="n">
        <v>0.3693836875975386</v>
      </c>
      <c r="O123" s="35" t="n">
        <v>0.1647058823529413</v>
      </c>
      <c r="P123" s="35" t="n">
        <v>0.01642710472279263</v>
      </c>
      <c r="Q123" s="35" t="n">
        <v>-0.02366863905325445</v>
      </c>
      <c r="R123" s="35" t="n">
        <v>0.06457336415936332</v>
      </c>
      <c r="S123" s="35" t="n">
        <v>0.07800079851911002</v>
      </c>
      <c r="T123" s="35" t="n">
        <v>0.02483587960766398</v>
      </c>
      <c r="U123" s="30" t="n">
        <v>116400</v>
      </c>
      <c r="V123" s="30" t="n">
        <v>81800</v>
      </c>
      <c r="W123" s="35" t="n">
        <v>-0.1494845360824743</v>
      </c>
      <c r="X123" s="35" t="n">
        <v>0.2102689486552567</v>
      </c>
      <c r="Y123" s="30" t="n">
        <v>11179416</v>
      </c>
      <c r="Z123" s="30" t="n">
        <v>1106762184000</v>
      </c>
      <c r="AA123" s="30" t="n">
        <v>2630133000</v>
      </c>
      <c r="AB123" s="30" t="n">
        <v>4066646305</v>
      </c>
      <c r="AC123" s="35" t="n">
        <v>0.002376421093910451</v>
      </c>
      <c r="AD123" s="24" t="inlineStr">
        <is>
          <t>yfinance_download</t>
        </is>
      </c>
      <c r="AE123" s="24" t="inlineStr">
        <is>
          <t>064760.KQ</t>
        </is>
      </c>
    </row>
    <row r="124" ht="24" customHeight="1">
      <c r="A124" s="29" t="inlineStr">
        <is>
          <t>2023-12-05</t>
        </is>
      </c>
      <c r="B124" s="31" t="n">
        <v>99000</v>
      </c>
      <c r="C124" s="31" t="n">
        <v>99800</v>
      </c>
      <c r="D124" s="31" t="n">
        <v>96300</v>
      </c>
      <c r="E124" s="31" t="n">
        <v>98700</v>
      </c>
      <c r="F124" s="31" t="n">
        <v>94593.125</v>
      </c>
      <c r="G124" s="31" t="n">
        <v>25882</v>
      </c>
      <c r="H124" s="36" t="n">
        <v>-0.00303030303030305</v>
      </c>
      <c r="I124" s="36" t="n">
        <v>-0.5187713310580204</v>
      </c>
      <c r="J124" s="31" t="n">
        <v>93705</v>
      </c>
      <c r="K124" s="31" t="n">
        <v>91876.66666666667</v>
      </c>
      <c r="L124" s="31" t="n">
        <v>96530.83333333333</v>
      </c>
      <c r="M124" s="36" t="n">
        <v>0.4146727205778666</v>
      </c>
      <c r="N124" s="36" t="n">
        <v>0.3686409938226723</v>
      </c>
      <c r="O124" s="36" t="n">
        <v>0.1680473372781066</v>
      </c>
      <c r="P124" s="36" t="n">
        <v>0.02492211838006231</v>
      </c>
      <c r="Q124" s="36" t="n">
        <v>-0.07843137254901966</v>
      </c>
      <c r="R124" s="36" t="n">
        <v>0.05330558668160723</v>
      </c>
      <c r="S124" s="36" t="n">
        <v>0.07426622646301184</v>
      </c>
      <c r="T124" s="36" t="n">
        <v>0.02247123112649674</v>
      </c>
      <c r="U124" s="31" t="n">
        <v>116400</v>
      </c>
      <c r="V124" s="31" t="n">
        <v>81800</v>
      </c>
      <c r="W124" s="36" t="n">
        <v>-0.1520618556701031</v>
      </c>
      <c r="X124" s="36" t="n">
        <v>0.206601466992665</v>
      </c>
      <c r="Y124" s="31" t="n">
        <v>11179416</v>
      </c>
      <c r="Z124" s="31" t="n">
        <v>1103408359200</v>
      </c>
      <c r="AA124" s="31" t="n">
        <v>2554553400</v>
      </c>
      <c r="AB124" s="31" t="n">
        <v>3872927525</v>
      </c>
      <c r="AC124" s="36" t="n">
        <v>0.002315147768005055</v>
      </c>
      <c r="AD124" s="29" t="inlineStr">
        <is>
          <t>yfinance_download</t>
        </is>
      </c>
      <c r="AE124" s="29" t="inlineStr">
        <is>
          <t>064760.KQ</t>
        </is>
      </c>
    </row>
    <row r="125" ht="24" customHeight="1">
      <c r="A125" s="24" t="inlineStr">
        <is>
          <t>2023-12-06</t>
        </is>
      </c>
      <c r="B125" s="30" t="n">
        <v>98700</v>
      </c>
      <c r="C125" s="30" t="n">
        <v>102900</v>
      </c>
      <c r="D125" s="30" t="n">
        <v>96800</v>
      </c>
      <c r="E125" s="30" t="n">
        <v>102600</v>
      </c>
      <c r="F125" s="30" t="n">
        <v>98330.84375</v>
      </c>
      <c r="G125" s="30" t="n">
        <v>63708</v>
      </c>
      <c r="H125" s="35" t="n">
        <v>0.03951367781155013</v>
      </c>
      <c r="I125" s="35" t="n">
        <v>-0.499756216479766</v>
      </c>
      <c r="J125" s="30" t="n">
        <v>94645</v>
      </c>
      <c r="K125" s="30" t="n">
        <v>91973.33333333333</v>
      </c>
      <c r="L125" s="30" t="n">
        <v>96486.66666666667</v>
      </c>
      <c r="M125" s="35" t="n">
        <v>0.4242090943519915</v>
      </c>
      <c r="N125" s="35" t="n">
        <v>0.3770529133724656</v>
      </c>
      <c r="O125" s="35" t="n">
        <v>0.2243436754176611</v>
      </c>
      <c r="P125" s="35" t="n">
        <v>0.05991735537190079</v>
      </c>
      <c r="Q125" s="35" t="n">
        <v>-0.04911955514365152</v>
      </c>
      <c r="R125" s="35" t="n">
        <v>0.08405092714881923</v>
      </c>
      <c r="S125" s="35" t="n">
        <v>0.1155407364453465</v>
      </c>
      <c r="T125" s="35" t="n">
        <v>0.06335935880605259</v>
      </c>
      <c r="U125" s="30" t="n">
        <v>116400</v>
      </c>
      <c r="V125" s="30" t="n">
        <v>81800</v>
      </c>
      <c r="W125" s="35" t="n">
        <v>-0.1185567010309279</v>
      </c>
      <c r="X125" s="35" t="n">
        <v>0.254278728606357</v>
      </c>
      <c r="Y125" s="30" t="n">
        <v>11179416</v>
      </c>
      <c r="Z125" s="30" t="n">
        <v>1147008081600</v>
      </c>
      <c r="AA125" s="30" t="n">
        <v>6536440800</v>
      </c>
      <c r="AB125" s="30" t="n">
        <v>4014635365</v>
      </c>
      <c r="AC125" s="35" t="n">
        <v>0.005698687659534273</v>
      </c>
      <c r="AD125" s="24" t="inlineStr">
        <is>
          <t>yfinance_download</t>
        </is>
      </c>
      <c r="AE125" s="24" t="inlineStr">
        <is>
          <t>064760.KQ</t>
        </is>
      </c>
    </row>
    <row r="126" ht="24" customHeight="1">
      <c r="A126" s="29" t="inlineStr">
        <is>
          <t>2023-12-07</t>
        </is>
      </c>
      <c r="B126" s="31" t="n">
        <v>102300</v>
      </c>
      <c r="C126" s="31" t="n">
        <v>102300</v>
      </c>
      <c r="D126" s="31" t="n">
        <v>99700</v>
      </c>
      <c r="E126" s="31" t="n">
        <v>100700</v>
      </c>
      <c r="F126" s="31" t="n">
        <v>96509.8984375</v>
      </c>
      <c r="G126" s="31" t="n">
        <v>23890</v>
      </c>
      <c r="H126" s="36" t="n">
        <v>-0.01851851851851849</v>
      </c>
      <c r="I126" s="36" t="n">
        <v>-0.5090199902486592</v>
      </c>
      <c r="J126" s="31" t="n">
        <v>95550</v>
      </c>
      <c r="K126" s="31" t="n">
        <v>92060</v>
      </c>
      <c r="L126" s="31" t="n">
        <v>96415</v>
      </c>
      <c r="M126" s="36" t="n">
        <v>0.4277146749560696</v>
      </c>
      <c r="N126" s="36" t="n">
        <v>0.3780417061282367</v>
      </c>
      <c r="O126" s="36" t="n">
        <v>0.2191283292978208</v>
      </c>
      <c r="P126" s="36" t="n">
        <v>0.05445026178010481</v>
      </c>
      <c r="Q126" s="36" t="n">
        <v>-0.07868252516010976</v>
      </c>
      <c r="R126" s="36" t="n">
        <v>0.05389848246991114</v>
      </c>
      <c r="S126" s="36" t="n">
        <v>0.09385183575928746</v>
      </c>
      <c r="T126" s="36" t="n">
        <v>0.04444329201887665</v>
      </c>
      <c r="U126" s="31" t="n">
        <v>116400</v>
      </c>
      <c r="V126" s="31" t="n">
        <v>81800</v>
      </c>
      <c r="W126" s="36" t="n">
        <v>-0.1348797250859106</v>
      </c>
      <c r="X126" s="36" t="n">
        <v>0.2310513447432763</v>
      </c>
      <c r="Y126" s="31" t="n">
        <v>11179416</v>
      </c>
      <c r="Z126" s="31" t="n">
        <v>1125767191200</v>
      </c>
      <c r="AA126" s="31" t="n">
        <v>2405723000</v>
      </c>
      <c r="AB126" s="31" t="n">
        <v>4002968015</v>
      </c>
      <c r="AC126" s="36" t="n">
        <v>0.002136963147269947</v>
      </c>
      <c r="AD126" s="29" t="inlineStr">
        <is>
          <t>yfinance_download</t>
        </is>
      </c>
      <c r="AE126" s="29" t="inlineStr">
        <is>
          <t>064760.KQ</t>
        </is>
      </c>
    </row>
    <row r="127" ht="24" customHeight="1">
      <c r="A127" s="24" t="inlineStr">
        <is>
          <t>2023-12-08</t>
        </is>
      </c>
      <c r="B127" s="30" t="n">
        <v>102400</v>
      </c>
      <c r="C127" s="30" t="n">
        <v>107200</v>
      </c>
      <c r="D127" s="30" t="n">
        <v>101300</v>
      </c>
      <c r="E127" s="30" t="n">
        <v>106600</v>
      </c>
      <c r="F127" s="30" t="n">
        <v>102164.40625</v>
      </c>
      <c r="G127" s="30" t="n">
        <v>76345</v>
      </c>
      <c r="H127" s="35" t="n">
        <v>0.05858987090367429</v>
      </c>
      <c r="I127" s="35" t="n">
        <v>-0.4802535348610434</v>
      </c>
      <c r="J127" s="30" t="n">
        <v>96760</v>
      </c>
      <c r="K127" s="30" t="n">
        <v>92241.66666666667</v>
      </c>
      <c r="L127" s="30" t="n">
        <v>96418.33333333333</v>
      </c>
      <c r="M127" s="35" t="n">
        <v>0.4574595127531143</v>
      </c>
      <c r="N127" s="35" t="n">
        <v>0.3959446459256958</v>
      </c>
      <c r="O127" s="35" t="n">
        <v>0.2936893203883495</v>
      </c>
      <c r="P127" s="35" t="n">
        <v>0.1138975966562172</v>
      </c>
      <c r="Q127" s="35" t="n">
        <v>0.003766478342749568</v>
      </c>
      <c r="R127" s="35" t="n">
        <v>0.1016949152542372</v>
      </c>
      <c r="S127" s="35" t="n">
        <v>0.1556599512151051</v>
      </c>
      <c r="T127" s="35" t="n">
        <v>0.1055988660524452</v>
      </c>
      <c r="U127" s="30" t="n">
        <v>116400</v>
      </c>
      <c r="V127" s="30" t="n">
        <v>81800</v>
      </c>
      <c r="W127" s="35" t="n">
        <v>-0.08419243986254299</v>
      </c>
      <c r="X127" s="35" t="n">
        <v>0.3031784841075795</v>
      </c>
      <c r="Y127" s="30" t="n">
        <v>11179416</v>
      </c>
      <c r="Z127" s="30" t="n">
        <v>1191725745600</v>
      </c>
      <c r="AA127" s="30" t="n">
        <v>8138377000</v>
      </c>
      <c r="AB127" s="30" t="n">
        <v>4297476785</v>
      </c>
      <c r="AC127" s="35" t="n">
        <v>0.006829068709850318</v>
      </c>
      <c r="AD127" s="24" t="inlineStr">
        <is>
          <t>yfinance_download</t>
        </is>
      </c>
      <c r="AE127" s="24" t="inlineStr">
        <is>
          <t>064760.KQ</t>
        </is>
      </c>
    </row>
    <row r="128" ht="24" customHeight="1">
      <c r="A128" s="29" t="inlineStr">
        <is>
          <t>2023-12-11</t>
        </is>
      </c>
      <c r="B128" s="31" t="n">
        <v>107000</v>
      </c>
      <c r="C128" s="31" t="n">
        <v>110200</v>
      </c>
      <c r="D128" s="31" t="n">
        <v>105000</v>
      </c>
      <c r="E128" s="31" t="n">
        <v>110100</v>
      </c>
      <c r="F128" s="31" t="n">
        <v>105518.78125</v>
      </c>
      <c r="G128" s="31" t="n">
        <v>48741</v>
      </c>
      <c r="H128" s="36" t="n">
        <v>0.03283302063789861</v>
      </c>
      <c r="I128" s="36" t="n">
        <v>-0.4631886884446611</v>
      </c>
      <c r="J128" s="31" t="n">
        <v>98175</v>
      </c>
      <c r="K128" s="31" t="n">
        <v>92541.66666666667</v>
      </c>
      <c r="L128" s="31" t="n">
        <v>96439.16666666667</v>
      </c>
      <c r="M128" s="36" t="n">
        <v>0.4556322685106358</v>
      </c>
      <c r="N128" s="36" t="n">
        <v>0.392064853980479</v>
      </c>
      <c r="O128" s="36" t="n">
        <v>0.3459657701711492</v>
      </c>
      <c r="P128" s="36" t="n">
        <v>0.1954397394136809</v>
      </c>
      <c r="Q128" s="36" t="n">
        <v>0.02323420074349447</v>
      </c>
      <c r="R128" s="36" t="n">
        <v>0.1214667685255921</v>
      </c>
      <c r="S128" s="36" t="n">
        <v>0.1897343538946419</v>
      </c>
      <c r="T128" s="36" t="n">
        <v>0.1416523369654445</v>
      </c>
      <c r="U128" s="31" t="n">
        <v>116400</v>
      </c>
      <c r="V128" s="31" t="n">
        <v>81800</v>
      </c>
      <c r="W128" s="36" t="n">
        <v>-0.05412371134020622</v>
      </c>
      <c r="X128" s="36" t="n">
        <v>0.3459657701711492</v>
      </c>
      <c r="Y128" s="31" t="n">
        <v>11179416</v>
      </c>
      <c r="Z128" s="31" t="n">
        <v>1230853701600</v>
      </c>
      <c r="AA128" s="31" t="n">
        <v>5366384100</v>
      </c>
      <c r="AB128" s="31" t="n">
        <v>4403590680</v>
      </c>
      <c r="AC128" s="36" t="n">
        <v>0.00435988785102907</v>
      </c>
      <c r="AD128" s="29" t="inlineStr">
        <is>
          <t>yfinance_download</t>
        </is>
      </c>
      <c r="AE128" s="29" t="inlineStr">
        <is>
          <t>064760.KQ</t>
        </is>
      </c>
    </row>
    <row r="129" ht="24" customHeight="1">
      <c r="A129" s="24" t="inlineStr">
        <is>
          <t>2023-12-12</t>
        </is>
      </c>
      <c r="B129" s="30" t="n">
        <v>110100</v>
      </c>
      <c r="C129" s="30" t="n">
        <v>111700</v>
      </c>
      <c r="D129" s="30" t="n">
        <v>105900</v>
      </c>
      <c r="E129" s="30" t="n">
        <v>107500</v>
      </c>
      <c r="F129" s="30" t="n">
        <v>103026.9609375</v>
      </c>
      <c r="G129" s="30" t="n">
        <v>48024</v>
      </c>
      <c r="H129" s="35" t="n">
        <v>-0.02361489554950047</v>
      </c>
      <c r="I129" s="35" t="n">
        <v>-0.4758654314968308</v>
      </c>
      <c r="J129" s="30" t="n">
        <v>99410</v>
      </c>
      <c r="K129" s="30" t="n">
        <v>92783.33333333333</v>
      </c>
      <c r="L129" s="30" t="n">
        <v>96458.33333333333</v>
      </c>
      <c r="M129" s="35" t="n">
        <v>0.4761859868071137</v>
      </c>
      <c r="N129" s="35" t="n">
        <v>0.3956558522501578</v>
      </c>
      <c r="O129" s="35" t="n">
        <v>0.2983091787439613</v>
      </c>
      <c r="P129" s="35" t="n">
        <v>0.1559139784946237</v>
      </c>
      <c r="Q129" s="35" t="n">
        <v>0.02186311787072248</v>
      </c>
      <c r="R129" s="35" t="n">
        <v>0.08138014284277229</v>
      </c>
      <c r="S129" s="35" t="n">
        <v>0.1586132566912162</v>
      </c>
      <c r="T129" s="35" t="n">
        <v>0.1144708423326135</v>
      </c>
      <c r="U129" s="30" t="n">
        <v>116400</v>
      </c>
      <c r="V129" s="30" t="n">
        <v>81800</v>
      </c>
      <c r="W129" s="35" t="n">
        <v>-0.07646048109965631</v>
      </c>
      <c r="X129" s="35" t="n">
        <v>0.3141809290953546</v>
      </c>
      <c r="Y129" s="30" t="n">
        <v>11179416</v>
      </c>
      <c r="Z129" s="30" t="n">
        <v>1201787220000</v>
      </c>
      <c r="AA129" s="30" t="n">
        <v>5162580000</v>
      </c>
      <c r="AB129" s="30" t="n">
        <v>4505256660</v>
      </c>
      <c r="AC129" s="35" t="n">
        <v>0.004295752121577728</v>
      </c>
      <c r="AD129" s="24" t="inlineStr">
        <is>
          <t>yfinance_download</t>
        </is>
      </c>
      <c r="AE129" s="24" t="inlineStr">
        <is>
          <t>064760.KQ</t>
        </is>
      </c>
    </row>
    <row r="130" ht="24" customHeight="1">
      <c r="A130" s="29" t="inlineStr">
        <is>
          <t>2023-12-13</t>
        </is>
      </c>
      <c r="B130" s="31" t="n">
        <v>107600</v>
      </c>
      <c r="C130" s="31" t="n">
        <v>112000</v>
      </c>
      <c r="D130" s="31" t="n">
        <v>106500</v>
      </c>
      <c r="E130" s="31" t="n">
        <v>111200</v>
      </c>
      <c r="F130" s="31" t="n">
        <v>106573.0078125</v>
      </c>
      <c r="G130" s="31" t="n">
        <v>58412</v>
      </c>
      <c r="H130" s="36" t="n">
        <v>0.03441860465116275</v>
      </c>
      <c r="I130" s="36" t="n">
        <v>-0.4578254509995124</v>
      </c>
      <c r="J130" s="31" t="n">
        <v>100475</v>
      </c>
      <c r="K130" s="31" t="n">
        <v>93083.33333333333</v>
      </c>
      <c r="L130" s="31" t="n">
        <v>96485</v>
      </c>
      <c r="M130" s="36" t="n">
        <v>0.4020593194104999</v>
      </c>
      <c r="N130" s="36" t="n">
        <v>0.4009490590081503</v>
      </c>
      <c r="O130" s="36" t="n">
        <v>0.2369299221357064</v>
      </c>
      <c r="P130" s="36" t="n">
        <v>0.1931330472103003</v>
      </c>
      <c r="Q130" s="36" t="n">
        <v>0.02962962962962967</v>
      </c>
      <c r="R130" s="36" t="n">
        <v>0.1067429708882808</v>
      </c>
      <c r="S130" s="36" t="n">
        <v>0.1946284691136975</v>
      </c>
      <c r="T130" s="36" t="n">
        <v>0.1525107529667824</v>
      </c>
      <c r="U130" s="31" t="n">
        <v>116400</v>
      </c>
      <c r="V130" s="31" t="n">
        <v>81800</v>
      </c>
      <c r="W130" s="36" t="n">
        <v>-0.0446735395189003</v>
      </c>
      <c r="X130" s="36" t="n">
        <v>0.3594132029339854</v>
      </c>
      <c r="Y130" s="31" t="n">
        <v>11179416</v>
      </c>
      <c r="Z130" s="31" t="n">
        <v>1243151059200</v>
      </c>
      <c r="AA130" s="31" t="n">
        <v>6495414400</v>
      </c>
      <c r="AB130" s="31" t="n">
        <v>4391445735</v>
      </c>
      <c r="AC130" s="36" t="n">
        <v>0.00522495987268029</v>
      </c>
      <c r="AD130" s="29" t="inlineStr">
        <is>
          <t>yfinance_download</t>
        </is>
      </c>
      <c r="AE130" s="29" t="inlineStr">
        <is>
          <t>064760.KQ</t>
        </is>
      </c>
    </row>
    <row r="131" ht="24" customHeight="1">
      <c r="A131" s="24" t="inlineStr">
        <is>
          <t>2023-12-14</t>
        </is>
      </c>
      <c r="B131" s="30" t="n">
        <v>114400</v>
      </c>
      <c r="C131" s="30" t="n">
        <v>115500</v>
      </c>
      <c r="D131" s="30" t="n">
        <v>111500</v>
      </c>
      <c r="E131" s="30" t="n">
        <v>113500</v>
      </c>
      <c r="F131" s="30" t="n">
        <v>108777.296875</v>
      </c>
      <c r="G131" s="30" t="n">
        <v>60285</v>
      </c>
      <c r="H131" s="35" t="n">
        <v>0.02068345323741005</v>
      </c>
      <c r="I131" s="35" t="n">
        <v>-0.446611409068747</v>
      </c>
      <c r="J131" s="30" t="n">
        <v>101400</v>
      </c>
      <c r="K131" s="30" t="n">
        <v>93400</v>
      </c>
      <c r="L131" s="30" t="n">
        <v>96536.66666666667</v>
      </c>
      <c r="M131" s="35" t="n">
        <v>0.366450941599506</v>
      </c>
      <c r="N131" s="35" t="n">
        <v>0.4019524917675413</v>
      </c>
      <c r="O131" s="35" t="n">
        <v>0.1947368421052631</v>
      </c>
      <c r="P131" s="35" t="n">
        <v>0.2010582010582012</v>
      </c>
      <c r="Q131" s="35" t="n">
        <v>0.05778191985088532</v>
      </c>
      <c r="R131" s="35" t="n">
        <v>0.1193293885601578</v>
      </c>
      <c r="S131" s="35" t="n">
        <v>0.2152034261241971</v>
      </c>
      <c r="T131" s="35" t="n">
        <v>0.1757190704740859</v>
      </c>
      <c r="U131" s="30" t="n">
        <v>116400</v>
      </c>
      <c r="V131" s="30" t="n">
        <v>81800</v>
      </c>
      <c r="W131" s="35" t="n">
        <v>-0.02491408934707906</v>
      </c>
      <c r="X131" s="35" t="n">
        <v>0.3875305623471883</v>
      </c>
      <c r="Y131" s="30" t="n">
        <v>11179416</v>
      </c>
      <c r="Z131" s="30" t="n">
        <v>1268863716000</v>
      </c>
      <c r="AA131" s="30" t="n">
        <v>6842347500</v>
      </c>
      <c r="AB131" s="30" t="n">
        <v>4372382610</v>
      </c>
      <c r="AC131" s="35" t="n">
        <v>0.005392499930228913</v>
      </c>
      <c r="AD131" s="24" t="inlineStr">
        <is>
          <t>yfinance_download</t>
        </is>
      </c>
      <c r="AE131" s="24" t="inlineStr">
        <is>
          <t>064760.KQ</t>
        </is>
      </c>
    </row>
    <row r="132" ht="24" customHeight="1">
      <c r="A132" s="29" t="inlineStr">
        <is>
          <t>2023-12-15</t>
        </is>
      </c>
      <c r="B132" s="31" t="n">
        <v>114500</v>
      </c>
      <c r="C132" s="31" t="n">
        <v>115300</v>
      </c>
      <c r="D132" s="31" t="n">
        <v>107200</v>
      </c>
      <c r="E132" s="31" t="n">
        <v>109400</v>
      </c>
      <c r="F132" s="31" t="n">
        <v>104847.8984375</v>
      </c>
      <c r="G132" s="31" t="n">
        <v>92987</v>
      </c>
      <c r="H132" s="36" t="n">
        <v>-0.03612334801762118</v>
      </c>
      <c r="I132" s="36" t="n">
        <v>-0.4666016577279376</v>
      </c>
      <c r="J132" s="31" t="n">
        <v>102075</v>
      </c>
      <c r="K132" s="31" t="n">
        <v>93583.33333333333</v>
      </c>
      <c r="L132" s="31" t="n">
        <v>96571.66666666667</v>
      </c>
      <c r="M132" s="36" t="n">
        <v>0.4001681344834334</v>
      </c>
      <c r="N132" s="36" t="n">
        <v>0.402076148991539</v>
      </c>
      <c r="O132" s="36" t="n">
        <v>0.140771637122002</v>
      </c>
      <c r="P132" s="36" t="n">
        <v>0.1117886178861789</v>
      </c>
      <c r="Q132" s="36" t="n">
        <v>0.03992395437262353</v>
      </c>
      <c r="R132" s="36" t="n">
        <v>0.07176096007837374</v>
      </c>
      <c r="S132" s="36" t="n">
        <v>0.1690115761353519</v>
      </c>
      <c r="T132" s="36" t="n">
        <v>0.1328374436946653</v>
      </c>
      <c r="U132" s="31" t="n">
        <v>116400</v>
      </c>
      <c r="V132" s="31" t="n">
        <v>81800</v>
      </c>
      <c r="W132" s="36" t="n">
        <v>-0.06013745704467355</v>
      </c>
      <c r="X132" s="36" t="n">
        <v>0.3374083129584351</v>
      </c>
      <c r="Y132" s="31" t="n">
        <v>11179416</v>
      </c>
      <c r="Z132" s="31" t="n">
        <v>1223028110400</v>
      </c>
      <c r="AA132" s="31" t="n">
        <v>10172777800</v>
      </c>
      <c r="AB132" s="31" t="n">
        <v>4666579510</v>
      </c>
      <c r="AC132" s="36" t="n">
        <v>0.008317697453963605</v>
      </c>
      <c r="AD132" s="29" t="inlineStr">
        <is>
          <t>yfinance_download</t>
        </is>
      </c>
      <c r="AE132" s="29" t="inlineStr">
        <is>
          <t>064760.KQ</t>
        </is>
      </c>
    </row>
    <row r="133" ht="24" customHeight="1">
      <c r="A133" s="24" t="inlineStr">
        <is>
          <t>2023-12-18</t>
        </is>
      </c>
      <c r="B133" s="30" t="n">
        <v>109400</v>
      </c>
      <c r="C133" s="30" t="n">
        <v>115200</v>
      </c>
      <c r="D133" s="30" t="n">
        <v>108400</v>
      </c>
      <c r="E133" s="30" t="n">
        <v>114800</v>
      </c>
      <c r="F133" s="30" t="n">
        <v>110023.203125</v>
      </c>
      <c r="G133" s="30" t="n">
        <v>59929</v>
      </c>
      <c r="H133" s="35" t="n">
        <v>0.04936014625228524</v>
      </c>
      <c r="I133" s="35" t="n">
        <v>-0.4402730375426621</v>
      </c>
      <c r="J133" s="30" t="n">
        <v>103075</v>
      </c>
      <c r="K133" s="30" t="n">
        <v>93883.33333333333</v>
      </c>
      <c r="L133" s="30" t="n">
        <v>96619.16666666667</v>
      </c>
      <c r="M133" s="35" t="n">
        <v>0.4208407339196316</v>
      </c>
      <c r="N133" s="35" t="n">
        <v>0.4116681098520937</v>
      </c>
      <c r="O133" s="35" t="n">
        <v>0.2109704641350212</v>
      </c>
      <c r="P133" s="35" t="n">
        <v>0.1859504132231404</v>
      </c>
      <c r="Q133" s="35" t="n">
        <v>0.05224564619615024</v>
      </c>
      <c r="R133" s="35" t="n">
        <v>0.1137521222410867</v>
      </c>
      <c r="S133" s="35" t="n">
        <v>0.2227942481803658</v>
      </c>
      <c r="T133" s="35" t="n">
        <v>0.1881700490758389</v>
      </c>
      <c r="U133" s="30" t="n">
        <v>116400</v>
      </c>
      <c r="V133" s="30" t="n">
        <v>81800</v>
      </c>
      <c r="W133" s="35" t="n">
        <v>-0.0137457044673539</v>
      </c>
      <c r="X133" s="35" t="n">
        <v>0.4034229828850855</v>
      </c>
      <c r="Y133" s="30" t="n">
        <v>11179416</v>
      </c>
      <c r="Z133" s="30" t="n">
        <v>1283396956800</v>
      </c>
      <c r="AA133" s="30" t="n">
        <v>6879849200</v>
      </c>
      <c r="AB133" s="30" t="n">
        <v>4898428310</v>
      </c>
      <c r="AC133" s="35" t="n">
        <v>0.00536065569078027</v>
      </c>
      <c r="AD133" s="24" t="inlineStr">
        <is>
          <t>yfinance_download</t>
        </is>
      </c>
      <c r="AE133" s="24" t="inlineStr">
        <is>
          <t>064760.KQ</t>
        </is>
      </c>
    </row>
    <row r="134" ht="24" customHeight="1">
      <c r="A134" s="29" t="inlineStr">
        <is>
          <t>2023-12-19</t>
        </is>
      </c>
      <c r="B134" s="31" t="n">
        <v>113000</v>
      </c>
      <c r="C134" s="31" t="n">
        <v>115000</v>
      </c>
      <c r="D134" s="31" t="n">
        <v>111300</v>
      </c>
      <c r="E134" s="31" t="n">
        <v>112600</v>
      </c>
      <c r="F134" s="31" t="n">
        <v>107914.75</v>
      </c>
      <c r="G134" s="31" t="n">
        <v>37852</v>
      </c>
      <c r="H134" s="36" t="n">
        <v>-0.01916376306620204</v>
      </c>
      <c r="I134" s="36" t="n">
        <v>-0.4509995124329595</v>
      </c>
      <c r="J134" s="31" t="n">
        <v>103905</v>
      </c>
      <c r="K134" s="31" t="n">
        <v>94166.66666666667</v>
      </c>
      <c r="L134" s="31" t="n">
        <v>96645.83333333333</v>
      </c>
      <c r="M134" s="36" t="n">
        <v>0.4331026602578892</v>
      </c>
      <c r="N134" s="36" t="n">
        <v>0.4129926899013002</v>
      </c>
      <c r="O134" s="36" t="n">
        <v>0.1729166666666666</v>
      </c>
      <c r="P134" s="36" t="n">
        <v>0.1778242677824269</v>
      </c>
      <c r="Q134" s="36" t="n">
        <v>0.02925045703839113</v>
      </c>
      <c r="R134" s="36" t="n">
        <v>0.08368220971079343</v>
      </c>
      <c r="S134" s="36" t="n">
        <v>0.1957522123893805</v>
      </c>
      <c r="T134" s="36" t="n">
        <v>0.1650786807501616</v>
      </c>
      <c r="U134" s="31" t="n">
        <v>116400</v>
      </c>
      <c r="V134" s="31" t="n">
        <v>81800</v>
      </c>
      <c r="W134" s="36" t="n">
        <v>-0.03264604810996563</v>
      </c>
      <c r="X134" s="36" t="n">
        <v>0.3765281173594133</v>
      </c>
      <c r="Y134" s="31" t="n">
        <v>11179416</v>
      </c>
      <c r="Z134" s="31" t="n">
        <v>1258802241600</v>
      </c>
      <c r="AA134" s="31" t="n">
        <v>4262135200</v>
      </c>
      <c r="AB134" s="31" t="n">
        <v>4982059870</v>
      </c>
      <c r="AC134" s="36" t="n">
        <v>0.003385865594410298</v>
      </c>
      <c r="AD134" s="29" t="inlineStr">
        <is>
          <t>yfinance_download</t>
        </is>
      </c>
      <c r="AE134" s="29" t="inlineStr">
        <is>
          <t>064760.KQ</t>
        </is>
      </c>
    </row>
    <row r="135" ht="24" customHeight="1">
      <c r="A135" s="24" t="inlineStr">
        <is>
          <t>2023-12-20</t>
        </is>
      </c>
      <c r="B135" s="30" t="n">
        <v>112700</v>
      </c>
      <c r="C135" s="30" t="n">
        <v>113400</v>
      </c>
      <c r="D135" s="30" t="n">
        <v>110200</v>
      </c>
      <c r="E135" s="30" t="n">
        <v>110900</v>
      </c>
      <c r="F135" s="30" t="n">
        <v>106285.484375</v>
      </c>
      <c r="G135" s="30" t="n">
        <v>42221</v>
      </c>
      <c r="H135" s="35" t="n">
        <v>-0.01509769094138547</v>
      </c>
      <c r="I135" s="35" t="n">
        <v>-0.4592881521209167</v>
      </c>
      <c r="J135" s="30" t="n">
        <v>104625</v>
      </c>
      <c r="K135" s="30" t="n">
        <v>94421.66666666667</v>
      </c>
      <c r="L135" s="30" t="n">
        <v>96637.5</v>
      </c>
      <c r="M135" s="35" t="n">
        <v>0.4409863557487756</v>
      </c>
      <c r="N135" s="35" t="n">
        <v>0.414626223350496</v>
      </c>
      <c r="O135" s="35" t="n">
        <v>0.1492227979274612</v>
      </c>
      <c r="P135" s="35" t="n">
        <v>0.1600418410041842</v>
      </c>
      <c r="Q135" s="35" t="n">
        <v>-0.00893655049151032</v>
      </c>
      <c r="R135" s="35" t="n">
        <v>0.05997610513739549</v>
      </c>
      <c r="S135" s="35" t="n">
        <v>0.1745185603586747</v>
      </c>
      <c r="T135" s="35" t="n">
        <v>0.1475876341999742</v>
      </c>
      <c r="U135" s="30" t="n">
        <v>116400</v>
      </c>
      <c r="V135" s="30" t="n">
        <v>81800</v>
      </c>
      <c r="W135" s="35" t="n">
        <v>-0.04725085910652926</v>
      </c>
      <c r="X135" s="35" t="n">
        <v>0.3557457212713937</v>
      </c>
      <c r="Y135" s="30" t="n">
        <v>11179416</v>
      </c>
      <c r="Z135" s="30" t="n">
        <v>1239797234400</v>
      </c>
      <c r="AA135" s="30" t="n">
        <v>4682308900</v>
      </c>
      <c r="AB135" s="30" t="n">
        <v>5073442165</v>
      </c>
      <c r="AC135" s="35" t="n">
        <v>0.003776673128542672</v>
      </c>
      <c r="AD135" s="24" t="inlineStr">
        <is>
          <t>yfinance_download</t>
        </is>
      </c>
      <c r="AE135" s="24" t="inlineStr">
        <is>
          <t>064760.KQ</t>
        </is>
      </c>
    </row>
    <row r="136" ht="24" customHeight="1">
      <c r="A136" s="29" t="inlineStr">
        <is>
          <t>2023-12-21</t>
        </is>
      </c>
      <c r="B136" s="31" t="n">
        <v>110700</v>
      </c>
      <c r="C136" s="31" t="n">
        <v>112600</v>
      </c>
      <c r="D136" s="31" t="n">
        <v>108900</v>
      </c>
      <c r="E136" s="31" t="n">
        <v>111400</v>
      </c>
      <c r="F136" s="31" t="n">
        <v>106764.6796875</v>
      </c>
      <c r="G136" s="31" t="n">
        <v>30974</v>
      </c>
      <c r="H136" s="36" t="n">
        <v>0.004508566275924331</v>
      </c>
      <c r="I136" s="36" t="n">
        <v>-0.4568503169185762</v>
      </c>
      <c r="J136" s="31" t="n">
        <v>105225</v>
      </c>
      <c r="K136" s="31" t="n">
        <v>94711.66666666667</v>
      </c>
      <c r="L136" s="31" t="n">
        <v>96651.66666666667</v>
      </c>
      <c r="M136" s="36" t="n">
        <v>0.4327837865757869</v>
      </c>
      <c r="N136" s="36" t="n">
        <v>0.4126301164509517</v>
      </c>
      <c r="O136" s="36" t="n">
        <v>0.1207243460764587</v>
      </c>
      <c r="P136" s="36" t="n">
        <v>0.1851063829787234</v>
      </c>
      <c r="Q136" s="36" t="n">
        <v>0.01549680948040111</v>
      </c>
      <c r="R136" s="36" t="n">
        <v>0.05868377286766457</v>
      </c>
      <c r="S136" s="36" t="n">
        <v>0.1762014535344114</v>
      </c>
      <c r="T136" s="36" t="n">
        <v>0.1525926436860892</v>
      </c>
      <c r="U136" s="31" t="n">
        <v>116400</v>
      </c>
      <c r="V136" s="31" t="n">
        <v>81800</v>
      </c>
      <c r="W136" s="36" t="n">
        <v>-0.04295532646048106</v>
      </c>
      <c r="X136" s="36" t="n">
        <v>0.3618581907090463</v>
      </c>
      <c r="Y136" s="31" t="n">
        <v>11179416</v>
      </c>
      <c r="Z136" s="31" t="n">
        <v>1245386942400</v>
      </c>
      <c r="AA136" s="31" t="n">
        <v>3450503600</v>
      </c>
      <c r="AB136" s="31" t="n">
        <v>4879156495</v>
      </c>
      <c r="AC136" s="36" t="n">
        <v>0.002770627732253635</v>
      </c>
      <c r="AD136" s="29" t="inlineStr">
        <is>
          <t>yfinance_download</t>
        </is>
      </c>
      <c r="AE136" s="29" t="inlineStr">
        <is>
          <t>064760.KQ</t>
        </is>
      </c>
    </row>
    <row r="137" ht="24" customHeight="1">
      <c r="A137" s="24" t="inlineStr">
        <is>
          <t>2023-12-22</t>
        </is>
      </c>
      <c r="B137" s="30" t="n">
        <v>113000</v>
      </c>
      <c r="C137" s="30" t="n">
        <v>114700</v>
      </c>
      <c r="D137" s="30" t="n">
        <v>110800</v>
      </c>
      <c r="E137" s="30" t="n">
        <v>111900</v>
      </c>
      <c r="F137" s="30" t="n">
        <v>107243.875</v>
      </c>
      <c r="G137" s="30" t="n">
        <v>21284</v>
      </c>
      <c r="H137" s="35" t="n">
        <v>0.004488330341113178</v>
      </c>
      <c r="I137" s="35" t="n">
        <v>-0.4544124817162359</v>
      </c>
      <c r="J137" s="30" t="n">
        <v>105870</v>
      </c>
      <c r="K137" s="30" t="n">
        <v>95000</v>
      </c>
      <c r="L137" s="30" t="n">
        <v>96670.83333333333</v>
      </c>
      <c r="M137" s="35" t="n">
        <v>0.4312040312853158</v>
      </c>
      <c r="N137" s="35" t="n">
        <v>0.4125852146614317</v>
      </c>
      <c r="O137" s="35" t="n">
        <v>0.1303030303030304</v>
      </c>
      <c r="P137" s="35" t="n">
        <v>0.1828752642706131</v>
      </c>
      <c r="Q137" s="35" t="n">
        <v>0.02098540145985406</v>
      </c>
      <c r="R137" s="35" t="n">
        <v>0.05695664494190988</v>
      </c>
      <c r="S137" s="35" t="n">
        <v>0.1778947368421053</v>
      </c>
      <c r="T137" s="35" t="n">
        <v>0.157536313089953</v>
      </c>
      <c r="U137" s="30" t="n">
        <v>116400</v>
      </c>
      <c r="V137" s="30" t="n">
        <v>81800</v>
      </c>
      <c r="W137" s="35" t="n">
        <v>-0.03865979381443296</v>
      </c>
      <c r="X137" s="35" t="n">
        <v>0.3679706601466992</v>
      </c>
      <c r="Y137" s="30" t="n">
        <v>11179416</v>
      </c>
      <c r="Z137" s="30" t="n">
        <v>1250976650400</v>
      </c>
      <c r="AA137" s="30" t="n">
        <v>2381679600</v>
      </c>
      <c r="AB137" s="30" t="n">
        <v>4813541125</v>
      </c>
      <c r="AC137" s="35" t="n">
        <v>0.001903856158497009</v>
      </c>
      <c r="AD137" s="24" t="inlineStr">
        <is>
          <t>yfinance_download</t>
        </is>
      </c>
      <c r="AE137" s="24" t="inlineStr">
        <is>
          <t>064760.KQ</t>
        </is>
      </c>
    </row>
    <row r="138" ht="24" customHeight="1">
      <c r="A138" s="29" t="inlineStr">
        <is>
          <t>2023-12-26</t>
        </is>
      </c>
      <c r="B138" s="31" t="n">
        <v>111900</v>
      </c>
      <c r="C138" s="31" t="n">
        <v>112100</v>
      </c>
      <c r="D138" s="31" t="n">
        <v>109500</v>
      </c>
      <c r="E138" s="31" t="n">
        <v>110500</v>
      </c>
      <c r="F138" s="31" t="n">
        <v>105902.1328125</v>
      </c>
      <c r="G138" s="31" t="n">
        <v>23647</v>
      </c>
      <c r="H138" s="36" t="n">
        <v>-0.01251117068811436</v>
      </c>
      <c r="I138" s="36" t="n">
        <v>-0.4612384202827888</v>
      </c>
      <c r="J138" s="31" t="n">
        <v>106460</v>
      </c>
      <c r="K138" s="31" t="n">
        <v>95275</v>
      </c>
      <c r="L138" s="31" t="n">
        <v>96638.33333333333</v>
      </c>
      <c r="M138" s="36" t="n">
        <v>0.4352742133549608</v>
      </c>
      <c r="N138" s="36" t="n">
        <v>0.4133830649959513</v>
      </c>
      <c r="O138" s="36" t="n">
        <v>0.1195542046605877</v>
      </c>
      <c r="P138" s="36" t="n">
        <v>0.175531914893617</v>
      </c>
      <c r="Q138" s="36" t="n">
        <v>-0.03409090909090906</v>
      </c>
      <c r="R138" s="36" t="n">
        <v>0.03794852526770609</v>
      </c>
      <c r="S138" s="36" t="n">
        <v>0.1598005772763054</v>
      </c>
      <c r="T138" s="36" t="n">
        <v>0.1434385940706759</v>
      </c>
      <c r="U138" s="31" t="n">
        <v>116400</v>
      </c>
      <c r="V138" s="31" t="n">
        <v>81800</v>
      </c>
      <c r="W138" s="36" t="n">
        <v>-0.05068728522336774</v>
      </c>
      <c r="X138" s="36" t="n">
        <v>0.3508557457212713</v>
      </c>
      <c r="Y138" s="31" t="n">
        <v>11179416</v>
      </c>
      <c r="Z138" s="31" t="n">
        <v>1235325468000</v>
      </c>
      <c r="AA138" s="31" t="n">
        <v>2612993500</v>
      </c>
      <c r="AB138" s="31" t="n">
        <v>4798371420</v>
      </c>
      <c r="AC138" s="36" t="n">
        <v>0.002115226770342923</v>
      </c>
      <c r="AD138" s="29" t="inlineStr">
        <is>
          <t>yfinance_download</t>
        </is>
      </c>
      <c r="AE138" s="29" t="inlineStr">
        <is>
          <t>064760.KQ</t>
        </is>
      </c>
    </row>
    <row r="139" ht="24" customHeight="1">
      <c r="A139" s="24" t="inlineStr">
        <is>
          <t>2023-12-27</t>
        </is>
      </c>
      <c r="B139" s="30" t="n">
        <v>109300</v>
      </c>
      <c r="C139" s="30" t="n">
        <v>112700</v>
      </c>
      <c r="D139" s="30" t="n">
        <v>109200</v>
      </c>
      <c r="E139" s="30" t="n">
        <v>111400</v>
      </c>
      <c r="F139" s="30" t="n">
        <v>108432.8828125</v>
      </c>
      <c r="G139" s="30" t="n">
        <v>27861</v>
      </c>
      <c r="H139" s="35" t="n">
        <v>0.008144796380090469</v>
      </c>
      <c r="I139" s="35" t="n">
        <v>-0.4568503169185762</v>
      </c>
      <c r="J139" s="30" t="n">
        <v>107150</v>
      </c>
      <c r="K139" s="30" t="n">
        <v>95553.33333333333</v>
      </c>
      <c r="L139" s="30" t="n">
        <v>96607.5</v>
      </c>
      <c r="M139" s="35" t="n">
        <v>0.4305477226299594</v>
      </c>
      <c r="N139" s="35" t="n">
        <v>0.4134174086346764</v>
      </c>
      <c r="O139" s="35" t="n">
        <v>0.1413934426229508</v>
      </c>
      <c r="P139" s="35" t="n">
        <v>0.1763463569165786</v>
      </c>
      <c r="Q139" s="35" t="n">
        <v>-0.03214596003475234</v>
      </c>
      <c r="R139" s="35" t="n">
        <v>0.03966402239850675</v>
      </c>
      <c r="S139" s="35" t="n">
        <v>0.1658410660713041</v>
      </c>
      <c r="T139" s="35" t="n">
        <v>0.1531195818130062</v>
      </c>
      <c r="U139" s="30" t="n">
        <v>116400</v>
      </c>
      <c r="V139" s="30" t="n">
        <v>81800</v>
      </c>
      <c r="W139" s="35" t="n">
        <v>-0.04295532646048106</v>
      </c>
      <c r="X139" s="35" t="n">
        <v>0.3618581907090463</v>
      </c>
      <c r="Y139" s="30" t="n">
        <v>11179416</v>
      </c>
      <c r="Z139" s="30" t="n">
        <v>1245386942400</v>
      </c>
      <c r="AA139" s="30" t="n">
        <v>3103715400</v>
      </c>
      <c r="AB139" s="30" t="n">
        <v>4737490310</v>
      </c>
      <c r="AC139" s="35" t="n">
        <v>0.002492169537299623</v>
      </c>
      <c r="AD139" s="24" t="inlineStr">
        <is>
          <t>yfinance_download</t>
        </is>
      </c>
      <c r="AE139" s="24" t="inlineStr">
        <is>
          <t>064760.KQ</t>
        </is>
      </c>
    </row>
    <row r="140" ht="24" customHeight="1">
      <c r="A140" s="29" t="inlineStr">
        <is>
          <t>2023-12-28</t>
        </is>
      </c>
      <c r="B140" s="31" t="n">
        <v>110300</v>
      </c>
      <c r="C140" s="31" t="n">
        <v>111400</v>
      </c>
      <c r="D140" s="31" t="n">
        <v>109200</v>
      </c>
      <c r="E140" s="31" t="n">
        <v>111300</v>
      </c>
      <c r="F140" s="31" t="n">
        <v>108335.546875</v>
      </c>
      <c r="G140" s="31" t="n">
        <v>17738</v>
      </c>
      <c r="H140" s="36" t="n">
        <v>-0.0008976660682226134</v>
      </c>
      <c r="I140" s="36" t="n">
        <v>-0.4573378839590444</v>
      </c>
      <c r="J140" s="31" t="n">
        <v>107730</v>
      </c>
      <c r="K140" s="31" t="n">
        <v>95830</v>
      </c>
      <c r="L140" s="31" t="n">
        <v>96588.33333333333</v>
      </c>
      <c r="M140" s="36" t="n">
        <v>0.4278534868622007</v>
      </c>
      <c r="N140" s="36" t="n">
        <v>0.4134496872844861</v>
      </c>
      <c r="O140" s="36" t="n">
        <v>0.1163490471414244</v>
      </c>
      <c r="P140" s="36" t="n">
        <v>0.1752903907074974</v>
      </c>
      <c r="Q140" s="36" t="n">
        <v>-0.02024647887323938</v>
      </c>
      <c r="R140" s="36" t="n">
        <v>0.03313840155945424</v>
      </c>
      <c r="S140" s="36" t="n">
        <v>0.1614317019722424</v>
      </c>
      <c r="T140" s="36" t="n">
        <v>0.1523130812900109</v>
      </c>
      <c r="U140" s="31" t="n">
        <v>116400</v>
      </c>
      <c r="V140" s="31" t="n">
        <v>81800</v>
      </c>
      <c r="W140" s="36" t="n">
        <v>-0.04381443298969068</v>
      </c>
      <c r="X140" s="36" t="n">
        <v>0.3606356968215159</v>
      </c>
      <c r="Y140" s="31" t="n">
        <v>11179416</v>
      </c>
      <c r="Z140" s="31" t="n">
        <v>1244269000800</v>
      </c>
      <c r="AA140" s="31" t="n">
        <v>1974239400</v>
      </c>
      <c r="AB140" s="31" t="n">
        <v>4673098065</v>
      </c>
      <c r="AC140" s="36" t="n">
        <v>0.001586666065561922</v>
      </c>
      <c r="AD140" s="29" t="inlineStr">
        <is>
          <t>yfinance_download</t>
        </is>
      </c>
      <c r="AE140" s="29" t="inlineStr">
        <is>
          <t>064760.KQ</t>
        </is>
      </c>
    </row>
    <row r="141" ht="24" customHeight="1">
      <c r="A141" s="24" t="inlineStr">
        <is>
          <t>2024-01-02</t>
        </is>
      </c>
      <c r="B141" s="30" t="n">
        <v>110200</v>
      </c>
      <c r="C141" s="30" t="n">
        <v>118600</v>
      </c>
      <c r="D141" s="30" t="n">
        <v>110000</v>
      </c>
      <c r="E141" s="30" t="n">
        <v>117300</v>
      </c>
      <c r="F141" s="30" t="n">
        <v>114175.734375</v>
      </c>
      <c r="G141" s="30" t="n">
        <v>55213</v>
      </c>
      <c r="H141" s="35" t="n">
        <v>0.0539083557951483</v>
      </c>
      <c r="I141" s="35" t="n">
        <v>-0.4280838615309605</v>
      </c>
      <c r="J141" s="30" t="n">
        <v>108645</v>
      </c>
      <c r="K141" s="30" t="n">
        <v>96255</v>
      </c>
      <c r="L141" s="30" t="n">
        <v>96633.33333333333</v>
      </c>
      <c r="M141" s="35" t="n">
        <v>0.4571840579391144</v>
      </c>
      <c r="N141" s="35" t="n">
        <v>0.4203037913730075</v>
      </c>
      <c r="O141" s="35" t="n">
        <v>0.1848484848484848</v>
      </c>
      <c r="P141" s="35" t="n">
        <v>0.2777777777777777</v>
      </c>
      <c r="Q141" s="35" t="n">
        <v>0.04825737265415553</v>
      </c>
      <c r="R141" s="35" t="n">
        <v>0.07966312301532508</v>
      </c>
      <c r="S141" s="35" t="n">
        <v>0.2186379928315412</v>
      </c>
      <c r="T141" s="35" t="n">
        <v>0.2138668506381511</v>
      </c>
      <c r="U141" s="30" t="n">
        <v>117300</v>
      </c>
      <c r="V141" s="30" t="n">
        <v>81800</v>
      </c>
      <c r="W141" s="35" t="n">
        <v>0</v>
      </c>
      <c r="X141" s="35" t="n">
        <v>0.4339853300733496</v>
      </c>
      <c r="Y141" s="30" t="n">
        <v>11179416</v>
      </c>
      <c r="Z141" s="30" t="n">
        <v>1311345496800</v>
      </c>
      <c r="AA141" s="30" t="n">
        <v>6476484900</v>
      </c>
      <c r="AB141" s="30" t="n">
        <v>4899833010</v>
      </c>
      <c r="AC141" s="35" t="n">
        <v>0.00493880896819655</v>
      </c>
      <c r="AD141" s="24" t="inlineStr">
        <is>
          <t>yfinance_download</t>
        </is>
      </c>
      <c r="AE141" s="24" t="inlineStr">
        <is>
          <t>064760.KQ</t>
        </is>
      </c>
    </row>
    <row r="142" ht="24" customHeight="1">
      <c r="A142" s="29" t="inlineStr">
        <is>
          <t>2024-01-03</t>
        </is>
      </c>
      <c r="B142" s="31" t="n">
        <v>114500</v>
      </c>
      <c r="C142" s="31" t="n">
        <v>115600</v>
      </c>
      <c r="D142" s="31" t="n">
        <v>112600</v>
      </c>
      <c r="E142" s="31" t="n">
        <v>115600</v>
      </c>
      <c r="F142" s="31" t="n">
        <v>112521.015625</v>
      </c>
      <c r="G142" s="31" t="n">
        <v>39502</v>
      </c>
      <c r="H142" s="36" t="n">
        <v>-0.01449275362318836</v>
      </c>
      <c r="I142" s="36" t="n">
        <v>-0.4363725012189176</v>
      </c>
      <c r="J142" s="31" t="n">
        <v>109350</v>
      </c>
      <c r="K142" s="31" t="n">
        <v>96580</v>
      </c>
      <c r="L142" s="31" t="n">
        <v>96651.66666666667</v>
      </c>
      <c r="M142" s="36" t="n">
        <v>0.4600944500304999</v>
      </c>
      <c r="N142" s="36" t="n">
        <v>0.4125966510048361</v>
      </c>
      <c r="O142" s="36" t="n">
        <v>0.1389162561576354</v>
      </c>
      <c r="P142" s="36" t="n">
        <v>0.2029136316337148</v>
      </c>
      <c r="Q142" s="36" t="n">
        <v>0.01940035273368612</v>
      </c>
      <c r="R142" s="36" t="n">
        <v>0.05715592135345227</v>
      </c>
      <c r="S142" s="36" t="n">
        <v>0.1969351832677573</v>
      </c>
      <c r="T142" s="36" t="n">
        <v>0.1960476625683296</v>
      </c>
      <c r="U142" s="31" t="n">
        <v>117300</v>
      </c>
      <c r="V142" s="31" t="n">
        <v>81800</v>
      </c>
      <c r="W142" s="36" t="n">
        <v>-0.01449275362318836</v>
      </c>
      <c r="X142" s="36" t="n">
        <v>0.41320293398533</v>
      </c>
      <c r="Y142" s="31" t="n">
        <v>11179416</v>
      </c>
      <c r="Z142" s="31" t="n">
        <v>1292340489600</v>
      </c>
      <c r="AA142" s="31" t="n">
        <v>4566431200</v>
      </c>
      <c r="AB142" s="31" t="n">
        <v>4834753595</v>
      </c>
      <c r="AC142" s="36" t="n">
        <v>0.003533458277248114</v>
      </c>
      <c r="AD142" s="29" t="inlineStr">
        <is>
          <t>yfinance_download</t>
        </is>
      </c>
      <c r="AE142" s="29" t="inlineStr">
        <is>
          <t>064760.KQ</t>
        </is>
      </c>
    </row>
    <row r="143" ht="24" customHeight="1">
      <c r="A143" s="24" t="inlineStr">
        <is>
          <t>2024-01-04</t>
        </is>
      </c>
      <c r="B143" s="30" t="n">
        <v>115100</v>
      </c>
      <c r="C143" s="30" t="n">
        <v>115300</v>
      </c>
      <c r="D143" s="30" t="n">
        <v>112700</v>
      </c>
      <c r="E143" s="30" t="n">
        <v>113900</v>
      </c>
      <c r="F143" s="30" t="n">
        <v>110866.2890625</v>
      </c>
      <c r="G143" s="30" t="n">
        <v>21522</v>
      </c>
      <c r="H143" s="35" t="n">
        <v>-0.01470588235294112</v>
      </c>
      <c r="I143" s="35" t="n">
        <v>-0.4446611409068747</v>
      </c>
      <c r="J143" s="30" t="n">
        <v>110095</v>
      </c>
      <c r="K143" s="30" t="n">
        <v>96868.33333333333</v>
      </c>
      <c r="L143" s="30" t="n">
        <v>96710.83333333333</v>
      </c>
      <c r="M143" s="35" t="n">
        <v>0.4523519262688206</v>
      </c>
      <c r="N143" s="35" t="n">
        <v>0.4142414170560408</v>
      </c>
      <c r="O143" s="35" t="n">
        <v>0.1505050505050505</v>
      </c>
      <c r="P143" s="35" t="n">
        <v>0.179089026915114</v>
      </c>
      <c r="Q143" s="35" t="n">
        <v>0.06647940074906367</v>
      </c>
      <c r="R143" s="35" t="n">
        <v>0.03456106090194822</v>
      </c>
      <c r="S143" s="35" t="n">
        <v>0.1758228523253214</v>
      </c>
      <c r="T143" s="35" t="n">
        <v>0.177737757748615</v>
      </c>
      <c r="U143" s="30" t="n">
        <v>117300</v>
      </c>
      <c r="V143" s="30" t="n">
        <v>81800</v>
      </c>
      <c r="W143" s="35" t="n">
        <v>-0.02898550724637683</v>
      </c>
      <c r="X143" s="35" t="n">
        <v>0.3924205378973105</v>
      </c>
      <c r="Y143" s="30" t="n">
        <v>11179416</v>
      </c>
      <c r="Z143" s="30" t="n">
        <v>1273335482400</v>
      </c>
      <c r="AA143" s="30" t="n">
        <v>2451355800</v>
      </c>
      <c r="AB143" s="30" t="n">
        <v>4825814735</v>
      </c>
      <c r="AC143" s="35" t="n">
        <v>0.001925145284869979</v>
      </c>
      <c r="AD143" s="24" t="inlineStr">
        <is>
          <t>yfinance_download</t>
        </is>
      </c>
      <c r="AE143" s="24" t="inlineStr">
        <is>
          <t>064760.KQ</t>
        </is>
      </c>
    </row>
    <row r="144" ht="24" customHeight="1">
      <c r="A144" s="29" t="inlineStr">
        <is>
          <t>2024-01-05</t>
        </is>
      </c>
      <c r="B144" s="31" t="n">
        <v>113900</v>
      </c>
      <c r="C144" s="31" t="n">
        <v>114500</v>
      </c>
      <c r="D144" s="31" t="n">
        <v>112500</v>
      </c>
      <c r="E144" s="31" t="n">
        <v>113900</v>
      </c>
      <c r="F144" s="31" t="n">
        <v>110866.2890625</v>
      </c>
      <c r="G144" s="31" t="n">
        <v>17118</v>
      </c>
      <c r="H144" s="36" t="n">
        <v>0</v>
      </c>
      <c r="I144" s="36" t="n">
        <v>-0.4446611409068747</v>
      </c>
      <c r="J144" s="31" t="n">
        <v>110855</v>
      </c>
      <c r="K144" s="31" t="n">
        <v>97183.33333333333</v>
      </c>
      <c r="L144" s="31" t="n">
        <v>96812.5</v>
      </c>
      <c r="M144" s="36" t="n">
        <v>0.4515510757925463</v>
      </c>
      <c r="N144" s="36" t="n">
        <v>0.4122729832347778</v>
      </c>
      <c r="O144" s="36" t="n">
        <v>0.154002026342452</v>
      </c>
      <c r="P144" s="36" t="n">
        <v>0.1989473684210525</v>
      </c>
      <c r="Q144" s="36" t="n">
        <v>0.1199606686332351</v>
      </c>
      <c r="R144" s="36" t="n">
        <v>0.02746831446484155</v>
      </c>
      <c r="S144" s="36" t="n">
        <v>0.1720116618075802</v>
      </c>
      <c r="T144" s="36" t="n">
        <v>0.1765009683666883</v>
      </c>
      <c r="U144" s="31" t="n">
        <v>117300</v>
      </c>
      <c r="V144" s="31" t="n">
        <v>81800</v>
      </c>
      <c r="W144" s="36" t="n">
        <v>-0.02898550724637683</v>
      </c>
      <c r="X144" s="36" t="n">
        <v>0.3924205378973105</v>
      </c>
      <c r="Y144" s="31" t="n">
        <v>11179416</v>
      </c>
      <c r="Z144" s="31" t="n">
        <v>1273335482400</v>
      </c>
      <c r="AA144" s="31" t="n">
        <v>1949740200</v>
      </c>
      <c r="AB144" s="31" t="n">
        <v>4795574075</v>
      </c>
      <c r="AC144" s="36" t="n">
        <v>0.001531206996859228</v>
      </c>
      <c r="AD144" s="29" t="inlineStr">
        <is>
          <t>yfinance_download</t>
        </is>
      </c>
      <c r="AE144" s="29" t="inlineStr">
        <is>
          <t>064760.KQ</t>
        </is>
      </c>
    </row>
    <row r="145" ht="24" customHeight="1">
      <c r="A145" s="24" t="inlineStr">
        <is>
          <t>2024-01-08</t>
        </is>
      </c>
      <c r="B145" s="30" t="n">
        <v>114000</v>
      </c>
      <c r="C145" s="30" t="n">
        <v>115900</v>
      </c>
      <c r="D145" s="30" t="n">
        <v>113100</v>
      </c>
      <c r="E145" s="30" t="n">
        <v>115400</v>
      </c>
      <c r="F145" s="30" t="n">
        <v>112326.3359375</v>
      </c>
      <c r="G145" s="30" t="n">
        <v>18294</v>
      </c>
      <c r="H145" s="35" t="n">
        <v>0.01316944688323085</v>
      </c>
      <c r="I145" s="35" t="n">
        <v>-0.4373476352998538</v>
      </c>
      <c r="J145" s="30" t="n">
        <v>111495</v>
      </c>
      <c r="K145" s="30" t="n">
        <v>97546.66666666667</v>
      </c>
      <c r="L145" s="30" t="n">
        <v>96942.5</v>
      </c>
      <c r="M145" s="35" t="n">
        <v>0.4362540404203039</v>
      </c>
      <c r="N145" s="35" t="n">
        <v>0.4110072076650593</v>
      </c>
      <c r="O145" s="35" t="n">
        <v>0.1247563352826511</v>
      </c>
      <c r="P145" s="35" t="n">
        <v>0.232905982905983</v>
      </c>
      <c r="Q145" s="35" t="n">
        <v>0.1563126252505009</v>
      </c>
      <c r="R145" s="35" t="n">
        <v>0.03502399210726947</v>
      </c>
      <c r="S145" s="35" t="n">
        <v>0.1830235101148168</v>
      </c>
      <c r="T145" s="35" t="n">
        <v>0.1903963689816128</v>
      </c>
      <c r="U145" s="30" t="n">
        <v>117300</v>
      </c>
      <c r="V145" s="30" t="n">
        <v>81800</v>
      </c>
      <c r="W145" s="35" t="n">
        <v>-0.01619778346121059</v>
      </c>
      <c r="X145" s="35" t="n">
        <v>0.4107579462102688</v>
      </c>
      <c r="Y145" s="30" t="n">
        <v>11179416</v>
      </c>
      <c r="Z145" s="30" t="n">
        <v>1290104606400</v>
      </c>
      <c r="AA145" s="30" t="n">
        <v>2111127600</v>
      </c>
      <c r="AB145" s="30" t="n">
        <v>4574308415</v>
      </c>
      <c r="AC145" s="35" t="n">
        <v>0.001636400327172725</v>
      </c>
      <c r="AD145" s="24" t="inlineStr">
        <is>
          <t>yfinance_download</t>
        </is>
      </c>
      <c r="AE145" s="24" t="inlineStr">
        <is>
          <t>064760.KQ</t>
        </is>
      </c>
    </row>
    <row r="146" ht="24" customHeight="1">
      <c r="A146" s="29" t="inlineStr">
        <is>
          <t>2024-01-09</t>
        </is>
      </c>
      <c r="B146" s="31" t="n">
        <v>116500</v>
      </c>
      <c r="C146" s="31" t="n">
        <v>117400</v>
      </c>
      <c r="D146" s="31" t="n">
        <v>107500</v>
      </c>
      <c r="E146" s="31" t="n">
        <v>113700</v>
      </c>
      <c r="F146" s="31" t="n">
        <v>110671.625</v>
      </c>
      <c r="G146" s="31" t="n">
        <v>28100</v>
      </c>
      <c r="H146" s="36" t="n">
        <v>-0.01473136915077988</v>
      </c>
      <c r="I146" s="36" t="n">
        <v>-0.4456362749878108</v>
      </c>
      <c r="J146" s="31" t="n">
        <v>112145</v>
      </c>
      <c r="K146" s="31" t="n">
        <v>97855</v>
      </c>
      <c r="L146" s="31" t="n">
        <v>97029.16666666667</v>
      </c>
      <c r="M146" s="36" t="n">
        <v>0.433601413377625</v>
      </c>
      <c r="N146" s="36" t="n">
        <v>0.4117915287111011</v>
      </c>
      <c r="O146" s="36" t="n">
        <v>0.1290963257199602</v>
      </c>
      <c r="P146" s="36" t="n">
        <v>0.194327731092437</v>
      </c>
      <c r="Q146" s="36" t="n">
        <v>0.100677637947725</v>
      </c>
      <c r="R146" s="36" t="n">
        <v>0.01386597708324055</v>
      </c>
      <c r="S146" s="36" t="n">
        <v>0.1619232537938786</v>
      </c>
      <c r="T146" s="36" t="n">
        <v>0.1718125993043329</v>
      </c>
      <c r="U146" s="31" t="n">
        <v>117300</v>
      </c>
      <c r="V146" s="31" t="n">
        <v>81800</v>
      </c>
      <c r="W146" s="36" t="n">
        <v>-0.03069053708439895</v>
      </c>
      <c r="X146" s="36" t="n">
        <v>0.3899755501222495</v>
      </c>
      <c r="Y146" s="31" t="n">
        <v>11179416</v>
      </c>
      <c r="Z146" s="31" t="n">
        <v>1271099599200</v>
      </c>
      <c r="AA146" s="31" t="n">
        <v>3194970000</v>
      </c>
      <c r="AB146" s="31" t="n">
        <v>4613770765</v>
      </c>
      <c r="AC146" s="36" t="n">
        <v>0.002513548113783403</v>
      </c>
      <c r="AD146" s="29" t="inlineStr">
        <is>
          <t>yfinance_download</t>
        </is>
      </c>
      <c r="AE146" s="29" t="inlineStr">
        <is>
          <t>064760.KQ</t>
        </is>
      </c>
    </row>
    <row r="147" ht="24" customHeight="1">
      <c r="A147" s="24" t="inlineStr">
        <is>
          <t>2024-01-10</t>
        </is>
      </c>
      <c r="B147" s="30" t="n">
        <v>113900</v>
      </c>
      <c r="C147" s="30" t="n">
        <v>113900</v>
      </c>
      <c r="D147" s="30" t="n">
        <v>107100</v>
      </c>
      <c r="E147" s="30" t="n">
        <v>111300</v>
      </c>
      <c r="F147" s="30" t="n">
        <v>108335.546875</v>
      </c>
      <c r="G147" s="30" t="n">
        <v>52188</v>
      </c>
      <c r="H147" s="35" t="n">
        <v>-0.02110817941952503</v>
      </c>
      <c r="I147" s="35" t="n">
        <v>-0.4573378839590444</v>
      </c>
      <c r="J147" s="30" t="n">
        <v>112380</v>
      </c>
      <c r="K147" s="30" t="n">
        <v>98178.33333333333</v>
      </c>
      <c r="L147" s="30" t="n">
        <v>97090</v>
      </c>
      <c r="M147" s="35" t="n">
        <v>0.3972268875399306</v>
      </c>
      <c r="N147" s="35" t="n">
        <v>0.4073684884533491</v>
      </c>
      <c r="O147" s="35" t="n">
        <v>0.04409005628517826</v>
      </c>
      <c r="P147" s="35" t="n">
        <v>0.2110990206746464</v>
      </c>
      <c r="Q147" s="35" t="n">
        <v>0.07019230769230766</v>
      </c>
      <c r="R147" s="35" t="n">
        <v>-0.009610250934329989</v>
      </c>
      <c r="S147" s="35" t="n">
        <v>0.1336513487361435</v>
      </c>
      <c r="T147" s="35" t="n">
        <v>0.1463590483056958</v>
      </c>
      <c r="U147" s="30" t="n">
        <v>117300</v>
      </c>
      <c r="V147" s="30" t="n">
        <v>81800</v>
      </c>
      <c r="W147" s="35" t="n">
        <v>-0.05115089514066495</v>
      </c>
      <c r="X147" s="35" t="n">
        <v>0.3606356968215159</v>
      </c>
      <c r="Y147" s="30" t="n">
        <v>11179416</v>
      </c>
      <c r="Z147" s="30" t="n">
        <v>1244269000800</v>
      </c>
      <c r="AA147" s="30" t="n">
        <v>5808524400</v>
      </c>
      <c r="AB147" s="30" t="n">
        <v>4497278135</v>
      </c>
      <c r="AC147" s="35" t="n">
        <v>0.004668222382993888</v>
      </c>
      <c r="AD147" s="24" t="inlineStr">
        <is>
          <t>yfinance_download</t>
        </is>
      </c>
      <c r="AE147" s="24" t="inlineStr">
        <is>
          <t>064760.KQ</t>
        </is>
      </c>
    </row>
    <row r="148" ht="24" customHeight="1">
      <c r="A148" s="29" t="inlineStr">
        <is>
          <t>2024-01-11</t>
        </is>
      </c>
      <c r="B148" s="31" t="n">
        <v>112300</v>
      </c>
      <c r="C148" s="31" t="n">
        <v>112300</v>
      </c>
      <c r="D148" s="31" t="n">
        <v>110000</v>
      </c>
      <c r="E148" s="31" t="n">
        <v>110300</v>
      </c>
      <c r="F148" s="31" t="n">
        <v>107362.1796875</v>
      </c>
      <c r="G148" s="31" t="n">
        <v>12865</v>
      </c>
      <c r="H148" s="36" t="n">
        <v>-0.008984725965858087</v>
      </c>
      <c r="I148" s="36" t="n">
        <v>-0.462213554363725</v>
      </c>
      <c r="J148" s="31" t="n">
        <v>112390</v>
      </c>
      <c r="K148" s="31" t="n">
        <v>98498.33333333333</v>
      </c>
      <c r="L148" s="31" t="n">
        <v>97142.5</v>
      </c>
      <c r="M148" s="36" t="n">
        <v>0.3822615559691697</v>
      </c>
      <c r="N148" s="36" t="n">
        <v>0.407404717655053</v>
      </c>
      <c r="O148" s="36" t="n">
        <v>0.001816530426884677</v>
      </c>
      <c r="P148" s="36" t="n">
        <v>0.2107574094401756</v>
      </c>
      <c r="Q148" s="36" t="n">
        <v>0.06057692307692308</v>
      </c>
      <c r="R148" s="36" t="n">
        <v>-0.01859596049470591</v>
      </c>
      <c r="S148" s="36" t="n">
        <v>0.1198159021303238</v>
      </c>
      <c r="T148" s="36" t="n">
        <v>0.1354453509020255</v>
      </c>
      <c r="U148" s="31" t="n">
        <v>117300</v>
      </c>
      <c r="V148" s="31" t="n">
        <v>81800</v>
      </c>
      <c r="W148" s="36" t="n">
        <v>-0.05967604433077578</v>
      </c>
      <c r="X148" s="36" t="n">
        <v>0.3484107579462103</v>
      </c>
      <c r="Y148" s="31" t="n">
        <v>11179416</v>
      </c>
      <c r="Z148" s="31" t="n">
        <v>1233089584800</v>
      </c>
      <c r="AA148" s="31" t="n">
        <v>1419009500</v>
      </c>
      <c r="AB148" s="31" t="n">
        <v>4299909405</v>
      </c>
      <c r="AC148" s="36" t="n">
        <v>0.001150775675580907</v>
      </c>
      <c r="AD148" s="29" t="inlineStr">
        <is>
          <t>yfinance_download</t>
        </is>
      </c>
      <c r="AE148" s="29" t="inlineStr">
        <is>
          <t>064760.KQ</t>
        </is>
      </c>
    </row>
    <row r="149" ht="24" customHeight="1">
      <c r="A149" s="24" t="inlineStr">
        <is>
          <t>2024-01-12</t>
        </is>
      </c>
      <c r="B149" s="30" t="n">
        <v>111100</v>
      </c>
      <c r="C149" s="30" t="n">
        <v>111200</v>
      </c>
      <c r="D149" s="30" t="n">
        <v>107700</v>
      </c>
      <c r="E149" s="30" t="n">
        <v>108600</v>
      </c>
      <c r="F149" s="30" t="n">
        <v>105707.453125</v>
      </c>
      <c r="G149" s="30" t="n">
        <v>21432</v>
      </c>
      <c r="H149" s="35" t="n">
        <v>-0.01541251133272892</v>
      </c>
      <c r="I149" s="35" t="n">
        <v>-0.4705021940516821</v>
      </c>
      <c r="J149" s="30" t="n">
        <v>112445</v>
      </c>
      <c r="K149" s="30" t="n">
        <v>98778.33333333333</v>
      </c>
      <c r="L149" s="30" t="n">
        <v>97174.16666666667</v>
      </c>
      <c r="M149" s="35" t="n">
        <v>0.3765031641085588</v>
      </c>
      <c r="N149" s="35" t="n">
        <v>0.4091403080066134</v>
      </c>
      <c r="O149" s="35" t="n">
        <v>0.01023255813953483</v>
      </c>
      <c r="P149" s="35" t="n">
        <v>0.1830065359477124</v>
      </c>
      <c r="Q149" s="35" t="n">
        <v>0.03625954198473291</v>
      </c>
      <c r="R149" s="35" t="n">
        <v>-0.03419449508648675</v>
      </c>
      <c r="S149" s="35" t="n">
        <v>0.09943138677510266</v>
      </c>
      <c r="T149" s="35" t="n">
        <v>0.1175809757394368</v>
      </c>
      <c r="U149" s="30" t="n">
        <v>117300</v>
      </c>
      <c r="V149" s="30" t="n">
        <v>81800</v>
      </c>
      <c r="W149" s="35" t="n">
        <v>-0.07416879795396425</v>
      </c>
      <c r="X149" s="35" t="n">
        <v>0.3276283618581908</v>
      </c>
      <c r="Y149" s="30" t="n">
        <v>11179416</v>
      </c>
      <c r="Z149" s="30" t="n">
        <v>1214084577600</v>
      </c>
      <c r="AA149" s="30" t="n">
        <v>2327515200</v>
      </c>
      <c r="AB149" s="30" t="n">
        <v>4158156165</v>
      </c>
      <c r="AC149" s="35" t="n">
        <v>0.001917094774897007</v>
      </c>
      <c r="AD149" s="24" t="inlineStr">
        <is>
          <t>yfinance_download</t>
        </is>
      </c>
      <c r="AE149" s="24" t="inlineStr">
        <is>
          <t>064760.KQ</t>
        </is>
      </c>
    </row>
    <row r="150" ht="24" customHeight="1">
      <c r="A150" s="29" t="inlineStr">
        <is>
          <t>2024-01-15</t>
        </is>
      </c>
      <c r="B150" s="31" t="n">
        <v>108600</v>
      </c>
      <c r="C150" s="31" t="n">
        <v>109900</v>
      </c>
      <c r="D150" s="31" t="n">
        <v>107100</v>
      </c>
      <c r="E150" s="31" t="n">
        <v>108900</v>
      </c>
      <c r="F150" s="31" t="n">
        <v>105999.4609375</v>
      </c>
      <c r="G150" s="31" t="n">
        <v>10980</v>
      </c>
      <c r="H150" s="36" t="n">
        <v>0.002762430939226457</v>
      </c>
      <c r="I150" s="36" t="n">
        <v>-0.4690394929302779</v>
      </c>
      <c r="J150" s="31" t="n">
        <v>112330</v>
      </c>
      <c r="K150" s="31" t="n">
        <v>99098.33333333333</v>
      </c>
      <c r="L150" s="31" t="n">
        <v>97219.16666666667</v>
      </c>
      <c r="M150" s="36" t="n">
        <v>0.3551450528066645</v>
      </c>
      <c r="N150" s="36" t="n">
        <v>0.4055388960632442</v>
      </c>
      <c r="O150" s="36" t="n">
        <v>-0.02068345323741005</v>
      </c>
      <c r="P150" s="36" t="n">
        <v>0.214046822742475</v>
      </c>
      <c r="Q150" s="36" t="n">
        <v>0.05217391304347818</v>
      </c>
      <c r="R150" s="36" t="n">
        <v>-0.0305350307130775</v>
      </c>
      <c r="S150" s="36" t="n">
        <v>0.09890849156561665</v>
      </c>
      <c r="T150" s="36" t="n">
        <v>0.1201494904125557</v>
      </c>
      <c r="U150" s="31" t="n">
        <v>117300</v>
      </c>
      <c r="V150" s="31" t="n">
        <v>81800</v>
      </c>
      <c r="W150" s="36" t="n">
        <v>-0.07161125319693096</v>
      </c>
      <c r="X150" s="36" t="n">
        <v>0.3312958435207825</v>
      </c>
      <c r="Y150" s="31" t="n">
        <v>11179416</v>
      </c>
      <c r="Z150" s="31" t="n">
        <v>1217438402400</v>
      </c>
      <c r="AA150" s="31" t="n">
        <v>1195722000</v>
      </c>
      <c r="AB150" s="31" t="n">
        <v>3893171545</v>
      </c>
      <c r="AC150" s="36" t="n">
        <v>0.0009821622167025541</v>
      </c>
      <c r="AD150" s="29" t="inlineStr">
        <is>
          <t>yfinance_download</t>
        </is>
      </c>
      <c r="AE150" s="29" t="inlineStr">
        <is>
          <t>064760.KQ</t>
        </is>
      </c>
    </row>
    <row r="151" ht="24" customHeight="1">
      <c r="A151" s="24" t="inlineStr">
        <is>
          <t>2024-01-16</t>
        </is>
      </c>
      <c r="B151" s="30" t="n">
        <v>108900</v>
      </c>
      <c r="C151" s="30" t="n">
        <v>109900</v>
      </c>
      <c r="D151" s="30" t="n">
        <v>106000</v>
      </c>
      <c r="E151" s="30" t="n">
        <v>106600</v>
      </c>
      <c r="F151" s="30" t="n">
        <v>103760.7265625</v>
      </c>
      <c r="G151" s="30" t="n">
        <v>20797</v>
      </c>
      <c r="H151" s="35" t="n">
        <v>-0.02112029384756653</v>
      </c>
      <c r="I151" s="35" t="n">
        <v>-0.4802535348610434</v>
      </c>
      <c r="J151" s="30" t="n">
        <v>111985</v>
      </c>
      <c r="K151" s="30" t="n">
        <v>99451.66666666667</v>
      </c>
      <c r="L151" s="30" t="n">
        <v>97254.16666666667</v>
      </c>
      <c r="M151" s="35" t="n">
        <v>0.3525803545963328</v>
      </c>
      <c r="N151" s="35" t="n">
        <v>0.3945713597702011</v>
      </c>
      <c r="O151" s="35" t="n">
        <v>-0.06079295154185027</v>
      </c>
      <c r="P151" s="35" t="n">
        <v>0.2482435597189696</v>
      </c>
      <c r="Q151" s="35" t="n">
        <v>0.041015625</v>
      </c>
      <c r="R151" s="35" t="n">
        <v>-0.04808679733892929</v>
      </c>
      <c r="S151" s="35" t="n">
        <v>0.07187746141341678</v>
      </c>
      <c r="T151" s="35" t="n">
        <v>0.09609699670108385</v>
      </c>
      <c r="U151" s="30" t="n">
        <v>117300</v>
      </c>
      <c r="V151" s="30" t="n">
        <v>81800</v>
      </c>
      <c r="W151" s="35" t="n">
        <v>-0.0912190963341859</v>
      </c>
      <c r="X151" s="35" t="n">
        <v>0.3031784841075795</v>
      </c>
      <c r="Y151" s="30" t="n">
        <v>11179416</v>
      </c>
      <c r="Z151" s="30" t="n">
        <v>1191725745600</v>
      </c>
      <c r="AA151" s="30" t="n">
        <v>2216960200</v>
      </c>
      <c r="AB151" s="30" t="n">
        <v>3661902180</v>
      </c>
      <c r="AC151" s="35" t="n">
        <v>0.001860293954532151</v>
      </c>
      <c r="AD151" s="24" t="inlineStr">
        <is>
          <t>yfinance_download</t>
        </is>
      </c>
      <c r="AE151" s="24" t="inlineStr">
        <is>
          <t>064760.KQ</t>
        </is>
      </c>
    </row>
    <row r="152" ht="24" customHeight="1">
      <c r="A152" s="29" t="inlineStr">
        <is>
          <t>2024-01-17</t>
        </is>
      </c>
      <c r="B152" s="31" t="n">
        <v>107600</v>
      </c>
      <c r="C152" s="31" t="n">
        <v>109500</v>
      </c>
      <c r="D152" s="31" t="n">
        <v>105000</v>
      </c>
      <c r="E152" s="31" t="n">
        <v>106100</v>
      </c>
      <c r="F152" s="31" t="n">
        <v>103274.046875</v>
      </c>
      <c r="G152" s="31" t="n">
        <v>17734</v>
      </c>
      <c r="H152" s="36" t="n">
        <v>-0.004690431519699834</v>
      </c>
      <c r="I152" s="36" t="n">
        <v>-0.4826913700633837</v>
      </c>
      <c r="J152" s="31" t="n">
        <v>111820</v>
      </c>
      <c r="K152" s="31" t="n">
        <v>99828.33333333333</v>
      </c>
      <c r="L152" s="31" t="n">
        <v>97288.33333333333</v>
      </c>
      <c r="M152" s="36" t="n">
        <v>0.3302434797136804</v>
      </c>
      <c r="N152" s="36" t="n">
        <v>0.3912088955814481</v>
      </c>
      <c r="O152" s="36" t="n">
        <v>-0.03016453382084094</v>
      </c>
      <c r="P152" s="36" t="n">
        <v>0.2706586826347306</v>
      </c>
      <c r="Q152" s="36" t="n">
        <v>0.04019607843137263</v>
      </c>
      <c r="R152" s="36" t="n">
        <v>-0.05115363977821497</v>
      </c>
      <c r="S152" s="36" t="n">
        <v>0.06282451541813461</v>
      </c>
      <c r="T152" s="36" t="n">
        <v>0.09057269628081488</v>
      </c>
      <c r="U152" s="31" t="n">
        <v>117300</v>
      </c>
      <c r="V152" s="31" t="n">
        <v>81800</v>
      </c>
      <c r="W152" s="36" t="n">
        <v>-0.09548167092924131</v>
      </c>
      <c r="X152" s="36" t="n">
        <v>0.2970660146699267</v>
      </c>
      <c r="Y152" s="31" t="n">
        <v>11179416</v>
      </c>
      <c r="Z152" s="31" t="n">
        <v>1186136037600</v>
      </c>
      <c r="AA152" s="31" t="n">
        <v>1881577400</v>
      </c>
      <c r="AB152" s="31" t="n">
        <v>3247342160</v>
      </c>
      <c r="AC152" s="36" t="n">
        <v>0.001586308265118679</v>
      </c>
      <c r="AD152" s="29" t="inlineStr">
        <is>
          <t>yfinance_download</t>
        </is>
      </c>
      <c r="AE152" s="29" t="inlineStr">
        <is>
          <t>064760.KQ</t>
        </is>
      </c>
    </row>
    <row r="153" ht="24" customHeight="1">
      <c r="A153" s="24" t="inlineStr">
        <is>
          <t>2024-01-19</t>
        </is>
      </c>
      <c r="B153" s="30" t="n">
        <v>106500</v>
      </c>
      <c r="C153" s="30" t="n">
        <v>109500</v>
      </c>
      <c r="D153" s="30" t="n">
        <v>106200</v>
      </c>
      <c r="E153" s="30" t="n">
        <v>109400</v>
      </c>
      <c r="F153" s="30" t="n">
        <v>106486.1484375</v>
      </c>
      <c r="G153" s="30" t="n">
        <v>27348</v>
      </c>
      <c r="H153" s="35" t="n">
        <v>0.03110273327049962</v>
      </c>
      <c r="I153" s="35" t="n">
        <v>-0.4666016577279376</v>
      </c>
      <c r="J153" s="30" t="n">
        <v>111550</v>
      </c>
      <c r="K153" s="30" t="n">
        <v>100218.3333333333</v>
      </c>
      <c r="L153" s="30" t="n">
        <v>97366.66666666667</v>
      </c>
      <c r="M153" s="35" t="n">
        <v>0.297845664416896</v>
      </c>
      <c r="N153" s="35" t="n">
        <v>0.3915415559018465</v>
      </c>
      <c r="O153" s="35" t="n">
        <v>-0.04703832752613235</v>
      </c>
      <c r="P153" s="35" t="n">
        <v>0.2720930232558139</v>
      </c>
      <c r="Q153" s="35" t="n">
        <v>0.09400000000000008</v>
      </c>
      <c r="R153" s="35" t="n">
        <v>-0.0192738682205289</v>
      </c>
      <c r="S153" s="35" t="n">
        <v>0.09161663700919664</v>
      </c>
      <c r="T153" s="35" t="n">
        <v>0.1235878123930161</v>
      </c>
      <c r="U153" s="30" t="n">
        <v>117300</v>
      </c>
      <c r="V153" s="30" t="n">
        <v>81800</v>
      </c>
      <c r="W153" s="35" t="n">
        <v>-0.06734867860187554</v>
      </c>
      <c r="X153" s="35" t="n">
        <v>0.3374083129584351</v>
      </c>
      <c r="Y153" s="30" t="n">
        <v>11179416</v>
      </c>
      <c r="Z153" s="30" t="n">
        <v>1223028110400</v>
      </c>
      <c r="AA153" s="30" t="n">
        <v>2991871200</v>
      </c>
      <c r="AB153" s="30" t="n">
        <v>3052943260</v>
      </c>
      <c r="AC153" s="35" t="n">
        <v>0.002446281630453684</v>
      </c>
      <c r="AD153" s="24" t="inlineStr">
        <is>
          <t>yfinance_download</t>
        </is>
      </c>
      <c r="AE153" s="24" t="inlineStr">
        <is>
          <t>064760.KQ</t>
        </is>
      </c>
    </row>
    <row r="154" ht="24" customHeight="1">
      <c r="A154" s="29" t="inlineStr">
        <is>
          <t>2024-01-22</t>
        </is>
      </c>
      <c r="B154" s="31" t="n">
        <v>111700</v>
      </c>
      <c r="C154" s="31" t="n">
        <v>112300</v>
      </c>
      <c r="D154" s="31" t="n">
        <v>108300</v>
      </c>
      <c r="E154" s="31" t="n">
        <v>109000</v>
      </c>
      <c r="F154" s="31" t="n">
        <v>106096.8046875</v>
      </c>
      <c r="G154" s="31" t="n">
        <v>27026</v>
      </c>
      <c r="H154" s="36" t="n">
        <v>-0.003656307129798919</v>
      </c>
      <c r="I154" s="36" t="n">
        <v>-0.4685519258898099</v>
      </c>
      <c r="J154" s="31" t="n">
        <v>111370</v>
      </c>
      <c r="K154" s="31" t="n">
        <v>100578.3333333333</v>
      </c>
      <c r="L154" s="31" t="n">
        <v>97465</v>
      </c>
      <c r="M154" s="36" t="n">
        <v>0.2911718915964444</v>
      </c>
      <c r="N154" s="36" t="n">
        <v>0.3910704433697472</v>
      </c>
      <c r="O154" s="36" t="n">
        <v>-0.03197158081705154</v>
      </c>
      <c r="P154" s="36" t="n">
        <v>0.2471395881006866</v>
      </c>
      <c r="Q154" s="36" t="n">
        <v>0.1213991769547325</v>
      </c>
      <c r="R154" s="36" t="n">
        <v>-0.02128041662925384</v>
      </c>
      <c r="S154" s="36" t="n">
        <v>0.08373241420451727</v>
      </c>
      <c r="T154" s="36" t="n">
        <v>0.1183501769866107</v>
      </c>
      <c r="U154" s="31" t="n">
        <v>117300</v>
      </c>
      <c r="V154" s="31" t="n">
        <v>81800</v>
      </c>
      <c r="W154" s="36" t="n">
        <v>-0.0707587382779199</v>
      </c>
      <c r="X154" s="36" t="n">
        <v>0.3325183374083129</v>
      </c>
      <c r="Y154" s="31" t="n">
        <v>11179416</v>
      </c>
      <c r="Z154" s="31" t="n">
        <v>1218556344000</v>
      </c>
      <c r="AA154" s="31" t="n">
        <v>2945834000</v>
      </c>
      <c r="AB154" s="31" t="n">
        <v>2987128200</v>
      </c>
      <c r="AC154" s="36" t="n">
        <v>0.002417478694772607</v>
      </c>
      <c r="AD154" s="29" t="inlineStr">
        <is>
          <t>yfinance_download</t>
        </is>
      </c>
      <c r="AE154" s="29" t="inlineStr">
        <is>
          <t>064760.KQ</t>
        </is>
      </c>
    </row>
    <row r="155" ht="24" customHeight="1">
      <c r="A155" s="24" t="inlineStr">
        <is>
          <t>2024-01-23</t>
        </is>
      </c>
      <c r="B155" s="30" t="n">
        <v>109900</v>
      </c>
      <c r="C155" s="30" t="n">
        <v>109900</v>
      </c>
      <c r="D155" s="30" t="n">
        <v>103900</v>
      </c>
      <c r="E155" s="30" t="n">
        <v>107600</v>
      </c>
      <c r="F155" s="30" t="n">
        <v>104734.0859375</v>
      </c>
      <c r="G155" s="30" t="n">
        <v>27710</v>
      </c>
      <c r="H155" s="35" t="n">
        <v>-0.01284403669724765</v>
      </c>
      <c r="I155" s="35" t="n">
        <v>-0.4753778644563628</v>
      </c>
      <c r="J155" s="30" t="n">
        <v>111205</v>
      </c>
      <c r="K155" s="30" t="n">
        <v>100966.6666666667</v>
      </c>
      <c r="L155" s="30" t="n">
        <v>97565</v>
      </c>
      <c r="M155" s="35" t="n">
        <v>0.2898795614692421</v>
      </c>
      <c r="N155" s="35" t="n">
        <v>0.3840073007720201</v>
      </c>
      <c r="O155" s="35" t="n">
        <v>-0.02975653742110007</v>
      </c>
      <c r="P155" s="35" t="n">
        <v>0.276393831553974</v>
      </c>
      <c r="Q155" s="35" t="n">
        <v>0.1255230125523012</v>
      </c>
      <c r="R155" s="35" t="n">
        <v>-0.03241760712198194</v>
      </c>
      <c r="S155" s="35" t="n">
        <v>0.06569825024760645</v>
      </c>
      <c r="T155" s="35" t="n">
        <v>0.1028545072515759</v>
      </c>
      <c r="U155" s="30" t="n">
        <v>117300</v>
      </c>
      <c r="V155" s="30" t="n">
        <v>81800</v>
      </c>
      <c r="W155" s="35" t="n">
        <v>-0.08269394714407508</v>
      </c>
      <c r="X155" s="35" t="n">
        <v>0.315403422982885</v>
      </c>
      <c r="Y155" s="30" t="n">
        <v>11179416</v>
      </c>
      <c r="Z155" s="30" t="n">
        <v>1202905161600</v>
      </c>
      <c r="AA155" s="30" t="n">
        <v>2981596000</v>
      </c>
      <c r="AB155" s="30" t="n">
        <v>2902092555</v>
      </c>
      <c r="AC155" s="35" t="n">
        <v>0.002478662570567192</v>
      </c>
      <c r="AD155" s="24" t="inlineStr">
        <is>
          <t>yfinance_download</t>
        </is>
      </c>
      <c r="AE155" s="24" t="inlineStr">
        <is>
          <t>064760.KQ</t>
        </is>
      </c>
    </row>
    <row r="156" ht="24" customHeight="1">
      <c r="A156" s="29" t="inlineStr">
        <is>
          <t>2024-01-24</t>
        </is>
      </c>
      <c r="B156" s="31" t="n">
        <v>107900</v>
      </c>
      <c r="C156" s="31" t="n">
        <v>108800</v>
      </c>
      <c r="D156" s="31" t="n">
        <v>105200</v>
      </c>
      <c r="E156" s="31" t="n">
        <v>107200</v>
      </c>
      <c r="F156" s="31" t="n">
        <v>104344.75</v>
      </c>
      <c r="G156" s="31" t="n">
        <v>15859</v>
      </c>
      <c r="H156" s="36" t="n">
        <v>-0.00371747211895912</v>
      </c>
      <c r="I156" s="36" t="n">
        <v>-0.477328132618235</v>
      </c>
      <c r="J156" s="31" t="n">
        <v>110995</v>
      </c>
      <c r="K156" s="31" t="n">
        <v>101350</v>
      </c>
      <c r="L156" s="31" t="n">
        <v>97680</v>
      </c>
      <c r="M156" s="36" t="n">
        <v>0.2891429146085046</v>
      </c>
      <c r="N156" s="36" t="n">
        <v>0.3841983643938865</v>
      </c>
      <c r="O156" s="36" t="n">
        <v>-0.0377019748653501</v>
      </c>
      <c r="P156" s="36" t="n">
        <v>0.2731591448931117</v>
      </c>
      <c r="Q156" s="36" t="n">
        <v>0.1477516059957173</v>
      </c>
      <c r="R156" s="36" t="n">
        <v>-0.03419072931213119</v>
      </c>
      <c r="S156" s="36" t="n">
        <v>0.05772076961026151</v>
      </c>
      <c r="T156" s="36" t="n">
        <v>0.09746109746109743</v>
      </c>
      <c r="U156" s="31" t="n">
        <v>117300</v>
      </c>
      <c r="V156" s="31" t="n">
        <v>81800</v>
      </c>
      <c r="W156" s="36" t="n">
        <v>-0.08610400682011932</v>
      </c>
      <c r="X156" s="36" t="n">
        <v>0.3105134474327629</v>
      </c>
      <c r="Y156" s="31" t="n">
        <v>11179416</v>
      </c>
      <c r="Z156" s="31" t="n">
        <v>1198433395200</v>
      </c>
      <c r="AA156" s="31" t="n">
        <v>1700084800</v>
      </c>
      <c r="AB156" s="31" t="n">
        <v>2814571615</v>
      </c>
      <c r="AC156" s="36" t="n">
        <v>0.001418589307348434</v>
      </c>
      <c r="AD156" s="29" t="inlineStr">
        <is>
          <t>yfinance_download</t>
        </is>
      </c>
      <c r="AE156" s="29" t="inlineStr">
        <is>
          <t>064760.KQ</t>
        </is>
      </c>
    </row>
    <row r="157" ht="24" customHeight="1">
      <c r="A157" s="24" t="inlineStr">
        <is>
          <t>2024-01-25</t>
        </is>
      </c>
      <c r="B157" s="30" t="n">
        <v>109900</v>
      </c>
      <c r="C157" s="30" t="n">
        <v>109900</v>
      </c>
      <c r="D157" s="30" t="n">
        <v>106700</v>
      </c>
      <c r="E157" s="30" t="n">
        <v>107400</v>
      </c>
      <c r="F157" s="30" t="n">
        <v>104539.421875</v>
      </c>
      <c r="G157" s="30" t="n">
        <v>14289</v>
      </c>
      <c r="H157" s="35" t="n">
        <v>0.001865671641791078</v>
      </c>
      <c r="I157" s="35" t="n">
        <v>-0.4763529985372988</v>
      </c>
      <c r="J157" s="30" t="n">
        <v>110770</v>
      </c>
      <c r="K157" s="30" t="n">
        <v>101723.3333333333</v>
      </c>
      <c r="L157" s="30" t="n">
        <v>97758.33333333333</v>
      </c>
      <c r="M157" s="35" t="n">
        <v>0.2885398806003615</v>
      </c>
      <c r="N157" s="35" t="n">
        <v>0.3840767931306492</v>
      </c>
      <c r="O157" s="35" t="n">
        <v>-0.04021447721179627</v>
      </c>
      <c r="P157" s="35" t="n">
        <v>0.2635294117647058</v>
      </c>
      <c r="Q157" s="35" t="n">
        <v>0.09591836734693882</v>
      </c>
      <c r="R157" s="35" t="n">
        <v>-0.03042339983750109</v>
      </c>
      <c r="S157" s="35" t="n">
        <v>0.05580496116918443</v>
      </c>
      <c r="T157" s="35" t="n">
        <v>0.09862756798226924</v>
      </c>
      <c r="U157" s="30" t="n">
        <v>117300</v>
      </c>
      <c r="V157" s="30" t="n">
        <v>81800</v>
      </c>
      <c r="W157" s="35" t="n">
        <v>-0.0843989769820972</v>
      </c>
      <c r="X157" s="35" t="n">
        <v>0.3129584352078241</v>
      </c>
      <c r="Y157" s="30" t="n">
        <v>11179416</v>
      </c>
      <c r="Z157" s="30" t="n">
        <v>1200669278400</v>
      </c>
      <c r="AA157" s="30" t="n">
        <v>1534638600</v>
      </c>
      <c r="AB157" s="30" t="n">
        <v>2772219565</v>
      </c>
      <c r="AC157" s="35" t="n">
        <v>0.001278152633375482</v>
      </c>
      <c r="AD157" s="24" t="inlineStr">
        <is>
          <t>yfinance_download</t>
        </is>
      </c>
      <c r="AE157" s="24" t="inlineStr">
        <is>
          <t>064760.KQ</t>
        </is>
      </c>
    </row>
    <row r="158" ht="24" customHeight="1">
      <c r="A158" s="29" t="inlineStr">
        <is>
          <t>2024-01-26</t>
        </is>
      </c>
      <c r="B158" s="31" t="n">
        <v>105000</v>
      </c>
      <c r="C158" s="31" t="n">
        <v>109400</v>
      </c>
      <c r="D158" s="31" t="n">
        <v>105000</v>
      </c>
      <c r="E158" s="31" t="n">
        <v>109000</v>
      </c>
      <c r="F158" s="31" t="n">
        <v>106096.8046875</v>
      </c>
      <c r="G158" s="31" t="n">
        <v>29881</v>
      </c>
      <c r="H158" s="36" t="n">
        <v>0.01489757914338918</v>
      </c>
      <c r="I158" s="36" t="n">
        <v>-0.4685519258898099</v>
      </c>
      <c r="J158" s="31" t="n">
        <v>110695</v>
      </c>
      <c r="K158" s="31" t="n">
        <v>102110</v>
      </c>
      <c r="L158" s="31" t="n">
        <v>97851.66666666667</v>
      </c>
      <c r="M158" s="36" t="n">
        <v>0.2915528508494973</v>
      </c>
      <c r="N158" s="36" t="n">
        <v>0.3845597240456163</v>
      </c>
      <c r="O158" s="36" t="n">
        <v>-0.01357466063348411</v>
      </c>
      <c r="P158" s="36" t="n">
        <v>0.2703962703962703</v>
      </c>
      <c r="Q158" s="36" t="n">
        <v>0.1145194274028629</v>
      </c>
      <c r="R158" s="36" t="n">
        <v>-0.01531234473101761</v>
      </c>
      <c r="S158" s="36" t="n">
        <v>0.06747625110175304</v>
      </c>
      <c r="T158" s="36" t="n">
        <v>0.1139309499071723</v>
      </c>
      <c r="U158" s="31" t="n">
        <v>117300</v>
      </c>
      <c r="V158" s="31" t="n">
        <v>81800</v>
      </c>
      <c r="W158" s="36" t="n">
        <v>-0.0707587382779199</v>
      </c>
      <c r="X158" s="36" t="n">
        <v>0.3325183374083129</v>
      </c>
      <c r="Y158" s="31" t="n">
        <v>11179416</v>
      </c>
      <c r="Z158" s="31" t="n">
        <v>1218556344000</v>
      </c>
      <c r="AA158" s="31" t="n">
        <v>3257029000</v>
      </c>
      <c r="AB158" s="31" t="n">
        <v>2804421340</v>
      </c>
      <c r="AC158" s="36" t="n">
        <v>0.002672858761137433</v>
      </c>
      <c r="AD158" s="29" t="inlineStr">
        <is>
          <t>yfinance_download</t>
        </is>
      </c>
      <c r="AE158" s="29" t="inlineStr">
        <is>
          <t>064760.KQ</t>
        </is>
      </c>
    </row>
    <row r="159" ht="24" customHeight="1">
      <c r="A159" s="24" t="inlineStr">
        <is>
          <t>2024-01-29</t>
        </is>
      </c>
      <c r="B159" s="30" t="n">
        <v>109800</v>
      </c>
      <c r="C159" s="30" t="n">
        <v>110300</v>
      </c>
      <c r="D159" s="30" t="n">
        <v>108000</v>
      </c>
      <c r="E159" s="30" t="n">
        <v>109200</v>
      </c>
      <c r="F159" s="30" t="n">
        <v>106291.46875</v>
      </c>
      <c r="G159" s="30" t="n">
        <v>23048</v>
      </c>
      <c r="H159" s="35" t="n">
        <v>0.001834862385321046</v>
      </c>
      <c r="I159" s="35" t="n">
        <v>-0.4675767918088737</v>
      </c>
      <c r="J159" s="30" t="n">
        <v>110585</v>
      </c>
      <c r="K159" s="30" t="n">
        <v>102548.3333333333</v>
      </c>
      <c r="L159" s="30" t="n">
        <v>97935.83333333333</v>
      </c>
      <c r="M159" s="35" t="n">
        <v>0.2899198232277691</v>
      </c>
      <c r="N159" s="35" t="n">
        <v>0.3763351012819092</v>
      </c>
      <c r="O159" s="35" t="n">
        <v>-0.01974865350089772</v>
      </c>
      <c r="P159" s="35" t="n">
        <v>0.3172496984318456</v>
      </c>
      <c r="Q159" s="35" t="n">
        <v>0.101917255297679</v>
      </c>
      <c r="R159" s="35" t="n">
        <v>-0.01252430257268167</v>
      </c>
      <c r="S159" s="35" t="n">
        <v>0.06486372279738006</v>
      </c>
      <c r="T159" s="35" t="n">
        <v>0.1150157841443804</v>
      </c>
      <c r="U159" s="30" t="n">
        <v>117300</v>
      </c>
      <c r="V159" s="30" t="n">
        <v>81800</v>
      </c>
      <c r="W159" s="35" t="n">
        <v>-0.06905370843989767</v>
      </c>
      <c r="X159" s="35" t="n">
        <v>0.3349633251833741</v>
      </c>
      <c r="Y159" s="30" t="n">
        <v>11179416</v>
      </c>
      <c r="Z159" s="30" t="n">
        <v>1220792227200</v>
      </c>
      <c r="AA159" s="30" t="n">
        <v>2516841600</v>
      </c>
      <c r="AB159" s="30" t="n">
        <v>2775077650</v>
      </c>
      <c r="AC159" s="35" t="n">
        <v>0.002061646153967255</v>
      </c>
      <c r="AD159" s="24" t="inlineStr">
        <is>
          <t>yfinance_download</t>
        </is>
      </c>
      <c r="AE159" s="24" t="inlineStr">
        <is>
          <t>064760.KQ</t>
        </is>
      </c>
    </row>
    <row r="160" ht="24" customHeight="1">
      <c r="A160" s="29" t="inlineStr">
        <is>
          <t>2024-01-30</t>
        </is>
      </c>
      <c r="B160" s="31" t="n">
        <v>110300</v>
      </c>
      <c r="C160" s="31" t="n">
        <v>110300</v>
      </c>
      <c r="D160" s="31" t="n">
        <v>107300</v>
      </c>
      <c r="E160" s="31" t="n">
        <v>108300</v>
      </c>
      <c r="F160" s="31" t="n">
        <v>105415.4453125</v>
      </c>
      <c r="G160" s="31" t="n">
        <v>31928</v>
      </c>
      <c r="H160" s="36" t="n">
        <v>-0.008241758241758212</v>
      </c>
      <c r="I160" s="36" t="n">
        <v>-0.4719648951730863</v>
      </c>
      <c r="J160" s="31" t="n">
        <v>110435</v>
      </c>
      <c r="K160" s="31" t="n">
        <v>102973.3333333333</v>
      </c>
      <c r="L160" s="31" t="n">
        <v>98005</v>
      </c>
      <c r="M160" s="36" t="n">
        <v>0.2911084462136113</v>
      </c>
      <c r="N160" s="36" t="n">
        <v>0.3770959740959195</v>
      </c>
      <c r="O160" s="36" t="n">
        <v>-0.02695417789757415</v>
      </c>
      <c r="P160" s="36" t="n">
        <v>0.3079710144927537</v>
      </c>
      <c r="Q160" s="36" t="n">
        <v>0.08299999999999996</v>
      </c>
      <c r="R160" s="36" t="n">
        <v>-0.01933263910897809</v>
      </c>
      <c r="S160" s="36" t="n">
        <v>0.05172860287453074</v>
      </c>
      <c r="T160" s="36" t="n">
        <v>0.1050456609356665</v>
      </c>
      <c r="U160" s="31" t="n">
        <v>117300</v>
      </c>
      <c r="V160" s="31" t="n">
        <v>81800</v>
      </c>
      <c r="W160" s="36" t="n">
        <v>-0.07672634271099743</v>
      </c>
      <c r="X160" s="36" t="n">
        <v>0.3239608801955991</v>
      </c>
      <c r="Y160" s="31" t="n">
        <v>11179416</v>
      </c>
      <c r="Z160" s="31" t="n">
        <v>1210730752800</v>
      </c>
      <c r="AA160" s="31" t="n">
        <v>3457802400</v>
      </c>
      <c r="AB160" s="31" t="n">
        <v>2849255800</v>
      </c>
      <c r="AC160" s="36" t="n">
        <v>0.002855963137967135</v>
      </c>
      <c r="AD160" s="29" t="inlineStr">
        <is>
          <t>yfinance_download</t>
        </is>
      </c>
      <c r="AE160" s="29" t="inlineStr">
        <is>
          <t>064760.KQ</t>
        </is>
      </c>
    </row>
    <row r="161" ht="24" customHeight="1">
      <c r="A161" s="24" t="inlineStr">
        <is>
          <t>2024-01-31</t>
        </is>
      </c>
      <c r="B161" s="30" t="n">
        <v>109900</v>
      </c>
      <c r="C161" s="30" t="n">
        <v>109900</v>
      </c>
      <c r="D161" s="30" t="n">
        <v>104900</v>
      </c>
      <c r="E161" s="30" t="n">
        <v>105700</v>
      </c>
      <c r="F161" s="30" t="n">
        <v>102884.6953125</v>
      </c>
      <c r="G161" s="30" t="n">
        <v>23619</v>
      </c>
      <c r="H161" s="35" t="n">
        <v>-0.02400738688827331</v>
      </c>
      <c r="I161" s="35" t="n">
        <v>-0.484641638225256</v>
      </c>
      <c r="J161" s="30" t="n">
        <v>109855</v>
      </c>
      <c r="K161" s="30" t="n">
        <v>103318.3333333333</v>
      </c>
      <c r="L161" s="30" t="n">
        <v>98072.5</v>
      </c>
      <c r="M161" s="35" t="n">
        <v>0.2175340597124095</v>
      </c>
      <c r="N161" s="35" t="n">
        <v>0.378840961184937</v>
      </c>
      <c r="O161" s="35" t="n">
        <v>-0.09889173060528555</v>
      </c>
      <c r="P161" s="35" t="n">
        <v>0.2435294117647058</v>
      </c>
      <c r="Q161" s="35" t="n">
        <v>0.08299180327868849</v>
      </c>
      <c r="R161" s="35" t="n">
        <v>-0.03782258431568886</v>
      </c>
      <c r="S161" s="35" t="n">
        <v>0.02305173331612664</v>
      </c>
      <c r="T161" s="35" t="n">
        <v>0.07777409569451166</v>
      </c>
      <c r="U161" s="30" t="n">
        <v>117300</v>
      </c>
      <c r="V161" s="30" t="n">
        <v>81800</v>
      </c>
      <c r="W161" s="35" t="n">
        <v>-0.09889173060528555</v>
      </c>
      <c r="X161" s="35" t="n">
        <v>0.2921760391198045</v>
      </c>
      <c r="Y161" s="30" t="n">
        <v>11179416</v>
      </c>
      <c r="Z161" s="30" t="n">
        <v>1181664271200</v>
      </c>
      <c r="AA161" s="30" t="n">
        <v>2496528300</v>
      </c>
      <c r="AB161" s="30" t="n">
        <v>2650257970</v>
      </c>
      <c r="AC161" s="35" t="n">
        <v>0.002112722167240221</v>
      </c>
      <c r="AD161" s="24" t="inlineStr">
        <is>
          <t>yfinance_download</t>
        </is>
      </c>
      <c r="AE161" s="24" t="inlineStr">
        <is>
          <t>064760.KQ</t>
        </is>
      </c>
    </row>
    <row r="162" ht="24" customHeight="1">
      <c r="A162" s="29" t="inlineStr">
        <is>
          <t>2024-02-01</t>
        </is>
      </c>
      <c r="B162" s="31" t="n">
        <v>106700</v>
      </c>
      <c r="C162" s="31" t="n">
        <v>108900</v>
      </c>
      <c r="D162" s="31" t="n">
        <v>99000</v>
      </c>
      <c r="E162" s="31" t="n">
        <v>100400</v>
      </c>
      <c r="F162" s="31" t="n">
        <v>97725.8671875</v>
      </c>
      <c r="G162" s="31" t="n">
        <v>65711</v>
      </c>
      <c r="H162" s="36" t="n">
        <v>-0.05014191106906341</v>
      </c>
      <c r="I162" s="36" t="n">
        <v>-0.5104826913700633</v>
      </c>
      <c r="J162" s="31" t="n">
        <v>109095</v>
      </c>
      <c r="K162" s="31" t="n">
        <v>103580</v>
      </c>
      <c r="L162" s="31" t="n">
        <v>98092.5</v>
      </c>
      <c r="M162" s="36" t="n">
        <v>0.2687234714634243</v>
      </c>
      <c r="N162" s="36" t="n">
        <v>0.3944734892675696</v>
      </c>
      <c r="O162" s="36" t="n">
        <v>-0.1314878892733564</v>
      </c>
      <c r="P162" s="36" t="n">
        <v>0.1853600944510034</v>
      </c>
      <c r="Q162" s="36" t="n">
        <v>0.02448979591836742</v>
      </c>
      <c r="R162" s="36" t="n">
        <v>-0.07970117787249642</v>
      </c>
      <c r="S162" s="36" t="n">
        <v>-0.03070090751110255</v>
      </c>
      <c r="T162" s="36" t="n">
        <v>0.02352371486097304</v>
      </c>
      <c r="U162" s="31" t="n">
        <v>117300</v>
      </c>
      <c r="V162" s="31" t="n">
        <v>81800</v>
      </c>
      <c r="W162" s="36" t="n">
        <v>-0.144075021312873</v>
      </c>
      <c r="X162" s="36" t="n">
        <v>0.2273838630806846</v>
      </c>
      <c r="Y162" s="31" t="n">
        <v>11179416</v>
      </c>
      <c r="Z162" s="31" t="n">
        <v>1122413366400</v>
      </c>
      <c r="AA162" s="31" t="n">
        <v>6597384400</v>
      </c>
      <c r="AB162" s="31" t="n">
        <v>2751805630</v>
      </c>
      <c r="AC162" s="36" t="n">
        <v>0.0058778562314883</v>
      </c>
      <c r="AD162" s="29" t="inlineStr">
        <is>
          <t>yfinance_download</t>
        </is>
      </c>
      <c r="AE162" s="29" t="inlineStr">
        <is>
          <t>064760.KQ</t>
        </is>
      </c>
    </row>
    <row r="163" ht="24" customHeight="1">
      <c r="A163" s="24" t="inlineStr">
        <is>
          <t>2024-02-02</t>
        </is>
      </c>
      <c r="B163" s="30" t="n">
        <v>101500</v>
      </c>
      <c r="C163" s="30" t="n">
        <v>101900</v>
      </c>
      <c r="D163" s="30" t="n">
        <v>99400</v>
      </c>
      <c r="E163" s="30" t="n">
        <v>100100</v>
      </c>
      <c r="F163" s="30" t="n">
        <v>97433.859375</v>
      </c>
      <c r="G163" s="30" t="n">
        <v>44086</v>
      </c>
      <c r="H163" s="35" t="n">
        <v>-0.002988047808764938</v>
      </c>
      <c r="I163" s="35" t="n">
        <v>-0.5119453924914676</v>
      </c>
      <c r="J163" s="30" t="n">
        <v>108405</v>
      </c>
      <c r="K163" s="30" t="n">
        <v>103831.6666666667</v>
      </c>
      <c r="L163" s="30" t="n">
        <v>98111.66666666667</v>
      </c>
      <c r="M163" s="35" t="n">
        <v>0.267417028362154</v>
      </c>
      <c r="N163" s="35" t="n">
        <v>0.3946717444253864</v>
      </c>
      <c r="O163" s="35" t="n">
        <v>-0.1211589113257243</v>
      </c>
      <c r="P163" s="35" t="n">
        <v>0.1776470588235295</v>
      </c>
      <c r="Q163" s="35" t="n">
        <v>0.02351738241308787</v>
      </c>
      <c r="R163" s="35" t="n">
        <v>-0.07661085743277529</v>
      </c>
      <c r="S163" s="35" t="n">
        <v>-0.03593958169473033</v>
      </c>
      <c r="T163" s="35" t="n">
        <v>0.02026602340870087</v>
      </c>
      <c r="U163" s="30" t="n">
        <v>117300</v>
      </c>
      <c r="V163" s="30" t="n">
        <v>81800</v>
      </c>
      <c r="W163" s="35" t="n">
        <v>-0.1466325660699063</v>
      </c>
      <c r="X163" s="35" t="n">
        <v>0.2237163814180929</v>
      </c>
      <c r="Y163" s="30" t="n">
        <v>11179416</v>
      </c>
      <c r="Z163" s="30" t="n">
        <v>1119059541600</v>
      </c>
      <c r="AA163" s="30" t="n">
        <v>4413008600</v>
      </c>
      <c r="AB163" s="30" t="n">
        <v>2849888270</v>
      </c>
      <c r="AC163" s="35" t="n">
        <v>0.003943497585204809</v>
      </c>
      <c r="AD163" s="24" t="inlineStr">
        <is>
          <t>yfinance_download</t>
        </is>
      </c>
      <c r="AE163" s="24" t="inlineStr">
        <is>
          <t>064760.KQ</t>
        </is>
      </c>
    </row>
    <row r="164" ht="24" customHeight="1">
      <c r="A164" s="29" t="inlineStr">
        <is>
          <t>2024-02-05</t>
        </is>
      </c>
      <c r="B164" s="31" t="n">
        <v>99700</v>
      </c>
      <c r="C164" s="31" t="n">
        <v>101100</v>
      </c>
      <c r="D164" s="31" t="n">
        <v>95500</v>
      </c>
      <c r="E164" s="31" t="n">
        <v>98600</v>
      </c>
      <c r="F164" s="31" t="n">
        <v>95973.8046875</v>
      </c>
      <c r="G164" s="31" t="n">
        <v>48393</v>
      </c>
      <c r="H164" s="36" t="n">
        <v>-0.01498501498501503</v>
      </c>
      <c r="I164" s="36" t="n">
        <v>-0.5192588980984885</v>
      </c>
      <c r="J164" s="31" t="n">
        <v>107640</v>
      </c>
      <c r="K164" s="31" t="n">
        <v>104066.6666666667</v>
      </c>
      <c r="L164" s="31" t="n">
        <v>98128.33333333333</v>
      </c>
      <c r="M164" s="36" t="n">
        <v>0.2680237681040131</v>
      </c>
      <c r="N164" s="36" t="n">
        <v>0.3959881154611494</v>
      </c>
      <c r="O164" s="36" t="n">
        <v>-0.1343283582089553</v>
      </c>
      <c r="P164" s="36" t="n">
        <v>0.1668639053254437</v>
      </c>
      <c r="Q164" s="36" t="n">
        <v>0.02070393374741197</v>
      </c>
      <c r="R164" s="36" t="n">
        <v>-0.08398364920104051</v>
      </c>
      <c r="S164" s="36" t="n">
        <v>-0.05253042921204365</v>
      </c>
      <c r="T164" s="36" t="n">
        <v>0.004806630772627773</v>
      </c>
      <c r="U164" s="31" t="n">
        <v>117300</v>
      </c>
      <c r="V164" s="31" t="n">
        <v>81800</v>
      </c>
      <c r="W164" s="36" t="n">
        <v>-0.1594202898550725</v>
      </c>
      <c r="X164" s="36" t="n">
        <v>0.2053789731051345</v>
      </c>
      <c r="Y164" s="31" t="n">
        <v>11179416</v>
      </c>
      <c r="Z164" s="31" t="n">
        <v>1102290417600</v>
      </c>
      <c r="AA164" s="31" t="n">
        <v>4771549800</v>
      </c>
      <c r="AB164" s="31" t="n">
        <v>2990978750</v>
      </c>
      <c r="AC164" s="36" t="n">
        <v>0.004328759212466913</v>
      </c>
      <c r="AD164" s="29" t="inlineStr">
        <is>
          <t>yfinance_download</t>
        </is>
      </c>
      <c r="AE164" s="29" t="inlineStr">
        <is>
          <t>064760.KQ</t>
        </is>
      </c>
    </row>
    <row r="165" ht="24" customHeight="1">
      <c r="A165" s="24" t="inlineStr">
        <is>
          <t>2024-02-06</t>
        </is>
      </c>
      <c r="B165" s="30" t="n">
        <v>97600</v>
      </c>
      <c r="C165" s="30" t="n">
        <v>100800</v>
      </c>
      <c r="D165" s="30" t="n">
        <v>96300</v>
      </c>
      <c r="E165" s="30" t="n">
        <v>99700</v>
      </c>
      <c r="F165" s="30" t="n">
        <v>97044.5078125</v>
      </c>
      <c r="G165" s="30" t="n">
        <v>29750</v>
      </c>
      <c r="H165" s="35" t="n">
        <v>0.011156186612576</v>
      </c>
      <c r="I165" s="35" t="n">
        <v>-0.5138956606533398</v>
      </c>
      <c r="J165" s="30" t="n">
        <v>106855</v>
      </c>
      <c r="K165" s="30" t="n">
        <v>104331.6666666667</v>
      </c>
      <c r="L165" s="30" t="n">
        <v>98153.33333333333</v>
      </c>
      <c r="M165" s="35" t="n">
        <v>0.2660977500406427</v>
      </c>
      <c r="N165" s="35" t="n">
        <v>0.3956521700635023</v>
      </c>
      <c r="O165" s="35" t="n">
        <v>-0.1360485268630849</v>
      </c>
      <c r="P165" s="35" t="n">
        <v>0.1897374701670644</v>
      </c>
      <c r="Q165" s="35" t="n">
        <v>0.03102378490175806</v>
      </c>
      <c r="R165" s="35" t="n">
        <v>-0.06695989892845444</v>
      </c>
      <c r="S165" s="35" t="n">
        <v>-0.04439368041023029</v>
      </c>
      <c r="T165" s="35" t="n">
        <v>0.01575765808598795</v>
      </c>
      <c r="U165" s="30" t="n">
        <v>117300</v>
      </c>
      <c r="V165" s="30" t="n">
        <v>81800</v>
      </c>
      <c r="W165" s="35" t="n">
        <v>-0.1500426257459505</v>
      </c>
      <c r="X165" s="35" t="n">
        <v>0.2188264058679708</v>
      </c>
      <c r="Y165" s="30" t="n">
        <v>11179416</v>
      </c>
      <c r="Z165" s="30" t="n">
        <v>1114587775200</v>
      </c>
      <c r="AA165" s="30" t="n">
        <v>2966075000</v>
      </c>
      <c r="AB165" s="30" t="n">
        <v>3033726120</v>
      </c>
      <c r="AC165" s="35" t="n">
        <v>0.002661140796621219</v>
      </c>
      <c r="AD165" s="24" t="inlineStr">
        <is>
          <t>yfinance_download</t>
        </is>
      </c>
      <c r="AE165" s="24" t="inlineStr">
        <is>
          <t>064760.KQ</t>
        </is>
      </c>
    </row>
    <row r="166" ht="24" customHeight="1">
      <c r="A166" s="29" t="inlineStr">
        <is>
          <t>2024-02-07</t>
        </is>
      </c>
      <c r="B166" s="31" t="n">
        <v>100700</v>
      </c>
      <c r="C166" s="31" t="n">
        <v>101400</v>
      </c>
      <c r="D166" s="31" t="n">
        <v>98000</v>
      </c>
      <c r="E166" s="31" t="n">
        <v>99000</v>
      </c>
      <c r="F166" s="31" t="n">
        <v>96363.1484375</v>
      </c>
      <c r="G166" s="31" t="n">
        <v>23006</v>
      </c>
      <c r="H166" s="36" t="n">
        <v>-0.007021063189568744</v>
      </c>
      <c r="I166" s="36" t="n">
        <v>-0.5173086299366163</v>
      </c>
      <c r="J166" s="31" t="n">
        <v>106120</v>
      </c>
      <c r="K166" s="31" t="n">
        <v>104605</v>
      </c>
      <c r="L166" s="31" t="n">
        <v>98169.16666666667</v>
      </c>
      <c r="M166" s="36" t="n">
        <v>0.2645875707133103</v>
      </c>
      <c r="N166" s="36" t="n">
        <v>0.3945530044307393</v>
      </c>
      <c r="O166" s="36" t="n">
        <v>-0.1292875989445911</v>
      </c>
      <c r="P166" s="36" t="n">
        <v>0.1985472154963681</v>
      </c>
      <c r="Q166" s="36" t="n">
        <v>0.01956745623069001</v>
      </c>
      <c r="R166" s="36" t="n">
        <v>-0.06709385601206186</v>
      </c>
      <c r="S166" s="36" t="n">
        <v>-0.0535825247359113</v>
      </c>
      <c r="T166" s="36" t="n">
        <v>0.008463281919815158</v>
      </c>
      <c r="U166" s="31" t="n">
        <v>117300</v>
      </c>
      <c r="V166" s="31" t="n">
        <v>81800</v>
      </c>
      <c r="W166" s="36" t="n">
        <v>-0.1560102301790282</v>
      </c>
      <c r="X166" s="36" t="n">
        <v>0.2102689486552567</v>
      </c>
      <c r="Y166" s="31" t="n">
        <v>11179416</v>
      </c>
      <c r="Z166" s="31" t="n">
        <v>1106762184000</v>
      </c>
      <c r="AA166" s="31" t="n">
        <v>2277594000</v>
      </c>
      <c r="AB166" s="31" t="n">
        <v>2987857320</v>
      </c>
      <c r="AC166" s="36" t="n">
        <v>0.002057889249313202</v>
      </c>
      <c r="AD166" s="29" t="inlineStr">
        <is>
          <t>yfinance_download</t>
        </is>
      </c>
      <c r="AE166" s="29" t="inlineStr">
        <is>
          <t>064760.KQ</t>
        </is>
      </c>
    </row>
    <row r="167" ht="24" customHeight="1">
      <c r="A167" s="24" t="inlineStr">
        <is>
          <t>2024-02-08</t>
        </is>
      </c>
      <c r="B167" s="30" t="n">
        <v>99300</v>
      </c>
      <c r="C167" s="30" t="n">
        <v>100400</v>
      </c>
      <c r="D167" s="30" t="n">
        <v>98200</v>
      </c>
      <c r="E167" s="30" t="n">
        <v>98300</v>
      </c>
      <c r="F167" s="30" t="n">
        <v>95681.796875</v>
      </c>
      <c r="G167" s="30" t="n">
        <v>17690</v>
      </c>
      <c r="H167" s="35" t="n">
        <v>-0.007070707070707116</v>
      </c>
      <c r="I167" s="35" t="n">
        <v>-0.5207215992198928</v>
      </c>
      <c r="J167" s="30" t="n">
        <v>105470</v>
      </c>
      <c r="K167" s="30" t="n">
        <v>104870</v>
      </c>
      <c r="L167" s="30" t="n">
        <v>98165.83333333333</v>
      </c>
      <c r="M167" s="35" t="n">
        <v>0.2591303791968327</v>
      </c>
      <c r="N167" s="35" t="n">
        <v>0.394956882060803</v>
      </c>
      <c r="O167" s="35" t="n">
        <v>-0.1168014375561546</v>
      </c>
      <c r="P167" s="35" t="n">
        <v>0.1929611650485437</v>
      </c>
      <c r="Q167" s="35" t="n">
        <v>-0.004052684903748771</v>
      </c>
      <c r="R167" s="35" t="n">
        <v>-0.06798141651654499</v>
      </c>
      <c r="S167" s="35" t="n">
        <v>-0.06264899399256219</v>
      </c>
      <c r="T167" s="35" t="n">
        <v>0.001366734861925956</v>
      </c>
      <c r="U167" s="30" t="n">
        <v>117300</v>
      </c>
      <c r="V167" s="30" t="n">
        <v>81800</v>
      </c>
      <c r="W167" s="35" t="n">
        <v>-0.1619778346121057</v>
      </c>
      <c r="X167" s="35" t="n">
        <v>0.2017114914425429</v>
      </c>
      <c r="Y167" s="30" t="n">
        <v>11179416</v>
      </c>
      <c r="Z167" s="30" t="n">
        <v>1098936592800</v>
      </c>
      <c r="AA167" s="30" t="n">
        <v>1738927000</v>
      </c>
      <c r="AB167" s="30" t="n">
        <v>2784377450</v>
      </c>
      <c r="AC167" s="35" t="n">
        <v>0.001582372460243004</v>
      </c>
      <c r="AD167" s="24" t="inlineStr">
        <is>
          <t>yfinance_download</t>
        </is>
      </c>
      <c r="AE167" s="24" t="inlineStr">
        <is>
          <t>064760.KQ</t>
        </is>
      </c>
    </row>
    <row r="168" ht="24" customHeight="1">
      <c r="A168" s="29" t="inlineStr">
        <is>
          <t>2024-02-13</t>
        </is>
      </c>
      <c r="B168" s="31" t="n">
        <v>98400</v>
      </c>
      <c r="C168" s="31" t="n">
        <v>99700</v>
      </c>
      <c r="D168" s="31" t="n">
        <v>97200</v>
      </c>
      <c r="E168" s="31" t="n">
        <v>97200</v>
      </c>
      <c r="F168" s="31" t="n">
        <v>94611.09375</v>
      </c>
      <c r="G168" s="31" t="n">
        <v>41515</v>
      </c>
      <c r="H168" s="36" t="n">
        <v>-0.01119023397761953</v>
      </c>
      <c r="I168" s="36" t="n">
        <v>-0.5260848366650415</v>
      </c>
      <c r="J168" s="31" t="n">
        <v>104815</v>
      </c>
      <c r="K168" s="31" t="n">
        <v>105126.6666666667</v>
      </c>
      <c r="L168" s="31" t="n">
        <v>98172.5</v>
      </c>
      <c r="M168" s="36" t="n">
        <v>0.2595780602903475</v>
      </c>
      <c r="N168" s="36" t="n">
        <v>0.395482663891672</v>
      </c>
      <c r="O168" s="36" t="n">
        <v>-0.1187669990933817</v>
      </c>
      <c r="P168" s="36" t="n">
        <v>0.1882640586797066</v>
      </c>
      <c r="Q168" s="36" t="n">
        <v>0.008298755186721962</v>
      </c>
      <c r="R168" s="36" t="n">
        <v>-0.07265181510280017</v>
      </c>
      <c r="S168" s="36" t="n">
        <v>-0.07540110343078199</v>
      </c>
      <c r="T168" s="36" t="n">
        <v>-0.009906032748478455</v>
      </c>
      <c r="U168" s="31" t="n">
        <v>117300</v>
      </c>
      <c r="V168" s="31" t="n">
        <v>81800</v>
      </c>
      <c r="W168" s="36" t="n">
        <v>-0.1713554987212276</v>
      </c>
      <c r="X168" s="36" t="n">
        <v>0.1882640586797066</v>
      </c>
      <c r="Y168" s="31" t="n">
        <v>11179416</v>
      </c>
      <c r="Z168" s="31" t="n">
        <v>1086639235200</v>
      </c>
      <c r="AA168" s="31" t="n">
        <v>4035258000</v>
      </c>
      <c r="AB168" s="31" t="n">
        <v>2915189875</v>
      </c>
      <c r="AC168" s="36" t="n">
        <v>0.003713521350310249</v>
      </c>
      <c r="AD168" s="29" t="inlineStr">
        <is>
          <t>yfinance_download</t>
        </is>
      </c>
      <c r="AE168" s="29" t="inlineStr">
        <is>
          <t>064760.KQ</t>
        </is>
      </c>
    </row>
    <row r="169" ht="24" customHeight="1">
      <c r="A169" s="24" t="inlineStr">
        <is>
          <t>2024-02-14</t>
        </is>
      </c>
      <c r="B169" s="30" t="n">
        <v>96900</v>
      </c>
      <c r="C169" s="30" t="n">
        <v>97000</v>
      </c>
      <c r="D169" s="30" t="n">
        <v>94200</v>
      </c>
      <c r="E169" s="30" t="n">
        <v>95700</v>
      </c>
      <c r="F169" s="30" t="n">
        <v>93151.046875</v>
      </c>
      <c r="G169" s="30" t="n">
        <v>60810</v>
      </c>
      <c r="H169" s="35" t="n">
        <v>-0.01543209876543206</v>
      </c>
      <c r="I169" s="35" t="n">
        <v>-0.5333983422720624</v>
      </c>
      <c r="J169" s="30" t="n">
        <v>104170</v>
      </c>
      <c r="K169" s="30" t="n">
        <v>105341.6666666667</v>
      </c>
      <c r="L169" s="30" t="n">
        <v>98167.5</v>
      </c>
      <c r="M169" s="35" t="n">
        <v>0.2595873161494408</v>
      </c>
      <c r="N169" s="35" t="n">
        <v>0.3968398900886659</v>
      </c>
      <c r="O169" s="35" t="n">
        <v>-0.1187845303867403</v>
      </c>
      <c r="P169" s="35" t="n">
        <v>0.1557971014492754</v>
      </c>
      <c r="Q169" s="35" t="n">
        <v>-0.006230529595015577</v>
      </c>
      <c r="R169" s="35" t="n">
        <v>-0.08130939809926085</v>
      </c>
      <c r="S169" s="35" t="n">
        <v>-0.09152756902143822</v>
      </c>
      <c r="T169" s="35" t="n">
        <v>-0.02513561005424403</v>
      </c>
      <c r="U169" s="30" t="n">
        <v>117300</v>
      </c>
      <c r="V169" s="30" t="n">
        <v>81800</v>
      </c>
      <c r="W169" s="35" t="n">
        <v>-0.1841432225063938</v>
      </c>
      <c r="X169" s="35" t="n">
        <v>0.1699266503667483</v>
      </c>
      <c r="Y169" s="30" t="n">
        <v>11179416</v>
      </c>
      <c r="Z169" s="30" t="n">
        <v>1069870111200</v>
      </c>
      <c r="AA169" s="30" t="n">
        <v>5819517000</v>
      </c>
      <c r="AB169" s="30" t="n">
        <v>3089789965</v>
      </c>
      <c r="AC169" s="35" t="n">
        <v>0.005439461238404582</v>
      </c>
      <c r="AD169" s="24" t="inlineStr">
        <is>
          <t>yfinance_download</t>
        </is>
      </c>
      <c r="AE169" s="24" t="inlineStr">
        <is>
          <t>064760.KQ</t>
        </is>
      </c>
    </row>
    <row r="170" ht="24" customHeight="1">
      <c r="A170" s="29" t="inlineStr">
        <is>
          <t>2024-02-15</t>
        </is>
      </c>
      <c r="B170" s="31" t="n">
        <v>96600</v>
      </c>
      <c r="C170" s="31" t="n">
        <v>97600</v>
      </c>
      <c r="D170" s="31" t="n">
        <v>95200</v>
      </c>
      <c r="E170" s="31" t="n">
        <v>96000</v>
      </c>
      <c r="F170" s="31" t="n">
        <v>93443.0546875</v>
      </c>
      <c r="G170" s="31" t="n">
        <v>19591</v>
      </c>
      <c r="H170" s="36" t="n">
        <v>0.003134796238244419</v>
      </c>
      <c r="I170" s="36" t="n">
        <v>-0.5319356411506582</v>
      </c>
      <c r="J170" s="31" t="n">
        <v>103525</v>
      </c>
      <c r="K170" s="31" t="n">
        <v>105443.3333333333</v>
      </c>
      <c r="L170" s="31" t="n">
        <v>98156.66666666667</v>
      </c>
      <c r="M170" s="36" t="n">
        <v>0.2597606490380223</v>
      </c>
      <c r="N170" s="36" t="n">
        <v>0.3571420879619916</v>
      </c>
      <c r="O170" s="36" t="n">
        <v>-0.1184573002754821</v>
      </c>
      <c r="P170" s="36" t="n">
        <v>0.06785317018909898</v>
      </c>
      <c r="Q170" s="36" t="n">
        <v>-0.01336073997944498</v>
      </c>
      <c r="R170" s="36" t="n">
        <v>-0.07268775658053606</v>
      </c>
      <c r="S170" s="36" t="n">
        <v>-0.08955837258559096</v>
      </c>
      <c r="T170" s="36" t="n">
        <v>-0.02197167792984012</v>
      </c>
      <c r="U170" s="31" t="n">
        <v>117300</v>
      </c>
      <c r="V170" s="31" t="n">
        <v>81800</v>
      </c>
      <c r="W170" s="36" t="n">
        <v>-0.1815856777493606</v>
      </c>
      <c r="X170" s="36" t="n">
        <v>0.1735941320293399</v>
      </c>
      <c r="Y170" s="31" t="n">
        <v>11179416</v>
      </c>
      <c r="Z170" s="31" t="n">
        <v>1073223936000</v>
      </c>
      <c r="AA170" s="31" t="n">
        <v>1880736000</v>
      </c>
      <c r="AB170" s="31" t="n">
        <v>3124040665</v>
      </c>
      <c r="AC170" s="36" t="n">
        <v>0.001752417120894329</v>
      </c>
      <c r="AD170" s="29" t="inlineStr">
        <is>
          <t>yfinance_download</t>
        </is>
      </c>
      <c r="AE170" s="29" t="inlineStr">
        <is>
          <t>064760.KQ</t>
        </is>
      </c>
    </row>
    <row r="171" ht="24" customHeight="1">
      <c r="A171" s="24" t="inlineStr">
        <is>
          <t>2024-02-16</t>
        </is>
      </c>
      <c r="B171" s="30" t="n">
        <v>96700</v>
      </c>
      <c r="C171" s="30" t="n">
        <v>97400</v>
      </c>
      <c r="D171" s="30" t="n">
        <v>95500</v>
      </c>
      <c r="E171" s="30" t="n">
        <v>96200</v>
      </c>
      <c r="F171" s="30" t="n">
        <v>93637.734375</v>
      </c>
      <c r="G171" s="30" t="n">
        <v>19076</v>
      </c>
      <c r="H171" s="35" t="n">
        <v>0.002083333333333437</v>
      </c>
      <c r="I171" s="35" t="n">
        <v>-0.5309605070697221</v>
      </c>
      <c r="J171" s="30" t="n">
        <v>103005</v>
      </c>
      <c r="K171" s="30" t="n">
        <v>105463.3333333333</v>
      </c>
      <c r="L171" s="30" t="n">
        <v>98142.5</v>
      </c>
      <c r="M171" s="35" t="n">
        <v>0.2550465837622257</v>
      </c>
      <c r="N171" s="35" t="n">
        <v>0.3379889082302626</v>
      </c>
      <c r="O171" s="35" t="n">
        <v>-0.09756097560975607</v>
      </c>
      <c r="P171" s="35" t="n">
        <v>0.01263157894736833</v>
      </c>
      <c r="Q171" s="35" t="n">
        <v>-0.01736465781409602</v>
      </c>
      <c r="R171" s="35" t="n">
        <v>-0.06606475413814861</v>
      </c>
      <c r="S171" s="35" t="n">
        <v>-0.08783463447011597</v>
      </c>
      <c r="T171" s="35" t="n">
        <v>-0.01979264844486328</v>
      </c>
      <c r="U171" s="30" t="n">
        <v>117300</v>
      </c>
      <c r="V171" s="30" t="n">
        <v>81800</v>
      </c>
      <c r="W171" s="35" t="n">
        <v>-0.1798806479113384</v>
      </c>
      <c r="X171" s="35" t="n">
        <v>0.1760391198044009</v>
      </c>
      <c r="Y171" s="30" t="n">
        <v>11179416</v>
      </c>
      <c r="Z171" s="30" t="n">
        <v>1075459819200</v>
      </c>
      <c r="AA171" s="30" t="n">
        <v>1835111200</v>
      </c>
      <c r="AB171" s="30" t="n">
        <v>3104948215</v>
      </c>
      <c r="AC171" s="35" t="n">
        <v>0.001706350313826769</v>
      </c>
      <c r="AD171" s="24" t="inlineStr">
        <is>
          <t>yfinance_download</t>
        </is>
      </c>
      <c r="AE171" s="24" t="inlineStr">
        <is>
          <t>064760.KQ</t>
        </is>
      </c>
    </row>
    <row r="172" ht="24" customHeight="1">
      <c r="A172" s="29" t="inlineStr">
        <is>
          <t>2024-02-19</t>
        </is>
      </c>
      <c r="B172" s="31" t="n">
        <v>96400</v>
      </c>
      <c r="C172" s="31" t="n">
        <v>97800</v>
      </c>
      <c r="D172" s="31" t="n">
        <v>95600</v>
      </c>
      <c r="E172" s="31" t="n">
        <v>96600</v>
      </c>
      <c r="F172" s="31" t="n">
        <v>94027.0703125</v>
      </c>
      <c r="G172" s="31" t="n">
        <v>20101</v>
      </c>
      <c r="H172" s="36" t="n">
        <v>0.004158004158004047</v>
      </c>
      <c r="I172" s="36" t="n">
        <v>-0.5290102389078498</v>
      </c>
      <c r="J172" s="31" t="n">
        <v>102530</v>
      </c>
      <c r="K172" s="31" t="n">
        <v>105475</v>
      </c>
      <c r="L172" s="31" t="n">
        <v>98145.83333333333</v>
      </c>
      <c r="M172" s="36" t="n">
        <v>0.2571126104577747</v>
      </c>
      <c r="N172" s="36" t="n">
        <v>0.3375566854677683</v>
      </c>
      <c r="O172" s="36" t="n">
        <v>-0.08953817153628651</v>
      </c>
      <c r="P172" s="36" t="n">
        <v>0.007299270072992803</v>
      </c>
      <c r="Q172" s="36" t="n">
        <v>0.004158004158004047</v>
      </c>
      <c r="R172" s="36" t="n">
        <v>-0.05783673071296203</v>
      </c>
      <c r="S172" s="36" t="n">
        <v>-0.08414316188670301</v>
      </c>
      <c r="T172" s="36" t="n">
        <v>-0.0157503714710252</v>
      </c>
      <c r="U172" s="31" t="n">
        <v>117300</v>
      </c>
      <c r="V172" s="31" t="n">
        <v>81800</v>
      </c>
      <c r="W172" s="36" t="n">
        <v>-0.1764705882352942</v>
      </c>
      <c r="X172" s="36" t="n">
        <v>0.1809290953545233</v>
      </c>
      <c r="Y172" s="31" t="n">
        <v>11179416</v>
      </c>
      <c r="Z172" s="31" t="n">
        <v>1079931585600</v>
      </c>
      <c r="AA172" s="31" t="n">
        <v>1941756600</v>
      </c>
      <c r="AB172" s="31" t="n">
        <v>3107957175</v>
      </c>
      <c r="AC172" s="36" t="n">
        <v>0.001798036677407836</v>
      </c>
      <c r="AD172" s="29" t="inlineStr">
        <is>
          <t>yfinance_download</t>
        </is>
      </c>
      <c r="AE172" s="29" t="inlineStr">
        <is>
          <t>064760.KQ</t>
        </is>
      </c>
    </row>
    <row r="173" ht="24" customHeight="1">
      <c r="A173" s="24" t="inlineStr">
        <is>
          <t>2024-02-20</t>
        </is>
      </c>
      <c r="B173" s="30" t="n">
        <v>96600</v>
      </c>
      <c r="C173" s="30" t="n">
        <v>97400</v>
      </c>
      <c r="D173" s="30" t="n">
        <v>95300</v>
      </c>
      <c r="E173" s="30" t="n">
        <v>97000</v>
      </c>
      <c r="F173" s="30" t="n">
        <v>94416.421875</v>
      </c>
      <c r="G173" s="30" t="n">
        <v>17114</v>
      </c>
      <c r="H173" s="35" t="n">
        <v>0.004140786749482483</v>
      </c>
      <c r="I173" s="35" t="n">
        <v>-0.5270599707459775</v>
      </c>
      <c r="J173" s="30" t="n">
        <v>101910</v>
      </c>
      <c r="K173" s="30" t="n">
        <v>105511.6666666667</v>
      </c>
      <c r="L173" s="30" t="n">
        <v>98162.5</v>
      </c>
      <c r="M173" s="35" t="n">
        <v>0.2230813719490852</v>
      </c>
      <c r="N173" s="35" t="n">
        <v>0.3367386721531992</v>
      </c>
      <c r="O173" s="35" t="n">
        <v>-0.113345521023766</v>
      </c>
      <c r="P173" s="35" t="n">
        <v>0.02320675105485237</v>
      </c>
      <c r="Q173" s="35" t="n">
        <v>0.02105263157894743</v>
      </c>
      <c r="R173" s="35" t="n">
        <v>-0.04817976646060251</v>
      </c>
      <c r="S173" s="35" t="n">
        <v>-0.08067038400176918</v>
      </c>
      <c r="T173" s="35" t="n">
        <v>-0.01184260792053993</v>
      </c>
      <c r="U173" s="30" t="n">
        <v>117300</v>
      </c>
      <c r="V173" s="30" t="n">
        <v>81800</v>
      </c>
      <c r="W173" s="35" t="n">
        <v>-0.1730605285592498</v>
      </c>
      <c r="X173" s="35" t="n">
        <v>0.1858190709046454</v>
      </c>
      <c r="Y173" s="30" t="n">
        <v>11179416</v>
      </c>
      <c r="Z173" s="30" t="n">
        <v>1084403352000</v>
      </c>
      <c r="AA173" s="30" t="n">
        <v>1660058000</v>
      </c>
      <c r="AB173" s="30" t="n">
        <v>3041366515</v>
      </c>
      <c r="AC173" s="35" t="n">
        <v>0.001530849196415985</v>
      </c>
      <c r="AD173" s="24" t="inlineStr">
        <is>
          <t>yfinance_download</t>
        </is>
      </c>
      <c r="AE173" s="24" t="inlineStr">
        <is>
          <t>064760.KQ</t>
        </is>
      </c>
    </row>
    <row r="174" ht="24" customHeight="1">
      <c r="A174" s="29" t="inlineStr">
        <is>
          <t>2024-02-21</t>
        </is>
      </c>
      <c r="B174" s="31" t="n">
        <v>96300</v>
      </c>
      <c r="C174" s="31" t="n">
        <v>100300</v>
      </c>
      <c r="D174" s="31" t="n">
        <v>96300</v>
      </c>
      <c r="E174" s="31" t="n">
        <v>99200</v>
      </c>
      <c r="F174" s="31" t="n">
        <v>96557.8203125</v>
      </c>
      <c r="G174" s="31" t="n">
        <v>40227</v>
      </c>
      <c r="H174" s="36" t="n">
        <v>0.02268041237113394</v>
      </c>
      <c r="I174" s="36" t="n">
        <v>-0.5163334958556802</v>
      </c>
      <c r="J174" s="31" t="n">
        <v>101420</v>
      </c>
      <c r="K174" s="31" t="n">
        <v>105565</v>
      </c>
      <c r="L174" s="31" t="n">
        <v>98236.66666666667</v>
      </c>
      <c r="M174" s="36" t="n">
        <v>0.2450985366463272</v>
      </c>
      <c r="N174" s="36" t="n">
        <v>0.3388908560226316</v>
      </c>
      <c r="O174" s="36" t="n">
        <v>-0.08990825688073389</v>
      </c>
      <c r="P174" s="36" t="n">
        <v>0.03333333333333344</v>
      </c>
      <c r="Q174" s="36" t="n">
        <v>0.09856035437430788</v>
      </c>
      <c r="R174" s="36" t="n">
        <v>-0.02188917373299148</v>
      </c>
      <c r="S174" s="36" t="n">
        <v>-0.060294605219533</v>
      </c>
      <c r="T174" s="36" t="n">
        <v>0.00980625021207282</v>
      </c>
      <c r="U174" s="31" t="n">
        <v>117300</v>
      </c>
      <c r="V174" s="31" t="n">
        <v>81800</v>
      </c>
      <c r="W174" s="36" t="n">
        <v>-0.1543052003410059</v>
      </c>
      <c r="X174" s="36" t="n">
        <v>0.2127139364303179</v>
      </c>
      <c r="Y174" s="31" t="n">
        <v>11179416</v>
      </c>
      <c r="Z174" s="31" t="n">
        <v>1108998067200</v>
      </c>
      <c r="AA174" s="31" t="n">
        <v>3990518400</v>
      </c>
      <c r="AB174" s="31" t="n">
        <v>3093600735</v>
      </c>
      <c r="AC174" s="36" t="n">
        <v>0.003598309607585942</v>
      </c>
      <c r="AD174" s="29" t="inlineStr">
        <is>
          <t>yfinance_download</t>
        </is>
      </c>
      <c r="AE174" s="29" t="inlineStr">
        <is>
          <t>064760.KQ</t>
        </is>
      </c>
    </row>
    <row r="175" ht="24" customHeight="1">
      <c r="A175" s="24" t="inlineStr">
        <is>
          <t>2024-02-22</t>
        </is>
      </c>
      <c r="B175" s="30" t="n">
        <v>100000</v>
      </c>
      <c r="C175" s="30" t="n">
        <v>101100</v>
      </c>
      <c r="D175" s="30" t="n">
        <v>98400</v>
      </c>
      <c r="E175" s="30" t="n">
        <v>98600</v>
      </c>
      <c r="F175" s="30" t="n">
        <v>95973.8046875</v>
      </c>
      <c r="G175" s="30" t="n">
        <v>23507</v>
      </c>
      <c r="H175" s="35" t="n">
        <v>-0.006048387096774244</v>
      </c>
      <c r="I175" s="35" t="n">
        <v>-0.5192588980984885</v>
      </c>
      <c r="J175" s="30" t="n">
        <v>100970</v>
      </c>
      <c r="K175" s="30" t="n">
        <v>105600</v>
      </c>
      <c r="L175" s="30" t="n">
        <v>98307.5</v>
      </c>
      <c r="M175" s="35" t="n">
        <v>0.2432411578961359</v>
      </c>
      <c r="N175" s="35" t="n">
        <v>0.3390461407093969</v>
      </c>
      <c r="O175" s="35" t="n">
        <v>-0.08364312267657992</v>
      </c>
      <c r="P175" s="35" t="n">
        <v>0.02176165803108798</v>
      </c>
      <c r="Q175" s="35" t="n">
        <v>0.09433962264150941</v>
      </c>
      <c r="R175" s="35" t="n">
        <v>-0.02347231851044862</v>
      </c>
      <c r="S175" s="35" t="n">
        <v>-0.06628787878787878</v>
      </c>
      <c r="T175" s="35" t="n">
        <v>0.002975357933016287</v>
      </c>
      <c r="U175" s="30" t="n">
        <v>117300</v>
      </c>
      <c r="V175" s="30" t="n">
        <v>81800</v>
      </c>
      <c r="W175" s="35" t="n">
        <v>-0.1594202898550725</v>
      </c>
      <c r="X175" s="35" t="n">
        <v>0.2053789731051345</v>
      </c>
      <c r="Y175" s="30" t="n">
        <v>11179416</v>
      </c>
      <c r="Z175" s="30" t="n">
        <v>1102290417600</v>
      </c>
      <c r="AA175" s="30" t="n">
        <v>2317790200</v>
      </c>
      <c r="AB175" s="30" t="n">
        <v>3060410445</v>
      </c>
      <c r="AC175" s="35" t="n">
        <v>0.002102703754829412</v>
      </c>
      <c r="AD175" s="24" t="inlineStr">
        <is>
          <t>yfinance_download</t>
        </is>
      </c>
      <c r="AE175" s="24" t="inlineStr">
        <is>
          <t>064760.KQ</t>
        </is>
      </c>
    </row>
    <row r="176" ht="24" customHeight="1">
      <c r="A176" s="29" t="inlineStr">
        <is>
          <t>2024-02-23</t>
        </is>
      </c>
      <c r="B176" s="31" t="n">
        <v>100500</v>
      </c>
      <c r="C176" s="31" t="n">
        <v>100600</v>
      </c>
      <c r="D176" s="31" t="n">
        <v>97000</v>
      </c>
      <c r="E176" s="31" t="n">
        <v>97100</v>
      </c>
      <c r="F176" s="31" t="n">
        <v>94513.7578125</v>
      </c>
      <c r="G176" s="31" t="n">
        <v>25185</v>
      </c>
      <c r="H176" s="36" t="n">
        <v>-0.01521298174442187</v>
      </c>
      <c r="I176" s="36" t="n">
        <v>-0.5265724037055095</v>
      </c>
      <c r="J176" s="31" t="n">
        <v>100465</v>
      </c>
      <c r="K176" s="31" t="n">
        <v>105561.6666666667</v>
      </c>
      <c r="L176" s="31" t="n">
        <v>98350.83333333333</v>
      </c>
      <c r="M176" s="36" t="n">
        <v>0.2463139542116531</v>
      </c>
      <c r="N176" s="36" t="n">
        <v>0.3349062704308272</v>
      </c>
      <c r="O176" s="36" t="n">
        <v>-0.09421641791044777</v>
      </c>
      <c r="P176" s="36" t="n">
        <v>-0.02313883299798791</v>
      </c>
      <c r="Q176" s="36" t="n">
        <v>0.05658324265505987</v>
      </c>
      <c r="R176" s="36" t="n">
        <v>-0.03349425172945797</v>
      </c>
      <c r="S176" s="36" t="n">
        <v>-0.08015851713848154</v>
      </c>
      <c r="T176" s="36" t="n">
        <v>-0.01271807559671578</v>
      </c>
      <c r="U176" s="31" t="n">
        <v>117300</v>
      </c>
      <c r="V176" s="31" t="n">
        <v>81800</v>
      </c>
      <c r="W176" s="36" t="n">
        <v>-0.1722080136402387</v>
      </c>
      <c r="X176" s="36" t="n">
        <v>0.1870415647921759</v>
      </c>
      <c r="Y176" s="31" t="n">
        <v>11179416</v>
      </c>
      <c r="Z176" s="31" t="n">
        <v>1085521293600</v>
      </c>
      <c r="AA176" s="31" t="n">
        <v>2445463500</v>
      </c>
      <c r="AB176" s="31" t="n">
        <v>3097679380</v>
      </c>
      <c r="AC176" s="36" t="n">
        <v>0.002252801040769929</v>
      </c>
      <c r="AD176" s="29" t="inlineStr">
        <is>
          <t>yfinance_download</t>
        </is>
      </c>
      <c r="AE176" s="29" t="inlineStr">
        <is>
          <t>064760.KQ</t>
        </is>
      </c>
    </row>
    <row r="177" ht="24" customHeight="1">
      <c r="A177" s="24" t="inlineStr">
        <is>
          <t>2024-02-26</t>
        </is>
      </c>
      <c r="B177" s="30" t="n">
        <v>97100</v>
      </c>
      <c r="C177" s="30" t="n">
        <v>99000</v>
      </c>
      <c r="D177" s="30" t="n">
        <v>96100</v>
      </c>
      <c r="E177" s="30" t="n">
        <v>96900</v>
      </c>
      <c r="F177" s="30" t="n">
        <v>94319.078125</v>
      </c>
      <c r="G177" s="30" t="n">
        <v>13117</v>
      </c>
      <c r="H177" s="35" t="n">
        <v>-0.002059732234809486</v>
      </c>
      <c r="I177" s="35" t="n">
        <v>-0.5275475377864456</v>
      </c>
      <c r="J177" s="30" t="n">
        <v>99940</v>
      </c>
      <c r="K177" s="30" t="n">
        <v>105526.6666666667</v>
      </c>
      <c r="L177" s="30" t="n">
        <v>98394.16666666667</v>
      </c>
      <c r="M177" s="35" t="n">
        <v>0.2452929309014683</v>
      </c>
      <c r="N177" s="35" t="n">
        <v>0.3348339889210021</v>
      </c>
      <c r="O177" s="35" t="n">
        <v>-0.0977653631284916</v>
      </c>
      <c r="P177" s="35" t="n">
        <v>-0.02121212121212124</v>
      </c>
      <c r="Q177" s="35" t="n">
        <v>0.05670665212649939</v>
      </c>
      <c r="R177" s="35" t="n">
        <v>-0.03041825095057038</v>
      </c>
      <c r="S177" s="35" t="n">
        <v>-0.08174868911491573</v>
      </c>
      <c r="T177" s="35" t="n">
        <v>-0.01518552082186453</v>
      </c>
      <c r="U177" s="30" t="n">
        <v>117300</v>
      </c>
      <c r="V177" s="30" t="n">
        <v>81800</v>
      </c>
      <c r="W177" s="35" t="n">
        <v>-0.1739130434782609</v>
      </c>
      <c r="X177" s="35" t="n">
        <v>0.184596577017115</v>
      </c>
      <c r="Y177" s="30" t="n">
        <v>11179416</v>
      </c>
      <c r="Z177" s="30" t="n">
        <v>1083285410400</v>
      </c>
      <c r="AA177" s="30" t="n">
        <v>1271037300</v>
      </c>
      <c r="AB177" s="30" t="n">
        <v>3084499315</v>
      </c>
      <c r="AC177" s="35" t="n">
        <v>0.001173317103505228</v>
      </c>
      <c r="AD177" s="24" t="inlineStr">
        <is>
          <t>yfinance_download</t>
        </is>
      </c>
      <c r="AE177" s="24" t="inlineStr">
        <is>
          <t>064760.KQ</t>
        </is>
      </c>
    </row>
    <row r="178" ht="24" customHeight="1">
      <c r="A178" s="29" t="inlineStr">
        <is>
          <t>2024-02-27</t>
        </is>
      </c>
      <c r="B178" s="31" t="n">
        <v>97800</v>
      </c>
      <c r="C178" s="31" t="n">
        <v>97800</v>
      </c>
      <c r="D178" s="31" t="n">
        <v>93500</v>
      </c>
      <c r="E178" s="31" t="n">
        <v>94400</v>
      </c>
      <c r="F178" s="31" t="n">
        <v>91885.671875</v>
      </c>
      <c r="G178" s="31" t="n">
        <v>30944</v>
      </c>
      <c r="H178" s="36" t="n">
        <v>-0.02579979360165119</v>
      </c>
      <c r="I178" s="36" t="n">
        <v>-0.5397367137981472</v>
      </c>
      <c r="J178" s="31" t="n">
        <v>99210</v>
      </c>
      <c r="K178" s="31" t="n">
        <v>105455</v>
      </c>
      <c r="L178" s="31" t="n">
        <v>98425</v>
      </c>
      <c r="M178" s="36" t="n">
        <v>0.2440088691970491</v>
      </c>
      <c r="N178" s="36" t="n">
        <v>0.3389001738035681</v>
      </c>
      <c r="O178" s="36" t="n">
        <v>-0.1339449541284403</v>
      </c>
      <c r="P178" s="36" t="n">
        <v>-0.0435663627152989</v>
      </c>
      <c r="Q178" s="36" t="n">
        <v>0.04079382579933855</v>
      </c>
      <c r="R178" s="36" t="n">
        <v>-0.04848301582501768</v>
      </c>
      <c r="S178" s="36" t="n">
        <v>-0.1048314446920487</v>
      </c>
      <c r="T178" s="36" t="n">
        <v>-0.04089408178816356</v>
      </c>
      <c r="U178" s="31" t="n">
        <v>117300</v>
      </c>
      <c r="V178" s="31" t="n">
        <v>81800</v>
      </c>
      <c r="W178" s="36" t="n">
        <v>-0.1952259164535379</v>
      </c>
      <c r="X178" s="36" t="n">
        <v>0.1540342298288508</v>
      </c>
      <c r="Y178" s="31" t="n">
        <v>11179416</v>
      </c>
      <c r="Z178" s="31" t="n">
        <v>1055336870400</v>
      </c>
      <c r="AA178" s="31" t="n">
        <v>2921113600</v>
      </c>
      <c r="AB178" s="31" t="n">
        <v>3067703545</v>
      </c>
      <c r="AC178" s="36" t="n">
        <v>0.002767944228929311</v>
      </c>
      <c r="AD178" s="29" t="inlineStr">
        <is>
          <t>yfinance_download</t>
        </is>
      </c>
      <c r="AE178" s="29" t="inlineStr">
        <is>
          <t>064760.KQ</t>
        </is>
      </c>
    </row>
    <row r="179" ht="24" customHeight="1">
      <c r="A179" s="24" t="inlineStr">
        <is>
          <t>2024-02-28</t>
        </is>
      </c>
      <c r="B179" s="30" t="n">
        <v>94400</v>
      </c>
      <c r="C179" s="30" t="n">
        <v>95200</v>
      </c>
      <c r="D179" s="30" t="n">
        <v>93200</v>
      </c>
      <c r="E179" s="30" t="n">
        <v>94100</v>
      </c>
      <c r="F179" s="30" t="n">
        <v>91593.6640625</v>
      </c>
      <c r="G179" s="30" t="n">
        <v>21670</v>
      </c>
      <c r="H179" s="35" t="n">
        <v>-0.003177966101694962</v>
      </c>
      <c r="I179" s="35" t="n">
        <v>-0.5411994149195514</v>
      </c>
      <c r="J179" s="30" t="n">
        <v>98455</v>
      </c>
      <c r="K179" s="30" t="n">
        <v>105396.6666666667</v>
      </c>
      <c r="L179" s="30" t="n">
        <v>98441.66666666667</v>
      </c>
      <c r="M179" s="35" t="n">
        <v>0.2422301355310031</v>
      </c>
      <c r="N179" s="35" t="n">
        <v>0.3382260085040952</v>
      </c>
      <c r="O179" s="35" t="n">
        <v>-0.1382783882783882</v>
      </c>
      <c r="P179" s="35" t="n">
        <v>-0.03586065573770492</v>
      </c>
      <c r="Q179" s="35" t="n">
        <v>0.0217155266015201</v>
      </c>
      <c r="R179" s="35" t="n">
        <v>-0.04423340612462545</v>
      </c>
      <c r="S179" s="35" t="n">
        <v>-0.1071823903349253</v>
      </c>
      <c r="T179" s="35" t="n">
        <v>-0.04410395327181926</v>
      </c>
      <c r="U179" s="30" t="n">
        <v>117300</v>
      </c>
      <c r="V179" s="30" t="n">
        <v>81800</v>
      </c>
      <c r="W179" s="35" t="n">
        <v>-0.1977834612105712</v>
      </c>
      <c r="X179" s="35" t="n">
        <v>0.1503667481662592</v>
      </c>
      <c r="Y179" s="30" t="n">
        <v>11179416</v>
      </c>
      <c r="Z179" s="30" t="n">
        <v>1051983045600</v>
      </c>
      <c r="AA179" s="30" t="n">
        <v>2039147000</v>
      </c>
      <c r="AB179" s="30" t="n">
        <v>3043818815</v>
      </c>
      <c r="AC179" s="35" t="n">
        <v>0.001938383901269977</v>
      </c>
      <c r="AD179" s="24" t="inlineStr">
        <is>
          <t>yfinance_download</t>
        </is>
      </c>
      <c r="AE179" s="24" t="inlineStr">
        <is>
          <t>064760.KQ</t>
        </is>
      </c>
    </row>
    <row r="180" ht="24" customHeight="1">
      <c r="A180" s="29" t="inlineStr">
        <is>
          <t>2024-02-29</t>
        </is>
      </c>
      <c r="B180" s="31" t="n">
        <v>93300</v>
      </c>
      <c r="C180" s="31" t="n">
        <v>95300</v>
      </c>
      <c r="D180" s="31" t="n">
        <v>93100</v>
      </c>
      <c r="E180" s="31" t="n">
        <v>94700</v>
      </c>
      <c r="F180" s="31" t="n">
        <v>92177.6796875</v>
      </c>
      <c r="G180" s="31" t="n">
        <v>18862</v>
      </c>
      <c r="H180" s="36" t="n">
        <v>0.006376195536663021</v>
      </c>
      <c r="I180" s="36" t="n">
        <v>-0.5382740126767431</v>
      </c>
      <c r="J180" s="31" t="n">
        <v>97775</v>
      </c>
      <c r="K180" s="31" t="n">
        <v>105313.3333333333</v>
      </c>
      <c r="L180" s="31" t="n">
        <v>98464.16666666667</v>
      </c>
      <c r="M180" s="36" t="n">
        <v>0.2469881463021433</v>
      </c>
      <c r="N180" s="36" t="n">
        <v>0.3354499782531163</v>
      </c>
      <c r="O180" s="36" t="n">
        <v>-0.1255771006463527</v>
      </c>
      <c r="P180" s="36" t="n">
        <v>-0.05015045135406215</v>
      </c>
      <c r="Q180" s="36" t="n">
        <v>0.02934782608695663</v>
      </c>
      <c r="R180" s="36" t="n">
        <v>-0.03144975709537201</v>
      </c>
      <c r="S180" s="36" t="n">
        <v>-0.1007786288535798</v>
      </c>
      <c r="T180" s="36" t="n">
        <v>-0.03822879727819772</v>
      </c>
      <c r="U180" s="31" t="n">
        <v>117300</v>
      </c>
      <c r="V180" s="31" t="n">
        <v>81800</v>
      </c>
      <c r="W180" s="36" t="n">
        <v>-0.1926683716965046</v>
      </c>
      <c r="X180" s="36" t="n">
        <v>0.1577017114914425</v>
      </c>
      <c r="Y180" s="31" t="n">
        <v>11179416</v>
      </c>
      <c r="Z180" s="31" t="n">
        <v>1058690695200</v>
      </c>
      <c r="AA180" s="31" t="n">
        <v>1786231400</v>
      </c>
      <c r="AB180" s="31" t="n">
        <v>2960240265</v>
      </c>
      <c r="AC180" s="36" t="n">
        <v>0.001687207990113258</v>
      </c>
      <c r="AD180" s="29" t="inlineStr">
        <is>
          <t>yfinance_download</t>
        </is>
      </c>
      <c r="AE180" s="29" t="inlineStr">
        <is>
          <t>064760.KQ</t>
        </is>
      </c>
    </row>
    <row r="181" ht="24" customHeight="1">
      <c r="A181" s="24" t="inlineStr">
        <is>
          <t>2024-03-04</t>
        </is>
      </c>
      <c r="B181" s="30" t="n">
        <v>96000</v>
      </c>
      <c r="C181" s="30" t="n">
        <v>98400</v>
      </c>
      <c r="D181" s="30" t="n">
        <v>96000</v>
      </c>
      <c r="E181" s="30" t="n">
        <v>97700</v>
      </c>
      <c r="F181" s="30" t="n">
        <v>95097.7734375</v>
      </c>
      <c r="G181" s="30" t="n">
        <v>40514</v>
      </c>
      <c r="H181" s="35" t="n">
        <v>0.03167898627243937</v>
      </c>
      <c r="I181" s="35" t="n">
        <v>-0.523647001462701</v>
      </c>
      <c r="J181" s="30" t="n">
        <v>97375</v>
      </c>
      <c r="K181" s="30" t="n">
        <v>105291.6666666667</v>
      </c>
      <c r="L181" s="30" t="n">
        <v>98513.33333333333</v>
      </c>
      <c r="M181" s="35" t="n">
        <v>0.2726134562325773</v>
      </c>
      <c r="N181" s="35" t="n">
        <v>0.3416246606577619</v>
      </c>
      <c r="O181" s="35" t="n">
        <v>-0.075685903500473</v>
      </c>
      <c r="P181" s="35" t="n">
        <v>-0.0131313131313131</v>
      </c>
      <c r="Q181" s="35" t="n">
        <v>0.06427015250544654</v>
      </c>
      <c r="R181" s="35" t="n">
        <v>0.003337612323491612</v>
      </c>
      <c r="S181" s="35" t="n">
        <v>-0.0721013058963198</v>
      </c>
      <c r="T181" s="35" t="n">
        <v>-0.008256073627935234</v>
      </c>
      <c r="U181" s="30" t="n">
        <v>117300</v>
      </c>
      <c r="V181" s="30" t="n">
        <v>81800</v>
      </c>
      <c r="W181" s="35" t="n">
        <v>-0.1670929241261722</v>
      </c>
      <c r="X181" s="35" t="n">
        <v>0.1943765281173595</v>
      </c>
      <c r="Y181" s="30" t="n">
        <v>11179416</v>
      </c>
      <c r="Z181" s="30" t="n">
        <v>1092228943200</v>
      </c>
      <c r="AA181" s="30" t="n">
        <v>3958217800</v>
      </c>
      <c r="AB181" s="30" t="n">
        <v>3033324740</v>
      </c>
      <c r="AC181" s="35" t="n">
        <v>0.003623981789388641</v>
      </c>
      <c r="AD181" s="24" t="inlineStr">
        <is>
          <t>yfinance_download</t>
        </is>
      </c>
      <c r="AE181" s="24" t="inlineStr">
        <is>
          <t>064760.KQ</t>
        </is>
      </c>
    </row>
    <row r="182" ht="24" customHeight="1">
      <c r="A182" s="29" t="inlineStr">
        <is>
          <t>2024-03-05</t>
        </is>
      </c>
      <c r="B182" s="31" t="n">
        <v>97800</v>
      </c>
      <c r="C182" s="31" t="n">
        <v>98300</v>
      </c>
      <c r="D182" s="31" t="n">
        <v>94700</v>
      </c>
      <c r="E182" s="31" t="n">
        <v>94800</v>
      </c>
      <c r="F182" s="31" t="n">
        <v>92275.015625</v>
      </c>
      <c r="G182" s="31" t="n">
        <v>24267</v>
      </c>
      <c r="H182" s="36" t="n">
        <v>-0.02968270214943702</v>
      </c>
      <c r="I182" s="36" t="n">
        <v>-0.537786445636275</v>
      </c>
      <c r="J182" s="31" t="n">
        <v>97095</v>
      </c>
      <c r="K182" s="31" t="n">
        <v>105180</v>
      </c>
      <c r="L182" s="31" t="n">
        <v>98495</v>
      </c>
      <c r="M182" s="36" t="n">
        <v>0.2333119723100098</v>
      </c>
      <c r="N182" s="36" t="n">
        <v>0.3428330814514892</v>
      </c>
      <c r="O182" s="36" t="n">
        <v>-0.05577689243027883</v>
      </c>
      <c r="P182" s="36" t="n">
        <v>-0.06600985221674882</v>
      </c>
      <c r="Q182" s="36" t="n">
        <v>-0.02268041237113405</v>
      </c>
      <c r="R182" s="36" t="n">
        <v>-0.02363664452340486</v>
      </c>
      <c r="S182" s="36" t="n">
        <v>-0.09868796349115805</v>
      </c>
      <c r="T182" s="36" t="n">
        <v>-0.0375145946494746</v>
      </c>
      <c r="U182" s="31" t="n">
        <v>117300</v>
      </c>
      <c r="V182" s="31" t="n">
        <v>81800</v>
      </c>
      <c r="W182" s="36" t="n">
        <v>-0.1918158567774936</v>
      </c>
      <c r="X182" s="36" t="n">
        <v>0.158924205378973</v>
      </c>
      <c r="Y182" s="31" t="n">
        <v>11179416</v>
      </c>
      <c r="Z182" s="31" t="n">
        <v>1059808636800</v>
      </c>
      <c r="AA182" s="31" t="n">
        <v>2300511600</v>
      </c>
      <c r="AB182" s="31" t="n">
        <v>2818481100</v>
      </c>
      <c r="AC182" s="36" t="n">
        <v>0.002170685839045618</v>
      </c>
      <c r="AD182" s="29" t="inlineStr">
        <is>
          <t>yfinance_download</t>
        </is>
      </c>
      <c r="AE182" s="29" t="inlineStr">
        <is>
          <t>064760.KQ</t>
        </is>
      </c>
    </row>
    <row r="183" ht="24" customHeight="1">
      <c r="A183" s="24" t="inlineStr">
        <is>
          <t>2024-03-06</t>
        </is>
      </c>
      <c r="B183" s="30" t="n">
        <v>93900</v>
      </c>
      <c r="C183" s="30" t="n">
        <v>96700</v>
      </c>
      <c r="D183" s="30" t="n">
        <v>93400</v>
      </c>
      <c r="E183" s="30" t="n">
        <v>96400</v>
      </c>
      <c r="F183" s="30" t="n">
        <v>93832.3984375</v>
      </c>
      <c r="G183" s="30" t="n">
        <v>33083</v>
      </c>
      <c r="H183" s="35" t="n">
        <v>0.0168776371308017</v>
      </c>
      <c r="I183" s="35" t="n">
        <v>-0.529985372988786</v>
      </c>
      <c r="J183" s="30" t="n">
        <v>96910</v>
      </c>
      <c r="K183" s="30" t="n">
        <v>105136.6666666667</v>
      </c>
      <c r="L183" s="30" t="n">
        <v>98486.66666666667</v>
      </c>
      <c r="M183" s="35" t="n">
        <v>0.2434921306760226</v>
      </c>
      <c r="N183" s="35" t="n">
        <v>0.3411160495333742</v>
      </c>
      <c r="O183" s="35" t="n">
        <v>-0.03696303696303693</v>
      </c>
      <c r="P183" s="35" t="n">
        <v>-0.02626262626262621</v>
      </c>
      <c r="Q183" s="35" t="n">
        <v>-0.01026694045174537</v>
      </c>
      <c r="R183" s="35" t="n">
        <v>-0.005262614797234555</v>
      </c>
      <c r="S183" s="35" t="n">
        <v>-0.08309818965790561</v>
      </c>
      <c r="T183" s="35" t="n">
        <v>-0.0211873011575171</v>
      </c>
      <c r="U183" s="30" t="n">
        <v>117300</v>
      </c>
      <c r="V183" s="30" t="n">
        <v>81800</v>
      </c>
      <c r="W183" s="35" t="n">
        <v>-0.1781756180733163</v>
      </c>
      <c r="X183" s="35" t="n">
        <v>0.1784841075794621</v>
      </c>
      <c r="Y183" s="30" t="n">
        <v>11179416</v>
      </c>
      <c r="Z183" s="30" t="n">
        <v>1077695702400</v>
      </c>
      <c r="AA183" s="30" t="n">
        <v>3189201200</v>
      </c>
      <c r="AB183" s="30" t="n">
        <v>2757290730</v>
      </c>
      <c r="AC183" s="35" t="n">
        <v>0.002959278015953606</v>
      </c>
      <c r="AD183" s="24" t="inlineStr">
        <is>
          <t>yfinance_download</t>
        </is>
      </c>
      <c r="AE183" s="24" t="inlineStr">
        <is>
          <t>064760.KQ</t>
        </is>
      </c>
    </row>
    <row r="184" ht="24" customHeight="1">
      <c r="A184" s="29" t="inlineStr">
        <is>
          <t>2024-03-07</t>
        </is>
      </c>
      <c r="B184" s="31" t="n">
        <v>96400</v>
      </c>
      <c r="C184" s="31" t="n">
        <v>104800</v>
      </c>
      <c r="D184" s="31" t="n">
        <v>96000</v>
      </c>
      <c r="E184" s="31" t="n">
        <v>102900</v>
      </c>
      <c r="F184" s="31" t="n">
        <v>100159.2734375</v>
      </c>
      <c r="G184" s="31" t="n">
        <v>84311</v>
      </c>
      <c r="H184" s="36" t="n">
        <v>0.06742738589211617</v>
      </c>
      <c r="I184" s="36" t="n">
        <v>-0.4982935153583617</v>
      </c>
      <c r="J184" s="31" t="n">
        <v>97125</v>
      </c>
      <c r="K184" s="31" t="n">
        <v>105206.6666666667</v>
      </c>
      <c r="L184" s="31" t="n">
        <v>98541.66666666667</v>
      </c>
      <c r="M184" s="36" t="n">
        <v>0.3405513440140575</v>
      </c>
      <c r="N184" s="36" t="n">
        <v>0.3681274726188328</v>
      </c>
      <c r="O184" s="36" t="n">
        <v>0.04361054766734274</v>
      </c>
      <c r="P184" s="36" t="n">
        <v>0.04255319148936176</v>
      </c>
      <c r="Q184" s="36" t="n">
        <v>0.06853582554517135</v>
      </c>
      <c r="R184" s="36" t="n">
        <v>0.05945945945945952</v>
      </c>
      <c r="S184" s="36" t="n">
        <v>-0.02192509980356128</v>
      </c>
      <c r="T184" s="36" t="n">
        <v>0.04422832980972502</v>
      </c>
      <c r="U184" s="31" t="n">
        <v>117300</v>
      </c>
      <c r="V184" s="31" t="n">
        <v>81800</v>
      </c>
      <c r="W184" s="36" t="n">
        <v>-0.1227621483375959</v>
      </c>
      <c r="X184" s="36" t="n">
        <v>0.2579462102689487</v>
      </c>
      <c r="Y184" s="31" t="n">
        <v>11179416</v>
      </c>
      <c r="Z184" s="31" t="n">
        <v>1150361906400</v>
      </c>
      <c r="AA184" s="31" t="n">
        <v>8675601900</v>
      </c>
      <c r="AB184" s="31" t="n">
        <v>2952493335</v>
      </c>
      <c r="AC184" s="36" t="n">
        <v>0.007541628292569129</v>
      </c>
      <c r="AD184" s="29" t="inlineStr">
        <is>
          <t>yfinance_download</t>
        </is>
      </c>
      <c r="AE184" s="29" t="inlineStr">
        <is>
          <t>064760.KQ</t>
        </is>
      </c>
    </row>
    <row r="185" ht="24" customHeight="1">
      <c r="A185" s="24" t="inlineStr">
        <is>
          <t>2024-03-08</t>
        </is>
      </c>
      <c r="B185" s="30" t="n">
        <v>103400</v>
      </c>
      <c r="C185" s="30" t="n">
        <v>104000</v>
      </c>
      <c r="D185" s="30" t="n">
        <v>99500</v>
      </c>
      <c r="E185" s="30" t="n">
        <v>100700</v>
      </c>
      <c r="F185" s="30" t="n">
        <v>98017.875</v>
      </c>
      <c r="G185" s="30" t="n">
        <v>38238</v>
      </c>
      <c r="H185" s="35" t="n">
        <v>-0.02137998056365409</v>
      </c>
      <c r="I185" s="35" t="n">
        <v>-0.5090199902486592</v>
      </c>
      <c r="J185" s="30" t="n">
        <v>97175</v>
      </c>
      <c r="K185" s="30" t="n">
        <v>105175</v>
      </c>
      <c r="L185" s="30" t="n">
        <v>98574.16666666667</v>
      </c>
      <c r="M185" s="35" t="n">
        <v>0.3488754451978764</v>
      </c>
      <c r="N185" s="35" t="n">
        <v>0.3619871101814661</v>
      </c>
      <c r="O185" s="35" t="n">
        <v>0.01003009027081236</v>
      </c>
      <c r="P185" s="35" t="n">
        <v>-0.01851851851851849</v>
      </c>
      <c r="Q185" s="35" t="n">
        <v>0.040289256198347</v>
      </c>
      <c r="R185" s="35" t="n">
        <v>0.03627476202727031</v>
      </c>
      <c r="S185" s="35" t="n">
        <v>-0.0425481340622772</v>
      </c>
      <c r="T185" s="35" t="n">
        <v>0.02156582607004864</v>
      </c>
      <c r="U185" s="30" t="n">
        <v>117300</v>
      </c>
      <c r="V185" s="30" t="n">
        <v>81800</v>
      </c>
      <c r="W185" s="35" t="n">
        <v>-0.1415174765558397</v>
      </c>
      <c r="X185" s="35" t="n">
        <v>0.2310513447432763</v>
      </c>
      <c r="Y185" s="30" t="n">
        <v>11179416</v>
      </c>
      <c r="Z185" s="30" t="n">
        <v>1125767191200</v>
      </c>
      <c r="AA185" s="30" t="n">
        <v>3850566600</v>
      </c>
      <c r="AB185" s="30" t="n">
        <v>2996717915</v>
      </c>
      <c r="AC185" s="35" t="n">
        <v>0.003420393337183266</v>
      </c>
      <c r="AD185" s="24" t="inlineStr">
        <is>
          <t>yfinance_download</t>
        </is>
      </c>
      <c r="AE185" s="24" t="inlineStr">
        <is>
          <t>064760.KQ</t>
        </is>
      </c>
    </row>
    <row r="186" ht="24" customHeight="1">
      <c r="A186" s="29" t="inlineStr">
        <is>
          <t>2024-03-11</t>
        </is>
      </c>
      <c r="B186" s="31" t="n">
        <v>99500</v>
      </c>
      <c r="C186" s="31" t="n">
        <v>99500</v>
      </c>
      <c r="D186" s="31" t="n">
        <v>95000</v>
      </c>
      <c r="E186" s="31" t="n">
        <v>96300</v>
      </c>
      <c r="F186" s="31" t="n">
        <v>93735.0625</v>
      </c>
      <c r="G186" s="31" t="n">
        <v>43655</v>
      </c>
      <c r="H186" s="36" t="n">
        <v>-0.04369414101290958</v>
      </c>
      <c r="I186" s="36" t="n">
        <v>-0.530472940029254</v>
      </c>
      <c r="J186" s="31" t="n">
        <v>97040</v>
      </c>
      <c r="K186" s="31" t="n">
        <v>105101.6666666667</v>
      </c>
      <c r="L186" s="31" t="n">
        <v>98580.83333333333</v>
      </c>
      <c r="M186" s="36" t="n">
        <v>0.3823538974229593</v>
      </c>
      <c r="N186" s="36" t="n">
        <v>0.3710344203766751</v>
      </c>
      <c r="O186" s="36" t="n">
        <v>-0.02727272727272723</v>
      </c>
      <c r="P186" s="36" t="n">
        <v>-0.04369414101290958</v>
      </c>
      <c r="Q186" s="36" t="n">
        <v>0.008376963350785305</v>
      </c>
      <c r="R186" s="36" t="n">
        <v>-0.007625721352019776</v>
      </c>
      <c r="S186" s="36" t="n">
        <v>-0.08374431106389058</v>
      </c>
      <c r="T186" s="36" t="n">
        <v>-0.02313668140358582</v>
      </c>
      <c r="U186" s="31" t="n">
        <v>117300</v>
      </c>
      <c r="V186" s="31" t="n">
        <v>81800</v>
      </c>
      <c r="W186" s="36" t="n">
        <v>-0.1790281329923273</v>
      </c>
      <c r="X186" s="36" t="n">
        <v>0.1772616136919316</v>
      </c>
      <c r="Y186" s="31" t="n">
        <v>11179416</v>
      </c>
      <c r="Z186" s="31" t="n">
        <v>1076577760800</v>
      </c>
      <c r="AA186" s="31" t="n">
        <v>4203976500</v>
      </c>
      <c r="AB186" s="31" t="n">
        <v>3093037040</v>
      </c>
      <c r="AC186" s="36" t="n">
        <v>0.003904944587445355</v>
      </c>
      <c r="AD186" s="29" t="inlineStr">
        <is>
          <t>yfinance_download</t>
        </is>
      </c>
      <c r="AE186" s="29" t="inlineStr">
        <is>
          <t>064760.KQ</t>
        </is>
      </c>
    </row>
    <row r="187" ht="24" customHeight="1">
      <c r="A187" s="24" t="inlineStr">
        <is>
          <t>2024-03-12</t>
        </is>
      </c>
      <c r="B187" s="30" t="n">
        <v>97300</v>
      </c>
      <c r="C187" s="30" t="n">
        <v>100800</v>
      </c>
      <c r="D187" s="30" t="n">
        <v>96600</v>
      </c>
      <c r="E187" s="30" t="n">
        <v>99400</v>
      </c>
      <c r="F187" s="30" t="n">
        <v>96752.5</v>
      </c>
      <c r="G187" s="30" t="n">
        <v>44173</v>
      </c>
      <c r="H187" s="35" t="n">
        <v>0.03219106957424711</v>
      </c>
      <c r="I187" s="35" t="n">
        <v>-0.515358361774744</v>
      </c>
      <c r="J187" s="30" t="n">
        <v>97095</v>
      </c>
      <c r="K187" s="30" t="n">
        <v>104981.6666666667</v>
      </c>
      <c r="L187" s="30" t="n">
        <v>98611.66666666667</v>
      </c>
      <c r="M187" s="35" t="n">
        <v>0.3992604189781483</v>
      </c>
      <c r="N187" s="35" t="n">
        <v>0.3567534688592021</v>
      </c>
      <c r="O187" s="35" t="n">
        <v>0.01119023397761953</v>
      </c>
      <c r="P187" s="35" t="n">
        <v>-0.06754221388367732</v>
      </c>
      <c r="Q187" s="35" t="n">
        <v>0.03866248693834895</v>
      </c>
      <c r="R187" s="35" t="n">
        <v>0.0237396364385396</v>
      </c>
      <c r="S187" s="35" t="n">
        <v>-0.05316801346266808</v>
      </c>
      <c r="T187" s="35" t="n">
        <v>0.007994321158754092</v>
      </c>
      <c r="U187" s="30" t="n">
        <v>117300</v>
      </c>
      <c r="V187" s="30" t="n">
        <v>81800</v>
      </c>
      <c r="W187" s="35" t="n">
        <v>-0.1526001705029838</v>
      </c>
      <c r="X187" s="35" t="n">
        <v>0.2151589242053791</v>
      </c>
      <c r="Y187" s="30" t="n">
        <v>11179416</v>
      </c>
      <c r="Z187" s="30" t="n">
        <v>1111233950400</v>
      </c>
      <c r="AA187" s="30" t="n">
        <v>4390796200</v>
      </c>
      <c r="AB187" s="30" t="n">
        <v>3225630500</v>
      </c>
      <c r="AC187" s="35" t="n">
        <v>0.003951279744845348</v>
      </c>
      <c r="AD187" s="24" t="inlineStr">
        <is>
          <t>yfinance_download</t>
        </is>
      </c>
      <c r="AE187" s="24" t="inlineStr">
        <is>
          <t>064760.KQ</t>
        </is>
      </c>
    </row>
    <row r="188" ht="24" customHeight="1">
      <c r="A188" s="29" t="inlineStr">
        <is>
          <t>2024-03-13</t>
        </is>
      </c>
      <c r="B188" s="31" t="n">
        <v>100500</v>
      </c>
      <c r="C188" s="31" t="n">
        <v>102500</v>
      </c>
      <c r="D188" s="31" t="n">
        <v>98500</v>
      </c>
      <c r="E188" s="31" t="n">
        <v>100300</v>
      </c>
      <c r="F188" s="31" t="n">
        <v>97628.5234375</v>
      </c>
      <c r="G188" s="31" t="n">
        <v>28621</v>
      </c>
      <c r="H188" s="36" t="n">
        <v>0.009054325955734299</v>
      </c>
      <c r="I188" s="36" t="n">
        <v>-0.5109702584105315</v>
      </c>
      <c r="J188" s="31" t="n">
        <v>97250</v>
      </c>
      <c r="K188" s="31" t="n">
        <v>104818.3333333333</v>
      </c>
      <c r="L188" s="31" t="n">
        <v>98680</v>
      </c>
      <c r="M188" s="36" t="n">
        <v>0.3976244827840926</v>
      </c>
      <c r="N188" s="36" t="n">
        <v>0.3504168297035383</v>
      </c>
      <c r="O188" s="36" t="n">
        <v>0.03189300411522633</v>
      </c>
      <c r="P188" s="36" t="n">
        <v>-0.08900999091734785</v>
      </c>
      <c r="Q188" s="36" t="n">
        <v>0.0890336590662324</v>
      </c>
      <c r="R188" s="36" t="n">
        <v>0.03136246786632402</v>
      </c>
      <c r="S188" s="36" t="n">
        <v>-0.04310632681941773</v>
      </c>
      <c r="T188" s="36" t="n">
        <v>0.01641670044588572</v>
      </c>
      <c r="U188" s="31" t="n">
        <v>117300</v>
      </c>
      <c r="V188" s="31" t="n">
        <v>81800</v>
      </c>
      <c r="W188" s="36" t="n">
        <v>-0.144927536231884</v>
      </c>
      <c r="X188" s="36" t="n">
        <v>0.2261613691931541</v>
      </c>
      <c r="Y188" s="31" t="n">
        <v>11179416</v>
      </c>
      <c r="Z188" s="31" t="n">
        <v>1121295424800</v>
      </c>
      <c r="AA188" s="31" t="n">
        <v>2870686300</v>
      </c>
      <c r="AB188" s="31" t="n">
        <v>3167401915</v>
      </c>
      <c r="AC188" s="36" t="n">
        <v>0.002560151621515829</v>
      </c>
      <c r="AD188" s="29" t="inlineStr">
        <is>
          <t>yfinance_download</t>
        </is>
      </c>
      <c r="AE188" s="29" t="inlineStr">
        <is>
          <t>064760.KQ</t>
        </is>
      </c>
    </row>
    <row r="189" ht="24" customHeight="1">
      <c r="A189" s="24" t="inlineStr">
        <is>
          <t>2024-03-14</t>
        </is>
      </c>
      <c r="B189" s="30" t="n">
        <v>101000</v>
      </c>
      <c r="C189" s="30" t="n">
        <v>101500</v>
      </c>
      <c r="D189" s="30" t="n">
        <v>99200</v>
      </c>
      <c r="E189" s="30" t="n">
        <v>99900</v>
      </c>
      <c r="F189" s="30" t="n">
        <v>97239.1796875</v>
      </c>
      <c r="G189" s="30" t="n">
        <v>22220</v>
      </c>
      <c r="H189" s="35" t="n">
        <v>-0.003988035892322994</v>
      </c>
      <c r="I189" s="35" t="n">
        <v>-0.5129205265724037</v>
      </c>
      <c r="J189" s="30" t="n">
        <v>97460</v>
      </c>
      <c r="K189" s="30" t="n">
        <v>104691.6666666667</v>
      </c>
      <c r="L189" s="30" t="n">
        <v>98737.5</v>
      </c>
      <c r="M189" s="35" t="n">
        <v>0.3930703731424723</v>
      </c>
      <c r="N189" s="35" t="n">
        <v>0.3473774010136444</v>
      </c>
      <c r="O189" s="35" t="n">
        <v>0.0438871473354232</v>
      </c>
      <c r="P189" s="35" t="n">
        <v>-0.07069767441860464</v>
      </c>
      <c r="Q189" s="35" t="n">
        <v>0.0741935483870968</v>
      </c>
      <c r="R189" s="35" t="n">
        <v>0.02503591216909506</v>
      </c>
      <c r="S189" s="35" t="n">
        <v>-0.04576932261402533</v>
      </c>
      <c r="T189" s="35" t="n">
        <v>0.01177364223319399</v>
      </c>
      <c r="U189" s="30" t="n">
        <v>117300</v>
      </c>
      <c r="V189" s="30" t="n">
        <v>81800</v>
      </c>
      <c r="W189" s="35" t="n">
        <v>-0.1483375959079284</v>
      </c>
      <c r="X189" s="35" t="n">
        <v>0.2212713936430317</v>
      </c>
      <c r="Y189" s="30" t="n">
        <v>11179416</v>
      </c>
      <c r="Z189" s="30" t="n">
        <v>1116823658400</v>
      </c>
      <c r="AA189" s="30" t="n">
        <v>2219778000</v>
      </c>
      <c r="AB189" s="30" t="n">
        <v>2987414965</v>
      </c>
      <c r="AC189" s="35" t="n">
        <v>0.001987581462215915</v>
      </c>
      <c r="AD189" s="24" t="inlineStr">
        <is>
          <t>yfinance_download</t>
        </is>
      </c>
      <c r="AE189" s="24" t="inlineStr">
        <is>
          <t>064760.KQ</t>
        </is>
      </c>
    </row>
    <row r="190" ht="24" customHeight="1">
      <c r="A190" s="29" t="inlineStr">
        <is>
          <t>2024-03-15</t>
        </is>
      </c>
      <c r="B190" s="31" t="n">
        <v>98800</v>
      </c>
      <c r="C190" s="31" t="n">
        <v>99800</v>
      </c>
      <c r="D190" s="31" t="n">
        <v>98000</v>
      </c>
      <c r="E190" s="31" t="n">
        <v>99300</v>
      </c>
      <c r="F190" s="31" t="n">
        <v>96655.1640625</v>
      </c>
      <c r="G190" s="31" t="n">
        <v>15926</v>
      </c>
      <c r="H190" s="36" t="n">
        <v>-0.006006006006005982</v>
      </c>
      <c r="I190" s="36" t="n">
        <v>-0.5158459288152121</v>
      </c>
      <c r="J190" s="31" t="n">
        <v>97625</v>
      </c>
      <c r="K190" s="31" t="n">
        <v>104493.3333333333</v>
      </c>
      <c r="L190" s="31" t="n">
        <v>98788.33333333333</v>
      </c>
      <c r="M190" s="36" t="n">
        <v>0.3941930225198601</v>
      </c>
      <c r="N190" s="36" t="n">
        <v>0.3395700639914497</v>
      </c>
      <c r="O190" s="36" t="n">
        <v>0.03437500000000004</v>
      </c>
      <c r="P190" s="36" t="n">
        <v>-0.1070143884892086</v>
      </c>
      <c r="Q190" s="36" t="n">
        <v>0.06545064377682408</v>
      </c>
      <c r="R190" s="36" t="n">
        <v>0.01715749039692693</v>
      </c>
      <c r="S190" s="36" t="n">
        <v>-0.0497001403598315</v>
      </c>
      <c r="T190" s="36" t="n">
        <v>0.005179424021055201</v>
      </c>
      <c r="U190" s="31" t="n">
        <v>117300</v>
      </c>
      <c r="V190" s="31" t="n">
        <v>81800</v>
      </c>
      <c r="W190" s="36" t="n">
        <v>-0.1534526854219949</v>
      </c>
      <c r="X190" s="36" t="n">
        <v>0.2139364303178484</v>
      </c>
      <c r="Y190" s="31" t="n">
        <v>11179416</v>
      </c>
      <c r="Z190" s="31" t="n">
        <v>1110116008800</v>
      </c>
      <c r="AA190" s="31" t="n">
        <v>1581451800</v>
      </c>
      <c r="AB190" s="31" t="n">
        <v>2972450755</v>
      </c>
      <c r="AC190" s="36" t="n">
        <v>0.001424582464772757</v>
      </c>
      <c r="AD190" s="29" t="inlineStr">
        <is>
          <t>yfinance_download</t>
        </is>
      </c>
      <c r="AE190" s="29" t="inlineStr">
        <is>
          <t>064760.KQ</t>
        </is>
      </c>
    </row>
    <row r="191" ht="24" customHeight="1">
      <c r="A191" s="24" t="inlineStr">
        <is>
          <t>2024-03-18</t>
        </is>
      </c>
      <c r="B191" s="30" t="n">
        <v>99300</v>
      </c>
      <c r="C191" s="30" t="n">
        <v>103000</v>
      </c>
      <c r="D191" s="30" t="n">
        <v>98600</v>
      </c>
      <c r="E191" s="30" t="n">
        <v>102700</v>
      </c>
      <c r="F191" s="30" t="n">
        <v>99964.609375</v>
      </c>
      <c r="G191" s="30" t="n">
        <v>38475</v>
      </c>
      <c r="H191" s="35" t="n">
        <v>0.03423967774420955</v>
      </c>
      <c r="I191" s="35" t="n">
        <v>-0.4992686494392979</v>
      </c>
      <c r="J191" s="30" t="n">
        <v>97950</v>
      </c>
      <c r="K191" s="30" t="n">
        <v>104313.3333333333</v>
      </c>
      <c r="L191" s="30" t="n">
        <v>98856.66666666667</v>
      </c>
      <c r="M191" s="35" t="n">
        <v>0.4104927285065719</v>
      </c>
      <c r="N191" s="35" t="n">
        <v>0.3444811815404427</v>
      </c>
      <c r="O191" s="35" t="n">
        <v>0.06756756756756754</v>
      </c>
      <c r="P191" s="35" t="n">
        <v>-0.09515418502202644</v>
      </c>
      <c r="Q191" s="35" t="n">
        <v>0.08677248677248683</v>
      </c>
      <c r="R191" s="35" t="n">
        <v>0.04849412965798883</v>
      </c>
      <c r="S191" s="35" t="n">
        <v>-0.01546622355723137</v>
      </c>
      <c r="T191" s="35" t="n">
        <v>0.03887783659844213</v>
      </c>
      <c r="U191" s="30" t="n">
        <v>117300</v>
      </c>
      <c r="V191" s="30" t="n">
        <v>81800</v>
      </c>
      <c r="W191" s="35" t="n">
        <v>-0.124467178175618</v>
      </c>
      <c r="X191" s="35" t="n">
        <v>0.2555012224938875</v>
      </c>
      <c r="Y191" s="30" t="n">
        <v>11179416</v>
      </c>
      <c r="Z191" s="30" t="n">
        <v>1148126023200</v>
      </c>
      <c r="AA191" s="30" t="n">
        <v>3951382500</v>
      </c>
      <c r="AB191" s="30" t="n">
        <v>3078264320</v>
      </c>
      <c r="AC191" s="35" t="n">
        <v>0.003441593013445425</v>
      </c>
      <c r="AD191" s="24" t="inlineStr">
        <is>
          <t>yfinance_download</t>
        </is>
      </c>
      <c r="AE191" s="24" t="inlineStr">
        <is>
          <t>064760.KQ</t>
        </is>
      </c>
    </row>
    <row r="192" ht="24" customHeight="1">
      <c r="A192" s="29" t="inlineStr">
        <is>
          <t>2024-03-19</t>
        </is>
      </c>
      <c r="B192" s="31" t="n">
        <v>102500</v>
      </c>
      <c r="C192" s="31" t="n">
        <v>102500</v>
      </c>
      <c r="D192" s="31" t="n">
        <v>99600</v>
      </c>
      <c r="E192" s="31" t="n">
        <v>101000</v>
      </c>
      <c r="F192" s="31" t="n">
        <v>98309.8828125</v>
      </c>
      <c r="G192" s="31" t="n">
        <v>22361</v>
      </c>
      <c r="H192" s="36" t="n">
        <v>-0.0165530671859786</v>
      </c>
      <c r="I192" s="36" t="n">
        <v>-0.5075572891272551</v>
      </c>
      <c r="J192" s="31" t="n">
        <v>98170</v>
      </c>
      <c r="K192" s="31" t="n">
        <v>104173.3333333333</v>
      </c>
      <c r="L192" s="31" t="n">
        <v>98878.33333333333</v>
      </c>
      <c r="M192" s="36" t="n">
        <v>0.4166488720551081</v>
      </c>
      <c r="N192" s="36" t="n">
        <v>0.3383443630008848</v>
      </c>
      <c r="O192" s="36" t="n">
        <v>0.04554865424430643</v>
      </c>
      <c r="P192" s="36" t="n">
        <v>-0.07678244972577697</v>
      </c>
      <c r="Q192" s="36" t="n">
        <v>0.02642276422764223</v>
      </c>
      <c r="R192" s="36" t="n">
        <v>0.02882754405622889</v>
      </c>
      <c r="S192" s="36" t="n">
        <v>-0.03046205042877248</v>
      </c>
      <c r="T192" s="36" t="n">
        <v>0.02145734657070131</v>
      </c>
      <c r="U192" s="31" t="n">
        <v>117300</v>
      </c>
      <c r="V192" s="31" t="n">
        <v>81800</v>
      </c>
      <c r="W192" s="36" t="n">
        <v>-0.1389599317988065</v>
      </c>
      <c r="X192" s="36" t="n">
        <v>0.2347188264058679</v>
      </c>
      <c r="Y192" s="31" t="n">
        <v>11179416</v>
      </c>
      <c r="Z192" s="31" t="n">
        <v>1129121016000</v>
      </c>
      <c r="AA192" s="31" t="n">
        <v>2258461000</v>
      </c>
      <c r="AB192" s="31" t="n">
        <v>3094099540</v>
      </c>
      <c r="AC192" s="36" t="n">
        <v>0.002000193927840238</v>
      </c>
      <c r="AD192" s="29" t="inlineStr">
        <is>
          <t>yfinance_download</t>
        </is>
      </c>
      <c r="AE192" s="29" t="inlineStr">
        <is>
          <t>064760.KQ</t>
        </is>
      </c>
    </row>
    <row r="193" ht="24" customHeight="1">
      <c r="A193" s="24" t="inlineStr">
        <is>
          <t>2024-03-20</t>
        </is>
      </c>
      <c r="B193" s="30" t="n">
        <v>101000</v>
      </c>
      <c r="C193" s="30" t="n">
        <v>103200</v>
      </c>
      <c r="D193" s="30" t="n">
        <v>98500</v>
      </c>
      <c r="E193" s="30" t="n">
        <v>102400</v>
      </c>
      <c r="F193" s="30" t="n">
        <v>99672.5859375</v>
      </c>
      <c r="G193" s="30" t="n">
        <v>36747</v>
      </c>
      <c r="H193" s="35" t="n">
        <v>0.01386138613861387</v>
      </c>
      <c r="I193" s="35" t="n">
        <v>-0.5007313505607021</v>
      </c>
      <c r="J193" s="30" t="n">
        <v>98440</v>
      </c>
      <c r="K193" s="30" t="n">
        <v>103966.6666666667</v>
      </c>
      <c r="L193" s="30" t="n">
        <v>98925</v>
      </c>
      <c r="M193" s="35" t="n">
        <v>0.41856447920208</v>
      </c>
      <c r="N193" s="35" t="n">
        <v>0.3232104125241561</v>
      </c>
      <c r="O193" s="35" t="n">
        <v>0.05567010309278353</v>
      </c>
      <c r="P193" s="35" t="n">
        <v>-0.10801393728223</v>
      </c>
      <c r="Q193" s="35" t="n">
        <v>0.05785123966942152</v>
      </c>
      <c r="R193" s="35" t="n">
        <v>0.04022754977651366</v>
      </c>
      <c r="S193" s="35" t="n">
        <v>-0.01506893235011231</v>
      </c>
      <c r="T193" s="35" t="n">
        <v>0.03512762193580987</v>
      </c>
      <c r="U193" s="30" t="n">
        <v>117300</v>
      </c>
      <c r="V193" s="30" t="n">
        <v>81800</v>
      </c>
      <c r="W193" s="35" t="n">
        <v>-0.1270247229326513</v>
      </c>
      <c r="X193" s="35" t="n">
        <v>0.2518337408312958</v>
      </c>
      <c r="Y193" s="30" t="n">
        <v>11179416</v>
      </c>
      <c r="Z193" s="30" t="n">
        <v>1144772198400</v>
      </c>
      <c r="AA193" s="30" t="n">
        <v>3762892800</v>
      </c>
      <c r="AB193" s="30" t="n">
        <v>3199241280</v>
      </c>
      <c r="AC193" s="35" t="n">
        <v>0.003287023221964367</v>
      </c>
      <c r="AD193" s="24" t="inlineStr">
        <is>
          <t>yfinance_download</t>
        </is>
      </c>
      <c r="AE193" s="24" t="inlineStr">
        <is>
          <t>064760.KQ</t>
        </is>
      </c>
    </row>
    <row r="194" ht="24" customHeight="1">
      <c r="A194" s="29" t="inlineStr">
        <is>
          <t>2024-03-21</t>
        </is>
      </c>
      <c r="B194" s="31" t="n">
        <v>104000</v>
      </c>
      <c r="C194" s="31" t="n">
        <v>106500</v>
      </c>
      <c r="D194" s="31" t="n">
        <v>102900</v>
      </c>
      <c r="E194" s="31" t="n">
        <v>106000</v>
      </c>
      <c r="F194" s="31" t="n">
        <v>103176.703125</v>
      </c>
      <c r="G194" s="31" t="n">
        <v>78342</v>
      </c>
      <c r="H194" s="36" t="n">
        <v>0.03515625</v>
      </c>
      <c r="I194" s="36" t="n">
        <v>-0.4831789371038517</v>
      </c>
      <c r="J194" s="31" t="n">
        <v>98780</v>
      </c>
      <c r="K194" s="31" t="n">
        <v>103856.6666666667</v>
      </c>
      <c r="L194" s="31" t="n">
        <v>99011.66666666667</v>
      </c>
      <c r="M194" s="36" t="n">
        <v>0.4285526671086309</v>
      </c>
      <c r="N194" s="36" t="n">
        <v>0.3297798525744237</v>
      </c>
      <c r="O194" s="36" t="n">
        <v>0.06854838709677424</v>
      </c>
      <c r="P194" s="36" t="n">
        <v>-0.05861456483126115</v>
      </c>
      <c r="Q194" s="36" t="n">
        <v>0.108786610878661</v>
      </c>
      <c r="R194" s="36" t="n">
        <v>0.07309171897145172</v>
      </c>
      <c r="S194" s="36" t="n">
        <v>0.02063741695285159</v>
      </c>
      <c r="T194" s="36" t="n">
        <v>0.07058090797380778</v>
      </c>
      <c r="U194" s="31" t="n">
        <v>117300</v>
      </c>
      <c r="V194" s="31" t="n">
        <v>81800</v>
      </c>
      <c r="W194" s="36" t="n">
        <v>-0.09633418584825237</v>
      </c>
      <c r="X194" s="36" t="n">
        <v>0.2958435207823962</v>
      </c>
      <c r="Y194" s="31" t="n">
        <v>11179416</v>
      </c>
      <c r="Z194" s="31" t="n">
        <v>1185018096000</v>
      </c>
      <c r="AA194" s="31" t="n">
        <v>8304252000</v>
      </c>
      <c r="AB194" s="31" t="n">
        <v>3414927960</v>
      </c>
      <c r="AC194" s="36" t="n">
        <v>0.00700770058113948</v>
      </c>
      <c r="AD194" s="29" t="inlineStr">
        <is>
          <t>yfinance_download</t>
        </is>
      </c>
      <c r="AE194" s="29" t="inlineStr">
        <is>
          <t>064760.KQ</t>
        </is>
      </c>
    </row>
    <row r="195" ht="24" customHeight="1">
      <c r="A195" s="24" t="inlineStr">
        <is>
          <t>2024-03-22</t>
        </is>
      </c>
      <c r="B195" s="30" t="n">
        <v>107000</v>
      </c>
      <c r="C195" s="30" t="n">
        <v>115500</v>
      </c>
      <c r="D195" s="30" t="n">
        <v>106600</v>
      </c>
      <c r="E195" s="30" t="n">
        <v>110700</v>
      </c>
      <c r="F195" s="30" t="n">
        <v>107751.5234375</v>
      </c>
      <c r="G195" s="30" t="n">
        <v>148274</v>
      </c>
      <c r="H195" s="35" t="n">
        <v>0.04433962264150937</v>
      </c>
      <c r="I195" s="35" t="n">
        <v>-0.4602632862018528</v>
      </c>
      <c r="J195" s="30" t="n">
        <v>99385</v>
      </c>
      <c r="K195" s="30" t="n">
        <v>103853.3333333333</v>
      </c>
      <c r="L195" s="30" t="n">
        <v>99137.5</v>
      </c>
      <c r="M195" s="35" t="n">
        <v>0.4501864607571442</v>
      </c>
      <c r="N195" s="35" t="n">
        <v>0.3410732221022129</v>
      </c>
      <c r="O195" s="35" t="n">
        <v>0.1227180527383367</v>
      </c>
      <c r="P195" s="35" t="n">
        <v>-0.001803426510369688</v>
      </c>
      <c r="Q195" s="35" t="n">
        <v>0.1579497907949792</v>
      </c>
      <c r="R195" s="35" t="n">
        <v>0.1138501785983801</v>
      </c>
      <c r="S195" s="35" t="n">
        <v>0.06592630632943908</v>
      </c>
      <c r="T195" s="35" t="n">
        <v>0.1166309418736604</v>
      </c>
      <c r="U195" s="30" t="n">
        <v>117300</v>
      </c>
      <c r="V195" s="30" t="n">
        <v>81800</v>
      </c>
      <c r="W195" s="35" t="n">
        <v>-0.05626598465473143</v>
      </c>
      <c r="X195" s="35" t="n">
        <v>0.3533007334963325</v>
      </c>
      <c r="Y195" s="30" t="n">
        <v>11179416</v>
      </c>
      <c r="Z195" s="30" t="n">
        <v>1237561351200</v>
      </c>
      <c r="AA195" s="30" t="n">
        <v>16413931800</v>
      </c>
      <c r="AB195" s="30" t="n">
        <v>4119735040</v>
      </c>
      <c r="AC195" s="35" t="n">
        <v>0.01326312573036015</v>
      </c>
      <c r="AD195" s="24" t="inlineStr">
        <is>
          <t>yfinance_download</t>
        </is>
      </c>
      <c r="AE195" s="24" t="inlineStr">
        <is>
          <t>064760.KQ</t>
        </is>
      </c>
    </row>
    <row r="196" ht="24" customHeight="1">
      <c r="A196" s="29" t="inlineStr">
        <is>
          <t>2024-03-25</t>
        </is>
      </c>
      <c r="B196" s="31" t="n">
        <v>110700</v>
      </c>
      <c r="C196" s="31" t="n">
        <v>112100</v>
      </c>
      <c r="D196" s="31" t="n">
        <v>107700</v>
      </c>
      <c r="E196" s="31" t="n">
        <v>108300</v>
      </c>
      <c r="F196" s="31" t="n">
        <v>105415.4453125</v>
      </c>
      <c r="G196" s="31" t="n">
        <v>37505</v>
      </c>
      <c r="H196" s="36" t="n">
        <v>-0.02168021680216803</v>
      </c>
      <c r="I196" s="36" t="n">
        <v>-0.4719648951730863</v>
      </c>
      <c r="J196" s="31" t="n">
        <v>99945</v>
      </c>
      <c r="K196" s="31" t="n">
        <v>103801.6666666667</v>
      </c>
      <c r="L196" s="31" t="n">
        <v>99256.66666666667</v>
      </c>
      <c r="M196" s="36" t="n">
        <v>0.4548244342619534</v>
      </c>
      <c r="N196" s="36" t="n">
        <v>0.3438698302985406</v>
      </c>
      <c r="O196" s="36" t="n">
        <v>0.1153450051493305</v>
      </c>
      <c r="P196" s="36" t="n">
        <v>-0.02782764811490124</v>
      </c>
      <c r="Q196" s="36" t="n">
        <v>0.1521276595744681</v>
      </c>
      <c r="R196" s="36" t="n">
        <v>0.08359597778778327</v>
      </c>
      <c r="S196" s="36" t="n">
        <v>0.04333584881424501</v>
      </c>
      <c r="T196" s="36" t="n">
        <v>0.09111058870940658</v>
      </c>
      <c r="U196" s="31" t="n">
        <v>117300</v>
      </c>
      <c r="V196" s="31" t="n">
        <v>81800</v>
      </c>
      <c r="W196" s="36" t="n">
        <v>-0.07672634271099743</v>
      </c>
      <c r="X196" s="36" t="n">
        <v>0.3239608801955991</v>
      </c>
      <c r="Y196" s="31" t="n">
        <v>11179416</v>
      </c>
      <c r="Z196" s="31" t="n">
        <v>1210730752800</v>
      </c>
      <c r="AA196" s="31" t="n">
        <v>4061791500</v>
      </c>
      <c r="AB196" s="31" t="n">
        <v>4200551440</v>
      </c>
      <c r="AC196" s="36" t="n">
        <v>0.003354826405958952</v>
      </c>
      <c r="AD196" s="29" t="inlineStr">
        <is>
          <t>yfinance_download</t>
        </is>
      </c>
      <c r="AE196" s="29" t="inlineStr">
        <is>
          <t>064760.KQ</t>
        </is>
      </c>
    </row>
    <row r="197" ht="24" customHeight="1">
      <c r="A197" s="24" t="inlineStr">
        <is>
          <t>2024-03-26</t>
        </is>
      </c>
      <c r="B197" s="30" t="n">
        <v>108400</v>
      </c>
      <c r="C197" s="30" t="n">
        <v>110300</v>
      </c>
      <c r="D197" s="30" t="n">
        <v>105000</v>
      </c>
      <c r="E197" s="30" t="n">
        <v>105300</v>
      </c>
      <c r="F197" s="30" t="n">
        <v>102495.3515625</v>
      </c>
      <c r="G197" s="30" t="n">
        <v>47544</v>
      </c>
      <c r="H197" s="35" t="n">
        <v>-0.02770083102493071</v>
      </c>
      <c r="I197" s="35" t="n">
        <v>-0.4865919063871282</v>
      </c>
      <c r="J197" s="30" t="n">
        <v>100365</v>
      </c>
      <c r="K197" s="30" t="n">
        <v>103691.6666666667</v>
      </c>
      <c r="L197" s="30" t="n">
        <v>99345.83333333333</v>
      </c>
      <c r="M197" s="35" t="n">
        <v>0.4696119707327613</v>
      </c>
      <c r="N197" s="35" t="n">
        <v>0.3482780841424429</v>
      </c>
      <c r="O197" s="35" t="n">
        <v>0.08668730650154788</v>
      </c>
      <c r="P197" s="35" t="n">
        <v>-0.05898123324396787</v>
      </c>
      <c r="Q197" s="35" t="n">
        <v>0.1131078224101481</v>
      </c>
      <c r="R197" s="35" t="n">
        <v>0.0491705275743537</v>
      </c>
      <c r="S197" s="35" t="n">
        <v>0.01551072892389294</v>
      </c>
      <c r="T197" s="35" t="n">
        <v>0.05993373317116135</v>
      </c>
      <c r="U197" s="30" t="n">
        <v>117300</v>
      </c>
      <c r="V197" s="30" t="n">
        <v>81800</v>
      </c>
      <c r="W197" s="35" t="n">
        <v>-0.1023017902813299</v>
      </c>
      <c r="X197" s="35" t="n">
        <v>0.2872860635696821</v>
      </c>
      <c r="Y197" s="30" t="n">
        <v>11179416</v>
      </c>
      <c r="Z197" s="30" t="n">
        <v>1177192504800</v>
      </c>
      <c r="AA197" s="30" t="n">
        <v>5006383200</v>
      </c>
      <c r="AB197" s="30" t="n">
        <v>4387318735</v>
      </c>
      <c r="AC197" s="35" t="n">
        <v>0.004252816068388545</v>
      </c>
      <c r="AD197" s="24" t="inlineStr">
        <is>
          <t>yfinance_download</t>
        </is>
      </c>
      <c r="AE197" s="24" t="inlineStr">
        <is>
          <t>064760.KQ</t>
        </is>
      </c>
    </row>
    <row r="198" ht="24" customHeight="1">
      <c r="A198" s="29" t="inlineStr">
        <is>
          <t>2024-03-27</t>
        </is>
      </c>
      <c r="B198" s="31" t="n">
        <v>105300</v>
      </c>
      <c r="C198" s="31" t="n">
        <v>113400</v>
      </c>
      <c r="D198" s="31" t="n">
        <v>105200</v>
      </c>
      <c r="E198" s="31" t="n">
        <v>110300</v>
      </c>
      <c r="F198" s="31" t="n">
        <v>107362.1796875</v>
      </c>
      <c r="G198" s="31" t="n">
        <v>68452</v>
      </c>
      <c r="H198" s="36" t="n">
        <v>0.0474833808167141</v>
      </c>
      <c r="I198" s="36" t="n">
        <v>-0.462213554363725</v>
      </c>
      <c r="J198" s="31" t="n">
        <v>101160</v>
      </c>
      <c r="K198" s="31" t="n">
        <v>103688.3333333333</v>
      </c>
      <c r="L198" s="31" t="n">
        <v>99481.66666666667</v>
      </c>
      <c r="M198" s="36" t="n">
        <v>0.478698569749493</v>
      </c>
      <c r="N198" s="36" t="n">
        <v>0.3611118765375503</v>
      </c>
      <c r="O198" s="36" t="n">
        <v>0.1684322033898304</v>
      </c>
      <c r="P198" s="36" t="n">
        <v>-0.001809954751131215</v>
      </c>
      <c r="Q198" s="36" t="n">
        <v>0.1734042553191488</v>
      </c>
      <c r="R198" s="36" t="n">
        <v>0.09035191775405305</v>
      </c>
      <c r="S198" s="36" t="n">
        <v>0.0637648079983284</v>
      </c>
      <c r="T198" s="36" t="n">
        <v>0.1087470053108612</v>
      </c>
      <c r="U198" s="31" t="n">
        <v>117300</v>
      </c>
      <c r="V198" s="31" t="n">
        <v>81800</v>
      </c>
      <c r="W198" s="36" t="n">
        <v>-0.05967604433077578</v>
      </c>
      <c r="X198" s="36" t="n">
        <v>0.3484107579462103</v>
      </c>
      <c r="Y198" s="31" t="n">
        <v>11179416</v>
      </c>
      <c r="Z198" s="31" t="n">
        <v>1233089584800</v>
      </c>
      <c r="AA198" s="31" t="n">
        <v>7550255600</v>
      </c>
      <c r="AB198" s="31" t="n">
        <v>4618775835</v>
      </c>
      <c r="AC198" s="36" t="n">
        <v>0.006123038985220695</v>
      </c>
      <c r="AD198" s="29" t="inlineStr">
        <is>
          <t>yfinance_download</t>
        </is>
      </c>
      <c r="AE198" s="29" t="inlineStr">
        <is>
          <t>064760.KQ</t>
        </is>
      </c>
    </row>
    <row r="199" ht="24" customHeight="1">
      <c r="A199" s="24" t="inlineStr">
        <is>
          <t>2024-03-28</t>
        </is>
      </c>
      <c r="B199" s="30" t="n">
        <v>110300</v>
      </c>
      <c r="C199" s="30" t="n">
        <v>116500</v>
      </c>
      <c r="D199" s="30" t="n">
        <v>108500</v>
      </c>
      <c r="E199" s="30" t="n">
        <v>116100</v>
      </c>
      <c r="F199" s="30" t="n">
        <v>113007.6953125</v>
      </c>
      <c r="G199" s="30" t="n">
        <v>77750</v>
      </c>
      <c r="H199" s="35" t="n">
        <v>0.05258386219401623</v>
      </c>
      <c r="I199" s="35" t="n">
        <v>-0.4339346660165773</v>
      </c>
      <c r="J199" s="30" t="n">
        <v>102260</v>
      </c>
      <c r="K199" s="30" t="n">
        <v>103766.6666666667</v>
      </c>
      <c r="L199" s="30" t="n">
        <v>99660</v>
      </c>
      <c r="M199" s="35" t="n">
        <v>0.5014378097955499</v>
      </c>
      <c r="N199" s="35" t="n">
        <v>0.3764356584632763</v>
      </c>
      <c r="O199" s="35" t="n">
        <v>0.2337938363443146</v>
      </c>
      <c r="P199" s="35" t="n">
        <v>0.04219030520646316</v>
      </c>
      <c r="Q199" s="35" t="n">
        <v>0.2259767687434002</v>
      </c>
      <c r="R199" s="35" t="n">
        <v>0.1353412869157051</v>
      </c>
      <c r="S199" s="35" t="n">
        <v>0.1188564086090587</v>
      </c>
      <c r="T199" s="35" t="n">
        <v>0.1649608669476219</v>
      </c>
      <c r="U199" s="30" t="n">
        <v>117300</v>
      </c>
      <c r="V199" s="30" t="n">
        <v>81800</v>
      </c>
      <c r="W199" s="35" t="n">
        <v>-0.01023017902813295</v>
      </c>
      <c r="X199" s="35" t="n">
        <v>0.4193154034229829</v>
      </c>
      <c r="Y199" s="30" t="n">
        <v>11179416</v>
      </c>
      <c r="Z199" s="30" t="n">
        <v>1297930197600</v>
      </c>
      <c r="AA199" s="30" t="n">
        <v>9026775000</v>
      </c>
      <c r="AB199" s="30" t="n">
        <v>4968157235</v>
      </c>
      <c r="AC199" s="35" t="n">
        <v>0.006954746115539488</v>
      </c>
      <c r="AD199" s="24" t="inlineStr">
        <is>
          <t>yfinance_download</t>
        </is>
      </c>
      <c r="AE199" s="24" t="inlineStr">
        <is>
          <t>064760.KQ</t>
        </is>
      </c>
    </row>
    <row r="200" ht="24" customHeight="1">
      <c r="A200" s="29" t="inlineStr">
        <is>
          <t>2024-03-29</t>
        </is>
      </c>
      <c r="B200" s="31" t="n">
        <v>117600</v>
      </c>
      <c r="C200" s="31" t="n">
        <v>130100</v>
      </c>
      <c r="D200" s="31" t="n">
        <v>117200</v>
      </c>
      <c r="E200" s="31" t="n">
        <v>130100</v>
      </c>
      <c r="F200" s="31" t="n">
        <v>126634.8125</v>
      </c>
      <c r="G200" s="31" t="n">
        <v>209072</v>
      </c>
      <c r="H200" s="36" t="n">
        <v>0.1205857019810508</v>
      </c>
      <c r="I200" s="36" t="n">
        <v>-0.3656752803510482</v>
      </c>
      <c r="J200" s="31" t="n">
        <v>104030</v>
      </c>
      <c r="K200" s="31" t="n">
        <v>104080</v>
      </c>
      <c r="L200" s="31" t="n">
        <v>99955</v>
      </c>
      <c r="M200" s="36" t="n">
        <v>0.6337943159450042</v>
      </c>
      <c r="N200" s="36" t="n">
        <v>0.449174847595722</v>
      </c>
      <c r="O200" s="36" t="n">
        <v>0.3738120380147836</v>
      </c>
      <c r="P200" s="36" t="n">
        <v>0.1689128481581312</v>
      </c>
      <c r="Q200" s="36" t="n">
        <v>0.3738120380147836</v>
      </c>
      <c r="R200" s="36" t="n">
        <v>0.2506007882341632</v>
      </c>
      <c r="S200" s="36" t="n">
        <v>0.25</v>
      </c>
      <c r="T200" s="36" t="n">
        <v>0.3015857135711071</v>
      </c>
      <c r="U200" s="31" t="n">
        <v>130100</v>
      </c>
      <c r="V200" s="31" t="n">
        <v>81800</v>
      </c>
      <c r="W200" s="36" t="n">
        <v>0</v>
      </c>
      <c r="X200" s="36" t="n">
        <v>0.5904645476772616</v>
      </c>
      <c r="Y200" s="31" t="n">
        <v>11179416</v>
      </c>
      <c r="Z200" s="31" t="n">
        <v>1454442021600</v>
      </c>
      <c r="AA200" s="31" t="n">
        <v>27200267200</v>
      </c>
      <c r="AB200" s="31" t="n">
        <v>6238859025</v>
      </c>
      <c r="AC200" s="36" t="n">
        <v>0.01870151356743501</v>
      </c>
      <c r="AD200" s="29" t="inlineStr">
        <is>
          <t>yfinance_download</t>
        </is>
      </c>
      <c r="AE200" s="29" t="inlineStr">
        <is>
          <t>064760.KQ</t>
        </is>
      </c>
    </row>
    <row r="201" ht="24" customHeight="1">
      <c r="A201" s="24" t="inlineStr">
        <is>
          <t>2024-04-01</t>
        </is>
      </c>
      <c r="B201" s="30" t="n">
        <v>131500</v>
      </c>
      <c r="C201" s="30" t="n">
        <v>135000</v>
      </c>
      <c r="D201" s="30" t="n">
        <v>127500</v>
      </c>
      <c r="E201" s="30" t="n">
        <v>131400</v>
      </c>
      <c r="F201" s="30" t="n">
        <v>127900.1875</v>
      </c>
      <c r="G201" s="30" t="n">
        <v>102818</v>
      </c>
      <c r="H201" s="35" t="n">
        <v>0.009992313604919367</v>
      </c>
      <c r="I201" s="35" t="n">
        <v>-0.3593369088249634</v>
      </c>
      <c r="J201" s="30" t="n">
        <v>105715</v>
      </c>
      <c r="K201" s="30" t="n">
        <v>104315</v>
      </c>
      <c r="L201" s="30" t="n">
        <v>100285</v>
      </c>
      <c r="M201" s="35" t="n">
        <v>0.631685907519464</v>
      </c>
      <c r="N201" s="35" t="n">
        <v>0.4367553816693038</v>
      </c>
      <c r="O201" s="35" t="n">
        <v>0.3449334698055271</v>
      </c>
      <c r="P201" s="35" t="n">
        <v>0.1202046035805626</v>
      </c>
      <c r="Q201" s="35" t="n">
        <v>0.4313725490196079</v>
      </c>
      <c r="R201" s="35" t="n">
        <v>0.2429645745636855</v>
      </c>
      <c r="S201" s="35" t="n">
        <v>0.259646263720462</v>
      </c>
      <c r="T201" s="35" t="n">
        <v>0.3102657426334945</v>
      </c>
      <c r="U201" s="30" t="n">
        <v>131400</v>
      </c>
      <c r="V201" s="30" t="n">
        <v>81800</v>
      </c>
      <c r="W201" s="35" t="n">
        <v>0</v>
      </c>
      <c r="X201" s="35" t="n">
        <v>0.6063569682151588</v>
      </c>
      <c r="Y201" s="30" t="n">
        <v>11179416</v>
      </c>
      <c r="Z201" s="30" t="n">
        <v>1468975262400</v>
      </c>
      <c r="AA201" s="30" t="n">
        <v>13510285200</v>
      </c>
      <c r="AB201" s="30" t="n">
        <v>6716462395</v>
      </c>
      <c r="AC201" s="35" t="n">
        <v>0.009197081493344554</v>
      </c>
      <c r="AD201" s="24" t="inlineStr">
        <is>
          <t>yfinance_download</t>
        </is>
      </c>
      <c r="AE201" s="24" t="inlineStr">
        <is>
          <t>064760.KQ</t>
        </is>
      </c>
    </row>
    <row r="202" ht="24" customHeight="1">
      <c r="A202" s="29" t="inlineStr">
        <is>
          <t>2024-04-02</t>
        </is>
      </c>
      <c r="B202" s="31" t="n">
        <v>136900</v>
      </c>
      <c r="C202" s="31" t="n">
        <v>139100</v>
      </c>
      <c r="D202" s="31" t="n">
        <v>124000</v>
      </c>
      <c r="E202" s="31" t="n">
        <v>126900</v>
      </c>
      <c r="F202" s="31" t="n">
        <v>123520.0390625</v>
      </c>
      <c r="G202" s="31" t="n">
        <v>93703</v>
      </c>
      <c r="H202" s="36" t="n">
        <v>-0.03424657534246578</v>
      </c>
      <c r="I202" s="36" t="n">
        <v>-0.3812774256460263</v>
      </c>
      <c r="J202" s="31" t="n">
        <v>107320</v>
      </c>
      <c r="K202" s="31" t="n">
        <v>104503.3333333333</v>
      </c>
      <c r="L202" s="31" t="n">
        <v>100541.6666666667</v>
      </c>
      <c r="M202" s="36" t="n">
        <v>0.6362218819761554</v>
      </c>
      <c r="N202" s="36" t="n">
        <v>0.4418373841485918</v>
      </c>
      <c r="O202" s="36" t="n">
        <v>0.3386075949367089</v>
      </c>
      <c r="P202" s="36" t="n">
        <v>0.09775086505190322</v>
      </c>
      <c r="Q202" s="36" t="n">
        <v>0.3204994797086369</v>
      </c>
      <c r="R202" s="36" t="n">
        <v>0.182445024226612</v>
      </c>
      <c r="S202" s="36" t="n">
        <v>0.2143153328442475</v>
      </c>
      <c r="T202" s="36" t="n">
        <v>0.2621632822213011</v>
      </c>
      <c r="U202" s="31" t="n">
        <v>131400</v>
      </c>
      <c r="V202" s="31" t="n">
        <v>81800</v>
      </c>
      <c r="W202" s="36" t="n">
        <v>-0.03424657534246578</v>
      </c>
      <c r="X202" s="36" t="n">
        <v>0.5513447432762837</v>
      </c>
      <c r="Y202" s="31" t="n">
        <v>11179416</v>
      </c>
      <c r="Z202" s="31" t="n">
        <v>1418667890400</v>
      </c>
      <c r="AA202" s="31" t="n">
        <v>11890910700</v>
      </c>
      <c r="AB202" s="31" t="n">
        <v>7195982350</v>
      </c>
      <c r="AC202" s="36" t="n">
        <v>0.008381743733304137</v>
      </c>
      <c r="AD202" s="29" t="inlineStr">
        <is>
          <t>yfinance_download</t>
        </is>
      </c>
      <c r="AE202" s="29" t="inlineStr">
        <is>
          <t>064760.KQ</t>
        </is>
      </c>
    </row>
    <row r="203" ht="24" customHeight="1">
      <c r="A203" s="24" t="inlineStr">
        <is>
          <t>2024-04-03</t>
        </is>
      </c>
      <c r="B203" s="30" t="n">
        <v>123200</v>
      </c>
      <c r="C203" s="30" t="n">
        <v>129600</v>
      </c>
      <c r="D203" s="30" t="n">
        <v>122500</v>
      </c>
      <c r="E203" s="30" t="n">
        <v>128900</v>
      </c>
      <c r="F203" s="30" t="n">
        <v>125466.7734375</v>
      </c>
      <c r="G203" s="30" t="n">
        <v>71954</v>
      </c>
      <c r="H203" s="35" t="n">
        <v>0.01576044129235621</v>
      </c>
      <c r="I203" s="35" t="n">
        <v>-0.371526084836665</v>
      </c>
      <c r="J203" s="30" t="n">
        <v>108945</v>
      </c>
      <c r="K203" s="30" t="n">
        <v>104753.3333333333</v>
      </c>
      <c r="L203" s="30" t="n">
        <v>100810.8333333333</v>
      </c>
      <c r="M203" s="35" t="n">
        <v>0.6362004600041611</v>
      </c>
      <c r="N203" s="35" t="n">
        <v>0.4413504283549176</v>
      </c>
      <c r="O203" s="35" t="n">
        <v>0.3371369294605808</v>
      </c>
      <c r="P203" s="35" t="n">
        <v>0.131694468832309</v>
      </c>
      <c r="Q203" s="35" t="n">
        <v>0.334368530020704</v>
      </c>
      <c r="R203" s="35" t="n">
        <v>0.1831658176143927</v>
      </c>
      <c r="S203" s="35" t="n">
        <v>0.2305097689810984</v>
      </c>
      <c r="T203" s="35" t="n">
        <v>0.278632422110719</v>
      </c>
      <c r="U203" s="30" t="n">
        <v>131400</v>
      </c>
      <c r="V203" s="30" t="n">
        <v>81800</v>
      </c>
      <c r="W203" s="35" t="n">
        <v>-0.01902587519025878</v>
      </c>
      <c r="X203" s="35" t="n">
        <v>0.5757946210268949</v>
      </c>
      <c r="Y203" s="30" t="n">
        <v>11179416</v>
      </c>
      <c r="Z203" s="30" t="n">
        <v>1441026722400</v>
      </c>
      <c r="AA203" s="30" t="n">
        <v>9274870600</v>
      </c>
      <c r="AB203" s="30" t="n">
        <v>7500265820</v>
      </c>
      <c r="AC203" s="35" t="n">
        <v>0.006436293273280107</v>
      </c>
      <c r="AD203" s="24" t="inlineStr">
        <is>
          <t>yfinance_download</t>
        </is>
      </c>
      <c r="AE203" s="24" t="inlineStr">
        <is>
          <t>064760.KQ</t>
        </is>
      </c>
    </row>
    <row r="204" ht="24" customHeight="1">
      <c r="A204" s="29" t="inlineStr">
        <is>
          <t>2024-04-04</t>
        </is>
      </c>
      <c r="B204" s="31" t="n">
        <v>132300</v>
      </c>
      <c r="C204" s="31" t="n">
        <v>136200</v>
      </c>
      <c r="D204" s="31" t="n">
        <v>128100</v>
      </c>
      <c r="E204" s="31" t="n">
        <v>130400</v>
      </c>
      <c r="F204" s="31" t="n">
        <v>126926.8203125</v>
      </c>
      <c r="G204" s="31" t="n">
        <v>62833</v>
      </c>
      <c r="H204" s="36" t="n">
        <v>0.01163692785104731</v>
      </c>
      <c r="I204" s="36" t="n">
        <v>-0.3642125792296441</v>
      </c>
      <c r="J204" s="31" t="n">
        <v>110320</v>
      </c>
      <c r="K204" s="31" t="n">
        <v>105028.3333333333</v>
      </c>
      <c r="L204" s="31" t="n">
        <v>101105.8333333333</v>
      </c>
      <c r="M204" s="36" t="n">
        <v>0.6057482284592488</v>
      </c>
      <c r="N204" s="36" t="n">
        <v>0.441720536411478</v>
      </c>
      <c r="O204" s="36" t="n">
        <v>0.2672497570456753</v>
      </c>
      <c r="P204" s="36" t="n">
        <v>0.14486391571554</v>
      </c>
      <c r="Q204" s="36" t="n">
        <v>0.3726315789473684</v>
      </c>
      <c r="R204" s="36" t="n">
        <v>0.1820159535895576</v>
      </c>
      <c r="S204" s="36" t="n">
        <v>0.2415697351508324</v>
      </c>
      <c r="T204" s="36" t="n">
        <v>0.2897376511411311</v>
      </c>
      <c r="U204" s="31" t="n">
        <v>131400</v>
      </c>
      <c r="V204" s="31" t="n">
        <v>81800</v>
      </c>
      <c r="W204" s="36" t="n">
        <v>-0.007610350076103556</v>
      </c>
      <c r="X204" s="36" t="n">
        <v>0.5941320293398533</v>
      </c>
      <c r="Y204" s="31" t="n">
        <v>11179416</v>
      </c>
      <c r="Z204" s="31" t="n">
        <v>1457795846400</v>
      </c>
      <c r="AA204" s="31" t="n">
        <v>8193423200</v>
      </c>
      <c r="AB204" s="31" t="n">
        <v>7476156885</v>
      </c>
      <c r="AC204" s="36" t="n">
        <v>0.005620418812574825</v>
      </c>
      <c r="AD204" s="29" t="inlineStr">
        <is>
          <t>yfinance_download</t>
        </is>
      </c>
      <c r="AE204" s="29" t="inlineStr">
        <is>
          <t>064760.KQ</t>
        </is>
      </c>
    </row>
    <row r="205" ht="24" customHeight="1">
      <c r="A205" s="24" t="inlineStr">
        <is>
          <t>2024-04-05</t>
        </is>
      </c>
      <c r="B205" s="30" t="n">
        <v>125500</v>
      </c>
      <c r="C205" s="30" t="n">
        <v>136800</v>
      </c>
      <c r="D205" s="30" t="n">
        <v>125500</v>
      </c>
      <c r="E205" s="30" t="n">
        <v>133600</v>
      </c>
      <c r="F205" s="30" t="n">
        <v>130041.5859375</v>
      </c>
      <c r="G205" s="30" t="n">
        <v>68418</v>
      </c>
      <c r="H205" s="35" t="n">
        <v>0.02453987730061358</v>
      </c>
      <c r="I205" s="35" t="n">
        <v>-0.3486104339346661</v>
      </c>
      <c r="J205" s="30" t="n">
        <v>111965</v>
      </c>
      <c r="K205" s="30" t="n">
        <v>105331.6666666667</v>
      </c>
      <c r="L205" s="30" t="n">
        <v>101439.1666666667</v>
      </c>
      <c r="M205" s="35" t="n">
        <v>0.5934065776306949</v>
      </c>
      <c r="N205" s="35" t="n">
        <v>0.4434906633078594</v>
      </c>
      <c r="O205" s="35" t="n">
        <v>0.3267130089374379</v>
      </c>
      <c r="P205" s="35" t="n">
        <v>0.1577123050259965</v>
      </c>
      <c r="Q205" s="35" t="n">
        <v>0.4273504273504274</v>
      </c>
      <c r="R205" s="35" t="n">
        <v>0.1932300272406555</v>
      </c>
      <c r="S205" s="35" t="n">
        <v>0.2683744995965125</v>
      </c>
      <c r="T205" s="35" t="n">
        <v>0.317045519892875</v>
      </c>
      <c r="U205" s="30" t="n">
        <v>133600</v>
      </c>
      <c r="V205" s="30" t="n">
        <v>81800</v>
      </c>
      <c r="W205" s="35" t="n">
        <v>0</v>
      </c>
      <c r="X205" s="35" t="n">
        <v>0.6332518337408313</v>
      </c>
      <c r="Y205" s="30" t="n">
        <v>11179416</v>
      </c>
      <c r="Z205" s="30" t="n">
        <v>1493569977600</v>
      </c>
      <c r="AA205" s="30" t="n">
        <v>9140644800</v>
      </c>
      <c r="AB205" s="30" t="n">
        <v>7740660795</v>
      </c>
      <c r="AC205" s="35" t="n">
        <v>0.006119997681453128</v>
      </c>
      <c r="AD205" s="24" t="inlineStr">
        <is>
          <t>yfinance_download</t>
        </is>
      </c>
      <c r="AE205" s="24" t="inlineStr">
        <is>
          <t>064760.KQ</t>
        </is>
      </c>
    </row>
    <row r="206" ht="24" customHeight="1">
      <c r="A206" s="29" t="inlineStr">
        <is>
          <t>2024-04-08</t>
        </is>
      </c>
      <c r="B206" s="31" t="n">
        <v>133600</v>
      </c>
      <c r="C206" s="31" t="n">
        <v>134200</v>
      </c>
      <c r="D206" s="31" t="n">
        <v>128900</v>
      </c>
      <c r="E206" s="31" t="n">
        <v>129600</v>
      </c>
      <c r="F206" s="31" t="n">
        <v>126148.125</v>
      </c>
      <c r="G206" s="31" t="n">
        <v>44159</v>
      </c>
      <c r="H206" s="36" t="n">
        <v>-0.02994011976047906</v>
      </c>
      <c r="I206" s="36" t="n">
        <v>-0.3681131155533885</v>
      </c>
      <c r="J206" s="31" t="n">
        <v>113630</v>
      </c>
      <c r="K206" s="31" t="n">
        <v>105596.6666666667</v>
      </c>
      <c r="L206" s="31" t="n">
        <v>101725.8333333333</v>
      </c>
      <c r="M206" s="36" t="n">
        <v>0.5771874526450195</v>
      </c>
      <c r="N206" s="36" t="n">
        <v>0.447141291404873</v>
      </c>
      <c r="O206" s="36" t="n">
        <v>0.3457943925233644</v>
      </c>
      <c r="P206" s="36" t="n">
        <v>0.1398416886543536</v>
      </c>
      <c r="Q206" s="36" t="n">
        <v>0.3613445378151261</v>
      </c>
      <c r="R206" s="36" t="n">
        <v>0.1405438704567457</v>
      </c>
      <c r="S206" s="36" t="n">
        <v>0.2273114681650303</v>
      </c>
      <c r="T206" s="36" t="n">
        <v>0.2740126647606722</v>
      </c>
      <c r="U206" s="31" t="n">
        <v>133600</v>
      </c>
      <c r="V206" s="31" t="n">
        <v>81800</v>
      </c>
      <c r="W206" s="36" t="n">
        <v>-0.02994011976047906</v>
      </c>
      <c r="X206" s="36" t="n">
        <v>0.5843520782396088</v>
      </c>
      <c r="Y206" s="31" t="n">
        <v>11179416</v>
      </c>
      <c r="Z206" s="31" t="n">
        <v>1448852313600</v>
      </c>
      <c r="AA206" s="31" t="n">
        <v>5723006400</v>
      </c>
      <c r="AB206" s="31" t="n">
        <v>7816612290</v>
      </c>
      <c r="AC206" s="36" t="n">
        <v>0.003950027443293997</v>
      </c>
      <c r="AD206" s="29" t="inlineStr">
        <is>
          <t>yfinance_download</t>
        </is>
      </c>
      <c r="AE206" s="29" t="inlineStr">
        <is>
          <t>064760.KQ</t>
        </is>
      </c>
    </row>
    <row r="207" ht="24" customHeight="1">
      <c r="A207" s="24" t="inlineStr">
        <is>
          <t>2024-04-09</t>
        </is>
      </c>
      <c r="B207" s="30" t="n">
        <v>129600</v>
      </c>
      <c r="C207" s="30" t="n">
        <v>133900</v>
      </c>
      <c r="D207" s="30" t="n">
        <v>126700</v>
      </c>
      <c r="E207" s="30" t="n">
        <v>132000</v>
      </c>
      <c r="F207" s="30" t="n">
        <v>128484.203125</v>
      </c>
      <c r="G207" s="30" t="n">
        <v>42810</v>
      </c>
      <c r="H207" s="35" t="n">
        <v>0.0185185185185186</v>
      </c>
      <c r="I207" s="35" t="n">
        <v>-0.356411506582155</v>
      </c>
      <c r="J207" s="30" t="n">
        <v>115260</v>
      </c>
      <c r="K207" s="30" t="n">
        <v>105941.6666666667</v>
      </c>
      <c r="L207" s="30" t="n">
        <v>102060</v>
      </c>
      <c r="M207" s="35" t="n">
        <v>0.5739956277272882</v>
      </c>
      <c r="N207" s="35" t="n">
        <v>0.4455529514990475</v>
      </c>
      <c r="O207" s="35" t="n">
        <v>0.3279678068410463</v>
      </c>
      <c r="P207" s="35" t="n">
        <v>0.1859838274932615</v>
      </c>
      <c r="Q207" s="35" t="n">
        <v>0.4363438520130576</v>
      </c>
      <c r="R207" s="35" t="n">
        <v>0.1452368558042687</v>
      </c>
      <c r="S207" s="35" t="n">
        <v>0.2459686934633838</v>
      </c>
      <c r="T207" s="35" t="n">
        <v>0.2933568489124045</v>
      </c>
      <c r="U207" s="30" t="n">
        <v>133600</v>
      </c>
      <c r="V207" s="30" t="n">
        <v>81800</v>
      </c>
      <c r="W207" s="35" t="n">
        <v>-0.0119760479041916</v>
      </c>
      <c r="X207" s="35" t="n">
        <v>0.6136919315403424</v>
      </c>
      <c r="Y207" s="30" t="n">
        <v>11179416</v>
      </c>
      <c r="Z207" s="30" t="n">
        <v>1475682912000</v>
      </c>
      <c r="AA207" s="30" t="n">
        <v>5650920000</v>
      </c>
      <c r="AB207" s="30" t="n">
        <v>7879618480</v>
      </c>
      <c r="AC207" s="35" t="n">
        <v>0.003829359243810231</v>
      </c>
      <c r="AD207" s="24" t="inlineStr">
        <is>
          <t>yfinance_download</t>
        </is>
      </c>
      <c r="AE207" s="24" t="inlineStr">
        <is>
          <t>064760.KQ</t>
        </is>
      </c>
    </row>
    <row r="208" ht="24" customHeight="1">
      <c r="A208" s="29" t="inlineStr">
        <is>
          <t>2024-04-11</t>
        </is>
      </c>
      <c r="B208" s="31" t="n">
        <v>129700</v>
      </c>
      <c r="C208" s="31" t="n">
        <v>135500</v>
      </c>
      <c r="D208" s="31" t="n">
        <v>126200</v>
      </c>
      <c r="E208" s="31" t="n">
        <v>129900</v>
      </c>
      <c r="F208" s="31" t="n">
        <v>126440.1328125</v>
      </c>
      <c r="G208" s="31" t="n">
        <v>55348</v>
      </c>
      <c r="H208" s="36" t="n">
        <v>-0.01590909090909087</v>
      </c>
      <c r="I208" s="36" t="n">
        <v>-0.3666504144319844</v>
      </c>
      <c r="J208" s="31" t="n">
        <v>116740</v>
      </c>
      <c r="K208" s="31" t="n">
        <v>106268.3333333333</v>
      </c>
      <c r="L208" s="31" t="n">
        <v>102383.3333333333</v>
      </c>
      <c r="M208" s="36" t="n">
        <v>0.5841077622865672</v>
      </c>
      <c r="N208" s="36" t="n">
        <v>0.4465881406253662</v>
      </c>
      <c r="O208" s="36" t="n">
        <v>0.2951146560319042</v>
      </c>
      <c r="P208" s="36" t="n">
        <v>0.1776971894832275</v>
      </c>
      <c r="Q208" s="36" t="n">
        <v>0.4259055982436883</v>
      </c>
      <c r="R208" s="36" t="n">
        <v>0.112729141682371</v>
      </c>
      <c r="S208" s="36" t="n">
        <v>0.2223773152867741</v>
      </c>
      <c r="T208" s="36" t="n">
        <v>0.2687611916001955</v>
      </c>
      <c r="U208" s="31" t="n">
        <v>133600</v>
      </c>
      <c r="V208" s="31" t="n">
        <v>81800</v>
      </c>
      <c r="W208" s="36" t="n">
        <v>-0.02769461077844315</v>
      </c>
      <c r="X208" s="36" t="n">
        <v>0.5880195599022005</v>
      </c>
      <c r="Y208" s="31" t="n">
        <v>11179416</v>
      </c>
      <c r="Z208" s="31" t="n">
        <v>1452206138400</v>
      </c>
      <c r="AA208" s="31" t="n">
        <v>7189705200</v>
      </c>
      <c r="AB208" s="31" t="n">
        <v>8095569425</v>
      </c>
      <c r="AC208" s="36" t="n">
        <v>0.004950884733156007</v>
      </c>
      <c r="AD208" s="29" t="inlineStr">
        <is>
          <t>yfinance_download</t>
        </is>
      </c>
      <c r="AE208" s="29" t="inlineStr">
        <is>
          <t>064760.KQ</t>
        </is>
      </c>
    </row>
    <row r="209" ht="24" customHeight="1">
      <c r="A209" s="24" t="inlineStr">
        <is>
          <t>2024-04-12</t>
        </is>
      </c>
      <c r="B209" s="30" t="n">
        <v>132000</v>
      </c>
      <c r="C209" s="30" t="n">
        <v>141100</v>
      </c>
      <c r="D209" s="30" t="n">
        <v>129500</v>
      </c>
      <c r="E209" s="30" t="n">
        <v>133000</v>
      </c>
      <c r="F209" s="30" t="n">
        <v>129457.5703125</v>
      </c>
      <c r="G209" s="30" t="n">
        <v>105595</v>
      </c>
      <c r="H209" s="35" t="n">
        <v>0.02386451116243271</v>
      </c>
      <c r="I209" s="35" t="n">
        <v>-0.3515358361774744</v>
      </c>
      <c r="J209" s="30" t="n">
        <v>118395</v>
      </c>
      <c r="K209" s="30" t="n">
        <v>106675</v>
      </c>
      <c r="L209" s="30" t="n">
        <v>102726.6666666667</v>
      </c>
      <c r="M209" s="35" t="n">
        <v>0.581323594378556</v>
      </c>
      <c r="N209" s="35" t="n">
        <v>0.4468848033821687</v>
      </c>
      <c r="O209" s="35" t="n">
        <v>0.3313313313313313</v>
      </c>
      <c r="P209" s="35" t="n">
        <v>0.2246777163904237</v>
      </c>
      <c r="Q209" s="35" t="n">
        <v>0.44880174291939</v>
      </c>
      <c r="R209" s="35" t="n">
        <v>0.1233582499260948</v>
      </c>
      <c r="S209" s="35" t="n">
        <v>0.2467775955003515</v>
      </c>
      <c r="T209" s="35" t="n">
        <v>0.2946979038224413</v>
      </c>
      <c r="U209" s="30" t="n">
        <v>133600</v>
      </c>
      <c r="V209" s="30" t="n">
        <v>81800</v>
      </c>
      <c r="W209" s="35" t="n">
        <v>-0.004491017964071808</v>
      </c>
      <c r="X209" s="35" t="n">
        <v>0.6259168704156479</v>
      </c>
      <c r="Y209" s="30" t="n">
        <v>11179416</v>
      </c>
      <c r="Z209" s="30" t="n">
        <v>1486862328000</v>
      </c>
      <c r="AA209" s="30" t="n">
        <v>14044135000</v>
      </c>
      <c r="AB209" s="30" t="n">
        <v>8686787275</v>
      </c>
      <c r="AC209" s="35" t="n">
        <v>0.009445484451066138</v>
      </c>
      <c r="AD209" s="24" t="inlineStr">
        <is>
          <t>yfinance_download</t>
        </is>
      </c>
      <c r="AE209" s="24" t="inlineStr">
        <is>
          <t>064760.KQ</t>
        </is>
      </c>
    </row>
    <row r="210" ht="24" customHeight="1">
      <c r="A210" s="29" t="inlineStr">
        <is>
          <t>2024-04-15</t>
        </is>
      </c>
      <c r="B210" s="31" t="n">
        <v>129500</v>
      </c>
      <c r="C210" s="31" t="n">
        <v>141000</v>
      </c>
      <c r="D210" s="31" t="n">
        <v>127100</v>
      </c>
      <c r="E210" s="31" t="n">
        <v>137700</v>
      </c>
      <c r="F210" s="31" t="n">
        <v>134032.390625</v>
      </c>
      <c r="G210" s="31" t="n">
        <v>132031</v>
      </c>
      <c r="H210" s="36" t="n">
        <v>0.03533834586466167</v>
      </c>
      <c r="I210" s="36" t="n">
        <v>-0.3286201852754754</v>
      </c>
      <c r="J210" s="31" t="n">
        <v>120315</v>
      </c>
      <c r="K210" s="31" t="n">
        <v>107155</v>
      </c>
      <c r="L210" s="31" t="n">
        <v>103126.6666666667</v>
      </c>
      <c r="M210" s="36" t="n">
        <v>0.5800073779205777</v>
      </c>
      <c r="N210" s="36" t="n">
        <v>0.4515357204111566</v>
      </c>
      <c r="O210" s="36" t="n">
        <v>0.3867069486404835</v>
      </c>
      <c r="P210" s="36" t="n">
        <v>0.2644628099173554</v>
      </c>
      <c r="Q210" s="36" t="n">
        <v>0.5351170568561874</v>
      </c>
      <c r="R210" s="36" t="n">
        <v>0.1444956987906745</v>
      </c>
      <c r="S210" s="36" t="n">
        <v>0.2850543605058093</v>
      </c>
      <c r="T210" s="36" t="n">
        <v>0.3352511474562028</v>
      </c>
      <c r="U210" s="31" t="n">
        <v>137700</v>
      </c>
      <c r="V210" s="31" t="n">
        <v>81800</v>
      </c>
      <c r="W210" s="36" t="n">
        <v>0</v>
      </c>
      <c r="X210" s="36" t="n">
        <v>0.6833740831295843</v>
      </c>
      <c r="Y210" s="31" t="n">
        <v>11179416</v>
      </c>
      <c r="Z210" s="31" t="n">
        <v>1539405583200</v>
      </c>
      <c r="AA210" s="31" t="n">
        <v>18180668700</v>
      </c>
      <c r="AB210" s="31" t="n">
        <v>9516748120</v>
      </c>
      <c r="AC210" s="36" t="n">
        <v>0.01181018758046037</v>
      </c>
      <c r="AD210" s="29" t="inlineStr">
        <is>
          <t>yfinance_download</t>
        </is>
      </c>
      <c r="AE210" s="29" t="inlineStr">
        <is>
          <t>064760.KQ</t>
        </is>
      </c>
    </row>
    <row r="211" ht="24" customHeight="1">
      <c r="A211" s="24" t="inlineStr">
        <is>
          <t>2024-04-16</t>
        </is>
      </c>
      <c r="B211" s="30" t="n">
        <v>135800</v>
      </c>
      <c r="C211" s="30" t="n">
        <v>138700</v>
      </c>
      <c r="D211" s="30" t="n">
        <v>131200</v>
      </c>
      <c r="E211" s="30" t="n">
        <v>133000</v>
      </c>
      <c r="F211" s="30" t="n">
        <v>129457.5703125</v>
      </c>
      <c r="G211" s="30" t="n">
        <v>55845</v>
      </c>
      <c r="H211" s="35" t="n">
        <v>-0.03413217138707336</v>
      </c>
      <c r="I211" s="35" t="n">
        <v>-0.3515358361774744</v>
      </c>
      <c r="J211" s="30" t="n">
        <v>121830</v>
      </c>
      <c r="K211" s="30" t="n">
        <v>107595</v>
      </c>
      <c r="L211" s="30" t="n">
        <v>103523.3333333333</v>
      </c>
      <c r="M211" s="35" t="n">
        <v>0.603500425210125</v>
      </c>
      <c r="N211" s="35" t="n">
        <v>0.455435859788752</v>
      </c>
      <c r="O211" s="35" t="n">
        <v>0.2950340798442064</v>
      </c>
      <c r="P211" s="35" t="n">
        <v>0.2476547842401502</v>
      </c>
      <c r="Q211" s="35" t="n">
        <v>0.5573770491803278</v>
      </c>
      <c r="R211" s="35" t="n">
        <v>0.09168513502421405</v>
      </c>
      <c r="S211" s="35" t="n">
        <v>0.2361169199312236</v>
      </c>
      <c r="T211" s="35" t="n">
        <v>0.2847345203979779</v>
      </c>
      <c r="U211" s="30" t="n">
        <v>137700</v>
      </c>
      <c r="V211" s="30" t="n">
        <v>81800</v>
      </c>
      <c r="W211" s="35" t="n">
        <v>-0.03413217138707336</v>
      </c>
      <c r="X211" s="35" t="n">
        <v>0.6259168704156479</v>
      </c>
      <c r="Y211" s="30" t="n">
        <v>11179416</v>
      </c>
      <c r="Z211" s="30" t="n">
        <v>1486862328000</v>
      </c>
      <c r="AA211" s="30" t="n">
        <v>7427385000</v>
      </c>
      <c r="AB211" s="30" t="n">
        <v>9690548245</v>
      </c>
      <c r="AC211" s="35" t="n">
        <v>0.004995341438228973</v>
      </c>
      <c r="AD211" s="24" t="inlineStr">
        <is>
          <t>yfinance_download</t>
        </is>
      </c>
      <c r="AE211" s="24" t="inlineStr">
        <is>
          <t>064760.KQ</t>
        </is>
      </c>
    </row>
    <row r="212" ht="24" customHeight="1">
      <c r="A212" s="29" t="inlineStr">
        <is>
          <t>2024-04-17</t>
        </is>
      </c>
      <c r="B212" s="31" t="n">
        <v>134500</v>
      </c>
      <c r="C212" s="31" t="n">
        <v>140600</v>
      </c>
      <c r="D212" s="31" t="n">
        <v>133500</v>
      </c>
      <c r="E212" s="31" t="n">
        <v>136500</v>
      </c>
      <c r="F212" s="31" t="n">
        <v>132864.359375</v>
      </c>
      <c r="G212" s="31" t="n">
        <v>71630</v>
      </c>
      <c r="H212" s="36" t="n">
        <v>0.02631578947368429</v>
      </c>
      <c r="I212" s="36" t="n">
        <v>-0.3344709897610921</v>
      </c>
      <c r="J212" s="31" t="n">
        <v>123605</v>
      </c>
      <c r="K212" s="31" t="n">
        <v>108101.6666666667</v>
      </c>
      <c r="L212" s="31" t="n">
        <v>103965</v>
      </c>
      <c r="M212" s="36" t="n">
        <v>0.5941333132669855</v>
      </c>
      <c r="N212" s="36" t="n">
        <v>0.4573118892315972</v>
      </c>
      <c r="O212" s="36" t="n">
        <v>0.3514851485148516</v>
      </c>
      <c r="P212" s="36" t="n">
        <v>0.2865221489161169</v>
      </c>
      <c r="Q212" s="36" t="n">
        <v>0.6347305389221556</v>
      </c>
      <c r="R212" s="36" t="n">
        <v>0.1043242587273978</v>
      </c>
      <c r="S212" s="36" t="n">
        <v>0.2627002358890549</v>
      </c>
      <c r="T212" s="36" t="n">
        <v>0.3129418554321166</v>
      </c>
      <c r="U212" s="31" t="n">
        <v>137700</v>
      </c>
      <c r="V212" s="31" t="n">
        <v>81800</v>
      </c>
      <c r="W212" s="36" t="n">
        <v>-0.008714596949891074</v>
      </c>
      <c r="X212" s="36" t="n">
        <v>0.6687041564792175</v>
      </c>
      <c r="Y212" s="31" t="n">
        <v>11179416</v>
      </c>
      <c r="Z212" s="31" t="n">
        <v>1525990284000</v>
      </c>
      <c r="AA212" s="31" t="n">
        <v>9777495000</v>
      </c>
      <c r="AB212" s="31" t="n">
        <v>10066499945</v>
      </c>
      <c r="AC212" s="36" t="n">
        <v>0.006407311437377408</v>
      </c>
      <c r="AD212" s="29" t="inlineStr">
        <is>
          <t>yfinance_download</t>
        </is>
      </c>
      <c r="AE212" s="29" t="inlineStr">
        <is>
          <t>064760.KQ</t>
        </is>
      </c>
    </row>
    <row r="213" ht="24" customHeight="1">
      <c r="A213" s="24" t="inlineStr">
        <is>
          <t>2024-04-18</t>
        </is>
      </c>
      <c r="B213" s="30" t="n">
        <v>136800</v>
      </c>
      <c r="C213" s="30" t="n">
        <v>139400</v>
      </c>
      <c r="D213" s="30" t="n">
        <v>133500</v>
      </c>
      <c r="E213" s="30" t="n">
        <v>136000</v>
      </c>
      <c r="F213" s="30" t="n">
        <v>132377.671875</v>
      </c>
      <c r="G213" s="30" t="n">
        <v>61409</v>
      </c>
      <c r="H213" s="35" t="n">
        <v>-0.00366300366300365</v>
      </c>
      <c r="I213" s="35" t="n">
        <v>-0.3369088249634324</v>
      </c>
      <c r="J213" s="30" t="n">
        <v>125285</v>
      </c>
      <c r="K213" s="30" t="n">
        <v>108545</v>
      </c>
      <c r="L213" s="30" t="n">
        <v>104381.6666666667</v>
      </c>
      <c r="M213" s="35" t="n">
        <v>0.5981418210783331</v>
      </c>
      <c r="N213" s="35" t="n">
        <v>0.4542482961355074</v>
      </c>
      <c r="O213" s="35" t="n">
        <v>0.328125</v>
      </c>
      <c r="P213" s="35" t="n">
        <v>0.243144424131627</v>
      </c>
      <c r="Q213" s="35" t="n">
        <v>0.5813953488372092</v>
      </c>
      <c r="R213" s="35" t="n">
        <v>0.08552500299317556</v>
      </c>
      <c r="S213" s="35" t="n">
        <v>0.2529365700861395</v>
      </c>
      <c r="T213" s="35" t="n">
        <v>0.3029107921250538</v>
      </c>
      <c r="U213" s="30" t="n">
        <v>137700</v>
      </c>
      <c r="V213" s="30" t="n">
        <v>81800</v>
      </c>
      <c r="W213" s="35" t="n">
        <v>-0.01234567901234573</v>
      </c>
      <c r="X213" s="35" t="n">
        <v>0.6625916870415649</v>
      </c>
      <c r="Y213" s="30" t="n">
        <v>11179416</v>
      </c>
      <c r="Z213" s="30" t="n">
        <v>1520400576000</v>
      </c>
      <c r="AA213" s="30" t="n">
        <v>8351624000</v>
      </c>
      <c r="AB213" s="30" t="n">
        <v>10295936505</v>
      </c>
      <c r="AC213" s="35" t="n">
        <v>0.00549304185478025</v>
      </c>
      <c r="AD213" s="24" t="inlineStr">
        <is>
          <t>yfinance_download</t>
        </is>
      </c>
      <c r="AE213" s="24" t="inlineStr">
        <is>
          <t>064760.KQ</t>
        </is>
      </c>
    </row>
    <row r="214" ht="24" customHeight="1">
      <c r="A214" s="29" t="inlineStr">
        <is>
          <t>2024-04-19</t>
        </is>
      </c>
      <c r="B214" s="31" t="n">
        <v>134000</v>
      </c>
      <c r="C214" s="31" t="n">
        <v>134000</v>
      </c>
      <c r="D214" s="31" t="n">
        <v>121000</v>
      </c>
      <c r="E214" s="31" t="n">
        <v>129900</v>
      </c>
      <c r="F214" s="31" t="n">
        <v>126440.1328125</v>
      </c>
      <c r="G214" s="31" t="n">
        <v>107848</v>
      </c>
      <c r="H214" s="36" t="n">
        <v>-0.04485294117647054</v>
      </c>
      <c r="I214" s="36" t="n">
        <v>-0.3666504144319844</v>
      </c>
      <c r="J214" s="31" t="n">
        <v>126480</v>
      </c>
      <c r="K214" s="31" t="n">
        <v>108893.3333333333</v>
      </c>
      <c r="L214" s="31" t="n">
        <v>104735.8333333333</v>
      </c>
      <c r="M214" s="36" t="n">
        <v>0.6289124334003884</v>
      </c>
      <c r="N214" s="36" t="n">
        <v>0.4649444961000992</v>
      </c>
      <c r="O214" s="36" t="n">
        <v>0.2254716981132074</v>
      </c>
      <c r="P214" s="36" t="n">
        <v>0.191743119266055</v>
      </c>
      <c r="Q214" s="36" t="n">
        <v>0.4862700228832952</v>
      </c>
      <c r="R214" s="36" t="n">
        <v>0.02703984819734351</v>
      </c>
      <c r="S214" s="36" t="n">
        <v>0.1929104934492469</v>
      </c>
      <c r="T214" s="36" t="n">
        <v>0.2402632018650097</v>
      </c>
      <c r="U214" s="31" t="n">
        <v>137700</v>
      </c>
      <c r="V214" s="31" t="n">
        <v>81800</v>
      </c>
      <c r="W214" s="36" t="n">
        <v>-0.05664488017429192</v>
      </c>
      <c r="X214" s="36" t="n">
        <v>0.5880195599022005</v>
      </c>
      <c r="Y214" s="31" t="n">
        <v>11179416</v>
      </c>
      <c r="Z214" s="31" t="n">
        <v>1452206138400</v>
      </c>
      <c r="AA214" s="31" t="n">
        <v>14009455200</v>
      </c>
      <c r="AB214" s="31" t="n">
        <v>10581196665</v>
      </c>
      <c r="AC214" s="36" t="n">
        <v>0.009647015550722865</v>
      </c>
      <c r="AD214" s="29" t="inlineStr">
        <is>
          <t>yfinance_download</t>
        </is>
      </c>
      <c r="AE214" s="29" t="inlineStr">
        <is>
          <t>064760.KQ</t>
        </is>
      </c>
    </row>
    <row r="215" ht="24" customHeight="1">
      <c r="A215" s="24" t="inlineStr">
        <is>
          <t>2024-04-22</t>
        </is>
      </c>
      <c r="B215" s="30" t="n">
        <v>126300</v>
      </c>
      <c r="C215" s="30" t="n">
        <v>128300</v>
      </c>
      <c r="D215" s="30" t="n">
        <v>118100</v>
      </c>
      <c r="E215" s="30" t="n">
        <v>120800</v>
      </c>
      <c r="F215" s="30" t="n">
        <v>117582.515625</v>
      </c>
      <c r="G215" s="30" t="n">
        <v>117039</v>
      </c>
      <c r="H215" s="35" t="n">
        <v>-0.07005388760585063</v>
      </c>
      <c r="I215" s="35" t="n">
        <v>-0.4110190151145783</v>
      </c>
      <c r="J215" s="30" t="n">
        <v>126985</v>
      </c>
      <c r="K215" s="30" t="n">
        <v>109113.3333333333</v>
      </c>
      <c r="L215" s="30" t="n">
        <v>105040</v>
      </c>
      <c r="M215" s="35" t="n">
        <v>0.6775463010342094</v>
      </c>
      <c r="N215" s="35" t="n">
        <v>0.4876773155660534</v>
      </c>
      <c r="O215" s="35" t="n">
        <v>0.09123757904245711</v>
      </c>
      <c r="P215" s="35" t="n">
        <v>0.1226765799256506</v>
      </c>
      <c r="Q215" s="35" t="n">
        <v>0.4329774614472124</v>
      </c>
      <c r="R215" s="35" t="n">
        <v>-0.0487065401425365</v>
      </c>
      <c r="S215" s="35" t="n">
        <v>0.1071057615934503</v>
      </c>
      <c r="T215" s="35" t="n">
        <v>0.1500380807311501</v>
      </c>
      <c r="U215" s="30" t="n">
        <v>137700</v>
      </c>
      <c r="V215" s="30" t="n">
        <v>81800</v>
      </c>
      <c r="W215" s="35" t="n">
        <v>-0.1227305737109659</v>
      </c>
      <c r="X215" s="35" t="n">
        <v>0.4767726161369192</v>
      </c>
      <c r="Y215" s="30" t="n">
        <v>11179416</v>
      </c>
      <c r="Z215" s="30" t="n">
        <v>1350473452800</v>
      </c>
      <c r="AA215" s="30" t="n">
        <v>14138311200</v>
      </c>
      <c r="AB215" s="30" t="n">
        <v>10467415635</v>
      </c>
      <c r="AC215" s="35" t="n">
        <v>0.0104691515191849</v>
      </c>
      <c r="AD215" s="24" t="inlineStr">
        <is>
          <t>yfinance_download</t>
        </is>
      </c>
      <c r="AE215" s="24" t="inlineStr">
        <is>
          <t>064760.KQ</t>
        </is>
      </c>
    </row>
    <row r="216" ht="24" customHeight="1">
      <c r="A216" s="29" t="inlineStr">
        <is>
          <t>2024-04-23</t>
        </is>
      </c>
      <c r="B216" s="31" t="n">
        <v>124000</v>
      </c>
      <c r="C216" s="31" t="n">
        <v>125500</v>
      </c>
      <c r="D216" s="31" t="n">
        <v>122100</v>
      </c>
      <c r="E216" s="31" t="n">
        <v>123600</v>
      </c>
      <c r="F216" s="31" t="n">
        <v>120307.9375</v>
      </c>
      <c r="G216" s="31" t="n">
        <v>46321</v>
      </c>
      <c r="H216" s="36" t="n">
        <v>0.02317880794701987</v>
      </c>
      <c r="I216" s="36" t="n">
        <v>-0.3973671379814725</v>
      </c>
      <c r="J216" s="31" t="n">
        <v>127750</v>
      </c>
      <c r="K216" s="31" t="n">
        <v>109386.6666666667</v>
      </c>
      <c r="L216" s="31" t="n">
        <v>105368.3333333333</v>
      </c>
      <c r="M216" s="36" t="n">
        <v>0.6726159200217486</v>
      </c>
      <c r="N216" s="36" t="n">
        <v>0.4893516362722833</v>
      </c>
      <c r="O216" s="36" t="n">
        <v>0.1412742382271468</v>
      </c>
      <c r="P216" s="36" t="n">
        <v>0.1529850746268657</v>
      </c>
      <c r="Q216" s="36" t="n">
        <v>0.4679334916864608</v>
      </c>
      <c r="R216" s="36" t="n">
        <v>-0.03248532289628181</v>
      </c>
      <c r="S216" s="36" t="n">
        <v>0.1299366162847391</v>
      </c>
      <c r="T216" s="36" t="n">
        <v>0.1730279495737177</v>
      </c>
      <c r="U216" s="31" t="n">
        <v>137700</v>
      </c>
      <c r="V216" s="31" t="n">
        <v>81800</v>
      </c>
      <c r="W216" s="36" t="n">
        <v>-0.1023965141612201</v>
      </c>
      <c r="X216" s="36" t="n">
        <v>0.511002444987775</v>
      </c>
      <c r="Y216" s="31" t="n">
        <v>11179416</v>
      </c>
      <c r="Z216" s="31" t="n">
        <v>1381775817600</v>
      </c>
      <c r="AA216" s="31" t="n">
        <v>5725275600</v>
      </c>
      <c r="AB216" s="31" t="n">
        <v>10550589840</v>
      </c>
      <c r="AC216" s="36" t="n">
        <v>0.004143418582866941</v>
      </c>
      <c r="AD216" s="29" t="inlineStr">
        <is>
          <t>yfinance_download</t>
        </is>
      </c>
      <c r="AE216" s="29" t="inlineStr">
        <is>
          <t>064760.KQ</t>
        </is>
      </c>
    </row>
    <row r="217" ht="24" customHeight="1">
      <c r="A217" s="24" t="inlineStr">
        <is>
          <t>2024-04-24</t>
        </is>
      </c>
      <c r="B217" s="30" t="n">
        <v>126000</v>
      </c>
      <c r="C217" s="30" t="n">
        <v>129600</v>
      </c>
      <c r="D217" s="30" t="n">
        <v>122000</v>
      </c>
      <c r="E217" s="30" t="n">
        <v>124300</v>
      </c>
      <c r="F217" s="30" t="n">
        <v>120989.2890625</v>
      </c>
      <c r="G217" s="30" t="n">
        <v>84156</v>
      </c>
      <c r="H217" s="35" t="n">
        <v>0.005663430420711935</v>
      </c>
      <c r="I217" s="35" t="n">
        <v>-0.393954168698196</v>
      </c>
      <c r="J217" s="30" t="n">
        <v>128700</v>
      </c>
      <c r="K217" s="30" t="n">
        <v>109668.3333333333</v>
      </c>
      <c r="L217" s="30" t="n">
        <v>105695.8333333333</v>
      </c>
      <c r="M217" s="35" t="n">
        <v>0.659784302281217</v>
      </c>
      <c r="N217" s="35" t="n">
        <v>0.4893814028686277</v>
      </c>
      <c r="O217" s="35" t="n">
        <v>0.1804368471035138</v>
      </c>
      <c r="P217" s="35" t="n">
        <v>0.1573556797020483</v>
      </c>
      <c r="Q217" s="35" t="n">
        <v>0.4623529411764706</v>
      </c>
      <c r="R217" s="35" t="n">
        <v>-0.03418803418803418</v>
      </c>
      <c r="S217" s="35" t="n">
        <v>0.1334174252670932</v>
      </c>
      <c r="T217" s="35" t="n">
        <v>0.1760160838885165</v>
      </c>
      <c r="U217" s="30" t="n">
        <v>137700</v>
      </c>
      <c r="V217" s="30" t="n">
        <v>81800</v>
      </c>
      <c r="W217" s="35" t="n">
        <v>-0.09731299927378356</v>
      </c>
      <c r="X217" s="35" t="n">
        <v>0.5195599022004891</v>
      </c>
      <c r="Y217" s="30" t="n">
        <v>11179416</v>
      </c>
      <c r="Z217" s="30" t="n">
        <v>1389601408800</v>
      </c>
      <c r="AA217" s="30" t="n">
        <v>10460590800</v>
      </c>
      <c r="AB217" s="30" t="n">
        <v>10823300220</v>
      </c>
      <c r="AC217" s="35" t="n">
        <v>0.007527763525393455</v>
      </c>
      <c r="AD217" s="24" t="inlineStr">
        <is>
          <t>yfinance_download</t>
        </is>
      </c>
      <c r="AE217" s="24" t="inlineStr">
        <is>
          <t>064760.KQ</t>
        </is>
      </c>
    </row>
    <row r="218" ht="24" customHeight="1">
      <c r="A218" s="29" t="inlineStr">
        <is>
          <t>2024-04-25</t>
        </is>
      </c>
      <c r="B218" s="31" t="n">
        <v>120600</v>
      </c>
      <c r="C218" s="31" t="n">
        <v>123700</v>
      </c>
      <c r="D218" s="31" t="n">
        <v>118000</v>
      </c>
      <c r="E218" s="31" t="n">
        <v>118000</v>
      </c>
      <c r="F218" s="31" t="n">
        <v>114857.0859375</v>
      </c>
      <c r="G218" s="31" t="n">
        <v>81883</v>
      </c>
      <c r="H218" s="36" t="n">
        <v>-0.05068382944489136</v>
      </c>
      <c r="I218" s="36" t="n">
        <v>-0.4246708922476841</v>
      </c>
      <c r="J218" s="31" t="n">
        <v>129085</v>
      </c>
      <c r="K218" s="31" t="n">
        <v>109818.3333333333</v>
      </c>
      <c r="L218" s="31" t="n">
        <v>105964.1666666667</v>
      </c>
      <c r="M218" s="36" t="n">
        <v>0.6759250046309494</v>
      </c>
      <c r="N218" s="36" t="n">
        <v>0.5008350132184262</v>
      </c>
      <c r="O218" s="36" t="n">
        <v>0.06980961015412501</v>
      </c>
      <c r="P218" s="36" t="n">
        <v>0.08256880733944949</v>
      </c>
      <c r="Q218" s="36" t="n">
        <v>0.3752913752913754</v>
      </c>
      <c r="R218" s="36" t="n">
        <v>-0.08587364914591156</v>
      </c>
      <c r="S218" s="36" t="n">
        <v>0.07450182877783007</v>
      </c>
      <c r="T218" s="36" t="n">
        <v>0.1135839945893657</v>
      </c>
      <c r="U218" s="31" t="n">
        <v>137700</v>
      </c>
      <c r="V218" s="31" t="n">
        <v>81800</v>
      </c>
      <c r="W218" s="36" t="n">
        <v>-0.1430646332607117</v>
      </c>
      <c r="X218" s="36" t="n">
        <v>0.4425427872860637</v>
      </c>
      <c r="Y218" s="31" t="n">
        <v>11179416</v>
      </c>
      <c r="Z218" s="31" t="n">
        <v>1319171088000</v>
      </c>
      <c r="AA218" s="31" t="n">
        <v>9662194000</v>
      </c>
      <c r="AB218" s="31" t="n">
        <v>10928897140</v>
      </c>
      <c r="AC218" s="36" t="n">
        <v>0.007324443423520513</v>
      </c>
      <c r="AD218" s="29" t="inlineStr">
        <is>
          <t>yfinance_download</t>
        </is>
      </c>
      <c r="AE218" s="29" t="inlineStr">
        <is>
          <t>064760.KQ</t>
        </is>
      </c>
    </row>
    <row r="219" ht="24" customHeight="1">
      <c r="A219" s="24" t="inlineStr">
        <is>
          <t>2024-04-26</t>
        </is>
      </c>
      <c r="B219" s="30" t="n">
        <v>120400</v>
      </c>
      <c r="C219" s="30" t="n">
        <v>126800</v>
      </c>
      <c r="D219" s="30" t="n">
        <v>120400</v>
      </c>
      <c r="E219" s="30" t="n">
        <v>124300</v>
      </c>
      <c r="F219" s="30" t="n">
        <v>120989.2890625</v>
      </c>
      <c r="G219" s="30" t="n">
        <v>91060</v>
      </c>
      <c r="H219" s="35" t="n">
        <v>0.05338983050847457</v>
      </c>
      <c r="I219" s="35" t="n">
        <v>-0.393954168698196</v>
      </c>
      <c r="J219" s="30" t="n">
        <v>129495</v>
      </c>
      <c r="K219" s="30" t="n">
        <v>110070</v>
      </c>
      <c r="L219" s="30" t="n">
        <v>106309.1666666667</v>
      </c>
      <c r="M219" s="35" t="n">
        <v>0.6766954129955081</v>
      </c>
      <c r="N219" s="35" t="n">
        <v>0.5118711133599465</v>
      </c>
      <c r="O219" s="35" t="n">
        <v>0.07062876830318698</v>
      </c>
      <c r="P219" s="35" t="n">
        <v>0.1382783882783882</v>
      </c>
      <c r="Q219" s="35" t="n">
        <v>0.4993968636911943</v>
      </c>
      <c r="R219" s="35" t="n">
        <v>-0.04011737904938417</v>
      </c>
      <c r="S219" s="35" t="n">
        <v>0.129281366403198</v>
      </c>
      <c r="T219" s="35" t="n">
        <v>0.1692312516167467</v>
      </c>
      <c r="U219" s="30" t="n">
        <v>137700</v>
      </c>
      <c r="V219" s="30" t="n">
        <v>81800</v>
      </c>
      <c r="W219" s="35" t="n">
        <v>-0.09731299927378356</v>
      </c>
      <c r="X219" s="35" t="n">
        <v>0.5195599022004891</v>
      </c>
      <c r="Y219" s="30" t="n">
        <v>11179416</v>
      </c>
      <c r="Z219" s="30" t="n">
        <v>1389601408800</v>
      </c>
      <c r="AA219" s="30" t="n">
        <v>11318758000</v>
      </c>
      <c r="AB219" s="30" t="n">
        <v>11043496290</v>
      </c>
      <c r="AC219" s="35" t="n">
        <v>0.0081453270904312</v>
      </c>
      <c r="AD219" s="24" t="inlineStr">
        <is>
          <t>yfinance_download</t>
        </is>
      </c>
      <c r="AE219" s="24" t="inlineStr">
        <is>
          <t>064760.KQ</t>
        </is>
      </c>
    </row>
    <row r="220" ht="24" customHeight="1">
      <c r="A220" s="29" t="inlineStr">
        <is>
          <t>2024-04-29</t>
        </is>
      </c>
      <c r="B220" s="31" t="n">
        <v>125500</v>
      </c>
      <c r="C220" s="31" t="n">
        <v>127800</v>
      </c>
      <c r="D220" s="31" t="n">
        <v>123000</v>
      </c>
      <c r="E220" s="31" t="n">
        <v>124400</v>
      </c>
      <c r="F220" s="31" t="n">
        <v>121086.625</v>
      </c>
      <c r="G220" s="31" t="n">
        <v>41381</v>
      </c>
      <c r="H220" s="36" t="n">
        <v>0.0008045052292839916</v>
      </c>
      <c r="I220" s="36" t="n">
        <v>-0.393466601657728</v>
      </c>
      <c r="J220" s="31" t="n">
        <v>129210</v>
      </c>
      <c r="K220" s="31" t="n">
        <v>110338.3333333333</v>
      </c>
      <c r="L220" s="31" t="n">
        <v>106655.8333333333</v>
      </c>
      <c r="M220" s="36" t="n">
        <v>0.5187523983763318</v>
      </c>
      <c r="N220" s="36" t="n">
        <v>0.5113833715615341</v>
      </c>
      <c r="O220" s="36" t="n">
        <v>-0.0438124519600307</v>
      </c>
      <c r="P220" s="36" t="n">
        <v>0.1486611265004616</v>
      </c>
      <c r="Q220" s="36" t="n">
        <v>0.5024154589371981</v>
      </c>
      <c r="R220" s="36" t="n">
        <v>-0.03722622088073679</v>
      </c>
      <c r="S220" s="36" t="n">
        <v>0.1274413546213917</v>
      </c>
      <c r="T220" s="36" t="n">
        <v>0.1663684592966475</v>
      </c>
      <c r="U220" s="31" t="n">
        <v>137700</v>
      </c>
      <c r="V220" s="31" t="n">
        <v>81800</v>
      </c>
      <c r="W220" s="36" t="n">
        <v>-0.09658678286129263</v>
      </c>
      <c r="X220" s="36" t="n">
        <v>0.5207823960880196</v>
      </c>
      <c r="Y220" s="31" t="n">
        <v>11179416</v>
      </c>
      <c r="Z220" s="31" t="n">
        <v>1390719350400</v>
      </c>
      <c r="AA220" s="31" t="n">
        <v>5147796400</v>
      </c>
      <c r="AB220" s="31" t="n">
        <v>9940872750</v>
      </c>
      <c r="AC220" s="36" t="n">
        <v>0.003701535035461602</v>
      </c>
      <c r="AD220" s="29" t="inlineStr">
        <is>
          <t>yfinance_download</t>
        </is>
      </c>
      <c r="AE220" s="29" t="inlineStr">
        <is>
          <t>064760.KQ</t>
        </is>
      </c>
    </row>
    <row r="221" ht="24" customHeight="1">
      <c r="A221" s="24" t="inlineStr">
        <is>
          <t>2024-04-30</t>
        </is>
      </c>
      <c r="B221" s="30" t="n">
        <v>124400</v>
      </c>
      <c r="C221" s="30" t="n">
        <v>125600</v>
      </c>
      <c r="D221" s="30" t="n">
        <v>120800</v>
      </c>
      <c r="E221" s="30" t="n">
        <v>122600</v>
      </c>
      <c r="F221" s="30" t="n">
        <v>119334.5703125</v>
      </c>
      <c r="G221" s="30" t="n">
        <v>51097</v>
      </c>
      <c r="H221" s="35" t="n">
        <v>-0.01446945337620575</v>
      </c>
      <c r="I221" s="35" t="n">
        <v>-0.4022428083861531</v>
      </c>
      <c r="J221" s="30" t="n">
        <v>128770</v>
      </c>
      <c r="K221" s="30" t="n">
        <v>110620</v>
      </c>
      <c r="L221" s="30" t="n">
        <v>106969.1666666667</v>
      </c>
      <c r="M221" s="35" t="n">
        <v>0.5186917973064075</v>
      </c>
      <c r="N221" s="35" t="n">
        <v>0.5096171359790923</v>
      </c>
      <c r="O221" s="35" t="n">
        <v>-0.0669710806697108</v>
      </c>
      <c r="P221" s="35" t="n">
        <v>0.1598864711447492</v>
      </c>
      <c r="Q221" s="35" t="n">
        <v>0.4423529411764706</v>
      </c>
      <c r="R221" s="35" t="n">
        <v>-0.04791488700784341</v>
      </c>
      <c r="S221" s="35" t="n">
        <v>0.1082986801663353</v>
      </c>
      <c r="T221" s="35" t="n">
        <v>0.146124662091101</v>
      </c>
      <c r="U221" s="30" t="n">
        <v>137700</v>
      </c>
      <c r="V221" s="30" t="n">
        <v>81800</v>
      </c>
      <c r="W221" s="35" t="n">
        <v>-0.1096586782861293</v>
      </c>
      <c r="X221" s="35" t="n">
        <v>0.4987775061124695</v>
      </c>
      <c r="Y221" s="30" t="n">
        <v>11179416</v>
      </c>
      <c r="Z221" s="30" t="n">
        <v>1370596401600</v>
      </c>
      <c r="AA221" s="30" t="n">
        <v>6264492200</v>
      </c>
      <c r="AB221" s="30" t="n">
        <v>9578583100</v>
      </c>
      <c r="AC221" s="35" t="n">
        <v>0.004570632312099308</v>
      </c>
      <c r="AD221" s="24" t="inlineStr">
        <is>
          <t>yfinance_download</t>
        </is>
      </c>
      <c r="AE221" s="24" t="inlineStr">
        <is>
          <t>064760.KQ</t>
        </is>
      </c>
    </row>
    <row r="222" ht="24" customHeight="1">
      <c r="A222" s="29" t="inlineStr">
        <is>
          <t>2024-05-02</t>
        </is>
      </c>
      <c r="B222" s="31" t="n">
        <v>120800</v>
      </c>
      <c r="C222" s="31" t="n">
        <v>123500</v>
      </c>
      <c r="D222" s="31" t="n">
        <v>118000</v>
      </c>
      <c r="E222" s="31" t="n">
        <v>122900</v>
      </c>
      <c r="F222" s="31" t="n">
        <v>119626.578125</v>
      </c>
      <c r="G222" s="31" t="n">
        <v>60708</v>
      </c>
      <c r="H222" s="36" t="n">
        <v>0.002446982055464897</v>
      </c>
      <c r="I222" s="36" t="n">
        <v>-0.4007801072647489</v>
      </c>
      <c r="J222" s="31" t="n">
        <v>128570</v>
      </c>
      <c r="K222" s="31" t="n">
        <v>110995</v>
      </c>
      <c r="L222" s="31" t="n">
        <v>107287.5</v>
      </c>
      <c r="M222" s="36" t="n">
        <v>0.5055103947786553</v>
      </c>
      <c r="N222" s="36" t="n">
        <v>0.4974571121319934</v>
      </c>
      <c r="O222" s="36" t="n">
        <v>-0.03152088258471242</v>
      </c>
      <c r="P222" s="36" t="n">
        <v>0.2241035856573705</v>
      </c>
      <c r="Q222" s="36" t="n">
        <v>0.4510035419126328</v>
      </c>
      <c r="R222" s="36" t="n">
        <v>-0.04410049000544447</v>
      </c>
      <c r="S222" s="36" t="n">
        <v>0.1072570836524167</v>
      </c>
      <c r="T222" s="36" t="n">
        <v>0.1455202143772574</v>
      </c>
      <c r="U222" s="31" t="n">
        <v>137700</v>
      </c>
      <c r="V222" s="31" t="n">
        <v>81800</v>
      </c>
      <c r="W222" s="36" t="n">
        <v>-0.1074800290486565</v>
      </c>
      <c r="X222" s="36" t="n">
        <v>0.5024449877750612</v>
      </c>
      <c r="Y222" s="31" t="n">
        <v>11179416</v>
      </c>
      <c r="Z222" s="31" t="n">
        <v>1373950226400</v>
      </c>
      <c r="AA222" s="31" t="n">
        <v>7461013200</v>
      </c>
      <c r="AB222" s="31" t="n">
        <v>9357088225</v>
      </c>
      <c r="AC222" s="36" t="n">
        <v>0.005430337327101881</v>
      </c>
      <c r="AD222" s="29" t="inlineStr">
        <is>
          <t>yfinance_download</t>
        </is>
      </c>
      <c r="AE222" s="29" t="inlineStr">
        <is>
          <t>064760.KQ</t>
        </is>
      </c>
    </row>
    <row r="223" ht="24" customHeight="1">
      <c r="A223" s="24" t="inlineStr">
        <is>
          <t>2024-05-03</t>
        </is>
      </c>
      <c r="B223" s="30" t="n">
        <v>124300</v>
      </c>
      <c r="C223" s="30" t="n">
        <v>125600</v>
      </c>
      <c r="D223" s="30" t="n">
        <v>118900</v>
      </c>
      <c r="E223" s="30" t="n">
        <v>119500</v>
      </c>
      <c r="F223" s="30" t="n">
        <v>116317.140625</v>
      </c>
      <c r="G223" s="30" t="n">
        <v>58895</v>
      </c>
      <c r="H223" s="35" t="n">
        <v>-0.02766476810414975</v>
      </c>
      <c r="I223" s="35" t="n">
        <v>-0.4173573866406631</v>
      </c>
      <c r="J223" s="30" t="n">
        <v>128100</v>
      </c>
      <c r="K223" s="30" t="n">
        <v>111318.3333333333</v>
      </c>
      <c r="L223" s="30" t="n">
        <v>107575</v>
      </c>
      <c r="M223" s="35" t="n">
        <v>0.5097698211180385</v>
      </c>
      <c r="N223" s="35" t="n">
        <v>0.5014605711166773</v>
      </c>
      <c r="O223" s="35" t="n">
        <v>-0.07292474786656322</v>
      </c>
      <c r="P223" s="35" t="n">
        <v>0.1938061938061939</v>
      </c>
      <c r="Q223" s="35" t="n">
        <v>0.4058823529411764</v>
      </c>
      <c r="R223" s="35" t="n">
        <v>-0.06713505074160808</v>
      </c>
      <c r="S223" s="35" t="n">
        <v>0.07349792636732499</v>
      </c>
      <c r="T223" s="35" t="n">
        <v>0.1108528933302346</v>
      </c>
      <c r="U223" s="30" t="n">
        <v>137700</v>
      </c>
      <c r="V223" s="30" t="n">
        <v>81800</v>
      </c>
      <c r="W223" s="35" t="n">
        <v>-0.1321713870733479</v>
      </c>
      <c r="X223" s="35" t="n">
        <v>0.460880195599022</v>
      </c>
      <c r="Y223" s="30" t="n">
        <v>11179416</v>
      </c>
      <c r="Z223" s="30" t="n">
        <v>1335940212000</v>
      </c>
      <c r="AA223" s="30" t="n">
        <v>7037952500</v>
      </c>
      <c r="AB223" s="30" t="n">
        <v>9245242320</v>
      </c>
      <c r="AC223" s="35" t="n">
        <v>0.005268164276201906</v>
      </c>
      <c r="AD223" s="24" t="inlineStr">
        <is>
          <t>yfinance_download</t>
        </is>
      </c>
      <c r="AE223" s="24" t="inlineStr">
        <is>
          <t>064760.KQ</t>
        </is>
      </c>
    </row>
    <row r="224" ht="24" customHeight="1">
      <c r="A224" s="29" t="inlineStr">
        <is>
          <t>2024-05-07</t>
        </is>
      </c>
      <c r="B224" s="31" t="n">
        <v>122000</v>
      </c>
      <c r="C224" s="31" t="n">
        <v>126200</v>
      </c>
      <c r="D224" s="31" t="n">
        <v>121700</v>
      </c>
      <c r="E224" s="31" t="n">
        <v>125900</v>
      </c>
      <c r="F224" s="31" t="n">
        <v>122546.671875</v>
      </c>
      <c r="G224" s="31" t="n">
        <v>64164</v>
      </c>
      <c r="H224" s="36" t="n">
        <v>0.0535564853556485</v>
      </c>
      <c r="I224" s="36" t="n">
        <v>-0.386153096050707</v>
      </c>
      <c r="J224" s="31" t="n">
        <v>127875</v>
      </c>
      <c r="K224" s="31" t="n">
        <v>111773.3333333333</v>
      </c>
      <c r="L224" s="31" t="n">
        <v>107920</v>
      </c>
      <c r="M224" s="36" t="n">
        <v>0.5464410286185473</v>
      </c>
      <c r="N224" s="36" t="n">
        <v>0.5103003530329381</v>
      </c>
      <c r="O224" s="36" t="n">
        <v>-0.0345092024539877</v>
      </c>
      <c r="P224" s="36" t="n">
        <v>0.2768762677484786</v>
      </c>
      <c r="Q224" s="36" t="n">
        <v>0.489940828402367</v>
      </c>
      <c r="R224" s="36" t="n">
        <v>-0.01544477028348001</v>
      </c>
      <c r="S224" s="36" t="n">
        <v>0.1263867350590482</v>
      </c>
      <c r="T224" s="36" t="n">
        <v>0.1666048925129726</v>
      </c>
      <c r="U224" s="31" t="n">
        <v>137700</v>
      </c>
      <c r="V224" s="31" t="n">
        <v>81800</v>
      </c>
      <c r="W224" s="36" t="n">
        <v>-0.08569353667392887</v>
      </c>
      <c r="X224" s="36" t="n">
        <v>0.539119804400978</v>
      </c>
      <c r="Y224" s="31" t="n">
        <v>11179416</v>
      </c>
      <c r="Z224" s="31" t="n">
        <v>1407488474400</v>
      </c>
      <c r="AA224" s="31" t="n">
        <v>8078247600</v>
      </c>
      <c r="AB224" s="31" t="n">
        <v>9239483540</v>
      </c>
      <c r="AC224" s="36" t="n">
        <v>0.005739476910063996</v>
      </c>
      <c r="AD224" s="29" t="inlineStr">
        <is>
          <t>yfinance_download</t>
        </is>
      </c>
      <c r="AE224" s="29" t="inlineStr">
        <is>
          <t>064760.KQ</t>
        </is>
      </c>
    </row>
    <row r="225" ht="24" customHeight="1">
      <c r="A225" s="24" t="inlineStr">
        <is>
          <t>2024-05-08</t>
        </is>
      </c>
      <c r="B225" s="30" t="n">
        <v>125900</v>
      </c>
      <c r="C225" s="30" t="n">
        <v>125900</v>
      </c>
      <c r="D225" s="30" t="n">
        <v>122900</v>
      </c>
      <c r="E225" s="30" t="n">
        <v>123300</v>
      </c>
      <c r="F225" s="30" t="n">
        <v>120015.921875</v>
      </c>
      <c r="G225" s="30" t="n">
        <v>31025</v>
      </c>
      <c r="H225" s="35" t="n">
        <v>-0.02065131056393965</v>
      </c>
      <c r="I225" s="35" t="n">
        <v>-0.3988298391028766</v>
      </c>
      <c r="J225" s="30" t="n">
        <v>127360</v>
      </c>
      <c r="K225" s="30" t="n">
        <v>112166.6666666667</v>
      </c>
      <c r="L225" s="30" t="n">
        <v>108249.1666666667</v>
      </c>
      <c r="M225" s="35" t="n">
        <v>0.5417463372251734</v>
      </c>
      <c r="N225" s="35" t="n">
        <v>0.5127078090700535</v>
      </c>
      <c r="O225" s="35" t="n">
        <v>-0.07709580838323349</v>
      </c>
      <c r="P225" s="35" t="n">
        <v>0.2367101303911736</v>
      </c>
      <c r="Q225" s="35" t="n">
        <v>0.4713603818615753</v>
      </c>
      <c r="R225" s="35" t="n">
        <v>-0.03187814070351758</v>
      </c>
      <c r="S225" s="35" t="n">
        <v>0.09925705794947981</v>
      </c>
      <c r="T225" s="35" t="n">
        <v>0.1390387916766103</v>
      </c>
      <c r="U225" s="30" t="n">
        <v>137700</v>
      </c>
      <c r="V225" s="30" t="n">
        <v>81800</v>
      </c>
      <c r="W225" s="35" t="n">
        <v>-0.1045751633986928</v>
      </c>
      <c r="X225" s="35" t="n">
        <v>0.5073349633251834</v>
      </c>
      <c r="Y225" s="30" t="n">
        <v>11179416</v>
      </c>
      <c r="Z225" s="30" t="n">
        <v>1378421992800</v>
      </c>
      <c r="AA225" s="30" t="n">
        <v>3825382500</v>
      </c>
      <c r="AB225" s="30" t="n">
        <v>8973720425</v>
      </c>
      <c r="AC225" s="35" t="n">
        <v>0.002775189687904986</v>
      </c>
      <c r="AD225" s="24" t="inlineStr">
        <is>
          <t>yfinance_download</t>
        </is>
      </c>
      <c r="AE225" s="24" t="inlineStr">
        <is>
          <t>064760.KQ</t>
        </is>
      </c>
    </row>
    <row r="226" ht="24" customHeight="1">
      <c r="A226" s="29" t="inlineStr">
        <is>
          <t>2024-05-09</t>
        </is>
      </c>
      <c r="B226" s="31" t="n">
        <v>123500</v>
      </c>
      <c r="C226" s="31" t="n">
        <v>124500</v>
      </c>
      <c r="D226" s="31" t="n">
        <v>120300</v>
      </c>
      <c r="E226" s="31" t="n">
        <v>121400</v>
      </c>
      <c r="F226" s="31" t="n">
        <v>118166.53125</v>
      </c>
      <c r="G226" s="31" t="n">
        <v>31779</v>
      </c>
      <c r="H226" s="36" t="n">
        <v>-0.01540957015409572</v>
      </c>
      <c r="I226" s="36" t="n">
        <v>-0.4080936128717698</v>
      </c>
      <c r="J226" s="31" t="n">
        <v>126950</v>
      </c>
      <c r="K226" s="31" t="n">
        <v>112540</v>
      </c>
      <c r="L226" s="31" t="n">
        <v>108572.5</v>
      </c>
      <c r="M226" s="36" t="n">
        <v>0.5347316371267397</v>
      </c>
      <c r="N226" s="36" t="n">
        <v>0.5137687022955064</v>
      </c>
      <c r="O226" s="36" t="n">
        <v>-0.06327160493827155</v>
      </c>
      <c r="P226" s="36" t="n">
        <v>0.2262626262626262</v>
      </c>
      <c r="Q226" s="36" t="n">
        <v>0.4697336561743342</v>
      </c>
      <c r="R226" s="36" t="n">
        <v>-0.04371799921228825</v>
      </c>
      <c r="S226" s="36" t="n">
        <v>0.07872756353296606</v>
      </c>
      <c r="T226" s="36" t="n">
        <v>0.1181468603928251</v>
      </c>
      <c r="U226" s="31" t="n">
        <v>137700</v>
      </c>
      <c r="V226" s="31" t="n">
        <v>81800</v>
      </c>
      <c r="W226" s="36" t="n">
        <v>-0.1183732752360204</v>
      </c>
      <c r="X226" s="36" t="n">
        <v>0.4841075794621026</v>
      </c>
      <c r="Y226" s="31" t="n">
        <v>11179416</v>
      </c>
      <c r="Z226" s="31" t="n">
        <v>1357181102400</v>
      </c>
      <c r="AA226" s="31" t="n">
        <v>3857970600</v>
      </c>
      <c r="AB226" s="31" t="n">
        <v>8880468635</v>
      </c>
      <c r="AC226" s="36" t="n">
        <v>0.002842635071456327</v>
      </c>
      <c r="AD226" s="29" t="inlineStr">
        <is>
          <t>yfinance_download</t>
        </is>
      </c>
      <c r="AE226" s="29" t="inlineStr">
        <is>
          <t>064760.KQ</t>
        </is>
      </c>
    </row>
    <row r="227" ht="24" customHeight="1">
      <c r="A227" s="24" t="inlineStr">
        <is>
          <t>2024-05-10</t>
        </is>
      </c>
      <c r="B227" s="30" t="n">
        <v>122500</v>
      </c>
      <c r="C227" s="30" t="n">
        <v>123400</v>
      </c>
      <c r="D227" s="30" t="n">
        <v>117500</v>
      </c>
      <c r="E227" s="30" t="n">
        <v>119200</v>
      </c>
      <c r="F227" s="30" t="n">
        <v>116025.1328125</v>
      </c>
      <c r="G227" s="30" t="n">
        <v>49501</v>
      </c>
      <c r="H227" s="35" t="n">
        <v>-0.01812191103789129</v>
      </c>
      <c r="I227" s="35" t="n">
        <v>-0.4188200877620673</v>
      </c>
      <c r="J227" s="30" t="n">
        <v>126310</v>
      </c>
      <c r="K227" s="30" t="n">
        <v>112888.3333333333</v>
      </c>
      <c r="L227" s="30" t="n">
        <v>108879.1666666667</v>
      </c>
      <c r="M227" s="35" t="n">
        <v>0.5312349705897111</v>
      </c>
      <c r="N227" s="35" t="n">
        <v>0.5152746895571925</v>
      </c>
      <c r="O227" s="35" t="n">
        <v>-0.09696969696969693</v>
      </c>
      <c r="P227" s="35" t="n">
        <v>0.2126144455747712</v>
      </c>
      <c r="Q227" s="35" t="n">
        <v>0.4466019417475728</v>
      </c>
      <c r="R227" s="35" t="n">
        <v>-0.05629007996199831</v>
      </c>
      <c r="S227" s="35" t="n">
        <v>0.0559107082219894</v>
      </c>
      <c r="T227" s="35" t="n">
        <v>0.09479162680341346</v>
      </c>
      <c r="U227" s="30" t="n">
        <v>137700</v>
      </c>
      <c r="V227" s="30" t="n">
        <v>81800</v>
      </c>
      <c r="W227" s="35" t="n">
        <v>-0.1343500363108207</v>
      </c>
      <c r="X227" s="35" t="n">
        <v>0.4572127139364304</v>
      </c>
      <c r="Y227" s="30" t="n">
        <v>11179416</v>
      </c>
      <c r="Z227" s="30" t="n">
        <v>1332586387200</v>
      </c>
      <c r="AA227" s="30" t="n">
        <v>5900519200</v>
      </c>
      <c r="AB227" s="30" t="n">
        <v>8892948595</v>
      </c>
      <c r="AC227" s="35" t="n">
        <v>0.004427869935245275</v>
      </c>
      <c r="AD227" s="24" t="inlineStr">
        <is>
          <t>yfinance_download</t>
        </is>
      </c>
      <c r="AE227" s="24" t="inlineStr">
        <is>
          <t>064760.KQ</t>
        </is>
      </c>
    </row>
    <row r="228" ht="24" customHeight="1">
      <c r="A228" s="29" t="inlineStr">
        <is>
          <t>2024-05-13</t>
        </is>
      </c>
      <c r="B228" s="31" t="n">
        <v>120800</v>
      </c>
      <c r="C228" s="31" t="n">
        <v>122000</v>
      </c>
      <c r="D228" s="31" t="n">
        <v>118700</v>
      </c>
      <c r="E228" s="31" t="n">
        <v>120300</v>
      </c>
      <c r="F228" s="31" t="n">
        <v>117095.828125</v>
      </c>
      <c r="G228" s="31" t="n">
        <v>22527</v>
      </c>
      <c r="H228" s="36" t="n">
        <v>0.009228187919463116</v>
      </c>
      <c r="I228" s="36" t="n">
        <v>-0.4134568503169186</v>
      </c>
      <c r="J228" s="31" t="n">
        <v>125830</v>
      </c>
      <c r="K228" s="31" t="n">
        <v>113273.3333333333</v>
      </c>
      <c r="L228" s="31" t="n">
        <v>109200</v>
      </c>
      <c r="M228" s="36" t="n">
        <v>0.5316012203384965</v>
      </c>
      <c r="N228" s="36" t="n">
        <v>0.5144482912820448</v>
      </c>
      <c r="O228" s="36" t="n">
        <v>-0.07390300230946878</v>
      </c>
      <c r="P228" s="36" t="n">
        <v>0.2376543209876543</v>
      </c>
      <c r="Q228" s="36" t="n">
        <v>0.4706601466992666</v>
      </c>
      <c r="R228" s="36" t="n">
        <v>-0.04394818405785583</v>
      </c>
      <c r="S228" s="36" t="n">
        <v>0.0620328409157791</v>
      </c>
      <c r="T228" s="36" t="n">
        <v>0.1016483516483517</v>
      </c>
      <c r="U228" s="31" t="n">
        <v>137700</v>
      </c>
      <c r="V228" s="31" t="n">
        <v>81800</v>
      </c>
      <c r="W228" s="36" t="n">
        <v>-0.1263616557734205</v>
      </c>
      <c r="X228" s="36" t="n">
        <v>0.4706601466992666</v>
      </c>
      <c r="Y228" s="31" t="n">
        <v>11179416</v>
      </c>
      <c r="Z228" s="31" t="n">
        <v>1344883744800</v>
      </c>
      <c r="AA228" s="31" t="n">
        <v>2709998100</v>
      </c>
      <c r="AB228" s="31" t="n">
        <v>8668963240</v>
      </c>
      <c r="AC228" s="36" t="n">
        <v>0.00201504264623483</v>
      </c>
      <c r="AD228" s="29" t="inlineStr">
        <is>
          <t>yfinance_download</t>
        </is>
      </c>
      <c r="AE228" s="29" t="inlineStr">
        <is>
          <t>064760.KQ</t>
        </is>
      </c>
    </row>
    <row r="229" ht="24" customHeight="1">
      <c r="A229" s="24" t="inlineStr">
        <is>
          <t>2024-05-14</t>
        </is>
      </c>
      <c r="B229" s="30" t="n">
        <v>120200</v>
      </c>
      <c r="C229" s="30" t="n">
        <v>121100</v>
      </c>
      <c r="D229" s="30" t="n">
        <v>115600</v>
      </c>
      <c r="E229" s="30" t="n">
        <v>117000</v>
      </c>
      <c r="F229" s="30" t="n">
        <v>113883.71875</v>
      </c>
      <c r="G229" s="30" t="n">
        <v>47804</v>
      </c>
      <c r="H229" s="35" t="n">
        <v>-0.027431421446384</v>
      </c>
      <c r="I229" s="35" t="n">
        <v>-0.4295465626523647</v>
      </c>
      <c r="J229" s="30" t="n">
        <v>125030</v>
      </c>
      <c r="K229" s="30" t="n">
        <v>113628.3333333333</v>
      </c>
      <c r="L229" s="30" t="n">
        <v>109485</v>
      </c>
      <c r="M229" s="35" t="n">
        <v>0.5280123810006561</v>
      </c>
      <c r="N229" s="35" t="n">
        <v>0.5169725109335624</v>
      </c>
      <c r="O229" s="35" t="n">
        <v>-0.1203007518796992</v>
      </c>
      <c r="P229" s="35" t="n">
        <v>0.2225705329153604</v>
      </c>
      <c r="Q229" s="35" t="n">
        <v>0.4130434782608696</v>
      </c>
      <c r="R229" s="35" t="n">
        <v>-0.06422458609933612</v>
      </c>
      <c r="S229" s="35" t="n">
        <v>0.02967276354195691</v>
      </c>
      <c r="T229" s="35" t="n">
        <v>0.06863953966296754</v>
      </c>
      <c r="U229" s="30" t="n">
        <v>137700</v>
      </c>
      <c r="V229" s="30" t="n">
        <v>81800</v>
      </c>
      <c r="W229" s="35" t="n">
        <v>-0.1503267973856209</v>
      </c>
      <c r="X229" s="35" t="n">
        <v>0.4303178484107579</v>
      </c>
      <c r="Y229" s="30" t="n">
        <v>11179416</v>
      </c>
      <c r="Z229" s="30" t="n">
        <v>1307991672000</v>
      </c>
      <c r="AA229" s="30" t="n">
        <v>5593068000</v>
      </c>
      <c r="AB229" s="30" t="n">
        <v>8246409890</v>
      </c>
      <c r="AC229" s="35" t="n">
        <v>0.004276073097199353</v>
      </c>
      <c r="AD229" s="24" t="inlineStr">
        <is>
          <t>yfinance_download</t>
        </is>
      </c>
      <c r="AE229" s="24" t="inlineStr">
        <is>
          <t>064760.KQ</t>
        </is>
      </c>
    </row>
    <row r="230" ht="24" customHeight="1">
      <c r="A230" s="29" t="inlineStr">
        <is>
          <t>2024-05-16</t>
        </is>
      </c>
      <c r="B230" s="31" t="n">
        <v>119500</v>
      </c>
      <c r="C230" s="31" t="n">
        <v>121300</v>
      </c>
      <c r="D230" s="31" t="n">
        <v>117700</v>
      </c>
      <c r="E230" s="31" t="n">
        <v>119000</v>
      </c>
      <c r="F230" s="31" t="n">
        <v>115830.453125</v>
      </c>
      <c r="G230" s="31" t="n">
        <v>29833</v>
      </c>
      <c r="H230" s="36" t="n">
        <v>0.01709401709401703</v>
      </c>
      <c r="I230" s="36" t="n">
        <v>-0.4197952218430034</v>
      </c>
      <c r="J230" s="31" t="n">
        <v>124095</v>
      </c>
      <c r="K230" s="31" t="n">
        <v>114011.6666666667</v>
      </c>
      <c r="L230" s="31" t="n">
        <v>109727.5</v>
      </c>
      <c r="M230" s="36" t="n">
        <v>0.5128865643086594</v>
      </c>
      <c r="N230" s="36" t="n">
        <v>0.517679021987682</v>
      </c>
      <c r="O230" s="36" t="n">
        <v>-0.1358024691358025</v>
      </c>
      <c r="P230" s="36" t="n">
        <v>0.2395833333333333</v>
      </c>
      <c r="Q230" s="36" t="n">
        <v>0.3236929922135707</v>
      </c>
      <c r="R230" s="36" t="n">
        <v>-0.04105725452274467</v>
      </c>
      <c r="S230" s="36" t="n">
        <v>0.0437528323124825</v>
      </c>
      <c r="T230" s="36" t="n">
        <v>0.08450479597183924</v>
      </c>
      <c r="U230" s="31" t="n">
        <v>137700</v>
      </c>
      <c r="V230" s="31" t="n">
        <v>81800</v>
      </c>
      <c r="W230" s="36" t="n">
        <v>-0.1358024691358025</v>
      </c>
      <c r="X230" s="36" t="n">
        <v>0.4547677261613692</v>
      </c>
      <c r="Y230" s="31" t="n">
        <v>11179416</v>
      </c>
      <c r="Z230" s="31" t="n">
        <v>1330350504000</v>
      </c>
      <c r="AA230" s="31" t="n">
        <v>3550127000</v>
      </c>
      <c r="AB230" s="31" t="n">
        <v>7514882805</v>
      </c>
      <c r="AC230" s="36" t="n">
        <v>0.002668565155818515</v>
      </c>
      <c r="AD230" s="29" t="inlineStr">
        <is>
          <t>yfinance_download</t>
        </is>
      </c>
      <c r="AE230" s="29" t="inlineStr">
        <is>
          <t>064760.KQ</t>
        </is>
      </c>
    </row>
    <row r="231" ht="24" customHeight="1">
      <c r="A231" s="24" t="inlineStr">
        <is>
          <t>2024-05-17</t>
        </is>
      </c>
      <c r="B231" s="30" t="n">
        <v>121200</v>
      </c>
      <c r="C231" s="30" t="n">
        <v>121400</v>
      </c>
      <c r="D231" s="30" t="n">
        <v>117200</v>
      </c>
      <c r="E231" s="30" t="n">
        <v>118000</v>
      </c>
      <c r="F231" s="30" t="n">
        <v>114857.0859375</v>
      </c>
      <c r="G231" s="30" t="n">
        <v>34346</v>
      </c>
      <c r="H231" s="35" t="n">
        <v>-0.008403361344537785</v>
      </c>
      <c r="I231" s="35" t="n">
        <v>-0.4246708922476841</v>
      </c>
      <c r="J231" s="30" t="n">
        <v>123345</v>
      </c>
      <c r="K231" s="30" t="n">
        <v>114375</v>
      </c>
      <c r="L231" s="30" t="n">
        <v>109919.1666666667</v>
      </c>
      <c r="M231" s="35" t="n">
        <v>0.5027136029627829</v>
      </c>
      <c r="N231" s="35" t="n">
        <v>0.5182992880225895</v>
      </c>
      <c r="O231" s="35" t="n">
        <v>-0.1127819548872181</v>
      </c>
      <c r="P231" s="35" t="n">
        <v>0.2266112266112266</v>
      </c>
      <c r="Q231" s="35" t="n">
        <v>0.2421052631578948</v>
      </c>
      <c r="R231" s="35" t="n">
        <v>-0.04333373870039325</v>
      </c>
      <c r="S231" s="35" t="n">
        <v>0.03169398907103815</v>
      </c>
      <c r="T231" s="35" t="n">
        <v>0.07351614443947452</v>
      </c>
      <c r="U231" s="30" t="n">
        <v>137700</v>
      </c>
      <c r="V231" s="30" t="n">
        <v>81800</v>
      </c>
      <c r="W231" s="35" t="n">
        <v>-0.1430646332607117</v>
      </c>
      <c r="X231" s="35" t="n">
        <v>0.4425427872860637</v>
      </c>
      <c r="Y231" s="30" t="n">
        <v>11179416</v>
      </c>
      <c r="Z231" s="30" t="n">
        <v>1319171088000</v>
      </c>
      <c r="AA231" s="30" t="n">
        <v>4052828000</v>
      </c>
      <c r="AB231" s="30" t="n">
        <v>7346154955</v>
      </c>
      <c r="AC231" s="35" t="n">
        <v>0.003072253505907643</v>
      </c>
      <c r="AD231" s="24" t="inlineStr">
        <is>
          <t>yfinance_download</t>
        </is>
      </c>
      <c r="AE231" s="24" t="inlineStr">
        <is>
          <t>064760.KQ</t>
        </is>
      </c>
    </row>
    <row r="232" ht="24" customHeight="1">
      <c r="A232" s="29" t="inlineStr">
        <is>
          <t>2024-05-20</t>
        </is>
      </c>
      <c r="B232" s="31" t="n">
        <v>118000</v>
      </c>
      <c r="C232" s="31" t="n">
        <v>118800</v>
      </c>
      <c r="D232" s="31" t="n">
        <v>112900</v>
      </c>
      <c r="E232" s="31" t="n">
        <v>115200</v>
      </c>
      <c r="F232" s="31" t="n">
        <v>112131.6640625</v>
      </c>
      <c r="G232" s="31" t="n">
        <v>67475</v>
      </c>
      <c r="H232" s="36" t="n">
        <v>-0.02372881355932199</v>
      </c>
      <c r="I232" s="36" t="n">
        <v>-0.4383227693807898</v>
      </c>
      <c r="J232" s="31" t="n">
        <v>122280</v>
      </c>
      <c r="K232" s="31" t="n">
        <v>114685</v>
      </c>
      <c r="L232" s="31" t="n">
        <v>110080</v>
      </c>
      <c r="M232" s="36" t="n">
        <v>0.491995789546831</v>
      </c>
      <c r="N232" s="36" t="n">
        <v>0.5213876325362837</v>
      </c>
      <c r="O232" s="36" t="n">
        <v>-0.156043956043956</v>
      </c>
      <c r="P232" s="36" t="n">
        <v>0.1925465838509317</v>
      </c>
      <c r="Q232" s="36" t="n">
        <v>0.2012513034410846</v>
      </c>
      <c r="R232" s="36" t="n">
        <v>-0.05789990186457306</v>
      </c>
      <c r="S232" s="36" t="n">
        <v>0.004490561102149293</v>
      </c>
      <c r="T232" s="36" t="n">
        <v>0.04651162790697683</v>
      </c>
      <c r="U232" s="31" t="n">
        <v>137700</v>
      </c>
      <c r="V232" s="31" t="n">
        <v>81800</v>
      </c>
      <c r="W232" s="36" t="n">
        <v>-0.1633986928104575</v>
      </c>
      <c r="X232" s="36" t="n">
        <v>0.4083129584352079</v>
      </c>
      <c r="Y232" s="31" t="n">
        <v>11179416</v>
      </c>
      <c r="Z232" s="31" t="n">
        <v>1287868723200</v>
      </c>
      <c r="AA232" s="31" t="n">
        <v>7773120000</v>
      </c>
      <c r="AB232" s="31" t="n">
        <v>7245936205</v>
      </c>
      <c r="AC232" s="36" t="n">
        <v>0.006035646226958546</v>
      </c>
      <c r="AD232" s="29" t="inlineStr">
        <is>
          <t>yfinance_download</t>
        </is>
      </c>
      <c r="AE232" s="29" t="inlineStr">
        <is>
          <t>064760.KQ</t>
        </is>
      </c>
    </row>
    <row r="233" ht="24" customHeight="1">
      <c r="A233" s="24" t="inlineStr">
        <is>
          <t>2024-05-21</t>
        </is>
      </c>
      <c r="B233" s="30" t="n">
        <v>115800</v>
      </c>
      <c r="C233" s="30" t="n">
        <v>115900</v>
      </c>
      <c r="D233" s="30" t="n">
        <v>113000</v>
      </c>
      <c r="E233" s="30" t="n">
        <v>114500</v>
      </c>
      <c r="F233" s="30" t="n">
        <v>111450.3125</v>
      </c>
      <c r="G233" s="30" t="n">
        <v>27336</v>
      </c>
      <c r="H233" s="35" t="n">
        <v>-0.00607638888888884</v>
      </c>
      <c r="I233" s="35" t="n">
        <v>-0.4417357386640663</v>
      </c>
      <c r="J233" s="30" t="n">
        <v>121205</v>
      </c>
      <c r="K233" s="30" t="n">
        <v>114976.6666666667</v>
      </c>
      <c r="L233" s="30" t="n">
        <v>110244.1666666667</v>
      </c>
      <c r="M233" s="35" t="n">
        <v>0.4917889056047423</v>
      </c>
      <c r="N233" s="35" t="n">
        <v>0.5217510637706324</v>
      </c>
      <c r="O233" s="35" t="n">
        <v>-0.1580882352941176</v>
      </c>
      <c r="P233" s="35" t="n">
        <v>0.1804123711340206</v>
      </c>
      <c r="Q233" s="35" t="n">
        <v>0.2078059071729959</v>
      </c>
      <c r="R233" s="35" t="n">
        <v>-0.05531950002062624</v>
      </c>
      <c r="S233" s="35" t="n">
        <v>-0.004145768706694142</v>
      </c>
      <c r="T233" s="35" t="n">
        <v>0.03860370541147295</v>
      </c>
      <c r="U233" s="30" t="n">
        <v>137700</v>
      </c>
      <c r="V233" s="30" t="n">
        <v>81800</v>
      </c>
      <c r="W233" s="35" t="n">
        <v>-0.168482207697894</v>
      </c>
      <c r="X233" s="35" t="n">
        <v>0.3997555012224938</v>
      </c>
      <c r="Y233" s="30" t="n">
        <v>11179416</v>
      </c>
      <c r="Z233" s="30" t="n">
        <v>1280043132000</v>
      </c>
      <c r="AA233" s="30" t="n">
        <v>3129972000</v>
      </c>
      <c r="AB233" s="30" t="n">
        <v>6984853605</v>
      </c>
      <c r="AC233" s="35" t="n">
        <v>0.002445208229123954</v>
      </c>
      <c r="AD233" s="24" t="inlineStr">
        <is>
          <t>yfinance_download</t>
        </is>
      </c>
      <c r="AE233" s="24" t="inlineStr">
        <is>
          <t>064760.KQ</t>
        </is>
      </c>
    </row>
    <row r="234" ht="24" customHeight="1">
      <c r="A234" s="29" t="inlineStr">
        <is>
          <t>2024-05-22</t>
        </is>
      </c>
      <c r="B234" s="31" t="n">
        <v>114900</v>
      </c>
      <c r="C234" s="31" t="n">
        <v>114900</v>
      </c>
      <c r="D234" s="31" t="n">
        <v>111200</v>
      </c>
      <c r="E234" s="31" t="n">
        <v>111800</v>
      </c>
      <c r="F234" s="31" t="n">
        <v>108822.21875</v>
      </c>
      <c r="G234" s="31" t="n">
        <v>47143</v>
      </c>
      <c r="H234" s="36" t="n">
        <v>-0.02358078602620084</v>
      </c>
      <c r="I234" s="36" t="n">
        <v>-0.4549000487567041</v>
      </c>
      <c r="J234" s="31" t="n">
        <v>120300</v>
      </c>
      <c r="K234" s="31" t="n">
        <v>115186.6666666667</v>
      </c>
      <c r="L234" s="31" t="n">
        <v>110375.8333333333</v>
      </c>
      <c r="M234" s="36" t="n">
        <v>0.4762609205023424</v>
      </c>
      <c r="N234" s="36" t="n">
        <v>0.5230202237090539</v>
      </c>
      <c r="O234" s="36" t="n">
        <v>-0.1393379522709777</v>
      </c>
      <c r="P234" s="36" t="n">
        <v>0.127016129032258</v>
      </c>
      <c r="Q234" s="36" t="n">
        <v>0.1645833333333333</v>
      </c>
      <c r="R234" s="36" t="n">
        <v>-0.07065669160432253</v>
      </c>
      <c r="S234" s="36" t="n">
        <v>-0.02940155110545206</v>
      </c>
      <c r="T234" s="36" t="n">
        <v>0.01290288484043156</v>
      </c>
      <c r="U234" s="31" t="n">
        <v>137700</v>
      </c>
      <c r="V234" s="31" t="n">
        <v>81800</v>
      </c>
      <c r="W234" s="36" t="n">
        <v>-0.1880900508351488</v>
      </c>
      <c r="X234" s="36" t="n">
        <v>0.3667481662591687</v>
      </c>
      <c r="Y234" s="31" t="n">
        <v>11179416</v>
      </c>
      <c r="Z234" s="31" t="n">
        <v>1249858708800</v>
      </c>
      <c r="AA234" s="31" t="n">
        <v>5270587400</v>
      </c>
      <c r="AB234" s="31" t="n">
        <v>6547910215</v>
      </c>
      <c r="AC234" s="36" t="n">
        <v>0.004216946573953416</v>
      </c>
      <c r="AD234" s="29" t="inlineStr">
        <is>
          <t>yfinance_download</t>
        </is>
      </c>
      <c r="AE234" s="29" t="inlineStr">
        <is>
          <t>064760.KQ</t>
        </is>
      </c>
    </row>
    <row r="235" ht="24" customHeight="1">
      <c r="A235" s="24" t="inlineStr">
        <is>
          <t>2024-05-23</t>
        </is>
      </c>
      <c r="B235" s="30" t="n">
        <v>112400</v>
      </c>
      <c r="C235" s="30" t="n">
        <v>115000</v>
      </c>
      <c r="D235" s="30" t="n">
        <v>111800</v>
      </c>
      <c r="E235" s="30" t="n">
        <v>113900</v>
      </c>
      <c r="F235" s="30" t="n">
        <v>110866.2890625</v>
      </c>
      <c r="G235" s="30" t="n">
        <v>43909</v>
      </c>
      <c r="H235" s="35" t="n">
        <v>0.01878354203935606</v>
      </c>
      <c r="I235" s="35" t="n">
        <v>-0.4446611409068747</v>
      </c>
      <c r="J235" s="30" t="n">
        <v>119955</v>
      </c>
      <c r="K235" s="30" t="n">
        <v>115441.6666666667</v>
      </c>
      <c r="L235" s="30" t="n">
        <v>110520.8333333333</v>
      </c>
      <c r="M235" s="35" t="n">
        <v>0.421644436223979</v>
      </c>
      <c r="N235" s="35" t="n">
        <v>0.5237580429013358</v>
      </c>
      <c r="O235" s="35" t="n">
        <v>-0.05711920529801329</v>
      </c>
      <c r="P235" s="35" t="n">
        <v>0.1551724137931034</v>
      </c>
      <c r="Q235" s="35" t="n">
        <v>0.1803108808290155</v>
      </c>
      <c r="R235" s="35" t="n">
        <v>-0.05047726230669836</v>
      </c>
      <c r="S235" s="35" t="n">
        <v>-0.01335450804879812</v>
      </c>
      <c r="T235" s="35" t="n">
        <v>0.03057492931196992</v>
      </c>
      <c r="U235" s="30" t="n">
        <v>137700</v>
      </c>
      <c r="V235" s="30" t="n">
        <v>81800</v>
      </c>
      <c r="W235" s="35" t="n">
        <v>-0.1728395061728395</v>
      </c>
      <c r="X235" s="35" t="n">
        <v>0.3924205378973105</v>
      </c>
      <c r="Y235" s="30" t="n">
        <v>11179416</v>
      </c>
      <c r="Z235" s="30" t="n">
        <v>1273335482400</v>
      </c>
      <c r="AA235" s="30" t="n">
        <v>5001235100</v>
      </c>
      <c r="AB235" s="30" t="n">
        <v>6091056410</v>
      </c>
      <c r="AC235" s="35" t="n">
        <v>0.003927664915591297</v>
      </c>
      <c r="AD235" s="24" t="inlineStr">
        <is>
          <t>yfinance_download</t>
        </is>
      </c>
      <c r="AE235" s="24" t="inlineStr">
        <is>
          <t>064760.KQ</t>
        </is>
      </c>
    </row>
    <row r="236" ht="24" customHeight="1">
      <c r="A236" s="29" t="inlineStr">
        <is>
          <t>2024-05-24</t>
        </is>
      </c>
      <c r="B236" s="31" t="n">
        <v>109900</v>
      </c>
      <c r="C236" s="31" t="n">
        <v>112900</v>
      </c>
      <c r="D236" s="31" t="n">
        <v>108500</v>
      </c>
      <c r="E236" s="31" t="n">
        <v>109000</v>
      </c>
      <c r="F236" s="31" t="n">
        <v>106096.8046875</v>
      </c>
      <c r="G236" s="31" t="n">
        <v>53346</v>
      </c>
      <c r="H236" s="36" t="n">
        <v>-0.04302019315188765</v>
      </c>
      <c r="I236" s="36" t="n">
        <v>-0.4685519258898099</v>
      </c>
      <c r="J236" s="31" t="n">
        <v>119225</v>
      </c>
      <c r="K236" s="31" t="n">
        <v>115640</v>
      </c>
      <c r="L236" s="31" t="n">
        <v>110600.8333333333</v>
      </c>
      <c r="M236" s="36" t="n">
        <v>0.4332741182716311</v>
      </c>
      <c r="N236" s="36" t="n">
        <v>0.5309243068431434</v>
      </c>
      <c r="O236" s="36" t="n">
        <v>-0.1181229773462783</v>
      </c>
      <c r="P236" s="36" t="n">
        <v>0.1225540679711636</v>
      </c>
      <c r="Q236" s="36" t="n">
        <v>0.09657947686116697</v>
      </c>
      <c r="R236" s="36" t="n">
        <v>-0.08576221430069197</v>
      </c>
      <c r="S236" s="36" t="n">
        <v>-0.05741957800069175</v>
      </c>
      <c r="T236" s="36" t="n">
        <v>-0.01447397171510156</v>
      </c>
      <c r="U236" s="31" t="n">
        <v>137700</v>
      </c>
      <c r="V236" s="31" t="n">
        <v>81800</v>
      </c>
      <c r="W236" s="36" t="n">
        <v>-0.2084241103848947</v>
      </c>
      <c r="X236" s="36" t="n">
        <v>0.3325183374083129</v>
      </c>
      <c r="Y236" s="31" t="n">
        <v>11179416</v>
      </c>
      <c r="Z236" s="31" t="n">
        <v>1218556344000</v>
      </c>
      <c r="AA236" s="31" t="n">
        <v>5814714000</v>
      </c>
      <c r="AB236" s="31" t="n">
        <v>6095528330</v>
      </c>
      <c r="AC236" s="36" t="n">
        <v>0.004771805611312792</v>
      </c>
      <c r="AD236" s="29" t="inlineStr">
        <is>
          <t>yfinance_download</t>
        </is>
      </c>
      <c r="AE236" s="29" t="inlineStr">
        <is>
          <t>064760.KQ</t>
        </is>
      </c>
    </row>
    <row r="237" ht="24" customHeight="1">
      <c r="A237" s="24" t="inlineStr">
        <is>
          <t>2024-05-27</t>
        </is>
      </c>
      <c r="B237" s="30" t="n">
        <v>109100</v>
      </c>
      <c r="C237" s="30" t="n">
        <v>112900</v>
      </c>
      <c r="D237" s="30" t="n">
        <v>109100</v>
      </c>
      <c r="E237" s="30" t="n">
        <v>112300</v>
      </c>
      <c r="F237" s="30" t="n">
        <v>109308.90625</v>
      </c>
      <c r="G237" s="30" t="n">
        <v>41132</v>
      </c>
      <c r="H237" s="35" t="n">
        <v>0.03027522935779814</v>
      </c>
      <c r="I237" s="35" t="n">
        <v>-0.4524622135543638</v>
      </c>
      <c r="J237" s="30" t="n">
        <v>118625</v>
      </c>
      <c r="K237" s="30" t="n">
        <v>115896.6666666667</v>
      </c>
      <c r="L237" s="30" t="n">
        <v>110711.6666666667</v>
      </c>
      <c r="M237" s="35" t="n">
        <v>0.450463172879965</v>
      </c>
      <c r="N237" s="35" t="n">
        <v>0.5338733097146008</v>
      </c>
      <c r="O237" s="35" t="n">
        <v>-0.09654062751407888</v>
      </c>
      <c r="P237" s="35" t="n">
        <v>0.1589267285861713</v>
      </c>
      <c r="Q237" s="35" t="n">
        <v>0.1343434343434344</v>
      </c>
      <c r="R237" s="35" t="n">
        <v>-0.05331928345626979</v>
      </c>
      <c r="S237" s="35" t="n">
        <v>-0.03103339181454745</v>
      </c>
      <c r="T237" s="35" t="n">
        <v>0.01434657594050615</v>
      </c>
      <c r="U237" s="30" t="n">
        <v>137700</v>
      </c>
      <c r="V237" s="30" t="n">
        <v>81800</v>
      </c>
      <c r="W237" s="35" t="n">
        <v>-0.1844589687726943</v>
      </c>
      <c r="X237" s="35" t="n">
        <v>0.3728606356968216</v>
      </c>
      <c r="Y237" s="30" t="n">
        <v>11179416</v>
      </c>
      <c r="Z237" s="30" t="n">
        <v>1255448416800</v>
      </c>
      <c r="AA237" s="30" t="n">
        <v>4619123600</v>
      </c>
      <c r="AB237" s="30" t="n">
        <v>5803454970</v>
      </c>
      <c r="AC237" s="35" t="n">
        <v>0.003679261957869713</v>
      </c>
      <c r="AD237" s="24" t="inlineStr">
        <is>
          <t>yfinance_download</t>
        </is>
      </c>
      <c r="AE237" s="24" t="inlineStr">
        <is>
          <t>064760.KQ</t>
        </is>
      </c>
    </row>
    <row r="238" ht="24" customHeight="1">
      <c r="A238" s="29" t="inlineStr">
        <is>
          <t>2024-05-28</t>
        </is>
      </c>
      <c r="B238" s="31" t="n">
        <v>112100</v>
      </c>
      <c r="C238" s="31" t="n">
        <v>117900</v>
      </c>
      <c r="D238" s="31" t="n">
        <v>111500</v>
      </c>
      <c r="E238" s="31" t="n">
        <v>116800</v>
      </c>
      <c r="F238" s="31" t="n">
        <v>113689.0546875</v>
      </c>
      <c r="G238" s="31" t="n">
        <v>62564</v>
      </c>
      <c r="H238" s="36" t="n">
        <v>0.04007123775601062</v>
      </c>
      <c r="I238" s="36" t="n">
        <v>-0.4305216967333009</v>
      </c>
      <c r="J238" s="31" t="n">
        <v>118565</v>
      </c>
      <c r="K238" s="31" t="n">
        <v>116270</v>
      </c>
      <c r="L238" s="31" t="n">
        <v>110862.5</v>
      </c>
      <c r="M238" s="36" t="n">
        <v>0.4426678500096722</v>
      </c>
      <c r="N238" s="36" t="n">
        <v>0.5357554578031037</v>
      </c>
      <c r="O238" s="36" t="n">
        <v>-0.01016949152542368</v>
      </c>
      <c r="P238" s="36" t="n">
        <v>0.2372881355932204</v>
      </c>
      <c r="Q238" s="36" t="n">
        <v>0.1833839918946303</v>
      </c>
      <c r="R238" s="36" t="n">
        <v>-0.01488634925989962</v>
      </c>
      <c r="S238" s="36" t="n">
        <v>0.004558355551733007</v>
      </c>
      <c r="T238" s="36" t="n">
        <v>0.05355733453602429</v>
      </c>
      <c r="U238" s="31" t="n">
        <v>137700</v>
      </c>
      <c r="V238" s="31" t="n">
        <v>81800</v>
      </c>
      <c r="W238" s="36" t="n">
        <v>-0.1517792302106028</v>
      </c>
      <c r="X238" s="36" t="n">
        <v>0.4278728606356967</v>
      </c>
      <c r="Y238" s="31" t="n">
        <v>11179416</v>
      </c>
      <c r="Z238" s="31" t="n">
        <v>1305755788800</v>
      </c>
      <c r="AA238" s="31" t="n">
        <v>7307475200</v>
      </c>
      <c r="AB238" s="31" t="n">
        <v>5685719030</v>
      </c>
      <c r="AC238" s="36" t="n">
        <v>0.005596356732766721</v>
      </c>
      <c r="AD238" s="29" t="inlineStr">
        <is>
          <t>yfinance_download</t>
        </is>
      </c>
      <c r="AE238" s="29" t="inlineStr">
        <is>
          <t>064760.KQ</t>
        </is>
      </c>
    </row>
    <row r="239" ht="24" customHeight="1">
      <c r="A239" s="24" t="inlineStr">
        <is>
          <t>2024-05-29</t>
        </is>
      </c>
      <c r="B239" s="30" t="n">
        <v>117500</v>
      </c>
      <c r="C239" s="30" t="n">
        <v>117500</v>
      </c>
      <c r="D239" s="30" t="n">
        <v>113400</v>
      </c>
      <c r="E239" s="30" t="n">
        <v>113700</v>
      </c>
      <c r="F239" s="30" t="n">
        <v>110671.625</v>
      </c>
      <c r="G239" s="30" t="n">
        <v>42185</v>
      </c>
      <c r="H239" s="35" t="n">
        <v>-0.02654109589041098</v>
      </c>
      <c r="I239" s="35" t="n">
        <v>-0.4456362749878108</v>
      </c>
      <c r="J239" s="30" t="n">
        <v>118035</v>
      </c>
      <c r="K239" s="30" t="n">
        <v>116596.6666666667</v>
      </c>
      <c r="L239" s="30" t="n">
        <v>110996.6666666667</v>
      </c>
      <c r="M239" s="35" t="n">
        <v>0.4036661167913067</v>
      </c>
      <c r="N239" s="35" t="n">
        <v>0.5392404868954263</v>
      </c>
      <c r="O239" s="35" t="n">
        <v>-0.085277554304103</v>
      </c>
      <c r="P239" s="35" t="n">
        <v>0.2082890541976621</v>
      </c>
      <c r="Q239" s="35" t="n">
        <v>0.1649590163934427</v>
      </c>
      <c r="R239" s="35" t="n">
        <v>-0.03672639471343242</v>
      </c>
      <c r="S239" s="35" t="n">
        <v>-0.02484347751508054</v>
      </c>
      <c r="T239" s="35" t="n">
        <v>0.02435508573831036</v>
      </c>
      <c r="U239" s="30" t="n">
        <v>137700</v>
      </c>
      <c r="V239" s="30" t="n">
        <v>81800</v>
      </c>
      <c r="W239" s="35" t="n">
        <v>-0.1742919389978214</v>
      </c>
      <c r="X239" s="35" t="n">
        <v>0.3899755501222495</v>
      </c>
      <c r="Y239" s="30" t="n">
        <v>11179416</v>
      </c>
      <c r="Z239" s="30" t="n">
        <v>1271099599200</v>
      </c>
      <c r="AA239" s="30" t="n">
        <v>4796434500</v>
      </c>
      <c r="AB239" s="30" t="n">
        <v>5359602855</v>
      </c>
      <c r="AC239" s="35" t="n">
        <v>0.003773452924553483</v>
      </c>
      <c r="AD239" s="24" t="inlineStr">
        <is>
          <t>yfinance_download</t>
        </is>
      </c>
      <c r="AE239" s="24" t="inlineStr">
        <is>
          <t>064760.KQ</t>
        </is>
      </c>
    </row>
    <row r="240" ht="24" customHeight="1">
      <c r="A240" s="29" t="inlineStr">
        <is>
          <t>2024-05-30</t>
        </is>
      </c>
      <c r="B240" s="31" t="n">
        <v>115800</v>
      </c>
      <c r="C240" s="31" t="n">
        <v>125500</v>
      </c>
      <c r="D240" s="31" t="n">
        <v>114500</v>
      </c>
      <c r="E240" s="31" t="n">
        <v>122200</v>
      </c>
      <c r="F240" s="31" t="n">
        <v>118945.21875</v>
      </c>
      <c r="G240" s="31" t="n">
        <v>121596</v>
      </c>
      <c r="H240" s="36" t="n">
        <v>0.07475813544415133</v>
      </c>
      <c r="I240" s="36" t="n">
        <v>-0.4041930765480254</v>
      </c>
      <c r="J240" s="31" t="n">
        <v>117925</v>
      </c>
      <c r="K240" s="31" t="n">
        <v>117055</v>
      </c>
      <c r="L240" s="31" t="n">
        <v>111184.1666666667</v>
      </c>
      <c r="M240" s="36" t="n">
        <v>0.4914885822591983</v>
      </c>
      <c r="N240" s="36" t="n">
        <v>0.5585453897236714</v>
      </c>
      <c r="O240" s="36" t="n">
        <v>-0.01768488745980712</v>
      </c>
      <c r="P240" s="36" t="n">
        <v>0.2903907074973602</v>
      </c>
      <c r="Q240" s="36" t="n">
        <v>0.2256770310932799</v>
      </c>
      <c r="R240" s="36" t="n">
        <v>0.0362518549925801</v>
      </c>
      <c r="S240" s="36" t="n">
        <v>0.04395369698005203</v>
      </c>
      <c r="T240" s="36" t="n">
        <v>0.09907735663801054</v>
      </c>
      <c r="U240" s="31" t="n">
        <v>137700</v>
      </c>
      <c r="V240" s="31" t="n">
        <v>81800</v>
      </c>
      <c r="W240" s="36" t="n">
        <v>-0.1125635439360929</v>
      </c>
      <c r="X240" s="36" t="n">
        <v>0.4938875305623471</v>
      </c>
      <c r="Y240" s="31" t="n">
        <v>11179416</v>
      </c>
      <c r="Z240" s="31" t="n">
        <v>1366124635200</v>
      </c>
      <c r="AA240" s="31" t="n">
        <v>14859031200</v>
      </c>
      <c r="AB240" s="31" t="n">
        <v>5845164595</v>
      </c>
      <c r="AC240" s="36" t="n">
        <v>0.0108767756741497</v>
      </c>
      <c r="AD240" s="29" t="inlineStr">
        <is>
          <t>yfinance_download</t>
        </is>
      </c>
      <c r="AE240" s="29" t="inlineStr">
        <is>
          <t>064760.KQ</t>
        </is>
      </c>
    </row>
    <row r="241" ht="24" customHeight="1">
      <c r="A241" s="24" t="inlineStr">
        <is>
          <t>2024-05-31</t>
        </is>
      </c>
      <c r="B241" s="30" t="n">
        <v>122100</v>
      </c>
      <c r="C241" s="30" t="n">
        <v>122200</v>
      </c>
      <c r="D241" s="30" t="n">
        <v>118400</v>
      </c>
      <c r="E241" s="30" t="n">
        <v>121000</v>
      </c>
      <c r="F241" s="30" t="n">
        <v>117777.1875</v>
      </c>
      <c r="G241" s="30" t="n">
        <v>43791</v>
      </c>
      <c r="H241" s="35" t="n">
        <v>-0.009819967266775809</v>
      </c>
      <c r="I241" s="35" t="n">
        <v>-0.4100438810336421</v>
      </c>
      <c r="J241" s="30" t="n">
        <v>117845</v>
      </c>
      <c r="K241" s="30" t="n">
        <v>117443.3333333333</v>
      </c>
      <c r="L241" s="30" t="n">
        <v>111367.5</v>
      </c>
      <c r="M241" s="35" t="n">
        <v>0.490003704697164</v>
      </c>
      <c r="N241" s="35" t="n">
        <v>0.556504914004242</v>
      </c>
      <c r="O241" s="35" t="n">
        <v>-0.01305057096247964</v>
      </c>
      <c r="P241" s="35" t="n">
        <v>0.2384851586489254</v>
      </c>
      <c r="Q241" s="35" t="n">
        <v>0.2222222222222223</v>
      </c>
      <c r="R241" s="35" t="n">
        <v>0.02677245534388395</v>
      </c>
      <c r="S241" s="35" t="n">
        <v>0.03028410864814246</v>
      </c>
      <c r="T241" s="35" t="n">
        <v>0.08649291759265498</v>
      </c>
      <c r="U241" s="30" t="n">
        <v>137700</v>
      </c>
      <c r="V241" s="30" t="n">
        <v>81800</v>
      </c>
      <c r="W241" s="35" t="n">
        <v>-0.121278140885984</v>
      </c>
      <c r="X241" s="35" t="n">
        <v>0.4792176039119804</v>
      </c>
      <c r="Y241" s="30" t="n">
        <v>11179416</v>
      </c>
      <c r="Z241" s="30" t="n">
        <v>1352709336000</v>
      </c>
      <c r="AA241" s="30" t="n">
        <v>5298711000</v>
      </c>
      <c r="AB241" s="30" t="n">
        <v>5796875535</v>
      </c>
      <c r="AC241" s="35" t="n">
        <v>0.003917109802515624</v>
      </c>
      <c r="AD241" s="24" t="inlineStr">
        <is>
          <t>yfinance_download</t>
        </is>
      </c>
      <c r="AE241" s="24" t="inlineStr">
        <is>
          <t>064760.KQ</t>
        </is>
      </c>
    </row>
    <row r="242" ht="24" customHeight="1">
      <c r="A242" s="29" t="inlineStr">
        <is>
          <t>2024-06-03</t>
        </is>
      </c>
      <c r="B242" s="31" t="n">
        <v>121000</v>
      </c>
      <c r="C242" s="31" t="n">
        <v>123000</v>
      </c>
      <c r="D242" s="31" t="n">
        <v>118900</v>
      </c>
      <c r="E242" s="31" t="n">
        <v>122600</v>
      </c>
      <c r="F242" s="31" t="n">
        <v>119334.5703125</v>
      </c>
      <c r="G242" s="31" t="n">
        <v>35895</v>
      </c>
      <c r="H242" s="36" t="n">
        <v>0.01322314049586781</v>
      </c>
      <c r="I242" s="36" t="n">
        <v>-0.4022428083861531</v>
      </c>
      <c r="J242" s="31" t="n">
        <v>117830</v>
      </c>
      <c r="K242" s="31" t="n">
        <v>117906.6666666667</v>
      </c>
      <c r="L242" s="31" t="n">
        <v>111543.3333333333</v>
      </c>
      <c r="M242" s="36" t="n">
        <v>0.4922670285187885</v>
      </c>
      <c r="N242" s="36" t="n">
        <v>0.5522893902994369</v>
      </c>
      <c r="O242" s="36" t="n">
        <v>-0.002441008950366141</v>
      </c>
      <c r="P242" s="36" t="n">
        <v>0.2932489451476794</v>
      </c>
      <c r="Q242" s="36" t="n">
        <v>0.2078817733990148</v>
      </c>
      <c r="R242" s="36" t="n">
        <v>0.0404820504116099</v>
      </c>
      <c r="S242" s="36" t="n">
        <v>0.03980549587244142</v>
      </c>
      <c r="T242" s="36" t="n">
        <v>0.09912440606042505</v>
      </c>
      <c r="U242" s="31" t="n">
        <v>137700</v>
      </c>
      <c r="V242" s="31" t="n">
        <v>81800</v>
      </c>
      <c r="W242" s="36" t="n">
        <v>-0.1096586782861293</v>
      </c>
      <c r="X242" s="36" t="n">
        <v>0.4987775061124695</v>
      </c>
      <c r="Y242" s="31" t="n">
        <v>11179416</v>
      </c>
      <c r="Z242" s="31" t="n">
        <v>1370596401600</v>
      </c>
      <c r="AA242" s="31" t="n">
        <v>4400727000</v>
      </c>
      <c r="AB242" s="31" t="n">
        <v>5643861225</v>
      </c>
      <c r="AC242" s="36" t="n">
        <v>0.003210811727553568</v>
      </c>
      <c r="AD242" s="29" t="inlineStr">
        <is>
          <t>yfinance_download</t>
        </is>
      </c>
      <c r="AE242" s="29" t="inlineStr">
        <is>
          <t>064760.KQ</t>
        </is>
      </c>
    </row>
    <row r="243" ht="24" customHeight="1">
      <c r="A243" s="24" t="inlineStr">
        <is>
          <t>2024-06-04</t>
        </is>
      </c>
      <c r="B243" s="30" t="n">
        <v>122600</v>
      </c>
      <c r="C243" s="30" t="n">
        <v>132000</v>
      </c>
      <c r="D243" s="30" t="n">
        <v>122100</v>
      </c>
      <c r="E243" s="30" t="n">
        <v>126900</v>
      </c>
      <c r="F243" s="30" t="n">
        <v>123520.0390625</v>
      </c>
      <c r="G243" s="30" t="n">
        <v>108371</v>
      </c>
      <c r="H243" s="35" t="n">
        <v>0.03507340946166404</v>
      </c>
      <c r="I243" s="35" t="n">
        <v>-0.3812774256460263</v>
      </c>
      <c r="J243" s="30" t="n">
        <v>118200</v>
      </c>
      <c r="K243" s="30" t="n">
        <v>118415</v>
      </c>
      <c r="L243" s="30" t="n">
        <v>111775.8333333333</v>
      </c>
      <c r="M243" s="35" t="n">
        <v>0.4953151857813661</v>
      </c>
      <c r="N243" s="35" t="n">
        <v>0.5552286812889865</v>
      </c>
      <c r="O243" s="35" t="n">
        <v>0.06192468619246871</v>
      </c>
      <c r="P243" s="35" t="n">
        <v>0.3163900414937759</v>
      </c>
      <c r="Q243" s="35" t="n">
        <v>0.2818181818181817</v>
      </c>
      <c r="R243" s="35" t="n">
        <v>0.07360406091370564</v>
      </c>
      <c r="S243" s="35" t="n">
        <v>0.07165477346619942</v>
      </c>
      <c r="T243" s="35" t="n">
        <v>0.1353080197717158</v>
      </c>
      <c r="U243" s="30" t="n">
        <v>137700</v>
      </c>
      <c r="V243" s="30" t="n">
        <v>81800</v>
      </c>
      <c r="W243" s="35" t="n">
        <v>-0.07843137254901966</v>
      </c>
      <c r="X243" s="35" t="n">
        <v>0.5513447432762837</v>
      </c>
      <c r="Y243" s="30" t="n">
        <v>11179416</v>
      </c>
      <c r="Z243" s="30" t="n">
        <v>1418667890400</v>
      </c>
      <c r="AA243" s="30" t="n">
        <v>13752279900</v>
      </c>
      <c r="AB243" s="30" t="n">
        <v>5979577595</v>
      </c>
      <c r="AC243" s="35" t="n">
        <v>0.009693797958676911</v>
      </c>
      <c r="AD243" s="24" t="inlineStr">
        <is>
          <t>yfinance_download</t>
        </is>
      </c>
      <c r="AE243" s="24" t="inlineStr">
        <is>
          <t>064760.KQ</t>
        </is>
      </c>
    </row>
    <row r="244" ht="24" customHeight="1">
      <c r="A244" s="29" t="inlineStr">
        <is>
          <t>2024-06-05</t>
        </is>
      </c>
      <c r="B244" s="31" t="n">
        <v>128000</v>
      </c>
      <c r="C244" s="31" t="n">
        <v>128500</v>
      </c>
      <c r="D244" s="31" t="n">
        <v>124000</v>
      </c>
      <c r="E244" s="31" t="n">
        <v>126300</v>
      </c>
      <c r="F244" s="31" t="n">
        <v>122936.0234375</v>
      </c>
      <c r="G244" s="31" t="n">
        <v>32066</v>
      </c>
      <c r="H244" s="36" t="n">
        <v>-0.004728132387706863</v>
      </c>
      <c r="I244" s="36" t="n">
        <v>-0.3842028278888348</v>
      </c>
      <c r="J244" s="31" t="n">
        <v>118220</v>
      </c>
      <c r="K244" s="31" t="n">
        <v>118805</v>
      </c>
      <c r="L244" s="31" t="n">
        <v>112005.8333333333</v>
      </c>
      <c r="M244" s="36" t="n">
        <v>0.4590137712141932</v>
      </c>
      <c r="N244" s="36" t="n">
        <v>0.5401668653168159</v>
      </c>
      <c r="O244" s="36" t="n">
        <v>0.003177124702144596</v>
      </c>
      <c r="P244" s="36" t="n">
        <v>0.227405247813411</v>
      </c>
      <c r="Q244" s="36" t="n">
        <v>0.2796352583586625</v>
      </c>
      <c r="R244" s="36" t="n">
        <v>0.06834714938250719</v>
      </c>
      <c r="S244" s="36" t="n">
        <v>0.06308657043053745</v>
      </c>
      <c r="T244" s="36" t="n">
        <v>0.1276198412285074</v>
      </c>
      <c r="U244" s="31" t="n">
        <v>137700</v>
      </c>
      <c r="V244" s="31" t="n">
        <v>81800</v>
      </c>
      <c r="W244" s="36" t="n">
        <v>-0.08278867102396514</v>
      </c>
      <c r="X244" s="36" t="n">
        <v>0.5440097799511003</v>
      </c>
      <c r="Y244" s="31" t="n">
        <v>11179416</v>
      </c>
      <c r="Z244" s="31" t="n">
        <v>1411960240800</v>
      </c>
      <c r="AA244" s="31" t="n">
        <v>4049935800</v>
      </c>
      <c r="AB244" s="31" t="n">
        <v>5778162005</v>
      </c>
      <c r="AC244" s="36" t="n">
        <v>0.002868307253259025</v>
      </c>
      <c r="AD244" s="29" t="inlineStr">
        <is>
          <t>yfinance_download</t>
        </is>
      </c>
      <c r="AE244" s="29" t="inlineStr">
        <is>
          <t>064760.KQ</t>
        </is>
      </c>
    </row>
    <row r="245" ht="24" customHeight="1">
      <c r="A245" s="24" t="inlineStr">
        <is>
          <t>2024-06-07</t>
        </is>
      </c>
      <c r="B245" s="30" t="n">
        <v>126800</v>
      </c>
      <c r="C245" s="30" t="n">
        <v>127500</v>
      </c>
      <c r="D245" s="30" t="n">
        <v>123600</v>
      </c>
      <c r="E245" s="30" t="n">
        <v>124000</v>
      </c>
      <c r="F245" s="30" t="n">
        <v>120697.28125</v>
      </c>
      <c r="G245" s="30" t="n">
        <v>33998</v>
      </c>
      <c r="H245" s="35" t="n">
        <v>-0.0182106096595408</v>
      </c>
      <c r="I245" s="35" t="n">
        <v>-0.3954168698196002</v>
      </c>
      <c r="J245" s="30" t="n">
        <v>118255</v>
      </c>
      <c r="K245" s="30" t="n">
        <v>119193.3333333333</v>
      </c>
      <c r="L245" s="30" t="n">
        <v>112184.1666666667</v>
      </c>
      <c r="M245" s="35" t="n">
        <v>0.4575981730158779</v>
      </c>
      <c r="N245" s="35" t="n">
        <v>0.5395700149945104</v>
      </c>
      <c r="O245" s="35" t="n">
        <v>0.005677210056772131</v>
      </c>
      <c r="P245" s="35" t="n">
        <v>0.2313803376365442</v>
      </c>
      <c r="Q245" s="35" t="n">
        <v>0.2085769980506822</v>
      </c>
      <c r="R245" s="35" t="n">
        <v>0.04858145532958447</v>
      </c>
      <c r="S245" s="35" t="n">
        <v>0.04032664019240451</v>
      </c>
      <c r="T245" s="35" t="n">
        <v>0.105325320715193</v>
      </c>
      <c r="U245" s="30" t="n">
        <v>137700</v>
      </c>
      <c r="V245" s="30" t="n">
        <v>81800</v>
      </c>
      <c r="W245" s="35" t="n">
        <v>-0.09949164851125636</v>
      </c>
      <c r="X245" s="35" t="n">
        <v>0.5158924205378974</v>
      </c>
      <c r="Y245" s="30" t="n">
        <v>11179416</v>
      </c>
      <c r="Z245" s="30" t="n">
        <v>1386247584000</v>
      </c>
      <c r="AA245" s="30" t="n">
        <v>4215752000</v>
      </c>
      <c r="AB245" s="30" t="n">
        <v>5797680480</v>
      </c>
      <c r="AC245" s="35" t="n">
        <v>0.003041124867345486</v>
      </c>
      <c r="AD245" s="24" t="inlineStr">
        <is>
          <t>yfinance_download</t>
        </is>
      </c>
      <c r="AE245" s="24" t="inlineStr">
        <is>
          <t>064760.KQ</t>
        </is>
      </c>
    </row>
    <row r="246" ht="24" customHeight="1">
      <c r="A246" s="29" t="inlineStr">
        <is>
          <t>2024-06-10</t>
        </is>
      </c>
      <c r="B246" s="31" t="n">
        <v>122200</v>
      </c>
      <c r="C246" s="31" t="n">
        <v>127000</v>
      </c>
      <c r="D246" s="31" t="n">
        <v>116900</v>
      </c>
      <c r="E246" s="31" t="n">
        <v>126200</v>
      </c>
      <c r="F246" s="31" t="n">
        <v>122838.6875</v>
      </c>
      <c r="G246" s="31" t="n">
        <v>73128</v>
      </c>
      <c r="H246" s="36" t="n">
        <v>0.01774193548387104</v>
      </c>
      <c r="I246" s="36" t="n">
        <v>-0.3846903949293028</v>
      </c>
      <c r="J246" s="31" t="n">
        <v>118495</v>
      </c>
      <c r="K246" s="31" t="n">
        <v>119691.6666666667</v>
      </c>
      <c r="L246" s="31" t="n">
        <v>112396.6666666667</v>
      </c>
      <c r="M246" s="36" t="n">
        <v>0.4572768044296275</v>
      </c>
      <c r="N246" s="36" t="n">
        <v>0.5309802089958346</v>
      </c>
      <c r="O246" s="36" t="n">
        <v>0.03953871499176276</v>
      </c>
      <c r="P246" s="36" t="n">
        <v>0.3104880581516096</v>
      </c>
      <c r="Q246" s="36" t="n">
        <v>0.253227408142999</v>
      </c>
      <c r="R246" s="36" t="n">
        <v>0.06502384066838274</v>
      </c>
      <c r="S246" s="36" t="n">
        <v>0.05437582677713571</v>
      </c>
      <c r="T246" s="36" t="n">
        <v>0.1228090987277202</v>
      </c>
      <c r="U246" s="31" t="n">
        <v>137700</v>
      </c>
      <c r="V246" s="31" t="n">
        <v>81800</v>
      </c>
      <c r="W246" s="36" t="n">
        <v>-0.08351488743645608</v>
      </c>
      <c r="X246" s="36" t="n">
        <v>0.5427872860635696</v>
      </c>
      <c r="Y246" s="31" t="n">
        <v>11179416</v>
      </c>
      <c r="Z246" s="31" t="n">
        <v>1410842299200</v>
      </c>
      <c r="AA246" s="31" t="n">
        <v>9228753600</v>
      </c>
      <c r="AB246" s="31" t="n">
        <v>6066219630</v>
      </c>
      <c r="AC246" s="36" t="n">
        <v>0.006541307703371983</v>
      </c>
      <c r="AD246" s="29" t="inlineStr">
        <is>
          <t>yfinance_download</t>
        </is>
      </c>
      <c r="AE246" s="29" t="inlineStr">
        <is>
          <t>064760.KQ</t>
        </is>
      </c>
    </row>
    <row r="247" ht="24" customHeight="1">
      <c r="A247" s="24" t="inlineStr">
        <is>
          <t>2024-06-11</t>
        </is>
      </c>
      <c r="B247" s="30" t="n">
        <v>125700</v>
      </c>
      <c r="C247" s="30" t="n">
        <v>129400</v>
      </c>
      <c r="D247" s="30" t="n">
        <v>123600</v>
      </c>
      <c r="E247" s="30" t="n">
        <v>124700</v>
      </c>
      <c r="F247" s="30" t="n">
        <v>121378.640625</v>
      </c>
      <c r="G247" s="30" t="n">
        <v>47153</v>
      </c>
      <c r="H247" s="35" t="n">
        <v>-0.01188589540412044</v>
      </c>
      <c r="I247" s="35" t="n">
        <v>-0.3920039005363237</v>
      </c>
      <c r="J247" s="30" t="n">
        <v>118770</v>
      </c>
      <c r="K247" s="30" t="n">
        <v>120113.3333333333</v>
      </c>
      <c r="L247" s="30" t="n">
        <v>112547.5</v>
      </c>
      <c r="M247" s="35" t="n">
        <v>0.4541024696666339</v>
      </c>
      <c r="N247" s="35" t="n">
        <v>0.5290401499022107</v>
      </c>
      <c r="O247" s="35" t="n">
        <v>0.04614093959731536</v>
      </c>
      <c r="P247" s="35" t="n">
        <v>0.2545271629778671</v>
      </c>
      <c r="Q247" s="35" t="n">
        <v>0.1697936210131332</v>
      </c>
      <c r="R247" s="35" t="n">
        <v>0.04992843310600326</v>
      </c>
      <c r="S247" s="35" t="n">
        <v>0.03818615751789989</v>
      </c>
      <c r="T247" s="35" t="n">
        <v>0.1079766320886737</v>
      </c>
      <c r="U247" s="30" t="n">
        <v>137700</v>
      </c>
      <c r="V247" s="30" t="n">
        <v>81800</v>
      </c>
      <c r="W247" s="35" t="n">
        <v>-0.09440813362381995</v>
      </c>
      <c r="X247" s="35" t="n">
        <v>0.5244498777506112</v>
      </c>
      <c r="Y247" s="30" t="n">
        <v>11179416</v>
      </c>
      <c r="Z247" s="30" t="n">
        <v>1394073175200</v>
      </c>
      <c r="AA247" s="30" t="n">
        <v>5879979100</v>
      </c>
      <c r="AB247" s="30" t="n">
        <v>6065192625</v>
      </c>
      <c r="AC247" s="35" t="n">
        <v>0.004217841075061524</v>
      </c>
      <c r="AD247" s="24" t="inlineStr">
        <is>
          <t>yfinance_download</t>
        </is>
      </c>
      <c r="AE247" s="24" t="inlineStr">
        <is>
          <t>064760.KQ</t>
        </is>
      </c>
    </row>
    <row r="248" ht="24" customHeight="1">
      <c r="A248" s="29" t="inlineStr">
        <is>
          <t>2024-06-12</t>
        </is>
      </c>
      <c r="B248" s="31" t="n">
        <v>123500</v>
      </c>
      <c r="C248" s="31" t="n">
        <v>135000</v>
      </c>
      <c r="D248" s="31" t="n">
        <v>123100</v>
      </c>
      <c r="E248" s="31" t="n">
        <v>133200</v>
      </c>
      <c r="F248" s="31" t="n">
        <v>129652.234375</v>
      </c>
      <c r="G248" s="31" t="n">
        <v>108422</v>
      </c>
      <c r="H248" s="36" t="n">
        <v>0.06816359262229343</v>
      </c>
      <c r="I248" s="36" t="n">
        <v>-0.3505607020965382</v>
      </c>
      <c r="J248" s="31" t="n">
        <v>119415</v>
      </c>
      <c r="K248" s="31" t="n">
        <v>120661.6666666667</v>
      </c>
      <c r="L248" s="31" t="n">
        <v>112740</v>
      </c>
      <c r="M248" s="36" t="n">
        <v>0.5101681138839298</v>
      </c>
      <c r="N248" s="36" t="n">
        <v>0.5449281288476832</v>
      </c>
      <c r="O248" s="36" t="n">
        <v>0.1072319201995013</v>
      </c>
      <c r="P248" s="36" t="n">
        <v>0.3280159521435693</v>
      </c>
      <c r="Q248" s="36" t="n">
        <v>0.2098092643051772</v>
      </c>
      <c r="R248" s="36" t="n">
        <v>0.1154377590754929</v>
      </c>
      <c r="S248" s="36" t="n">
        <v>0.1039131455723303</v>
      </c>
      <c r="T248" s="36" t="n">
        <v>0.1814795103778606</v>
      </c>
      <c r="U248" s="31" t="n">
        <v>137700</v>
      </c>
      <c r="V248" s="31" t="n">
        <v>81800</v>
      </c>
      <c r="W248" s="36" t="n">
        <v>-0.0326797385620915</v>
      </c>
      <c r="X248" s="36" t="n">
        <v>0.6283618581907091</v>
      </c>
      <c r="Y248" s="31" t="n">
        <v>11179416</v>
      </c>
      <c r="Z248" s="31" t="n">
        <v>1489098211200</v>
      </c>
      <c r="AA248" s="31" t="n">
        <v>14441810400</v>
      </c>
      <c r="AB248" s="31" t="n">
        <v>6651783240</v>
      </c>
      <c r="AC248" s="36" t="n">
        <v>0.009698359914328263</v>
      </c>
      <c r="AD248" s="29" t="inlineStr">
        <is>
          <t>yfinance_download</t>
        </is>
      </c>
      <c r="AE248" s="29" t="inlineStr">
        <is>
          <t>064760.KQ</t>
        </is>
      </c>
    </row>
    <row r="249" ht="24" customHeight="1">
      <c r="A249" s="24" t="inlineStr">
        <is>
          <t>2024-06-13</t>
        </is>
      </c>
      <c r="B249" s="30" t="n">
        <v>133900</v>
      </c>
      <c r="C249" s="30" t="n">
        <v>137200</v>
      </c>
      <c r="D249" s="30" t="n">
        <v>129000</v>
      </c>
      <c r="E249" s="30" t="n">
        <v>129000</v>
      </c>
      <c r="F249" s="30" t="n">
        <v>125564.1015625</v>
      </c>
      <c r="G249" s="30" t="n">
        <v>94260</v>
      </c>
      <c r="H249" s="35" t="n">
        <v>-0.03153153153153154</v>
      </c>
      <c r="I249" s="35" t="n">
        <v>-0.371038517796197</v>
      </c>
      <c r="J249" s="30" t="n">
        <v>120015</v>
      </c>
      <c r="K249" s="30" t="n">
        <v>121146.6666666667</v>
      </c>
      <c r="L249" s="30" t="n">
        <v>112919.1666666667</v>
      </c>
      <c r="M249" s="35" t="n">
        <v>0.5138818227890806</v>
      </c>
      <c r="N249" s="35" t="n">
        <v>0.549836653350521</v>
      </c>
      <c r="O249" s="35" t="n">
        <v>0.1025641025641026</v>
      </c>
      <c r="P249" s="35" t="n">
        <v>0.2912912912912913</v>
      </c>
      <c r="Q249" s="35" t="n">
        <v>0.2</v>
      </c>
      <c r="R249" s="35" t="n">
        <v>0.07486564179477573</v>
      </c>
      <c r="S249" s="35" t="n">
        <v>0.06482500550297154</v>
      </c>
      <c r="T249" s="35" t="n">
        <v>0.142410131141008</v>
      </c>
      <c r="U249" s="30" t="n">
        <v>137700</v>
      </c>
      <c r="V249" s="30" t="n">
        <v>81800</v>
      </c>
      <c r="W249" s="35" t="n">
        <v>-0.0631808278867102</v>
      </c>
      <c r="X249" s="35" t="n">
        <v>0.5770171149144254</v>
      </c>
      <c r="Y249" s="30" t="n">
        <v>11179416</v>
      </c>
      <c r="Z249" s="30" t="n">
        <v>1442144664000</v>
      </c>
      <c r="AA249" s="30" t="n">
        <v>12159540000</v>
      </c>
      <c r="AB249" s="30" t="n">
        <v>6980106840</v>
      </c>
      <c r="AC249" s="35" t="n">
        <v>0.008431567445025752</v>
      </c>
      <c r="AD249" s="24" t="inlineStr">
        <is>
          <t>yfinance_download</t>
        </is>
      </c>
      <c r="AE249" s="24" t="inlineStr">
        <is>
          <t>064760.KQ</t>
        </is>
      </c>
    </row>
    <row r="250" ht="24" customHeight="1">
      <c r="A250" s="29" t="inlineStr">
        <is>
          <t>2024-06-14</t>
        </is>
      </c>
      <c r="B250" s="31" t="n">
        <v>129800</v>
      </c>
      <c r="C250" s="31" t="n">
        <v>149900</v>
      </c>
      <c r="D250" s="31" t="n">
        <v>129300</v>
      </c>
      <c r="E250" s="31" t="n">
        <v>141400</v>
      </c>
      <c r="F250" s="31" t="n">
        <v>137633.828125</v>
      </c>
      <c r="G250" s="31" t="n">
        <v>318673</v>
      </c>
      <c r="H250" s="36" t="n">
        <v>0.09612403100775202</v>
      </c>
      <c r="I250" s="36" t="n">
        <v>-0.310580204778157</v>
      </c>
      <c r="J250" s="31" t="n">
        <v>121135</v>
      </c>
      <c r="K250" s="31" t="n">
        <v>121848.3333333333</v>
      </c>
      <c r="L250" s="31" t="n">
        <v>113170.8333333333</v>
      </c>
      <c r="M250" s="36" t="n">
        <v>0.6060708220140523</v>
      </c>
      <c r="N250" s="36" t="n">
        <v>0.5802222859018276</v>
      </c>
      <c r="O250" s="36" t="n">
        <v>0.1882352941176471</v>
      </c>
      <c r="P250" s="36" t="n">
        <v>0.4239677744209467</v>
      </c>
      <c r="Q250" s="36" t="n">
        <v>0.2715827338129497</v>
      </c>
      <c r="R250" s="36" t="n">
        <v>0.1672926899739959</v>
      </c>
      <c r="S250" s="36" t="n">
        <v>0.1604590406105952</v>
      </c>
      <c r="T250" s="36" t="n">
        <v>0.2494385331909723</v>
      </c>
      <c r="U250" s="31" t="n">
        <v>141400</v>
      </c>
      <c r="V250" s="31" t="n">
        <v>81800</v>
      </c>
      <c r="W250" s="36" t="n">
        <v>0</v>
      </c>
      <c r="X250" s="36" t="n">
        <v>0.7286063569682151</v>
      </c>
      <c r="Y250" s="31" t="n">
        <v>11179416</v>
      </c>
      <c r="Z250" s="31" t="n">
        <v>1580769422400</v>
      </c>
      <c r="AA250" s="31" t="n">
        <v>45060362200</v>
      </c>
      <c r="AB250" s="31" t="n">
        <v>9055618600</v>
      </c>
      <c r="AC250" s="36" t="n">
        <v>0.0285053351624092</v>
      </c>
      <c r="AD250" s="29" t="inlineStr">
        <is>
          <t>yfinance_download</t>
        </is>
      </c>
      <c r="AE250" s="29" t="inlineStr">
        <is>
          <t>064760.KQ</t>
        </is>
      </c>
    </row>
    <row r="251" ht="24" customHeight="1">
      <c r="A251" s="24" t="inlineStr">
        <is>
          <t>2024-06-17</t>
        </is>
      </c>
      <c r="B251" s="30" t="n">
        <v>141300</v>
      </c>
      <c r="C251" s="30" t="n">
        <v>145500</v>
      </c>
      <c r="D251" s="30" t="n">
        <v>139400</v>
      </c>
      <c r="E251" s="30" t="n">
        <v>139400</v>
      </c>
      <c r="F251" s="30" t="n">
        <v>135687.109375</v>
      </c>
      <c r="G251" s="30" t="n">
        <v>78966</v>
      </c>
      <c r="H251" s="35" t="n">
        <v>-0.01414427157001419</v>
      </c>
      <c r="I251" s="35" t="n">
        <v>-0.3203315455875183</v>
      </c>
      <c r="J251" s="30" t="n">
        <v>122205</v>
      </c>
      <c r="K251" s="30" t="n">
        <v>122460</v>
      </c>
      <c r="L251" s="30" t="n">
        <v>113386.6666666667</v>
      </c>
      <c r="M251" s="35" t="n">
        <v>0.6086364327328359</v>
      </c>
      <c r="N251" s="35" t="n">
        <v>0.5788318479101172</v>
      </c>
      <c r="O251" s="35" t="n">
        <v>0.1813559322033897</v>
      </c>
      <c r="P251" s="35" t="n">
        <v>0.3573515092502435</v>
      </c>
      <c r="Q251" s="35" t="n">
        <v>0.2281938325991189</v>
      </c>
      <c r="R251" s="35" t="n">
        <v>0.1407061904177407</v>
      </c>
      <c r="S251" s="35" t="n">
        <v>0.1383308835538135</v>
      </c>
      <c r="T251" s="35" t="n">
        <v>0.2294214487300092</v>
      </c>
      <c r="U251" s="30" t="n">
        <v>141400</v>
      </c>
      <c r="V251" s="30" t="n">
        <v>81800</v>
      </c>
      <c r="W251" s="35" t="n">
        <v>-0.01414427157001419</v>
      </c>
      <c r="X251" s="35" t="n">
        <v>0.7041564792176038</v>
      </c>
      <c r="Y251" s="30" t="n">
        <v>11179416</v>
      </c>
      <c r="Z251" s="30" t="n">
        <v>1558410590400</v>
      </c>
      <c r="AA251" s="30" t="n">
        <v>11007860400</v>
      </c>
      <c r="AB251" s="30" t="n">
        <v>9403370220</v>
      </c>
      <c r="AC251" s="35" t="n">
        <v>0.007063517450285418</v>
      </c>
      <c r="AD251" s="24" t="inlineStr">
        <is>
          <t>yfinance_download</t>
        </is>
      </c>
      <c r="AE251" s="24" t="inlineStr">
        <is>
          <t>064760.KQ</t>
        </is>
      </c>
    </row>
    <row r="252" ht="24" customHeight="1">
      <c r="A252" s="29" t="inlineStr">
        <is>
          <t>2024-06-18</t>
        </is>
      </c>
      <c r="B252" s="31" t="n">
        <v>141200</v>
      </c>
      <c r="C252" s="31" t="n">
        <v>145900</v>
      </c>
      <c r="D252" s="31" t="n">
        <v>136500</v>
      </c>
      <c r="E252" s="31" t="n">
        <v>142000</v>
      </c>
      <c r="F252" s="31" t="n">
        <v>138217.859375</v>
      </c>
      <c r="G252" s="31" t="n">
        <v>94710</v>
      </c>
      <c r="H252" s="36" t="n">
        <v>0.01865136298421799</v>
      </c>
      <c r="I252" s="36" t="n">
        <v>-0.3076548025353486</v>
      </c>
      <c r="J252" s="31" t="n">
        <v>123545</v>
      </c>
      <c r="K252" s="31" t="n">
        <v>123143.3333333333</v>
      </c>
      <c r="L252" s="31" t="n">
        <v>113658.3333333333</v>
      </c>
      <c r="M252" s="36" t="n">
        <v>0.5968436126403497</v>
      </c>
      <c r="N252" s="36" t="n">
        <v>0.5775342510830185</v>
      </c>
      <c r="O252" s="36" t="n">
        <v>0.2326388888888888</v>
      </c>
      <c r="P252" s="36" t="n">
        <v>0.4059405940594059</v>
      </c>
      <c r="Q252" s="36" t="n">
        <v>0.2979890310786106</v>
      </c>
      <c r="R252" s="36" t="n">
        <v>0.1493787688696426</v>
      </c>
      <c r="S252" s="36" t="n">
        <v>0.1531277914625233</v>
      </c>
      <c r="T252" s="36" t="n">
        <v>0.2493584573649095</v>
      </c>
      <c r="U252" s="31" t="n">
        <v>142000</v>
      </c>
      <c r="V252" s="31" t="n">
        <v>81800</v>
      </c>
      <c r="W252" s="36" t="n">
        <v>0</v>
      </c>
      <c r="X252" s="36" t="n">
        <v>0.7359413202933984</v>
      </c>
      <c r="Y252" s="31" t="n">
        <v>11179416</v>
      </c>
      <c r="Z252" s="31" t="n">
        <v>1587477072000</v>
      </c>
      <c r="AA252" s="31" t="n">
        <v>13448820000</v>
      </c>
      <c r="AB252" s="31" t="n">
        <v>9687155220</v>
      </c>
      <c r="AC252" s="36" t="n">
        <v>0.008471819994890609</v>
      </c>
      <c r="AD252" s="29" t="inlineStr">
        <is>
          <t>yfinance_download</t>
        </is>
      </c>
      <c r="AE252" s="29" t="inlineStr">
        <is>
          <t>064760.KQ</t>
        </is>
      </c>
    </row>
    <row r="253" ht="24" customHeight="1">
      <c r="A253" s="24" t="inlineStr">
        <is>
          <t>2024-06-19</t>
        </is>
      </c>
      <c r="B253" s="30" t="n">
        <v>140600</v>
      </c>
      <c r="C253" s="30" t="n">
        <v>141300</v>
      </c>
      <c r="D253" s="30" t="n">
        <v>132000</v>
      </c>
      <c r="E253" s="30" t="n">
        <v>138100</v>
      </c>
      <c r="F253" s="30" t="n">
        <v>134421.734375</v>
      </c>
      <c r="G253" s="30" t="n">
        <v>99248</v>
      </c>
      <c r="H253" s="35" t="n">
        <v>-0.02746478873239433</v>
      </c>
      <c r="I253" s="35" t="n">
        <v>-0.3266699171136032</v>
      </c>
      <c r="J253" s="30" t="n">
        <v>124725</v>
      </c>
      <c r="K253" s="30" t="n">
        <v>123738.3333333333</v>
      </c>
      <c r="L253" s="30" t="n">
        <v>113852.5</v>
      </c>
      <c r="M253" s="35" t="n">
        <v>0.6097287056804231</v>
      </c>
      <c r="N253" s="35" t="n">
        <v>0.5814299246040361</v>
      </c>
      <c r="O253" s="35" t="n">
        <v>0.2061135371179039</v>
      </c>
      <c r="P253" s="35" t="n">
        <v>0.3486328125</v>
      </c>
      <c r="Q253" s="35" t="n">
        <v>0.2029616724738676</v>
      </c>
      <c r="R253" s="35" t="n">
        <v>0.1072359190218481</v>
      </c>
      <c r="S253" s="35" t="n">
        <v>0.1160648141912368</v>
      </c>
      <c r="T253" s="35" t="n">
        <v>0.2129729254957071</v>
      </c>
      <c r="U253" s="30" t="n">
        <v>142000</v>
      </c>
      <c r="V253" s="30" t="n">
        <v>81800</v>
      </c>
      <c r="W253" s="35" t="n">
        <v>-0.02746478873239433</v>
      </c>
      <c r="X253" s="35" t="n">
        <v>0.6882640586797066</v>
      </c>
      <c r="Y253" s="30" t="n">
        <v>11179416</v>
      </c>
      <c r="Z253" s="30" t="n">
        <v>1543877349600</v>
      </c>
      <c r="AA253" s="30" t="n">
        <v>13706148800</v>
      </c>
      <c r="AB253" s="30" t="n">
        <v>10215964060</v>
      </c>
      <c r="AC253" s="35" t="n">
        <v>0.008877744597750007</v>
      </c>
      <c r="AD253" s="24" t="inlineStr">
        <is>
          <t>yfinance_download</t>
        </is>
      </c>
      <c r="AE253" s="24" t="inlineStr">
        <is>
          <t>064760.KQ</t>
        </is>
      </c>
    </row>
    <row r="254" ht="24" customHeight="1">
      <c r="A254" s="29" t="inlineStr">
        <is>
          <t>2024-06-20</t>
        </is>
      </c>
      <c r="B254" s="31" t="n">
        <v>136800</v>
      </c>
      <c r="C254" s="31" t="n">
        <v>137000</v>
      </c>
      <c r="D254" s="31" t="n">
        <v>130200</v>
      </c>
      <c r="E254" s="31" t="n">
        <v>130300</v>
      </c>
      <c r="F254" s="31" t="n">
        <v>126829.4765625</v>
      </c>
      <c r="G254" s="31" t="n">
        <v>84921</v>
      </c>
      <c r="H254" s="36" t="n">
        <v>-0.05648081100651703</v>
      </c>
      <c r="I254" s="36" t="n">
        <v>-0.3647001462701122</v>
      </c>
      <c r="J254" s="31" t="n">
        <v>125650</v>
      </c>
      <c r="K254" s="31" t="n">
        <v>124143.3333333333</v>
      </c>
      <c r="L254" s="31" t="n">
        <v>114000</v>
      </c>
      <c r="M254" s="36" t="n">
        <v>0.6440485750013168</v>
      </c>
      <c r="N254" s="36" t="n">
        <v>0.5917997419980735</v>
      </c>
      <c r="O254" s="36" t="n">
        <v>0.165474060822898</v>
      </c>
      <c r="P254" s="36" t="n">
        <v>0.2292452830188678</v>
      </c>
      <c r="Q254" s="36" t="n">
        <v>0.1571936056838366</v>
      </c>
      <c r="R254" s="36" t="n">
        <v>0.03700756068444089</v>
      </c>
      <c r="S254" s="36" t="n">
        <v>0.0495932121472491</v>
      </c>
      <c r="T254" s="36" t="n">
        <v>0.1429824561403508</v>
      </c>
      <c r="U254" s="31" t="n">
        <v>142000</v>
      </c>
      <c r="V254" s="31" t="n">
        <v>81800</v>
      </c>
      <c r="W254" s="36" t="n">
        <v>-0.0823943661971831</v>
      </c>
      <c r="X254" s="36" t="n">
        <v>0.5929095354523228</v>
      </c>
      <c r="Y254" s="31" t="n">
        <v>11179416</v>
      </c>
      <c r="Z254" s="31" t="n">
        <v>1456677904800</v>
      </c>
      <c r="AA254" s="31" t="n">
        <v>11065206300</v>
      </c>
      <c r="AB254" s="31" t="n">
        <v>10505695005</v>
      </c>
      <c r="AC254" s="36" t="n">
        <v>0.007596192860163715</v>
      </c>
      <c r="AD254" s="29" t="inlineStr">
        <is>
          <t>yfinance_download</t>
        </is>
      </c>
      <c r="AE254" s="29" t="inlineStr">
        <is>
          <t>064760.KQ</t>
        </is>
      </c>
    </row>
    <row r="255" ht="24" customHeight="1">
      <c r="A255" s="24" t="inlineStr">
        <is>
          <t>2024-06-21</t>
        </is>
      </c>
      <c r="B255" s="30" t="n">
        <v>129600</v>
      </c>
      <c r="C255" s="30" t="n">
        <v>135000</v>
      </c>
      <c r="D255" s="30" t="n">
        <v>128000</v>
      </c>
      <c r="E255" s="30" t="n">
        <v>134900</v>
      </c>
      <c r="F255" s="30" t="n">
        <v>131306.953125</v>
      </c>
      <c r="G255" s="30" t="n">
        <v>56386</v>
      </c>
      <c r="H255" s="35" t="n">
        <v>0.03530314658480438</v>
      </c>
      <c r="I255" s="35" t="n">
        <v>-0.3422720624085812</v>
      </c>
      <c r="J255" s="30" t="n">
        <v>126700</v>
      </c>
      <c r="K255" s="30" t="n">
        <v>124546.6666666667</v>
      </c>
      <c r="L255" s="30" t="n">
        <v>114200</v>
      </c>
      <c r="M255" s="35" t="n">
        <v>0.6502033803207019</v>
      </c>
      <c r="N255" s="35" t="n">
        <v>0.5894615483927554</v>
      </c>
      <c r="O255" s="35" t="n">
        <v>0.1843722563652326</v>
      </c>
      <c r="P255" s="35" t="n">
        <v>0.2186088527551941</v>
      </c>
      <c r="Q255" s="35" t="n">
        <v>0.2164111812443643</v>
      </c>
      <c r="R255" s="35" t="n">
        <v>0.06471981057616416</v>
      </c>
      <c r="S255" s="35" t="n">
        <v>0.08312814473825059</v>
      </c>
      <c r="T255" s="35" t="n">
        <v>0.181260945709282</v>
      </c>
      <c r="U255" s="30" t="n">
        <v>142000</v>
      </c>
      <c r="V255" s="30" t="n">
        <v>81800</v>
      </c>
      <c r="W255" s="35" t="n">
        <v>-0.05000000000000004</v>
      </c>
      <c r="X255" s="35" t="n">
        <v>0.6491442542787287</v>
      </c>
      <c r="Y255" s="30" t="n">
        <v>11179416</v>
      </c>
      <c r="Z255" s="30" t="n">
        <v>1508103218400</v>
      </c>
      <c r="AA255" s="30" t="n">
        <v>7606471400</v>
      </c>
      <c r="AB255" s="30" t="n">
        <v>10635956820</v>
      </c>
      <c r="AC255" s="35" t="n">
        <v>0.005043733948177615</v>
      </c>
      <c r="AD255" s="24" t="inlineStr">
        <is>
          <t>yfinance_download</t>
        </is>
      </c>
      <c r="AE255" s="24" t="inlineStr">
        <is>
          <t>064760.KQ</t>
        </is>
      </c>
    </row>
    <row r="256" ht="24" customHeight="1">
      <c r="A256" s="29" t="inlineStr">
        <is>
          <t>2024-06-24</t>
        </is>
      </c>
      <c r="B256" s="31" t="n">
        <v>134700</v>
      </c>
      <c r="C256" s="31" t="n">
        <v>138000</v>
      </c>
      <c r="D256" s="31" t="n">
        <v>130200</v>
      </c>
      <c r="E256" s="31" t="n">
        <v>131900</v>
      </c>
      <c r="F256" s="31" t="n">
        <v>128386.859375</v>
      </c>
      <c r="G256" s="31" t="n">
        <v>56839</v>
      </c>
      <c r="H256" s="36" t="n">
        <v>-0.02223869532987399</v>
      </c>
      <c r="I256" s="36" t="n">
        <v>-0.3568990736226231</v>
      </c>
      <c r="J256" s="31" t="n">
        <v>127845</v>
      </c>
      <c r="K256" s="31" t="n">
        <v>124940</v>
      </c>
      <c r="L256" s="31" t="n">
        <v>114370.8333333333</v>
      </c>
      <c r="M256" s="36" t="n">
        <v>0.631962293513688</v>
      </c>
      <c r="N256" s="36" t="n">
        <v>0.5895664299141589</v>
      </c>
      <c r="O256" s="36" t="n">
        <v>0.2100917431192661</v>
      </c>
      <c r="P256" s="36" t="n">
        <v>0.2179132040627885</v>
      </c>
      <c r="Q256" s="36" t="n">
        <v>0.1840215439856374</v>
      </c>
      <c r="R256" s="36" t="n">
        <v>0.03171809613203491</v>
      </c>
      <c r="S256" s="36" t="n">
        <v>0.05570673923483271</v>
      </c>
      <c r="T256" s="36" t="n">
        <v>0.1532660570512587</v>
      </c>
      <c r="U256" s="31" t="n">
        <v>142000</v>
      </c>
      <c r="V256" s="31" t="n">
        <v>81800</v>
      </c>
      <c r="W256" s="36" t="n">
        <v>-0.0711267605633803</v>
      </c>
      <c r="X256" s="36" t="n">
        <v>0.6124694376528117</v>
      </c>
      <c r="Y256" s="31" t="n">
        <v>11179416</v>
      </c>
      <c r="Z256" s="31" t="n">
        <v>1474564970400</v>
      </c>
      <c r="AA256" s="31" t="n">
        <v>7497064100</v>
      </c>
      <c r="AB256" s="31" t="n">
        <v>10720074325</v>
      </c>
      <c r="AC256" s="36" t="n">
        <v>0.005084254848374906</v>
      </c>
      <c r="AD256" s="29" t="inlineStr">
        <is>
          <t>yfinance_download</t>
        </is>
      </c>
      <c r="AE256" s="29" t="inlineStr">
        <is>
          <t>064760.KQ</t>
        </is>
      </c>
    </row>
    <row r="257" ht="24" customHeight="1">
      <c r="A257" s="24" t="inlineStr">
        <is>
          <t>2024-06-25</t>
        </is>
      </c>
      <c r="B257" s="30" t="n">
        <v>130500</v>
      </c>
      <c r="C257" s="30" t="n">
        <v>131700</v>
      </c>
      <c r="D257" s="30" t="n">
        <v>126500</v>
      </c>
      <c r="E257" s="30" t="n">
        <v>128500</v>
      </c>
      <c r="F257" s="30" t="n">
        <v>125077.421875</v>
      </c>
      <c r="G257" s="30" t="n">
        <v>47365</v>
      </c>
      <c r="H257" s="35" t="n">
        <v>-0.02577710386656562</v>
      </c>
      <c r="I257" s="35" t="n">
        <v>-0.3734763529985373</v>
      </c>
      <c r="J257" s="30" t="n">
        <v>128655</v>
      </c>
      <c r="K257" s="30" t="n">
        <v>125326.6666666667</v>
      </c>
      <c r="L257" s="30" t="n">
        <v>114509.1666666667</v>
      </c>
      <c r="M257" s="35" t="n">
        <v>0.6397567146797313</v>
      </c>
      <c r="N257" s="35" t="n">
        <v>0.5891382641145867</v>
      </c>
      <c r="O257" s="35" t="n">
        <v>0.1442564559216384</v>
      </c>
      <c r="P257" s="35" t="n">
        <v>0.2203228869895537</v>
      </c>
      <c r="Q257" s="35" t="n">
        <v>0.1483467381590706</v>
      </c>
      <c r="R257" s="35" t="n">
        <v>-0.001204772453460845</v>
      </c>
      <c r="S257" s="35" t="n">
        <v>0.02532049577105155</v>
      </c>
      <c r="T257" s="35" t="n">
        <v>0.1221809025478309</v>
      </c>
      <c r="U257" s="30" t="n">
        <v>142000</v>
      </c>
      <c r="V257" s="30" t="n">
        <v>81800</v>
      </c>
      <c r="W257" s="35" t="n">
        <v>-0.09507042253521125</v>
      </c>
      <c r="X257" s="35" t="n">
        <v>0.5709046454767726</v>
      </c>
      <c r="Y257" s="30" t="n">
        <v>11179416</v>
      </c>
      <c r="Z257" s="30" t="n">
        <v>1436554956000</v>
      </c>
      <c r="AA257" s="30" t="n">
        <v>6086402500</v>
      </c>
      <c r="AB257" s="30" t="n">
        <v>10793438270</v>
      </c>
      <c r="AC257" s="35" t="n">
        <v>0.004236804498553413</v>
      </c>
      <c r="AD257" s="24" t="inlineStr">
        <is>
          <t>yfinance_download</t>
        </is>
      </c>
      <c r="AE257" s="24" t="inlineStr">
        <is>
          <t>064760.KQ</t>
        </is>
      </c>
    </row>
    <row r="258" ht="24" customHeight="1">
      <c r="A258" s="29" t="inlineStr">
        <is>
          <t>2024-06-26</t>
        </is>
      </c>
      <c r="B258" s="31" t="n">
        <v>129100</v>
      </c>
      <c r="C258" s="31" t="n">
        <v>133500</v>
      </c>
      <c r="D258" s="31" t="n">
        <v>126000</v>
      </c>
      <c r="E258" s="31" t="n">
        <v>131100</v>
      </c>
      <c r="F258" s="31" t="n">
        <v>127608.171875</v>
      </c>
      <c r="G258" s="31" t="n">
        <v>76589</v>
      </c>
      <c r="H258" s="36" t="n">
        <v>0.02023346303501938</v>
      </c>
      <c r="I258" s="36" t="n">
        <v>-0.3607996099463676</v>
      </c>
      <c r="J258" s="31" t="n">
        <v>129370</v>
      </c>
      <c r="K258" s="31" t="n">
        <v>125673.3333333333</v>
      </c>
      <c r="L258" s="31" t="n">
        <v>114680.8333333333</v>
      </c>
      <c r="M258" s="36" t="n">
        <v>0.6301706441373015</v>
      </c>
      <c r="N258" s="36" t="n">
        <v>0.5831619502392714</v>
      </c>
      <c r="O258" s="36" t="n">
        <v>0.1224315068493151</v>
      </c>
      <c r="P258" s="36" t="n">
        <v>0.1885766092475067</v>
      </c>
      <c r="Q258" s="36" t="n">
        <v>0.1864253393665158</v>
      </c>
      <c r="R258" s="36" t="n">
        <v>0.01337249748782554</v>
      </c>
      <c r="S258" s="36" t="n">
        <v>0.04318073311760662</v>
      </c>
      <c r="T258" s="36" t="n">
        <v>0.143172718486815</v>
      </c>
      <c r="U258" s="31" t="n">
        <v>142000</v>
      </c>
      <c r="V258" s="31" t="n">
        <v>81800</v>
      </c>
      <c r="W258" s="36" t="n">
        <v>-0.0767605633802817</v>
      </c>
      <c r="X258" s="36" t="n">
        <v>0.6026894865525672</v>
      </c>
      <c r="Y258" s="31" t="n">
        <v>11179416</v>
      </c>
      <c r="Z258" s="31" t="n">
        <v>1465621437600</v>
      </c>
      <c r="AA258" s="31" t="n">
        <v>10040817900</v>
      </c>
      <c r="AB258" s="31" t="n">
        <v>10930105405</v>
      </c>
      <c r="AC258" s="36" t="n">
        <v>0.006850894536888153</v>
      </c>
      <c r="AD258" s="29" t="inlineStr">
        <is>
          <t>yfinance_download</t>
        </is>
      </c>
      <c r="AE258" s="29" t="inlineStr">
        <is>
          <t>064760.KQ</t>
        </is>
      </c>
    </row>
    <row r="259" ht="24" customHeight="1">
      <c r="A259" s="24" t="inlineStr">
        <is>
          <t>2024-06-27</t>
        </is>
      </c>
      <c r="B259" s="30" t="n">
        <v>129100</v>
      </c>
      <c r="C259" s="30" t="n">
        <v>131300</v>
      </c>
      <c r="D259" s="30" t="n">
        <v>126800</v>
      </c>
      <c r="E259" s="30" t="n">
        <v>128600</v>
      </c>
      <c r="F259" s="30" t="n">
        <v>125174.7578125</v>
      </c>
      <c r="G259" s="30" t="n">
        <v>31166</v>
      </c>
      <c r="H259" s="35" t="n">
        <v>-0.01906941266209006</v>
      </c>
      <c r="I259" s="35" t="n">
        <v>-0.3729887859580693</v>
      </c>
      <c r="J259" s="30" t="n">
        <v>130115</v>
      </c>
      <c r="K259" s="30" t="n">
        <v>125881.6666666667</v>
      </c>
      <c r="L259" s="30" t="n">
        <v>114824.1666666667</v>
      </c>
      <c r="M259" s="35" t="n">
        <v>0.6255120908050915</v>
      </c>
      <c r="N259" s="35" t="n">
        <v>0.5758633234749926</v>
      </c>
      <c r="O259" s="35" t="n">
        <v>0.1310466138962181</v>
      </c>
      <c r="P259" s="35" t="n">
        <v>0.107665805340224</v>
      </c>
      <c r="Q259" s="35" t="n">
        <v>0.1543985637342908</v>
      </c>
      <c r="R259" s="35" t="n">
        <v>-0.01164354609384011</v>
      </c>
      <c r="S259" s="35" t="n">
        <v>0.02159435448635616</v>
      </c>
      <c r="T259" s="35" t="n">
        <v>0.1199732924979497</v>
      </c>
      <c r="U259" s="30" t="n">
        <v>142000</v>
      </c>
      <c r="V259" s="30" t="n">
        <v>81800</v>
      </c>
      <c r="W259" s="35" t="n">
        <v>-0.09436619718309858</v>
      </c>
      <c r="X259" s="35" t="n">
        <v>0.5721271393643033</v>
      </c>
      <c r="Y259" s="30" t="n">
        <v>11179416</v>
      </c>
      <c r="Z259" s="30" t="n">
        <v>1437672897600</v>
      </c>
      <c r="AA259" s="30" t="n">
        <v>4007947600</v>
      </c>
      <c r="AB259" s="30" t="n">
        <v>10890681060</v>
      </c>
      <c r="AC259" s="35" t="n">
        <v>0.002787802153529308</v>
      </c>
      <c r="AD259" s="24" t="inlineStr">
        <is>
          <t>yfinance_download</t>
        </is>
      </c>
      <c r="AE259" s="24" t="inlineStr">
        <is>
          <t>064760.KQ</t>
        </is>
      </c>
    </row>
    <row r="260" ht="24" customHeight="1">
      <c r="A260" s="29" t="inlineStr">
        <is>
          <t>2024-06-28</t>
        </is>
      </c>
      <c r="B260" s="31" t="n">
        <v>129300</v>
      </c>
      <c r="C260" s="31" t="n">
        <v>135400</v>
      </c>
      <c r="D260" s="31" t="n">
        <v>127300</v>
      </c>
      <c r="E260" s="31" t="n">
        <v>134000</v>
      </c>
      <c r="F260" s="31" t="n">
        <v>130430.9375</v>
      </c>
      <c r="G260" s="31" t="n">
        <v>46514</v>
      </c>
      <c r="H260" s="36" t="n">
        <v>0.04199066874028001</v>
      </c>
      <c r="I260" s="36" t="n">
        <v>-0.3466601657727938</v>
      </c>
      <c r="J260" s="31" t="n">
        <v>130705</v>
      </c>
      <c r="K260" s="31" t="n">
        <v>125946.6666666667</v>
      </c>
      <c r="L260" s="31" t="n">
        <v>115013.3333333333</v>
      </c>
      <c r="M260" s="36" t="n">
        <v>0.5880547135206554</v>
      </c>
      <c r="N260" s="36" t="n">
        <v>0.5274218399917278</v>
      </c>
      <c r="O260" s="36" t="n">
        <v>0.09656301145662849</v>
      </c>
      <c r="P260" s="36" t="n">
        <v>0.02997694081475788</v>
      </c>
      <c r="Q260" s="36" t="n">
        <v>0.2039532794249774</v>
      </c>
      <c r="R260" s="36" t="n">
        <v>0.02520944110783829</v>
      </c>
      <c r="S260" s="36" t="n">
        <v>0.06394240948549657</v>
      </c>
      <c r="T260" s="36" t="n">
        <v>0.1650823092974727</v>
      </c>
      <c r="U260" s="31" t="n">
        <v>142000</v>
      </c>
      <c r="V260" s="31" t="n">
        <v>81800</v>
      </c>
      <c r="W260" s="36" t="n">
        <v>-0.05633802816901412</v>
      </c>
      <c r="X260" s="36" t="n">
        <v>0.6381418092909537</v>
      </c>
      <c r="Y260" s="31" t="n">
        <v>11179416</v>
      </c>
      <c r="Z260" s="31" t="n">
        <v>1498041744000</v>
      </c>
      <c r="AA260" s="31" t="n">
        <v>6232876000</v>
      </c>
      <c r="AB260" s="31" t="n">
        <v>10459373300</v>
      </c>
      <c r="AC260" s="36" t="n">
        <v>0.004160682454253425</v>
      </c>
      <c r="AD260" s="29" t="inlineStr">
        <is>
          <t>yfinance_download</t>
        </is>
      </c>
      <c r="AE260" s="29" t="inlineStr">
        <is>
          <t>064760.KQ</t>
        </is>
      </c>
    </row>
    <row r="261" ht="24" customHeight="1">
      <c r="A261" s="24" t="inlineStr">
        <is>
          <t>2024-07-01</t>
        </is>
      </c>
      <c r="B261" s="30" t="n">
        <v>133400</v>
      </c>
      <c r="C261" s="30" t="n">
        <v>141000</v>
      </c>
      <c r="D261" s="30" t="n">
        <v>132500</v>
      </c>
      <c r="E261" s="30" t="n">
        <v>133900</v>
      </c>
      <c r="F261" s="30" t="n">
        <v>130333.6015625</v>
      </c>
      <c r="G261" s="30" t="n">
        <v>40473</v>
      </c>
      <c r="H261" s="35" t="n">
        <v>-0.0007462686567164534</v>
      </c>
      <c r="I261" s="35" t="n">
        <v>-0.3471477328132618</v>
      </c>
      <c r="J261" s="30" t="n">
        <v>131350</v>
      </c>
      <c r="K261" s="30" t="n">
        <v>125988.3333333333</v>
      </c>
      <c r="L261" s="30" t="n">
        <v>115151.6666666667</v>
      </c>
      <c r="M261" s="35" t="n">
        <v>0.5858469631440523</v>
      </c>
      <c r="N261" s="35" t="n">
        <v>0.5271014838600284</v>
      </c>
      <c r="O261" s="35" t="n">
        <v>0.1066115702479338</v>
      </c>
      <c r="P261" s="35" t="n">
        <v>0.01902587519025878</v>
      </c>
      <c r="Q261" s="35" t="n">
        <v>0.1415174765558398</v>
      </c>
      <c r="R261" s="35" t="n">
        <v>0.01941377997716032</v>
      </c>
      <c r="S261" s="35" t="n">
        <v>0.06279681981135821</v>
      </c>
      <c r="T261" s="35" t="n">
        <v>0.1628142594549218</v>
      </c>
      <c r="U261" s="30" t="n">
        <v>142000</v>
      </c>
      <c r="V261" s="30" t="n">
        <v>81800</v>
      </c>
      <c r="W261" s="35" t="n">
        <v>-0.0570422535211268</v>
      </c>
      <c r="X261" s="35" t="n">
        <v>0.6369193154034229</v>
      </c>
      <c r="Y261" s="30" t="n">
        <v>11179416</v>
      </c>
      <c r="Z261" s="30" t="n">
        <v>1496923802400</v>
      </c>
      <c r="AA261" s="30" t="n">
        <v>5419334700</v>
      </c>
      <c r="AB261" s="30" t="n">
        <v>10465404485</v>
      </c>
      <c r="AC261" s="35" t="n">
        <v>0.003620314334845398</v>
      </c>
      <c r="AD261" s="24" t="inlineStr">
        <is>
          <t>yfinance_download</t>
        </is>
      </c>
      <c r="AE261" s="24" t="inlineStr">
        <is>
          <t>064760.KQ</t>
        </is>
      </c>
    </row>
    <row r="262" ht="24" customHeight="1">
      <c r="A262" s="29" t="inlineStr">
        <is>
          <t>2024-07-02</t>
        </is>
      </c>
      <c r="B262" s="31" t="n">
        <v>132600</v>
      </c>
      <c r="C262" s="31" t="n">
        <v>138000</v>
      </c>
      <c r="D262" s="31" t="n">
        <v>131000</v>
      </c>
      <c r="E262" s="31" t="n">
        <v>132500</v>
      </c>
      <c r="F262" s="31" t="n">
        <v>128970.8828125</v>
      </c>
      <c r="G262" s="31" t="n">
        <v>46524</v>
      </c>
      <c r="H262" s="36" t="n">
        <v>-0.01045556385362212</v>
      </c>
      <c r="I262" s="36" t="n">
        <v>-0.3539736713798147</v>
      </c>
      <c r="J262" s="31" t="n">
        <v>131845</v>
      </c>
      <c r="K262" s="31" t="n">
        <v>126081.6666666667</v>
      </c>
      <c r="L262" s="31" t="n">
        <v>115292.5</v>
      </c>
      <c r="M262" s="36" t="n">
        <v>0.5878460945722839</v>
      </c>
      <c r="N262" s="36" t="n">
        <v>0.5225708710485497</v>
      </c>
      <c r="O262" s="36" t="n">
        <v>0.08075040783034249</v>
      </c>
      <c r="P262" s="36" t="n">
        <v>0.04412923561859738</v>
      </c>
      <c r="Q262" s="36" t="n">
        <v>0.1461937716262975</v>
      </c>
      <c r="R262" s="36" t="n">
        <v>0.004967954795403795</v>
      </c>
      <c r="S262" s="36" t="n">
        <v>0.05090615870665838</v>
      </c>
      <c r="T262" s="36" t="n">
        <v>0.1492508185701584</v>
      </c>
      <c r="U262" s="31" t="n">
        <v>142000</v>
      </c>
      <c r="V262" s="31" t="n">
        <v>81800</v>
      </c>
      <c r="W262" s="36" t="n">
        <v>-0.06690140845070425</v>
      </c>
      <c r="X262" s="36" t="n">
        <v>0.6198044009779951</v>
      </c>
      <c r="Y262" s="31" t="n">
        <v>11179416</v>
      </c>
      <c r="Z262" s="31" t="n">
        <v>1481272620000</v>
      </c>
      <c r="AA262" s="31" t="n">
        <v>6164430000</v>
      </c>
      <c r="AB262" s="31" t="n">
        <v>10553589635</v>
      </c>
      <c r="AC262" s="36" t="n">
        <v>0.004161576955361532</v>
      </c>
      <c r="AD262" s="29" t="inlineStr">
        <is>
          <t>yfinance_download</t>
        </is>
      </c>
      <c r="AE262" s="29" t="inlineStr">
        <is>
          <t>064760.KQ</t>
        </is>
      </c>
    </row>
    <row r="263" ht="24" customHeight="1">
      <c r="A263" s="24" t="inlineStr">
        <is>
          <t>2024-07-03</t>
        </is>
      </c>
      <c r="B263" s="30" t="n">
        <v>131300</v>
      </c>
      <c r="C263" s="30" t="n">
        <v>132700</v>
      </c>
      <c r="D263" s="30" t="n">
        <v>127500</v>
      </c>
      <c r="E263" s="30" t="n">
        <v>131400</v>
      </c>
      <c r="F263" s="30" t="n">
        <v>127900.1875</v>
      </c>
      <c r="G263" s="30" t="n">
        <v>50507</v>
      </c>
      <c r="H263" s="35" t="n">
        <v>-0.008301886792452806</v>
      </c>
      <c r="I263" s="35" t="n">
        <v>-0.3593369088249634</v>
      </c>
      <c r="J263" s="30" t="n">
        <v>132070</v>
      </c>
      <c r="K263" s="30" t="n">
        <v>126123.3333333333</v>
      </c>
      <c r="L263" s="30" t="n">
        <v>115438.3333333333</v>
      </c>
      <c r="M263" s="35" t="n">
        <v>0.578033797765255</v>
      </c>
      <c r="N263" s="35" t="n">
        <v>0.5220430487664877</v>
      </c>
      <c r="O263" s="35" t="n">
        <v>0.03546099290780136</v>
      </c>
      <c r="P263" s="35" t="n">
        <v>0.01939487975174559</v>
      </c>
      <c r="Q263" s="35" t="n">
        <v>0.1536435469710271</v>
      </c>
      <c r="R263" s="35" t="n">
        <v>-0.005073067312788671</v>
      </c>
      <c r="S263" s="35" t="n">
        <v>0.04183735497000285</v>
      </c>
      <c r="T263" s="35" t="n">
        <v>0.1382700720442371</v>
      </c>
      <c r="U263" s="30" t="n">
        <v>142000</v>
      </c>
      <c r="V263" s="30" t="n">
        <v>81800</v>
      </c>
      <c r="W263" s="35" t="n">
        <v>-0.07464788732394367</v>
      </c>
      <c r="X263" s="35" t="n">
        <v>0.6063569682151588</v>
      </c>
      <c r="Y263" s="30" t="n">
        <v>11179416</v>
      </c>
      <c r="Z263" s="30" t="n">
        <v>1468975262400</v>
      </c>
      <c r="AA263" s="30" t="n">
        <v>6636619800</v>
      </c>
      <c r="AB263" s="30" t="n">
        <v>10197806630</v>
      </c>
      <c r="AC263" s="35" t="n">
        <v>0.004517856746720937</v>
      </c>
      <c r="AD263" s="24" t="inlineStr">
        <is>
          <t>yfinance_download</t>
        </is>
      </c>
      <c r="AE263" s="24" t="inlineStr">
        <is>
          <t>064760.KQ</t>
        </is>
      </c>
    </row>
    <row r="264" ht="24" customHeight="1">
      <c r="A264" s="29" t="inlineStr">
        <is>
          <t>2024-07-04</t>
        </is>
      </c>
      <c r="B264" s="31" t="n">
        <v>132600</v>
      </c>
      <c r="C264" s="31" t="n">
        <v>137900</v>
      </c>
      <c r="D264" s="31" t="n">
        <v>131500</v>
      </c>
      <c r="E264" s="31" t="n">
        <v>135900</v>
      </c>
      <c r="F264" s="31" t="n">
        <v>132280.3125</v>
      </c>
      <c r="G264" s="31" t="n">
        <v>49541</v>
      </c>
      <c r="H264" s="36" t="n">
        <v>0.03424657534246567</v>
      </c>
      <c r="I264" s="36" t="n">
        <v>-0.3373963920039006</v>
      </c>
      <c r="J264" s="31" t="n">
        <v>132550</v>
      </c>
      <c r="K264" s="31" t="n">
        <v>126215</v>
      </c>
      <c r="L264" s="31" t="n">
        <v>115621.6666666667</v>
      </c>
      <c r="M264" s="36" t="n">
        <v>0.5881633294098424</v>
      </c>
      <c r="N264" s="36" t="n">
        <v>0.5260799029707864</v>
      </c>
      <c r="O264" s="36" t="n">
        <v>0.07600950118764849</v>
      </c>
      <c r="P264" s="36" t="n">
        <v>0.04217791411042948</v>
      </c>
      <c r="Q264" s="36" t="n">
        <v>0.1931518876207199</v>
      </c>
      <c r="R264" s="36" t="n">
        <v>0.02527348170501686</v>
      </c>
      <c r="S264" s="36" t="n">
        <v>0.0767341441191618</v>
      </c>
      <c r="T264" s="36" t="n">
        <v>0.1753852363311375</v>
      </c>
      <c r="U264" s="31" t="n">
        <v>142000</v>
      </c>
      <c r="V264" s="31" t="n">
        <v>81800</v>
      </c>
      <c r="W264" s="36" t="n">
        <v>-0.04295774647887329</v>
      </c>
      <c r="X264" s="36" t="n">
        <v>0.6613691931540342</v>
      </c>
      <c r="Y264" s="31" t="n">
        <v>11179416</v>
      </c>
      <c r="Z264" s="31" t="n">
        <v>1519282634400</v>
      </c>
      <c r="AA264" s="31" t="n">
        <v>6732621900</v>
      </c>
      <c r="AB264" s="31" t="n">
        <v>10331940935</v>
      </c>
      <c r="AC264" s="36" t="n">
        <v>0.004431447939677708</v>
      </c>
      <c r="AD264" s="29" t="inlineStr">
        <is>
          <t>yfinance_download</t>
        </is>
      </c>
      <c r="AE264" s="29" t="inlineStr">
        <is>
          <t>064760.KQ</t>
        </is>
      </c>
    </row>
    <row r="265" ht="24" customHeight="1">
      <c r="A265" s="24" t="inlineStr">
        <is>
          <t>2024-07-05</t>
        </is>
      </c>
      <c r="B265" s="30" t="n">
        <v>136400</v>
      </c>
      <c r="C265" s="30" t="n">
        <v>140000</v>
      </c>
      <c r="D265" s="30" t="n">
        <v>133000</v>
      </c>
      <c r="E265" s="30" t="n">
        <v>133000</v>
      </c>
      <c r="F265" s="30" t="n">
        <v>129457.5703125</v>
      </c>
      <c r="G265" s="30" t="n">
        <v>50872</v>
      </c>
      <c r="H265" s="35" t="n">
        <v>-0.02133922001471666</v>
      </c>
      <c r="I265" s="35" t="n">
        <v>-0.3515358361774744</v>
      </c>
      <c r="J265" s="30" t="n">
        <v>133000</v>
      </c>
      <c r="K265" s="30" t="n">
        <v>126205</v>
      </c>
      <c r="L265" s="30" t="n">
        <v>115768.3333333333</v>
      </c>
      <c r="M265" s="35" t="n">
        <v>0.5898544008281648</v>
      </c>
      <c r="N265" s="35" t="n">
        <v>0.5257969253268576</v>
      </c>
      <c r="O265" s="35" t="n">
        <v>0.07258064516129026</v>
      </c>
      <c r="P265" s="35" t="n">
        <v>-0.004491017964071808</v>
      </c>
      <c r="Q265" s="35" t="n">
        <v>0.1525129982668978</v>
      </c>
      <c r="R265" s="35" t="n">
        <v>0</v>
      </c>
      <c r="S265" s="35" t="n">
        <v>0.05384097302008639</v>
      </c>
      <c r="T265" s="35" t="n">
        <v>0.1488461150861635</v>
      </c>
      <c r="U265" s="30" t="n">
        <v>142000</v>
      </c>
      <c r="V265" s="30" t="n">
        <v>81800</v>
      </c>
      <c r="W265" s="35" t="n">
        <v>-0.06338028169014087</v>
      </c>
      <c r="X265" s="35" t="n">
        <v>0.6259168704156479</v>
      </c>
      <c r="Y265" s="30" t="n">
        <v>11179416</v>
      </c>
      <c r="Z265" s="30" t="n">
        <v>1486862328000</v>
      </c>
      <c r="AA265" s="30" t="n">
        <v>6765976000</v>
      </c>
      <c r="AB265" s="30" t="n">
        <v>10459452135</v>
      </c>
      <c r="AC265" s="35" t="n">
        <v>0.004550506037166879</v>
      </c>
      <c r="AD265" s="24" t="inlineStr">
        <is>
          <t>yfinance_download</t>
        </is>
      </c>
      <c r="AE265" s="24" t="inlineStr">
        <is>
          <t>064760.KQ</t>
        </is>
      </c>
    </row>
    <row r="266" ht="24" customHeight="1">
      <c r="A266" s="29" t="inlineStr">
        <is>
          <t>2024-07-08</t>
        </is>
      </c>
      <c r="B266" s="31" t="n">
        <v>131700</v>
      </c>
      <c r="C266" s="31" t="n">
        <v>134500</v>
      </c>
      <c r="D266" s="31" t="n">
        <v>130500</v>
      </c>
      <c r="E266" s="31" t="n">
        <v>134200</v>
      </c>
      <c r="F266" s="31" t="n">
        <v>130625.6015625</v>
      </c>
      <c r="G266" s="31" t="n">
        <v>33850</v>
      </c>
      <c r="H266" s="36" t="n">
        <v>0.009022556390977376</v>
      </c>
      <c r="I266" s="36" t="n">
        <v>-0.3456850316918576</v>
      </c>
      <c r="J266" s="31" t="n">
        <v>133400</v>
      </c>
      <c r="K266" s="31" t="n">
        <v>126281.6666666667</v>
      </c>
      <c r="L266" s="31" t="n">
        <v>115939.1666666667</v>
      </c>
      <c r="M266" s="36" t="n">
        <v>0.587998865223918</v>
      </c>
      <c r="N266" s="36" t="n">
        <v>0.5222266716131874</v>
      </c>
      <c r="O266" s="36" t="n">
        <v>0.06339144215530901</v>
      </c>
      <c r="P266" s="36" t="n">
        <v>0.03549382716049387</v>
      </c>
      <c r="Q266" s="36" t="n">
        <v>0.1802990325417766</v>
      </c>
      <c r="R266" s="36" t="n">
        <v>0.00599700149925031</v>
      </c>
      <c r="S266" s="36" t="n">
        <v>0.06270374427536329</v>
      </c>
      <c r="T266" s="36" t="n">
        <v>0.1575035758695291</v>
      </c>
      <c r="U266" s="31" t="n">
        <v>142000</v>
      </c>
      <c r="V266" s="31" t="n">
        <v>81800</v>
      </c>
      <c r="W266" s="36" t="n">
        <v>-0.05492957746478877</v>
      </c>
      <c r="X266" s="36" t="n">
        <v>0.6405867970660146</v>
      </c>
      <c r="Y266" s="31" t="n">
        <v>11179416</v>
      </c>
      <c r="Z266" s="31" t="n">
        <v>1500277627200</v>
      </c>
      <c r="AA266" s="31" t="n">
        <v>4542670000</v>
      </c>
      <c r="AB266" s="31" t="n">
        <v>10225147955</v>
      </c>
      <c r="AC266" s="36" t="n">
        <v>0.003027886250945488</v>
      </c>
      <c r="AD266" s="29" t="inlineStr">
        <is>
          <t>yfinance_download</t>
        </is>
      </c>
      <c r="AE266" s="29" t="inlineStr">
        <is>
          <t>064760.KQ</t>
        </is>
      </c>
    </row>
    <row r="267" ht="24" customHeight="1">
      <c r="A267" s="24" t="inlineStr">
        <is>
          <t>2024-07-09</t>
        </is>
      </c>
      <c r="B267" s="30" t="n">
        <v>138400</v>
      </c>
      <c r="C267" s="30" t="n">
        <v>139800</v>
      </c>
      <c r="D267" s="30" t="n">
        <v>134300</v>
      </c>
      <c r="E267" s="30" t="n">
        <v>136600</v>
      </c>
      <c r="F267" s="30" t="n">
        <v>132961.6875</v>
      </c>
      <c r="G267" s="30" t="n">
        <v>55689</v>
      </c>
      <c r="H267" s="35" t="n">
        <v>0.01788375558867372</v>
      </c>
      <c r="I267" s="35" t="n">
        <v>-0.3339834227206241</v>
      </c>
      <c r="J267" s="30" t="n">
        <v>133995</v>
      </c>
      <c r="K267" s="30" t="n">
        <v>126358.3333333333</v>
      </c>
      <c r="L267" s="30" t="n">
        <v>116150</v>
      </c>
      <c r="M267" s="35" t="n">
        <v>0.5870174531249615</v>
      </c>
      <c r="N267" s="35" t="n">
        <v>0.522137895332093</v>
      </c>
      <c r="O267" s="35" t="n">
        <v>0.09542902967121081</v>
      </c>
      <c r="P267" s="35" t="n">
        <v>0.03484848484848491</v>
      </c>
      <c r="Q267" s="35" t="n">
        <v>0.2273135669362085</v>
      </c>
      <c r="R267" s="35" t="n">
        <v>0.01944102391880298</v>
      </c>
      <c r="S267" s="35" t="n">
        <v>0.08105256215788437</v>
      </c>
      <c r="T267" s="35" t="n">
        <v>0.1760654326302196</v>
      </c>
      <c r="U267" s="30" t="n">
        <v>142000</v>
      </c>
      <c r="V267" s="30" t="n">
        <v>81800</v>
      </c>
      <c r="W267" s="35" t="n">
        <v>-0.03802816901408446</v>
      </c>
      <c r="X267" s="35" t="n">
        <v>0.6699266503667483</v>
      </c>
      <c r="Y267" s="30" t="n">
        <v>11179416</v>
      </c>
      <c r="Z267" s="30" t="n">
        <v>1527108225600</v>
      </c>
      <c r="AA267" s="30" t="n">
        <v>7607117400</v>
      </c>
      <c r="AB267" s="30" t="n">
        <v>10311504870</v>
      </c>
      <c r="AC267" s="35" t="n">
        <v>0.004981387220942489</v>
      </c>
      <c r="AD267" s="24" t="inlineStr">
        <is>
          <t>yfinance_download</t>
        </is>
      </c>
      <c r="AE267" s="24" t="inlineStr">
        <is>
          <t>064760.KQ</t>
        </is>
      </c>
    </row>
    <row r="268" ht="24" customHeight="1">
      <c r="A268" s="29" t="inlineStr">
        <is>
          <t>2024-07-10</t>
        </is>
      </c>
      <c r="B268" s="31" t="n">
        <v>135100</v>
      </c>
      <c r="C268" s="31" t="n">
        <v>138500</v>
      </c>
      <c r="D268" s="31" t="n">
        <v>134500</v>
      </c>
      <c r="E268" s="31" t="n">
        <v>136800</v>
      </c>
      <c r="F268" s="31" t="n">
        <v>133156.359375</v>
      </c>
      <c r="G268" s="31" t="n">
        <v>30956</v>
      </c>
      <c r="H268" s="36" t="n">
        <v>0.001464128843338131</v>
      </c>
      <c r="I268" s="36" t="n">
        <v>-0.333008288639688</v>
      </c>
      <c r="J268" s="31" t="n">
        <v>134175</v>
      </c>
      <c r="K268" s="31" t="n">
        <v>126473.3333333333</v>
      </c>
      <c r="L268" s="31" t="n">
        <v>116370.8333333333</v>
      </c>
      <c r="M268" s="36" t="n">
        <v>0.53781952338497</v>
      </c>
      <c r="N268" s="36" t="n">
        <v>0.520933554248979</v>
      </c>
      <c r="O268" s="36" t="n">
        <v>0.02702702702702697</v>
      </c>
      <c r="P268" s="36" t="n">
        <v>0.05311778290993074</v>
      </c>
      <c r="Q268" s="36" t="n">
        <v>0.2402538531278331</v>
      </c>
      <c r="R268" s="36" t="n">
        <v>0.01956400223588606</v>
      </c>
      <c r="S268" s="36" t="n">
        <v>0.08165094090980984</v>
      </c>
      <c r="T268" s="36" t="n">
        <v>0.1755522933151921</v>
      </c>
      <c r="U268" s="31" t="n">
        <v>142000</v>
      </c>
      <c r="V268" s="31" t="n">
        <v>81800</v>
      </c>
      <c r="W268" s="36" t="n">
        <v>-0.03661971830985911</v>
      </c>
      <c r="X268" s="36" t="n">
        <v>0.6723716381418092</v>
      </c>
      <c r="Y268" s="31" t="n">
        <v>11179416</v>
      </c>
      <c r="Z268" s="31" t="n">
        <v>1529344108800</v>
      </c>
      <c r="AA268" s="31" t="n">
        <v>4234780800</v>
      </c>
      <c r="AB268" s="31" t="n">
        <v>9801153390</v>
      </c>
      <c r="AC268" s="36" t="n">
        <v>0.00276901763025904</v>
      </c>
      <c r="AD268" s="29" t="inlineStr">
        <is>
          <t>yfinance_download</t>
        </is>
      </c>
      <c r="AE268" s="29" t="inlineStr">
        <is>
          <t>064760.KQ</t>
        </is>
      </c>
    </row>
    <row r="269" ht="24" customHeight="1">
      <c r="A269" s="24" t="inlineStr">
        <is>
          <t>2024-07-11</t>
        </is>
      </c>
      <c r="B269" s="30" t="n">
        <v>137500</v>
      </c>
      <c r="C269" s="30" t="n">
        <v>137500</v>
      </c>
      <c r="D269" s="30" t="n">
        <v>133500</v>
      </c>
      <c r="E269" s="30" t="n">
        <v>134500</v>
      </c>
      <c r="F269" s="30" t="n">
        <v>130917.6171875</v>
      </c>
      <c r="G269" s="30" t="n">
        <v>36212</v>
      </c>
      <c r="H269" s="35" t="n">
        <v>-0.01681286549707606</v>
      </c>
      <c r="I269" s="35" t="n">
        <v>-0.3442223305704535</v>
      </c>
      <c r="J269" s="30" t="n">
        <v>134450</v>
      </c>
      <c r="K269" s="30" t="n">
        <v>126498.3333333333</v>
      </c>
      <c r="L269" s="30" t="n">
        <v>116586.6666666667</v>
      </c>
      <c r="M269" s="35" t="n">
        <v>0.5281468068572173</v>
      </c>
      <c r="N269" s="35" t="n">
        <v>0.52010646078244</v>
      </c>
      <c r="O269" s="35" t="n">
        <v>0.04263565891472876</v>
      </c>
      <c r="P269" s="35" t="n">
        <v>0.01127819548872178</v>
      </c>
      <c r="Q269" s="35" t="n">
        <v>0.2384898710865562</v>
      </c>
      <c r="R269" s="35" t="n">
        <v>0.0003718854592784648</v>
      </c>
      <c r="S269" s="35" t="n">
        <v>0.06325511535066353</v>
      </c>
      <c r="T269" s="35" t="n">
        <v>0.1536482159194876</v>
      </c>
      <c r="U269" s="30" t="n">
        <v>142000</v>
      </c>
      <c r="V269" s="30" t="n">
        <v>81800</v>
      </c>
      <c r="W269" s="35" t="n">
        <v>-0.05281690140845074</v>
      </c>
      <c r="X269" s="35" t="n">
        <v>0.6442542787286063</v>
      </c>
      <c r="Y269" s="30" t="n">
        <v>11179416</v>
      </c>
      <c r="Z269" s="30" t="n">
        <v>1503631452000</v>
      </c>
      <c r="AA269" s="30" t="n">
        <v>4870514000</v>
      </c>
      <c r="AB269" s="30" t="n">
        <v>9436702090</v>
      </c>
      <c r="AC269" s="35" t="n">
        <v>0.003239167412680591</v>
      </c>
      <c r="AD269" s="24" t="inlineStr">
        <is>
          <t>yfinance_download</t>
        </is>
      </c>
      <c r="AE269" s="24" t="inlineStr">
        <is>
          <t>064760.KQ</t>
        </is>
      </c>
    </row>
    <row r="270" ht="24" customHeight="1">
      <c r="A270" s="29" t="inlineStr">
        <is>
          <t>2024-07-12</t>
        </is>
      </c>
      <c r="B270" s="31" t="n">
        <v>131800</v>
      </c>
      <c r="C270" s="31" t="n">
        <v>132400</v>
      </c>
      <c r="D270" s="31" t="n">
        <v>129000</v>
      </c>
      <c r="E270" s="31" t="n">
        <v>131700</v>
      </c>
      <c r="F270" s="31" t="n">
        <v>128192.1953125</v>
      </c>
      <c r="G270" s="31" t="n">
        <v>27993</v>
      </c>
      <c r="H270" s="36" t="n">
        <v>-0.02081784386617103</v>
      </c>
      <c r="I270" s="36" t="n">
        <v>-0.3578742077035593</v>
      </c>
      <c r="J270" s="31" t="n">
        <v>133965</v>
      </c>
      <c r="K270" s="31" t="n">
        <v>126398.3333333333</v>
      </c>
      <c r="L270" s="31" t="n">
        <v>116776.6666666667</v>
      </c>
      <c r="M270" s="36" t="n">
        <v>0.4014322795465852</v>
      </c>
      <c r="N270" s="36" t="n">
        <v>0.5168592807289929</v>
      </c>
      <c r="O270" s="36" t="n">
        <v>-0.06859971711456858</v>
      </c>
      <c r="P270" s="36" t="n">
        <v>-0.04357298474945537</v>
      </c>
      <c r="Q270" s="36" t="n">
        <v>0.2093663911845729</v>
      </c>
      <c r="R270" s="36" t="n">
        <v>-0.01690740118687717</v>
      </c>
      <c r="S270" s="36" t="n">
        <v>0.04194411846147772</v>
      </c>
      <c r="T270" s="36" t="n">
        <v>0.1277937944224017</v>
      </c>
      <c r="U270" s="31" t="n">
        <v>142000</v>
      </c>
      <c r="V270" s="31" t="n">
        <v>81800</v>
      </c>
      <c r="W270" s="36" t="n">
        <v>-0.07253521126760565</v>
      </c>
      <c r="X270" s="36" t="n">
        <v>0.6100244498777505</v>
      </c>
      <c r="Y270" s="31" t="n">
        <v>11179416</v>
      </c>
      <c r="Z270" s="31" t="n">
        <v>1472329087200</v>
      </c>
      <c r="AA270" s="31" t="n">
        <v>3686678100</v>
      </c>
      <c r="AB270" s="31" t="n">
        <v>7368017885</v>
      </c>
      <c r="AC270" s="36" t="n">
        <v>0.002503976951926648</v>
      </c>
      <c r="AD270" s="29" t="inlineStr">
        <is>
          <t>yfinance_download</t>
        </is>
      </c>
      <c r="AE270" s="29" t="inlineStr">
        <is>
          <t>064760.KQ</t>
        </is>
      </c>
    </row>
    <row r="271" ht="24" customHeight="1">
      <c r="A271" s="24" t="inlineStr">
        <is>
          <t>2024-07-15</t>
        </is>
      </c>
      <c r="B271" s="30" t="n">
        <v>131700</v>
      </c>
      <c r="C271" s="30" t="n">
        <v>131700</v>
      </c>
      <c r="D271" s="30" t="n">
        <v>128100</v>
      </c>
      <c r="E271" s="30" t="n">
        <v>131000</v>
      </c>
      <c r="F271" s="30" t="n">
        <v>127510.8359375</v>
      </c>
      <c r="G271" s="30" t="n">
        <v>24635</v>
      </c>
      <c r="H271" s="35" t="n">
        <v>-0.005315110098709219</v>
      </c>
      <c r="I271" s="35" t="n">
        <v>-0.3612871769868357</v>
      </c>
      <c r="J271" s="30" t="n">
        <v>133545</v>
      </c>
      <c r="K271" s="30" t="n">
        <v>126365</v>
      </c>
      <c r="L271" s="30" t="n">
        <v>116980</v>
      </c>
      <c r="M271" s="35" t="n">
        <v>0.3994707521822333</v>
      </c>
      <c r="N271" s="35" t="n">
        <v>0.5121376739066612</v>
      </c>
      <c r="O271" s="35" t="n">
        <v>-0.06025824964131998</v>
      </c>
      <c r="P271" s="35" t="n">
        <v>-0.01503759398496241</v>
      </c>
      <c r="Q271" s="35" t="n">
        <v>0.2288930581613509</v>
      </c>
      <c r="R271" s="35" t="n">
        <v>-0.01905724662098918</v>
      </c>
      <c r="S271" s="35" t="n">
        <v>0.03667946029359404</v>
      </c>
      <c r="T271" s="35" t="n">
        <v>0.1198495469310994</v>
      </c>
      <c r="U271" s="30" t="n">
        <v>142000</v>
      </c>
      <c r="V271" s="30" t="n">
        <v>81800</v>
      </c>
      <c r="W271" s="35" t="n">
        <v>-0.07746478873239437</v>
      </c>
      <c r="X271" s="35" t="n">
        <v>0.6014669926650367</v>
      </c>
      <c r="Y271" s="30" t="n">
        <v>11179416</v>
      </c>
      <c r="Z271" s="30" t="n">
        <v>1464503496000</v>
      </c>
      <c r="AA271" s="30" t="n">
        <v>3227185000</v>
      </c>
      <c r="AB271" s="30" t="n">
        <v>6978984115</v>
      </c>
      <c r="AC271" s="35" t="n">
        <v>0.002203603479823991</v>
      </c>
      <c r="AD271" s="24" t="inlineStr">
        <is>
          <t>yfinance_download</t>
        </is>
      </c>
      <c r="AE271" s="24" t="inlineStr">
        <is>
          <t>064760.KQ</t>
        </is>
      </c>
    </row>
    <row r="272" ht="24" customHeight="1">
      <c r="A272" s="29" t="inlineStr">
        <is>
          <t>2024-07-16</t>
        </is>
      </c>
      <c r="B272" s="31" t="n">
        <v>130700</v>
      </c>
      <c r="C272" s="31" t="n">
        <v>131100</v>
      </c>
      <c r="D272" s="31" t="n">
        <v>128200</v>
      </c>
      <c r="E272" s="31" t="n">
        <v>129500</v>
      </c>
      <c r="F272" s="31" t="n">
        <v>126050.7890625</v>
      </c>
      <c r="G272" s="31" t="n">
        <v>39104</v>
      </c>
      <c r="H272" s="36" t="n">
        <v>-0.01145038167938928</v>
      </c>
      <c r="I272" s="36" t="n">
        <v>-0.3686006825938567</v>
      </c>
      <c r="J272" s="31" t="n">
        <v>132920</v>
      </c>
      <c r="K272" s="31" t="n">
        <v>126248.3333333333</v>
      </c>
      <c r="L272" s="31" t="n">
        <v>117175</v>
      </c>
      <c r="M272" s="36" t="n">
        <v>0.3922554172501759</v>
      </c>
      <c r="N272" s="36" t="n">
        <v>0.5097717951282044</v>
      </c>
      <c r="O272" s="36" t="n">
        <v>-0.0880281690140845</v>
      </c>
      <c r="P272" s="36" t="n">
        <v>-0.05128205128205132</v>
      </c>
      <c r="Q272" s="36" t="n">
        <v>0.2205466540999057</v>
      </c>
      <c r="R272" s="36" t="n">
        <v>-0.02572976226301538</v>
      </c>
      <c r="S272" s="36" t="n">
        <v>0.02575611559228519</v>
      </c>
      <c r="T272" s="36" t="n">
        <v>0.1051845530189888</v>
      </c>
      <c r="U272" s="31" t="n">
        <v>142000</v>
      </c>
      <c r="V272" s="31" t="n">
        <v>81800</v>
      </c>
      <c r="W272" s="36" t="n">
        <v>-0.0880281690140845</v>
      </c>
      <c r="X272" s="36" t="n">
        <v>0.5831295843520783</v>
      </c>
      <c r="Y272" s="31" t="n">
        <v>11179416</v>
      </c>
      <c r="Z272" s="31" t="n">
        <v>1447734372000</v>
      </c>
      <c r="AA272" s="31" t="n">
        <v>5063968000</v>
      </c>
      <c r="AB272" s="31" t="n">
        <v>6559741515</v>
      </c>
      <c r="AC272" s="36" t="n">
        <v>0.003497857133145417</v>
      </c>
      <c r="AD272" s="29" t="inlineStr">
        <is>
          <t>yfinance_download</t>
        </is>
      </c>
      <c r="AE272" s="29" t="inlineStr">
        <is>
          <t>064760.KQ</t>
        </is>
      </c>
    </row>
    <row r="273" ht="24" customHeight="1">
      <c r="A273" s="24" t="inlineStr">
        <is>
          <t>2024-07-17</t>
        </is>
      </c>
      <c r="B273" s="30" t="n">
        <v>130100</v>
      </c>
      <c r="C273" s="30" t="n">
        <v>130100</v>
      </c>
      <c r="D273" s="30" t="n">
        <v>120800</v>
      </c>
      <c r="E273" s="30" t="n">
        <v>121300</v>
      </c>
      <c r="F273" s="30" t="n">
        <v>118069.1953125</v>
      </c>
      <c r="G273" s="30" t="n">
        <v>77574</v>
      </c>
      <c r="H273" s="35" t="n">
        <v>-0.06332046332046337</v>
      </c>
      <c r="I273" s="35" t="n">
        <v>-0.408581179912238</v>
      </c>
      <c r="J273" s="30" t="n">
        <v>132080</v>
      </c>
      <c r="K273" s="30" t="n">
        <v>126003.3333333333</v>
      </c>
      <c r="L273" s="30" t="n">
        <v>117274.1666666667</v>
      </c>
      <c r="M273" s="35" t="n">
        <v>0.4382804313532194</v>
      </c>
      <c r="N273" s="35" t="n">
        <v>0.5258233098768422</v>
      </c>
      <c r="O273" s="35" t="n">
        <v>-0.1216509775524982</v>
      </c>
      <c r="P273" s="35" t="n">
        <v>-0.1080882352941176</v>
      </c>
      <c r="Q273" s="35" t="n">
        <v>0.1087751371115173</v>
      </c>
      <c r="R273" s="35" t="n">
        <v>-0.08161720169594189</v>
      </c>
      <c r="S273" s="35" t="n">
        <v>-0.03732705483981902</v>
      </c>
      <c r="T273" s="35" t="n">
        <v>0.03432839002622057</v>
      </c>
      <c r="U273" s="30" t="n">
        <v>142000</v>
      </c>
      <c r="V273" s="30" t="n">
        <v>81800</v>
      </c>
      <c r="W273" s="35" t="n">
        <v>-0.145774647887324</v>
      </c>
      <c r="X273" s="35" t="n">
        <v>0.4828850855745721</v>
      </c>
      <c r="Y273" s="30" t="n">
        <v>11179416</v>
      </c>
      <c r="Z273" s="30" t="n">
        <v>1356063160800</v>
      </c>
      <c r="AA273" s="30" t="n">
        <v>9409726200</v>
      </c>
      <c r="AB273" s="30" t="n">
        <v>6344920385</v>
      </c>
      <c r="AC273" s="35" t="n">
        <v>0.006939002896036788</v>
      </c>
      <c r="AD273" s="24" t="inlineStr">
        <is>
          <t>yfinance_download</t>
        </is>
      </c>
      <c r="AE273" s="24" t="inlineStr">
        <is>
          <t>064760.KQ</t>
        </is>
      </c>
    </row>
    <row r="274" ht="24" customHeight="1">
      <c r="A274" s="29" t="inlineStr">
        <is>
          <t>2024-07-18</t>
        </is>
      </c>
      <c r="B274" s="31" t="n">
        <v>119700</v>
      </c>
      <c r="C274" s="31" t="n">
        <v>123500</v>
      </c>
      <c r="D274" s="31" t="n">
        <v>116000</v>
      </c>
      <c r="E274" s="31" t="n">
        <v>121400</v>
      </c>
      <c r="F274" s="31" t="n">
        <v>118166.53125</v>
      </c>
      <c r="G274" s="31" t="n">
        <v>58185</v>
      </c>
      <c r="H274" s="36" t="n">
        <v>0.0008244023083263663</v>
      </c>
      <c r="I274" s="36" t="n">
        <v>-0.4080936128717698</v>
      </c>
      <c r="J274" s="31" t="n">
        <v>131635</v>
      </c>
      <c r="K274" s="31" t="n">
        <v>125861.6666666667</v>
      </c>
      <c r="L274" s="31" t="n">
        <v>117377.5</v>
      </c>
      <c r="M274" s="36" t="n">
        <v>0.3960828464124732</v>
      </c>
      <c r="N274" s="36" t="n">
        <v>0.5179638652705215</v>
      </c>
      <c r="O274" s="36" t="n">
        <v>-0.06830391404451264</v>
      </c>
      <c r="P274" s="36" t="n">
        <v>-0.06543494996150889</v>
      </c>
      <c r="Q274" s="36" t="n">
        <v>0.1137614678899082</v>
      </c>
      <c r="R274" s="36" t="n">
        <v>-0.07775287727428115</v>
      </c>
      <c r="S274" s="36" t="n">
        <v>-0.03544897175470429</v>
      </c>
      <c r="T274" s="36" t="n">
        <v>0.03426977061191461</v>
      </c>
      <c r="U274" s="31" t="n">
        <v>142000</v>
      </c>
      <c r="V274" s="31" t="n">
        <v>81800</v>
      </c>
      <c r="W274" s="36" t="n">
        <v>-0.1450704225352113</v>
      </c>
      <c r="X274" s="36" t="n">
        <v>0.4841075794621026</v>
      </c>
      <c r="Y274" s="31" t="n">
        <v>11179416</v>
      </c>
      <c r="Z274" s="31" t="n">
        <v>1357181102400</v>
      </c>
      <c r="AA274" s="31" t="n">
        <v>7063659000</v>
      </c>
      <c r="AB274" s="31" t="n">
        <v>6144843020</v>
      </c>
      <c r="AC274" s="36" t="n">
        <v>0.005204654697526239</v>
      </c>
      <c r="AD274" s="29" t="inlineStr">
        <is>
          <t>yfinance_download</t>
        </is>
      </c>
      <c r="AE274" s="29" t="inlineStr">
        <is>
          <t>064760.KQ</t>
        </is>
      </c>
    </row>
    <row r="275" ht="24" customHeight="1">
      <c r="A275" s="24" t="inlineStr">
        <is>
          <t>2024-07-19</t>
        </is>
      </c>
      <c r="B275" s="30" t="n">
        <v>120600</v>
      </c>
      <c r="C275" s="30" t="n">
        <v>123500</v>
      </c>
      <c r="D275" s="30" t="n">
        <v>118200</v>
      </c>
      <c r="E275" s="30" t="n">
        <v>119900</v>
      </c>
      <c r="F275" s="30" t="n">
        <v>116706.4765625</v>
      </c>
      <c r="G275" s="30" t="n">
        <v>37046</v>
      </c>
      <c r="H275" s="35" t="n">
        <v>-0.01235584843492588</v>
      </c>
      <c r="I275" s="35" t="n">
        <v>-0.4154071184787909</v>
      </c>
      <c r="J275" s="30" t="n">
        <v>130885</v>
      </c>
      <c r="K275" s="30" t="n">
        <v>125846.6666666667</v>
      </c>
      <c r="L275" s="30" t="n">
        <v>117480</v>
      </c>
      <c r="M275" s="35" t="n">
        <v>0.3698403912430705</v>
      </c>
      <c r="N275" s="35" t="n">
        <v>0.4980370020289748</v>
      </c>
      <c r="O275" s="35" t="n">
        <v>-0.1111934766493698</v>
      </c>
      <c r="P275" s="35" t="n">
        <v>-0.007450331125827825</v>
      </c>
      <c r="Q275" s="35" t="n">
        <v>0.1143122676579926</v>
      </c>
      <c r="R275" s="35" t="n">
        <v>-0.08392863964549035</v>
      </c>
      <c r="S275" s="35" t="n">
        <v>-0.04725327117656408</v>
      </c>
      <c r="T275" s="35" t="n">
        <v>0.02059925093632953</v>
      </c>
      <c r="U275" s="30" t="n">
        <v>142000</v>
      </c>
      <c r="V275" s="30" t="n">
        <v>81800</v>
      </c>
      <c r="W275" s="35" t="n">
        <v>-0.1556338028169014</v>
      </c>
      <c r="X275" s="35" t="n">
        <v>0.4657701711491442</v>
      </c>
      <c r="Y275" s="30" t="n">
        <v>11179416</v>
      </c>
      <c r="Z275" s="30" t="n">
        <v>1340411978400</v>
      </c>
      <c r="AA275" s="30" t="n">
        <v>4441815400</v>
      </c>
      <c r="AB275" s="30" t="n">
        <v>5986610220</v>
      </c>
      <c r="AC275" s="35" t="n">
        <v>0.003313768805096796</v>
      </c>
      <c r="AD275" s="24" t="inlineStr">
        <is>
          <t>yfinance_download</t>
        </is>
      </c>
      <c r="AE275" s="24" t="inlineStr">
        <is>
          <t>064760.KQ</t>
        </is>
      </c>
    </row>
    <row r="276" ht="24" customHeight="1">
      <c r="A276" s="29" t="inlineStr">
        <is>
          <t>2024-07-22</t>
        </is>
      </c>
      <c r="B276" s="31" t="n">
        <v>119900</v>
      </c>
      <c r="C276" s="31" t="n">
        <v>120500</v>
      </c>
      <c r="D276" s="31" t="n">
        <v>114600</v>
      </c>
      <c r="E276" s="31" t="n">
        <v>117400</v>
      </c>
      <c r="F276" s="31" t="n">
        <v>114273.0703125</v>
      </c>
      <c r="G276" s="31" t="n">
        <v>36387</v>
      </c>
      <c r="H276" s="36" t="n">
        <v>-0.02085070892410346</v>
      </c>
      <c r="I276" s="36" t="n">
        <v>-0.4275962944904924</v>
      </c>
      <c r="J276" s="31" t="n">
        <v>130160</v>
      </c>
      <c r="K276" s="31" t="n">
        <v>125743.3333333333</v>
      </c>
      <c r="L276" s="31" t="n">
        <v>117565</v>
      </c>
      <c r="M276" s="36" t="n">
        <v>0.3690449832279005</v>
      </c>
      <c r="N276" s="36" t="n">
        <v>0.4975917979354614</v>
      </c>
      <c r="O276" s="36" t="n">
        <v>-0.109931766489765</v>
      </c>
      <c r="P276" s="36" t="n">
        <v>-0.05016181229773464</v>
      </c>
      <c r="Q276" s="36" t="n">
        <v>0.0951492537313432</v>
      </c>
      <c r="R276" s="36" t="n">
        <v>-0.09803318992009835</v>
      </c>
      <c r="S276" s="36" t="n">
        <v>-0.06635209288762822</v>
      </c>
      <c r="T276" s="36" t="n">
        <v>-0.001403478926551238</v>
      </c>
      <c r="U276" s="31" t="n">
        <v>142000</v>
      </c>
      <c r="V276" s="31" t="n">
        <v>81800</v>
      </c>
      <c r="W276" s="36" t="n">
        <v>-0.1732394366197183</v>
      </c>
      <c r="X276" s="36" t="n">
        <v>0.4352078239608801</v>
      </c>
      <c r="Y276" s="31" t="n">
        <v>11179416</v>
      </c>
      <c r="Z276" s="31" t="n">
        <v>1312463438400</v>
      </c>
      <c r="AA276" s="31" t="n">
        <v>4271833800</v>
      </c>
      <c r="AB276" s="31" t="n">
        <v>5825348705</v>
      </c>
      <c r="AC276" s="36" t="n">
        <v>0.003254821182072481</v>
      </c>
      <c r="AD276" s="29" t="inlineStr">
        <is>
          <t>yfinance_download</t>
        </is>
      </c>
      <c r="AE276" s="29" t="inlineStr">
        <is>
          <t>064760.KQ</t>
        </is>
      </c>
    </row>
    <row r="277" ht="24" customHeight="1">
      <c r="A277" s="24" t="inlineStr">
        <is>
          <t>2024-07-23</t>
        </is>
      </c>
      <c r="B277" s="30" t="n">
        <v>119100</v>
      </c>
      <c r="C277" s="30" t="n">
        <v>119200</v>
      </c>
      <c r="D277" s="30" t="n">
        <v>113000</v>
      </c>
      <c r="E277" s="30" t="n">
        <v>115100</v>
      </c>
      <c r="F277" s="30" t="n">
        <v>112034.328125</v>
      </c>
      <c r="G277" s="30" t="n">
        <v>52411</v>
      </c>
      <c r="H277" s="35" t="n">
        <v>-0.01959114139693352</v>
      </c>
      <c r="I277" s="35" t="n">
        <v>-0.4388103364212579</v>
      </c>
      <c r="J277" s="30" t="n">
        <v>129490</v>
      </c>
      <c r="K277" s="30" t="n">
        <v>125590</v>
      </c>
      <c r="L277" s="30" t="n">
        <v>117629.1666666667</v>
      </c>
      <c r="M277" s="35" t="n">
        <v>0.3651805547632583</v>
      </c>
      <c r="N277" s="35" t="n">
        <v>0.4989712012350734</v>
      </c>
      <c r="O277" s="35" t="n">
        <v>-0.1042801556420233</v>
      </c>
      <c r="P277" s="35" t="n">
        <v>-0.07401448109412712</v>
      </c>
      <c r="Q277" s="35" t="n">
        <v>0.07169459962756042</v>
      </c>
      <c r="R277" s="35" t="n">
        <v>-0.1111282724534713</v>
      </c>
      <c r="S277" s="35" t="n">
        <v>-0.08352575842025634</v>
      </c>
      <c r="T277" s="35" t="n">
        <v>-0.02150118663880141</v>
      </c>
      <c r="U277" s="30" t="n">
        <v>142000</v>
      </c>
      <c r="V277" s="30" t="n">
        <v>81800</v>
      </c>
      <c r="W277" s="35" t="n">
        <v>-0.1894366197183098</v>
      </c>
      <c r="X277" s="35" t="n">
        <v>0.4070904645476772</v>
      </c>
      <c r="Y277" s="30" t="n">
        <v>11179416</v>
      </c>
      <c r="Z277" s="30" t="n">
        <v>1286750781600</v>
      </c>
      <c r="AA277" s="30" t="n">
        <v>6032506100</v>
      </c>
      <c r="AB277" s="30" t="n">
        <v>5822653885</v>
      </c>
      <c r="AC277" s="35" t="n">
        <v>0.004688169757704696</v>
      </c>
      <c r="AD277" s="24" t="inlineStr">
        <is>
          <t>yfinance_download</t>
        </is>
      </c>
      <c r="AE277" s="24" t="inlineStr">
        <is>
          <t>064760.KQ</t>
        </is>
      </c>
    </row>
    <row r="278" ht="24" customHeight="1">
      <c r="A278" s="29" t="inlineStr">
        <is>
          <t>2024-07-24</t>
        </is>
      </c>
      <c r="B278" s="31" t="n">
        <v>113800</v>
      </c>
      <c r="C278" s="31" t="n">
        <v>115700</v>
      </c>
      <c r="D278" s="31" t="n">
        <v>112500</v>
      </c>
      <c r="E278" s="31" t="n">
        <v>114400</v>
      </c>
      <c r="F278" s="31" t="n">
        <v>111352.96875</v>
      </c>
      <c r="G278" s="31" t="n">
        <v>21662</v>
      </c>
      <c r="H278" s="36" t="n">
        <v>-0.006081668114682914</v>
      </c>
      <c r="I278" s="36" t="n">
        <v>-0.4422233057045344</v>
      </c>
      <c r="J278" s="31" t="n">
        <v>128655</v>
      </c>
      <c r="K278" s="31" t="n">
        <v>125530</v>
      </c>
      <c r="L278" s="31" t="n">
        <v>117674.1666666667</v>
      </c>
      <c r="M278" s="36" t="n">
        <v>0.3525647932698817</v>
      </c>
      <c r="N278" s="36" t="n">
        <v>0.4881826085618877</v>
      </c>
      <c r="O278" s="36" t="n">
        <v>-0.1273836765827613</v>
      </c>
      <c r="P278" s="36" t="n">
        <v>-0.03050847457627115</v>
      </c>
      <c r="Q278" s="36" t="n">
        <v>0.04954128440366978</v>
      </c>
      <c r="R278" s="36" t="n">
        <v>-0.1108002020908632</v>
      </c>
      <c r="S278" s="36" t="n">
        <v>-0.08866406436708352</v>
      </c>
      <c r="T278" s="36" t="n">
        <v>-0.02782400555205411</v>
      </c>
      <c r="U278" s="31" t="n">
        <v>142000</v>
      </c>
      <c r="V278" s="31" t="n">
        <v>81800</v>
      </c>
      <c r="W278" s="36" t="n">
        <v>-0.1943661971830986</v>
      </c>
      <c r="X278" s="36" t="n">
        <v>0.3985330073349633</v>
      </c>
      <c r="Y278" s="31" t="n">
        <v>11179416</v>
      </c>
      <c r="Z278" s="31" t="n">
        <v>1278925190400</v>
      </c>
      <c r="AA278" s="31" t="n">
        <v>2478132800</v>
      </c>
      <c r="AB278" s="31" t="n">
        <v>5444519630</v>
      </c>
      <c r="AC278" s="36" t="n">
        <v>0.00193766830038349</v>
      </c>
      <c r="AD278" s="29" t="inlineStr">
        <is>
          <t>yfinance_download</t>
        </is>
      </c>
      <c r="AE278" s="29" t="inlineStr">
        <is>
          <t>064760.KQ</t>
        </is>
      </c>
    </row>
    <row r="279" ht="24" customHeight="1">
      <c r="A279" s="24" t="inlineStr">
        <is>
          <t>2024-07-25</t>
        </is>
      </c>
      <c r="B279" s="30" t="n">
        <v>113100</v>
      </c>
      <c r="C279" s="30" t="n">
        <v>113200</v>
      </c>
      <c r="D279" s="30" t="n">
        <v>110500</v>
      </c>
      <c r="E279" s="30" t="n">
        <v>112000</v>
      </c>
      <c r="F279" s="30" t="n">
        <v>109016.8984375</v>
      </c>
      <c r="G279" s="30" t="n">
        <v>34577</v>
      </c>
      <c r="H279" s="35" t="n">
        <v>-0.02097902097902093</v>
      </c>
      <c r="I279" s="35" t="n">
        <v>-0.4539249146757679</v>
      </c>
      <c r="J279" s="30" t="n">
        <v>127825</v>
      </c>
      <c r="K279" s="30" t="n">
        <v>125325</v>
      </c>
      <c r="L279" s="30" t="n">
        <v>117697.5</v>
      </c>
      <c r="M279" s="35" t="n">
        <v>0.3535277311413786</v>
      </c>
      <c r="N279" s="35" t="n">
        <v>0.4770702715788093</v>
      </c>
      <c r="O279" s="35" t="n">
        <v>-0.1290824261275272</v>
      </c>
      <c r="P279" s="35" t="n">
        <v>-0.09895414320193086</v>
      </c>
      <c r="Q279" s="35" t="n">
        <v>0.02564102564102555</v>
      </c>
      <c r="R279" s="35" t="n">
        <v>-0.1238020731468805</v>
      </c>
      <c r="S279" s="35" t="n">
        <v>-0.1063235587472572</v>
      </c>
      <c r="T279" s="35" t="n">
        <v>-0.0484079950721128</v>
      </c>
      <c r="U279" s="30" t="n">
        <v>142000</v>
      </c>
      <c r="V279" s="30" t="n">
        <v>81800</v>
      </c>
      <c r="W279" s="35" t="n">
        <v>-0.2112676056338029</v>
      </c>
      <c r="X279" s="35" t="n">
        <v>0.3691931540342299</v>
      </c>
      <c r="Y279" s="30" t="n">
        <v>11179416</v>
      </c>
      <c r="Z279" s="30" t="n">
        <v>1252094592000</v>
      </c>
      <c r="AA279" s="30" t="n">
        <v>3872624000</v>
      </c>
      <c r="AB279" s="30" t="n">
        <v>5437753450</v>
      </c>
      <c r="AC279" s="35" t="n">
        <v>0.003092916481504937</v>
      </c>
      <c r="AD279" s="24" t="inlineStr">
        <is>
          <t>yfinance_download</t>
        </is>
      </c>
      <c r="AE279" s="24" t="inlineStr">
        <is>
          <t>064760.KQ</t>
        </is>
      </c>
    </row>
    <row r="280" ht="24" customHeight="1">
      <c r="A280" s="29" t="inlineStr">
        <is>
          <t>2024-07-26</t>
        </is>
      </c>
      <c r="B280" s="31" t="n">
        <v>112900</v>
      </c>
      <c r="C280" s="31" t="n">
        <v>113000</v>
      </c>
      <c r="D280" s="31" t="n">
        <v>110000</v>
      </c>
      <c r="E280" s="31" t="n">
        <v>110700</v>
      </c>
      <c r="F280" s="31" t="n">
        <v>107751.5234375</v>
      </c>
      <c r="G280" s="31" t="n">
        <v>33127</v>
      </c>
      <c r="H280" s="36" t="n">
        <v>-0.01160714285714282</v>
      </c>
      <c r="I280" s="36" t="n">
        <v>-0.4602632862018528</v>
      </c>
      <c r="J280" s="31" t="n">
        <v>126660</v>
      </c>
      <c r="K280" s="31" t="n">
        <v>125096.6666666667</v>
      </c>
      <c r="L280" s="31" t="n">
        <v>117717.5</v>
      </c>
      <c r="M280" s="36" t="n">
        <v>0.3033549202340817</v>
      </c>
      <c r="N280" s="36" t="n">
        <v>0.4775144917721608</v>
      </c>
      <c r="O280" s="36" t="n">
        <v>-0.1738805970149254</v>
      </c>
      <c r="P280" s="36" t="n">
        <v>-0.110128617363344</v>
      </c>
      <c r="Q280" s="36" t="n">
        <v>0.02216066481994461</v>
      </c>
      <c r="R280" s="36" t="n">
        <v>-0.1260066319279962</v>
      </c>
      <c r="S280" s="36" t="n">
        <v>-0.1150843347811027</v>
      </c>
      <c r="T280" s="36" t="n">
        <v>-0.05961305668231143</v>
      </c>
      <c r="U280" s="31" t="n">
        <v>142000</v>
      </c>
      <c r="V280" s="31" t="n">
        <v>81800</v>
      </c>
      <c r="W280" s="36" t="n">
        <v>-0.2204225352112676</v>
      </c>
      <c r="X280" s="36" t="n">
        <v>0.3533007334963325</v>
      </c>
      <c r="Y280" s="31" t="n">
        <v>11179416</v>
      </c>
      <c r="Z280" s="31" t="n">
        <v>1237561351200</v>
      </c>
      <c r="AA280" s="31" t="n">
        <v>3667158900</v>
      </c>
      <c r="AB280" s="31" t="n">
        <v>5309467595</v>
      </c>
      <c r="AC280" s="36" t="n">
        <v>0.002963213820829281</v>
      </c>
      <c r="AD280" s="29" t="inlineStr">
        <is>
          <t>yfinance_download</t>
        </is>
      </c>
      <c r="AE280" s="29" t="inlineStr">
        <is>
          <t>064760.KQ</t>
        </is>
      </c>
    </row>
    <row r="281" ht="24" customHeight="1">
      <c r="A281" s="24" t="inlineStr">
        <is>
          <t>2024-07-29</t>
        </is>
      </c>
      <c r="B281" s="30" t="n">
        <v>112500</v>
      </c>
      <c r="C281" s="30" t="n">
        <v>112500</v>
      </c>
      <c r="D281" s="30" t="n">
        <v>110600</v>
      </c>
      <c r="E281" s="30" t="n">
        <v>111100</v>
      </c>
      <c r="F281" s="30" t="n">
        <v>108140.875</v>
      </c>
      <c r="G281" s="30" t="n">
        <v>26167</v>
      </c>
      <c r="H281" s="35" t="n">
        <v>0.003613369467027949</v>
      </c>
      <c r="I281" s="35" t="n">
        <v>-0.4583130180399805</v>
      </c>
      <c r="J281" s="30" t="n">
        <v>125520</v>
      </c>
      <c r="K281" s="30" t="n">
        <v>124905</v>
      </c>
      <c r="L281" s="30" t="n">
        <v>117762.5</v>
      </c>
      <c r="M281" s="35" t="n">
        <v>0.3053788818270004</v>
      </c>
      <c r="N281" s="35" t="n">
        <v>0.4768551764681798</v>
      </c>
      <c r="O281" s="35" t="n">
        <v>-0.1702763256161315</v>
      </c>
      <c r="P281" s="35" t="n">
        <v>-0.09380097879282223</v>
      </c>
      <c r="Q281" s="35" t="n">
        <v>0.0510879848628194</v>
      </c>
      <c r="R281" s="35" t="n">
        <v>-0.1148820905035054</v>
      </c>
      <c r="S281" s="35" t="n">
        <v>-0.1105239982386614</v>
      </c>
      <c r="T281" s="35" t="n">
        <v>-0.05657573505997238</v>
      </c>
      <c r="U281" s="30" t="n">
        <v>142000</v>
      </c>
      <c r="V281" s="30" t="n">
        <v>81800</v>
      </c>
      <c r="W281" s="35" t="n">
        <v>-0.2176056338028169</v>
      </c>
      <c r="X281" s="35" t="n">
        <v>0.3581907090464547</v>
      </c>
      <c r="Y281" s="30" t="n">
        <v>11179416</v>
      </c>
      <c r="Z281" s="30" t="n">
        <v>1242033117600</v>
      </c>
      <c r="AA281" s="30" t="n">
        <v>2907153700</v>
      </c>
      <c r="AB281" s="30" t="n">
        <v>5183858545</v>
      </c>
      <c r="AC281" s="35" t="n">
        <v>0.002340641049586132</v>
      </c>
      <c r="AD281" s="24" t="inlineStr">
        <is>
          <t>yfinance_download</t>
        </is>
      </c>
      <c r="AE281" s="24" t="inlineStr">
        <is>
          <t>064760.KQ</t>
        </is>
      </c>
    </row>
    <row r="282" ht="24" customHeight="1">
      <c r="A282" s="29" t="inlineStr">
        <is>
          <t>2024-07-30</t>
        </is>
      </c>
      <c r="B282" s="31" t="n">
        <v>110100</v>
      </c>
      <c r="C282" s="31" t="n">
        <v>110500</v>
      </c>
      <c r="D282" s="31" t="n">
        <v>108100</v>
      </c>
      <c r="E282" s="31" t="n">
        <v>109400</v>
      </c>
      <c r="F282" s="31" t="n">
        <v>106486.1484375</v>
      </c>
      <c r="G282" s="31" t="n">
        <v>20177</v>
      </c>
      <c r="H282" s="36" t="n">
        <v>-0.01530153015301527</v>
      </c>
      <c r="I282" s="36" t="n">
        <v>-0.4666016577279376</v>
      </c>
      <c r="J282" s="31" t="n">
        <v>124365</v>
      </c>
      <c r="K282" s="31" t="n">
        <v>124680</v>
      </c>
      <c r="L282" s="31" t="n">
        <v>117837.5</v>
      </c>
      <c r="M282" s="36" t="n">
        <v>0.3061453311306738</v>
      </c>
      <c r="N282" s="36" t="n">
        <v>0.4776613624399418</v>
      </c>
      <c r="O282" s="36" t="n">
        <v>-0.1743396226415095</v>
      </c>
      <c r="P282" s="36" t="n">
        <v>-0.1098454027664768</v>
      </c>
      <c r="Q282" s="36" t="n">
        <v>0.08964143426294813</v>
      </c>
      <c r="R282" s="36" t="n">
        <v>-0.1203312829172195</v>
      </c>
      <c r="S282" s="36" t="n">
        <v>-0.1225537375681746</v>
      </c>
      <c r="T282" s="36" t="n">
        <v>-0.07160284289805874</v>
      </c>
      <c r="U282" s="31" t="n">
        <v>142000</v>
      </c>
      <c r="V282" s="31" t="n">
        <v>81800</v>
      </c>
      <c r="W282" s="36" t="n">
        <v>-0.2295774647887324</v>
      </c>
      <c r="X282" s="36" t="n">
        <v>0.3374083129584351</v>
      </c>
      <c r="Y282" s="31" t="n">
        <v>11179416</v>
      </c>
      <c r="Z282" s="31" t="n">
        <v>1223028110400</v>
      </c>
      <c r="AA282" s="31" t="n">
        <v>2207363800</v>
      </c>
      <c r="AB282" s="31" t="n">
        <v>4986005235</v>
      </c>
      <c r="AC282" s="36" t="n">
        <v>0.001804834885829457</v>
      </c>
      <c r="AD282" s="29" t="inlineStr">
        <is>
          <t>yfinance_download</t>
        </is>
      </c>
      <c r="AE282" s="29" t="inlineStr">
        <is>
          <t>064760.KQ</t>
        </is>
      </c>
    </row>
    <row r="283" ht="24" customHeight="1">
      <c r="A283" s="24" t="inlineStr">
        <is>
          <t>2024-07-31</t>
        </is>
      </c>
      <c r="B283" s="30" t="n">
        <v>108200</v>
      </c>
      <c r="C283" s="30" t="n">
        <v>114300</v>
      </c>
      <c r="D283" s="30" t="n">
        <v>107000</v>
      </c>
      <c r="E283" s="30" t="n">
        <v>113800</v>
      </c>
      <c r="F283" s="30" t="n">
        <v>110768.953125</v>
      </c>
      <c r="G283" s="30" t="n">
        <v>38068</v>
      </c>
      <c r="H283" s="35" t="n">
        <v>0.040219378427788</v>
      </c>
      <c r="I283" s="35" t="n">
        <v>-0.4451487079473427</v>
      </c>
      <c r="J283" s="30" t="n">
        <v>123485</v>
      </c>
      <c r="K283" s="30" t="n">
        <v>124585</v>
      </c>
      <c r="L283" s="30" t="n">
        <v>117951.6666666667</v>
      </c>
      <c r="M283" s="35" t="n">
        <v>0.3531895156069942</v>
      </c>
      <c r="N283" s="35" t="n">
        <v>0.4820188212247681</v>
      </c>
      <c r="O283" s="35" t="n">
        <v>-0.1339421613394216</v>
      </c>
      <c r="P283" s="35" t="n">
        <v>-0.04769874476987446</v>
      </c>
      <c r="Q283" s="35" t="n">
        <v>0.1368631368631368</v>
      </c>
      <c r="R283" s="35" t="n">
        <v>-0.07843057861278702</v>
      </c>
      <c r="S283" s="35" t="n">
        <v>-0.08656740378055139</v>
      </c>
      <c r="T283" s="35" t="n">
        <v>-0.03519803309265102</v>
      </c>
      <c r="U283" s="30" t="n">
        <v>142000</v>
      </c>
      <c r="V283" s="30" t="n">
        <v>81800</v>
      </c>
      <c r="W283" s="35" t="n">
        <v>-0.1985915492957746</v>
      </c>
      <c r="X283" s="35" t="n">
        <v>0.39119804400978</v>
      </c>
      <c r="Y283" s="30" t="n">
        <v>11179416</v>
      </c>
      <c r="Z283" s="30" t="n">
        <v>1272217540800</v>
      </c>
      <c r="AA283" s="30" t="n">
        <v>4332138400</v>
      </c>
      <c r="AB283" s="30" t="n">
        <v>4870781165</v>
      </c>
      <c r="AC283" s="35" t="n">
        <v>0.003405186818345431</v>
      </c>
      <c r="AD283" s="24" t="inlineStr">
        <is>
          <t>yfinance_download</t>
        </is>
      </c>
      <c r="AE283" s="24" t="inlineStr">
        <is>
          <t>064760.KQ</t>
        </is>
      </c>
    </row>
    <row r="284" ht="24" customHeight="1">
      <c r="A284" s="29" t="inlineStr">
        <is>
          <t>2024-08-01</t>
        </is>
      </c>
      <c r="B284" s="31" t="n">
        <v>116800</v>
      </c>
      <c r="C284" s="31" t="n">
        <v>117800</v>
      </c>
      <c r="D284" s="31" t="n">
        <v>112200</v>
      </c>
      <c r="E284" s="31" t="n">
        <v>113700</v>
      </c>
      <c r="F284" s="31" t="n">
        <v>110671.625</v>
      </c>
      <c r="G284" s="31" t="n">
        <v>36792</v>
      </c>
      <c r="H284" s="36" t="n">
        <v>-0.0008787346221441616</v>
      </c>
      <c r="I284" s="36" t="n">
        <v>-0.4456362749878108</v>
      </c>
      <c r="J284" s="31" t="n">
        <v>122375</v>
      </c>
      <c r="K284" s="31" t="n">
        <v>124381.6666666667</v>
      </c>
      <c r="L284" s="31" t="n">
        <v>118077.5</v>
      </c>
      <c r="M284" s="36" t="n">
        <v>0.3192567471208147</v>
      </c>
      <c r="N284" s="36" t="n">
        <v>0.4687346982460776</v>
      </c>
      <c r="O284" s="36" t="n">
        <v>-0.1633554083885209</v>
      </c>
      <c r="P284" s="36" t="n">
        <v>-0.09690230341540906</v>
      </c>
      <c r="Q284" s="36" t="n">
        <v>0.1531440162271804</v>
      </c>
      <c r="R284" s="36" t="n">
        <v>-0.07088866189989784</v>
      </c>
      <c r="S284" s="36" t="n">
        <v>-0.08587814388508497</v>
      </c>
      <c r="T284" s="36" t="n">
        <v>-0.03707310876331227</v>
      </c>
      <c r="U284" s="31" t="n">
        <v>142000</v>
      </c>
      <c r="V284" s="31" t="n">
        <v>81800</v>
      </c>
      <c r="W284" s="36" t="n">
        <v>-0.1992957746478873</v>
      </c>
      <c r="X284" s="36" t="n">
        <v>0.3899755501222495</v>
      </c>
      <c r="Y284" s="31" t="n">
        <v>11179416</v>
      </c>
      <c r="Z284" s="31" t="n">
        <v>1271099599200</v>
      </c>
      <c r="AA284" s="31" t="n">
        <v>4183250400</v>
      </c>
      <c r="AB284" s="31" t="n">
        <v>4743312590</v>
      </c>
      <c r="AC284" s="36" t="n">
        <v>0.003291048476950853</v>
      </c>
      <c r="AD284" s="29" t="inlineStr">
        <is>
          <t>yfinance_download</t>
        </is>
      </c>
      <c r="AE284" s="29" t="inlineStr">
        <is>
          <t>064760.KQ</t>
        </is>
      </c>
    </row>
    <row r="285" ht="24" customHeight="1">
      <c r="A285" s="24" t="inlineStr">
        <is>
          <t>2024-08-02</t>
        </is>
      </c>
      <c r="B285" s="30" t="n">
        <v>111400</v>
      </c>
      <c r="C285" s="30" t="n">
        <v>112000</v>
      </c>
      <c r="D285" s="30" t="n">
        <v>103400</v>
      </c>
      <c r="E285" s="30" t="n">
        <v>103400</v>
      </c>
      <c r="F285" s="30" t="n">
        <v>100645.953125</v>
      </c>
      <c r="G285" s="30" t="n">
        <v>56856</v>
      </c>
      <c r="H285" s="35" t="n">
        <v>-0.09058927000879502</v>
      </c>
      <c r="I285" s="35" t="n">
        <v>-0.4958556801560214</v>
      </c>
      <c r="J285" s="30" t="n">
        <v>120895</v>
      </c>
      <c r="K285" s="30" t="n">
        <v>124050</v>
      </c>
      <c r="L285" s="30" t="n">
        <v>118108.3333333333</v>
      </c>
      <c r="M285" s="35" t="n">
        <v>0.4308092131430268</v>
      </c>
      <c r="N285" s="35" t="n">
        <v>0.5018281986426704</v>
      </c>
      <c r="O285" s="35" t="n">
        <v>-0.2225563909774436</v>
      </c>
      <c r="P285" s="35" t="n">
        <v>-0.1613949716139497</v>
      </c>
      <c r="Q285" s="35" t="n">
        <v>0.03711133400200595</v>
      </c>
      <c r="R285" s="35" t="n">
        <v>-0.1447123536953555</v>
      </c>
      <c r="S285" s="35" t="n">
        <v>-0.1664651350261991</v>
      </c>
      <c r="T285" s="35" t="n">
        <v>-0.1245325619134975</v>
      </c>
      <c r="U285" s="30" t="n">
        <v>142000</v>
      </c>
      <c r="V285" s="30" t="n">
        <v>81800</v>
      </c>
      <c r="W285" s="35" t="n">
        <v>-0.2718309859154929</v>
      </c>
      <c r="X285" s="35" t="n">
        <v>0.2640586797066016</v>
      </c>
      <c r="Y285" s="30" t="n">
        <v>11179416</v>
      </c>
      <c r="Z285" s="30" t="n">
        <v>1155951614400</v>
      </c>
      <c r="AA285" s="30" t="n">
        <v>5878910400</v>
      </c>
      <c r="AB285" s="30" t="n">
        <v>4698959310</v>
      </c>
      <c r="AC285" s="35" t="n">
        <v>0.005085775500258689</v>
      </c>
      <c r="AD285" s="24" t="inlineStr">
        <is>
          <t>yfinance_download</t>
        </is>
      </c>
      <c r="AE285" s="24" t="inlineStr">
        <is>
          <t>064760.KQ</t>
        </is>
      </c>
    </row>
    <row r="286" ht="24" customHeight="1">
      <c r="A286" s="29" t="inlineStr">
        <is>
          <t>2024-08-05</t>
        </is>
      </c>
      <c r="B286" s="31" t="n">
        <v>102000</v>
      </c>
      <c r="C286" s="31" t="n">
        <v>102300</v>
      </c>
      <c r="D286" s="31" t="n">
        <v>92300</v>
      </c>
      <c r="E286" s="31" t="n">
        <v>95000</v>
      </c>
      <c r="F286" s="31" t="n">
        <v>92469.6875</v>
      </c>
      <c r="G286" s="31" t="n">
        <v>78927</v>
      </c>
      <c r="H286" s="36" t="n">
        <v>-0.0812379110251451</v>
      </c>
      <c r="I286" s="36" t="n">
        <v>-0.5368113115553388</v>
      </c>
      <c r="J286" s="31" t="n">
        <v>118935</v>
      </c>
      <c r="K286" s="31" t="n">
        <v>123610</v>
      </c>
      <c r="L286" s="31" t="n">
        <v>118075</v>
      </c>
      <c r="M286" s="36" t="n">
        <v>0.4874056584238512</v>
      </c>
      <c r="N286" s="36" t="n">
        <v>0.5266158189076047</v>
      </c>
      <c r="O286" s="36" t="n">
        <v>-0.2921013412816692</v>
      </c>
      <c r="P286" s="36" t="n">
        <v>-0.2174629324546952</v>
      </c>
      <c r="Q286" s="36" t="n">
        <v>-0.04040404040404044</v>
      </c>
      <c r="R286" s="36" t="n">
        <v>-0.201244377180813</v>
      </c>
      <c r="S286" s="36" t="n">
        <v>-0.2314537658765472</v>
      </c>
      <c r="T286" s="36" t="n">
        <v>-0.1954266356129578</v>
      </c>
      <c r="U286" s="31" t="n">
        <v>142000</v>
      </c>
      <c r="V286" s="31" t="n">
        <v>81800</v>
      </c>
      <c r="W286" s="36" t="n">
        <v>-0.3309859154929577</v>
      </c>
      <c r="X286" s="36" t="n">
        <v>0.1613691931540342</v>
      </c>
      <c r="Y286" s="31" t="n">
        <v>11179416</v>
      </c>
      <c r="Z286" s="31" t="n">
        <v>1062044520000</v>
      </c>
      <c r="AA286" s="31" t="n">
        <v>7498065000</v>
      </c>
      <c r="AB286" s="31" t="n">
        <v>4846729060</v>
      </c>
      <c r="AC286" s="36" t="n">
        <v>0.007060028895963797</v>
      </c>
      <c r="AD286" s="29" t="inlineStr">
        <is>
          <t>yfinance_download</t>
        </is>
      </c>
      <c r="AE286" s="29" t="inlineStr">
        <is>
          <t>064760.KQ</t>
        </is>
      </c>
    </row>
    <row r="287" ht="24" customHeight="1">
      <c r="A287" s="24" t="inlineStr">
        <is>
          <t>2024-08-06</t>
        </is>
      </c>
      <c r="B287" s="30" t="n">
        <v>96400</v>
      </c>
      <c r="C287" s="30" t="n">
        <v>103500</v>
      </c>
      <c r="D287" s="30" t="n">
        <v>96400</v>
      </c>
      <c r="E287" s="30" t="n">
        <v>98900</v>
      </c>
      <c r="F287" s="30" t="n">
        <v>96265.8125</v>
      </c>
      <c r="G287" s="30" t="n">
        <v>49215</v>
      </c>
      <c r="H287" s="35" t="n">
        <v>0.04105263157894745</v>
      </c>
      <c r="I287" s="35" t="n">
        <v>-0.5177961969770843</v>
      </c>
      <c r="J287" s="30" t="n">
        <v>117050</v>
      </c>
      <c r="K287" s="30" t="n">
        <v>123271.6666666667</v>
      </c>
      <c r="L287" s="30" t="n">
        <v>118080</v>
      </c>
      <c r="M287" s="35" t="n">
        <v>0.5153227279990774</v>
      </c>
      <c r="N287" s="35" t="n">
        <v>0.5335346024433089</v>
      </c>
      <c r="O287" s="35" t="n">
        <v>-0.2759882869692533</v>
      </c>
      <c r="P287" s="35" t="n">
        <v>-0.1703020134228188</v>
      </c>
      <c r="Q287" s="35" t="n">
        <v>0.006103763987792554</v>
      </c>
      <c r="R287" s="35" t="n">
        <v>-0.1550619393421615</v>
      </c>
      <c r="S287" s="35" t="n">
        <v>-0.1977069615889026</v>
      </c>
      <c r="T287" s="35" t="n">
        <v>-0.1624322493224932</v>
      </c>
      <c r="U287" s="30" t="n">
        <v>142000</v>
      </c>
      <c r="V287" s="30" t="n">
        <v>81800</v>
      </c>
      <c r="W287" s="35" t="n">
        <v>-0.3035211267605634</v>
      </c>
      <c r="X287" s="35" t="n">
        <v>0.2090464547677262</v>
      </c>
      <c r="Y287" s="30" t="n">
        <v>11179416</v>
      </c>
      <c r="Z287" s="30" t="n">
        <v>1105644242400</v>
      </c>
      <c r="AA287" s="30" t="n">
        <v>4867363500</v>
      </c>
      <c r="AB287" s="30" t="n">
        <v>4709741365</v>
      </c>
      <c r="AC287" s="35" t="n">
        <v>0.004402287203553388</v>
      </c>
      <c r="AD287" s="24" t="inlineStr">
        <is>
          <t>yfinance_download</t>
        </is>
      </c>
      <c r="AE287" s="24" t="inlineStr">
        <is>
          <t>064760.KQ</t>
        </is>
      </c>
    </row>
    <row r="288" ht="24" customHeight="1">
      <c r="A288" s="29" t="inlineStr">
        <is>
          <t>2024-08-07</t>
        </is>
      </c>
      <c r="B288" s="31" t="n">
        <v>97700</v>
      </c>
      <c r="C288" s="31" t="n">
        <v>100200</v>
      </c>
      <c r="D288" s="31" t="n">
        <v>96200</v>
      </c>
      <c r="E288" s="31" t="n">
        <v>97900</v>
      </c>
      <c r="F288" s="31" t="n">
        <v>95292.4453125</v>
      </c>
      <c r="G288" s="31" t="n">
        <v>47590</v>
      </c>
      <c r="H288" s="36" t="n">
        <v>-0.01011122345803839</v>
      </c>
      <c r="I288" s="36" t="n">
        <v>-0.522671867381765</v>
      </c>
      <c r="J288" s="31" t="n">
        <v>115105</v>
      </c>
      <c r="K288" s="31" t="n">
        <v>122898.3333333333</v>
      </c>
      <c r="L288" s="31" t="n">
        <v>118085.8333333333</v>
      </c>
      <c r="M288" s="36" t="n">
        <v>0.5118951755606042</v>
      </c>
      <c r="N288" s="36" t="n">
        <v>0.5331827785747494</v>
      </c>
      <c r="O288" s="36" t="n">
        <v>-0.2843567251461988</v>
      </c>
      <c r="P288" s="36" t="n">
        <v>-0.1862011637572735</v>
      </c>
      <c r="Q288" s="36" t="n">
        <v>0.007201646090535085</v>
      </c>
      <c r="R288" s="36" t="n">
        <v>-0.1494722210155944</v>
      </c>
      <c r="S288" s="36" t="n">
        <v>-0.2034066097994277</v>
      </c>
      <c r="T288" s="36" t="n">
        <v>-0.1709420407471965</v>
      </c>
      <c r="U288" s="31" t="n">
        <v>142000</v>
      </c>
      <c r="V288" s="31" t="n">
        <v>81800</v>
      </c>
      <c r="W288" s="36" t="n">
        <v>-0.3105633802816902</v>
      </c>
      <c r="X288" s="36" t="n">
        <v>0.1968215158924205</v>
      </c>
      <c r="Y288" s="31" t="n">
        <v>11179416</v>
      </c>
      <c r="Z288" s="31" t="n">
        <v>1094464826400</v>
      </c>
      <c r="AA288" s="31" t="n">
        <v>4659061000</v>
      </c>
      <c r="AB288" s="31" t="n">
        <v>4730955375</v>
      </c>
      <c r="AC288" s="36" t="n">
        <v>0.004256930773485842</v>
      </c>
      <c r="AD288" s="29" t="inlineStr">
        <is>
          <t>yfinance_download</t>
        </is>
      </c>
      <c r="AE288" s="29" t="inlineStr">
        <is>
          <t>064760.KQ</t>
        </is>
      </c>
    </row>
    <row r="289" ht="24" customHeight="1">
      <c r="A289" s="24" t="inlineStr">
        <is>
          <t>2024-08-08</t>
        </is>
      </c>
      <c r="B289" s="30" t="n">
        <v>96000</v>
      </c>
      <c r="C289" s="30" t="n">
        <v>102200</v>
      </c>
      <c r="D289" s="30" t="n">
        <v>94900</v>
      </c>
      <c r="E289" s="30" t="n">
        <v>100900</v>
      </c>
      <c r="F289" s="30" t="n">
        <v>98212.546875</v>
      </c>
      <c r="G289" s="30" t="n">
        <v>47329</v>
      </c>
      <c r="H289" s="35" t="n">
        <v>0.0306435137895813</v>
      </c>
      <c r="I289" s="35" t="n">
        <v>-0.5080448561677231</v>
      </c>
      <c r="J289" s="30" t="n">
        <v>113425</v>
      </c>
      <c r="K289" s="30" t="n">
        <v>122630</v>
      </c>
      <c r="L289" s="30" t="n">
        <v>118129.1666666667</v>
      </c>
      <c r="M289" s="35" t="n">
        <v>0.5380428486062433</v>
      </c>
      <c r="N289" s="35" t="n">
        <v>0.5350388014785072</v>
      </c>
      <c r="O289" s="35" t="n">
        <v>-0.2498141263940521</v>
      </c>
      <c r="P289" s="35" t="n">
        <v>-0.1376068376068376</v>
      </c>
      <c r="Q289" s="35" t="n">
        <v>0.05433646812957149</v>
      </c>
      <c r="R289" s="35" t="n">
        <v>-0.1104253912276835</v>
      </c>
      <c r="S289" s="35" t="n">
        <v>-0.1771997064339884</v>
      </c>
      <c r="T289" s="35" t="n">
        <v>-0.1458502345596275</v>
      </c>
      <c r="U289" s="30" t="n">
        <v>142000</v>
      </c>
      <c r="V289" s="30" t="n">
        <v>81800</v>
      </c>
      <c r="W289" s="35" t="n">
        <v>-0.2894366197183098</v>
      </c>
      <c r="X289" s="35" t="n">
        <v>0.2334963325183375</v>
      </c>
      <c r="Y289" s="30" t="n">
        <v>11179416</v>
      </c>
      <c r="Z289" s="30" t="n">
        <v>1128003074400</v>
      </c>
      <c r="AA289" s="30" t="n">
        <v>4775496100</v>
      </c>
      <c r="AB289" s="30" t="n">
        <v>4726204480</v>
      </c>
      <c r="AC289" s="35" t="n">
        <v>0.004233584294564224</v>
      </c>
      <c r="AD289" s="24" t="inlineStr">
        <is>
          <t>yfinance_download</t>
        </is>
      </c>
      <c r="AE289" s="24" t="inlineStr">
        <is>
          <t>064760.KQ</t>
        </is>
      </c>
    </row>
    <row r="290" ht="24" customHeight="1">
      <c r="A290" s="29" t="inlineStr">
        <is>
          <t>2024-08-09</t>
        </is>
      </c>
      <c r="B290" s="31" t="n">
        <v>106200</v>
      </c>
      <c r="C290" s="31" t="n">
        <v>108400</v>
      </c>
      <c r="D290" s="31" t="n">
        <v>104200</v>
      </c>
      <c r="E290" s="31" t="n">
        <v>106400</v>
      </c>
      <c r="F290" s="31" t="n">
        <v>103566.0546875</v>
      </c>
      <c r="G290" s="31" t="n">
        <v>97199</v>
      </c>
      <c r="H290" s="36" t="n">
        <v>0.0545094152626362</v>
      </c>
      <c r="I290" s="36" t="n">
        <v>-0.4812286689419796</v>
      </c>
      <c r="J290" s="31" t="n">
        <v>112160</v>
      </c>
      <c r="K290" s="31" t="n">
        <v>122420</v>
      </c>
      <c r="L290" s="31" t="n">
        <v>118215.8333333333</v>
      </c>
      <c r="M290" s="36" t="n">
        <v>0.5888767962199062</v>
      </c>
      <c r="N290" s="36" t="n">
        <v>0.5460943287515343</v>
      </c>
      <c r="O290" s="36" t="n">
        <v>-0.1921032649962034</v>
      </c>
      <c r="P290" s="36" t="n">
        <v>-0.1058823529411764</v>
      </c>
      <c r="Q290" s="36" t="n">
        <v>0.1083333333333334</v>
      </c>
      <c r="R290" s="36" t="n">
        <v>-0.05135520684736095</v>
      </c>
      <c r="S290" s="36" t="n">
        <v>-0.1308609704296684</v>
      </c>
      <c r="T290" s="36" t="n">
        <v>-0.09995136015339168</v>
      </c>
      <c r="U290" s="31" t="n">
        <v>142000</v>
      </c>
      <c r="V290" s="31" t="n">
        <v>81800</v>
      </c>
      <c r="W290" s="36" t="n">
        <v>-0.2507042253521127</v>
      </c>
      <c r="X290" s="36" t="n">
        <v>0.3007334963325183</v>
      </c>
      <c r="Y290" s="31" t="n">
        <v>11179416</v>
      </c>
      <c r="Z290" s="31" t="n">
        <v>1189489862400</v>
      </c>
      <c r="AA290" s="31" t="n">
        <v>10341973600</v>
      </c>
      <c r="AB290" s="31" t="n">
        <v>5058969255</v>
      </c>
      <c r="AC290" s="36" t="n">
        <v>0.008694461320698683</v>
      </c>
      <c r="AD290" s="29" t="inlineStr">
        <is>
          <t>yfinance_download</t>
        </is>
      </c>
      <c r="AE290" s="29" t="inlineStr">
        <is>
          <t>064760.KQ</t>
        </is>
      </c>
    </row>
    <row r="291" ht="24" customHeight="1">
      <c r="A291" s="24" t="inlineStr">
        <is>
          <t>2024-08-12</t>
        </is>
      </c>
      <c r="B291" s="30" t="n">
        <v>106400</v>
      </c>
      <c r="C291" s="30" t="n">
        <v>107900</v>
      </c>
      <c r="D291" s="30" t="n">
        <v>104500</v>
      </c>
      <c r="E291" s="30" t="n">
        <v>105300</v>
      </c>
      <c r="F291" s="30" t="n">
        <v>102495.3515625</v>
      </c>
      <c r="G291" s="30" t="n">
        <v>42937</v>
      </c>
      <c r="H291" s="35" t="n">
        <v>-0.01033834586466165</v>
      </c>
      <c r="I291" s="35" t="n">
        <v>-0.4865919063871282</v>
      </c>
      <c r="J291" s="30" t="n">
        <v>110875</v>
      </c>
      <c r="K291" s="30" t="n">
        <v>122208.3333333333</v>
      </c>
      <c r="L291" s="30" t="n">
        <v>118291.6666666667</v>
      </c>
      <c r="M291" s="35" t="n">
        <v>0.5886234016713948</v>
      </c>
      <c r="N291" s="35" t="n">
        <v>0.5462164756910238</v>
      </c>
      <c r="O291" s="35" t="n">
        <v>-0.1961832061068702</v>
      </c>
      <c r="P291" s="35" t="n">
        <v>-0.1076271186440678</v>
      </c>
      <c r="Q291" s="35" t="n">
        <v>0.09459459459459452</v>
      </c>
      <c r="R291" s="35" t="n">
        <v>-0.05028184892897403</v>
      </c>
      <c r="S291" s="35" t="n">
        <v>-0.1383566314353903</v>
      </c>
      <c r="T291" s="35" t="n">
        <v>-0.1098274040154984</v>
      </c>
      <c r="U291" s="30" t="n">
        <v>142000</v>
      </c>
      <c r="V291" s="30" t="n">
        <v>81800</v>
      </c>
      <c r="W291" s="35" t="n">
        <v>-0.2584507042253521</v>
      </c>
      <c r="X291" s="35" t="n">
        <v>0.2872860635696821</v>
      </c>
      <c r="Y291" s="30" t="n">
        <v>11179416</v>
      </c>
      <c r="Z291" s="30" t="n">
        <v>1177192504800</v>
      </c>
      <c r="AA291" s="30" t="n">
        <v>4521266100</v>
      </c>
      <c r="AB291" s="30" t="n">
        <v>5123673310</v>
      </c>
      <c r="AC291" s="35" t="n">
        <v>0.003840719407883202</v>
      </c>
      <c r="AD291" s="24" t="inlineStr">
        <is>
          <t>yfinance_download</t>
        </is>
      </c>
      <c r="AE291" s="24" t="inlineStr">
        <is>
          <t>064760.KQ</t>
        </is>
      </c>
    </row>
    <row r="292" ht="24" customHeight="1">
      <c r="A292" s="29" t="inlineStr">
        <is>
          <t>2024-08-13</t>
        </is>
      </c>
      <c r="B292" s="31" t="n">
        <v>104800</v>
      </c>
      <c r="C292" s="31" t="n">
        <v>105700</v>
      </c>
      <c r="D292" s="31" t="n">
        <v>103700</v>
      </c>
      <c r="E292" s="31" t="n">
        <v>104700</v>
      </c>
      <c r="F292" s="31" t="n">
        <v>101911.328125</v>
      </c>
      <c r="G292" s="31" t="n">
        <v>32083</v>
      </c>
      <c r="H292" s="36" t="n">
        <v>-0.005698005698005715</v>
      </c>
      <c r="I292" s="36" t="n">
        <v>-0.4895173086299366</v>
      </c>
      <c r="J292" s="31" t="n">
        <v>109635</v>
      </c>
      <c r="K292" s="31" t="n">
        <v>122033.3333333333</v>
      </c>
      <c r="L292" s="31" t="n">
        <v>118359.1666666667</v>
      </c>
      <c r="M292" s="36" t="n">
        <v>0.5888143630272762</v>
      </c>
      <c r="N292" s="36" t="n">
        <v>0.5443028693672761</v>
      </c>
      <c r="O292" s="36" t="n">
        <v>-0.1915057915057915</v>
      </c>
      <c r="P292" s="36" t="n">
        <v>-0.09114583333333337</v>
      </c>
      <c r="Q292" s="36" t="n">
        <v>0.08385093167701863</v>
      </c>
      <c r="R292" s="36" t="n">
        <v>-0.04501299767410039</v>
      </c>
      <c r="S292" s="36" t="n">
        <v>-0.1420376946189565</v>
      </c>
      <c r="T292" s="36" t="n">
        <v>-0.1154043835500701</v>
      </c>
      <c r="U292" s="31" t="n">
        <v>142000</v>
      </c>
      <c r="V292" s="31" t="n">
        <v>81800</v>
      </c>
      <c r="W292" s="36" t="n">
        <v>-0.2626760563380282</v>
      </c>
      <c r="X292" s="36" t="n">
        <v>0.2799511002444988</v>
      </c>
      <c r="Y292" s="31" t="n">
        <v>11179416</v>
      </c>
      <c r="Z292" s="31" t="n">
        <v>1170484855200</v>
      </c>
      <c r="AA292" s="31" t="n">
        <v>3359090100</v>
      </c>
      <c r="AB292" s="31" t="n">
        <v>5038429415</v>
      </c>
      <c r="AC292" s="36" t="n">
        <v>0.002869827905142809</v>
      </c>
      <c r="AD292" s="29" t="inlineStr">
        <is>
          <t>yfinance_download</t>
        </is>
      </c>
      <c r="AE292" s="29" t="inlineStr">
        <is>
          <t>064760.KQ</t>
        </is>
      </c>
    </row>
    <row r="293" ht="24" customHeight="1">
      <c r="A293" s="24" t="inlineStr">
        <is>
          <t>2024-08-14</t>
        </is>
      </c>
      <c r="B293" s="30" t="n">
        <v>106300</v>
      </c>
      <c r="C293" s="30" t="n">
        <v>110500</v>
      </c>
      <c r="D293" s="30" t="n">
        <v>106300</v>
      </c>
      <c r="E293" s="30" t="n">
        <v>110000</v>
      </c>
      <c r="F293" s="30" t="n">
        <v>107070.171875</v>
      </c>
      <c r="G293" s="30" t="n">
        <v>66816</v>
      </c>
      <c r="H293" s="35" t="n">
        <v>0.05062082139446034</v>
      </c>
      <c r="I293" s="35" t="n">
        <v>-0.4636762554851293</v>
      </c>
      <c r="J293" s="30" t="n">
        <v>109070</v>
      </c>
      <c r="K293" s="30" t="n">
        <v>121958.3333333333</v>
      </c>
      <c r="L293" s="30" t="n">
        <v>118467.5</v>
      </c>
      <c r="M293" s="35" t="n">
        <v>0.5906224471231653</v>
      </c>
      <c r="N293" s="35" t="n">
        <v>0.5543602286223986</v>
      </c>
      <c r="O293" s="35" t="n">
        <v>-0.09315746084089038</v>
      </c>
      <c r="P293" s="35" t="n">
        <v>-0.0393013100436681</v>
      </c>
      <c r="Q293" s="35" t="n">
        <v>0.134020618556701</v>
      </c>
      <c r="R293" s="35" t="n">
        <v>0.008526634271568634</v>
      </c>
      <c r="S293" s="35" t="n">
        <v>-0.09805261359754014</v>
      </c>
      <c r="T293" s="35" t="n">
        <v>-0.07147529913267348</v>
      </c>
      <c r="U293" s="30" t="n">
        <v>142000</v>
      </c>
      <c r="V293" s="30" t="n">
        <v>81800</v>
      </c>
      <c r="W293" s="35" t="n">
        <v>-0.2253521126760564</v>
      </c>
      <c r="X293" s="35" t="n">
        <v>0.3447432762836187</v>
      </c>
      <c r="Y293" s="30" t="n">
        <v>11179416</v>
      </c>
      <c r="Z293" s="30" t="n">
        <v>1229735760000</v>
      </c>
      <c r="AA293" s="30" t="n">
        <v>7349760000</v>
      </c>
      <c r="AB293" s="30" t="n">
        <v>4935431105</v>
      </c>
      <c r="AC293" s="35" t="n">
        <v>0.005976698603934231</v>
      </c>
      <c r="AD293" s="24" t="inlineStr">
        <is>
          <t>yfinance_download</t>
        </is>
      </c>
      <c r="AE293" s="24" t="inlineStr">
        <is>
          <t>064760.KQ</t>
        </is>
      </c>
    </row>
    <row r="294" ht="24" customHeight="1">
      <c r="A294" s="29" t="inlineStr">
        <is>
          <t>2024-08-16</t>
        </is>
      </c>
      <c r="B294" s="31" t="n">
        <v>111500</v>
      </c>
      <c r="C294" s="31" t="n">
        <v>112900</v>
      </c>
      <c r="D294" s="31" t="n">
        <v>109600</v>
      </c>
      <c r="E294" s="31" t="n">
        <v>111000</v>
      </c>
      <c r="F294" s="31" t="n">
        <v>108043.53125</v>
      </c>
      <c r="G294" s="31" t="n">
        <v>23045</v>
      </c>
      <c r="H294" s="36" t="n">
        <v>0.009090909090909038</v>
      </c>
      <c r="I294" s="36" t="n">
        <v>-0.4588005850804485</v>
      </c>
      <c r="J294" s="31" t="n">
        <v>108550</v>
      </c>
      <c r="K294" s="31" t="n">
        <v>121945</v>
      </c>
      <c r="L294" s="31" t="n">
        <v>118565.8333333333</v>
      </c>
      <c r="M294" s="36" t="n">
        <v>0.5922829989142718</v>
      </c>
      <c r="N294" s="36" t="n">
        <v>0.5524823092081611</v>
      </c>
      <c r="O294" s="36" t="n">
        <v>-0.08566721581548598</v>
      </c>
      <c r="P294" s="36" t="n">
        <v>-0.007155635062611854</v>
      </c>
      <c r="Q294" s="36" t="n">
        <v>0.1189516129032258</v>
      </c>
      <c r="R294" s="36" t="n">
        <v>0.02257024412713027</v>
      </c>
      <c r="S294" s="36" t="n">
        <v>-0.08975357743244905</v>
      </c>
      <c r="T294" s="36" t="n">
        <v>-0.06381124410489247</v>
      </c>
      <c r="U294" s="31" t="n">
        <v>142000</v>
      </c>
      <c r="V294" s="31" t="n">
        <v>81800</v>
      </c>
      <c r="W294" s="36" t="n">
        <v>-0.2183098591549296</v>
      </c>
      <c r="X294" s="36" t="n">
        <v>0.3569682151589242</v>
      </c>
      <c r="Y294" s="31" t="n">
        <v>11179416</v>
      </c>
      <c r="Z294" s="31" t="n">
        <v>1240915176000</v>
      </c>
      <c r="AA294" s="31" t="n">
        <v>2557995000</v>
      </c>
      <c r="AB294" s="31" t="n">
        <v>4710147905</v>
      </c>
      <c r="AC294" s="36" t="n">
        <v>0.002061377803634823</v>
      </c>
      <c r="AD294" s="29" t="inlineStr">
        <is>
          <t>yfinance_download</t>
        </is>
      </c>
      <c r="AE294" s="29" t="inlineStr">
        <is>
          <t>064760.KQ</t>
        </is>
      </c>
    </row>
    <row r="295" ht="24" customHeight="1">
      <c r="A295" s="24" t="inlineStr">
        <is>
          <t>2024-08-19</t>
        </is>
      </c>
      <c r="B295" s="30" t="n">
        <v>111000</v>
      </c>
      <c r="C295" s="30" t="n">
        <v>111200</v>
      </c>
      <c r="D295" s="30" t="n">
        <v>107700</v>
      </c>
      <c r="E295" s="30" t="n">
        <v>107700</v>
      </c>
      <c r="F295" s="30" t="n">
        <v>104831.4296875</v>
      </c>
      <c r="G295" s="30" t="n">
        <v>20833</v>
      </c>
      <c r="H295" s="35" t="n">
        <v>-0.02972972972972976</v>
      </c>
      <c r="I295" s="35" t="n">
        <v>-0.4748902974158947</v>
      </c>
      <c r="J295" s="30" t="n">
        <v>107940</v>
      </c>
      <c r="K295" s="30" t="n">
        <v>121841.6666666667</v>
      </c>
      <c r="L295" s="30" t="n">
        <v>118641.6666666667</v>
      </c>
      <c r="M295" s="35" t="n">
        <v>0.5987892436393781</v>
      </c>
      <c r="N295" s="35" t="n">
        <v>0.5545575754564835</v>
      </c>
      <c r="O295" s="35" t="n">
        <v>-0.1017514595496247</v>
      </c>
      <c r="P295" s="35" t="n">
        <v>-0.05443371378402106</v>
      </c>
      <c r="Q295" s="35" t="n">
        <v>0.09229208924949295</v>
      </c>
      <c r="R295" s="35" t="n">
        <v>-0.002223457476375756</v>
      </c>
      <c r="S295" s="35" t="n">
        <v>-0.1160659325627522</v>
      </c>
      <c r="T295" s="35" t="n">
        <v>-0.09222448549553985</v>
      </c>
      <c r="U295" s="30" t="n">
        <v>142000</v>
      </c>
      <c r="V295" s="30" t="n">
        <v>81800</v>
      </c>
      <c r="W295" s="35" t="n">
        <v>-0.2415492957746479</v>
      </c>
      <c r="X295" s="35" t="n">
        <v>0.3166259168704157</v>
      </c>
      <c r="Y295" s="30" t="n">
        <v>11179416</v>
      </c>
      <c r="Z295" s="30" t="n">
        <v>1204023103200</v>
      </c>
      <c r="AA295" s="30" t="n">
        <v>2243714100</v>
      </c>
      <c r="AB295" s="30" t="n">
        <v>4600242840</v>
      </c>
      <c r="AC295" s="35" t="n">
        <v>0.00186351415852134</v>
      </c>
      <c r="AD295" s="24" t="inlineStr">
        <is>
          <t>yfinance_download</t>
        </is>
      </c>
      <c r="AE295" s="24" t="inlineStr">
        <is>
          <t>064760.KQ</t>
        </is>
      </c>
    </row>
    <row r="296" ht="24" customHeight="1">
      <c r="A296" s="29" t="inlineStr">
        <is>
          <t>2024-08-20</t>
        </is>
      </c>
      <c r="B296" s="31" t="n">
        <v>108000</v>
      </c>
      <c r="C296" s="31" t="n">
        <v>110200</v>
      </c>
      <c r="D296" s="31" t="n">
        <v>106700</v>
      </c>
      <c r="E296" s="31" t="n">
        <v>107500</v>
      </c>
      <c r="F296" s="31" t="n">
        <v>104636.7578125</v>
      </c>
      <c r="G296" s="31" t="n">
        <v>31610</v>
      </c>
      <c r="H296" s="36" t="n">
        <v>-0.001857010213556221</v>
      </c>
      <c r="I296" s="36" t="n">
        <v>-0.4758654314968308</v>
      </c>
      <c r="J296" s="31" t="n">
        <v>107445</v>
      </c>
      <c r="K296" s="31" t="n">
        <v>121816.6666666667</v>
      </c>
      <c r="L296" s="31" t="n">
        <v>118728.3333333333</v>
      </c>
      <c r="M296" s="36" t="n">
        <v>0.5957666062087749</v>
      </c>
      <c r="N296" s="36" t="n">
        <v>0.5473944727759256</v>
      </c>
      <c r="O296" s="36" t="n">
        <v>-0.08432708688245316</v>
      </c>
      <c r="P296" s="36" t="n">
        <v>-0.01376146788990829</v>
      </c>
      <c r="Q296" s="36" t="n">
        <v>0.1071060762100926</v>
      </c>
      <c r="R296" s="36" t="n">
        <v>0.0005118898040858966</v>
      </c>
      <c r="S296" s="36" t="n">
        <v>-0.1175263373922562</v>
      </c>
      <c r="T296" s="36" t="n">
        <v>-0.0945716411415416</v>
      </c>
      <c r="U296" s="31" t="n">
        <v>142000</v>
      </c>
      <c r="V296" s="31" t="n">
        <v>81800</v>
      </c>
      <c r="W296" s="36" t="n">
        <v>-0.2429577464788732</v>
      </c>
      <c r="X296" s="36" t="n">
        <v>0.3141809290953546</v>
      </c>
      <c r="Y296" s="31" t="n">
        <v>11179416</v>
      </c>
      <c r="Z296" s="31" t="n">
        <v>1201787220000</v>
      </c>
      <c r="AA296" s="31" t="n">
        <v>3398075000</v>
      </c>
      <c r="AB296" s="31" t="n">
        <v>4556554900</v>
      </c>
      <c r="AC296" s="36" t="n">
        <v>0.002827518002729302</v>
      </c>
      <c r="AD296" s="29" t="inlineStr">
        <is>
          <t>yfinance_download</t>
        </is>
      </c>
      <c r="AE296" s="29" t="inlineStr">
        <is>
          <t>064760.KQ</t>
        </is>
      </c>
    </row>
    <row r="297" ht="24" customHeight="1">
      <c r="A297" s="24" t="inlineStr">
        <is>
          <t>2024-08-21</t>
        </is>
      </c>
      <c r="B297" s="30" t="n">
        <v>106100</v>
      </c>
      <c r="C297" s="30" t="n">
        <v>110800</v>
      </c>
      <c r="D297" s="30" t="n">
        <v>106100</v>
      </c>
      <c r="E297" s="30" t="n">
        <v>109700</v>
      </c>
      <c r="F297" s="30" t="n">
        <v>106778.15625</v>
      </c>
      <c r="G297" s="30" t="n">
        <v>19764</v>
      </c>
      <c r="H297" s="35" t="n">
        <v>0.02046511627906966</v>
      </c>
      <c r="I297" s="35" t="n">
        <v>-0.4651389566065334</v>
      </c>
      <c r="J297" s="30" t="n">
        <v>107175</v>
      </c>
      <c r="K297" s="30" t="n">
        <v>121773.3333333333</v>
      </c>
      <c r="L297" s="30" t="n">
        <v>118835</v>
      </c>
      <c r="M297" s="35" t="n">
        <v>0.5985673425276351</v>
      </c>
      <c r="N297" s="35" t="n">
        <v>0.5454698196238604</v>
      </c>
      <c r="O297" s="35" t="n">
        <v>-0.0469157254561251</v>
      </c>
      <c r="P297" s="35" t="n">
        <v>-0.02315227070347281</v>
      </c>
      <c r="Q297" s="35" t="n">
        <v>0.1320949432404541</v>
      </c>
      <c r="R297" s="35" t="n">
        <v>0.02355959878703051</v>
      </c>
      <c r="S297" s="35" t="n">
        <v>-0.0991459542319062</v>
      </c>
      <c r="T297" s="35" t="n">
        <v>-0.07687129212774013</v>
      </c>
      <c r="U297" s="30" t="n">
        <v>142000</v>
      </c>
      <c r="V297" s="30" t="n">
        <v>81800</v>
      </c>
      <c r="W297" s="35" t="n">
        <v>-0.2274647887323944</v>
      </c>
      <c r="X297" s="35" t="n">
        <v>0.341075794621027</v>
      </c>
      <c r="Y297" s="30" t="n">
        <v>11179416</v>
      </c>
      <c r="Z297" s="30" t="n">
        <v>1226381935200</v>
      </c>
      <c r="AA297" s="30" t="n">
        <v>2168110800</v>
      </c>
      <c r="AB297" s="30" t="n">
        <v>4363335135</v>
      </c>
      <c r="AC297" s="35" t="n">
        <v>0.001767891990064597</v>
      </c>
      <c r="AD297" s="24" t="inlineStr">
        <is>
          <t>yfinance_download</t>
        </is>
      </c>
      <c r="AE297" s="24" t="inlineStr">
        <is>
          <t>064760.KQ</t>
        </is>
      </c>
    </row>
    <row r="298" ht="24" customHeight="1">
      <c r="A298" s="29" t="inlineStr">
        <is>
          <t>2024-08-22</t>
        </is>
      </c>
      <c r="B298" s="31" t="n">
        <v>109900</v>
      </c>
      <c r="C298" s="31" t="n">
        <v>110000</v>
      </c>
      <c r="D298" s="31" t="n">
        <v>106200</v>
      </c>
      <c r="E298" s="31" t="n">
        <v>107100</v>
      </c>
      <c r="F298" s="31" t="n">
        <v>104247.40625</v>
      </c>
      <c r="G298" s="31" t="n">
        <v>26504</v>
      </c>
      <c r="H298" s="36" t="n">
        <v>-0.02370100273473108</v>
      </c>
      <c r="I298" s="36" t="n">
        <v>-0.4778156996587031</v>
      </c>
      <c r="J298" s="31" t="n">
        <v>106810</v>
      </c>
      <c r="K298" s="31" t="n">
        <v>121611.6666666667</v>
      </c>
      <c r="L298" s="31" t="n">
        <v>118940.8333333333</v>
      </c>
      <c r="M298" s="36" t="n">
        <v>0.6035211366953108</v>
      </c>
      <c r="N298" s="36" t="n">
        <v>0.5411947189069044</v>
      </c>
      <c r="O298" s="36" t="n">
        <v>-0.06381118881118886</v>
      </c>
      <c r="P298" s="36" t="n">
        <v>-0.08304794520547942</v>
      </c>
      <c r="Q298" s="36" t="n">
        <v>0.1345338983050848</v>
      </c>
      <c r="R298" s="36" t="n">
        <v>0.002715101582248858</v>
      </c>
      <c r="S298" s="36" t="n">
        <v>-0.1193279153589979</v>
      </c>
      <c r="T298" s="36" t="n">
        <v>-0.09955229841167523</v>
      </c>
      <c r="U298" s="31" t="n">
        <v>142000</v>
      </c>
      <c r="V298" s="31" t="n">
        <v>81800</v>
      </c>
      <c r="W298" s="36" t="n">
        <v>-0.2457746478873239</v>
      </c>
      <c r="X298" s="36" t="n">
        <v>0.3092909535452322</v>
      </c>
      <c r="Y298" s="31" t="n">
        <v>11179416</v>
      </c>
      <c r="Z298" s="31" t="n">
        <v>1197315453600</v>
      </c>
      <c r="AA298" s="31" t="n">
        <v>2838578400</v>
      </c>
      <c r="AB298" s="31" t="n">
        <v>4381357415</v>
      </c>
      <c r="AC298" s="36" t="n">
        <v>0.002370785736929371</v>
      </c>
      <c r="AD298" s="29" t="inlineStr">
        <is>
          <t>yfinance_download</t>
        </is>
      </c>
      <c r="AE298" s="29" t="inlineStr">
        <is>
          <t>064760.KQ</t>
        </is>
      </c>
    </row>
    <row r="299" ht="24" customHeight="1">
      <c r="A299" s="24" t="inlineStr">
        <is>
          <t>2024-08-23</t>
        </is>
      </c>
      <c r="B299" s="30" t="n">
        <v>106200</v>
      </c>
      <c r="C299" s="30" t="n">
        <v>108400</v>
      </c>
      <c r="D299" s="30" t="n">
        <v>105500</v>
      </c>
      <c r="E299" s="30" t="n">
        <v>107700</v>
      </c>
      <c r="F299" s="30" t="n">
        <v>104831.4296875</v>
      </c>
      <c r="G299" s="30" t="n">
        <v>9383</v>
      </c>
      <c r="H299" s="35" t="n">
        <v>0.005602240896358524</v>
      </c>
      <c r="I299" s="35" t="n">
        <v>-0.4748902974158947</v>
      </c>
      <c r="J299" s="30" t="n">
        <v>106595</v>
      </c>
      <c r="K299" s="30" t="n">
        <v>121511.6666666667</v>
      </c>
      <c r="L299" s="30" t="n">
        <v>119054.1666666667</v>
      </c>
      <c r="M299" s="35" t="n">
        <v>0.6001456448071294</v>
      </c>
      <c r="N299" s="35" t="n">
        <v>0.5386867937804141</v>
      </c>
      <c r="O299" s="35" t="n">
        <v>-0.03839285714285712</v>
      </c>
      <c r="P299" s="35" t="n">
        <v>-0.05277044854881263</v>
      </c>
      <c r="Q299" s="35" t="n">
        <v>0.1445270988310308</v>
      </c>
      <c r="R299" s="35" t="n">
        <v>0.01036633988460989</v>
      </c>
      <c r="S299" s="35" t="n">
        <v>-0.11366535449271</v>
      </c>
      <c r="T299" s="35" t="n">
        <v>-0.09536975466349351</v>
      </c>
      <c r="U299" s="30" t="n">
        <v>142000</v>
      </c>
      <c r="V299" s="30" t="n">
        <v>81800</v>
      </c>
      <c r="W299" s="35" t="n">
        <v>-0.2415492957746479</v>
      </c>
      <c r="X299" s="35" t="n">
        <v>0.3166259168704157</v>
      </c>
      <c r="Y299" s="30" t="n">
        <v>11179416</v>
      </c>
      <c r="Z299" s="30" t="n">
        <v>1204023103200</v>
      </c>
      <c r="AA299" s="30" t="n">
        <v>1010549100</v>
      </c>
      <c r="AB299" s="30" t="n">
        <v>4238253670</v>
      </c>
      <c r="AC299" s="35" t="n">
        <v>0.0008393103897377108</v>
      </c>
      <c r="AD299" s="24" t="inlineStr">
        <is>
          <t>yfinance_download</t>
        </is>
      </c>
      <c r="AE299" s="24" t="inlineStr">
        <is>
          <t>064760.KQ</t>
        </is>
      </c>
    </row>
    <row r="300" ht="24" customHeight="1">
      <c r="A300" s="29" t="inlineStr">
        <is>
          <t>2024-08-26</t>
        </is>
      </c>
      <c r="B300" s="31" t="n">
        <v>108000</v>
      </c>
      <c r="C300" s="31" t="n">
        <v>108100</v>
      </c>
      <c r="D300" s="31" t="n">
        <v>104800</v>
      </c>
      <c r="E300" s="31" t="n">
        <v>104900</v>
      </c>
      <c r="F300" s="31" t="n">
        <v>102106.0078125</v>
      </c>
      <c r="G300" s="31" t="n">
        <v>34463</v>
      </c>
      <c r="H300" s="36" t="n">
        <v>-0.02599814298978642</v>
      </c>
      <c r="I300" s="36" t="n">
        <v>-0.4885421745490005</v>
      </c>
      <c r="J300" s="31" t="n">
        <v>106305</v>
      </c>
      <c r="K300" s="31" t="n">
        <v>121223.3333333333</v>
      </c>
      <c r="L300" s="31" t="n">
        <v>119139.1666666667</v>
      </c>
      <c r="M300" s="36" t="n">
        <v>0.6055853087192492</v>
      </c>
      <c r="N300" s="36" t="n">
        <v>0.5178666015087704</v>
      </c>
      <c r="O300" s="36" t="n">
        <v>-0.05239385727190604</v>
      </c>
      <c r="P300" s="36" t="n">
        <v>-0.1415711947626841</v>
      </c>
      <c r="Q300" s="36" t="n">
        <v>0.1077085533262936</v>
      </c>
      <c r="R300" s="36" t="n">
        <v>-0.013216687832181</v>
      </c>
      <c r="S300" s="36" t="n">
        <v>-0.1346550444083922</v>
      </c>
      <c r="T300" s="36" t="n">
        <v>-0.1195170913567467</v>
      </c>
      <c r="U300" s="31" t="n">
        <v>142000</v>
      </c>
      <c r="V300" s="31" t="n">
        <v>81800</v>
      </c>
      <c r="W300" s="36" t="n">
        <v>-0.2612676056338028</v>
      </c>
      <c r="X300" s="36" t="n">
        <v>0.28239608801956</v>
      </c>
      <c r="Y300" s="31" t="n">
        <v>11179416</v>
      </c>
      <c r="Z300" s="31" t="n">
        <v>1172720738400</v>
      </c>
      <c r="AA300" s="31" t="n">
        <v>3615168700</v>
      </c>
      <c r="AB300" s="31" t="n">
        <v>4235654160</v>
      </c>
      <c r="AC300" s="36" t="n">
        <v>0.003082719168872507</v>
      </c>
      <c r="AD300" s="29" t="inlineStr">
        <is>
          <t>yfinance_download</t>
        </is>
      </c>
      <c r="AE300" s="29" t="inlineStr">
        <is>
          <t>064760.KQ</t>
        </is>
      </c>
    </row>
    <row r="301" ht="24" customHeight="1">
      <c r="A301" s="24" t="inlineStr">
        <is>
          <t>2024-08-27</t>
        </is>
      </c>
      <c r="B301" s="30" t="n">
        <v>104800</v>
      </c>
      <c r="C301" s="30" t="n">
        <v>105200</v>
      </c>
      <c r="D301" s="30" t="n">
        <v>102800</v>
      </c>
      <c r="E301" s="30" t="n">
        <v>103900</v>
      </c>
      <c r="F301" s="30" t="n">
        <v>101132.640625</v>
      </c>
      <c r="G301" s="30" t="n">
        <v>36104</v>
      </c>
      <c r="H301" s="35" t="n">
        <v>-0.009532888465204947</v>
      </c>
      <c r="I301" s="35" t="n">
        <v>-0.4934178449536811</v>
      </c>
      <c r="J301" s="30" t="n">
        <v>105945</v>
      </c>
      <c r="K301" s="30" t="n">
        <v>120938.3333333333</v>
      </c>
      <c r="L301" s="30" t="n">
        <v>119190.8333333333</v>
      </c>
      <c r="M301" s="35" t="n">
        <v>0.6057724077816949</v>
      </c>
      <c r="N301" s="35" t="n">
        <v>0.5178484614170414</v>
      </c>
      <c r="O301" s="35" t="n">
        <v>-0.06480648064806482</v>
      </c>
      <c r="P301" s="35" t="n">
        <v>-0.1413223140495867</v>
      </c>
      <c r="Q301" s="35" t="n">
        <v>0.06345957011258951</v>
      </c>
      <c r="R301" s="35" t="n">
        <v>-0.01930246826183402</v>
      </c>
      <c r="S301" s="35" t="n">
        <v>-0.1408844728029436</v>
      </c>
      <c r="T301" s="35" t="n">
        <v>-0.1282886687315159</v>
      </c>
      <c r="U301" s="30" t="n">
        <v>142000</v>
      </c>
      <c r="V301" s="30" t="n">
        <v>81800</v>
      </c>
      <c r="W301" s="35" t="n">
        <v>-0.2683098591549296</v>
      </c>
      <c r="X301" s="35" t="n">
        <v>0.2701711491442542</v>
      </c>
      <c r="Y301" s="30" t="n">
        <v>11179416</v>
      </c>
      <c r="Z301" s="30" t="n">
        <v>1161541322400</v>
      </c>
      <c r="AA301" s="30" t="n">
        <v>3751205600</v>
      </c>
      <c r="AB301" s="30" t="n">
        <v>4277856755</v>
      </c>
      <c r="AC301" s="35" t="n">
        <v>0.003229506800713025</v>
      </c>
      <c r="AD301" s="24" t="inlineStr">
        <is>
          <t>yfinance_download</t>
        </is>
      </c>
      <c r="AE301" s="24" t="inlineStr">
        <is>
          <t>064760.KQ</t>
        </is>
      </c>
    </row>
    <row r="302" ht="24" customHeight="1">
      <c r="A302" s="29" t="inlineStr">
        <is>
          <t>2024-08-28</t>
        </is>
      </c>
      <c r="B302" s="31" t="n">
        <v>103600</v>
      </c>
      <c r="C302" s="31" t="n">
        <v>105100</v>
      </c>
      <c r="D302" s="31" t="n">
        <v>102700</v>
      </c>
      <c r="E302" s="31" t="n">
        <v>105100</v>
      </c>
      <c r="F302" s="31" t="n">
        <v>102300.6796875</v>
      </c>
      <c r="G302" s="31" t="n">
        <v>36525</v>
      </c>
      <c r="H302" s="36" t="n">
        <v>0.01154956689124154</v>
      </c>
      <c r="I302" s="36" t="n">
        <v>-0.4875670404680643</v>
      </c>
      <c r="J302" s="31" t="n">
        <v>105730</v>
      </c>
      <c r="K302" s="31" t="n">
        <v>120646.6666666667</v>
      </c>
      <c r="L302" s="31" t="n">
        <v>119276.6666666667</v>
      </c>
      <c r="M302" s="36" t="n">
        <v>0.6058260386547674</v>
      </c>
      <c r="N302" s="36" t="n">
        <v>0.5176494716171141</v>
      </c>
      <c r="O302" s="36" t="n">
        <v>-0.03930530164533819</v>
      </c>
      <c r="P302" s="36" t="n">
        <v>-0.1427406199021207</v>
      </c>
      <c r="Q302" s="36" t="n">
        <v>0.1086497890295359</v>
      </c>
      <c r="R302" s="36" t="n">
        <v>-0.005958573725527327</v>
      </c>
      <c r="S302" s="36" t="n">
        <v>-0.1288611372050616</v>
      </c>
      <c r="T302" s="36" t="n">
        <v>-0.1188553223597798</v>
      </c>
      <c r="U302" s="31" t="n">
        <v>142000</v>
      </c>
      <c r="V302" s="31" t="n">
        <v>81800</v>
      </c>
      <c r="W302" s="36" t="n">
        <v>-0.2598591549295775</v>
      </c>
      <c r="X302" s="36" t="n">
        <v>0.2848410757946209</v>
      </c>
      <c r="Y302" s="31" t="n">
        <v>11179416</v>
      </c>
      <c r="Z302" s="31" t="n">
        <v>1174956621600</v>
      </c>
      <c r="AA302" s="31" t="n">
        <v>3838777500</v>
      </c>
      <c r="AB302" s="31" t="n">
        <v>4359427440</v>
      </c>
      <c r="AC302" s="36" t="n">
        <v>0.00326716529736437</v>
      </c>
      <c r="AD302" s="29" t="inlineStr">
        <is>
          <t>yfinance_download</t>
        </is>
      </c>
      <c r="AE302" s="29" t="inlineStr">
        <is>
          <t>064760.KQ</t>
        </is>
      </c>
    </row>
    <row r="303" ht="24" customHeight="1">
      <c r="A303" s="24" t="inlineStr">
        <is>
          <t>2024-08-29</t>
        </is>
      </c>
      <c r="B303" s="30" t="n">
        <v>102000</v>
      </c>
      <c r="C303" s="30" t="n">
        <v>103700</v>
      </c>
      <c r="D303" s="30" t="n">
        <v>97500</v>
      </c>
      <c r="E303" s="30" t="n">
        <v>98000</v>
      </c>
      <c r="F303" s="30" t="n">
        <v>95389.7890625</v>
      </c>
      <c r="G303" s="30" t="n">
        <v>61064</v>
      </c>
      <c r="H303" s="35" t="n">
        <v>-0.06755470980019029</v>
      </c>
      <c r="I303" s="35" t="n">
        <v>-0.5221843003412969</v>
      </c>
      <c r="J303" s="30" t="n">
        <v>104940</v>
      </c>
      <c r="K303" s="30" t="n">
        <v>120165</v>
      </c>
      <c r="L303" s="30" t="n">
        <v>119290</v>
      </c>
      <c r="M303" s="35" t="n">
        <v>0.6282446671818839</v>
      </c>
      <c r="N303" s="35" t="n">
        <v>0.5288290363182692</v>
      </c>
      <c r="O303" s="35" t="n">
        <v>-0.1388400702987698</v>
      </c>
      <c r="P303" s="35" t="n">
        <v>-0.2277383766745469</v>
      </c>
      <c r="Q303" s="35" t="n">
        <v>0.01659751037344392</v>
      </c>
      <c r="R303" s="35" t="n">
        <v>-0.06613302839717938</v>
      </c>
      <c r="S303" s="35" t="n">
        <v>-0.1844547081096826</v>
      </c>
      <c r="T303" s="35" t="n">
        <v>-0.1784726297258781</v>
      </c>
      <c r="U303" s="30" t="n">
        <v>142000</v>
      </c>
      <c r="V303" s="30" t="n">
        <v>81800</v>
      </c>
      <c r="W303" s="35" t="n">
        <v>-0.3098591549295775</v>
      </c>
      <c r="X303" s="35" t="n">
        <v>0.1980440097799512</v>
      </c>
      <c r="Y303" s="30" t="n">
        <v>11179416</v>
      </c>
      <c r="Z303" s="30" t="n">
        <v>1095582768000</v>
      </c>
      <c r="AA303" s="30" t="n">
        <v>5984272000</v>
      </c>
      <c r="AB303" s="30" t="n">
        <v>4442034120</v>
      </c>
      <c r="AC303" s="35" t="n">
        <v>0.005462181566550524</v>
      </c>
      <c r="AD303" s="24" t="inlineStr">
        <is>
          <t>yfinance_download</t>
        </is>
      </c>
      <c r="AE303" s="24" t="inlineStr">
        <is>
          <t>064760.KQ</t>
        </is>
      </c>
    </row>
    <row r="304" ht="24" customHeight="1">
      <c r="A304" s="29" t="inlineStr">
        <is>
          <t>2024-08-30</t>
        </is>
      </c>
      <c r="B304" s="31" t="n">
        <v>98800</v>
      </c>
      <c r="C304" s="31" t="n">
        <v>101100</v>
      </c>
      <c r="D304" s="31" t="n">
        <v>98100</v>
      </c>
      <c r="E304" s="31" t="n">
        <v>100500</v>
      </c>
      <c r="F304" s="31" t="n">
        <v>97823.1953125</v>
      </c>
      <c r="G304" s="31" t="n">
        <v>34780</v>
      </c>
      <c r="H304" s="36" t="n">
        <v>0.02551020408163263</v>
      </c>
      <c r="I304" s="36" t="n">
        <v>-0.5099951243295953</v>
      </c>
      <c r="J304" s="31" t="n">
        <v>104280</v>
      </c>
      <c r="K304" s="31" t="n">
        <v>119735</v>
      </c>
      <c r="L304" s="31" t="n">
        <v>119270</v>
      </c>
      <c r="M304" s="36" t="n">
        <v>0.6383806392281585</v>
      </c>
      <c r="N304" s="36" t="n">
        <v>0.5322105640784107</v>
      </c>
      <c r="O304" s="36" t="n">
        <v>-0.1160949868073878</v>
      </c>
      <c r="P304" s="36" t="n">
        <v>-0.2042755344418052</v>
      </c>
      <c r="Q304" s="36" t="n">
        <v>-0.02332361516034986</v>
      </c>
      <c r="R304" s="36" t="n">
        <v>-0.03624856156501721</v>
      </c>
      <c r="S304" s="36" t="n">
        <v>-0.1606464275274565</v>
      </c>
      <c r="T304" s="36" t="n">
        <v>-0.1573740253207009</v>
      </c>
      <c r="U304" s="31" t="n">
        <v>142000</v>
      </c>
      <c r="V304" s="31" t="n">
        <v>81800</v>
      </c>
      <c r="W304" s="36" t="n">
        <v>-0.2922535211267606</v>
      </c>
      <c r="X304" s="36" t="n">
        <v>0.2286063569682151</v>
      </c>
      <c r="Y304" s="31" t="n">
        <v>11179416</v>
      </c>
      <c r="Z304" s="31" t="n">
        <v>1123531308000</v>
      </c>
      <c r="AA304" s="31" t="n">
        <v>3495390000</v>
      </c>
      <c r="AB304" s="31" t="n">
        <v>4407641100</v>
      </c>
      <c r="AC304" s="36" t="n">
        <v>0.003111074853999529</v>
      </c>
      <c r="AD304" s="29" t="inlineStr">
        <is>
          <t>yfinance_download</t>
        </is>
      </c>
      <c r="AE304" s="29" t="inlineStr">
        <is>
          <t>064760.KQ</t>
        </is>
      </c>
    </row>
    <row r="305" ht="24" customHeight="1">
      <c r="A305" s="24" t="inlineStr">
        <is>
          <t>2024-09-02</t>
        </is>
      </c>
      <c r="B305" s="30" t="n">
        <v>100500</v>
      </c>
      <c r="C305" s="30" t="n">
        <v>100500</v>
      </c>
      <c r="D305" s="30" t="n">
        <v>97200</v>
      </c>
      <c r="E305" s="30" t="n">
        <v>98100</v>
      </c>
      <c r="F305" s="30" t="n">
        <v>95487.125</v>
      </c>
      <c r="G305" s="30" t="n">
        <v>17330</v>
      </c>
      <c r="H305" s="35" t="n">
        <v>-0.0238805970149254</v>
      </c>
      <c r="I305" s="35" t="n">
        <v>-0.5216967333008289</v>
      </c>
      <c r="J305" s="30" t="n">
        <v>104015</v>
      </c>
      <c r="K305" s="30" t="n">
        <v>119303.3333333333</v>
      </c>
      <c r="L305" s="30" t="n">
        <v>119248.3333333333</v>
      </c>
      <c r="M305" s="35" t="n">
        <v>0.5592793712082288</v>
      </c>
      <c r="N305" s="35" t="n">
        <v>0.5330176975163506</v>
      </c>
      <c r="O305" s="35" t="n">
        <v>-0.05125725338491294</v>
      </c>
      <c r="P305" s="35" t="n">
        <v>-0.2088709677419355</v>
      </c>
      <c r="Q305" s="35" t="n">
        <v>-0.02581926514399202</v>
      </c>
      <c r="R305" s="35" t="n">
        <v>-0.05686679805797246</v>
      </c>
      <c r="S305" s="35" t="n">
        <v>-0.1777262440278282</v>
      </c>
      <c r="T305" s="35" t="n">
        <v>-0.1773469929698528</v>
      </c>
      <c r="U305" s="30" t="n">
        <v>142000</v>
      </c>
      <c r="V305" s="30" t="n">
        <v>81800</v>
      </c>
      <c r="W305" s="35" t="n">
        <v>-0.3091549295774648</v>
      </c>
      <c r="X305" s="35" t="n">
        <v>0.1992665036674817</v>
      </c>
      <c r="Y305" s="30" t="n">
        <v>11179416</v>
      </c>
      <c r="Z305" s="30" t="n">
        <v>1096700709600</v>
      </c>
      <c r="AA305" s="30" t="n">
        <v>1700073000</v>
      </c>
      <c r="AB305" s="30" t="n">
        <v>4198699230</v>
      </c>
      <c r="AC305" s="35" t="n">
        <v>0.001550170420351117</v>
      </c>
      <c r="AD305" s="24" t="inlineStr">
        <is>
          <t>yfinance_download</t>
        </is>
      </c>
      <c r="AE305" s="24" t="inlineStr">
        <is>
          <t>064760.KQ</t>
        </is>
      </c>
    </row>
    <row r="306" ht="24" customHeight="1">
      <c r="A306" s="29" t="inlineStr">
        <is>
          <t>2024-09-03</t>
        </is>
      </c>
      <c r="B306" s="31" t="n">
        <v>98700</v>
      </c>
      <c r="C306" s="31" t="n">
        <v>99100</v>
      </c>
      <c r="D306" s="31" t="n">
        <v>95400</v>
      </c>
      <c r="E306" s="31" t="n">
        <v>96300</v>
      </c>
      <c r="F306" s="31" t="n">
        <v>93735.0625</v>
      </c>
      <c r="G306" s="31" t="n">
        <v>50483</v>
      </c>
      <c r="H306" s="36" t="n">
        <v>-0.01834862385321101</v>
      </c>
      <c r="I306" s="36" t="n">
        <v>-0.530472940029254</v>
      </c>
      <c r="J306" s="31" t="n">
        <v>104080</v>
      </c>
      <c r="K306" s="31" t="n">
        <v>118805</v>
      </c>
      <c r="L306" s="31" t="n">
        <v>119248.3333333333</v>
      </c>
      <c r="M306" s="36" t="n">
        <v>0.4800942504475492</v>
      </c>
      <c r="N306" s="36" t="n">
        <v>0.5320511553171631</v>
      </c>
      <c r="O306" s="36" t="n">
        <v>0.01368421052631574</v>
      </c>
      <c r="P306" s="36" t="n">
        <v>-0.2369255150554676</v>
      </c>
      <c r="Q306" s="36" t="n">
        <v>0</v>
      </c>
      <c r="R306" s="36" t="n">
        <v>-0.07475019215987699</v>
      </c>
      <c r="S306" s="36" t="n">
        <v>-0.1894280543748159</v>
      </c>
      <c r="T306" s="36" t="n">
        <v>-0.1924415435575619</v>
      </c>
      <c r="U306" s="31" t="n">
        <v>142000</v>
      </c>
      <c r="V306" s="31" t="n">
        <v>81800</v>
      </c>
      <c r="W306" s="36" t="n">
        <v>-0.321830985915493</v>
      </c>
      <c r="X306" s="36" t="n">
        <v>0.1772616136919316</v>
      </c>
      <c r="Y306" s="31" t="n">
        <v>11179416</v>
      </c>
      <c r="Z306" s="31" t="n">
        <v>1076577760800</v>
      </c>
      <c r="AA306" s="31" t="n">
        <v>4861512900</v>
      </c>
      <c r="AB306" s="31" t="n">
        <v>4066871625</v>
      </c>
      <c r="AC306" s="36" t="n">
        <v>0.004515709944061479</v>
      </c>
      <c r="AD306" s="29" t="inlineStr">
        <is>
          <t>yfinance_download</t>
        </is>
      </c>
      <c r="AE306" s="29" t="inlineStr">
        <is>
          <t>064760.KQ</t>
        </is>
      </c>
    </row>
    <row r="307" ht="24" customHeight="1">
      <c r="A307" s="24" t="inlineStr">
        <is>
          <t>2024-09-04</t>
        </is>
      </c>
      <c r="B307" s="30" t="n">
        <v>93500</v>
      </c>
      <c r="C307" s="30" t="n">
        <v>94500</v>
      </c>
      <c r="D307" s="30" t="n">
        <v>91400</v>
      </c>
      <c r="E307" s="30" t="n">
        <v>94300</v>
      </c>
      <c r="F307" s="30" t="n">
        <v>91788.3359375</v>
      </c>
      <c r="G307" s="30" t="n">
        <v>29979</v>
      </c>
      <c r="H307" s="35" t="n">
        <v>-0.02076843198338529</v>
      </c>
      <c r="I307" s="35" t="n">
        <v>-0.5402242808386153</v>
      </c>
      <c r="J307" s="30" t="n">
        <v>103850</v>
      </c>
      <c r="K307" s="30" t="n">
        <v>118298.3333333333</v>
      </c>
      <c r="L307" s="30" t="n">
        <v>119205.8333333333</v>
      </c>
      <c r="M307" s="35" t="n">
        <v>0.4616840010031128</v>
      </c>
      <c r="N307" s="35" t="n">
        <v>0.5329282192041368</v>
      </c>
      <c r="O307" s="35" t="n">
        <v>-0.04651162790697672</v>
      </c>
      <c r="P307" s="35" t="n">
        <v>-0.243785084202085</v>
      </c>
      <c r="Q307" s="35" t="n">
        <v>-0.05130784708249492</v>
      </c>
      <c r="R307" s="35" t="n">
        <v>-0.0919595570534425</v>
      </c>
      <c r="S307" s="35" t="n">
        <v>-0.2028628185801434</v>
      </c>
      <c r="T307" s="35" t="n">
        <v>-0.2089313302620817</v>
      </c>
      <c r="U307" s="30" t="n">
        <v>142000</v>
      </c>
      <c r="V307" s="30" t="n">
        <v>81800</v>
      </c>
      <c r="W307" s="35" t="n">
        <v>-0.3359154929577465</v>
      </c>
      <c r="X307" s="35" t="n">
        <v>0.1528117359413204</v>
      </c>
      <c r="Y307" s="30" t="n">
        <v>11179416</v>
      </c>
      <c r="Z307" s="30" t="n">
        <v>1054218928800</v>
      </c>
      <c r="AA307" s="30" t="n">
        <v>2827019700</v>
      </c>
      <c r="AB307" s="30" t="n">
        <v>3964854435</v>
      </c>
      <c r="AC307" s="35" t="n">
        <v>0.002681624871996891</v>
      </c>
      <c r="AD307" s="24" t="inlineStr">
        <is>
          <t>yfinance_download</t>
        </is>
      </c>
      <c r="AE307" s="24" t="inlineStr">
        <is>
          <t>064760.KQ</t>
        </is>
      </c>
    </row>
    <row r="308" ht="24" customHeight="1">
      <c r="A308" s="29" t="inlineStr">
        <is>
          <t>2024-09-05</t>
        </is>
      </c>
      <c r="B308" s="31" t="n">
        <v>95000</v>
      </c>
      <c r="C308" s="31" t="n">
        <v>95000</v>
      </c>
      <c r="D308" s="31" t="n">
        <v>90100</v>
      </c>
      <c r="E308" s="31" t="n">
        <v>91200</v>
      </c>
      <c r="F308" s="31" t="n">
        <v>88770.8984375</v>
      </c>
      <c r="G308" s="31" t="n">
        <v>37323</v>
      </c>
      <c r="H308" s="36" t="n">
        <v>-0.0328738069989396</v>
      </c>
      <c r="I308" s="36" t="n">
        <v>-0.5553388590931253</v>
      </c>
      <c r="J308" s="31" t="n">
        <v>103515</v>
      </c>
      <c r="K308" s="31" t="n">
        <v>117598.3333333333</v>
      </c>
      <c r="L308" s="31" t="n">
        <v>119130</v>
      </c>
      <c r="M308" s="36" t="n">
        <v>0.4739119329036602</v>
      </c>
      <c r="N308" s="36" t="n">
        <v>0.5143202871638811</v>
      </c>
      <c r="O308" s="36" t="n">
        <v>-0.06843718079673133</v>
      </c>
      <c r="P308" s="36" t="n">
        <v>-0.3153153153153153</v>
      </c>
      <c r="Q308" s="36" t="n">
        <v>-0.09072781655034901</v>
      </c>
      <c r="R308" s="36" t="n">
        <v>-0.1189682654687726</v>
      </c>
      <c r="S308" s="36" t="n">
        <v>-0.2244788049717258</v>
      </c>
      <c r="T308" s="36" t="n">
        <v>-0.2344497607655502</v>
      </c>
      <c r="U308" s="31" t="n">
        <v>142000</v>
      </c>
      <c r="V308" s="31" t="n">
        <v>81800</v>
      </c>
      <c r="W308" s="36" t="n">
        <v>-0.3577464788732394</v>
      </c>
      <c r="X308" s="36" t="n">
        <v>0.1149144254278729</v>
      </c>
      <c r="Y308" s="31" t="n">
        <v>11179416</v>
      </c>
      <c r="Z308" s="31" t="n">
        <v>1019562739200</v>
      </c>
      <c r="AA308" s="31" t="n">
        <v>3403857600</v>
      </c>
      <c r="AB308" s="31" t="n">
        <v>3902094265</v>
      </c>
      <c r="AC308" s="36" t="n">
        <v>0.003338546485791387</v>
      </c>
      <c r="AD308" s="29" t="inlineStr">
        <is>
          <t>yfinance_download</t>
        </is>
      </c>
      <c r="AE308" s="29" t="inlineStr">
        <is>
          <t>064760.KQ</t>
        </is>
      </c>
    </row>
    <row r="309" ht="24" customHeight="1">
      <c r="A309" s="24" t="inlineStr">
        <is>
          <t>2024-09-06</t>
        </is>
      </c>
      <c r="B309" s="30" t="n">
        <v>92200</v>
      </c>
      <c r="C309" s="30" t="n">
        <v>92200</v>
      </c>
      <c r="D309" s="30" t="n">
        <v>89400</v>
      </c>
      <c r="E309" s="30" t="n">
        <v>90300</v>
      </c>
      <c r="F309" s="30" t="n">
        <v>87894.875</v>
      </c>
      <c r="G309" s="30" t="n">
        <v>48748</v>
      </c>
      <c r="H309" s="35" t="n">
        <v>-0.009868421052631526</v>
      </c>
      <c r="I309" s="35" t="n">
        <v>-0.5597269624573379</v>
      </c>
      <c r="J309" s="30" t="n">
        <v>102985</v>
      </c>
      <c r="K309" s="30" t="n">
        <v>116953.3333333333</v>
      </c>
      <c r="L309" s="30" t="n">
        <v>119050</v>
      </c>
      <c r="M309" s="35" t="n">
        <v>0.4571590800808691</v>
      </c>
      <c r="N309" s="35" t="n">
        <v>0.511595593099775</v>
      </c>
      <c r="O309" s="35" t="n">
        <v>-0.1050545094152626</v>
      </c>
      <c r="P309" s="35" t="n">
        <v>-0.3</v>
      </c>
      <c r="Q309" s="35" t="n">
        <v>-0.09609609609609615</v>
      </c>
      <c r="R309" s="35" t="n">
        <v>-0.1231732776617954</v>
      </c>
      <c r="S309" s="35" t="n">
        <v>-0.2278971669611811</v>
      </c>
      <c r="T309" s="35" t="n">
        <v>-0.241495170096598</v>
      </c>
      <c r="U309" s="30" t="n">
        <v>142000</v>
      </c>
      <c r="V309" s="30" t="n">
        <v>81800</v>
      </c>
      <c r="W309" s="35" t="n">
        <v>-0.3640845070422535</v>
      </c>
      <c r="X309" s="35" t="n">
        <v>0.1039119804400979</v>
      </c>
      <c r="Y309" s="30" t="n">
        <v>11179416</v>
      </c>
      <c r="Z309" s="30" t="n">
        <v>1009501264800</v>
      </c>
      <c r="AA309" s="30" t="n">
        <v>4401944400</v>
      </c>
      <c r="AB309" s="30" t="n">
        <v>3883416680</v>
      </c>
      <c r="AC309" s="35" t="n">
        <v>0.004360514001804746</v>
      </c>
      <c r="AD309" s="24" t="inlineStr">
        <is>
          <t>yfinance_download</t>
        </is>
      </c>
      <c r="AE309" s="24" t="inlineStr">
        <is>
          <t>064760.KQ</t>
        </is>
      </c>
    </row>
    <row r="310" ht="24" customHeight="1">
      <c r="A310" s="29" t="inlineStr">
        <is>
          <t>2024-09-09</t>
        </is>
      </c>
      <c r="B310" s="31" t="n">
        <v>89400</v>
      </c>
      <c r="C310" s="31" t="n">
        <v>90800</v>
      </c>
      <c r="D310" s="31" t="n">
        <v>87600</v>
      </c>
      <c r="E310" s="31" t="n">
        <v>90700</v>
      </c>
      <c r="F310" s="31" t="n">
        <v>88284.2265625</v>
      </c>
      <c r="G310" s="31" t="n">
        <v>55309</v>
      </c>
      <c r="H310" s="36" t="n">
        <v>0.004429678848283602</v>
      </c>
      <c r="I310" s="36" t="n">
        <v>-0.5577766942954656</v>
      </c>
      <c r="J310" s="31" t="n">
        <v>102200</v>
      </c>
      <c r="K310" s="31" t="n">
        <v>116108.3333333333</v>
      </c>
      <c r="L310" s="31" t="n">
        <v>118978.3333333333</v>
      </c>
      <c r="M310" s="36" t="n">
        <v>0.4016898680711484</v>
      </c>
      <c r="N310" s="36" t="n">
        <v>0.4663791244776811</v>
      </c>
      <c r="O310" s="36" t="n">
        <v>-0.1475563909774437</v>
      </c>
      <c r="P310" s="36" t="n">
        <v>-0.3585572842998586</v>
      </c>
      <c r="Q310" s="36" t="n">
        <v>-0.08660624370594161</v>
      </c>
      <c r="R310" s="36" t="n">
        <v>-0.1125244618395304</v>
      </c>
      <c r="S310" s="36" t="n">
        <v>-0.2188329864350822</v>
      </c>
      <c r="T310" s="36" t="n">
        <v>-0.2376763276226763</v>
      </c>
      <c r="U310" s="31" t="n">
        <v>142000</v>
      </c>
      <c r="V310" s="31" t="n">
        <v>81800</v>
      </c>
      <c r="W310" s="36" t="n">
        <v>-0.3612676056338028</v>
      </c>
      <c r="X310" s="36" t="n">
        <v>0.10880195599022</v>
      </c>
      <c r="Y310" s="31" t="n">
        <v>11179416</v>
      </c>
      <c r="Z310" s="31" t="n">
        <v>1013973031200</v>
      </c>
      <c r="AA310" s="31" t="n">
        <v>5016526300</v>
      </c>
      <c r="AB310" s="31" t="n">
        <v>3617144315</v>
      </c>
      <c r="AC310" s="36" t="n">
        <v>0.004947396178834386</v>
      </c>
      <c r="AD310" s="29" t="inlineStr">
        <is>
          <t>yfinance_download</t>
        </is>
      </c>
      <c r="AE310" s="29" t="inlineStr">
        <is>
          <t>064760.KQ</t>
        </is>
      </c>
    </row>
    <row r="311" ht="24" customHeight="1">
      <c r="A311" s="24" t="inlineStr">
        <is>
          <t>2024-09-10</t>
        </is>
      </c>
      <c r="B311" s="30" t="n">
        <v>89800</v>
      </c>
      <c r="C311" s="30" t="n">
        <v>91600</v>
      </c>
      <c r="D311" s="30" t="n">
        <v>87100</v>
      </c>
      <c r="E311" s="30" t="n">
        <v>88500</v>
      </c>
      <c r="F311" s="30" t="n">
        <v>86142.8125</v>
      </c>
      <c r="G311" s="30" t="n">
        <v>33237</v>
      </c>
      <c r="H311" s="35" t="n">
        <v>-0.02425578831312014</v>
      </c>
      <c r="I311" s="35" t="n">
        <v>-0.568503169185763</v>
      </c>
      <c r="J311" s="30" t="n">
        <v>101360</v>
      </c>
      <c r="K311" s="30" t="n">
        <v>115260</v>
      </c>
      <c r="L311" s="30" t="n">
        <v>118860</v>
      </c>
      <c r="M311" s="35" t="n">
        <v>0.4059433241436307</v>
      </c>
      <c r="N311" s="35" t="n">
        <v>0.4675050609933504</v>
      </c>
      <c r="O311" s="35" t="n">
        <v>-0.1595441595441596</v>
      </c>
      <c r="P311" s="35" t="n">
        <v>-0.3651362984218077</v>
      </c>
      <c r="Q311" s="35" t="n">
        <v>-0.1382667964946446</v>
      </c>
      <c r="R311" s="35" t="n">
        <v>-0.1268745067087609</v>
      </c>
      <c r="S311" s="35" t="n">
        <v>-0.2321707444039562</v>
      </c>
      <c r="T311" s="35" t="n">
        <v>-0.2554265522463403</v>
      </c>
      <c r="U311" s="30" t="n">
        <v>142000</v>
      </c>
      <c r="V311" s="30" t="n">
        <v>81800</v>
      </c>
      <c r="W311" s="35" t="n">
        <v>-0.3767605633802817</v>
      </c>
      <c r="X311" s="35" t="n">
        <v>0.08190709046454758</v>
      </c>
      <c r="Y311" s="30" t="n">
        <v>11179416</v>
      </c>
      <c r="Z311" s="30" t="n">
        <v>989378316000</v>
      </c>
      <c r="AA311" s="30" t="n">
        <v>2941474500</v>
      </c>
      <c r="AB311" s="30" t="n">
        <v>3538154735</v>
      </c>
      <c r="AC311" s="35" t="n">
        <v>0.002973053333018469</v>
      </c>
      <c r="AD311" s="24" t="inlineStr">
        <is>
          <t>yfinance_download</t>
        </is>
      </c>
      <c r="AE311" s="24" t="inlineStr">
        <is>
          <t>064760.KQ</t>
        </is>
      </c>
    </row>
    <row r="312" ht="24" customHeight="1">
      <c r="A312" s="29" t="inlineStr">
        <is>
          <t>2024-09-11</t>
        </is>
      </c>
      <c r="B312" s="31" t="n">
        <v>88500</v>
      </c>
      <c r="C312" s="31" t="n">
        <v>90900</v>
      </c>
      <c r="D312" s="31" t="n">
        <v>86800</v>
      </c>
      <c r="E312" s="31" t="n">
        <v>89800</v>
      </c>
      <c r="F312" s="31" t="n">
        <v>87408.1875</v>
      </c>
      <c r="G312" s="31" t="n">
        <v>20363</v>
      </c>
      <c r="H312" s="36" t="n">
        <v>0.01468926553672323</v>
      </c>
      <c r="I312" s="36" t="n">
        <v>-0.5621647976596782</v>
      </c>
      <c r="J312" s="31" t="n">
        <v>100615</v>
      </c>
      <c r="K312" s="31" t="n">
        <v>114390</v>
      </c>
      <c r="L312" s="31" t="n">
        <v>118766.6666666667</v>
      </c>
      <c r="M312" s="36" t="n">
        <v>0.414072225544912</v>
      </c>
      <c r="N312" s="36" t="n">
        <v>0.4666422321501743</v>
      </c>
      <c r="O312" s="36" t="n">
        <v>-0.1423113658070678</v>
      </c>
      <c r="P312" s="36" t="n">
        <v>-0.3676056338028169</v>
      </c>
      <c r="Q312" s="36" t="n">
        <v>-0.1108910891089109</v>
      </c>
      <c r="R312" s="36" t="n">
        <v>-0.1074889430005467</v>
      </c>
      <c r="S312" s="36" t="n">
        <v>-0.2149663432118192</v>
      </c>
      <c r="T312" s="36" t="n">
        <v>-0.2438955936008982</v>
      </c>
      <c r="U312" s="31" t="n">
        <v>142000</v>
      </c>
      <c r="V312" s="31" t="n">
        <v>81800</v>
      </c>
      <c r="W312" s="36" t="n">
        <v>-0.3676056338028169</v>
      </c>
      <c r="X312" s="36" t="n">
        <v>0.09779951100244499</v>
      </c>
      <c r="Y312" s="31" t="n">
        <v>11179416</v>
      </c>
      <c r="Z312" s="31" t="n">
        <v>1003911556800</v>
      </c>
      <c r="AA312" s="31" t="n">
        <v>1828597400</v>
      </c>
      <c r="AB312" s="31" t="n">
        <v>3461630100</v>
      </c>
      <c r="AC312" s="36" t="n">
        <v>0.001821472606440265</v>
      </c>
      <c r="AD312" s="29" t="inlineStr">
        <is>
          <t>yfinance_download</t>
        </is>
      </c>
      <c r="AE312" s="29" t="inlineStr">
        <is>
          <t>064760.KQ</t>
        </is>
      </c>
    </row>
    <row r="313" ht="24" customHeight="1">
      <c r="A313" s="24" t="inlineStr">
        <is>
          <t>2024-09-12</t>
        </is>
      </c>
      <c r="B313" s="30" t="n">
        <v>91500</v>
      </c>
      <c r="C313" s="30" t="n">
        <v>93500</v>
      </c>
      <c r="D313" s="30" t="n">
        <v>91100</v>
      </c>
      <c r="E313" s="30" t="n">
        <v>91100</v>
      </c>
      <c r="F313" s="30" t="n">
        <v>88673.5625</v>
      </c>
      <c r="G313" s="30" t="n">
        <v>30492</v>
      </c>
      <c r="H313" s="35" t="n">
        <v>0.01447661469933181</v>
      </c>
      <c r="I313" s="35" t="n">
        <v>-0.5558264261335933</v>
      </c>
      <c r="J313" s="30" t="n">
        <v>99670</v>
      </c>
      <c r="K313" s="30" t="n">
        <v>113606.6666666667</v>
      </c>
      <c r="L313" s="30" t="n">
        <v>118672.5</v>
      </c>
      <c r="M313" s="35" t="n">
        <v>0.3638184655293213</v>
      </c>
      <c r="N313" s="35" t="n">
        <v>0.4667701742255765</v>
      </c>
      <c r="O313" s="35" t="n">
        <v>-0.1718181818181819</v>
      </c>
      <c r="P313" s="35" t="n">
        <v>-0.3403330919623462</v>
      </c>
      <c r="Q313" s="35" t="n">
        <v>-0.1103515625</v>
      </c>
      <c r="R313" s="35" t="n">
        <v>-0.08598374636299788</v>
      </c>
      <c r="S313" s="35" t="n">
        <v>-0.1981104395281967</v>
      </c>
      <c r="T313" s="35" t="n">
        <v>-0.2323411068276138</v>
      </c>
      <c r="U313" s="30" t="n">
        <v>142000</v>
      </c>
      <c r="V313" s="30" t="n">
        <v>81800</v>
      </c>
      <c r="W313" s="35" t="n">
        <v>-0.3584507042253521</v>
      </c>
      <c r="X313" s="35" t="n">
        <v>0.1136919315403424</v>
      </c>
      <c r="Y313" s="30" t="n">
        <v>11179416</v>
      </c>
      <c r="Z313" s="30" t="n">
        <v>1018444797600</v>
      </c>
      <c r="AA313" s="30" t="n">
        <v>2777821200</v>
      </c>
      <c r="AB313" s="30" t="n">
        <v>3233033160</v>
      </c>
      <c r="AC313" s="35" t="n">
        <v>0.002727512778842831</v>
      </c>
      <c r="AD313" s="24" t="inlineStr">
        <is>
          <t>yfinance_download</t>
        </is>
      </c>
      <c r="AE313" s="24" t="inlineStr">
        <is>
          <t>064760.KQ</t>
        </is>
      </c>
    </row>
    <row r="314" ht="24" customHeight="1">
      <c r="A314" s="29" t="inlineStr">
        <is>
          <t>2024-09-13</t>
        </is>
      </c>
      <c r="B314" s="31" t="n">
        <v>90700</v>
      </c>
      <c r="C314" s="31" t="n">
        <v>90700</v>
      </c>
      <c r="D314" s="31" t="n">
        <v>87400</v>
      </c>
      <c r="E314" s="31" t="n">
        <v>88200</v>
      </c>
      <c r="F314" s="31" t="n">
        <v>85850.8046875</v>
      </c>
      <c r="G314" s="31" t="n">
        <v>21598</v>
      </c>
      <c r="H314" s="36" t="n">
        <v>-0.03183315038419321</v>
      </c>
      <c r="I314" s="36" t="n">
        <v>-0.5699658703071673</v>
      </c>
      <c r="J314" s="31" t="n">
        <v>98530</v>
      </c>
      <c r="K314" s="31" t="n">
        <v>112905</v>
      </c>
      <c r="L314" s="31" t="n">
        <v>118524.1666666667</v>
      </c>
      <c r="M314" s="36" t="n">
        <v>0.3656344165247725</v>
      </c>
      <c r="N314" s="36" t="n">
        <v>0.4581460870296973</v>
      </c>
      <c r="O314" s="36" t="n">
        <v>-0.2054054054054054</v>
      </c>
      <c r="P314" s="36" t="n">
        <v>-0.3231005372217959</v>
      </c>
      <c r="Q314" s="36" t="n">
        <v>-0.1679245283018868</v>
      </c>
      <c r="R314" s="36" t="n">
        <v>-0.1048411651273724</v>
      </c>
      <c r="S314" s="36" t="n">
        <v>-0.2188122758070945</v>
      </c>
      <c r="T314" s="36" t="n">
        <v>-0.2558479634954897</v>
      </c>
      <c r="U314" s="31" t="n">
        <v>142000</v>
      </c>
      <c r="V314" s="31" t="n">
        <v>81800</v>
      </c>
      <c r="W314" s="36" t="n">
        <v>-0.3788732394366198</v>
      </c>
      <c r="X314" s="36" t="n">
        <v>0.07823960880195591</v>
      </c>
      <c r="Y314" s="31" t="n">
        <v>11179416</v>
      </c>
      <c r="Z314" s="31" t="n">
        <v>986024491200</v>
      </c>
      <c r="AA314" s="31" t="n">
        <v>1904943600</v>
      </c>
      <c r="AB314" s="31" t="n">
        <v>3200380590</v>
      </c>
      <c r="AC314" s="36" t="n">
        <v>0.001931943493291599</v>
      </c>
      <c r="AD314" s="29" t="inlineStr">
        <is>
          <t>yfinance_download</t>
        </is>
      </c>
      <c r="AE314" s="29" t="inlineStr">
        <is>
          <t>064760.KQ</t>
        </is>
      </c>
    </row>
    <row r="315" ht="24" customHeight="1">
      <c r="A315" s="24" t="inlineStr">
        <is>
          <t>2024-09-19</t>
        </is>
      </c>
      <c r="B315" s="30" t="n">
        <v>88400</v>
      </c>
      <c r="C315" s="30" t="n">
        <v>88500</v>
      </c>
      <c r="D315" s="30" t="n">
        <v>85200</v>
      </c>
      <c r="E315" s="30" t="n">
        <v>85800</v>
      </c>
      <c r="F315" s="30" t="n">
        <v>83514.734375</v>
      </c>
      <c r="G315" s="30" t="n">
        <v>40555</v>
      </c>
      <c r="H315" s="35" t="n">
        <v>-0.02721088435374153</v>
      </c>
      <c r="I315" s="35" t="n">
        <v>-0.5816674792784008</v>
      </c>
      <c r="J315" s="30" t="n">
        <v>97435</v>
      </c>
      <c r="K315" s="30" t="n">
        <v>112086.6666666667</v>
      </c>
      <c r="L315" s="30" t="n">
        <v>118316.6666666667</v>
      </c>
      <c r="M315" s="35" t="n">
        <v>0.3640448504694429</v>
      </c>
      <c r="N315" s="35" t="n">
        <v>0.4519059513427032</v>
      </c>
      <c r="O315" s="35" t="n">
        <v>-0.2033426183844012</v>
      </c>
      <c r="P315" s="35" t="n">
        <v>-0.3639733135656041</v>
      </c>
      <c r="Q315" s="35" t="n">
        <v>-0.2249322493224932</v>
      </c>
      <c r="R315" s="35" t="n">
        <v>-0.1194129419613076</v>
      </c>
      <c r="S315" s="35" t="n">
        <v>-0.2345209064414442</v>
      </c>
      <c r="T315" s="35" t="n">
        <v>-0.2748274404845753</v>
      </c>
      <c r="U315" s="30" t="n">
        <v>142000</v>
      </c>
      <c r="V315" s="30" t="n">
        <v>81800</v>
      </c>
      <c r="W315" s="35" t="n">
        <v>-0.395774647887324</v>
      </c>
      <c r="X315" s="35" t="n">
        <v>0.0488997555012225</v>
      </c>
      <c r="Y315" s="30" t="n">
        <v>11179416</v>
      </c>
      <c r="Z315" s="30" t="n">
        <v>959193892800</v>
      </c>
      <c r="AA315" s="30" t="n">
        <v>3479619000</v>
      </c>
      <c r="AB315" s="30" t="n">
        <v>3262175835</v>
      </c>
      <c r="AC315" s="35" t="n">
        <v>0.003627649243931884</v>
      </c>
      <c r="AD315" s="24" t="inlineStr">
        <is>
          <t>yfinance_download</t>
        </is>
      </c>
      <c r="AE315" s="24" t="inlineStr">
        <is>
          <t>064760.KQ</t>
        </is>
      </c>
    </row>
    <row r="316" ht="24" customHeight="1">
      <c r="A316" s="29" t="inlineStr">
        <is>
          <t>2024-09-20</t>
        </is>
      </c>
      <c r="B316" s="31" t="n">
        <v>87200</v>
      </c>
      <c r="C316" s="31" t="n">
        <v>87400</v>
      </c>
      <c r="D316" s="31" t="n">
        <v>84000</v>
      </c>
      <c r="E316" s="31" t="n">
        <v>85300</v>
      </c>
      <c r="F316" s="31" t="n">
        <v>83028.046875</v>
      </c>
      <c r="G316" s="31" t="n">
        <v>46233</v>
      </c>
      <c r="H316" s="36" t="n">
        <v>-0.005827505827505797</v>
      </c>
      <c r="I316" s="36" t="n">
        <v>-0.5841053144807411</v>
      </c>
      <c r="J316" s="31" t="n">
        <v>96325</v>
      </c>
      <c r="K316" s="31" t="n">
        <v>111310</v>
      </c>
      <c r="L316" s="31" t="n">
        <v>118125</v>
      </c>
      <c r="M316" s="36" t="n">
        <v>0.3629865932655925</v>
      </c>
      <c r="N316" s="36" t="n">
        <v>0.45080940977983</v>
      </c>
      <c r="O316" s="36" t="n">
        <v>-0.2065116279069767</v>
      </c>
      <c r="P316" s="36" t="n">
        <v>-0.3532979529946929</v>
      </c>
      <c r="Q316" s="36" t="n">
        <v>-0.2123730378578024</v>
      </c>
      <c r="R316" s="36" t="n">
        <v>-0.114456267843239</v>
      </c>
      <c r="S316" s="36" t="n">
        <v>-0.2336717276075825</v>
      </c>
      <c r="T316" s="36" t="n">
        <v>-0.2778835978835978</v>
      </c>
      <c r="U316" s="31" t="n">
        <v>142000</v>
      </c>
      <c r="V316" s="31" t="n">
        <v>81800</v>
      </c>
      <c r="W316" s="36" t="n">
        <v>-0.3992957746478873</v>
      </c>
      <c r="X316" s="36" t="n">
        <v>0.04278728606356963</v>
      </c>
      <c r="Y316" s="31" t="n">
        <v>11179416</v>
      </c>
      <c r="Z316" s="31" t="n">
        <v>953604184800</v>
      </c>
      <c r="AA316" s="31" t="n">
        <v>3943674900</v>
      </c>
      <c r="AB316" s="31" t="n">
        <v>3289455830</v>
      </c>
      <c r="AC316" s="36" t="n">
        <v>0.00413554697311559</v>
      </c>
      <c r="AD316" s="29" t="inlineStr">
        <is>
          <t>yfinance_download</t>
        </is>
      </c>
      <c r="AE316" s="29" t="inlineStr">
        <is>
          <t>064760.KQ</t>
        </is>
      </c>
    </row>
    <row r="317" ht="24" customHeight="1">
      <c r="A317" s="24" t="inlineStr">
        <is>
          <t>2024-09-23</t>
        </is>
      </c>
      <c r="B317" s="30" t="n">
        <v>85100</v>
      </c>
      <c r="C317" s="30" t="n">
        <v>87900</v>
      </c>
      <c r="D317" s="30" t="n">
        <v>84400</v>
      </c>
      <c r="E317" s="30" t="n">
        <v>86900</v>
      </c>
      <c r="F317" s="30" t="n">
        <v>84585.4296875</v>
      </c>
      <c r="G317" s="30" t="n">
        <v>28495</v>
      </c>
      <c r="H317" s="35" t="n">
        <v>0.01875732708089095</v>
      </c>
      <c r="I317" s="35" t="n">
        <v>-0.576304241833252</v>
      </c>
      <c r="J317" s="30" t="n">
        <v>95185</v>
      </c>
      <c r="K317" s="30" t="n">
        <v>110616.6666666667</v>
      </c>
      <c r="L317" s="30" t="n">
        <v>117971.6666666667</v>
      </c>
      <c r="M317" s="35" t="n">
        <v>0.3610532277526846</v>
      </c>
      <c r="N317" s="35" t="n">
        <v>0.452054304783028</v>
      </c>
      <c r="O317" s="35" t="n">
        <v>-0.2078395624430265</v>
      </c>
      <c r="P317" s="35" t="n">
        <v>-0.3237354085603112</v>
      </c>
      <c r="Q317" s="35" t="n">
        <v>-0.1747388414055081</v>
      </c>
      <c r="R317" s="35" t="n">
        <v>-0.08704102537164471</v>
      </c>
      <c r="S317" s="35" t="n">
        <v>-0.2144040982371553</v>
      </c>
      <c r="T317" s="35" t="n">
        <v>-0.2633824505884181</v>
      </c>
      <c r="U317" s="30" t="n">
        <v>142000</v>
      </c>
      <c r="V317" s="30" t="n">
        <v>81800</v>
      </c>
      <c r="W317" s="35" t="n">
        <v>-0.3880281690140845</v>
      </c>
      <c r="X317" s="35" t="n">
        <v>0.06234718826405872</v>
      </c>
      <c r="Y317" s="30" t="n">
        <v>11179416</v>
      </c>
      <c r="Z317" s="30" t="n">
        <v>971491250400</v>
      </c>
      <c r="AA317" s="30" t="n">
        <v>2476215500</v>
      </c>
      <c r="AB317" s="30" t="n">
        <v>3304861065</v>
      </c>
      <c r="AC317" s="35" t="n">
        <v>0.002548880907553668</v>
      </c>
      <c r="AD317" s="24" t="inlineStr">
        <is>
          <t>yfinance_download</t>
        </is>
      </c>
      <c r="AE317" s="24" t="inlineStr">
        <is>
          <t>064760.KQ</t>
        </is>
      </c>
    </row>
    <row r="318" ht="24" customHeight="1">
      <c r="A318" s="29" t="inlineStr">
        <is>
          <t>2024-09-24</t>
        </is>
      </c>
      <c r="B318" s="31" t="n">
        <v>87400</v>
      </c>
      <c r="C318" s="31" t="n">
        <v>91400</v>
      </c>
      <c r="D318" s="31" t="n">
        <v>86700</v>
      </c>
      <c r="E318" s="31" t="n">
        <v>91000</v>
      </c>
      <c r="F318" s="31" t="n">
        <v>88576.234375</v>
      </c>
      <c r="G318" s="31" t="n">
        <v>69790</v>
      </c>
      <c r="H318" s="36" t="n">
        <v>0.04718066743383198</v>
      </c>
      <c r="I318" s="36" t="n">
        <v>-0.5563139931740615</v>
      </c>
      <c r="J318" s="31" t="n">
        <v>94380</v>
      </c>
      <c r="K318" s="31" t="n">
        <v>109948.3333333333</v>
      </c>
      <c r="L318" s="31" t="n">
        <v>117810.8333333333</v>
      </c>
      <c r="M318" s="36" t="n">
        <v>0.4128048455848395</v>
      </c>
      <c r="N318" s="36" t="n">
        <v>0.4620207329460106</v>
      </c>
      <c r="O318" s="36" t="n">
        <v>-0.1503267973856209</v>
      </c>
      <c r="P318" s="36" t="n">
        <v>-0.3058733790999237</v>
      </c>
      <c r="Q318" s="36" t="n">
        <v>-0.1749773345421578</v>
      </c>
      <c r="R318" s="36" t="n">
        <v>-0.03581267217630857</v>
      </c>
      <c r="S318" s="36" t="n">
        <v>-0.1723385226394215</v>
      </c>
      <c r="T318" s="36" t="n">
        <v>-0.2275752795795519</v>
      </c>
      <c r="U318" s="31" t="n">
        <v>142000</v>
      </c>
      <c r="V318" s="31" t="n">
        <v>81800</v>
      </c>
      <c r="W318" s="36" t="n">
        <v>-0.3591549295774648</v>
      </c>
      <c r="X318" s="36" t="n">
        <v>0.1124694376528117</v>
      </c>
      <c r="Y318" s="31" t="n">
        <v>11179416</v>
      </c>
      <c r="Z318" s="31" t="n">
        <v>1017326856000</v>
      </c>
      <c r="AA318" s="31" t="n">
        <v>6350890000</v>
      </c>
      <c r="AB318" s="31" t="n">
        <v>3480476645</v>
      </c>
      <c r="AC318" s="36" t="n">
        <v>0.006242723233485542</v>
      </c>
      <c r="AD318" s="29" t="inlineStr">
        <is>
          <t>yfinance_download</t>
        </is>
      </c>
      <c r="AE318" s="29" t="inlineStr">
        <is>
          <t>064760.KQ</t>
        </is>
      </c>
    </row>
    <row r="319" ht="24" customHeight="1">
      <c r="A319" s="24" t="inlineStr">
        <is>
          <t>2024-09-25</t>
        </is>
      </c>
      <c r="B319" s="30" t="n">
        <v>91700</v>
      </c>
      <c r="C319" s="30" t="n">
        <v>94800</v>
      </c>
      <c r="D319" s="30" t="n">
        <v>90400</v>
      </c>
      <c r="E319" s="30" t="n">
        <v>93400</v>
      </c>
      <c r="F319" s="30" t="n">
        <v>90912.3046875</v>
      </c>
      <c r="G319" s="30" t="n">
        <v>39855</v>
      </c>
      <c r="H319" s="35" t="n">
        <v>0.02637362637362628</v>
      </c>
      <c r="I319" s="35" t="n">
        <v>-0.5446123842028279</v>
      </c>
      <c r="J319" s="30" t="n">
        <v>93665</v>
      </c>
      <c r="K319" s="30" t="n">
        <v>109361.6666666667</v>
      </c>
      <c r="L319" s="30" t="n">
        <v>117621.6666666667</v>
      </c>
      <c r="M319" s="35" t="n">
        <v>0.4280442859307954</v>
      </c>
      <c r="N319" s="35" t="n">
        <v>0.465751939895982</v>
      </c>
      <c r="O319" s="35" t="n">
        <v>-0.1327762302692664</v>
      </c>
      <c r="P319" s="35" t="n">
        <v>-0.2737169517884914</v>
      </c>
      <c r="Q319" s="35" t="n">
        <v>-0.1955211024978467</v>
      </c>
      <c r="R319" s="35" t="n">
        <v>-0.002829231836865453</v>
      </c>
      <c r="S319" s="35" t="n">
        <v>-0.1459530304646662</v>
      </c>
      <c r="T319" s="35" t="n">
        <v>-0.2059286129256231</v>
      </c>
      <c r="U319" s="30" t="n">
        <v>142000</v>
      </c>
      <c r="V319" s="30" t="n">
        <v>81800</v>
      </c>
      <c r="W319" s="35" t="n">
        <v>-0.3422535211267606</v>
      </c>
      <c r="X319" s="35" t="n">
        <v>0.1418092909535453</v>
      </c>
      <c r="Y319" s="30" t="n">
        <v>11179416</v>
      </c>
      <c r="Z319" s="30" t="n">
        <v>1044157454400</v>
      </c>
      <c r="AA319" s="30" t="n">
        <v>3722457000</v>
      </c>
      <c r="AB319" s="30" t="n">
        <v>3616072040</v>
      </c>
      <c r="AC319" s="35" t="n">
        <v>0.003565034166364325</v>
      </c>
      <c r="AD319" s="24" t="inlineStr">
        <is>
          <t>yfinance_download</t>
        </is>
      </c>
      <c r="AE319" s="24" t="inlineStr">
        <is>
          <t>064760.KQ</t>
        </is>
      </c>
    </row>
    <row r="320" ht="24" customHeight="1">
      <c r="A320" s="29" t="inlineStr">
        <is>
          <t>2024-09-26</t>
        </is>
      </c>
      <c r="B320" s="31" t="n">
        <v>94800</v>
      </c>
      <c r="C320" s="31" t="n">
        <v>96400</v>
      </c>
      <c r="D320" s="31" t="n">
        <v>94200</v>
      </c>
      <c r="E320" s="31" t="n">
        <v>95400</v>
      </c>
      <c r="F320" s="31" t="n">
        <v>92859.0390625</v>
      </c>
      <c r="G320" s="31" t="n">
        <v>26968</v>
      </c>
      <c r="H320" s="36" t="n">
        <v>0.02141327623126332</v>
      </c>
      <c r="I320" s="36" t="n">
        <v>-0.5348610433934666</v>
      </c>
      <c r="J320" s="31" t="n">
        <v>93190</v>
      </c>
      <c r="K320" s="31" t="n">
        <v>108718.3333333333</v>
      </c>
      <c r="L320" s="31" t="n">
        <v>117332.5</v>
      </c>
      <c r="M320" s="36" t="n">
        <v>0.4328237697437178</v>
      </c>
      <c r="N320" s="36" t="n">
        <v>0.4587626532039377</v>
      </c>
      <c r="O320" s="36" t="n">
        <v>-0.09056244041944705</v>
      </c>
      <c r="P320" s="36" t="n">
        <v>-0.2880597014925373</v>
      </c>
      <c r="Q320" s="36" t="n">
        <v>-0.2667179093005381</v>
      </c>
      <c r="R320" s="36" t="n">
        <v>0.02371499087884965</v>
      </c>
      <c r="S320" s="36" t="n">
        <v>-0.1225031043522251</v>
      </c>
      <c r="T320" s="36" t="n">
        <v>-0.1869260435088317</v>
      </c>
      <c r="U320" s="31" t="n">
        <v>142000</v>
      </c>
      <c r="V320" s="31" t="n">
        <v>81800</v>
      </c>
      <c r="W320" s="36" t="n">
        <v>-0.328169014084507</v>
      </c>
      <c r="X320" s="36" t="n">
        <v>0.1662591687041566</v>
      </c>
      <c r="Y320" s="31" t="n">
        <v>11179416</v>
      </c>
      <c r="Z320" s="31" t="n">
        <v>1066516286400</v>
      </c>
      <c r="AA320" s="31" t="n">
        <v>2572747200</v>
      </c>
      <c r="AB320" s="31" t="n">
        <v>3563950965</v>
      </c>
      <c r="AC320" s="36" t="n">
        <v>0.002412290588345581</v>
      </c>
      <c r="AD320" s="29" t="inlineStr">
        <is>
          <t>yfinance_download</t>
        </is>
      </c>
      <c r="AE320" s="29" t="inlineStr">
        <is>
          <t>064760.KQ</t>
        </is>
      </c>
    </row>
    <row r="321" ht="24" customHeight="1">
      <c r="A321" s="24" t="inlineStr">
        <is>
          <t>2024-09-27</t>
        </is>
      </c>
      <c r="B321" s="30" t="n">
        <v>94400</v>
      </c>
      <c r="C321" s="30" t="n">
        <v>96200</v>
      </c>
      <c r="D321" s="30" t="n">
        <v>93200</v>
      </c>
      <c r="E321" s="30" t="n">
        <v>93500</v>
      </c>
      <c r="F321" s="30" t="n">
        <v>91009.640625</v>
      </c>
      <c r="G321" s="30" t="n">
        <v>15876</v>
      </c>
      <c r="H321" s="35" t="n">
        <v>-0.01991614255765195</v>
      </c>
      <c r="I321" s="35" t="n">
        <v>-0.5441248171623598</v>
      </c>
      <c r="J321" s="30" t="n">
        <v>92670</v>
      </c>
      <c r="K321" s="30" t="n">
        <v>108045</v>
      </c>
      <c r="L321" s="30" t="n">
        <v>117016.6666666667</v>
      </c>
      <c r="M321" s="35" t="n">
        <v>0.436021162164009</v>
      </c>
      <c r="N321" s="35" t="n">
        <v>0.4596437923508727</v>
      </c>
      <c r="O321" s="35" t="n">
        <v>-0.1000962463907603</v>
      </c>
      <c r="P321" s="35" t="n">
        <v>-0.3017176997759522</v>
      </c>
      <c r="Q321" s="35" t="n">
        <v>-0.2884322678843226</v>
      </c>
      <c r="R321" s="35" t="n">
        <v>0.008956512355670743</v>
      </c>
      <c r="S321" s="35" t="n">
        <v>-0.1346198343282892</v>
      </c>
      <c r="T321" s="35" t="n">
        <v>-0.2009685230024213</v>
      </c>
      <c r="U321" s="30" t="n">
        <v>142000</v>
      </c>
      <c r="V321" s="30" t="n">
        <v>81800</v>
      </c>
      <c r="W321" s="35" t="n">
        <v>-0.3415492957746479</v>
      </c>
      <c r="X321" s="35" t="n">
        <v>0.1430317848410758</v>
      </c>
      <c r="Y321" s="30" t="n">
        <v>11179416</v>
      </c>
      <c r="Z321" s="30" t="n">
        <v>1045275396000</v>
      </c>
      <c r="AA321" s="30" t="n">
        <v>1484406000</v>
      </c>
      <c r="AB321" s="30" t="n">
        <v>3450610985</v>
      </c>
      <c r="AC321" s="35" t="n">
        <v>0.001420109959232217</v>
      </c>
      <c r="AD321" s="24" t="inlineStr">
        <is>
          <t>yfinance_download</t>
        </is>
      </c>
      <c r="AE321" s="24" t="inlineStr">
        <is>
          <t>064760.KQ</t>
        </is>
      </c>
    </row>
    <row r="322" ht="24" customHeight="1">
      <c r="A322" s="29" t="inlineStr">
        <is>
          <t>2024-09-30</t>
        </is>
      </c>
      <c r="B322" s="31" t="n">
        <v>94400</v>
      </c>
      <c r="C322" s="31" t="n">
        <v>94500</v>
      </c>
      <c r="D322" s="31" t="n">
        <v>90700</v>
      </c>
      <c r="E322" s="31" t="n">
        <v>92400</v>
      </c>
      <c r="F322" s="31" t="n">
        <v>89938.9375</v>
      </c>
      <c r="G322" s="31" t="n">
        <v>28035</v>
      </c>
      <c r="H322" s="36" t="n">
        <v>-0.0117647058823529</v>
      </c>
      <c r="I322" s="36" t="n">
        <v>-0.5494880546075085</v>
      </c>
      <c r="J322" s="31" t="n">
        <v>92035</v>
      </c>
      <c r="K322" s="31" t="n">
        <v>107376.6666666667</v>
      </c>
      <c r="L322" s="31" t="n">
        <v>116729.1666666667</v>
      </c>
      <c r="M322" s="36" t="n">
        <v>0.4321937708043759</v>
      </c>
      <c r="N322" s="36" t="n">
        <v>0.4597113037930523</v>
      </c>
      <c r="O322" s="36" t="n">
        <v>-0.120837297811608</v>
      </c>
      <c r="P322" s="36" t="n">
        <v>-0.3026415094339623</v>
      </c>
      <c r="Q322" s="36" t="n">
        <v>-0.2718676122931442</v>
      </c>
      <c r="R322" s="36" t="n">
        <v>0.003965882544683996</v>
      </c>
      <c r="S322" s="36" t="n">
        <v>-0.1394778505572285</v>
      </c>
      <c r="T322" s="36" t="n">
        <v>-0.2084240585400678</v>
      </c>
      <c r="U322" s="31" t="n">
        <v>142000</v>
      </c>
      <c r="V322" s="31" t="n">
        <v>81800</v>
      </c>
      <c r="W322" s="36" t="n">
        <v>-0.3492957746478873</v>
      </c>
      <c r="X322" s="36" t="n">
        <v>0.1295843520782396</v>
      </c>
      <c r="Y322" s="31" t="n">
        <v>11179416</v>
      </c>
      <c r="Z322" s="31" t="n">
        <v>1032978038400</v>
      </c>
      <c r="AA322" s="31" t="n">
        <v>2590434000</v>
      </c>
      <c r="AB322" s="31" t="n">
        <v>3388193810</v>
      </c>
      <c r="AC322" s="36" t="n">
        <v>0.002507733856580702</v>
      </c>
      <c r="AD322" s="29" t="inlineStr">
        <is>
          <t>yfinance_download</t>
        </is>
      </c>
      <c r="AE322" s="29" t="inlineStr">
        <is>
          <t>064760.KQ</t>
        </is>
      </c>
    </row>
    <row r="323" ht="24" customHeight="1">
      <c r="A323" s="24" t="inlineStr">
        <is>
          <t>2024-10-02</t>
        </is>
      </c>
      <c r="B323" s="30" t="n">
        <v>90900</v>
      </c>
      <c r="C323" s="30" t="n">
        <v>93700</v>
      </c>
      <c r="D323" s="30" t="n">
        <v>89400</v>
      </c>
      <c r="E323" s="30" t="n">
        <v>92400</v>
      </c>
      <c r="F323" s="30" t="n">
        <v>89938.9375</v>
      </c>
      <c r="G323" s="30" t="n">
        <v>15201</v>
      </c>
      <c r="H323" s="35" t="n">
        <v>0</v>
      </c>
      <c r="I323" s="35" t="n">
        <v>-0.5494880546075085</v>
      </c>
      <c r="J323" s="30" t="n">
        <v>91755</v>
      </c>
      <c r="K323" s="30" t="n">
        <v>106726.6666666667</v>
      </c>
      <c r="L323" s="30" t="n">
        <v>116425</v>
      </c>
      <c r="M323" s="35" t="n">
        <v>0.3662002526437222</v>
      </c>
      <c r="N323" s="35" t="n">
        <v>0.4598154900091476</v>
      </c>
      <c r="O323" s="35" t="n">
        <v>-0.05714285714285716</v>
      </c>
      <c r="P323" s="35" t="n">
        <v>-0.2968036529680366</v>
      </c>
      <c r="Q323" s="35" t="n">
        <v>-0.2831652443754848</v>
      </c>
      <c r="R323" s="35" t="n">
        <v>0.007029589668138048</v>
      </c>
      <c r="S323" s="35" t="n">
        <v>-0.1342369916921732</v>
      </c>
      <c r="T323" s="35" t="n">
        <v>-0.2063560231908954</v>
      </c>
      <c r="U323" s="30" t="n">
        <v>142000</v>
      </c>
      <c r="V323" s="30" t="n">
        <v>81800</v>
      </c>
      <c r="W323" s="35" t="n">
        <v>-0.3492957746478873</v>
      </c>
      <c r="X323" s="35" t="n">
        <v>0.1295843520782396</v>
      </c>
      <c r="Y323" s="30" t="n">
        <v>11179416</v>
      </c>
      <c r="Z323" s="30" t="n">
        <v>1032978038400</v>
      </c>
      <c r="AA323" s="30" t="n">
        <v>1404572400</v>
      </c>
      <c r="AB323" s="30" t="n">
        <v>3159208830</v>
      </c>
      <c r="AC323" s="35" t="n">
        <v>0.001359731134434929</v>
      </c>
      <c r="AD323" s="24" t="inlineStr">
        <is>
          <t>yfinance_download</t>
        </is>
      </c>
      <c r="AE323" s="24" t="inlineStr">
        <is>
          <t>064760.KQ</t>
        </is>
      </c>
    </row>
    <row r="324" ht="24" customHeight="1">
      <c r="A324" s="29" t="inlineStr">
        <is>
          <t>2024-10-04</t>
        </is>
      </c>
      <c r="B324" s="31" t="n">
        <v>92800</v>
      </c>
      <c r="C324" s="31" t="n">
        <v>93800</v>
      </c>
      <c r="D324" s="31" t="n">
        <v>91100</v>
      </c>
      <c r="E324" s="31" t="n">
        <v>91600</v>
      </c>
      <c r="F324" s="31" t="n">
        <v>89160.25</v>
      </c>
      <c r="G324" s="31" t="n">
        <v>12695</v>
      </c>
      <c r="H324" s="36" t="n">
        <v>-0.008658008658008698</v>
      </c>
      <c r="I324" s="36" t="n">
        <v>-0.553388590931253</v>
      </c>
      <c r="J324" s="31" t="n">
        <v>91310</v>
      </c>
      <c r="K324" s="31" t="n">
        <v>105988.3333333333</v>
      </c>
      <c r="L324" s="31" t="n">
        <v>116101.6666666667</v>
      </c>
      <c r="M324" s="36" t="n">
        <v>0.3510797670341886</v>
      </c>
      <c r="N324" s="36" t="n">
        <v>0.452348258721978</v>
      </c>
      <c r="O324" s="36" t="n">
        <v>-0.08855721393034821</v>
      </c>
      <c r="P324" s="36" t="n">
        <v>-0.3259749816041206</v>
      </c>
      <c r="Q324" s="36" t="n">
        <v>-0.2975460122699386</v>
      </c>
      <c r="R324" s="36" t="n">
        <v>0.003175993867046367</v>
      </c>
      <c r="S324" s="36" t="n">
        <v>-0.1357539351815451</v>
      </c>
      <c r="T324" s="36" t="n">
        <v>-0.2110363043883953</v>
      </c>
      <c r="U324" s="31" t="n">
        <v>142000</v>
      </c>
      <c r="V324" s="31" t="n">
        <v>81800</v>
      </c>
      <c r="W324" s="36" t="n">
        <v>-0.3549295774647887</v>
      </c>
      <c r="X324" s="36" t="n">
        <v>0.1198044009779951</v>
      </c>
      <c r="Y324" s="31" t="n">
        <v>11179416</v>
      </c>
      <c r="Z324" s="31" t="n">
        <v>1024034505600</v>
      </c>
      <c r="AA324" s="31" t="n">
        <v>1162862000</v>
      </c>
      <c r="AB324" s="31" t="n">
        <v>3042582430</v>
      </c>
      <c r="AC324" s="36" t="n">
        <v>0.001135569156743071</v>
      </c>
      <c r="AD324" s="29" t="inlineStr">
        <is>
          <t>yfinance_download</t>
        </is>
      </c>
      <c r="AE324" s="29" t="inlineStr">
        <is>
          <t>064760.KQ</t>
        </is>
      </c>
    </row>
    <row r="325" ht="24" customHeight="1">
      <c r="A325" s="24" t="inlineStr">
        <is>
          <t>2024-10-07</t>
        </is>
      </c>
      <c r="B325" s="30" t="n">
        <v>91600</v>
      </c>
      <c r="C325" s="30" t="n">
        <v>93100</v>
      </c>
      <c r="D325" s="30" t="n">
        <v>90300</v>
      </c>
      <c r="E325" s="30" t="n">
        <v>91600</v>
      </c>
      <c r="F325" s="30" t="n">
        <v>89160.25</v>
      </c>
      <c r="G325" s="30" t="n">
        <v>15563</v>
      </c>
      <c r="H325" s="35" t="n">
        <v>0</v>
      </c>
      <c r="I325" s="35" t="n">
        <v>-0.553388590931253</v>
      </c>
      <c r="J325" s="30" t="n">
        <v>90985</v>
      </c>
      <c r="K325" s="30" t="n">
        <v>105298.3333333333</v>
      </c>
      <c r="L325" s="30" t="n">
        <v>115751.6666666667</v>
      </c>
      <c r="M325" s="35" t="n">
        <v>0.3436548887041911</v>
      </c>
      <c r="N325" s="35" t="n">
        <v>0.4514003191834348</v>
      </c>
      <c r="O325" s="35" t="n">
        <v>-0.06625891946992868</v>
      </c>
      <c r="P325" s="35" t="n">
        <v>-0.3112781954887218</v>
      </c>
      <c r="Q325" s="35" t="n">
        <v>-0.3143712574850299</v>
      </c>
      <c r="R325" s="35" t="n">
        <v>0.006759355937791867</v>
      </c>
      <c r="S325" s="35" t="n">
        <v>-0.1300906946928567</v>
      </c>
      <c r="T325" s="35" t="n">
        <v>-0.2086507033736016</v>
      </c>
      <c r="U325" s="30" t="n">
        <v>142000</v>
      </c>
      <c r="V325" s="30" t="n">
        <v>81800</v>
      </c>
      <c r="W325" s="35" t="n">
        <v>-0.3549295774647887</v>
      </c>
      <c r="X325" s="35" t="n">
        <v>0.1198044009779951</v>
      </c>
      <c r="Y325" s="30" t="n">
        <v>11179416</v>
      </c>
      <c r="Z325" s="30" t="n">
        <v>1024034505600</v>
      </c>
      <c r="AA325" s="30" t="n">
        <v>1425570800</v>
      </c>
      <c r="AB325" s="30" t="n">
        <v>3028857320</v>
      </c>
      <c r="AC325" s="35" t="n">
        <v>0.001392112074548438</v>
      </c>
      <c r="AD325" s="24" t="inlineStr">
        <is>
          <t>yfinance_download</t>
        </is>
      </c>
      <c r="AE325" s="24" t="inlineStr">
        <is>
          <t>064760.KQ</t>
        </is>
      </c>
    </row>
    <row r="326" ht="24" customHeight="1">
      <c r="A326" s="29" t="inlineStr">
        <is>
          <t>2024-10-08</t>
        </is>
      </c>
      <c r="B326" s="31" t="n">
        <v>92400</v>
      </c>
      <c r="C326" s="31" t="n">
        <v>92400</v>
      </c>
      <c r="D326" s="31" t="n">
        <v>90100</v>
      </c>
      <c r="E326" s="31" t="n">
        <v>90700</v>
      </c>
      <c r="F326" s="31" t="n">
        <v>88284.2265625</v>
      </c>
      <c r="G326" s="31" t="n">
        <v>15780</v>
      </c>
      <c r="H326" s="36" t="n">
        <v>-0.009825327510917026</v>
      </c>
      <c r="I326" s="36" t="n">
        <v>-0.5577766942954656</v>
      </c>
      <c r="J326" s="31" t="n">
        <v>90705</v>
      </c>
      <c r="K326" s="31" t="n">
        <v>104573.3333333333</v>
      </c>
      <c r="L326" s="31" t="n">
        <v>115427.5</v>
      </c>
      <c r="M326" s="36" t="n">
        <v>0.339983983085999</v>
      </c>
      <c r="N326" s="36" t="n">
        <v>0.4504098453183205</v>
      </c>
      <c r="O326" s="36" t="n">
        <v>-0.05815160955347876</v>
      </c>
      <c r="P326" s="36" t="n">
        <v>-0.3241430700447094</v>
      </c>
      <c r="Q326" s="36" t="n">
        <v>-0.3001543209876543</v>
      </c>
      <c r="R326" s="36" t="n">
        <v>-5.512375282512583e-05</v>
      </c>
      <c r="S326" s="36" t="n">
        <v>-0.132666071656254</v>
      </c>
      <c r="T326" s="36" t="n">
        <v>-0.2142253795672608</v>
      </c>
      <c r="U326" s="31" t="n">
        <v>142000</v>
      </c>
      <c r="V326" s="31" t="n">
        <v>81800</v>
      </c>
      <c r="W326" s="36" t="n">
        <v>-0.3612676056338028</v>
      </c>
      <c r="X326" s="36" t="n">
        <v>0.10880195599022</v>
      </c>
      <c r="Y326" s="31" t="n">
        <v>11179416</v>
      </c>
      <c r="Z326" s="31" t="n">
        <v>1013973031200</v>
      </c>
      <c r="AA326" s="31" t="n">
        <v>1431246000</v>
      </c>
      <c r="AB326" s="31" t="n">
        <v>2857343975</v>
      </c>
      <c r="AC326" s="36" t="n">
        <v>0.001411522748594381</v>
      </c>
      <c r="AD326" s="29" t="inlineStr">
        <is>
          <t>yfinance_download</t>
        </is>
      </c>
      <c r="AE326" s="29" t="inlineStr">
        <is>
          <t>064760.KQ</t>
        </is>
      </c>
    </row>
    <row r="327" ht="24" customHeight="1">
      <c r="A327" s="24" t="inlineStr">
        <is>
          <t>2024-10-10</t>
        </is>
      </c>
      <c r="B327" s="30" t="n">
        <v>90700</v>
      </c>
      <c r="C327" s="30" t="n">
        <v>92300</v>
      </c>
      <c r="D327" s="30" t="n">
        <v>89900</v>
      </c>
      <c r="E327" s="30" t="n">
        <v>89900</v>
      </c>
      <c r="F327" s="30" t="n">
        <v>87505.53125</v>
      </c>
      <c r="G327" s="30" t="n">
        <v>21569</v>
      </c>
      <c r="H327" s="35" t="n">
        <v>-0.008820286659316445</v>
      </c>
      <c r="I327" s="35" t="n">
        <v>-0.5616772306192102</v>
      </c>
      <c r="J327" s="30" t="n">
        <v>90485</v>
      </c>
      <c r="K327" s="30" t="n">
        <v>103795</v>
      </c>
      <c r="L327" s="30" t="n">
        <v>115076.6666666667</v>
      </c>
      <c r="M327" s="35" t="n">
        <v>0.3341926521588695</v>
      </c>
      <c r="N327" s="35" t="n">
        <v>0.4476511842287063</v>
      </c>
      <c r="O327" s="35" t="n">
        <v>-0.04665959703075295</v>
      </c>
      <c r="P327" s="35" t="n">
        <v>-0.3418740849194729</v>
      </c>
      <c r="Q327" s="35" t="n">
        <v>-0.318939393939394</v>
      </c>
      <c r="R327" s="35" t="n">
        <v>-0.006465159971265955</v>
      </c>
      <c r="S327" s="35" t="n">
        <v>-0.1338696469001397</v>
      </c>
      <c r="T327" s="35" t="n">
        <v>-0.2187816817773659</v>
      </c>
      <c r="U327" s="30" t="n">
        <v>142000</v>
      </c>
      <c r="V327" s="30" t="n">
        <v>81800</v>
      </c>
      <c r="W327" s="35" t="n">
        <v>-0.3669014084507042</v>
      </c>
      <c r="X327" s="35" t="n">
        <v>0.09902200488997548</v>
      </c>
      <c r="Y327" s="30" t="n">
        <v>11179416</v>
      </c>
      <c r="Z327" s="30" t="n">
        <v>1005029498400</v>
      </c>
      <c r="AA327" s="30" t="n">
        <v>1939053100</v>
      </c>
      <c r="AB327" s="30" t="n">
        <v>2812945645</v>
      </c>
      <c r="AC327" s="35" t="n">
        <v>0.001929349440078086</v>
      </c>
      <c r="AD327" s="24" t="inlineStr">
        <is>
          <t>yfinance_download</t>
        </is>
      </c>
      <c r="AE327" s="24" t="inlineStr">
        <is>
          <t>064760.KQ</t>
        </is>
      </c>
    </row>
    <row r="328" ht="24" customHeight="1">
      <c r="A328" s="29" t="inlineStr">
        <is>
          <t>2024-10-11</t>
        </is>
      </c>
      <c r="B328" s="31" t="n">
        <v>91300</v>
      </c>
      <c r="C328" s="31" t="n">
        <v>92200</v>
      </c>
      <c r="D328" s="31" t="n">
        <v>90400</v>
      </c>
      <c r="E328" s="31" t="n">
        <v>90900</v>
      </c>
      <c r="F328" s="31" t="n">
        <v>88478.890625</v>
      </c>
      <c r="G328" s="31" t="n">
        <v>12548</v>
      </c>
      <c r="H328" s="36" t="n">
        <v>0.01112347052280316</v>
      </c>
      <c r="I328" s="36" t="n">
        <v>-0.5568015602145295</v>
      </c>
      <c r="J328" s="31" t="n">
        <v>90470</v>
      </c>
      <c r="K328" s="31" t="n">
        <v>103030</v>
      </c>
      <c r="L328" s="31" t="n">
        <v>114751.6666666667</v>
      </c>
      <c r="M328" s="36" t="n">
        <v>0.3166214321139079</v>
      </c>
      <c r="N328" s="36" t="n">
        <v>0.4488260632847088</v>
      </c>
      <c r="O328" s="36" t="n">
        <v>-0.003289473684210509</v>
      </c>
      <c r="P328" s="36" t="n">
        <v>-0.3355263157894737</v>
      </c>
      <c r="Q328" s="36" t="n">
        <v>-0.3002309468822171</v>
      </c>
      <c r="R328" s="36" t="n">
        <v>0.004752956781253426</v>
      </c>
      <c r="S328" s="36" t="n">
        <v>-0.1177326992138212</v>
      </c>
      <c r="T328" s="36" t="n">
        <v>-0.2078546426340939</v>
      </c>
      <c r="U328" s="31" t="n">
        <v>142000</v>
      </c>
      <c r="V328" s="31" t="n">
        <v>81800</v>
      </c>
      <c r="W328" s="36" t="n">
        <v>-0.3598591549295774</v>
      </c>
      <c r="X328" s="36" t="n">
        <v>0.1112469437652812</v>
      </c>
      <c r="Y328" s="31" t="n">
        <v>11179416</v>
      </c>
      <c r="Z328" s="31" t="n">
        <v>1016208914400</v>
      </c>
      <c r="AA328" s="31" t="n">
        <v>1140613200</v>
      </c>
      <c r="AB328" s="31" t="n">
        <v>2699783425</v>
      </c>
      <c r="AC328" s="36" t="n">
        <v>0.001122419990453884</v>
      </c>
      <c r="AD328" s="29" t="inlineStr">
        <is>
          <t>yfinance_download</t>
        </is>
      </c>
      <c r="AE328" s="29" t="inlineStr">
        <is>
          <t>064760.KQ</t>
        </is>
      </c>
    </row>
    <row r="329" ht="24" customHeight="1">
      <c r="A329" s="24" t="inlineStr">
        <is>
          <t>2024-10-14</t>
        </is>
      </c>
      <c r="B329" s="30" t="n">
        <v>90200</v>
      </c>
      <c r="C329" s="30" t="n">
        <v>93500</v>
      </c>
      <c r="D329" s="30" t="n">
        <v>90100</v>
      </c>
      <c r="E329" s="30" t="n">
        <v>92600</v>
      </c>
      <c r="F329" s="30" t="n">
        <v>90133.6171875</v>
      </c>
      <c r="G329" s="30" t="n">
        <v>20802</v>
      </c>
      <c r="H329" s="35" t="n">
        <v>0.01870187018701874</v>
      </c>
      <c r="I329" s="35" t="n">
        <v>-0.5485129205265724</v>
      </c>
      <c r="J329" s="30" t="n">
        <v>90585</v>
      </c>
      <c r="K329" s="30" t="n">
        <v>102331.6666666667</v>
      </c>
      <c r="L329" s="30" t="n">
        <v>114415</v>
      </c>
      <c r="M329" s="35" t="n">
        <v>0.3209945930127165</v>
      </c>
      <c r="N329" s="35" t="n">
        <v>0.4511987094603491</v>
      </c>
      <c r="O329" s="35" t="n">
        <v>0.0254706533776301</v>
      </c>
      <c r="P329" s="35" t="n">
        <v>-0.3115241635687732</v>
      </c>
      <c r="Q329" s="35" t="n">
        <v>-0.3037593984962406</v>
      </c>
      <c r="R329" s="35" t="n">
        <v>0.02224430093282548</v>
      </c>
      <c r="S329" s="35" t="n">
        <v>-0.09509926871773156</v>
      </c>
      <c r="T329" s="35" t="n">
        <v>-0.1906655595857186</v>
      </c>
      <c r="U329" s="30" t="n">
        <v>142000</v>
      </c>
      <c r="V329" s="30" t="n">
        <v>81800</v>
      </c>
      <c r="W329" s="35" t="n">
        <v>-0.347887323943662</v>
      </c>
      <c r="X329" s="35" t="n">
        <v>0.1320293398533008</v>
      </c>
      <c r="Y329" s="30" t="n">
        <v>11179416</v>
      </c>
      <c r="Z329" s="30" t="n">
        <v>1035213921600</v>
      </c>
      <c r="AA329" s="30" t="n">
        <v>1926265200</v>
      </c>
      <c r="AB329" s="30" t="n">
        <v>2575999465</v>
      </c>
      <c r="AC329" s="35" t="n">
        <v>0.001860741205086205</v>
      </c>
      <c r="AD329" s="24" t="inlineStr">
        <is>
          <t>yfinance_download</t>
        </is>
      </c>
      <c r="AE329" s="24" t="inlineStr">
        <is>
          <t>064760.KQ</t>
        </is>
      </c>
    </row>
    <row r="330" ht="24" customHeight="1">
      <c r="A330" s="29" t="inlineStr">
        <is>
          <t>2024-10-15</t>
        </is>
      </c>
      <c r="B330" s="31" t="n">
        <v>93700</v>
      </c>
      <c r="C330" s="31" t="n">
        <v>93800</v>
      </c>
      <c r="D330" s="31" t="n">
        <v>92300</v>
      </c>
      <c r="E330" s="31" t="n">
        <v>92800</v>
      </c>
      <c r="F330" s="31" t="n">
        <v>90328.2890625</v>
      </c>
      <c r="G330" s="31" t="n">
        <v>17688</v>
      </c>
      <c r="H330" s="36" t="n">
        <v>0.002159827213822796</v>
      </c>
      <c r="I330" s="36" t="n">
        <v>-0.5475377864456363</v>
      </c>
      <c r="J330" s="31" t="n">
        <v>90690</v>
      </c>
      <c r="K330" s="31" t="n">
        <v>101683.3333333333</v>
      </c>
      <c r="L330" s="31" t="n">
        <v>114040.8333333333</v>
      </c>
      <c r="M330" s="36" t="n">
        <v>0.3208163653778869</v>
      </c>
      <c r="N330" s="36" t="n">
        <v>0.4503883696090465</v>
      </c>
      <c r="O330" s="36" t="n">
        <v>0.02315325248070566</v>
      </c>
      <c r="P330" s="36" t="n">
        <v>-0.2953682611996963</v>
      </c>
      <c r="Q330" s="36" t="n">
        <v>-0.3260711692084242</v>
      </c>
      <c r="R330" s="36" t="n">
        <v>0.02326607123166835</v>
      </c>
      <c r="S330" s="36" t="n">
        <v>-0.08736272742173412</v>
      </c>
      <c r="T330" s="36" t="n">
        <v>-0.1862563847744594</v>
      </c>
      <c r="U330" s="31" t="n">
        <v>142000</v>
      </c>
      <c r="V330" s="31" t="n">
        <v>81800</v>
      </c>
      <c r="W330" s="36" t="n">
        <v>-0.3464788732394366</v>
      </c>
      <c r="X330" s="36" t="n">
        <v>0.1344743276283618</v>
      </c>
      <c r="Y330" s="31" t="n">
        <v>11179416</v>
      </c>
      <c r="Z330" s="31" t="n">
        <v>1037449804800</v>
      </c>
      <c r="AA330" s="31" t="n">
        <v>1641446400</v>
      </c>
      <c r="AB330" s="31" t="n">
        <v>2407245470</v>
      </c>
      <c r="AC330" s="36" t="n">
        <v>0.001582193560021382</v>
      </c>
      <c r="AD330" s="29" t="inlineStr">
        <is>
          <t>yfinance_download</t>
        </is>
      </c>
      <c r="AE330" s="29" t="inlineStr">
        <is>
          <t>064760.KQ</t>
        </is>
      </c>
    </row>
    <row r="331" ht="24" customHeight="1">
      <c r="A331" s="24" t="inlineStr">
        <is>
          <t>2024-10-16</t>
        </is>
      </c>
      <c r="B331" s="30" t="n">
        <v>91500</v>
      </c>
      <c r="C331" s="30" t="n">
        <v>91700</v>
      </c>
      <c r="D331" s="30" t="n">
        <v>89100</v>
      </c>
      <c r="E331" s="30" t="n">
        <v>89400</v>
      </c>
      <c r="F331" s="30" t="n">
        <v>87018.8515625</v>
      </c>
      <c r="G331" s="30" t="n">
        <v>19100</v>
      </c>
      <c r="H331" s="35" t="n">
        <v>-0.03663793103448276</v>
      </c>
      <c r="I331" s="35" t="n">
        <v>-0.5641150658215505</v>
      </c>
      <c r="J331" s="30" t="n">
        <v>90735</v>
      </c>
      <c r="K331" s="30" t="n">
        <v>100990</v>
      </c>
      <c r="L331" s="30" t="n">
        <v>113677.5</v>
      </c>
      <c r="M331" s="35" t="n">
        <v>0.3365432444353729</v>
      </c>
      <c r="N331" s="35" t="n">
        <v>0.4549104823196124</v>
      </c>
      <c r="O331" s="35" t="n">
        <v>0.01016949152542379</v>
      </c>
      <c r="P331" s="35" t="n">
        <v>-0.3175572519083969</v>
      </c>
      <c r="Q331" s="35" t="n">
        <v>-0.3278195488721805</v>
      </c>
      <c r="R331" s="35" t="n">
        <v>-0.01471317573152586</v>
      </c>
      <c r="S331" s="35" t="n">
        <v>-0.1147638380037628</v>
      </c>
      <c r="T331" s="35" t="n">
        <v>-0.2135646895823712</v>
      </c>
      <c r="U331" s="30" t="n">
        <v>142000</v>
      </c>
      <c r="V331" s="30" t="n">
        <v>81800</v>
      </c>
      <c r="W331" s="35" t="n">
        <v>-0.3704225352112676</v>
      </c>
      <c r="X331" s="35" t="n">
        <v>0.09290953545232283</v>
      </c>
      <c r="Y331" s="30" t="n">
        <v>11179416</v>
      </c>
      <c r="Z331" s="30" t="n">
        <v>999439790400</v>
      </c>
      <c r="AA331" s="30" t="n">
        <v>1707540000</v>
      </c>
      <c r="AB331" s="30" t="n">
        <v>2345548745</v>
      </c>
      <c r="AC331" s="35" t="n">
        <v>0.001708497116486228</v>
      </c>
      <c r="AD331" s="24" t="inlineStr">
        <is>
          <t>yfinance_download</t>
        </is>
      </c>
      <c r="AE331" s="24" t="inlineStr">
        <is>
          <t>064760.KQ</t>
        </is>
      </c>
    </row>
    <row r="332" ht="24" customHeight="1">
      <c r="A332" s="29" t="inlineStr">
        <is>
          <t>2024-10-17</t>
        </is>
      </c>
      <c r="B332" s="31" t="n">
        <v>90400</v>
      </c>
      <c r="C332" s="31" t="n">
        <v>90900</v>
      </c>
      <c r="D332" s="31" t="n">
        <v>89100</v>
      </c>
      <c r="E332" s="31" t="n">
        <v>89900</v>
      </c>
      <c r="F332" s="31" t="n">
        <v>87505.53125</v>
      </c>
      <c r="G332" s="31" t="n">
        <v>9976</v>
      </c>
      <c r="H332" s="36" t="n">
        <v>0.005592841163311046</v>
      </c>
      <c r="I332" s="36" t="n">
        <v>-0.5616772306192102</v>
      </c>
      <c r="J332" s="31" t="n">
        <v>90740</v>
      </c>
      <c r="K332" s="31" t="n">
        <v>100330</v>
      </c>
      <c r="L332" s="31" t="n">
        <v>113289.1666666667</v>
      </c>
      <c r="M332" s="36" t="n">
        <v>0.3330660831448382</v>
      </c>
      <c r="N332" s="36" t="n">
        <v>0.4553689739048156</v>
      </c>
      <c r="O332" s="36" t="n">
        <v>0.00111358574610243</v>
      </c>
      <c r="P332" s="36" t="n">
        <v>-0.3057915057915058</v>
      </c>
      <c r="Q332" s="36" t="n">
        <v>-0.3413919413919414</v>
      </c>
      <c r="R332" s="36" t="n">
        <v>-0.009257218426272917</v>
      </c>
      <c r="S332" s="36" t="n">
        <v>-0.1039569420910994</v>
      </c>
      <c r="T332" s="36" t="n">
        <v>-0.2064554569060002</v>
      </c>
      <c r="U332" s="31" t="n">
        <v>142000</v>
      </c>
      <c r="V332" s="31" t="n">
        <v>81800</v>
      </c>
      <c r="W332" s="36" t="n">
        <v>-0.3669014084507042</v>
      </c>
      <c r="X332" s="36" t="n">
        <v>0.09902200488997548</v>
      </c>
      <c r="Y332" s="31" t="n">
        <v>11179416</v>
      </c>
      <c r="Z332" s="31" t="n">
        <v>1005029498400</v>
      </c>
      <c r="AA332" s="31" t="n">
        <v>896842400</v>
      </c>
      <c r="AB332" s="31" t="n">
        <v>2298960995</v>
      </c>
      <c r="AC332" s="36" t="n">
        <v>0.0008923543054485136</v>
      </c>
      <c r="AD332" s="29" t="inlineStr">
        <is>
          <t>yfinance_download</t>
        </is>
      </c>
      <c r="AE332" s="29" t="inlineStr">
        <is>
          <t>064760.KQ</t>
        </is>
      </c>
    </row>
    <row r="333" ht="24" customHeight="1">
      <c r="A333" s="24" t="inlineStr">
        <is>
          <t>2024-10-18</t>
        </is>
      </c>
      <c r="B333" s="30" t="n">
        <v>90400</v>
      </c>
      <c r="C333" s="30" t="n">
        <v>90400</v>
      </c>
      <c r="D333" s="30" t="n">
        <v>87100</v>
      </c>
      <c r="E333" s="30" t="n">
        <v>87700</v>
      </c>
      <c r="F333" s="30" t="n">
        <v>85364.125</v>
      </c>
      <c r="G333" s="30" t="n">
        <v>23108</v>
      </c>
      <c r="H333" s="35" t="n">
        <v>-0.02447163515016682</v>
      </c>
      <c r="I333" s="35" t="n">
        <v>-0.5724037055095075</v>
      </c>
      <c r="J333" s="30" t="n">
        <v>90570</v>
      </c>
      <c r="K333" s="30" t="n">
        <v>99770</v>
      </c>
      <c r="L333" s="30" t="n">
        <v>112886.6666666667</v>
      </c>
      <c r="M333" s="35" t="n">
        <v>0.3396516802545248</v>
      </c>
      <c r="N333" s="35" t="n">
        <v>0.441092071390398</v>
      </c>
      <c r="O333" s="35" t="n">
        <v>-0.03732162458836441</v>
      </c>
      <c r="P333" s="35" t="n">
        <v>-0.2769991755976917</v>
      </c>
      <c r="Q333" s="35" t="n">
        <v>-0.3551470588235294</v>
      </c>
      <c r="R333" s="35" t="n">
        <v>-0.0316881969747157</v>
      </c>
      <c r="S333" s="35" t="n">
        <v>-0.1209782499749423</v>
      </c>
      <c r="T333" s="35" t="n">
        <v>-0.2231146282407135</v>
      </c>
      <c r="U333" s="30" t="n">
        <v>142000</v>
      </c>
      <c r="V333" s="30" t="n">
        <v>81800</v>
      </c>
      <c r="W333" s="35" t="n">
        <v>-0.3823943661971831</v>
      </c>
      <c r="X333" s="35" t="n">
        <v>0.07212713936430326</v>
      </c>
      <c r="Y333" s="30" t="n">
        <v>11179416</v>
      </c>
      <c r="Z333" s="30" t="n">
        <v>980434783200</v>
      </c>
      <c r="AA333" s="30" t="n">
        <v>2026571600</v>
      </c>
      <c r="AB333" s="30" t="n">
        <v>2261398515</v>
      </c>
      <c r="AC333" s="35" t="n">
        <v>0.002067013160615903</v>
      </c>
      <c r="AD333" s="24" t="inlineStr">
        <is>
          <t>yfinance_download</t>
        </is>
      </c>
      <c r="AE333" s="24" t="inlineStr">
        <is>
          <t>064760.KQ</t>
        </is>
      </c>
    </row>
    <row r="334" ht="24" customHeight="1">
      <c r="A334" s="29" t="inlineStr">
        <is>
          <t>2024-10-21</t>
        </is>
      </c>
      <c r="B334" s="31" t="n">
        <v>88100</v>
      </c>
      <c r="C334" s="31" t="n">
        <v>88600</v>
      </c>
      <c r="D334" s="31" t="n">
        <v>86800</v>
      </c>
      <c r="E334" s="31" t="n">
        <v>87800</v>
      </c>
      <c r="F334" s="31" t="n">
        <v>85461.4609375</v>
      </c>
      <c r="G334" s="31" t="n">
        <v>19357</v>
      </c>
      <c r="H334" s="36" t="n">
        <v>0.001140250855188096</v>
      </c>
      <c r="I334" s="36" t="n">
        <v>-0.5719161384690394</v>
      </c>
      <c r="J334" s="31" t="n">
        <v>90550</v>
      </c>
      <c r="K334" s="31" t="n">
        <v>99210</v>
      </c>
      <c r="L334" s="31" t="n">
        <v>112535.8333333333</v>
      </c>
      <c r="M334" s="36" t="n">
        <v>0.3204550725922739</v>
      </c>
      <c r="N334" s="36" t="n">
        <v>0.4411103775797657</v>
      </c>
      <c r="O334" s="36" t="n">
        <v>-0.004535147392290217</v>
      </c>
      <c r="P334" s="36" t="n">
        <v>-0.2767710049423394</v>
      </c>
      <c r="Q334" s="36" t="n">
        <v>-0.3240954580446497</v>
      </c>
      <c r="R334" s="36" t="n">
        <v>-0.03036996134732195</v>
      </c>
      <c r="S334" s="36" t="n">
        <v>-0.1150085676847092</v>
      </c>
      <c r="T334" s="36" t="n">
        <v>-0.2198040624097509</v>
      </c>
      <c r="U334" s="31" t="n">
        <v>142000</v>
      </c>
      <c r="V334" s="31" t="n">
        <v>81800</v>
      </c>
      <c r="W334" s="36" t="n">
        <v>-0.3816901408450705</v>
      </c>
      <c r="X334" s="36" t="n">
        <v>0.07334963325183375</v>
      </c>
      <c r="Y334" s="31" t="n">
        <v>11179416</v>
      </c>
      <c r="Z334" s="31" t="n">
        <v>981552724800</v>
      </c>
      <c r="AA334" s="31" t="n">
        <v>1699544600</v>
      </c>
      <c r="AB334" s="31" t="n">
        <v>2251128565</v>
      </c>
      <c r="AC334" s="36" t="n">
        <v>0.001731485794964603</v>
      </c>
      <c r="AD334" s="29" t="inlineStr">
        <is>
          <t>yfinance_download</t>
        </is>
      </c>
      <c r="AE334" s="29" t="inlineStr">
        <is>
          <t>064760.KQ</t>
        </is>
      </c>
    </row>
    <row r="335" ht="24" customHeight="1">
      <c r="A335" s="24" t="inlineStr">
        <is>
          <t>2024-10-22</t>
        </is>
      </c>
      <c r="B335" s="30" t="n">
        <v>87800</v>
      </c>
      <c r="C335" s="30" t="n">
        <v>89000</v>
      </c>
      <c r="D335" s="30" t="n">
        <v>85100</v>
      </c>
      <c r="E335" s="30" t="n">
        <v>85500</v>
      </c>
      <c r="F335" s="30" t="n">
        <v>83222.7265625</v>
      </c>
      <c r="G335" s="30" t="n">
        <v>21539</v>
      </c>
      <c r="H335" s="35" t="n">
        <v>-0.0261958997722096</v>
      </c>
      <c r="I335" s="35" t="n">
        <v>-0.583130180399805</v>
      </c>
      <c r="J335" s="30" t="n">
        <v>90535</v>
      </c>
      <c r="K335" s="30" t="n">
        <v>98636.66666666667</v>
      </c>
      <c r="L335" s="30" t="n">
        <v>112241.6666666667</v>
      </c>
      <c r="M335" s="35" t="n">
        <v>0.3193317106554343</v>
      </c>
      <c r="N335" s="35" t="n">
        <v>0.4430038871915845</v>
      </c>
      <c r="O335" s="35" t="n">
        <v>-0.003496503496503545</v>
      </c>
      <c r="P335" s="35" t="n">
        <v>-0.286905754795663</v>
      </c>
      <c r="Q335" s="35" t="n">
        <v>-0.2922185430463576</v>
      </c>
      <c r="R335" s="35" t="n">
        <v>-0.05561385099685201</v>
      </c>
      <c r="S335" s="35" t="n">
        <v>-0.133182386536447</v>
      </c>
      <c r="T335" s="35" t="n">
        <v>-0.238250798129037</v>
      </c>
      <c r="U335" s="30" t="n">
        <v>142000</v>
      </c>
      <c r="V335" s="30" t="n">
        <v>81800</v>
      </c>
      <c r="W335" s="35" t="n">
        <v>-0.397887323943662</v>
      </c>
      <c r="X335" s="35" t="n">
        <v>0.04523227383863082</v>
      </c>
      <c r="Y335" s="30" t="n">
        <v>11179416</v>
      </c>
      <c r="Z335" s="30" t="n">
        <v>955840068000</v>
      </c>
      <c r="AA335" s="30" t="n">
        <v>1841584500</v>
      </c>
      <c r="AB335" s="30" t="n">
        <v>2169226840</v>
      </c>
      <c r="AC335" s="35" t="n">
        <v>0.001926665936753762</v>
      </c>
      <c r="AD335" s="24" t="inlineStr">
        <is>
          <t>yfinance_download</t>
        </is>
      </c>
      <c r="AE335" s="24" t="inlineStr">
        <is>
          <t>064760.KQ</t>
        </is>
      </c>
    </row>
    <row r="336" ht="24" customHeight="1">
      <c r="A336" s="29" t="inlineStr">
        <is>
          <t>2024-10-23</t>
        </is>
      </c>
      <c r="B336" s="31" t="n">
        <v>86300</v>
      </c>
      <c r="C336" s="31" t="n">
        <v>91000</v>
      </c>
      <c r="D336" s="31" t="n">
        <v>85300</v>
      </c>
      <c r="E336" s="31" t="n">
        <v>90200</v>
      </c>
      <c r="F336" s="31" t="n">
        <v>87797.5390625</v>
      </c>
      <c r="G336" s="31" t="n">
        <v>39470</v>
      </c>
      <c r="H336" s="36" t="n">
        <v>0.05497076023391823</v>
      </c>
      <c r="I336" s="36" t="n">
        <v>-0.5602145294978059</v>
      </c>
      <c r="J336" s="31" t="n">
        <v>90780</v>
      </c>
      <c r="K336" s="31" t="n">
        <v>98183.33333333333</v>
      </c>
      <c r="L336" s="31" t="n">
        <v>111963.3333333333</v>
      </c>
      <c r="M336" s="36" t="n">
        <v>0.3729921589063039</v>
      </c>
      <c r="N336" s="36" t="n">
        <v>0.4585642837714847</v>
      </c>
      <c r="O336" s="36" t="n">
        <v>0.05744431418522855</v>
      </c>
      <c r="P336" s="36" t="n">
        <v>-0.231686541737649</v>
      </c>
      <c r="Q336" s="36" t="n">
        <v>-0.2702265372168284</v>
      </c>
      <c r="R336" s="36" t="n">
        <v>-0.006389072482925751</v>
      </c>
      <c r="S336" s="36" t="n">
        <v>-0.08131047360380239</v>
      </c>
      <c r="T336" s="36" t="n">
        <v>-0.1943791122093542</v>
      </c>
      <c r="U336" s="31" t="n">
        <v>142000</v>
      </c>
      <c r="V336" s="31" t="n">
        <v>81800</v>
      </c>
      <c r="W336" s="36" t="n">
        <v>-0.3647887323943662</v>
      </c>
      <c r="X336" s="36" t="n">
        <v>0.1026894865525672</v>
      </c>
      <c r="Y336" s="31" t="n">
        <v>11179416</v>
      </c>
      <c r="Z336" s="31" t="n">
        <v>1008383323200</v>
      </c>
      <c r="AA336" s="31" t="n">
        <v>3560194000</v>
      </c>
      <c r="AB336" s="31" t="n">
        <v>2150052795</v>
      </c>
      <c r="AC336" s="36" t="n">
        <v>0.003530595873702168</v>
      </c>
      <c r="AD336" s="29" t="inlineStr">
        <is>
          <t>yfinance_download</t>
        </is>
      </c>
      <c r="AE336" s="29" t="inlineStr">
        <is>
          <t>064760.KQ</t>
        </is>
      </c>
    </row>
    <row r="337" ht="24" customHeight="1">
      <c r="A337" s="24" t="inlineStr">
        <is>
          <t>2024-10-24</t>
        </is>
      </c>
      <c r="B337" s="30" t="n">
        <v>91100</v>
      </c>
      <c r="C337" s="30" t="n">
        <v>91200</v>
      </c>
      <c r="D337" s="30" t="n">
        <v>87000</v>
      </c>
      <c r="E337" s="30" t="n">
        <v>89300</v>
      </c>
      <c r="F337" s="30" t="n">
        <v>86921.5078125</v>
      </c>
      <c r="G337" s="30" t="n">
        <v>21667</v>
      </c>
      <c r="H337" s="35" t="n">
        <v>-0.009977827050997812</v>
      </c>
      <c r="I337" s="35" t="n">
        <v>-0.5646026328620185</v>
      </c>
      <c r="J337" s="30" t="n">
        <v>90900</v>
      </c>
      <c r="K337" s="30" t="n">
        <v>97753.33333333333</v>
      </c>
      <c r="L337" s="30" t="n">
        <v>111671.6666666667</v>
      </c>
      <c r="M337" s="35" t="n">
        <v>0.3708895956422095</v>
      </c>
      <c r="N337" s="35" t="n">
        <v>0.4575875197147971</v>
      </c>
      <c r="O337" s="35" t="n">
        <v>0.02761795166858461</v>
      </c>
      <c r="P337" s="35" t="n">
        <v>-0.2241529105125978</v>
      </c>
      <c r="Q337" s="35" t="n">
        <v>-0.2815768302493966</v>
      </c>
      <c r="R337" s="35" t="n">
        <v>-0.01760176017601756</v>
      </c>
      <c r="S337" s="35" t="n">
        <v>-0.08647616449566931</v>
      </c>
      <c r="T337" s="35" t="n">
        <v>-0.2003343133889528</v>
      </c>
      <c r="U337" s="30" t="n">
        <v>142000</v>
      </c>
      <c r="V337" s="30" t="n">
        <v>81800</v>
      </c>
      <c r="W337" s="35" t="n">
        <v>-0.3711267605633802</v>
      </c>
      <c r="X337" s="35" t="n">
        <v>0.09168704156479213</v>
      </c>
      <c r="Y337" s="30" t="n">
        <v>11179416</v>
      </c>
      <c r="Z337" s="30" t="n">
        <v>998321848800</v>
      </c>
      <c r="AA337" s="30" t="n">
        <v>1934863100</v>
      </c>
      <c r="AB337" s="30" t="n">
        <v>2122985175</v>
      </c>
      <c r="AC337" s="35" t="n">
        <v>0.001938115550937545</v>
      </c>
      <c r="AD337" s="24" t="inlineStr">
        <is>
          <t>yfinance_download</t>
        </is>
      </c>
      <c r="AE337" s="24" t="inlineStr">
        <is>
          <t>064760.KQ</t>
        </is>
      </c>
    </row>
    <row r="338" ht="24" customHeight="1">
      <c r="A338" s="29" t="inlineStr">
        <is>
          <t>2024-10-25</t>
        </is>
      </c>
      <c r="B338" s="31" t="n">
        <v>90100</v>
      </c>
      <c r="C338" s="31" t="n">
        <v>90300</v>
      </c>
      <c r="D338" s="31" t="n">
        <v>83000</v>
      </c>
      <c r="E338" s="31" t="n">
        <v>84300</v>
      </c>
      <c r="F338" s="31" t="n">
        <v>82054.6796875</v>
      </c>
      <c r="G338" s="31" t="n">
        <v>84243</v>
      </c>
      <c r="H338" s="36" t="n">
        <v>-0.05599104143337064</v>
      </c>
      <c r="I338" s="36" t="n">
        <v>-0.5889809848854217</v>
      </c>
      <c r="J338" s="31" t="n">
        <v>90565</v>
      </c>
      <c r="K338" s="31" t="n">
        <v>97251.66666666667</v>
      </c>
      <c r="L338" s="31" t="n">
        <v>111390.8333333333</v>
      </c>
      <c r="M338" s="36" t="n">
        <v>0.3833903586521344</v>
      </c>
      <c r="N338" s="36" t="n">
        <v>0.4699126795449498</v>
      </c>
      <c r="O338" s="36" t="n">
        <v>-0.07362637362637359</v>
      </c>
      <c r="P338" s="36" t="n">
        <v>-0.2631118881118881</v>
      </c>
      <c r="Q338" s="36" t="n">
        <v>-0.285593220338983</v>
      </c>
      <c r="R338" s="36" t="n">
        <v>-0.06917683431789323</v>
      </c>
      <c r="S338" s="36" t="n">
        <v>-0.1331768093091807</v>
      </c>
      <c r="T338" s="36" t="n">
        <v>-0.243205230831382</v>
      </c>
      <c r="U338" s="31" t="n">
        <v>142000</v>
      </c>
      <c r="V338" s="31" t="n">
        <v>81800</v>
      </c>
      <c r="W338" s="36" t="n">
        <v>-0.4063380281690141</v>
      </c>
      <c r="X338" s="36" t="n">
        <v>0.03056234718826412</v>
      </c>
      <c r="Y338" s="31" t="n">
        <v>11179416</v>
      </c>
      <c r="Z338" s="31" t="n">
        <v>942424768800</v>
      </c>
      <c r="AA338" s="31" t="n">
        <v>7101684900</v>
      </c>
      <c r="AB338" s="31" t="n">
        <v>2160524920</v>
      </c>
      <c r="AC338" s="36" t="n">
        <v>0.007535545685033994</v>
      </c>
      <c r="AD338" s="29" t="inlineStr">
        <is>
          <t>yfinance_download</t>
        </is>
      </c>
      <c r="AE338" s="29" t="inlineStr">
        <is>
          <t>064760.KQ</t>
        </is>
      </c>
    </row>
    <row r="339" ht="24" customHeight="1">
      <c r="A339" s="24" t="inlineStr">
        <is>
          <t>2024-10-28</t>
        </is>
      </c>
      <c r="B339" s="30" t="n">
        <v>84400</v>
      </c>
      <c r="C339" s="30" t="n">
        <v>86300</v>
      </c>
      <c r="D339" s="30" t="n">
        <v>84200</v>
      </c>
      <c r="E339" s="30" t="n">
        <v>86000</v>
      </c>
      <c r="F339" s="30" t="n">
        <v>83709.40625</v>
      </c>
      <c r="G339" s="30" t="n">
        <v>19068</v>
      </c>
      <c r="H339" s="35" t="n">
        <v>0.02016607354685651</v>
      </c>
      <c r="I339" s="35" t="n">
        <v>-0.5806923451974646</v>
      </c>
      <c r="J339" s="30" t="n">
        <v>90195</v>
      </c>
      <c r="K339" s="30" t="n">
        <v>96818.33333333333</v>
      </c>
      <c r="L339" s="30" t="n">
        <v>111071.6666666667</v>
      </c>
      <c r="M339" s="35" t="n">
        <v>0.3775554928682643</v>
      </c>
      <c r="N339" s="35" t="n">
        <v>0.4713651772466778</v>
      </c>
      <c r="O339" s="35" t="n">
        <v>-0.07922912205567456</v>
      </c>
      <c r="P339" s="35" t="n">
        <v>-0.2321428571428571</v>
      </c>
      <c r="Q339" s="35" t="n">
        <v>-0.3081255028157683</v>
      </c>
      <c r="R339" s="35" t="n">
        <v>-0.04651033871057153</v>
      </c>
      <c r="S339" s="35" t="n">
        <v>-0.111738479282505</v>
      </c>
      <c r="T339" s="35" t="n">
        <v>-0.2257251324220099</v>
      </c>
      <c r="U339" s="30" t="n">
        <v>142000</v>
      </c>
      <c r="V339" s="30" t="n">
        <v>81800</v>
      </c>
      <c r="W339" s="35" t="n">
        <v>-0.3943661971830986</v>
      </c>
      <c r="X339" s="35" t="n">
        <v>0.05134474327628369</v>
      </c>
      <c r="Y339" s="30" t="n">
        <v>11179416</v>
      </c>
      <c r="Z339" s="30" t="n">
        <v>961429776000</v>
      </c>
      <c r="AA339" s="30" t="n">
        <v>1639848000</v>
      </c>
      <c r="AB339" s="30" t="n">
        <v>2056394470</v>
      </c>
      <c r="AC339" s="35" t="n">
        <v>0.001705634712940282</v>
      </c>
      <c r="AD339" s="24" t="inlineStr">
        <is>
          <t>yfinance_download</t>
        </is>
      </c>
      <c r="AE339" s="24" t="inlineStr">
        <is>
          <t>064760.KQ</t>
        </is>
      </c>
    </row>
    <row r="340" ht="24" customHeight="1">
      <c r="A340" s="29" t="inlineStr">
        <is>
          <t>2024-10-29</t>
        </is>
      </c>
      <c r="B340" s="31" t="n">
        <v>85200</v>
      </c>
      <c r="C340" s="31" t="n">
        <v>85200</v>
      </c>
      <c r="D340" s="31" t="n">
        <v>82600</v>
      </c>
      <c r="E340" s="31" t="n">
        <v>83500</v>
      </c>
      <c r="F340" s="31" t="n">
        <v>81275.9921875</v>
      </c>
      <c r="G340" s="31" t="n">
        <v>30100</v>
      </c>
      <c r="H340" s="36" t="n">
        <v>-0.02906976744186052</v>
      </c>
      <c r="I340" s="36" t="n">
        <v>-0.5928815212091663</v>
      </c>
      <c r="J340" s="31" t="n">
        <v>89600</v>
      </c>
      <c r="K340" s="31" t="n">
        <v>96365</v>
      </c>
      <c r="L340" s="31" t="n">
        <v>110730.8333333333</v>
      </c>
      <c r="M340" s="36" t="n">
        <v>0.375272668527672</v>
      </c>
      <c r="N340" s="36" t="n">
        <v>0.4739278486786676</v>
      </c>
      <c r="O340" s="36" t="n">
        <v>-0.1247379454926625</v>
      </c>
      <c r="P340" s="36" t="n">
        <v>-0.2457091237579042</v>
      </c>
      <c r="Q340" s="36" t="n">
        <v>-0.3287781350482315</v>
      </c>
      <c r="R340" s="36" t="n">
        <v>-0.0680803571428571</v>
      </c>
      <c r="S340" s="36" t="n">
        <v>-0.1335028277901728</v>
      </c>
      <c r="T340" s="36" t="n">
        <v>-0.245919158319348</v>
      </c>
      <c r="U340" s="31" t="n">
        <v>142000</v>
      </c>
      <c r="V340" s="31" t="n">
        <v>81800</v>
      </c>
      <c r="W340" s="36" t="n">
        <v>-0.4119718309859155</v>
      </c>
      <c r="X340" s="36" t="n">
        <v>0.02078239608801957</v>
      </c>
      <c r="Y340" s="31" t="n">
        <v>11179416</v>
      </c>
      <c r="Z340" s="31" t="n">
        <v>933481236000</v>
      </c>
      <c r="AA340" s="31" t="n">
        <v>2513350000</v>
      </c>
      <c r="AB340" s="31" t="n">
        <v>2053424610</v>
      </c>
      <c r="AC340" s="36" t="n">
        <v>0.002692448335404998</v>
      </c>
      <c r="AD340" s="29" t="inlineStr">
        <is>
          <t>yfinance_download</t>
        </is>
      </c>
      <c r="AE340" s="29" t="inlineStr">
        <is>
          <t>064760.KQ</t>
        </is>
      </c>
    </row>
    <row r="341" ht="24" customHeight="1">
      <c r="A341" s="24" t="inlineStr">
        <is>
          <t>2024-10-30</t>
        </is>
      </c>
      <c r="B341" s="30" t="n">
        <v>84000</v>
      </c>
      <c r="C341" s="30" t="n">
        <v>84300</v>
      </c>
      <c r="D341" s="30" t="n">
        <v>81500</v>
      </c>
      <c r="E341" s="30" t="n">
        <v>81500</v>
      </c>
      <c r="F341" s="30" t="n">
        <v>79329.2578125</v>
      </c>
      <c r="G341" s="30" t="n">
        <v>24857</v>
      </c>
      <c r="H341" s="35" t="n">
        <v>-0.0239520958083832</v>
      </c>
      <c r="I341" s="35" t="n">
        <v>-0.6026328620185275</v>
      </c>
      <c r="J341" s="30" t="n">
        <v>89000</v>
      </c>
      <c r="K341" s="30" t="n">
        <v>95871.66666666667</v>
      </c>
      <c r="L341" s="30" t="n">
        <v>110388.3333333333</v>
      </c>
      <c r="M341" s="35" t="n">
        <v>0.3774714013840444</v>
      </c>
      <c r="N341" s="35" t="n">
        <v>0.4753405750799261</v>
      </c>
      <c r="O341" s="35" t="n">
        <v>-0.1283422459893048</v>
      </c>
      <c r="P341" s="35" t="n">
        <v>-0.2664266426642664</v>
      </c>
      <c r="Q341" s="35" t="n">
        <v>-0.335236541598695</v>
      </c>
      <c r="R341" s="35" t="n">
        <v>-0.0842696629213483</v>
      </c>
      <c r="S341" s="35" t="n">
        <v>-0.1499052552891887</v>
      </c>
      <c r="T341" s="35" t="n">
        <v>-0.2616973412045355</v>
      </c>
      <c r="U341" s="30" t="n">
        <v>142000</v>
      </c>
      <c r="V341" s="30" t="n">
        <v>81500</v>
      </c>
      <c r="W341" s="35" t="n">
        <v>-0.426056338028169</v>
      </c>
      <c r="X341" s="35" t="n">
        <v>0</v>
      </c>
      <c r="Y341" s="30" t="n">
        <v>11179416</v>
      </c>
      <c r="Z341" s="30" t="n">
        <v>911122404000</v>
      </c>
      <c r="AA341" s="30" t="n">
        <v>2025845500</v>
      </c>
      <c r="AB341" s="30" t="n">
        <v>2080496585</v>
      </c>
      <c r="AC341" s="35" t="n">
        <v>0.002223461404423988</v>
      </c>
      <c r="AD341" s="24" t="inlineStr">
        <is>
          <t>yfinance_download</t>
        </is>
      </c>
      <c r="AE341" s="24" t="inlineStr">
        <is>
          <t>064760.KQ</t>
        </is>
      </c>
    </row>
    <row r="342" ht="24" customHeight="1">
      <c r="A342" s="29" t="inlineStr">
        <is>
          <t>2024-10-31</t>
        </is>
      </c>
      <c r="B342" s="31" t="n">
        <v>81300</v>
      </c>
      <c r="C342" s="31" t="n">
        <v>85500</v>
      </c>
      <c r="D342" s="31" t="n">
        <v>80600</v>
      </c>
      <c r="E342" s="31" t="n">
        <v>85500</v>
      </c>
      <c r="F342" s="31" t="n">
        <v>83222.7265625</v>
      </c>
      <c r="G342" s="31" t="n">
        <v>44959</v>
      </c>
      <c r="H342" s="36" t="n">
        <v>0.04907975460122693</v>
      </c>
      <c r="I342" s="36" t="n">
        <v>-0.583130180399805</v>
      </c>
      <c r="J342" s="31" t="n">
        <v>88655</v>
      </c>
      <c r="K342" s="31" t="n">
        <v>95473.33333333333</v>
      </c>
      <c r="L342" s="31" t="n">
        <v>110076.6666666667</v>
      </c>
      <c r="M342" s="36" t="n">
        <v>0.4251530916111644</v>
      </c>
      <c r="N342" s="36" t="n">
        <v>0.4873695845911881</v>
      </c>
      <c r="O342" s="36" t="n">
        <v>-0.07467532467532467</v>
      </c>
      <c r="P342" s="36" t="n">
        <v>-0.2184643510054844</v>
      </c>
      <c r="Q342" s="36" t="n">
        <v>-0.3043124491456468</v>
      </c>
      <c r="R342" s="36" t="n">
        <v>-0.03558738931814331</v>
      </c>
      <c r="S342" s="36" t="n">
        <v>-0.1044619789120871</v>
      </c>
      <c r="T342" s="36" t="n">
        <v>-0.2232686309541835</v>
      </c>
      <c r="U342" s="31" t="n">
        <v>142000</v>
      </c>
      <c r="V342" s="31" t="n">
        <v>81500</v>
      </c>
      <c r="W342" s="36" t="n">
        <v>-0.397887323943662</v>
      </c>
      <c r="X342" s="36" t="n">
        <v>0.04907975460122693</v>
      </c>
      <c r="Y342" s="31" t="n">
        <v>11179416</v>
      </c>
      <c r="Z342" s="31" t="n">
        <v>955840068000</v>
      </c>
      <c r="AA342" s="31" t="n">
        <v>3843994500</v>
      </c>
      <c r="AB342" s="31" t="n">
        <v>2143174610</v>
      </c>
      <c r="AC342" s="36" t="n">
        <v>0.004021587531942635</v>
      </c>
      <c r="AD342" s="29" t="inlineStr">
        <is>
          <t>yfinance_download</t>
        </is>
      </c>
      <c r="AE342" s="29" t="inlineStr">
        <is>
          <t>064760.KQ</t>
        </is>
      </c>
    </row>
    <row r="343" ht="24" customHeight="1">
      <c r="A343" s="24" t="inlineStr">
        <is>
          <t>2024-11-01</t>
        </is>
      </c>
      <c r="B343" s="30" t="n">
        <v>85000</v>
      </c>
      <c r="C343" s="30" t="n">
        <v>85000</v>
      </c>
      <c r="D343" s="30" t="n">
        <v>82200</v>
      </c>
      <c r="E343" s="30" t="n">
        <v>83300</v>
      </c>
      <c r="F343" s="30" t="n">
        <v>81081.3203125</v>
      </c>
      <c r="G343" s="30" t="n">
        <v>17241</v>
      </c>
      <c r="H343" s="35" t="n">
        <v>-0.02573099415204683</v>
      </c>
      <c r="I343" s="35" t="n">
        <v>-0.5938566552901023</v>
      </c>
      <c r="J343" s="30" t="n">
        <v>88200</v>
      </c>
      <c r="K343" s="30" t="n">
        <v>94965</v>
      </c>
      <c r="L343" s="30" t="n">
        <v>109775</v>
      </c>
      <c r="M343" s="35" t="n">
        <v>0.4320715183944162</v>
      </c>
      <c r="N343" s="35" t="n">
        <v>0.4807210665453923</v>
      </c>
      <c r="O343" s="35" t="n">
        <v>-0.09848484848484851</v>
      </c>
      <c r="P343" s="35" t="n">
        <v>-0.2680140597539543</v>
      </c>
      <c r="Q343" s="35" t="n">
        <v>-0.3029288702928871</v>
      </c>
      <c r="R343" s="35" t="n">
        <v>-0.05555555555555558</v>
      </c>
      <c r="S343" s="35" t="n">
        <v>-0.1228347285842153</v>
      </c>
      <c r="T343" s="35" t="n">
        <v>-0.2411751309496698</v>
      </c>
      <c r="U343" s="30" t="n">
        <v>142000</v>
      </c>
      <c r="V343" s="30" t="n">
        <v>81500</v>
      </c>
      <c r="W343" s="35" t="n">
        <v>-0.4133802816901408</v>
      </c>
      <c r="X343" s="35" t="n">
        <v>0.02208588957055224</v>
      </c>
      <c r="Y343" s="30" t="n">
        <v>11179416</v>
      </c>
      <c r="Z343" s="30" t="n">
        <v>931245352800</v>
      </c>
      <c r="AA343" s="30" t="n">
        <v>1436175300</v>
      </c>
      <c r="AB343" s="30" t="n">
        <v>2144754755</v>
      </c>
      <c r="AC343" s="35" t="n">
        <v>0.001542209360488956</v>
      </c>
      <c r="AD343" s="24" t="inlineStr">
        <is>
          <t>yfinance_download</t>
        </is>
      </c>
      <c r="AE343" s="24" t="inlineStr">
        <is>
          <t>064760.KQ</t>
        </is>
      </c>
    </row>
    <row r="344" ht="24" customHeight="1">
      <c r="A344" s="29" t="inlineStr">
        <is>
          <t>2024-11-04</t>
        </is>
      </c>
      <c r="B344" s="31" t="n">
        <v>83300</v>
      </c>
      <c r="C344" s="31" t="n">
        <v>86700</v>
      </c>
      <c r="D344" s="31" t="n">
        <v>82500</v>
      </c>
      <c r="E344" s="31" t="n">
        <v>86000</v>
      </c>
      <c r="F344" s="31" t="n">
        <v>83709.40625</v>
      </c>
      <c r="G344" s="31" t="n">
        <v>32709</v>
      </c>
      <c r="H344" s="36" t="n">
        <v>0.0324129651860745</v>
      </c>
      <c r="I344" s="36" t="n">
        <v>-0.5806923451974646</v>
      </c>
      <c r="J344" s="31" t="n">
        <v>87920</v>
      </c>
      <c r="K344" s="31" t="n">
        <v>94503.33333333333</v>
      </c>
      <c r="L344" s="31" t="n">
        <v>109442.5</v>
      </c>
      <c r="M344" s="36" t="n">
        <v>0.4513958437890333</v>
      </c>
      <c r="N344" s="36" t="n">
        <v>0.486665235253144</v>
      </c>
      <c r="O344" s="36" t="n">
        <v>-0.06113537117903933</v>
      </c>
      <c r="P344" s="36" t="n">
        <v>-0.2436235708003518</v>
      </c>
      <c r="Q344" s="36" t="n">
        <v>-0.3169181890389198</v>
      </c>
      <c r="R344" s="36" t="n">
        <v>-0.02183803457688804</v>
      </c>
      <c r="S344" s="36" t="n">
        <v>-0.08997918944658034</v>
      </c>
      <c r="T344" s="36" t="n">
        <v>-0.2141992370422825</v>
      </c>
      <c r="U344" s="31" t="n">
        <v>142000</v>
      </c>
      <c r="V344" s="31" t="n">
        <v>81500</v>
      </c>
      <c r="W344" s="36" t="n">
        <v>-0.3943661971830986</v>
      </c>
      <c r="X344" s="36" t="n">
        <v>0.05521472392638027</v>
      </c>
      <c r="Y344" s="31" t="n">
        <v>11179416</v>
      </c>
      <c r="Z344" s="31" t="n">
        <v>961429776000</v>
      </c>
      <c r="AA344" s="31" t="n">
        <v>2812974000</v>
      </c>
      <c r="AB344" s="31" t="n">
        <v>2227260355</v>
      </c>
      <c r="AC344" s="36" t="n">
        <v>0.002925823674510368</v>
      </c>
      <c r="AD344" s="29" t="inlineStr">
        <is>
          <t>yfinance_download</t>
        </is>
      </c>
      <c r="AE344" s="29" t="inlineStr">
        <is>
          <t>064760.KQ</t>
        </is>
      </c>
    </row>
    <row r="345" ht="24" customHeight="1">
      <c r="A345" s="24" t="inlineStr">
        <is>
          <t>2024-11-05</t>
        </is>
      </c>
      <c r="B345" s="30" t="n">
        <v>86000</v>
      </c>
      <c r="C345" s="30" t="n">
        <v>86400</v>
      </c>
      <c r="D345" s="30" t="n">
        <v>84200</v>
      </c>
      <c r="E345" s="30" t="n">
        <v>85300</v>
      </c>
      <c r="F345" s="30" t="n">
        <v>83028.046875</v>
      </c>
      <c r="G345" s="30" t="n">
        <v>17116</v>
      </c>
      <c r="H345" s="35" t="n">
        <v>-0.008139534883720878</v>
      </c>
      <c r="I345" s="35" t="n">
        <v>-0.5841053144807411</v>
      </c>
      <c r="J345" s="30" t="n">
        <v>87605</v>
      </c>
      <c r="K345" s="30" t="n">
        <v>94201.66666666667</v>
      </c>
      <c r="L345" s="30" t="n">
        <v>109125.8333333333</v>
      </c>
      <c r="M345" s="35" t="n">
        <v>0.4516588504694949</v>
      </c>
      <c r="N345" s="35" t="n">
        <v>0.4522517679558252</v>
      </c>
      <c r="O345" s="35" t="n">
        <v>-0.06877729257641918</v>
      </c>
      <c r="P345" s="35" t="n">
        <v>-0.1750483558994197</v>
      </c>
      <c r="Q345" s="35" t="n">
        <v>-0.3081914030819141</v>
      </c>
      <c r="R345" s="35" t="n">
        <v>-0.0263112836025341</v>
      </c>
      <c r="S345" s="35" t="n">
        <v>-0.09449585109959135</v>
      </c>
      <c r="T345" s="35" t="n">
        <v>-0.2183335751540653</v>
      </c>
      <c r="U345" s="30" t="n">
        <v>142000</v>
      </c>
      <c r="V345" s="30" t="n">
        <v>81500</v>
      </c>
      <c r="W345" s="35" t="n">
        <v>-0.3992957746478873</v>
      </c>
      <c r="X345" s="35" t="n">
        <v>0.0466257668711656</v>
      </c>
      <c r="Y345" s="30" t="n">
        <v>11179416</v>
      </c>
      <c r="Z345" s="30" t="n">
        <v>953604184800</v>
      </c>
      <c r="AA345" s="30" t="n">
        <v>1459994800</v>
      </c>
      <c r="AB345" s="30" t="n">
        <v>2228981555</v>
      </c>
      <c r="AC345" s="35" t="n">
        <v>0.001531028096637606</v>
      </c>
      <c r="AD345" s="24" t="inlineStr">
        <is>
          <t>yfinance_download</t>
        </is>
      </c>
      <c r="AE345" s="24" t="inlineStr">
        <is>
          <t>064760.KQ</t>
        </is>
      </c>
    </row>
    <row r="346" ht="24" customHeight="1">
      <c r="A346" s="29" t="inlineStr">
        <is>
          <t>2024-11-06</t>
        </is>
      </c>
      <c r="B346" s="31" t="n">
        <v>85300</v>
      </c>
      <c r="C346" s="31" t="n">
        <v>86500</v>
      </c>
      <c r="D346" s="31" t="n">
        <v>83400</v>
      </c>
      <c r="E346" s="31" t="n">
        <v>84800</v>
      </c>
      <c r="F346" s="31" t="n">
        <v>82541.3671875</v>
      </c>
      <c r="G346" s="31" t="n">
        <v>14412</v>
      </c>
      <c r="H346" s="36" t="n">
        <v>-0.005861664712778381</v>
      </c>
      <c r="I346" s="36" t="n">
        <v>-0.5865431496830814</v>
      </c>
      <c r="J346" s="31" t="n">
        <v>87310</v>
      </c>
      <c r="K346" s="31" t="n">
        <v>94031.66666666667</v>
      </c>
      <c r="L346" s="31" t="n">
        <v>108820.8333333333</v>
      </c>
      <c r="M346" s="36" t="n">
        <v>0.4511033806345555</v>
      </c>
      <c r="N346" s="36" t="n">
        <v>0.4217694180109651</v>
      </c>
      <c r="O346" s="36" t="n">
        <v>-0.06504961411245869</v>
      </c>
      <c r="P346" s="36" t="n">
        <v>-0.1073684210526316</v>
      </c>
      <c r="Q346" s="36" t="n">
        <v>-0.3014827018121911</v>
      </c>
      <c r="R346" s="36" t="n">
        <v>-0.02874813881571414</v>
      </c>
      <c r="S346" s="36" t="n">
        <v>-0.09817614633368199</v>
      </c>
      <c r="T346" s="36" t="n">
        <v>-0.2207374507026074</v>
      </c>
      <c r="U346" s="31" t="n">
        <v>142000</v>
      </c>
      <c r="V346" s="31" t="n">
        <v>81500</v>
      </c>
      <c r="W346" s="36" t="n">
        <v>-0.4028169014084507</v>
      </c>
      <c r="X346" s="36" t="n">
        <v>0.04049079754601226</v>
      </c>
      <c r="Y346" s="31" t="n">
        <v>11179416</v>
      </c>
      <c r="Z346" s="31" t="n">
        <v>948014476800</v>
      </c>
      <c r="AA346" s="31" t="n">
        <v>1222137600</v>
      </c>
      <c r="AB346" s="31" t="n">
        <v>2218526135</v>
      </c>
      <c r="AC346" s="36" t="n">
        <v>0.00128915499700521</v>
      </c>
      <c r="AD346" s="29" t="inlineStr">
        <is>
          <t>yfinance_download</t>
        </is>
      </c>
      <c r="AE346" s="29" t="inlineStr">
        <is>
          <t>064760.KQ</t>
        </is>
      </c>
    </row>
    <row r="347" ht="24" customHeight="1">
      <c r="A347" s="24" t="inlineStr">
        <is>
          <t>2024-11-07</t>
        </is>
      </c>
      <c r="B347" s="30" t="n">
        <v>84000</v>
      </c>
      <c r="C347" s="30" t="n">
        <v>84000</v>
      </c>
      <c r="D347" s="30" t="n">
        <v>81000</v>
      </c>
      <c r="E347" s="30" t="n">
        <v>81000</v>
      </c>
      <c r="F347" s="30" t="n">
        <v>78842.578125</v>
      </c>
      <c r="G347" s="30" t="n">
        <v>38959</v>
      </c>
      <c r="H347" s="35" t="n">
        <v>-0.04481132075471694</v>
      </c>
      <c r="I347" s="35" t="n">
        <v>-0.6050706972208679</v>
      </c>
      <c r="J347" s="30" t="n">
        <v>86865</v>
      </c>
      <c r="K347" s="30" t="n">
        <v>93733.33333333333</v>
      </c>
      <c r="L347" s="30" t="n">
        <v>108502.5</v>
      </c>
      <c r="M347" s="35" t="n">
        <v>0.4747591355697207</v>
      </c>
      <c r="N347" s="35" t="n">
        <v>0.4214380007825255</v>
      </c>
      <c r="O347" s="35" t="n">
        <v>-0.09899888765294773</v>
      </c>
      <c r="P347" s="35" t="n">
        <v>-0.1809908998988877</v>
      </c>
      <c r="Q347" s="35" t="n">
        <v>-0.3204697986577181</v>
      </c>
      <c r="R347" s="35" t="n">
        <v>-0.06751856328786043</v>
      </c>
      <c r="S347" s="35" t="n">
        <v>-0.1358463726884779</v>
      </c>
      <c r="T347" s="35" t="n">
        <v>-0.2534734222713763</v>
      </c>
      <c r="U347" s="30" t="n">
        <v>142000</v>
      </c>
      <c r="V347" s="30" t="n">
        <v>81000</v>
      </c>
      <c r="W347" s="35" t="n">
        <v>-0.4295774647887324</v>
      </c>
      <c r="X347" s="35" t="n">
        <v>0</v>
      </c>
      <c r="Y347" s="30" t="n">
        <v>11179416</v>
      </c>
      <c r="Z347" s="30" t="n">
        <v>905532696000</v>
      </c>
      <c r="AA347" s="30" t="n">
        <v>3155679000</v>
      </c>
      <c r="AB347" s="30" t="n">
        <v>2279357430</v>
      </c>
      <c r="AC347" s="35" t="n">
        <v>0.003484886867077851</v>
      </c>
      <c r="AD347" s="24" t="inlineStr">
        <is>
          <t>yfinance_download</t>
        </is>
      </c>
      <c r="AE347" s="24" t="inlineStr">
        <is>
          <t>064760.KQ</t>
        </is>
      </c>
    </row>
    <row r="348" ht="24" customHeight="1">
      <c r="A348" s="29" t="inlineStr">
        <is>
          <t>2024-11-08</t>
        </is>
      </c>
      <c r="B348" s="31" t="n">
        <v>82600</v>
      </c>
      <c r="C348" s="31" t="n">
        <v>87000</v>
      </c>
      <c r="D348" s="31" t="n">
        <v>80800</v>
      </c>
      <c r="E348" s="31" t="n">
        <v>81300</v>
      </c>
      <c r="F348" s="31" t="n">
        <v>79134.59375</v>
      </c>
      <c r="G348" s="31" t="n">
        <v>43689</v>
      </c>
      <c r="H348" s="36" t="n">
        <v>0.003703703703703765</v>
      </c>
      <c r="I348" s="36" t="n">
        <v>-0.6036079960994637</v>
      </c>
      <c r="J348" s="31" t="n">
        <v>86385</v>
      </c>
      <c r="K348" s="31" t="n">
        <v>93456.66666666667</v>
      </c>
      <c r="L348" s="31" t="n">
        <v>108177.5</v>
      </c>
      <c r="M348" s="36" t="n">
        <v>0.4721873158669017</v>
      </c>
      <c r="N348" s="36" t="n">
        <v>0.4213899725880678</v>
      </c>
      <c r="O348" s="36" t="n">
        <v>-0.1056105610561056</v>
      </c>
      <c r="P348" s="36" t="n">
        <v>-0.1695607763023493</v>
      </c>
      <c r="Q348" s="36" t="n">
        <v>-0.3241895261845387</v>
      </c>
      <c r="R348" s="36" t="n">
        <v>-0.05886438617815593</v>
      </c>
      <c r="S348" s="36" t="n">
        <v>-0.130078111067518</v>
      </c>
      <c r="T348" s="36" t="n">
        <v>-0.2484573964086801</v>
      </c>
      <c r="U348" s="31" t="n">
        <v>142000</v>
      </c>
      <c r="V348" s="31" t="n">
        <v>81000</v>
      </c>
      <c r="W348" s="36" t="n">
        <v>-0.4274647887323944</v>
      </c>
      <c r="X348" s="36" t="n">
        <v>0.003703703703703765</v>
      </c>
      <c r="Y348" s="31" t="n">
        <v>11179416</v>
      </c>
      <c r="Z348" s="31" t="n">
        <v>908886520800</v>
      </c>
      <c r="AA348" s="31" t="n">
        <v>3551915700</v>
      </c>
      <c r="AB348" s="31" t="n">
        <v>2399922555</v>
      </c>
      <c r="AC348" s="36" t="n">
        <v>0.003907985891212922</v>
      </c>
      <c r="AD348" s="29" t="inlineStr">
        <is>
          <t>yfinance_download</t>
        </is>
      </c>
      <c r="AE348" s="29" t="inlineStr">
        <is>
          <t>064760.KQ</t>
        </is>
      </c>
    </row>
    <row r="349" ht="24" customHeight="1">
      <c r="A349" s="24" t="inlineStr">
        <is>
          <t>2024-11-11</t>
        </is>
      </c>
      <c r="B349" s="30" t="n">
        <v>81000</v>
      </c>
      <c r="C349" s="30" t="n">
        <v>81300</v>
      </c>
      <c r="D349" s="30" t="n">
        <v>77100</v>
      </c>
      <c r="E349" s="30" t="n">
        <v>77400</v>
      </c>
      <c r="F349" s="30" t="n">
        <v>75338.46875</v>
      </c>
      <c r="G349" s="30" t="n">
        <v>24067</v>
      </c>
      <c r="H349" s="35" t="n">
        <v>-0.04797047970479706</v>
      </c>
      <c r="I349" s="35" t="n">
        <v>-0.6226231106777183</v>
      </c>
      <c r="J349" s="30" t="n">
        <v>85625</v>
      </c>
      <c r="K349" s="30" t="n">
        <v>93065</v>
      </c>
      <c r="L349" s="30" t="n">
        <v>107847.5</v>
      </c>
      <c r="M349" s="35" t="n">
        <v>0.4866153261182382</v>
      </c>
      <c r="N349" s="35" t="n">
        <v>0.4255628080002556</v>
      </c>
      <c r="O349" s="35" t="n">
        <v>-0.1641468682505399</v>
      </c>
      <c r="P349" s="35" t="n">
        <v>-0.2329038652130823</v>
      </c>
      <c r="Q349" s="35" t="n">
        <v>-0.3384615384615385</v>
      </c>
      <c r="R349" s="35" t="n">
        <v>-0.09605839416058393</v>
      </c>
      <c r="S349" s="35" t="n">
        <v>-0.168323214957288</v>
      </c>
      <c r="T349" s="35" t="n">
        <v>-0.2823199425114166</v>
      </c>
      <c r="U349" s="30" t="n">
        <v>142000</v>
      </c>
      <c r="V349" s="30" t="n">
        <v>77400</v>
      </c>
      <c r="W349" s="35" t="n">
        <v>-0.4549295774647887</v>
      </c>
      <c r="X349" s="35" t="n">
        <v>0</v>
      </c>
      <c r="Y349" s="30" t="n">
        <v>11179416</v>
      </c>
      <c r="Z349" s="30" t="n">
        <v>865286798400</v>
      </c>
      <c r="AA349" s="30" t="n">
        <v>1862785800</v>
      </c>
      <c r="AB349" s="30" t="n">
        <v>2396748585</v>
      </c>
      <c r="AC349" s="35" t="n">
        <v>0.002152795816883458</v>
      </c>
      <c r="AD349" s="24" t="inlineStr">
        <is>
          <t>yfinance_download</t>
        </is>
      </c>
      <c r="AE349" s="24" t="inlineStr">
        <is>
          <t>064760.KQ</t>
        </is>
      </c>
    </row>
    <row r="350" ht="24" customHeight="1">
      <c r="A350" s="29" t="inlineStr">
        <is>
          <t>2024-11-12</t>
        </is>
      </c>
      <c r="B350" s="31" t="n">
        <v>77400</v>
      </c>
      <c r="C350" s="31" t="n">
        <v>77800</v>
      </c>
      <c r="D350" s="31" t="n">
        <v>74400</v>
      </c>
      <c r="E350" s="31" t="n">
        <v>74900</v>
      </c>
      <c r="F350" s="31" t="n">
        <v>72905.046875</v>
      </c>
      <c r="G350" s="31" t="n">
        <v>35673</v>
      </c>
      <c r="H350" s="36" t="n">
        <v>-0.03229974160206717</v>
      </c>
      <c r="I350" s="36" t="n">
        <v>-0.6348122866894198</v>
      </c>
      <c r="J350" s="31" t="n">
        <v>84730</v>
      </c>
      <c r="K350" s="31" t="n">
        <v>92540</v>
      </c>
      <c r="L350" s="31" t="n">
        <v>107480</v>
      </c>
      <c r="M350" s="36" t="n">
        <v>0.4919669858253526</v>
      </c>
      <c r="N350" s="36" t="n">
        <v>0.4114908842656863</v>
      </c>
      <c r="O350" s="36" t="n">
        <v>-0.1928879310344828</v>
      </c>
      <c r="P350" s="36" t="n">
        <v>-0.2960526315789473</v>
      </c>
      <c r="Q350" s="36" t="n">
        <v>-0.3705882352941177</v>
      </c>
      <c r="R350" s="36" t="n">
        <v>-0.116015578897675</v>
      </c>
      <c r="S350" s="36" t="n">
        <v>-0.1906202723146747</v>
      </c>
      <c r="T350" s="36" t="n">
        <v>-0.3031261630070711</v>
      </c>
      <c r="U350" s="31" t="n">
        <v>142000</v>
      </c>
      <c r="V350" s="31" t="n">
        <v>74900</v>
      </c>
      <c r="W350" s="36" t="n">
        <v>-0.4725352112676057</v>
      </c>
      <c r="X350" s="36" t="n">
        <v>0</v>
      </c>
      <c r="Y350" s="31" t="n">
        <v>11179416</v>
      </c>
      <c r="Z350" s="31" t="n">
        <v>837338258400</v>
      </c>
      <c r="AA350" s="31" t="n">
        <v>2671907700</v>
      </c>
      <c r="AB350" s="31" t="n">
        <v>2448271650</v>
      </c>
      <c r="AC350" s="36" t="n">
        <v>0.003190953802953571</v>
      </c>
      <c r="AD350" s="29" t="inlineStr">
        <is>
          <t>yfinance_download</t>
        </is>
      </c>
      <c r="AE350" s="29" t="inlineStr">
        <is>
          <t>064760.KQ</t>
        </is>
      </c>
    </row>
    <row r="351" ht="24" customHeight="1">
      <c r="A351" s="24" t="inlineStr">
        <is>
          <t>2024-11-13</t>
        </is>
      </c>
      <c r="B351" s="30" t="n">
        <v>74500</v>
      </c>
      <c r="C351" s="30" t="n">
        <v>75200</v>
      </c>
      <c r="D351" s="30" t="n">
        <v>73500</v>
      </c>
      <c r="E351" s="30" t="n">
        <v>74300</v>
      </c>
      <c r="F351" s="30" t="n">
        <v>72321.03125</v>
      </c>
      <c r="G351" s="30" t="n">
        <v>33391</v>
      </c>
      <c r="H351" s="35" t="n">
        <v>-0.008010680907877155</v>
      </c>
      <c r="I351" s="35" t="n">
        <v>-0.6377376889322282</v>
      </c>
      <c r="J351" s="30" t="n">
        <v>83975</v>
      </c>
      <c r="K351" s="30" t="n">
        <v>92023.33333333333</v>
      </c>
      <c r="L351" s="30" t="n">
        <v>107115.8333333333</v>
      </c>
      <c r="M351" s="35" t="n">
        <v>0.4819572580192543</v>
      </c>
      <c r="N351" s="35" t="n">
        <v>0.4114016919617364</v>
      </c>
      <c r="O351" s="35" t="n">
        <v>-0.168903803131991</v>
      </c>
      <c r="P351" s="35" t="n">
        <v>-0.2943969610636278</v>
      </c>
      <c r="Q351" s="35" t="n">
        <v>-0.3703389830508474</v>
      </c>
      <c r="R351" s="35" t="n">
        <v>-0.115212860970527</v>
      </c>
      <c r="S351" s="35" t="n">
        <v>-0.1925960807041692</v>
      </c>
      <c r="T351" s="35" t="n">
        <v>-0.3063583815028902</v>
      </c>
      <c r="U351" s="30" t="n">
        <v>142000</v>
      </c>
      <c r="V351" s="30" t="n">
        <v>74300</v>
      </c>
      <c r="W351" s="35" t="n">
        <v>-0.4767605633802817</v>
      </c>
      <c r="X351" s="35" t="n">
        <v>0</v>
      </c>
      <c r="Y351" s="30" t="n">
        <v>11179416</v>
      </c>
      <c r="Z351" s="30" t="n">
        <v>830630608800</v>
      </c>
      <c r="AA351" s="30" t="n">
        <v>2480951300</v>
      </c>
      <c r="AB351" s="30" t="n">
        <v>2486942215</v>
      </c>
      <c r="AC351" s="35" t="n">
        <v>0.002986828650083332</v>
      </c>
      <c r="AD351" s="24" t="inlineStr">
        <is>
          <t>yfinance_download</t>
        </is>
      </c>
      <c r="AE351" s="24" t="inlineStr">
        <is>
          <t>064760.KQ</t>
        </is>
      </c>
    </row>
    <row r="352" ht="24" customHeight="1">
      <c r="A352" s="29" t="inlineStr">
        <is>
          <t>2024-11-14</t>
        </is>
      </c>
      <c r="B352" s="31" t="n">
        <v>74300</v>
      </c>
      <c r="C352" s="31" t="n">
        <v>75300</v>
      </c>
      <c r="D352" s="31" t="n">
        <v>71100</v>
      </c>
      <c r="E352" s="31" t="n">
        <v>71900</v>
      </c>
      <c r="F352" s="31" t="n">
        <v>69984.9609375</v>
      </c>
      <c r="G352" s="31" t="n">
        <v>46388</v>
      </c>
      <c r="H352" s="36" t="n">
        <v>-0.03230148048452219</v>
      </c>
      <c r="I352" s="36" t="n">
        <v>-0.6494392979034618</v>
      </c>
      <c r="J352" s="31" t="n">
        <v>83075</v>
      </c>
      <c r="K352" s="31" t="n">
        <v>91476.66666666667</v>
      </c>
      <c r="L352" s="31" t="n">
        <v>106755</v>
      </c>
      <c r="M352" s="36" t="n">
        <v>0.485734330248547</v>
      </c>
      <c r="N352" s="36" t="n">
        <v>0.4150627502964228</v>
      </c>
      <c r="O352" s="36" t="n">
        <v>-0.2002224694104561</v>
      </c>
      <c r="P352" s="36" t="n">
        <v>-0.3132760267430754</v>
      </c>
      <c r="Q352" s="36" t="n">
        <v>-0.3758680555555556</v>
      </c>
      <c r="R352" s="36" t="n">
        <v>-0.1345170027083961</v>
      </c>
      <c r="S352" s="36" t="n">
        <v>-0.2140072149546333</v>
      </c>
      <c r="T352" s="36" t="n">
        <v>-0.3264952461243034</v>
      </c>
      <c r="U352" s="31" t="n">
        <v>142000</v>
      </c>
      <c r="V352" s="31" t="n">
        <v>71900</v>
      </c>
      <c r="W352" s="36" t="n">
        <v>-0.4936619718309859</v>
      </c>
      <c r="X352" s="36" t="n">
        <v>0</v>
      </c>
      <c r="Y352" s="31" t="n">
        <v>11179416</v>
      </c>
      <c r="Z352" s="31" t="n">
        <v>803800010400</v>
      </c>
      <c r="AA352" s="31" t="n">
        <v>3335297200</v>
      </c>
      <c r="AB352" s="31" t="n">
        <v>2608864955</v>
      </c>
      <c r="AC352" s="36" t="n">
        <v>0.004149411740291264</v>
      </c>
      <c r="AD352" s="29" t="inlineStr">
        <is>
          <t>yfinance_download</t>
        </is>
      </c>
      <c r="AE352" s="29" t="inlineStr">
        <is>
          <t>064760.KQ</t>
        </is>
      </c>
    </row>
    <row r="353" ht="24" customHeight="1">
      <c r="A353" s="24" t="inlineStr">
        <is>
          <t>2024-11-15</t>
        </is>
      </c>
      <c r="B353" s="30" t="n">
        <v>71000</v>
      </c>
      <c r="C353" s="30" t="n">
        <v>73400</v>
      </c>
      <c r="D353" s="30" t="n">
        <v>70700</v>
      </c>
      <c r="E353" s="30" t="n">
        <v>72400</v>
      </c>
      <c r="F353" s="30" t="n">
        <v>70471.6328125</v>
      </c>
      <c r="G353" s="30" t="n">
        <v>58994</v>
      </c>
      <c r="H353" s="35" t="n">
        <v>0.006954102920723182</v>
      </c>
      <c r="I353" s="35" t="n">
        <v>-0.6470014627011214</v>
      </c>
      <c r="J353" s="30" t="n">
        <v>82310</v>
      </c>
      <c r="K353" s="30" t="n">
        <v>90850</v>
      </c>
      <c r="L353" s="30" t="n">
        <v>106404.1666666667</v>
      </c>
      <c r="M353" s="35" t="n">
        <v>0.4866954058204156</v>
      </c>
      <c r="N353" s="35" t="n">
        <v>0.3989982577989227</v>
      </c>
      <c r="O353" s="35" t="n">
        <v>-0.1744583808437856</v>
      </c>
      <c r="P353" s="35" t="n">
        <v>-0.3418181818181818</v>
      </c>
      <c r="Q353" s="35" t="n">
        <v>-0.3676855895196507</v>
      </c>
      <c r="R353" s="35" t="n">
        <v>-0.1203984935001823</v>
      </c>
      <c r="S353" s="35" t="n">
        <v>-0.2030820033021464</v>
      </c>
      <c r="T353" s="35" t="n">
        <v>-0.319575517876023</v>
      </c>
      <c r="U353" s="30" t="n">
        <v>142000</v>
      </c>
      <c r="V353" s="30" t="n">
        <v>71900</v>
      </c>
      <c r="W353" s="35" t="n">
        <v>-0.4901408450704225</v>
      </c>
      <c r="X353" s="35" t="n">
        <v>0.006954102920723182</v>
      </c>
      <c r="Y353" s="30" t="n">
        <v>11179416</v>
      </c>
      <c r="Z353" s="30" t="n">
        <v>809389718400</v>
      </c>
      <c r="AA353" s="30" t="n">
        <v>4271165600</v>
      </c>
      <c r="AB353" s="30" t="n">
        <v>2721094655</v>
      </c>
      <c r="AC353" s="35" t="n">
        <v>0.005277019837172174</v>
      </c>
      <c r="AD353" s="24" t="inlineStr">
        <is>
          <t>yfinance_download</t>
        </is>
      </c>
      <c r="AE353" s="24" t="inlineStr">
        <is>
          <t>064760.KQ</t>
        </is>
      </c>
    </row>
    <row r="354" ht="24" customHeight="1">
      <c r="A354" s="29" t="inlineStr">
        <is>
          <t>2024-11-18</t>
        </is>
      </c>
      <c r="B354" s="31" t="n">
        <v>72400</v>
      </c>
      <c r="C354" s="31" t="n">
        <v>72800</v>
      </c>
      <c r="D354" s="31" t="n">
        <v>70100</v>
      </c>
      <c r="E354" s="31" t="n">
        <v>72000</v>
      </c>
      <c r="F354" s="31" t="n">
        <v>70082.2890625</v>
      </c>
      <c r="G354" s="31" t="n">
        <v>55751</v>
      </c>
      <c r="H354" s="36" t="n">
        <v>-0.005524861878453025</v>
      </c>
      <c r="I354" s="36" t="n">
        <v>-0.6489517308629937</v>
      </c>
      <c r="J354" s="31" t="n">
        <v>81520</v>
      </c>
      <c r="K354" s="31" t="n">
        <v>90200</v>
      </c>
      <c r="L354" s="31" t="n">
        <v>106072.5</v>
      </c>
      <c r="M354" s="36" t="n">
        <v>0.4854098154487979</v>
      </c>
      <c r="N354" s="36" t="n">
        <v>0.3976598769038273</v>
      </c>
      <c r="O354" s="36" t="n">
        <v>-0.1799544419134397</v>
      </c>
      <c r="P354" s="36" t="n">
        <v>-0.3513513513513513</v>
      </c>
      <c r="Q354" s="36" t="n">
        <v>-0.3559928443649374</v>
      </c>
      <c r="R354" s="36" t="n">
        <v>-0.1167811579980373</v>
      </c>
      <c r="S354" s="36" t="n">
        <v>-0.2017738359201774</v>
      </c>
      <c r="T354" s="36" t="n">
        <v>-0.321218977586085</v>
      </c>
      <c r="U354" s="31" t="n">
        <v>142000</v>
      </c>
      <c r="V354" s="31" t="n">
        <v>71900</v>
      </c>
      <c r="W354" s="36" t="n">
        <v>-0.4929577464788732</v>
      </c>
      <c r="X354" s="36" t="n">
        <v>0.001390820584144636</v>
      </c>
      <c r="Y354" s="31" t="n">
        <v>11179416</v>
      </c>
      <c r="Z354" s="31" t="n">
        <v>804917952000</v>
      </c>
      <c r="AA354" s="31" t="n">
        <v>4014072000</v>
      </c>
      <c r="AB354" s="31" t="n">
        <v>2836821025</v>
      </c>
      <c r="AC354" s="36" t="n">
        <v>0.004986933127812758</v>
      </c>
      <c r="AD354" s="29" t="inlineStr">
        <is>
          <t>yfinance_download</t>
        </is>
      </c>
      <c r="AE354" s="29" t="inlineStr">
        <is>
          <t>064760.KQ</t>
        </is>
      </c>
    </row>
    <row r="355" ht="24" customHeight="1">
      <c r="A355" s="24" t="inlineStr">
        <is>
          <t>2024-11-19</t>
        </is>
      </c>
      <c r="B355" s="30" t="n">
        <v>72100</v>
      </c>
      <c r="C355" s="30" t="n">
        <v>72500</v>
      </c>
      <c r="D355" s="30" t="n">
        <v>69300</v>
      </c>
      <c r="E355" s="30" t="n">
        <v>69800</v>
      </c>
      <c r="F355" s="30" t="n">
        <v>67940.8828125</v>
      </c>
      <c r="G355" s="30" t="n">
        <v>79898</v>
      </c>
      <c r="H355" s="35" t="n">
        <v>-0.03055555555555556</v>
      </c>
      <c r="I355" s="35" t="n">
        <v>-0.6596782057532911</v>
      </c>
      <c r="J355" s="30" t="n">
        <v>80735</v>
      </c>
      <c r="K355" s="30" t="n">
        <v>89568.33333333333</v>
      </c>
      <c r="L355" s="30" t="n">
        <v>105705</v>
      </c>
      <c r="M355" s="35" t="n">
        <v>0.4876488118041731</v>
      </c>
      <c r="N355" s="35" t="n">
        <v>0.3978661147661108</v>
      </c>
      <c r="O355" s="35" t="n">
        <v>-0.183625730994152</v>
      </c>
      <c r="P355" s="35" t="n">
        <v>-0.3519034354688951</v>
      </c>
      <c r="Q355" s="35" t="n">
        <v>-0.3871817383669885</v>
      </c>
      <c r="R355" s="35" t="n">
        <v>-0.1354431163683656</v>
      </c>
      <c r="S355" s="35" t="n">
        <v>-0.2207067229861744</v>
      </c>
      <c r="T355" s="35" t="n">
        <v>-0.3396717279220473</v>
      </c>
      <c r="U355" s="30" t="n">
        <v>142000</v>
      </c>
      <c r="V355" s="30" t="n">
        <v>69800</v>
      </c>
      <c r="W355" s="35" t="n">
        <v>-0.5084507042253521</v>
      </c>
      <c r="X355" s="35" t="n">
        <v>0</v>
      </c>
      <c r="Y355" s="30" t="n">
        <v>11179416</v>
      </c>
      <c r="Z355" s="30" t="n">
        <v>780323236800</v>
      </c>
      <c r="AA355" s="30" t="n">
        <v>5576880400</v>
      </c>
      <c r="AB355" s="30" t="n">
        <v>3023585820</v>
      </c>
      <c r="AC355" s="35" t="n">
        <v>0.007146884953561081</v>
      </c>
      <c r="AD355" s="24" t="inlineStr">
        <is>
          <t>yfinance_download</t>
        </is>
      </c>
      <c r="AE355" s="24" t="inlineStr">
        <is>
          <t>064760.KQ</t>
        </is>
      </c>
    </row>
    <row r="356" ht="24" customHeight="1">
      <c r="A356" s="29" t="inlineStr">
        <is>
          <t>2024-11-20</t>
        </is>
      </c>
      <c r="B356" s="31" t="n">
        <v>70300</v>
      </c>
      <c r="C356" s="31" t="n">
        <v>70900</v>
      </c>
      <c r="D356" s="31" t="n">
        <v>68800</v>
      </c>
      <c r="E356" s="31" t="n">
        <v>70600</v>
      </c>
      <c r="F356" s="31" t="n">
        <v>68719.5859375</v>
      </c>
      <c r="G356" s="31" t="n">
        <v>30979</v>
      </c>
      <c r="H356" s="36" t="n">
        <v>0.01146131805157591</v>
      </c>
      <c r="I356" s="36" t="n">
        <v>-0.6557776694295465</v>
      </c>
      <c r="J356" s="31" t="n">
        <v>79755</v>
      </c>
      <c r="K356" s="31" t="n">
        <v>88953.33333333333</v>
      </c>
      <c r="L356" s="31" t="n">
        <v>105385</v>
      </c>
      <c r="M356" s="36" t="n">
        <v>0.4325246081008408</v>
      </c>
      <c r="N356" s="36" t="n">
        <v>0.3995188489473739</v>
      </c>
      <c r="O356" s="36" t="n">
        <v>-0.2172949002217295</v>
      </c>
      <c r="P356" s="36" t="n">
        <v>-0.3432558139534884</v>
      </c>
      <c r="Q356" s="36" t="n">
        <v>-0.3522935779816514</v>
      </c>
      <c r="R356" s="36" t="n">
        <v>-0.1147890414394082</v>
      </c>
      <c r="S356" s="36" t="n">
        <v>-0.2063254140747958</v>
      </c>
      <c r="T356" s="36" t="n">
        <v>-0.3300754376808844</v>
      </c>
      <c r="U356" s="31" t="n">
        <v>142000</v>
      </c>
      <c r="V356" s="31" t="n">
        <v>69800</v>
      </c>
      <c r="W356" s="36" t="n">
        <v>-0.5028169014084507</v>
      </c>
      <c r="X356" s="36" t="n">
        <v>0.01146131805157591</v>
      </c>
      <c r="Y356" s="31" t="n">
        <v>11179416</v>
      </c>
      <c r="Z356" s="31" t="n">
        <v>789266769600</v>
      </c>
      <c r="AA356" s="31" t="n">
        <v>2187117400</v>
      </c>
      <c r="AB356" s="31" t="n">
        <v>2954931990</v>
      </c>
      <c r="AC356" s="36" t="n">
        <v>0.002771074982807689</v>
      </c>
      <c r="AD356" s="29" t="inlineStr">
        <is>
          <t>yfinance_download</t>
        </is>
      </c>
      <c r="AE356" s="29" t="inlineStr">
        <is>
          <t>064760.KQ</t>
        </is>
      </c>
    </row>
    <row r="357" ht="24" customHeight="1">
      <c r="A357" s="24" t="inlineStr">
        <is>
          <t>2024-11-21</t>
        </is>
      </c>
      <c r="B357" s="30" t="n">
        <v>71200</v>
      </c>
      <c r="C357" s="30" t="n">
        <v>71700</v>
      </c>
      <c r="D357" s="30" t="n">
        <v>67500</v>
      </c>
      <c r="E357" s="30" t="n">
        <v>70200</v>
      </c>
      <c r="F357" s="30" t="n">
        <v>68330.234375</v>
      </c>
      <c r="G357" s="30" t="n">
        <v>36817</v>
      </c>
      <c r="H357" s="35" t="n">
        <v>-0.005665722379603388</v>
      </c>
      <c r="I357" s="35" t="n">
        <v>-0.6577279375914189</v>
      </c>
      <c r="J357" s="30" t="n">
        <v>78800</v>
      </c>
      <c r="K357" s="30" t="n">
        <v>88295</v>
      </c>
      <c r="L357" s="30" t="n">
        <v>105034.1666666667</v>
      </c>
      <c r="M357" s="35" t="n">
        <v>0.4330388540210881</v>
      </c>
      <c r="N357" s="35" t="n">
        <v>0.3955072388222963</v>
      </c>
      <c r="O357" s="35" t="n">
        <v>-0.2138857782754759</v>
      </c>
      <c r="P357" s="35" t="n">
        <v>-0.3600729261622607</v>
      </c>
      <c r="Q357" s="35" t="n">
        <v>-0.3748886910062333</v>
      </c>
      <c r="R357" s="35" t="n">
        <v>-0.1091370558375635</v>
      </c>
      <c r="S357" s="35" t="n">
        <v>-0.2049379919587746</v>
      </c>
      <c r="T357" s="35" t="n">
        <v>-0.3316460516815957</v>
      </c>
      <c r="U357" s="30" t="n">
        <v>142000</v>
      </c>
      <c r="V357" s="30" t="n">
        <v>69800</v>
      </c>
      <c r="W357" s="35" t="n">
        <v>-0.5056338028169014</v>
      </c>
      <c r="X357" s="35" t="n">
        <v>0.005730659025787954</v>
      </c>
      <c r="Y357" s="30" t="n">
        <v>11179416</v>
      </c>
      <c r="Z357" s="30" t="n">
        <v>784795003200</v>
      </c>
      <c r="AA357" s="30" t="n">
        <v>2584553400</v>
      </c>
      <c r="AB357" s="30" t="n">
        <v>2987416505</v>
      </c>
      <c r="AC357" s="35" t="n">
        <v>0.003293284729721123</v>
      </c>
      <c r="AD357" s="24" t="inlineStr">
        <is>
          <t>yfinance_download</t>
        </is>
      </c>
      <c r="AE357" s="24" t="inlineStr">
        <is>
          <t>064760.KQ</t>
        </is>
      </c>
    </row>
    <row r="358" ht="24" customHeight="1">
      <c r="A358" s="29" t="inlineStr">
        <is>
          <t>2024-11-22</t>
        </is>
      </c>
      <c r="B358" s="31" t="n">
        <v>70500</v>
      </c>
      <c r="C358" s="31" t="n">
        <v>72300</v>
      </c>
      <c r="D358" s="31" t="n">
        <v>70000</v>
      </c>
      <c r="E358" s="31" t="n">
        <v>71500</v>
      </c>
      <c r="F358" s="31" t="n">
        <v>69595.609375</v>
      </c>
      <c r="G358" s="31" t="n">
        <v>36563</v>
      </c>
      <c r="H358" s="36" t="n">
        <v>0.0185185185185186</v>
      </c>
      <c r="I358" s="36" t="n">
        <v>-0.6513895660653339</v>
      </c>
      <c r="J358" s="31" t="n">
        <v>78160</v>
      </c>
      <c r="K358" s="31" t="n">
        <v>87701.66666666667</v>
      </c>
      <c r="L358" s="31" t="n">
        <v>104656.6666666667</v>
      </c>
      <c r="M358" s="36" t="n">
        <v>0.4120036699215718</v>
      </c>
      <c r="N358" s="36" t="n">
        <v>0.3974007297472076</v>
      </c>
      <c r="O358" s="36" t="n">
        <v>-0.1518386714116251</v>
      </c>
      <c r="P358" s="36" t="n">
        <v>-0.3323996265172736</v>
      </c>
      <c r="Q358" s="36" t="n">
        <v>-0.3878424657534246</v>
      </c>
      <c r="R358" s="36" t="n">
        <v>-0.0852098259979529</v>
      </c>
      <c r="S358" s="36" t="n">
        <v>-0.1847361319625245</v>
      </c>
      <c r="T358" s="36" t="n">
        <v>-0.3168137083160811</v>
      </c>
      <c r="U358" s="31" t="n">
        <v>142000</v>
      </c>
      <c r="V358" s="31" t="n">
        <v>69800</v>
      </c>
      <c r="W358" s="36" t="n">
        <v>-0.4964788732394366</v>
      </c>
      <c r="X358" s="36" t="n">
        <v>0.02435530085959892</v>
      </c>
      <c r="Y358" s="31" t="n">
        <v>11179416</v>
      </c>
      <c r="Z358" s="31" t="n">
        <v>799328244000</v>
      </c>
      <c r="AA358" s="31" t="n">
        <v>2614254500</v>
      </c>
      <c r="AB358" s="31" t="n">
        <v>2763044985</v>
      </c>
      <c r="AC358" s="36" t="n">
        <v>0.003270564401575181</v>
      </c>
      <c r="AD358" s="29" t="inlineStr">
        <is>
          <t>yfinance_download</t>
        </is>
      </c>
      <c r="AE358" s="29" t="inlineStr">
        <is>
          <t>064760.KQ</t>
        </is>
      </c>
    </row>
    <row r="359" ht="24" customHeight="1">
      <c r="A359" s="24" t="inlineStr">
        <is>
          <t>2024-11-25</t>
        </is>
      </c>
      <c r="B359" s="30" t="n">
        <v>72000</v>
      </c>
      <c r="C359" s="30" t="n">
        <v>73000</v>
      </c>
      <c r="D359" s="30" t="n">
        <v>70200</v>
      </c>
      <c r="E359" s="30" t="n">
        <v>72000</v>
      </c>
      <c r="F359" s="30" t="n">
        <v>70082.2890625</v>
      </c>
      <c r="G359" s="30" t="n">
        <v>44437</v>
      </c>
      <c r="H359" s="35" t="n">
        <v>0.006993006993007089</v>
      </c>
      <c r="I359" s="35" t="n">
        <v>-0.6489517308629937</v>
      </c>
      <c r="J359" s="30" t="n">
        <v>77460</v>
      </c>
      <c r="K359" s="30" t="n">
        <v>87106.66666666667</v>
      </c>
      <c r="L359" s="30" t="n">
        <v>104309.1666666667</v>
      </c>
      <c r="M359" s="35" t="n">
        <v>0.4026578210751053</v>
      </c>
      <c r="N359" s="35" t="n">
        <v>0.3975903456787168</v>
      </c>
      <c r="O359" s="35" t="n">
        <v>-0.1627906976744186</v>
      </c>
      <c r="P359" s="35" t="n">
        <v>-0.3314763231197771</v>
      </c>
      <c r="Q359" s="35" t="n">
        <v>-0.366754617414248</v>
      </c>
      <c r="R359" s="35" t="n">
        <v>-0.07048799380325332</v>
      </c>
      <c r="S359" s="35" t="n">
        <v>-0.1734272156742691</v>
      </c>
      <c r="T359" s="35" t="n">
        <v>-0.3097442698388605</v>
      </c>
      <c r="U359" s="30" t="n">
        <v>142000</v>
      </c>
      <c r="V359" s="30" t="n">
        <v>69800</v>
      </c>
      <c r="W359" s="35" t="n">
        <v>-0.4929577464788732</v>
      </c>
      <c r="X359" s="35" t="n">
        <v>0.03151862464183375</v>
      </c>
      <c r="Y359" s="30" t="n">
        <v>11179416</v>
      </c>
      <c r="Z359" s="30" t="n">
        <v>804917952000</v>
      </c>
      <c r="AA359" s="30" t="n">
        <v>3199464000</v>
      </c>
      <c r="AB359" s="30" t="n">
        <v>2841025785</v>
      </c>
      <c r="AC359" s="35" t="n">
        <v>0.003974894574099399</v>
      </c>
      <c r="AD359" s="24" t="inlineStr">
        <is>
          <t>yfinance_download</t>
        </is>
      </c>
      <c r="AE359" s="24" t="inlineStr">
        <is>
          <t>064760.KQ</t>
        </is>
      </c>
    </row>
    <row r="360" ht="24" customHeight="1">
      <c r="A360" s="29" t="inlineStr">
        <is>
          <t>2024-11-26</t>
        </is>
      </c>
      <c r="B360" s="31" t="n">
        <v>72600</v>
      </c>
      <c r="C360" s="31" t="n">
        <v>72700</v>
      </c>
      <c r="D360" s="31" t="n">
        <v>70900</v>
      </c>
      <c r="E360" s="31" t="n">
        <v>72000</v>
      </c>
      <c r="F360" s="31" t="n">
        <v>70082.2890625</v>
      </c>
      <c r="G360" s="31" t="n">
        <v>32635</v>
      </c>
      <c r="H360" s="36" t="n">
        <v>0</v>
      </c>
      <c r="I360" s="36" t="n">
        <v>-0.6489517308629937</v>
      </c>
      <c r="J360" s="31" t="n">
        <v>76885</v>
      </c>
      <c r="K360" s="31" t="n">
        <v>86558.33333333333</v>
      </c>
      <c r="L360" s="31" t="n">
        <v>103890.8333333333</v>
      </c>
      <c r="M360" s="36" t="n">
        <v>0.3961679497403297</v>
      </c>
      <c r="N360" s="36" t="n">
        <v>0.3956763444004067</v>
      </c>
      <c r="O360" s="36" t="n">
        <v>-0.1377245508982036</v>
      </c>
      <c r="P360" s="36" t="n">
        <v>-0.3136320305052431</v>
      </c>
      <c r="Q360" s="36" t="n">
        <v>-0.4108019639934534</v>
      </c>
      <c r="R360" s="36" t="n">
        <v>-0.06353645054301882</v>
      </c>
      <c r="S360" s="36" t="n">
        <v>-0.1681910079907576</v>
      </c>
      <c r="T360" s="36" t="n">
        <v>-0.3069648429040098</v>
      </c>
      <c r="U360" s="31" t="n">
        <v>142000</v>
      </c>
      <c r="V360" s="31" t="n">
        <v>69800</v>
      </c>
      <c r="W360" s="36" t="n">
        <v>-0.4929577464788732</v>
      </c>
      <c r="X360" s="36" t="n">
        <v>0.03151862464183375</v>
      </c>
      <c r="Y360" s="31" t="n">
        <v>11179416</v>
      </c>
      <c r="Z360" s="31" t="n">
        <v>804917952000</v>
      </c>
      <c r="AA360" s="31" t="n">
        <v>2349720000</v>
      </c>
      <c r="AB360" s="31" t="n">
        <v>2832844285</v>
      </c>
      <c r="AC360" s="36" t="n">
        <v>0.002919204366310369</v>
      </c>
      <c r="AD360" s="29" t="inlineStr">
        <is>
          <t>yfinance_download</t>
        </is>
      </c>
      <c r="AE360" s="29" t="inlineStr">
        <is>
          <t>064760.KQ</t>
        </is>
      </c>
    </row>
    <row r="361" ht="24" customHeight="1">
      <c r="A361" s="24" t="inlineStr">
        <is>
          <t>2024-11-27</t>
        </is>
      </c>
      <c r="B361" s="30" t="n">
        <v>71700</v>
      </c>
      <c r="C361" s="30" t="n">
        <v>71700</v>
      </c>
      <c r="D361" s="30" t="n">
        <v>68800</v>
      </c>
      <c r="E361" s="30" t="n">
        <v>70400</v>
      </c>
      <c r="F361" s="30" t="n">
        <v>68524.90625</v>
      </c>
      <c r="G361" s="30" t="n">
        <v>39219</v>
      </c>
      <c r="H361" s="35" t="n">
        <v>-0.02222222222222225</v>
      </c>
      <c r="I361" s="35" t="n">
        <v>-0.6567528035104827</v>
      </c>
      <c r="J361" s="30" t="n">
        <v>76330</v>
      </c>
      <c r="K361" s="30" t="n">
        <v>86000</v>
      </c>
      <c r="L361" s="30" t="n">
        <v>103469.1666666667</v>
      </c>
      <c r="M361" s="35" t="n">
        <v>0.3952376093402886</v>
      </c>
      <c r="N361" s="35" t="n">
        <v>0.3970199974007939</v>
      </c>
      <c r="O361" s="35" t="n">
        <v>-0.1361963190184049</v>
      </c>
      <c r="P361" s="35" t="n">
        <v>-0.3224254090471608</v>
      </c>
      <c r="Q361" s="35" t="n">
        <v>-0.4181818181818182</v>
      </c>
      <c r="R361" s="35" t="n">
        <v>-0.07768898205161801</v>
      </c>
      <c r="S361" s="35" t="n">
        <v>-0.1813953488372093</v>
      </c>
      <c r="T361" s="35" t="n">
        <v>-0.319604068844986</v>
      </c>
      <c r="U361" s="30" t="n">
        <v>142000</v>
      </c>
      <c r="V361" s="30" t="n">
        <v>69800</v>
      </c>
      <c r="W361" s="35" t="n">
        <v>-0.5042253521126761</v>
      </c>
      <c r="X361" s="35" t="n">
        <v>0.008595988538681931</v>
      </c>
      <c r="Y361" s="30" t="n">
        <v>11179416</v>
      </c>
      <c r="Z361" s="30" t="n">
        <v>787030886400</v>
      </c>
      <c r="AA361" s="30" t="n">
        <v>2761017600</v>
      </c>
      <c r="AB361" s="30" t="n">
        <v>2869602890</v>
      </c>
      <c r="AC361" s="35" t="n">
        <v>0.003508143895888658</v>
      </c>
      <c r="AD361" s="24" t="inlineStr">
        <is>
          <t>yfinance_download</t>
        </is>
      </c>
      <c r="AE361" s="24" t="inlineStr">
        <is>
          <t>064760.KQ</t>
        </is>
      </c>
    </row>
    <row r="362" ht="24" customHeight="1">
      <c r="A362" s="29" t="inlineStr">
        <is>
          <t>2024-11-28</t>
        </is>
      </c>
      <c r="B362" s="31" t="n">
        <v>71000</v>
      </c>
      <c r="C362" s="31" t="n">
        <v>71000</v>
      </c>
      <c r="D362" s="31" t="n">
        <v>69100</v>
      </c>
      <c r="E362" s="31" t="n">
        <v>69700</v>
      </c>
      <c r="F362" s="31" t="n">
        <v>67843.5546875</v>
      </c>
      <c r="G362" s="31" t="n">
        <v>20593</v>
      </c>
      <c r="H362" s="36" t="n">
        <v>-0.009943181818181768</v>
      </c>
      <c r="I362" s="36" t="n">
        <v>-0.6601657727937591</v>
      </c>
      <c r="J362" s="31" t="n">
        <v>75540</v>
      </c>
      <c r="K362" s="31" t="n">
        <v>85410</v>
      </c>
      <c r="L362" s="31" t="n">
        <v>103028.3333333333</v>
      </c>
      <c r="M362" s="36" t="n">
        <v>0.3351236603445513</v>
      </c>
      <c r="N362" s="36" t="n">
        <v>0.3953657220018261</v>
      </c>
      <c r="O362" s="36" t="n">
        <v>-0.1847953216374268</v>
      </c>
      <c r="P362" s="36" t="n">
        <v>-0.3368220742150333</v>
      </c>
      <c r="Q362" s="36" t="n">
        <v>-0.4314845024469821</v>
      </c>
      <c r="R362" s="36" t="n">
        <v>-0.07731003441885098</v>
      </c>
      <c r="S362" s="36" t="n">
        <v>-0.1839363072239785</v>
      </c>
      <c r="T362" s="36" t="n">
        <v>-0.3234870666645098</v>
      </c>
      <c r="U362" s="31" t="n">
        <v>142000</v>
      </c>
      <c r="V362" s="31" t="n">
        <v>69700</v>
      </c>
      <c r="W362" s="36" t="n">
        <v>-0.5091549295774648</v>
      </c>
      <c r="X362" s="36" t="n">
        <v>0</v>
      </c>
      <c r="Y362" s="31" t="n">
        <v>11179416</v>
      </c>
      <c r="Z362" s="31" t="n">
        <v>779205295200</v>
      </c>
      <c r="AA362" s="31" t="n">
        <v>1435332100</v>
      </c>
      <c r="AB362" s="31" t="n">
        <v>2749169770</v>
      </c>
      <c r="AC362" s="36" t="n">
        <v>0.001842046131926748</v>
      </c>
      <c r="AD362" s="29" t="inlineStr">
        <is>
          <t>yfinance_download</t>
        </is>
      </c>
      <c r="AE362" s="29" t="inlineStr">
        <is>
          <t>064760.KQ</t>
        </is>
      </c>
    </row>
    <row r="363" ht="24" customHeight="1">
      <c r="A363" s="24" t="inlineStr">
        <is>
          <t>2024-11-29</t>
        </is>
      </c>
      <c r="B363" s="30" t="n">
        <v>69500</v>
      </c>
      <c r="C363" s="30" t="n">
        <v>70100</v>
      </c>
      <c r="D363" s="30" t="n">
        <v>67900</v>
      </c>
      <c r="E363" s="30" t="n">
        <v>69700</v>
      </c>
      <c r="F363" s="30" t="n">
        <v>67843.5546875</v>
      </c>
      <c r="G363" s="30" t="n">
        <v>27157</v>
      </c>
      <c r="H363" s="35" t="n">
        <v>0</v>
      </c>
      <c r="I363" s="35" t="n">
        <v>-0.6601657727937591</v>
      </c>
      <c r="J363" s="30" t="n">
        <v>74860</v>
      </c>
      <c r="K363" s="30" t="n">
        <v>84938.33333333333</v>
      </c>
      <c r="L363" s="30" t="n">
        <v>102551.6666666667</v>
      </c>
      <c r="M363" s="35" t="n">
        <v>0.331479445291024</v>
      </c>
      <c r="N363" s="35" t="n">
        <v>0.3745089985522126</v>
      </c>
      <c r="O363" s="35" t="n">
        <v>-0.1632653061224489</v>
      </c>
      <c r="P363" s="35" t="n">
        <v>-0.2887755102040817</v>
      </c>
      <c r="Q363" s="35" t="n">
        <v>-0.4507486209613869</v>
      </c>
      <c r="R363" s="35" t="n">
        <v>-0.06892866684477694</v>
      </c>
      <c r="S363" s="35" t="n">
        <v>-0.1794046661303298</v>
      </c>
      <c r="T363" s="35" t="n">
        <v>-0.3203425915392242</v>
      </c>
      <c r="U363" s="30" t="n">
        <v>142000</v>
      </c>
      <c r="V363" s="30" t="n">
        <v>69700</v>
      </c>
      <c r="W363" s="35" t="n">
        <v>-0.5091549295774648</v>
      </c>
      <c r="X363" s="35" t="n">
        <v>0</v>
      </c>
      <c r="Y363" s="30" t="n">
        <v>11179416</v>
      </c>
      <c r="Z363" s="30" t="n">
        <v>779205295200</v>
      </c>
      <c r="AA363" s="30" t="n">
        <v>1892842900</v>
      </c>
      <c r="AB363" s="30" t="n">
        <v>2772003150</v>
      </c>
      <c r="AC363" s="35" t="n">
        <v>0.002429196659288822</v>
      </c>
      <c r="AD363" s="24" t="inlineStr">
        <is>
          <t>yfinance_download</t>
        </is>
      </c>
      <c r="AE363" s="24" t="inlineStr">
        <is>
          <t>064760.KQ</t>
        </is>
      </c>
    </row>
    <row r="364" ht="24" customHeight="1">
      <c r="A364" s="29" t="inlineStr">
        <is>
          <t>2024-12-02</t>
        </is>
      </c>
      <c r="B364" s="31" t="n">
        <v>70500</v>
      </c>
      <c r="C364" s="31" t="n">
        <v>71200</v>
      </c>
      <c r="D364" s="31" t="n">
        <v>67900</v>
      </c>
      <c r="E364" s="31" t="n">
        <v>68800</v>
      </c>
      <c r="F364" s="31" t="n">
        <v>66967.5234375</v>
      </c>
      <c r="G364" s="31" t="n">
        <v>26483</v>
      </c>
      <c r="H364" s="36" t="n">
        <v>-0.01291248206599716</v>
      </c>
      <c r="I364" s="36" t="n">
        <v>-0.6645538761579717</v>
      </c>
      <c r="J364" s="31" t="n">
        <v>74000</v>
      </c>
      <c r="K364" s="31" t="n">
        <v>84410</v>
      </c>
      <c r="L364" s="31" t="n">
        <v>102072.5</v>
      </c>
      <c r="M364" s="36" t="n">
        <v>0.2939005064630077</v>
      </c>
      <c r="N364" s="36" t="n">
        <v>0.369209288681934</v>
      </c>
      <c r="O364" s="36" t="n">
        <v>-0.2</v>
      </c>
      <c r="P364" s="36" t="n">
        <v>-0.3154228855721393</v>
      </c>
      <c r="Q364" s="36" t="n">
        <v>-0.4552652414885194</v>
      </c>
      <c r="R364" s="36" t="n">
        <v>-0.07027027027027022</v>
      </c>
      <c r="S364" s="36" t="n">
        <v>-0.1849306954152352</v>
      </c>
      <c r="T364" s="36" t="n">
        <v>-0.3259692865365305</v>
      </c>
      <c r="U364" s="31" t="n">
        <v>142000</v>
      </c>
      <c r="V364" s="31" t="n">
        <v>68800</v>
      </c>
      <c r="W364" s="36" t="n">
        <v>-0.5154929577464789</v>
      </c>
      <c r="X364" s="36" t="n">
        <v>0</v>
      </c>
      <c r="Y364" s="31" t="n">
        <v>11179416</v>
      </c>
      <c r="Z364" s="31" t="n">
        <v>769143820800</v>
      </c>
      <c r="AA364" s="31" t="n">
        <v>1822030400</v>
      </c>
      <c r="AB364" s="31" t="n">
        <v>2722455970</v>
      </c>
      <c r="AC364" s="36" t="n">
        <v>0.002368907284602344</v>
      </c>
      <c r="AD364" s="29" t="inlineStr">
        <is>
          <t>yfinance_download</t>
        </is>
      </c>
      <c r="AE364" s="29" t="inlineStr">
        <is>
          <t>064760.KQ</t>
        </is>
      </c>
    </row>
    <row r="365" ht="24" customHeight="1">
      <c r="A365" s="24" t="inlineStr">
        <is>
          <t>2024-12-03</t>
        </is>
      </c>
      <c r="B365" s="30" t="n">
        <v>68900</v>
      </c>
      <c r="C365" s="30" t="n">
        <v>69900</v>
      </c>
      <c r="D365" s="30" t="n">
        <v>68400</v>
      </c>
      <c r="E365" s="30" t="n">
        <v>69200</v>
      </c>
      <c r="F365" s="30" t="n">
        <v>67356.8671875</v>
      </c>
      <c r="G365" s="30" t="n">
        <v>41567</v>
      </c>
      <c r="H365" s="35" t="n">
        <v>0.005813953488372103</v>
      </c>
      <c r="I365" s="35" t="n">
        <v>-0.6626036079960995</v>
      </c>
      <c r="J365" s="30" t="n">
        <v>73195</v>
      </c>
      <c r="K365" s="30" t="n">
        <v>83928.33333333333</v>
      </c>
      <c r="L365" s="30" t="n">
        <v>101615.8333333333</v>
      </c>
      <c r="M365" s="35" t="n">
        <v>0.2997721743786159</v>
      </c>
      <c r="N365" s="35" t="n">
        <v>0.3680908800039588</v>
      </c>
      <c r="O365" s="35" t="n">
        <v>-0.1887456037514654</v>
      </c>
      <c r="P365" s="35" t="n">
        <v>-0.2945973496432212</v>
      </c>
      <c r="Q365" s="35" t="n">
        <v>-0.4419354838709677</v>
      </c>
      <c r="R365" s="35" t="n">
        <v>-0.05458023089008812</v>
      </c>
      <c r="S365" s="35" t="n">
        <v>-0.1754870226582202</v>
      </c>
      <c r="T365" s="35" t="n">
        <v>-0.3190037641771705</v>
      </c>
      <c r="U365" s="30" t="n">
        <v>142000</v>
      </c>
      <c r="V365" s="30" t="n">
        <v>68800</v>
      </c>
      <c r="W365" s="35" t="n">
        <v>-0.5126760563380282</v>
      </c>
      <c r="X365" s="35" t="n">
        <v>0.005813953488372103</v>
      </c>
      <c r="Y365" s="30" t="n">
        <v>11179416</v>
      </c>
      <c r="Z365" s="30" t="n">
        <v>773615587200</v>
      </c>
      <c r="AA365" s="30" t="n">
        <v>2876436400</v>
      </c>
      <c r="AB365" s="30" t="n">
        <v>2793278050</v>
      </c>
      <c r="AC365" s="35" t="n">
        <v>0.00371817275607241</v>
      </c>
      <c r="AD365" s="24" t="inlineStr">
        <is>
          <t>yfinance_download</t>
        </is>
      </c>
      <c r="AE365" s="24" t="inlineStr">
        <is>
          <t>064760.KQ</t>
        </is>
      </c>
    </row>
    <row r="366" ht="24" customHeight="1">
      <c r="A366" s="29" t="inlineStr">
        <is>
          <t>2024-12-04</t>
        </is>
      </c>
      <c r="B366" s="31" t="n">
        <v>68600</v>
      </c>
      <c r="C366" s="31" t="n">
        <v>69500</v>
      </c>
      <c r="D366" s="31" t="n">
        <v>66600</v>
      </c>
      <c r="E366" s="31" t="n">
        <v>68800</v>
      </c>
      <c r="F366" s="31" t="n">
        <v>66967.5234375</v>
      </c>
      <c r="G366" s="31" t="n">
        <v>27677</v>
      </c>
      <c r="H366" s="36" t="n">
        <v>-0.005780346820809301</v>
      </c>
      <c r="I366" s="36" t="n">
        <v>-0.6645538761579717</v>
      </c>
      <c r="J366" s="31" t="n">
        <v>72395</v>
      </c>
      <c r="K366" s="31" t="n">
        <v>83470</v>
      </c>
      <c r="L366" s="31" t="n">
        <v>101137.5</v>
      </c>
      <c r="M366" s="36" t="n">
        <v>0.2997880357549978</v>
      </c>
      <c r="N366" s="36" t="n">
        <v>0.3671220974420145</v>
      </c>
      <c r="O366" s="36" t="n">
        <v>-0.1886792452830188</v>
      </c>
      <c r="P366" s="36" t="n">
        <v>-0.2855659397715472</v>
      </c>
      <c r="Q366" s="36" t="n">
        <v>-0.4548335974643423</v>
      </c>
      <c r="R366" s="36" t="n">
        <v>-0.04965812556115756</v>
      </c>
      <c r="S366" s="36" t="n">
        <v>-0.1757517671019528</v>
      </c>
      <c r="T366" s="36" t="n">
        <v>-0.3197379804721295</v>
      </c>
      <c r="U366" s="31" t="n">
        <v>142000</v>
      </c>
      <c r="V366" s="31" t="n">
        <v>68800</v>
      </c>
      <c r="W366" s="36" t="n">
        <v>-0.5154929577464789</v>
      </c>
      <c r="X366" s="36" t="n">
        <v>0</v>
      </c>
      <c r="Y366" s="31" t="n">
        <v>11179416</v>
      </c>
      <c r="Z366" s="31" t="n">
        <v>769143820800</v>
      </c>
      <c r="AA366" s="31" t="n">
        <v>1904177600</v>
      </c>
      <c r="AB366" s="31" t="n">
        <v>2827380050</v>
      </c>
      <c r="AC366" s="36" t="n">
        <v>0.002475710716910436</v>
      </c>
      <c r="AD366" s="29" t="inlineStr">
        <is>
          <t>yfinance_download</t>
        </is>
      </c>
      <c r="AE366" s="29" t="inlineStr">
        <is>
          <t>064760.KQ</t>
        </is>
      </c>
    </row>
    <row r="367" ht="24" customHeight="1">
      <c r="A367" s="24" t="inlineStr">
        <is>
          <t>2024-12-05</t>
        </is>
      </c>
      <c r="B367" s="30" t="n">
        <v>68400</v>
      </c>
      <c r="C367" s="30" t="n">
        <v>69500</v>
      </c>
      <c r="D367" s="30" t="n">
        <v>68200</v>
      </c>
      <c r="E367" s="30" t="n">
        <v>69000</v>
      </c>
      <c r="F367" s="30" t="n">
        <v>67162.1953125</v>
      </c>
      <c r="G367" s="30" t="n">
        <v>29781</v>
      </c>
      <c r="H367" s="35" t="n">
        <v>0.002906976744186052</v>
      </c>
      <c r="I367" s="35" t="n">
        <v>-0.6635787420770356</v>
      </c>
      <c r="J367" s="30" t="n">
        <v>71795</v>
      </c>
      <c r="K367" s="30" t="n">
        <v>83048.33333333333</v>
      </c>
      <c r="L367" s="30" t="n">
        <v>100673.3333333333</v>
      </c>
      <c r="M367" s="35" t="n">
        <v>0.2734736961659535</v>
      </c>
      <c r="N367" s="35" t="n">
        <v>0.3660732396588141</v>
      </c>
      <c r="O367" s="35" t="n">
        <v>-0.1481481481481481</v>
      </c>
      <c r="P367" s="35" t="n">
        <v>-0.2682926829268293</v>
      </c>
      <c r="Q367" s="35" t="n">
        <v>-0.4466720128307939</v>
      </c>
      <c r="R367" s="35" t="n">
        <v>-0.03893028762448636</v>
      </c>
      <c r="S367" s="35" t="n">
        <v>-0.1691585221457383</v>
      </c>
      <c r="T367" s="35" t="n">
        <v>-0.3146149261638301</v>
      </c>
      <c r="U367" s="30" t="n">
        <v>142000</v>
      </c>
      <c r="V367" s="30" t="n">
        <v>68800</v>
      </c>
      <c r="W367" s="35" t="n">
        <v>-0.5140845070422535</v>
      </c>
      <c r="X367" s="35" t="n">
        <v>0.002906976744186052</v>
      </c>
      <c r="Y367" s="30" t="n">
        <v>11179416</v>
      </c>
      <c r="Z367" s="30" t="n">
        <v>771379704000</v>
      </c>
      <c r="AA367" s="30" t="n">
        <v>2054889000</v>
      </c>
      <c r="AB367" s="30" t="n">
        <v>2772340550</v>
      </c>
      <c r="AC367" s="35" t="n">
        <v>0.002663913750056353</v>
      </c>
      <c r="AD367" s="24" t="inlineStr">
        <is>
          <t>yfinance_download</t>
        </is>
      </c>
      <c r="AE367" s="24" t="inlineStr">
        <is>
          <t>064760.KQ</t>
        </is>
      </c>
    </row>
    <row r="368" ht="24" customHeight="1">
      <c r="A368" s="29" t="inlineStr">
        <is>
          <t>2024-12-06</t>
        </is>
      </c>
      <c r="B368" s="31" t="n">
        <v>69800</v>
      </c>
      <c r="C368" s="31" t="n">
        <v>69800</v>
      </c>
      <c r="D368" s="31" t="n">
        <v>67400</v>
      </c>
      <c r="E368" s="31" t="n">
        <v>69200</v>
      </c>
      <c r="F368" s="31" t="n">
        <v>67356.8671875</v>
      </c>
      <c r="G368" s="31" t="n">
        <v>27804</v>
      </c>
      <c r="H368" s="36" t="n">
        <v>0.002898550724637738</v>
      </c>
      <c r="I368" s="36" t="n">
        <v>-0.6626036079960995</v>
      </c>
      <c r="J368" s="31" t="n">
        <v>71190</v>
      </c>
      <c r="K368" s="31" t="n">
        <v>82681.66666666667</v>
      </c>
      <c r="L368" s="31" t="n">
        <v>100140</v>
      </c>
      <c r="M368" s="36" t="n">
        <v>0.2730374437743333</v>
      </c>
      <c r="N368" s="36" t="n">
        <v>0.3617256043912352</v>
      </c>
      <c r="O368" s="36" t="n">
        <v>-0.1488314883148831</v>
      </c>
      <c r="P368" s="36" t="n">
        <v>-0.2412280701754386</v>
      </c>
      <c r="Q368" s="36" t="n">
        <v>-0.4804804804804805</v>
      </c>
      <c r="R368" s="36" t="n">
        <v>-0.02795336423655004</v>
      </c>
      <c r="S368" s="36" t="n">
        <v>-0.1630550908101354</v>
      </c>
      <c r="T368" s="36" t="n">
        <v>-0.3089674455761934</v>
      </c>
      <c r="U368" s="31" t="n">
        <v>142000</v>
      </c>
      <c r="V368" s="31" t="n">
        <v>68800</v>
      </c>
      <c r="W368" s="36" t="n">
        <v>-0.5126760563380282</v>
      </c>
      <c r="X368" s="36" t="n">
        <v>0.005813953488372103</v>
      </c>
      <c r="Y368" s="31" t="n">
        <v>11179416</v>
      </c>
      <c r="Z368" s="31" t="n">
        <v>773615587200</v>
      </c>
      <c r="AA368" s="31" t="n">
        <v>1924036800</v>
      </c>
      <c r="AB368" s="31" t="n">
        <v>2690946605</v>
      </c>
      <c r="AC368" s="36" t="n">
        <v>0.002487070880983407</v>
      </c>
      <c r="AD368" s="29" t="inlineStr">
        <is>
          <t>yfinance_download</t>
        </is>
      </c>
      <c r="AE368" s="29" t="inlineStr">
        <is>
          <t>064760.KQ</t>
        </is>
      </c>
    </row>
    <row r="369" ht="24" customHeight="1">
      <c r="A369" s="24" t="inlineStr">
        <is>
          <t>2024-12-09</t>
        </is>
      </c>
      <c r="B369" s="30" t="n">
        <v>68700</v>
      </c>
      <c r="C369" s="30" t="n">
        <v>69000</v>
      </c>
      <c r="D369" s="30" t="n">
        <v>66500</v>
      </c>
      <c r="E369" s="30" t="n">
        <v>67500</v>
      </c>
      <c r="F369" s="30" t="n">
        <v>65702.1484375</v>
      </c>
      <c r="G369" s="30" t="n">
        <v>38402</v>
      </c>
      <c r="H369" s="35" t="n">
        <v>-0.02456647398843925</v>
      </c>
      <c r="I369" s="35" t="n">
        <v>-0.6708922476840565</v>
      </c>
      <c r="J369" s="30" t="n">
        <v>70695</v>
      </c>
      <c r="K369" s="30" t="n">
        <v>82301.66666666667</v>
      </c>
      <c r="L369" s="30" t="n">
        <v>99627.5</v>
      </c>
      <c r="M369" s="35" t="n">
        <v>0.2378303222279461</v>
      </c>
      <c r="N369" s="35" t="n">
        <v>0.3639334150139459</v>
      </c>
      <c r="O369" s="35" t="n">
        <v>-0.1279069767441861</v>
      </c>
      <c r="P369" s="35" t="n">
        <v>-0.2524916943521595</v>
      </c>
      <c r="Q369" s="35" t="n">
        <v>-0.4767441860465116</v>
      </c>
      <c r="R369" s="35" t="n">
        <v>-0.04519414385741571</v>
      </c>
      <c r="S369" s="35" t="n">
        <v>-0.1798464996658634</v>
      </c>
      <c r="T369" s="35" t="n">
        <v>-0.3224762239341548</v>
      </c>
      <c r="U369" s="30" t="n">
        <v>142000</v>
      </c>
      <c r="V369" s="30" t="n">
        <v>67500</v>
      </c>
      <c r="W369" s="35" t="n">
        <v>-0.5246478873239437</v>
      </c>
      <c r="X369" s="35" t="n">
        <v>0</v>
      </c>
      <c r="Y369" s="30" t="n">
        <v>11179416</v>
      </c>
      <c r="Z369" s="30" t="n">
        <v>754610580000</v>
      </c>
      <c r="AA369" s="30" t="n">
        <v>2592135000</v>
      </c>
      <c r="AB369" s="30" t="n">
        <v>2727414065</v>
      </c>
      <c r="AC369" s="35" t="n">
        <v>0.003435063155356237</v>
      </c>
      <c r="AD369" s="24" t="inlineStr">
        <is>
          <t>yfinance_download</t>
        </is>
      </c>
      <c r="AE369" s="24" t="inlineStr">
        <is>
          <t>064760.KQ</t>
        </is>
      </c>
    </row>
    <row r="370" ht="24" customHeight="1">
      <c r="A370" s="29" t="inlineStr">
        <is>
          <t>2024-12-10</t>
        </is>
      </c>
      <c r="B370" s="31" t="n">
        <v>68300</v>
      </c>
      <c r="C370" s="31" t="n">
        <v>68800</v>
      </c>
      <c r="D370" s="31" t="n">
        <v>67000</v>
      </c>
      <c r="E370" s="31" t="n">
        <v>67600</v>
      </c>
      <c r="F370" s="31" t="n">
        <v>65799.484375</v>
      </c>
      <c r="G370" s="31" t="n">
        <v>37684</v>
      </c>
      <c r="H370" s="36" t="n">
        <v>0.001481481481481417</v>
      </c>
      <c r="I370" s="36" t="n">
        <v>-0.6704046806435885</v>
      </c>
      <c r="J370" s="31" t="n">
        <v>70330</v>
      </c>
      <c r="K370" s="31" t="n">
        <v>81916.66666666667</v>
      </c>
      <c r="L370" s="31" t="n">
        <v>99012.5</v>
      </c>
      <c r="M370" s="36" t="n">
        <v>0.2191184552632246</v>
      </c>
      <c r="N370" s="36" t="n">
        <v>0.3636717434340644</v>
      </c>
      <c r="O370" s="36" t="n">
        <v>-0.09746328437917218</v>
      </c>
      <c r="P370" s="36" t="n">
        <v>-0.2546857772877619</v>
      </c>
      <c r="Q370" s="36" t="n">
        <v>-0.5219236209335218</v>
      </c>
      <c r="R370" s="36" t="n">
        <v>-0.03881700554528655</v>
      </c>
      <c r="S370" s="36" t="n">
        <v>-0.1747711088504579</v>
      </c>
      <c r="T370" s="36" t="n">
        <v>-0.3172579219795481</v>
      </c>
      <c r="U370" s="31" t="n">
        <v>142000</v>
      </c>
      <c r="V370" s="31" t="n">
        <v>67500</v>
      </c>
      <c r="W370" s="36" t="n">
        <v>-0.523943661971831</v>
      </c>
      <c r="X370" s="36" t="n">
        <v>0.001481481481481417</v>
      </c>
      <c r="Y370" s="31" t="n">
        <v>11179416</v>
      </c>
      <c r="Z370" s="31" t="n">
        <v>755728521600</v>
      </c>
      <c r="AA370" s="31" t="n">
        <v>2547438400</v>
      </c>
      <c r="AB370" s="31" t="n">
        <v>2721190600</v>
      </c>
      <c r="AC370" s="36" t="n">
        <v>0.003370837975794084</v>
      </c>
      <c r="AD370" s="29" t="inlineStr">
        <is>
          <t>yfinance_download</t>
        </is>
      </c>
      <c r="AE370" s="29" t="inlineStr">
        <is>
          <t>064760.KQ</t>
        </is>
      </c>
    </row>
    <row r="371" ht="24" customHeight="1">
      <c r="A371" s="24" t="inlineStr">
        <is>
          <t>2024-12-11</t>
        </is>
      </c>
      <c r="B371" s="30" t="n">
        <v>67000</v>
      </c>
      <c r="C371" s="30" t="n">
        <v>71300</v>
      </c>
      <c r="D371" s="30" t="n">
        <v>66900</v>
      </c>
      <c r="E371" s="30" t="n">
        <v>71100</v>
      </c>
      <c r="F371" s="30" t="n">
        <v>69206.2578125</v>
      </c>
      <c r="G371" s="30" t="n">
        <v>28171</v>
      </c>
      <c r="H371" s="35" t="n">
        <v>0.05177514792899407</v>
      </c>
      <c r="I371" s="35" t="n">
        <v>-0.6533398342272063</v>
      </c>
      <c r="J371" s="30" t="n">
        <v>70170</v>
      </c>
      <c r="K371" s="30" t="n">
        <v>81626.66666666667</v>
      </c>
      <c r="L371" s="30" t="n">
        <v>98443.33333333333</v>
      </c>
      <c r="M371" s="35" t="n">
        <v>0.2971718416627956</v>
      </c>
      <c r="N371" s="35" t="n">
        <v>0.3791948505127067</v>
      </c>
      <c r="O371" s="35" t="n">
        <v>-0.04306864064602955</v>
      </c>
      <c r="P371" s="35" t="n">
        <v>-0.1966101694915254</v>
      </c>
      <c r="Q371" s="35" t="n">
        <v>-0.4899569583931134</v>
      </c>
      <c r="R371" s="35" t="n">
        <v>0.01325352714835404</v>
      </c>
      <c r="S371" s="35" t="n">
        <v>-0.1289611238157465</v>
      </c>
      <c r="T371" s="35" t="n">
        <v>-0.2777570852944163</v>
      </c>
      <c r="U371" s="30" t="n">
        <v>142000</v>
      </c>
      <c r="V371" s="30" t="n">
        <v>67500</v>
      </c>
      <c r="W371" s="35" t="n">
        <v>-0.4992957746478873</v>
      </c>
      <c r="X371" s="35" t="n">
        <v>0.05333333333333323</v>
      </c>
      <c r="Y371" s="30" t="n">
        <v>11179416</v>
      </c>
      <c r="Z371" s="30" t="n">
        <v>794856477600</v>
      </c>
      <c r="AA371" s="30" t="n">
        <v>2002958100</v>
      </c>
      <c r="AB371" s="30" t="n">
        <v>2697290940</v>
      </c>
      <c r="AC371" s="35" t="n">
        <v>0.00251989907165097</v>
      </c>
      <c r="AD371" s="24" t="inlineStr">
        <is>
          <t>yfinance_download</t>
        </is>
      </c>
      <c r="AE371" s="24" t="inlineStr">
        <is>
          <t>064760.KQ</t>
        </is>
      </c>
    </row>
    <row r="372" ht="24" customHeight="1">
      <c r="A372" s="29" t="inlineStr">
        <is>
          <t>2024-12-12</t>
        </is>
      </c>
      <c r="B372" s="31" t="n">
        <v>70900</v>
      </c>
      <c r="C372" s="31" t="n">
        <v>72700</v>
      </c>
      <c r="D372" s="31" t="n">
        <v>69600</v>
      </c>
      <c r="E372" s="31" t="n">
        <v>70600</v>
      </c>
      <c r="F372" s="31" t="n">
        <v>68719.5859375</v>
      </c>
      <c r="G372" s="31" t="n">
        <v>75199</v>
      </c>
      <c r="H372" s="36" t="n">
        <v>-0.007032348804500654</v>
      </c>
      <c r="I372" s="36" t="n">
        <v>-0.6557776694295465</v>
      </c>
      <c r="J372" s="31" t="n">
        <v>70105</v>
      </c>
      <c r="K372" s="31" t="n">
        <v>81306.66666666667</v>
      </c>
      <c r="L372" s="31" t="n">
        <v>97848.33333333333</v>
      </c>
      <c r="M372" s="36" t="n">
        <v>0.2758042949582577</v>
      </c>
      <c r="N372" s="36" t="n">
        <v>0.3773870404932466</v>
      </c>
      <c r="O372" s="36" t="n">
        <v>-0.01808066759388038</v>
      </c>
      <c r="P372" s="36" t="n">
        <v>-0.2138084632516704</v>
      </c>
      <c r="Q372" s="36" t="n">
        <v>-0.5028169014084507</v>
      </c>
      <c r="R372" s="36" t="n">
        <v>0.007060837315455482</v>
      </c>
      <c r="S372" s="36" t="n">
        <v>-0.1316825188586422</v>
      </c>
      <c r="T372" s="36" t="n">
        <v>-0.2784751911972611</v>
      </c>
      <c r="U372" s="31" t="n">
        <v>142000</v>
      </c>
      <c r="V372" s="31" t="n">
        <v>67500</v>
      </c>
      <c r="W372" s="36" t="n">
        <v>-0.5028169014084507</v>
      </c>
      <c r="X372" s="36" t="n">
        <v>0.04592592592592593</v>
      </c>
      <c r="Y372" s="31" t="n">
        <v>11179416</v>
      </c>
      <c r="Z372" s="31" t="n">
        <v>789266769600</v>
      </c>
      <c r="AA372" s="31" t="n">
        <v>5309049400</v>
      </c>
      <c r="AB372" s="31" t="n">
        <v>2795978550</v>
      </c>
      <c r="AC372" s="36" t="n">
        <v>0.006726558882861144</v>
      </c>
      <c r="AD372" s="29" t="inlineStr">
        <is>
          <t>yfinance_download</t>
        </is>
      </c>
      <c r="AE372" s="29" t="inlineStr">
        <is>
          <t>064760.KQ</t>
        </is>
      </c>
    </row>
    <row r="373" ht="24" customHeight="1">
      <c r="A373" s="24" t="inlineStr">
        <is>
          <t>2024-12-13</t>
        </is>
      </c>
      <c r="B373" s="30" t="n">
        <v>70500</v>
      </c>
      <c r="C373" s="30" t="n">
        <v>72600</v>
      </c>
      <c r="D373" s="30" t="n">
        <v>69700</v>
      </c>
      <c r="E373" s="30" t="n">
        <v>70600</v>
      </c>
      <c r="F373" s="30" t="n">
        <v>68719.5859375</v>
      </c>
      <c r="G373" s="30" t="n">
        <v>91411</v>
      </c>
      <c r="H373" s="35" t="n">
        <v>0</v>
      </c>
      <c r="I373" s="35" t="n">
        <v>-0.6557776694295465</v>
      </c>
      <c r="J373" s="30" t="n">
        <v>70015</v>
      </c>
      <c r="K373" s="30" t="n">
        <v>80965</v>
      </c>
      <c r="L373" s="30" t="n">
        <v>97285.83333333333</v>
      </c>
      <c r="M373" s="35" t="n">
        <v>0.2743218878018146</v>
      </c>
      <c r="N373" s="35" t="n">
        <v>0.3755668253322731</v>
      </c>
      <c r="O373" s="35" t="n">
        <v>-0.02486187845303867</v>
      </c>
      <c r="P373" s="35" t="n">
        <v>-0.2250274423710209</v>
      </c>
      <c r="Q373" s="35" t="n">
        <v>-0.4887762490948588</v>
      </c>
      <c r="R373" s="35" t="n">
        <v>0.008355352424480378</v>
      </c>
      <c r="S373" s="35" t="n">
        <v>-0.1280182795034892</v>
      </c>
      <c r="T373" s="35" t="n">
        <v>-0.274303384357092</v>
      </c>
      <c r="U373" s="30" t="n">
        <v>142000</v>
      </c>
      <c r="V373" s="30" t="n">
        <v>67500</v>
      </c>
      <c r="W373" s="35" t="n">
        <v>-0.5028169014084507</v>
      </c>
      <c r="X373" s="35" t="n">
        <v>0.04592592592592593</v>
      </c>
      <c r="Y373" s="30" t="n">
        <v>11179416</v>
      </c>
      <c r="Z373" s="30" t="n">
        <v>789266769600</v>
      </c>
      <c r="AA373" s="30" t="n">
        <v>6453616600</v>
      </c>
      <c r="AB373" s="30" t="n">
        <v>2905101100</v>
      </c>
      <c r="AC373" s="35" t="n">
        <v>0.008176724079325789</v>
      </c>
      <c r="AD373" s="24" t="inlineStr">
        <is>
          <t>yfinance_download</t>
        </is>
      </c>
      <c r="AE373" s="24" t="inlineStr">
        <is>
          <t>064760.KQ</t>
        </is>
      </c>
    </row>
    <row r="374" ht="24" customHeight="1">
      <c r="A374" s="29" t="inlineStr">
        <is>
          <t>2024-12-16</t>
        </is>
      </c>
      <c r="B374" s="31" t="n">
        <v>70700</v>
      </c>
      <c r="C374" s="31" t="n">
        <v>72900</v>
      </c>
      <c r="D374" s="31" t="n">
        <v>70700</v>
      </c>
      <c r="E374" s="31" t="n">
        <v>71700</v>
      </c>
      <c r="F374" s="31" t="n">
        <v>69790.28125</v>
      </c>
      <c r="G374" s="31" t="n">
        <v>42987</v>
      </c>
      <c r="H374" s="36" t="n">
        <v>0.01558073654390935</v>
      </c>
      <c r="I374" s="36" t="n">
        <v>-0.6504144319843979</v>
      </c>
      <c r="J374" s="31" t="n">
        <v>70000</v>
      </c>
      <c r="K374" s="31" t="n">
        <v>80690</v>
      </c>
      <c r="L374" s="31" t="n">
        <v>96797.5</v>
      </c>
      <c r="M374" s="36" t="n">
        <v>0.2799960033491499</v>
      </c>
      <c r="N374" s="36" t="n">
        <v>0.3731018875518328</v>
      </c>
      <c r="O374" s="36" t="n">
        <v>-0.004166666666666652</v>
      </c>
      <c r="P374" s="36" t="n">
        <v>-0.1870748299319728</v>
      </c>
      <c r="Q374" s="36" t="n">
        <v>-0.4497313891020721</v>
      </c>
      <c r="R374" s="36" t="n">
        <v>0.02428571428571424</v>
      </c>
      <c r="S374" s="36" t="n">
        <v>-0.1114140537860949</v>
      </c>
      <c r="T374" s="36" t="n">
        <v>-0.2592783904542989</v>
      </c>
      <c r="U374" s="31" t="n">
        <v>142000</v>
      </c>
      <c r="V374" s="31" t="n">
        <v>67500</v>
      </c>
      <c r="W374" s="36" t="n">
        <v>-0.4950704225352113</v>
      </c>
      <c r="X374" s="36" t="n">
        <v>0.06222222222222218</v>
      </c>
      <c r="Y374" s="31" t="n">
        <v>11179416</v>
      </c>
      <c r="Z374" s="31" t="n">
        <v>801564127200</v>
      </c>
      <c r="AA374" s="31" t="n">
        <v>3082167900</v>
      </c>
      <c r="AB374" s="31" t="n">
        <v>2858505895</v>
      </c>
      <c r="AC374" s="36" t="n">
        <v>0.003845191913423742</v>
      </c>
      <c r="AD374" s="29" t="inlineStr">
        <is>
          <t>yfinance_download</t>
        </is>
      </c>
      <c r="AE374" s="29" t="inlineStr">
        <is>
          <t>064760.KQ</t>
        </is>
      </c>
    </row>
    <row r="375" ht="24" customHeight="1">
      <c r="A375" s="24" t="inlineStr">
        <is>
          <t>2024-12-17</t>
        </is>
      </c>
      <c r="B375" s="30" t="n">
        <v>71700</v>
      </c>
      <c r="C375" s="30" t="n">
        <v>72700</v>
      </c>
      <c r="D375" s="30" t="n">
        <v>71400</v>
      </c>
      <c r="E375" s="30" t="n">
        <v>72000</v>
      </c>
      <c r="F375" s="30" t="n">
        <v>70082.2890625</v>
      </c>
      <c r="G375" s="30" t="n">
        <v>31237</v>
      </c>
      <c r="H375" s="35" t="n">
        <v>0.004184100418409997</v>
      </c>
      <c r="I375" s="35" t="n">
        <v>-0.6489517308629937</v>
      </c>
      <c r="J375" s="30" t="n">
        <v>70110</v>
      </c>
      <c r="K375" s="30" t="n">
        <v>80460</v>
      </c>
      <c r="L375" s="30" t="n">
        <v>96273.33333333333</v>
      </c>
      <c r="M375" s="35" t="n">
        <v>0.2559377254021679</v>
      </c>
      <c r="N375" s="35" t="n">
        <v>0.3699980353446934</v>
      </c>
      <c r="O375" s="35" t="n">
        <v>0.03151862464183375</v>
      </c>
      <c r="P375" s="35" t="n">
        <v>-0.1608391608391608</v>
      </c>
      <c r="Q375" s="35" t="n">
        <v>-0.4662713120830244</v>
      </c>
      <c r="R375" s="35" t="n">
        <v>0.02695763799743256</v>
      </c>
      <c r="S375" s="35" t="n">
        <v>-0.1051454138702461</v>
      </c>
      <c r="T375" s="35" t="n">
        <v>-0.2521293539228585</v>
      </c>
      <c r="U375" s="30" t="n">
        <v>142000</v>
      </c>
      <c r="V375" s="30" t="n">
        <v>67500</v>
      </c>
      <c r="W375" s="35" t="n">
        <v>-0.4929577464788732</v>
      </c>
      <c r="X375" s="35" t="n">
        <v>0.06666666666666665</v>
      </c>
      <c r="Y375" s="30" t="n">
        <v>11179416</v>
      </c>
      <c r="Z375" s="30" t="n">
        <v>804917952000</v>
      </c>
      <c r="AA375" s="30" t="n">
        <v>2249064000</v>
      </c>
      <c r="AB375" s="30" t="n">
        <v>2692115075</v>
      </c>
      <c r="AC375" s="35" t="n">
        <v>0.002794153111396875</v>
      </c>
      <c r="AD375" s="24" t="inlineStr">
        <is>
          <t>yfinance_download</t>
        </is>
      </c>
      <c r="AE375" s="24" t="inlineStr">
        <is>
          <t>064760.KQ</t>
        </is>
      </c>
    </row>
    <row r="376" ht="24" customHeight="1">
      <c r="A376" s="29" t="inlineStr">
        <is>
          <t>2024-12-18</t>
        </is>
      </c>
      <c r="B376" s="31" t="n">
        <v>72000</v>
      </c>
      <c r="C376" s="31" t="n">
        <v>72200</v>
      </c>
      <c r="D376" s="31" t="n">
        <v>70600</v>
      </c>
      <c r="E376" s="31" t="n">
        <v>72100</v>
      </c>
      <c r="F376" s="31" t="n">
        <v>70179.625</v>
      </c>
      <c r="G376" s="31" t="n">
        <v>33926</v>
      </c>
      <c r="H376" s="36" t="n">
        <v>0.001388888888888884</v>
      </c>
      <c r="I376" s="36" t="n">
        <v>-0.6484641638225256</v>
      </c>
      <c r="J376" s="31" t="n">
        <v>70185</v>
      </c>
      <c r="K376" s="31" t="n">
        <v>80240</v>
      </c>
      <c r="L376" s="31" t="n">
        <v>95775</v>
      </c>
      <c r="M376" s="36" t="n">
        <v>0.2533131769055918</v>
      </c>
      <c r="N376" s="36" t="n">
        <v>0.370029032069526</v>
      </c>
      <c r="O376" s="36" t="n">
        <v>0.02124645892351285</v>
      </c>
      <c r="P376" s="36" t="n">
        <v>-0.1547479484173505</v>
      </c>
      <c r="Q376" s="36" t="n">
        <v>-0.4533737680060652</v>
      </c>
      <c r="R376" s="36" t="n">
        <v>0.02728503241433344</v>
      </c>
      <c r="S376" s="36" t="n">
        <v>-0.1014456630109671</v>
      </c>
      <c r="T376" s="36" t="n">
        <v>-0.2471939441399112</v>
      </c>
      <c r="U376" s="31" t="n">
        <v>142000</v>
      </c>
      <c r="V376" s="31" t="n">
        <v>67500</v>
      </c>
      <c r="W376" s="36" t="n">
        <v>-0.4922535211267606</v>
      </c>
      <c r="X376" s="36" t="n">
        <v>0.06814814814814807</v>
      </c>
      <c r="Y376" s="31" t="n">
        <v>11179416</v>
      </c>
      <c r="Z376" s="31" t="n">
        <v>806035893600</v>
      </c>
      <c r="AA376" s="31" t="n">
        <v>2446064600</v>
      </c>
      <c r="AB376" s="31" t="n">
        <v>2705062435</v>
      </c>
      <c r="AC376" s="36" t="n">
        <v>0.003034684459367108</v>
      </c>
      <c r="AD376" s="29" t="inlineStr">
        <is>
          <t>yfinance_download</t>
        </is>
      </c>
      <c r="AE376" s="29" t="inlineStr">
        <is>
          <t>064760.KQ</t>
        </is>
      </c>
    </row>
    <row r="377" ht="24" customHeight="1">
      <c r="A377" s="24" t="inlineStr">
        <is>
          <t>2024-12-19</t>
        </is>
      </c>
      <c r="B377" s="30" t="n">
        <v>71000</v>
      </c>
      <c r="C377" s="30" t="n">
        <v>71000</v>
      </c>
      <c r="D377" s="30" t="n">
        <v>68400</v>
      </c>
      <c r="E377" s="30" t="n">
        <v>69900</v>
      </c>
      <c r="F377" s="30" t="n">
        <v>68038.2265625</v>
      </c>
      <c r="G377" s="30" t="n">
        <v>37175</v>
      </c>
      <c r="H377" s="35" t="n">
        <v>-0.03051317614424409</v>
      </c>
      <c r="I377" s="35" t="n">
        <v>-0.659190638712823</v>
      </c>
      <c r="J377" s="30" t="n">
        <v>70170</v>
      </c>
      <c r="K377" s="30" t="n">
        <v>79956.66666666667</v>
      </c>
      <c r="L377" s="30" t="n">
        <v>95286.66666666667</v>
      </c>
      <c r="M377" s="35" t="n">
        <v>0.2765011205926632</v>
      </c>
      <c r="N377" s="35" t="n">
        <v>0.3716950826697552</v>
      </c>
      <c r="O377" s="35" t="n">
        <v>-0.004273504273504258</v>
      </c>
      <c r="P377" s="35" t="n">
        <v>-0.1956271576524741</v>
      </c>
      <c r="Q377" s="35" t="n">
        <v>-0.4560311284046693</v>
      </c>
      <c r="R377" s="35" t="n">
        <v>-0.003847798204360875</v>
      </c>
      <c r="S377" s="35" t="n">
        <v>-0.1257764622503856</v>
      </c>
      <c r="T377" s="35" t="n">
        <v>-0.2664241236969146</v>
      </c>
      <c r="U377" s="30" t="n">
        <v>142000</v>
      </c>
      <c r="V377" s="30" t="n">
        <v>67500</v>
      </c>
      <c r="W377" s="35" t="n">
        <v>-0.5077464788732394</v>
      </c>
      <c r="X377" s="35" t="n">
        <v>0.03555555555555556</v>
      </c>
      <c r="Y377" s="30" t="n">
        <v>11179416</v>
      </c>
      <c r="Z377" s="30" t="n">
        <v>781441178400</v>
      </c>
      <c r="AA377" s="30" t="n">
        <v>2598532500</v>
      </c>
      <c r="AB377" s="30" t="n">
        <v>2705761390</v>
      </c>
      <c r="AC377" s="35" t="n">
        <v>0.003325307869391389</v>
      </c>
      <c r="AD377" s="24" t="inlineStr">
        <is>
          <t>yfinance_download</t>
        </is>
      </c>
      <c r="AE377" s="24" t="inlineStr">
        <is>
          <t>064760.KQ</t>
        </is>
      </c>
    </row>
    <row r="378" ht="24" customHeight="1">
      <c r="A378" s="29" t="inlineStr">
        <is>
          <t>2024-12-20</t>
        </is>
      </c>
      <c r="B378" s="31" t="n">
        <v>69200</v>
      </c>
      <c r="C378" s="31" t="n">
        <v>69900</v>
      </c>
      <c r="D378" s="31" t="n">
        <v>67800</v>
      </c>
      <c r="E378" s="31" t="n">
        <v>68000</v>
      </c>
      <c r="F378" s="31" t="n">
        <v>66188.8359375</v>
      </c>
      <c r="G378" s="31" t="n">
        <v>22683</v>
      </c>
      <c r="H378" s="36" t="n">
        <v>-0.02718168812589417</v>
      </c>
      <c r="I378" s="36" t="n">
        <v>-0.6684544124817162</v>
      </c>
      <c r="J378" s="31" t="n">
        <v>69995</v>
      </c>
      <c r="K378" s="31" t="n">
        <v>79573.33333333333</v>
      </c>
      <c r="L378" s="31" t="n">
        <v>94760.83333333333</v>
      </c>
      <c r="M378" s="36" t="n">
        <v>0.2832529777113208</v>
      </c>
      <c r="N378" s="36" t="n">
        <v>0.3595580958119098</v>
      </c>
      <c r="O378" s="36" t="n">
        <v>-0.04895104895104896</v>
      </c>
      <c r="P378" s="36" t="n">
        <v>-0.2527472527472527</v>
      </c>
      <c r="Q378" s="36" t="n">
        <v>-0.4813119755911518</v>
      </c>
      <c r="R378" s="36" t="n">
        <v>-0.02850203585970423</v>
      </c>
      <c r="S378" s="36" t="n">
        <v>-0.1454423592493297</v>
      </c>
      <c r="T378" s="36" t="n">
        <v>-0.2824039467782927</v>
      </c>
      <c r="U378" s="31" t="n">
        <v>142000</v>
      </c>
      <c r="V378" s="31" t="n">
        <v>67500</v>
      </c>
      <c r="W378" s="36" t="n">
        <v>-0.5211267605633803</v>
      </c>
      <c r="X378" s="36" t="n">
        <v>0.007407407407407307</v>
      </c>
      <c r="Y378" s="31" t="n">
        <v>11179416</v>
      </c>
      <c r="Z378" s="31" t="n">
        <v>760200288000</v>
      </c>
      <c r="AA378" s="31" t="n">
        <v>1542444000</v>
      </c>
      <c r="AB378" s="31" t="n">
        <v>2652170865</v>
      </c>
      <c r="AC378" s="36" t="n">
        <v>0.002028996863521315</v>
      </c>
      <c r="AD378" s="29" t="inlineStr">
        <is>
          <t>yfinance_download</t>
        </is>
      </c>
      <c r="AE378" s="29" t="inlineStr">
        <is>
          <t>064760.KQ</t>
        </is>
      </c>
    </row>
    <row r="379" ht="24" customHeight="1">
      <c r="A379" s="24" t="inlineStr">
        <is>
          <t>2024-12-23</t>
        </is>
      </c>
      <c r="B379" s="30" t="n">
        <v>68800</v>
      </c>
      <c r="C379" s="30" t="n">
        <v>70700</v>
      </c>
      <c r="D379" s="30" t="n">
        <v>68000</v>
      </c>
      <c r="E379" s="30" t="n">
        <v>69700</v>
      </c>
      <c r="F379" s="30" t="n">
        <v>67843.5546875</v>
      </c>
      <c r="G379" s="30" t="n">
        <v>21520</v>
      </c>
      <c r="H379" s="35" t="n">
        <v>0.02499999999999991</v>
      </c>
      <c r="I379" s="35" t="n">
        <v>-0.6601657727937591</v>
      </c>
      <c r="J379" s="30" t="n">
        <v>69880</v>
      </c>
      <c r="K379" s="30" t="n">
        <v>79178.33333333333</v>
      </c>
      <c r="L379" s="30" t="n">
        <v>94270</v>
      </c>
      <c r="M379" s="35" t="n">
        <v>0.2979659004789167</v>
      </c>
      <c r="N379" s="35" t="n">
        <v>0.3590635035084916</v>
      </c>
      <c r="O379" s="35" t="n">
        <v>-0.03194444444444444</v>
      </c>
      <c r="P379" s="35" t="n">
        <v>-0.2537473233404711</v>
      </c>
      <c r="Q379" s="35" t="n">
        <v>-0.4580093312597201</v>
      </c>
      <c r="R379" s="35" t="n">
        <v>-0.002575844304522068</v>
      </c>
      <c r="S379" s="35" t="n">
        <v>-0.1197086745111247</v>
      </c>
      <c r="T379" s="35" t="n">
        <v>-0.2606343481489339</v>
      </c>
      <c r="U379" s="30" t="n">
        <v>142000</v>
      </c>
      <c r="V379" s="30" t="n">
        <v>67500</v>
      </c>
      <c r="W379" s="35" t="n">
        <v>-0.5091549295774648</v>
      </c>
      <c r="X379" s="35" t="n">
        <v>0.03259259259259251</v>
      </c>
      <c r="Y379" s="30" t="n">
        <v>11179416</v>
      </c>
      <c r="Z379" s="30" t="n">
        <v>779205295200</v>
      </c>
      <c r="AA379" s="30" t="n">
        <v>1499944000</v>
      </c>
      <c r="AB379" s="30" t="n">
        <v>2567194865</v>
      </c>
      <c r="AC379" s="35" t="n">
        <v>0.001924966384648357</v>
      </c>
      <c r="AD379" s="24" t="inlineStr">
        <is>
          <t>yfinance_download</t>
        </is>
      </c>
      <c r="AE379" s="24" t="inlineStr">
        <is>
          <t>064760.KQ</t>
        </is>
      </c>
    </row>
    <row r="380" ht="24" customHeight="1">
      <c r="A380" s="29" t="inlineStr">
        <is>
          <t>2024-12-24</t>
        </is>
      </c>
      <c r="B380" s="31" t="n">
        <v>69700</v>
      </c>
      <c r="C380" s="31" t="n">
        <v>70600</v>
      </c>
      <c r="D380" s="31" t="n">
        <v>69400</v>
      </c>
      <c r="E380" s="31" t="n">
        <v>69700</v>
      </c>
      <c r="F380" s="31" t="n">
        <v>67843.5546875</v>
      </c>
      <c r="G380" s="31" t="n">
        <v>19820</v>
      </c>
      <c r="H380" s="36" t="n">
        <v>0</v>
      </c>
      <c r="I380" s="36" t="n">
        <v>-0.6601657727937591</v>
      </c>
      <c r="J380" s="31" t="n">
        <v>69765</v>
      </c>
      <c r="K380" s="31" t="n">
        <v>78750</v>
      </c>
      <c r="L380" s="31" t="n">
        <v>93734.16666666667</v>
      </c>
      <c r="M380" s="36" t="n">
        <v>0.2979659004789167</v>
      </c>
      <c r="N380" s="36" t="n">
        <v>0.355093471165924</v>
      </c>
      <c r="O380" s="36" t="n">
        <v>-0.03194444444444444</v>
      </c>
      <c r="P380" s="36" t="n">
        <v>-0.2693920335429769</v>
      </c>
      <c r="Q380" s="36" t="n">
        <v>-0.4798507462686568</v>
      </c>
      <c r="R380" s="36" t="n">
        <v>-0.0009316992761413401</v>
      </c>
      <c r="S380" s="36" t="n">
        <v>-0.1149206349206349</v>
      </c>
      <c r="T380" s="36" t="n">
        <v>-0.2564077488642527</v>
      </c>
      <c r="U380" s="31" t="n">
        <v>142000</v>
      </c>
      <c r="V380" s="31" t="n">
        <v>67500</v>
      </c>
      <c r="W380" s="36" t="n">
        <v>-0.5091549295774648</v>
      </c>
      <c r="X380" s="36" t="n">
        <v>0.03259259259259251</v>
      </c>
      <c r="Y380" s="31" t="n">
        <v>11179416</v>
      </c>
      <c r="Z380" s="31" t="n">
        <v>779205295200</v>
      </c>
      <c r="AA380" s="31" t="n">
        <v>1381454000</v>
      </c>
      <c r="AB380" s="31" t="n">
        <v>2518781565</v>
      </c>
      <c r="AC380" s="36" t="n">
        <v>0.001772901196270002</v>
      </c>
      <c r="AD380" s="29" t="inlineStr">
        <is>
          <t>yfinance_download</t>
        </is>
      </c>
      <c r="AE380" s="29" t="inlineStr">
        <is>
          <t>064760.KQ</t>
        </is>
      </c>
    </row>
    <row r="381" ht="24" customHeight="1">
      <c r="A381" s="24" t="inlineStr">
        <is>
          <t>2024-12-26</t>
        </is>
      </c>
      <c r="B381" s="30" t="n">
        <v>70600</v>
      </c>
      <c r="C381" s="30" t="n">
        <v>70600</v>
      </c>
      <c r="D381" s="30" t="n">
        <v>68000</v>
      </c>
      <c r="E381" s="30" t="n">
        <v>70000</v>
      </c>
      <c r="F381" s="30" t="n">
        <v>68135.5625</v>
      </c>
      <c r="G381" s="30" t="n">
        <v>23585</v>
      </c>
      <c r="H381" s="35" t="n">
        <v>0.004304160688665792</v>
      </c>
      <c r="I381" s="35" t="n">
        <v>-0.658703071672355</v>
      </c>
      <c r="J381" s="30" t="n">
        <v>69745</v>
      </c>
      <c r="K381" s="30" t="n">
        <v>78358.33333333333</v>
      </c>
      <c r="L381" s="30" t="n">
        <v>93201.66666666667</v>
      </c>
      <c r="M381" s="35" t="n">
        <v>0.2881625133717201</v>
      </c>
      <c r="N381" s="35" t="n">
        <v>0.3542078239134145</v>
      </c>
      <c r="O381" s="35" t="n">
        <v>-0.005681818181818232</v>
      </c>
      <c r="P381" s="35" t="n">
        <v>-0.2513368983957219</v>
      </c>
      <c r="Q381" s="35" t="n">
        <v>-0.4772218073188947</v>
      </c>
      <c r="R381" s="35" t="n">
        <v>0.003656176069969153</v>
      </c>
      <c r="S381" s="35" t="n">
        <v>-0.1066680846538338</v>
      </c>
      <c r="T381" s="35" t="n">
        <v>-0.2489404695910302</v>
      </c>
      <c r="U381" s="30" t="n">
        <v>142000</v>
      </c>
      <c r="V381" s="30" t="n">
        <v>67500</v>
      </c>
      <c r="W381" s="35" t="n">
        <v>-0.5070422535211268</v>
      </c>
      <c r="X381" s="35" t="n">
        <v>0.03703703703703698</v>
      </c>
      <c r="Y381" s="30" t="n">
        <v>11179416</v>
      </c>
      <c r="Z381" s="30" t="n">
        <v>782559120000</v>
      </c>
      <c r="AA381" s="30" t="n">
        <v>1650950000</v>
      </c>
      <c r="AB381" s="30" t="n">
        <v>2463278185</v>
      </c>
      <c r="AC381" s="35" t="n">
        <v>0.002109680863472654</v>
      </c>
      <c r="AD381" s="24" t="inlineStr">
        <is>
          <t>yfinance_download</t>
        </is>
      </c>
      <c r="AE381" s="24" t="inlineStr">
        <is>
          <t>064760.KQ</t>
        </is>
      </c>
    </row>
    <row r="382" ht="24" customHeight="1">
      <c r="A382" s="29" t="inlineStr">
        <is>
          <t>2024-12-27</t>
        </is>
      </c>
      <c r="B382" s="31" t="n">
        <v>70000</v>
      </c>
      <c r="C382" s="31" t="n">
        <v>70800</v>
      </c>
      <c r="D382" s="31" t="n">
        <v>68400</v>
      </c>
      <c r="E382" s="31" t="n">
        <v>70100</v>
      </c>
      <c r="F382" s="31" t="n">
        <v>69423.0078125</v>
      </c>
      <c r="G382" s="31" t="n">
        <v>32033</v>
      </c>
      <c r="H382" s="36" t="n">
        <v>0.001428571428571335</v>
      </c>
      <c r="I382" s="36" t="n">
        <v>-0.6582155046318869</v>
      </c>
      <c r="J382" s="31" t="n">
        <v>69765</v>
      </c>
      <c r="K382" s="31" t="n">
        <v>77986.66666666667</v>
      </c>
      <c r="L382" s="31" t="n">
        <v>92681.66666666667</v>
      </c>
      <c r="M382" s="36" t="n">
        <v>0.2858440261023078</v>
      </c>
      <c r="N382" s="36" t="n">
        <v>0.3540948396166176</v>
      </c>
      <c r="O382" s="36" t="n">
        <v>0.005738880918221057</v>
      </c>
      <c r="P382" s="36" t="n">
        <v>-0.2413419913419913</v>
      </c>
      <c r="Q382" s="36" t="n">
        <v>-0.4709433962264151</v>
      </c>
      <c r="R382" s="36" t="n">
        <v>0.004801834730882248</v>
      </c>
      <c r="S382" s="36" t="n">
        <v>-0.1011283980167551</v>
      </c>
      <c r="T382" s="36" t="n">
        <v>-0.2436476109982197</v>
      </c>
      <c r="U382" s="31" t="n">
        <v>142000</v>
      </c>
      <c r="V382" s="31" t="n">
        <v>67500</v>
      </c>
      <c r="W382" s="36" t="n">
        <v>-0.5063380281690141</v>
      </c>
      <c r="X382" s="36" t="n">
        <v>0.03851851851851862</v>
      </c>
      <c r="Y382" s="31" t="n">
        <v>11179416</v>
      </c>
      <c r="Z382" s="31" t="n">
        <v>783677061600</v>
      </c>
      <c r="AA382" s="31" t="n">
        <v>2245513300</v>
      </c>
      <c r="AB382" s="31" t="n">
        <v>2503787245</v>
      </c>
      <c r="AC382" s="36" t="n">
        <v>0.002865355399602269</v>
      </c>
      <c r="AD382" s="29" t="inlineStr">
        <is>
          <t>yfinance_download</t>
        </is>
      </c>
      <c r="AE382" s="29" t="inlineStr">
        <is>
          <t>064760.KQ</t>
        </is>
      </c>
    </row>
    <row r="383" ht="24" customHeight="1">
      <c r="A383" s="24" t="inlineStr">
        <is>
          <t>2024-12-30</t>
        </is>
      </c>
      <c r="B383" s="30" t="n">
        <v>70100</v>
      </c>
      <c r="C383" s="30" t="n">
        <v>71100</v>
      </c>
      <c r="D383" s="30" t="n">
        <v>68300</v>
      </c>
      <c r="E383" s="30" t="n">
        <v>70900</v>
      </c>
      <c r="F383" s="30" t="n">
        <v>70215.28125</v>
      </c>
      <c r="G383" s="30" t="n">
        <v>18004</v>
      </c>
      <c r="H383" s="35" t="n">
        <v>0.01141226818830243</v>
      </c>
      <c r="I383" s="35" t="n">
        <v>-0.6543149683081424</v>
      </c>
      <c r="J383" s="30" t="n">
        <v>69825</v>
      </c>
      <c r="K383" s="30" t="n">
        <v>77628.33333333333</v>
      </c>
      <c r="L383" s="30" t="n">
        <v>92177.5</v>
      </c>
      <c r="M383" s="35" t="n">
        <v>0.2884700900411931</v>
      </c>
      <c r="N383" s="35" t="n">
        <v>0.3554631408611591</v>
      </c>
      <c r="O383" s="35" t="n">
        <v>0.01721664275466295</v>
      </c>
      <c r="P383" s="35" t="n">
        <v>-0.2326839826839827</v>
      </c>
      <c r="Q383" s="35" t="n">
        <v>-0.4604261796042618</v>
      </c>
      <c r="R383" s="35" t="n">
        <v>0.01539563193698523</v>
      </c>
      <c r="S383" s="35" t="n">
        <v>-0.08667368014255961</v>
      </c>
      <c r="T383" s="35" t="n">
        <v>-0.2308318190447778</v>
      </c>
      <c r="U383" s="30" t="n">
        <v>142000</v>
      </c>
      <c r="V383" s="30" t="n">
        <v>67500</v>
      </c>
      <c r="W383" s="35" t="n">
        <v>-0.5007042253521127</v>
      </c>
      <c r="X383" s="35" t="n">
        <v>0.0503703703703704</v>
      </c>
      <c r="Y383" s="30" t="n">
        <v>11179416</v>
      </c>
      <c r="Z383" s="30" t="n">
        <v>792620594400</v>
      </c>
      <c r="AA383" s="30" t="n">
        <v>1276483600</v>
      </c>
      <c r="AB383" s="30" t="n">
        <v>2472969280</v>
      </c>
      <c r="AC383" s="35" t="n">
        <v>0.001610459795037594</v>
      </c>
      <c r="AD383" s="24" t="inlineStr">
        <is>
          <t>yfinance_download</t>
        </is>
      </c>
      <c r="AE383" s="24" t="inlineStr">
        <is>
          <t>064760.KQ</t>
        </is>
      </c>
    </row>
    <row r="384" ht="24" customHeight="1">
      <c r="A384" s="29" t="inlineStr">
        <is>
          <t>2025-01-02</t>
        </is>
      </c>
      <c r="B384" s="31" t="n">
        <v>69800</v>
      </c>
      <c r="C384" s="31" t="n">
        <v>71000</v>
      </c>
      <c r="D384" s="31" t="n">
        <v>68800</v>
      </c>
      <c r="E384" s="31" t="n">
        <v>69900</v>
      </c>
      <c r="F384" s="31" t="n">
        <v>69224.9375</v>
      </c>
      <c r="G384" s="31" t="n">
        <v>18508</v>
      </c>
      <c r="H384" s="36" t="n">
        <v>-0.01410437235543016</v>
      </c>
      <c r="I384" s="36" t="n">
        <v>-0.659190638712823</v>
      </c>
      <c r="J384" s="31" t="n">
        <v>69880</v>
      </c>
      <c r="K384" s="31" t="n">
        <v>77266.66666666667</v>
      </c>
      <c r="L384" s="31" t="n">
        <v>91627.5</v>
      </c>
      <c r="M384" s="36" t="n">
        <v>0.2892629488002684</v>
      </c>
      <c r="N384" s="36" t="n">
        <v>0.3559325754919204</v>
      </c>
      <c r="O384" s="36" t="n">
        <v>0.01598837209302317</v>
      </c>
      <c r="P384" s="36" t="n">
        <v>-0.2368995633187773</v>
      </c>
      <c r="Q384" s="36" t="n">
        <v>-0.4856512141280354</v>
      </c>
      <c r="R384" s="36" t="n">
        <v>0.0002862049227245755</v>
      </c>
      <c r="S384" s="36" t="n">
        <v>-0.09534081104400349</v>
      </c>
      <c r="T384" s="36" t="n">
        <v>-0.2371285913071949</v>
      </c>
      <c r="U384" s="31" t="n">
        <v>142000</v>
      </c>
      <c r="V384" s="31" t="n">
        <v>67500</v>
      </c>
      <c r="W384" s="36" t="n">
        <v>-0.5077464788732394</v>
      </c>
      <c r="X384" s="36" t="n">
        <v>0.03555555555555556</v>
      </c>
      <c r="Y384" s="31" t="n">
        <v>11179416</v>
      </c>
      <c r="Z384" s="31" t="n">
        <v>781441178400</v>
      </c>
      <c r="AA384" s="31" t="n">
        <v>1293709200</v>
      </c>
      <c r="AB384" s="31" t="n">
        <v>2446553220</v>
      </c>
      <c r="AC384" s="36" t="n">
        <v>0.001655542650886236</v>
      </c>
      <c r="AD384" s="29" t="inlineStr">
        <is>
          <t>yfinance_download</t>
        </is>
      </c>
      <c r="AE384" s="29" t="inlineStr">
        <is>
          <t>064760.KQ</t>
        </is>
      </c>
    </row>
    <row r="385" ht="24" customHeight="1">
      <c r="A385" s="24" t="inlineStr">
        <is>
          <t>2025-01-03</t>
        </is>
      </c>
      <c r="B385" s="30" t="n">
        <v>69900</v>
      </c>
      <c r="C385" s="30" t="n">
        <v>73300</v>
      </c>
      <c r="D385" s="30" t="n">
        <v>69400</v>
      </c>
      <c r="E385" s="30" t="n">
        <v>73000</v>
      </c>
      <c r="F385" s="30" t="n">
        <v>72295</v>
      </c>
      <c r="G385" s="30" t="n">
        <v>35519</v>
      </c>
      <c r="H385" s="35" t="n">
        <v>0.044349070100143</v>
      </c>
      <c r="I385" s="35" t="n">
        <v>-0.644076060458313</v>
      </c>
      <c r="J385" s="30" t="n">
        <v>70070</v>
      </c>
      <c r="K385" s="30" t="n">
        <v>76956.66666666667</v>
      </c>
      <c r="L385" s="30" t="n">
        <v>91127.5</v>
      </c>
      <c r="M385" s="35" t="n">
        <v>0.3276516122535431</v>
      </c>
      <c r="N385" s="35" t="n">
        <v>0.3695379521088353</v>
      </c>
      <c r="O385" s="35" t="n">
        <v>0.05491329479768781</v>
      </c>
      <c r="P385" s="35" t="n">
        <v>-0.2030567685589519</v>
      </c>
      <c r="Q385" s="35" t="n">
        <v>-0.4511278195488722</v>
      </c>
      <c r="R385" s="35" t="n">
        <v>0.04181532752961314</v>
      </c>
      <c r="S385" s="35" t="n">
        <v>-0.05141421579243732</v>
      </c>
      <c r="T385" s="35" t="n">
        <v>-0.1989245836876903</v>
      </c>
      <c r="U385" s="30" t="n">
        <v>142000</v>
      </c>
      <c r="V385" s="30" t="n">
        <v>67500</v>
      </c>
      <c r="W385" s="35" t="n">
        <v>-0.4859154929577465</v>
      </c>
      <c r="X385" s="35" t="n">
        <v>0.08148148148148149</v>
      </c>
      <c r="Y385" s="30" t="n">
        <v>11179416</v>
      </c>
      <c r="Z385" s="30" t="n">
        <v>816097368000</v>
      </c>
      <c r="AA385" s="30" t="n">
        <v>2592887000</v>
      </c>
      <c r="AB385" s="30" t="n">
        <v>2432375750</v>
      </c>
      <c r="AC385" s="35" t="n">
        <v>0.003177178485888708</v>
      </c>
      <c r="AD385" s="24" t="inlineStr">
        <is>
          <t>yfinance_download</t>
        </is>
      </c>
      <c r="AE385" s="24" t="inlineStr">
        <is>
          <t>064760.KQ</t>
        </is>
      </c>
    </row>
    <row r="386" ht="24" customHeight="1">
      <c r="A386" s="29" t="inlineStr">
        <is>
          <t>2025-01-06</t>
        </is>
      </c>
      <c r="B386" s="31" t="n">
        <v>72300</v>
      </c>
      <c r="C386" s="31" t="n">
        <v>75900</v>
      </c>
      <c r="D386" s="31" t="n">
        <v>72300</v>
      </c>
      <c r="E386" s="31" t="n">
        <v>73900</v>
      </c>
      <c r="F386" s="31" t="n">
        <v>73186.3046875</v>
      </c>
      <c r="G386" s="31" t="n">
        <v>49366</v>
      </c>
      <c r="H386" s="36" t="n">
        <v>0.01232876712328768</v>
      </c>
      <c r="I386" s="36" t="n">
        <v>-0.6396879570941004</v>
      </c>
      <c r="J386" s="31" t="n">
        <v>70325</v>
      </c>
      <c r="K386" s="31" t="n">
        <v>76676.66666666667</v>
      </c>
      <c r="L386" s="31" t="n">
        <v>90625</v>
      </c>
      <c r="M386" s="36" t="n">
        <v>0.3276112225076714</v>
      </c>
      <c r="N386" s="36" t="n">
        <v>0.3707079798415679</v>
      </c>
      <c r="O386" s="36" t="n">
        <v>0.07412790697674421</v>
      </c>
      <c r="P386" s="36" t="n">
        <v>-0.185226019845645</v>
      </c>
      <c r="Q386" s="36" t="n">
        <v>-0.4493293591654247</v>
      </c>
      <c r="R386" s="36" t="n">
        <v>0.05083540703874867</v>
      </c>
      <c r="S386" s="36" t="n">
        <v>-0.03621266791288102</v>
      </c>
      <c r="T386" s="36" t="n">
        <v>-0.1845517241379311</v>
      </c>
      <c r="U386" s="31" t="n">
        <v>142000</v>
      </c>
      <c r="V386" s="31" t="n">
        <v>67500</v>
      </c>
      <c r="W386" s="36" t="n">
        <v>-0.4795774647887324</v>
      </c>
      <c r="X386" s="36" t="n">
        <v>0.09481481481481491</v>
      </c>
      <c r="Y386" s="31" t="n">
        <v>11179416</v>
      </c>
      <c r="Z386" s="31" t="n">
        <v>826158842400</v>
      </c>
      <c r="AA386" s="31" t="n">
        <v>3648147400</v>
      </c>
      <c r="AB386" s="31" t="n">
        <v>2519574240</v>
      </c>
      <c r="AC386" s="36" t="n">
        <v>0.004415794170285818</v>
      </c>
      <c r="AD386" s="29" t="inlineStr">
        <is>
          <t>yfinance_download</t>
        </is>
      </c>
      <c r="AE386" s="29" t="inlineStr">
        <is>
          <t>064760.KQ</t>
        </is>
      </c>
    </row>
    <row r="387" ht="24" customHeight="1">
      <c r="A387" s="24" t="inlineStr">
        <is>
          <t>2025-01-07</t>
        </is>
      </c>
      <c r="B387" s="30" t="n">
        <v>74700</v>
      </c>
      <c r="C387" s="30" t="n">
        <v>75100</v>
      </c>
      <c r="D387" s="30" t="n">
        <v>72400</v>
      </c>
      <c r="E387" s="30" t="n">
        <v>72400</v>
      </c>
      <c r="F387" s="30" t="n">
        <v>71700.7890625</v>
      </c>
      <c r="G387" s="30" t="n">
        <v>42824</v>
      </c>
      <c r="H387" s="35" t="n">
        <v>-0.02029769959404604</v>
      </c>
      <c r="I387" s="35" t="n">
        <v>-0.6470014627011214</v>
      </c>
      <c r="J387" s="30" t="n">
        <v>70495</v>
      </c>
      <c r="K387" s="30" t="n">
        <v>76385</v>
      </c>
      <c r="L387" s="30" t="n">
        <v>90090</v>
      </c>
      <c r="M387" s="35" t="n">
        <v>0.3386034535662213</v>
      </c>
      <c r="N387" s="35" t="n">
        <v>0.372202329606697</v>
      </c>
      <c r="O387" s="35" t="n">
        <v>0.04927536231884067</v>
      </c>
      <c r="P387" s="35" t="n">
        <v>-0.1946607341490545</v>
      </c>
      <c r="Q387" s="35" t="n">
        <v>-0.4699853587115667</v>
      </c>
      <c r="R387" s="35" t="n">
        <v>0.02702319313426482</v>
      </c>
      <c r="S387" s="35" t="n">
        <v>-0.05216992865091319</v>
      </c>
      <c r="T387" s="35" t="n">
        <v>-0.1963591963591964</v>
      </c>
      <c r="U387" s="30" t="n">
        <v>142000</v>
      </c>
      <c r="V387" s="30" t="n">
        <v>67500</v>
      </c>
      <c r="W387" s="35" t="n">
        <v>-0.4901408450704225</v>
      </c>
      <c r="X387" s="35" t="n">
        <v>0.07259259259259254</v>
      </c>
      <c r="Y387" s="30" t="n">
        <v>11179416</v>
      </c>
      <c r="Z387" s="30" t="n">
        <v>809389718400</v>
      </c>
      <c r="AA387" s="30" t="n">
        <v>3100457600</v>
      </c>
      <c r="AB387" s="30" t="n">
        <v>2571852670</v>
      </c>
      <c r="AC387" s="35" t="n">
        <v>0.003830611545361583</v>
      </c>
      <c r="AD387" s="24" t="inlineStr">
        <is>
          <t>yfinance_download</t>
        </is>
      </c>
      <c r="AE387" s="24" t="inlineStr">
        <is>
          <t>064760.KQ</t>
        </is>
      </c>
    </row>
    <row r="388" ht="24" customHeight="1">
      <c r="A388" s="29" t="inlineStr">
        <is>
          <t>2025-01-08</t>
        </is>
      </c>
      <c r="B388" s="31" t="n">
        <v>71900</v>
      </c>
      <c r="C388" s="31" t="n">
        <v>74900</v>
      </c>
      <c r="D388" s="31" t="n">
        <v>71600</v>
      </c>
      <c r="E388" s="31" t="n">
        <v>74500</v>
      </c>
      <c r="F388" s="31" t="n">
        <v>73780.5078125</v>
      </c>
      <c r="G388" s="31" t="n">
        <v>37411</v>
      </c>
      <c r="H388" s="36" t="n">
        <v>0.02900552486187835</v>
      </c>
      <c r="I388" s="36" t="n">
        <v>-0.6367625548512921</v>
      </c>
      <c r="J388" s="31" t="n">
        <v>70760</v>
      </c>
      <c r="K388" s="31" t="n">
        <v>76111.66666666667</v>
      </c>
      <c r="L388" s="31" t="n">
        <v>89570.83333333333</v>
      </c>
      <c r="M388" s="36" t="n">
        <v>0.3513286052502652</v>
      </c>
      <c r="N388" s="36" t="n">
        <v>0.3769425334818118</v>
      </c>
      <c r="O388" s="36" t="n">
        <v>0.07658959537572252</v>
      </c>
      <c r="P388" s="36" t="n">
        <v>-0.1804180418041804</v>
      </c>
      <c r="Q388" s="36" t="n">
        <v>-0.4554093567251462</v>
      </c>
      <c r="R388" s="36" t="n">
        <v>0.0528547201808931</v>
      </c>
      <c r="S388" s="36" t="n">
        <v>-0.02117502791950432</v>
      </c>
      <c r="T388" s="36" t="n">
        <v>-0.1682560357259152</v>
      </c>
      <c r="U388" s="31" t="n">
        <v>142000</v>
      </c>
      <c r="V388" s="31" t="n">
        <v>67500</v>
      </c>
      <c r="W388" s="36" t="n">
        <v>-0.4753521126760564</v>
      </c>
      <c r="X388" s="36" t="n">
        <v>0.1037037037037036</v>
      </c>
      <c r="Y388" s="31" t="n">
        <v>11179416</v>
      </c>
      <c r="Z388" s="31" t="n">
        <v>832866492000</v>
      </c>
      <c r="AA388" s="31" t="n">
        <v>2787119500</v>
      </c>
      <c r="AB388" s="31" t="n">
        <v>2615006805</v>
      </c>
      <c r="AC388" s="36" t="n">
        <v>0.003346418095542737</v>
      </c>
      <c r="AD388" s="29" t="inlineStr">
        <is>
          <t>yfinance_download</t>
        </is>
      </c>
      <c r="AE388" s="29" t="inlineStr">
        <is>
          <t>064760.KQ</t>
        </is>
      </c>
    </row>
    <row r="389" ht="24" customHeight="1">
      <c r="A389" s="24" t="inlineStr">
        <is>
          <t>2025-01-09</t>
        </is>
      </c>
      <c r="B389" s="30" t="n">
        <v>73800</v>
      </c>
      <c r="C389" s="30" t="n">
        <v>74700</v>
      </c>
      <c r="D389" s="30" t="n">
        <v>72900</v>
      </c>
      <c r="E389" s="30" t="n">
        <v>73100</v>
      </c>
      <c r="F389" s="30" t="n">
        <v>72394.03125</v>
      </c>
      <c r="G389" s="30" t="n">
        <v>34477</v>
      </c>
      <c r="H389" s="35" t="n">
        <v>-0.01879194630872483</v>
      </c>
      <c r="I389" s="35" t="n">
        <v>-0.643588493417845</v>
      </c>
      <c r="J389" s="30" t="n">
        <v>71040</v>
      </c>
      <c r="K389" s="30" t="n">
        <v>75786.66666666667</v>
      </c>
      <c r="L389" s="30" t="n">
        <v>89059.16666666667</v>
      </c>
      <c r="M389" s="35" t="n">
        <v>0.3456694549088957</v>
      </c>
      <c r="N389" s="35" t="n">
        <v>0.375537538437706</v>
      </c>
      <c r="O389" s="35" t="n">
        <v>0.08296296296296291</v>
      </c>
      <c r="P389" s="35" t="n">
        <v>-0.2105831533477321</v>
      </c>
      <c r="Q389" s="35" t="n">
        <v>-0.4565055762081784</v>
      </c>
      <c r="R389" s="35" t="n">
        <v>0.02899774774774766</v>
      </c>
      <c r="S389" s="35" t="n">
        <v>-0.03545038705137238</v>
      </c>
      <c r="T389" s="35" t="n">
        <v>-0.1791973500762603</v>
      </c>
      <c r="U389" s="30" t="n">
        <v>142000</v>
      </c>
      <c r="V389" s="30" t="n">
        <v>67500</v>
      </c>
      <c r="W389" s="35" t="n">
        <v>-0.4852112676056338</v>
      </c>
      <c r="X389" s="35" t="n">
        <v>0.08296296296296291</v>
      </c>
      <c r="Y389" s="30" t="n">
        <v>11179416</v>
      </c>
      <c r="Z389" s="30" t="n">
        <v>817215309600</v>
      </c>
      <c r="AA389" s="30" t="n">
        <v>2520268700</v>
      </c>
      <c r="AB389" s="30" t="n">
        <v>2611413490</v>
      </c>
      <c r="AC389" s="35" t="n">
        <v>0.003083971470423857</v>
      </c>
      <c r="AD389" s="24" t="inlineStr">
        <is>
          <t>yfinance_download</t>
        </is>
      </c>
      <c r="AE389" s="24" t="inlineStr">
        <is>
          <t>064760.KQ</t>
        </is>
      </c>
    </row>
    <row r="390" ht="24" customHeight="1">
      <c r="A390" s="29" t="inlineStr">
        <is>
          <t>2025-01-10</t>
        </is>
      </c>
      <c r="B390" s="31" t="n">
        <v>72400</v>
      </c>
      <c r="C390" s="31" t="n">
        <v>74200</v>
      </c>
      <c r="D390" s="31" t="n">
        <v>72400</v>
      </c>
      <c r="E390" s="31" t="n">
        <v>73000</v>
      </c>
      <c r="F390" s="31" t="n">
        <v>72295</v>
      </c>
      <c r="G390" s="31" t="n">
        <v>21829</v>
      </c>
      <c r="H390" s="36" t="n">
        <v>-0.001367989056087593</v>
      </c>
      <c r="I390" s="36" t="n">
        <v>-0.644076060458313</v>
      </c>
      <c r="J390" s="31" t="n">
        <v>71310</v>
      </c>
      <c r="K390" s="31" t="n">
        <v>75456.66666666667</v>
      </c>
      <c r="L390" s="31" t="n">
        <v>88570</v>
      </c>
      <c r="M390" s="36" t="n">
        <v>0.3461161065728502</v>
      </c>
      <c r="N390" s="36" t="n">
        <v>0.3753736495268994</v>
      </c>
      <c r="O390" s="36" t="n">
        <v>0.0798816568047338</v>
      </c>
      <c r="P390" s="36" t="n">
        <v>-0.2133620689655172</v>
      </c>
      <c r="Q390" s="36" t="n">
        <v>-0.445709946848899</v>
      </c>
      <c r="R390" s="36" t="n">
        <v>0.02369934090590387</v>
      </c>
      <c r="S390" s="36" t="n">
        <v>-0.03255731766576853</v>
      </c>
      <c r="T390" s="36" t="n">
        <v>-0.1757931579541605</v>
      </c>
      <c r="U390" s="31" t="n">
        <v>142000</v>
      </c>
      <c r="V390" s="31" t="n">
        <v>67500</v>
      </c>
      <c r="W390" s="36" t="n">
        <v>-0.4859154929577465</v>
      </c>
      <c r="X390" s="36" t="n">
        <v>0.08148148148148149</v>
      </c>
      <c r="Y390" s="31" t="n">
        <v>11179416</v>
      </c>
      <c r="Z390" s="31" t="n">
        <v>816097368000</v>
      </c>
      <c r="AA390" s="31" t="n">
        <v>1593517000</v>
      </c>
      <c r="AB390" s="31" t="n">
        <v>2563717420</v>
      </c>
      <c r="AC390" s="36" t="n">
        <v>0.001952606468888894</v>
      </c>
      <c r="AD390" s="29" t="inlineStr">
        <is>
          <t>yfinance_download</t>
        </is>
      </c>
      <c r="AE390" s="29" t="inlineStr">
        <is>
          <t>064760.KQ</t>
        </is>
      </c>
    </row>
    <row r="391" ht="24" customHeight="1">
      <c r="A391" s="24" t="inlineStr">
        <is>
          <t>2025-01-13</t>
        </is>
      </c>
      <c r="B391" s="30" t="n">
        <v>73100</v>
      </c>
      <c r="C391" s="30" t="n">
        <v>73100</v>
      </c>
      <c r="D391" s="30" t="n">
        <v>70400</v>
      </c>
      <c r="E391" s="30" t="n">
        <v>70700</v>
      </c>
      <c r="F391" s="30" t="n">
        <v>70017.2109375</v>
      </c>
      <c r="G391" s="30" t="n">
        <v>31484</v>
      </c>
      <c r="H391" s="35" t="n">
        <v>-0.03150684931506853</v>
      </c>
      <c r="I391" s="35" t="n">
        <v>-0.6552901023890785</v>
      </c>
      <c r="J391" s="30" t="n">
        <v>71290</v>
      </c>
      <c r="K391" s="30" t="n">
        <v>75145</v>
      </c>
      <c r="L391" s="30" t="n">
        <v>88067.5</v>
      </c>
      <c r="M391" s="35" t="n">
        <v>0.3190729971165102</v>
      </c>
      <c r="N391" s="35" t="n">
        <v>0.3735946796072841</v>
      </c>
      <c r="O391" s="35" t="n">
        <v>-0.005625879043600568</v>
      </c>
      <c r="P391" s="35" t="n">
        <v>-0.20917225950783</v>
      </c>
      <c r="Q391" s="35" t="n">
        <v>-0.4603053435114504</v>
      </c>
      <c r="R391" s="35" t="n">
        <v>-0.008276055547762673</v>
      </c>
      <c r="S391" s="35" t="n">
        <v>-0.05915230554261763</v>
      </c>
      <c r="T391" s="35" t="n">
        <v>-0.1972066880517784</v>
      </c>
      <c r="U391" s="30" t="n">
        <v>142000</v>
      </c>
      <c r="V391" s="30" t="n">
        <v>67500</v>
      </c>
      <c r="W391" s="35" t="n">
        <v>-0.502112676056338</v>
      </c>
      <c r="X391" s="35" t="n">
        <v>0.04740740740740734</v>
      </c>
      <c r="Y391" s="30" t="n">
        <v>11179416</v>
      </c>
      <c r="Z391" s="30" t="n">
        <v>790384711200</v>
      </c>
      <c r="AA391" s="30" t="n">
        <v>2225918800</v>
      </c>
      <c r="AB391" s="30" t="n">
        <v>2574865455</v>
      </c>
      <c r="AC391" s="35" t="n">
        <v>0.002816247288767141</v>
      </c>
      <c r="AD391" s="24" t="inlineStr">
        <is>
          <t>yfinance_download</t>
        </is>
      </c>
      <c r="AE391" s="24" t="inlineStr">
        <is>
          <t>064760.KQ</t>
        </is>
      </c>
    </row>
    <row r="392" ht="24" customHeight="1">
      <c r="A392" s="29" t="inlineStr">
        <is>
          <t>2025-01-14</t>
        </is>
      </c>
      <c r="B392" s="31" t="n">
        <v>71400</v>
      </c>
      <c r="C392" s="31" t="n">
        <v>71400</v>
      </c>
      <c r="D392" s="31" t="n">
        <v>70100</v>
      </c>
      <c r="E392" s="31" t="n">
        <v>71000</v>
      </c>
      <c r="F392" s="31" t="n">
        <v>70314.3125</v>
      </c>
      <c r="G392" s="31" t="n">
        <v>21882</v>
      </c>
      <c r="H392" s="36" t="n">
        <v>0.004243281471004279</v>
      </c>
      <c r="I392" s="36" t="n">
        <v>-0.6538274012676744</v>
      </c>
      <c r="J392" s="31" t="n">
        <v>71310</v>
      </c>
      <c r="K392" s="31" t="n">
        <v>74830</v>
      </c>
      <c r="L392" s="31" t="n">
        <v>87580</v>
      </c>
      <c r="M392" s="36" t="n">
        <v>0.3183288952683561</v>
      </c>
      <c r="N392" s="36" t="n">
        <v>0.3734625684236363</v>
      </c>
      <c r="O392" s="36" t="n">
        <v>0.005665722379603499</v>
      </c>
      <c r="P392" s="36" t="n">
        <v>-0.2102335928809789</v>
      </c>
      <c r="Q392" s="36" t="n">
        <v>-0.4517374517374517</v>
      </c>
      <c r="R392" s="36" t="n">
        <v>-0.004347216379189445</v>
      </c>
      <c r="S392" s="36" t="n">
        <v>-0.05118268074301746</v>
      </c>
      <c r="T392" s="36" t="n">
        <v>-0.1893126284539849</v>
      </c>
      <c r="U392" s="31" t="n">
        <v>142000</v>
      </c>
      <c r="V392" s="31" t="n">
        <v>67500</v>
      </c>
      <c r="W392" s="36" t="n">
        <v>-0.5</v>
      </c>
      <c r="X392" s="36" t="n">
        <v>0.05185185185185182</v>
      </c>
      <c r="Y392" s="31" t="n">
        <v>11179416</v>
      </c>
      <c r="Z392" s="31" t="n">
        <v>793738536000</v>
      </c>
      <c r="AA392" s="31" t="n">
        <v>1553622000</v>
      </c>
      <c r="AB392" s="31" t="n">
        <v>2387094085</v>
      </c>
      <c r="AC392" s="36" t="n">
        <v>0.001957347324761866</v>
      </c>
      <c r="AD392" s="29" t="inlineStr">
        <is>
          <t>yfinance_download</t>
        </is>
      </c>
      <c r="AE392" s="29" t="inlineStr">
        <is>
          <t>064760.KQ</t>
        </is>
      </c>
    </row>
    <row r="393" ht="24" customHeight="1">
      <c r="A393" s="24" t="inlineStr">
        <is>
          <t>2025-01-15</t>
        </is>
      </c>
      <c r="B393" s="30" t="n">
        <v>71900</v>
      </c>
      <c r="C393" s="30" t="n">
        <v>72500</v>
      </c>
      <c r="D393" s="30" t="n">
        <v>68400</v>
      </c>
      <c r="E393" s="30" t="n">
        <v>69900</v>
      </c>
      <c r="F393" s="30" t="n">
        <v>69224.9375</v>
      </c>
      <c r="G393" s="30" t="n">
        <v>35640</v>
      </c>
      <c r="H393" s="35" t="n">
        <v>-0.01549295774647885</v>
      </c>
      <c r="I393" s="35" t="n">
        <v>-0.659190638712823</v>
      </c>
      <c r="J393" s="30" t="n">
        <v>71275</v>
      </c>
      <c r="K393" s="30" t="n">
        <v>74533.33333333333</v>
      </c>
      <c r="L393" s="30" t="n">
        <v>87151.66666666667</v>
      </c>
      <c r="M393" s="35" t="n">
        <v>0.3233451850415965</v>
      </c>
      <c r="N393" s="35" t="n">
        <v>0.3717743878324463</v>
      </c>
      <c r="O393" s="35" t="n">
        <v>-0.009915014164305958</v>
      </c>
      <c r="P393" s="35" t="n">
        <v>-0.2029646522234891</v>
      </c>
      <c r="Q393" s="35" t="n">
        <v>-0.4237427864798021</v>
      </c>
      <c r="R393" s="35" t="n">
        <v>-0.01929147667485098</v>
      </c>
      <c r="S393" s="35" t="n">
        <v>-0.06216457960644006</v>
      </c>
      <c r="T393" s="35" t="n">
        <v>-0.1979499340230633</v>
      </c>
      <c r="U393" s="30" t="n">
        <v>142000</v>
      </c>
      <c r="V393" s="30" t="n">
        <v>67500</v>
      </c>
      <c r="W393" s="35" t="n">
        <v>-0.5077464788732394</v>
      </c>
      <c r="X393" s="35" t="n">
        <v>0.03555555555555556</v>
      </c>
      <c r="Y393" s="30" t="n">
        <v>11179416</v>
      </c>
      <c r="Z393" s="30" t="n">
        <v>781441178400</v>
      </c>
      <c r="AA393" s="30" t="n">
        <v>2491236000</v>
      </c>
      <c r="AB393" s="30" t="n">
        <v>2188975055</v>
      </c>
      <c r="AC393" s="35" t="n">
        <v>0.003188001949296815</v>
      </c>
      <c r="AD393" s="24" t="inlineStr">
        <is>
          <t>yfinance_download</t>
        </is>
      </c>
      <c r="AE393" s="24" t="inlineStr">
        <is>
          <t>064760.KQ</t>
        </is>
      </c>
    </row>
    <row r="394" ht="24" customHeight="1">
      <c r="A394" s="29" t="inlineStr">
        <is>
          <t>2025-01-16</t>
        </is>
      </c>
      <c r="B394" s="31" t="n">
        <v>70100</v>
      </c>
      <c r="C394" s="31" t="n">
        <v>71500</v>
      </c>
      <c r="D394" s="31" t="n">
        <v>70000</v>
      </c>
      <c r="E394" s="31" t="n">
        <v>70000</v>
      </c>
      <c r="F394" s="31" t="n">
        <v>69323.96875</v>
      </c>
      <c r="G394" s="31" t="n">
        <v>27471</v>
      </c>
      <c r="H394" s="36" t="n">
        <v>0.001430615164520699</v>
      </c>
      <c r="I394" s="36" t="n">
        <v>-0.658703071672355</v>
      </c>
      <c r="J394" s="31" t="n">
        <v>71190</v>
      </c>
      <c r="K394" s="31" t="n">
        <v>74236.66666666667</v>
      </c>
      <c r="L394" s="31" t="n">
        <v>86723.33333333333</v>
      </c>
      <c r="M394" s="36" t="n">
        <v>0.3179835279972833</v>
      </c>
      <c r="N394" s="36" t="n">
        <v>0.3717903581543216</v>
      </c>
      <c r="O394" s="36" t="n">
        <v>-0.02370990237099024</v>
      </c>
      <c r="P394" s="36" t="n">
        <v>-0.2027334851936219</v>
      </c>
      <c r="Q394" s="36" t="n">
        <v>-0.4233937397034596</v>
      </c>
      <c r="R394" s="36" t="n">
        <v>-0.01671583087512296</v>
      </c>
      <c r="S394" s="36" t="n">
        <v>-0.05706973193839526</v>
      </c>
      <c r="T394" s="36" t="n">
        <v>-0.1928354537417841</v>
      </c>
      <c r="U394" s="31" t="n">
        <v>142000</v>
      </c>
      <c r="V394" s="31" t="n">
        <v>67500</v>
      </c>
      <c r="W394" s="36" t="n">
        <v>-0.5070422535211268</v>
      </c>
      <c r="X394" s="36" t="n">
        <v>0.03703703703703698</v>
      </c>
      <c r="Y394" s="31" t="n">
        <v>11179416</v>
      </c>
      <c r="Z394" s="31" t="n">
        <v>782559120000</v>
      </c>
      <c r="AA394" s="31" t="n">
        <v>1922970000</v>
      </c>
      <c r="AB394" s="31" t="n">
        <v>2131015160</v>
      </c>
      <c r="AC394" s="36" t="n">
        <v>0.002457283994083412</v>
      </c>
      <c r="AD394" s="29" t="inlineStr">
        <is>
          <t>yfinance_download</t>
        </is>
      </c>
      <c r="AE394" s="29" t="inlineStr">
        <is>
          <t>064760.KQ</t>
        </is>
      </c>
    </row>
    <row r="395" ht="24" customHeight="1">
      <c r="A395" s="24" t="inlineStr">
        <is>
          <t>2025-01-17</t>
        </is>
      </c>
      <c r="B395" s="30" t="n">
        <v>69300</v>
      </c>
      <c r="C395" s="30" t="n">
        <v>72200</v>
      </c>
      <c r="D395" s="30" t="n">
        <v>69300</v>
      </c>
      <c r="E395" s="30" t="n">
        <v>71800</v>
      </c>
      <c r="F395" s="30" t="n">
        <v>71106.5859375</v>
      </c>
      <c r="G395" s="30" t="n">
        <v>21874</v>
      </c>
      <c r="H395" s="35" t="n">
        <v>0.0257142857142858</v>
      </c>
      <c r="I395" s="35" t="n">
        <v>-0.6499268649439298</v>
      </c>
      <c r="J395" s="30" t="n">
        <v>71180</v>
      </c>
      <c r="K395" s="30" t="n">
        <v>74008.33333333333</v>
      </c>
      <c r="L395" s="30" t="n">
        <v>86322.5</v>
      </c>
      <c r="M395" s="35" t="n">
        <v>0.331542072895694</v>
      </c>
      <c r="N395" s="35" t="n">
        <v>0.3734720118195756</v>
      </c>
      <c r="O395" s="35" t="n">
        <v>-0.002777777777777768</v>
      </c>
      <c r="P395" s="35" t="n">
        <v>-0.160233918128655</v>
      </c>
      <c r="Q395" s="35" t="n">
        <v>-0.4011676396997498</v>
      </c>
      <c r="R395" s="35" t="n">
        <v>0.008710311885361088</v>
      </c>
      <c r="S395" s="35" t="n">
        <v>-0.02983898209661073</v>
      </c>
      <c r="T395" s="35" t="n">
        <v>-0.1682353963335168</v>
      </c>
      <c r="U395" s="30" t="n">
        <v>142000</v>
      </c>
      <c r="V395" s="30" t="n">
        <v>67500</v>
      </c>
      <c r="W395" s="35" t="n">
        <v>-0.4943661971830986</v>
      </c>
      <c r="X395" s="35" t="n">
        <v>0.0637037037037036</v>
      </c>
      <c r="Y395" s="30" t="n">
        <v>11179416</v>
      </c>
      <c r="Z395" s="30" t="n">
        <v>802682068800</v>
      </c>
      <c r="AA395" s="30" t="n">
        <v>1570553200</v>
      </c>
      <c r="AB395" s="30" t="n">
        <v>2097089620</v>
      </c>
      <c r="AC395" s="35" t="n">
        <v>0.00195663172387538</v>
      </c>
      <c r="AD395" s="24" t="inlineStr">
        <is>
          <t>yfinance_download</t>
        </is>
      </c>
      <c r="AE395" s="24" t="inlineStr">
        <is>
          <t>064760.KQ</t>
        </is>
      </c>
    </row>
    <row r="396" ht="24" customHeight="1">
      <c r="A396" s="29" t="inlineStr">
        <is>
          <t>2025-01-20</t>
        </is>
      </c>
      <c r="B396" s="31" t="n">
        <v>72000</v>
      </c>
      <c r="C396" s="31" t="n">
        <v>72700</v>
      </c>
      <c r="D396" s="31" t="n">
        <v>70700</v>
      </c>
      <c r="E396" s="31" t="n">
        <v>72400</v>
      </c>
      <c r="F396" s="31" t="n">
        <v>71700.7890625</v>
      </c>
      <c r="G396" s="31" t="n">
        <v>23285</v>
      </c>
      <c r="H396" s="36" t="n">
        <v>0.008356545961002881</v>
      </c>
      <c r="I396" s="36" t="n">
        <v>-0.6470014627011214</v>
      </c>
      <c r="J396" s="31" t="n">
        <v>71195</v>
      </c>
      <c r="K396" s="31" t="n">
        <v>73711.66666666667</v>
      </c>
      <c r="L396" s="31" t="n">
        <v>85947.5</v>
      </c>
      <c r="M396" s="36" t="n">
        <v>0.3328304266070666</v>
      </c>
      <c r="N396" s="36" t="n">
        <v>0.3544986274160599</v>
      </c>
      <c r="O396" s="36" t="n">
        <v>0.004160887656033285</v>
      </c>
      <c r="P396" s="36" t="n">
        <v>-0.197339246119734</v>
      </c>
      <c r="Q396" s="36" t="n">
        <v>-0.383304940374787</v>
      </c>
      <c r="R396" s="36" t="n">
        <v>0.01692534588103101</v>
      </c>
      <c r="S396" s="36" t="n">
        <v>-0.01779455988423373</v>
      </c>
      <c r="T396" s="36" t="n">
        <v>-0.1576252945111841</v>
      </c>
      <c r="U396" s="31" t="n">
        <v>142000</v>
      </c>
      <c r="V396" s="31" t="n">
        <v>67500</v>
      </c>
      <c r="W396" s="36" t="n">
        <v>-0.4901408450704225</v>
      </c>
      <c r="X396" s="36" t="n">
        <v>0.07259259259259254</v>
      </c>
      <c r="Y396" s="31" t="n">
        <v>11179416</v>
      </c>
      <c r="Z396" s="31" t="n">
        <v>809389718400</v>
      </c>
      <c r="AA396" s="31" t="n">
        <v>1685834000</v>
      </c>
      <c r="AB396" s="31" t="n">
        <v>2059078090</v>
      </c>
      <c r="AC396" s="36" t="n">
        <v>0.002082845830229415</v>
      </c>
      <c r="AD396" s="29" t="inlineStr">
        <is>
          <t>yfinance_download</t>
        </is>
      </c>
      <c r="AE396" s="29" t="inlineStr">
        <is>
          <t>064760.KQ</t>
        </is>
      </c>
    </row>
    <row r="397" ht="24" customHeight="1">
      <c r="A397" s="24" t="inlineStr">
        <is>
          <t>2025-01-21</t>
        </is>
      </c>
      <c r="B397" s="30" t="n">
        <v>73000</v>
      </c>
      <c r="C397" s="30" t="n">
        <v>73800</v>
      </c>
      <c r="D397" s="30" t="n">
        <v>71700</v>
      </c>
      <c r="E397" s="30" t="n">
        <v>73100</v>
      </c>
      <c r="F397" s="30" t="n">
        <v>72394.03125</v>
      </c>
      <c r="G397" s="30" t="n">
        <v>16227</v>
      </c>
      <c r="H397" s="35" t="n">
        <v>0.00966850828729271</v>
      </c>
      <c r="I397" s="35" t="n">
        <v>-0.643588493417845</v>
      </c>
      <c r="J397" s="30" t="n">
        <v>71355</v>
      </c>
      <c r="K397" s="30" t="n">
        <v>73441.66666666667</v>
      </c>
      <c r="L397" s="30" t="n">
        <v>85597.5</v>
      </c>
      <c r="M397" s="35" t="n">
        <v>0.3132942602823668</v>
      </c>
      <c r="N397" s="35" t="n">
        <v>0.3552300206574288</v>
      </c>
      <c r="O397" s="35" t="n">
        <v>0.04577968526466392</v>
      </c>
      <c r="P397" s="35" t="n">
        <v>-0.1814109742441209</v>
      </c>
      <c r="Q397" s="35" t="n">
        <v>-0.3649000868809731</v>
      </c>
      <c r="R397" s="35" t="n">
        <v>0.02445518884450992</v>
      </c>
      <c r="S397" s="35" t="n">
        <v>-0.00465221831385465</v>
      </c>
      <c r="T397" s="35" t="n">
        <v>-0.1460030958848098</v>
      </c>
      <c r="U397" s="30" t="n">
        <v>142000</v>
      </c>
      <c r="V397" s="30" t="n">
        <v>67500</v>
      </c>
      <c r="W397" s="35" t="n">
        <v>-0.4852112676056338</v>
      </c>
      <c r="X397" s="35" t="n">
        <v>0.08296296296296291</v>
      </c>
      <c r="Y397" s="30" t="n">
        <v>11179416</v>
      </c>
      <c r="Z397" s="30" t="n">
        <v>817215309600</v>
      </c>
      <c r="AA397" s="30" t="n">
        <v>1186193700</v>
      </c>
      <c r="AB397" s="30" t="n">
        <v>1988461150</v>
      </c>
      <c r="AC397" s="35" t="n">
        <v>0.001451506948126807</v>
      </c>
      <c r="AD397" s="24" t="inlineStr">
        <is>
          <t>yfinance_download</t>
        </is>
      </c>
      <c r="AE397" s="24" t="inlineStr">
        <is>
          <t>064760.KQ</t>
        </is>
      </c>
    </row>
    <row r="398" ht="24" customHeight="1">
      <c r="A398" s="29" t="inlineStr">
        <is>
          <t>2025-01-22</t>
        </is>
      </c>
      <c r="B398" s="31" t="n">
        <v>73700</v>
      </c>
      <c r="C398" s="31" t="n">
        <v>74600</v>
      </c>
      <c r="D398" s="31" t="n">
        <v>72300</v>
      </c>
      <c r="E398" s="31" t="n">
        <v>74000</v>
      </c>
      <c r="F398" s="31" t="n">
        <v>73285.34375</v>
      </c>
      <c r="G398" s="31" t="n">
        <v>21864</v>
      </c>
      <c r="H398" s="36" t="n">
        <v>0.01231190150478789</v>
      </c>
      <c r="I398" s="36" t="n">
        <v>-0.6392003900536324</v>
      </c>
      <c r="J398" s="31" t="n">
        <v>71655</v>
      </c>
      <c r="K398" s="31" t="n">
        <v>73270</v>
      </c>
      <c r="L398" s="31" t="n">
        <v>85260.83333333333</v>
      </c>
      <c r="M398" s="36" t="n">
        <v>0.2946007826283169</v>
      </c>
      <c r="N398" s="36" t="n">
        <v>0.338988116429702</v>
      </c>
      <c r="O398" s="36" t="n">
        <v>0.08823529411764697</v>
      </c>
      <c r="P398" s="36" t="n">
        <v>-0.1221826809015422</v>
      </c>
      <c r="Q398" s="36" t="n">
        <v>-0.3531468531468531</v>
      </c>
      <c r="R398" s="36" t="n">
        <v>0.03272625776289173</v>
      </c>
      <c r="S398" s="36" t="n">
        <v>0.009963149993175824</v>
      </c>
      <c r="T398" s="36" t="n">
        <v>-0.1320751028706029</v>
      </c>
      <c r="U398" s="31" t="n">
        <v>142000</v>
      </c>
      <c r="V398" s="31" t="n">
        <v>67500</v>
      </c>
      <c r="W398" s="36" t="n">
        <v>-0.4788732394366197</v>
      </c>
      <c r="X398" s="36" t="n">
        <v>0.09629629629629632</v>
      </c>
      <c r="Y398" s="31" t="n">
        <v>11179416</v>
      </c>
      <c r="Z398" s="31" t="n">
        <v>827276784000</v>
      </c>
      <c r="AA398" s="31" t="n">
        <v>1617936000</v>
      </c>
      <c r="AB398" s="31" t="n">
        <v>1992235750</v>
      </c>
      <c r="AC398" s="36" t="n">
        <v>0.001955737222767272</v>
      </c>
      <c r="AD398" s="29" t="inlineStr">
        <is>
          <t>yfinance_download</t>
        </is>
      </c>
      <c r="AE398" s="29" t="inlineStr">
        <is>
          <t>064760.KQ</t>
        </is>
      </c>
    </row>
    <row r="399" ht="24" customHeight="1">
      <c r="A399" s="24" t="inlineStr">
        <is>
          <t>2025-01-23</t>
        </is>
      </c>
      <c r="B399" s="30" t="n">
        <v>74000</v>
      </c>
      <c r="C399" s="30" t="n">
        <v>74000</v>
      </c>
      <c r="D399" s="30" t="n">
        <v>71700</v>
      </c>
      <c r="E399" s="30" t="n">
        <v>72300</v>
      </c>
      <c r="F399" s="30" t="n">
        <v>71601.7578125</v>
      </c>
      <c r="G399" s="30" t="n">
        <v>24939</v>
      </c>
      <c r="H399" s="35" t="n">
        <v>-0.02297297297297296</v>
      </c>
      <c r="I399" s="35" t="n">
        <v>-0.6474890297415894</v>
      </c>
      <c r="J399" s="30" t="n">
        <v>71785</v>
      </c>
      <c r="K399" s="30" t="n">
        <v>73041.66666666667</v>
      </c>
      <c r="L399" s="30" t="n">
        <v>84930</v>
      </c>
      <c r="M399" s="35" t="n">
        <v>0.2992864131564839</v>
      </c>
      <c r="N399" s="35" t="n">
        <v>0.3384976898868787</v>
      </c>
      <c r="O399" s="35" t="n">
        <v>0.0373027259684362</v>
      </c>
      <c r="P399" s="35" t="n">
        <v>-0.1593023255813953</v>
      </c>
      <c r="Q399" s="35" t="n">
        <v>-0.3544642857142857</v>
      </c>
      <c r="R399" s="35" t="n">
        <v>0.007174200738315761</v>
      </c>
      <c r="S399" s="35" t="n">
        <v>-0.01015402167712498</v>
      </c>
      <c r="T399" s="35" t="n">
        <v>-0.1487107029318262</v>
      </c>
      <c r="U399" s="30" t="n">
        <v>142000</v>
      </c>
      <c r="V399" s="30" t="n">
        <v>67500</v>
      </c>
      <c r="W399" s="35" t="n">
        <v>-0.4908450704225352</v>
      </c>
      <c r="X399" s="35" t="n">
        <v>0.07111111111111112</v>
      </c>
      <c r="Y399" s="30" t="n">
        <v>11179416</v>
      </c>
      <c r="Z399" s="30" t="n">
        <v>808271776800</v>
      </c>
      <c r="AA399" s="30" t="n">
        <v>1803089700</v>
      </c>
      <c r="AB399" s="30" t="n">
        <v>2007393035</v>
      </c>
      <c r="AC399" s="35" t="n">
        <v>0.002230796313510473</v>
      </c>
      <c r="AD399" s="24" t="inlineStr">
        <is>
          <t>yfinance_download</t>
        </is>
      </c>
      <c r="AE399" s="24" t="inlineStr">
        <is>
          <t>064760.KQ</t>
        </is>
      </c>
    </row>
    <row r="400" ht="24" customHeight="1">
      <c r="A400" s="29" t="inlineStr">
        <is>
          <t>2025-01-24</t>
        </is>
      </c>
      <c r="B400" s="31" t="n">
        <v>72700</v>
      </c>
      <c r="C400" s="31" t="n">
        <v>75000</v>
      </c>
      <c r="D400" s="31" t="n">
        <v>72100</v>
      </c>
      <c r="E400" s="31" t="n">
        <v>73900</v>
      </c>
      <c r="F400" s="31" t="n">
        <v>73186.3046875</v>
      </c>
      <c r="G400" s="31" t="n">
        <v>32462</v>
      </c>
      <c r="H400" s="36" t="n">
        <v>0.02213001383125857</v>
      </c>
      <c r="I400" s="36" t="n">
        <v>-0.6396879570941004</v>
      </c>
      <c r="J400" s="31" t="n">
        <v>71995</v>
      </c>
      <c r="K400" s="31" t="n">
        <v>72881.66666666667</v>
      </c>
      <c r="L400" s="31" t="n">
        <v>84623.33333333333</v>
      </c>
      <c r="M400" s="36" t="n">
        <v>0.3075198286713486</v>
      </c>
      <c r="N400" s="36" t="n">
        <v>0.3377008430055766</v>
      </c>
      <c r="O400" s="36" t="n">
        <v>0.06025824964131998</v>
      </c>
      <c r="P400" s="36" t="n">
        <v>-0.1149700598802396</v>
      </c>
      <c r="Q400" s="36" t="n">
        <v>-0.3324299909665763</v>
      </c>
      <c r="R400" s="36" t="n">
        <v>0.02646017084519747</v>
      </c>
      <c r="S400" s="36" t="n">
        <v>0.01397242104781715</v>
      </c>
      <c r="T400" s="36" t="n">
        <v>-0.126718399180683</v>
      </c>
      <c r="U400" s="31" t="n">
        <v>142000</v>
      </c>
      <c r="V400" s="31" t="n">
        <v>67500</v>
      </c>
      <c r="W400" s="36" t="n">
        <v>-0.4795774647887324</v>
      </c>
      <c r="X400" s="36" t="n">
        <v>0.09481481481481491</v>
      </c>
      <c r="Y400" s="31" t="n">
        <v>11179416</v>
      </c>
      <c r="Z400" s="31" t="n">
        <v>826158842400</v>
      </c>
      <c r="AA400" s="31" t="n">
        <v>2398941800</v>
      </c>
      <c r="AB400" s="31" t="n">
        <v>2058267425</v>
      </c>
      <c r="AC400" s="36" t="n">
        <v>0.002903729497140101</v>
      </c>
      <c r="AD400" s="29" t="inlineStr">
        <is>
          <t>yfinance_download</t>
        </is>
      </c>
      <c r="AE400" s="29" t="inlineStr">
        <is>
          <t>064760.KQ</t>
        </is>
      </c>
    </row>
    <row r="401" ht="24" customHeight="1">
      <c r="A401" s="24" t="inlineStr">
        <is>
          <t>2025-01-31</t>
        </is>
      </c>
      <c r="B401" s="30" t="n">
        <v>75000</v>
      </c>
      <c r="C401" s="30" t="n">
        <v>75900</v>
      </c>
      <c r="D401" s="30" t="n">
        <v>71100</v>
      </c>
      <c r="E401" s="30" t="n">
        <v>73800</v>
      </c>
      <c r="F401" s="30" t="n">
        <v>73087.2734375</v>
      </c>
      <c r="G401" s="30" t="n">
        <v>98155</v>
      </c>
      <c r="H401" s="35" t="n">
        <v>-0.00135317997293638</v>
      </c>
      <c r="I401" s="35" t="n">
        <v>-0.6401755241345686</v>
      </c>
      <c r="J401" s="30" t="n">
        <v>72185</v>
      </c>
      <c r="K401" s="30" t="n">
        <v>72753.33333333333</v>
      </c>
      <c r="L401" s="30" t="n">
        <v>84312.5</v>
      </c>
      <c r="M401" s="35" t="n">
        <v>0.3078832958372382</v>
      </c>
      <c r="N401" s="35" t="n">
        <v>0.3345333893963116</v>
      </c>
      <c r="O401" s="35" t="n">
        <v>0.05428571428571427</v>
      </c>
      <c r="P401" s="35" t="n">
        <v>-0.09447852760736197</v>
      </c>
      <c r="Q401" s="35" t="n">
        <v>-0.3357335733573358</v>
      </c>
      <c r="R401" s="35" t="n">
        <v>0.02237306919720172</v>
      </c>
      <c r="S401" s="35" t="n">
        <v>0.01438651150004588</v>
      </c>
      <c r="T401" s="35" t="n">
        <v>-0.1246849518161601</v>
      </c>
      <c r="U401" s="30" t="n">
        <v>142000</v>
      </c>
      <c r="V401" s="30" t="n">
        <v>67500</v>
      </c>
      <c r="W401" s="35" t="n">
        <v>-0.4802816901408451</v>
      </c>
      <c r="X401" s="35" t="n">
        <v>0.09333333333333327</v>
      </c>
      <c r="Y401" s="30" t="n">
        <v>11179416</v>
      </c>
      <c r="Z401" s="30" t="n">
        <v>825040900800</v>
      </c>
      <c r="AA401" s="30" t="n">
        <v>7243839000</v>
      </c>
      <c r="AB401" s="30" t="n">
        <v>2337911875</v>
      </c>
      <c r="AC401" s="35" t="n">
        <v>0.008779975626633806</v>
      </c>
      <c r="AD401" s="24" t="inlineStr">
        <is>
          <t>yfinance_download</t>
        </is>
      </c>
      <c r="AE401" s="24" t="inlineStr">
        <is>
          <t>064760.KQ</t>
        </is>
      </c>
    </row>
    <row r="402" ht="24" customHeight="1">
      <c r="A402" s="29" t="inlineStr">
        <is>
          <t>2025-02-03</t>
        </is>
      </c>
      <c r="B402" s="31" t="n">
        <v>72900</v>
      </c>
      <c r="C402" s="31" t="n">
        <v>72900</v>
      </c>
      <c r="D402" s="31" t="n">
        <v>70000</v>
      </c>
      <c r="E402" s="31" t="n">
        <v>70000</v>
      </c>
      <c r="F402" s="31" t="n">
        <v>69323.96875</v>
      </c>
      <c r="G402" s="31" t="n">
        <v>50454</v>
      </c>
      <c r="H402" s="36" t="n">
        <v>-0.051490514905149</v>
      </c>
      <c r="I402" s="36" t="n">
        <v>-0.658703071672355</v>
      </c>
      <c r="J402" s="31" t="n">
        <v>72180</v>
      </c>
      <c r="K402" s="31" t="n">
        <v>72495</v>
      </c>
      <c r="L402" s="31" t="n">
        <v>83984.16666666667</v>
      </c>
      <c r="M402" s="36" t="n">
        <v>0.3633691894608527</v>
      </c>
      <c r="N402" s="36" t="n">
        <v>0.3331601245607239</v>
      </c>
      <c r="O402" s="36" t="n">
        <v>-0.001426533523537832</v>
      </c>
      <c r="P402" s="36" t="n">
        <v>-0.1812865497076024</v>
      </c>
      <c r="Q402" s="36" t="n">
        <v>-0.3601462522851919</v>
      </c>
      <c r="R402" s="36" t="n">
        <v>-0.0302022720975339</v>
      </c>
      <c r="S402" s="36" t="n">
        <v>-0.0344161666321815</v>
      </c>
      <c r="T402" s="36" t="n">
        <v>-0.1665095603337932</v>
      </c>
      <c r="U402" s="31" t="n">
        <v>142000</v>
      </c>
      <c r="V402" s="31" t="n">
        <v>67500</v>
      </c>
      <c r="W402" s="36" t="n">
        <v>-0.5070422535211268</v>
      </c>
      <c r="X402" s="36" t="n">
        <v>0.03703703703703698</v>
      </c>
      <c r="Y402" s="31" t="n">
        <v>11179416</v>
      </c>
      <c r="Z402" s="31" t="n">
        <v>782559120000</v>
      </c>
      <c r="AA402" s="31" t="n">
        <v>3531780000</v>
      </c>
      <c r="AB402" s="31" t="n">
        <v>2402225210</v>
      </c>
      <c r="AC402" s="36" t="n">
        <v>0.004513115890847966</v>
      </c>
      <c r="AD402" s="29" t="inlineStr">
        <is>
          <t>yfinance_download</t>
        </is>
      </c>
      <c r="AE402" s="29" t="inlineStr">
        <is>
          <t>064760.KQ</t>
        </is>
      </c>
    </row>
    <row r="403" ht="24" customHeight="1">
      <c r="A403" s="24" t="inlineStr">
        <is>
          <t>2025-02-04</t>
        </is>
      </c>
      <c r="B403" s="30" t="n">
        <v>71100</v>
      </c>
      <c r="C403" s="30" t="n">
        <v>73800</v>
      </c>
      <c r="D403" s="30" t="n">
        <v>70700</v>
      </c>
      <c r="E403" s="30" t="n">
        <v>72300</v>
      </c>
      <c r="F403" s="30" t="n">
        <v>71601.7578125</v>
      </c>
      <c r="G403" s="30" t="n">
        <v>40161</v>
      </c>
      <c r="H403" s="35" t="n">
        <v>0.03285714285714292</v>
      </c>
      <c r="I403" s="35" t="n">
        <v>-0.6474890297415894</v>
      </c>
      <c r="J403" s="30" t="n">
        <v>72250</v>
      </c>
      <c r="K403" s="30" t="n">
        <v>72311.66666666667</v>
      </c>
      <c r="L403" s="30" t="n">
        <v>83638.33333333333</v>
      </c>
      <c r="M403" s="35" t="n">
        <v>0.3797657072003197</v>
      </c>
      <c r="N403" s="35" t="n">
        <v>0.3377742547348772</v>
      </c>
      <c r="O403" s="35" t="n">
        <v>0.01974612129760223</v>
      </c>
      <c r="P403" s="35" t="n">
        <v>-0.1320528211284514</v>
      </c>
      <c r="Q403" s="35" t="n">
        <v>-0.3646748681898067</v>
      </c>
      <c r="R403" s="35" t="n">
        <v>0.0006920415224913601</v>
      </c>
      <c r="S403" s="35" t="n">
        <v>-0.0001613386498260372</v>
      </c>
      <c r="T403" s="35" t="n">
        <v>-0.1355638363589263</v>
      </c>
      <c r="U403" s="30" t="n">
        <v>142000</v>
      </c>
      <c r="V403" s="30" t="n">
        <v>67500</v>
      </c>
      <c r="W403" s="35" t="n">
        <v>-0.4908450704225352</v>
      </c>
      <c r="X403" s="35" t="n">
        <v>0.07111111111111112</v>
      </c>
      <c r="Y403" s="30" t="n">
        <v>11179416</v>
      </c>
      <c r="Z403" s="30" t="n">
        <v>808271776800</v>
      </c>
      <c r="AA403" s="30" t="n">
        <v>2903640300</v>
      </c>
      <c r="AB403" s="30" t="n">
        <v>2483583045</v>
      </c>
      <c r="AC403" s="35" t="n">
        <v>0.003592405900272429</v>
      </c>
      <c r="AD403" s="24" t="inlineStr">
        <is>
          <t>yfinance_download</t>
        </is>
      </c>
      <c r="AE403" s="24" t="inlineStr">
        <is>
          <t>064760.KQ</t>
        </is>
      </c>
    </row>
    <row r="404" ht="24" customHeight="1">
      <c r="A404" s="29" t="inlineStr">
        <is>
          <t>2025-02-05</t>
        </is>
      </c>
      <c r="B404" s="31" t="n">
        <v>72000</v>
      </c>
      <c r="C404" s="31" t="n">
        <v>73300</v>
      </c>
      <c r="D404" s="31" t="n">
        <v>71500</v>
      </c>
      <c r="E404" s="31" t="n">
        <v>72100</v>
      </c>
      <c r="F404" s="31" t="n">
        <v>71403.6875</v>
      </c>
      <c r="G404" s="31" t="n">
        <v>21597</v>
      </c>
      <c r="H404" s="36" t="n">
        <v>-0.002766251728907321</v>
      </c>
      <c r="I404" s="36" t="n">
        <v>-0.6484641638225256</v>
      </c>
      <c r="J404" s="31" t="n">
        <v>72360</v>
      </c>
      <c r="K404" s="31" t="n">
        <v>72080</v>
      </c>
      <c r="L404" s="31" t="n">
        <v>83291.66666666667</v>
      </c>
      <c r="M404" s="36" t="n">
        <v>0.3757972093945184</v>
      </c>
      <c r="N404" s="36" t="n">
        <v>0.3300111190587939</v>
      </c>
      <c r="O404" s="36" t="n">
        <v>0.03147353361945626</v>
      </c>
      <c r="P404" s="36" t="n">
        <v>-0.1616279069767442</v>
      </c>
      <c r="Q404" s="36" t="n">
        <v>-0.3658751099384345</v>
      </c>
      <c r="R404" s="36" t="n">
        <v>-0.003593145384190199</v>
      </c>
      <c r="S404" s="36" t="n">
        <v>0.0002774694783573839</v>
      </c>
      <c r="T404" s="36" t="n">
        <v>-0.134367183591796</v>
      </c>
      <c r="U404" s="31" t="n">
        <v>142000</v>
      </c>
      <c r="V404" s="31" t="n">
        <v>67500</v>
      </c>
      <c r="W404" s="36" t="n">
        <v>-0.4922535211267606</v>
      </c>
      <c r="X404" s="36" t="n">
        <v>0.06814814814814807</v>
      </c>
      <c r="Y404" s="31" t="n">
        <v>11179416</v>
      </c>
      <c r="Z404" s="31" t="n">
        <v>806035893600</v>
      </c>
      <c r="AA404" s="31" t="n">
        <v>1557143700</v>
      </c>
      <c r="AB404" s="31" t="n">
        <v>2496754770</v>
      </c>
      <c r="AC404" s="36" t="n">
        <v>0.001931854043180789</v>
      </c>
      <c r="AD404" s="29" t="inlineStr">
        <is>
          <t>yfinance_download</t>
        </is>
      </c>
      <c r="AE404" s="29" t="inlineStr">
        <is>
          <t>064760.KQ</t>
        </is>
      </c>
    </row>
    <row r="405" ht="24" customHeight="1">
      <c r="A405" s="24" t="inlineStr">
        <is>
          <t>2025-02-06</t>
        </is>
      </c>
      <c r="B405" s="30" t="n">
        <v>72700</v>
      </c>
      <c r="C405" s="30" t="n">
        <v>81800</v>
      </c>
      <c r="D405" s="30" t="n">
        <v>71400</v>
      </c>
      <c r="E405" s="30" t="n">
        <v>81300</v>
      </c>
      <c r="F405" s="30" t="n">
        <v>80514.84375</v>
      </c>
      <c r="G405" s="30" t="n">
        <v>110658</v>
      </c>
      <c r="H405" s="35" t="n">
        <v>0.1276005547850207</v>
      </c>
      <c r="I405" s="35" t="n">
        <v>-0.6036079960994637</v>
      </c>
      <c r="J405" s="30" t="n">
        <v>72775</v>
      </c>
      <c r="K405" s="30" t="n">
        <v>72013.33333333333</v>
      </c>
      <c r="L405" s="30" t="n">
        <v>83107.5</v>
      </c>
      <c r="M405" s="35" t="n">
        <v>0.5678696795725096</v>
      </c>
      <c r="N405" s="35" t="n">
        <v>0.424276356240933</v>
      </c>
      <c r="O405" s="35" t="n">
        <v>0.1136986301369862</v>
      </c>
      <c r="P405" s="35" t="n">
        <v>-0.04689331770222738</v>
      </c>
      <c r="Q405" s="35" t="n">
        <v>-0.2137330754352031</v>
      </c>
      <c r="R405" s="35" t="n">
        <v>0.1171418756441085</v>
      </c>
      <c r="S405" s="35" t="n">
        <v>0.1289576004443622</v>
      </c>
      <c r="T405" s="35" t="n">
        <v>-0.02174893962638746</v>
      </c>
      <c r="U405" s="30" t="n">
        <v>142000</v>
      </c>
      <c r="V405" s="30" t="n">
        <v>67500</v>
      </c>
      <c r="W405" s="35" t="n">
        <v>-0.4274647887323944</v>
      </c>
      <c r="X405" s="35" t="n">
        <v>0.2044444444444444</v>
      </c>
      <c r="Y405" s="30" t="n">
        <v>11179416</v>
      </c>
      <c r="Z405" s="30" t="n">
        <v>908886520800</v>
      </c>
      <c r="AA405" s="30" t="n">
        <v>8996495400</v>
      </c>
      <c r="AB405" s="30" t="n">
        <v>2816935190</v>
      </c>
      <c r="AC405" s="35" t="n">
        <v>0.009898370362101205</v>
      </c>
      <c r="AD405" s="24" t="inlineStr">
        <is>
          <t>yfinance_download</t>
        </is>
      </c>
      <c r="AE405" s="24" t="inlineStr">
        <is>
          <t>064760.KQ</t>
        </is>
      </c>
    </row>
    <row r="406" ht="24" customHeight="1">
      <c r="A406" s="29" t="inlineStr">
        <is>
          <t>2025-02-07</t>
        </is>
      </c>
      <c r="B406" s="31" t="n">
        <v>81500</v>
      </c>
      <c r="C406" s="31" t="n">
        <v>88600</v>
      </c>
      <c r="D406" s="31" t="n">
        <v>80800</v>
      </c>
      <c r="E406" s="31" t="n">
        <v>85700</v>
      </c>
      <c r="F406" s="31" t="n">
        <v>84872.34375</v>
      </c>
      <c r="G406" s="31" t="n">
        <v>163075</v>
      </c>
      <c r="H406" s="36" t="n">
        <v>0.05412054120541199</v>
      </c>
      <c r="I406" s="36" t="n">
        <v>-0.5821550463188688</v>
      </c>
      <c r="J406" s="31" t="n">
        <v>73365</v>
      </c>
      <c r="K406" s="31" t="n">
        <v>72028.33333333333</v>
      </c>
      <c r="L406" s="31" t="n">
        <v>83030</v>
      </c>
      <c r="M406" s="36" t="n">
        <v>0.59289146125985</v>
      </c>
      <c r="N406" s="36" t="n">
        <v>0.4385804537557308</v>
      </c>
      <c r="O406" s="36" t="n">
        <v>0.1596752368064953</v>
      </c>
      <c r="P406" s="36" t="n">
        <v>0.01061320754716988</v>
      </c>
      <c r="Q406" s="36" t="n">
        <v>-0.09789473684210526</v>
      </c>
      <c r="R406" s="36" t="n">
        <v>0.1681319430246031</v>
      </c>
      <c r="S406" s="36" t="n">
        <v>0.1898095656801722</v>
      </c>
      <c r="T406" s="36" t="n">
        <v>0.03215705166807181</v>
      </c>
      <c r="U406" s="31" t="n">
        <v>142000</v>
      </c>
      <c r="V406" s="31" t="n">
        <v>67500</v>
      </c>
      <c r="W406" s="36" t="n">
        <v>-0.3964788732394366</v>
      </c>
      <c r="X406" s="36" t="n">
        <v>0.2696296296296297</v>
      </c>
      <c r="Y406" s="31" t="n">
        <v>11179416</v>
      </c>
      <c r="Z406" s="31" t="n">
        <v>958075951200</v>
      </c>
      <c r="AA406" s="31" t="n">
        <v>13975527500</v>
      </c>
      <c r="AB406" s="31" t="n">
        <v>3333304195</v>
      </c>
      <c r="AC406" s="36" t="n">
        <v>0.01458707682047077</v>
      </c>
      <c r="AD406" s="29" t="inlineStr">
        <is>
          <t>yfinance_download</t>
        </is>
      </c>
      <c r="AE406" s="29" t="inlineStr">
        <is>
          <t>064760.KQ</t>
        </is>
      </c>
    </row>
    <row r="407" ht="24" customHeight="1">
      <c r="A407" s="24" t="inlineStr">
        <is>
          <t>2025-02-10</t>
        </is>
      </c>
      <c r="B407" s="30" t="n">
        <v>83500</v>
      </c>
      <c r="C407" s="30" t="n">
        <v>87500</v>
      </c>
      <c r="D407" s="30" t="n">
        <v>80400</v>
      </c>
      <c r="E407" s="30" t="n">
        <v>85400</v>
      </c>
      <c r="F407" s="30" t="n">
        <v>84575.2421875</v>
      </c>
      <c r="G407" s="30" t="n">
        <v>142737</v>
      </c>
      <c r="H407" s="35" t="n">
        <v>-0.003500583430571802</v>
      </c>
      <c r="I407" s="35" t="n">
        <v>-0.5836177474402731</v>
      </c>
      <c r="J407" s="30" t="n">
        <v>74015</v>
      </c>
      <c r="K407" s="30" t="n">
        <v>72101.66666666667</v>
      </c>
      <c r="L407" s="30" t="n">
        <v>82917.5</v>
      </c>
      <c r="M407" s="35" t="n">
        <v>0.585180014135154</v>
      </c>
      <c r="N407" s="35" t="n">
        <v>0.4283874740357475</v>
      </c>
      <c r="O407" s="35" t="n">
        <v>0.1795580110497237</v>
      </c>
      <c r="P407" s="35" t="n">
        <v>0.05432098765432092</v>
      </c>
      <c r="Q407" s="35" t="n">
        <v>-0.1365015166835187</v>
      </c>
      <c r="R407" s="35" t="n">
        <v>0.1538201715868406</v>
      </c>
      <c r="S407" s="35" t="n">
        <v>0.1844386398834978</v>
      </c>
      <c r="T407" s="35" t="n">
        <v>0.02993939759399411</v>
      </c>
      <c r="U407" s="30" t="n">
        <v>142000</v>
      </c>
      <c r="V407" s="30" t="n">
        <v>67500</v>
      </c>
      <c r="W407" s="35" t="n">
        <v>-0.3985915492957747</v>
      </c>
      <c r="X407" s="35" t="n">
        <v>0.2651851851851852</v>
      </c>
      <c r="Y407" s="30" t="n">
        <v>11179416</v>
      </c>
      <c r="Z407" s="30" t="n">
        <v>954722126400</v>
      </c>
      <c r="AA407" s="30" t="n">
        <v>12189739800</v>
      </c>
      <c r="AB407" s="30" t="n">
        <v>3787768305</v>
      </c>
      <c r="AC407" s="35" t="n">
        <v>0.01276784046680077</v>
      </c>
      <c r="AD407" s="24" t="inlineStr">
        <is>
          <t>yfinance_download</t>
        </is>
      </c>
      <c r="AE407" s="24" t="inlineStr">
        <is>
          <t>064760.KQ</t>
        </is>
      </c>
    </row>
    <row r="408" ht="24" customHeight="1">
      <c r="A408" s="29" t="inlineStr">
        <is>
          <t>2025-02-11</t>
        </is>
      </c>
      <c r="B408" s="31" t="n">
        <v>85100</v>
      </c>
      <c r="C408" s="31" t="n">
        <v>86500</v>
      </c>
      <c r="D408" s="31" t="n">
        <v>82900</v>
      </c>
      <c r="E408" s="31" t="n">
        <v>84000</v>
      </c>
      <c r="F408" s="31" t="n">
        <v>83188.765625</v>
      </c>
      <c r="G408" s="31" t="n">
        <v>74905</v>
      </c>
      <c r="H408" s="36" t="n">
        <v>-0.01639344262295084</v>
      </c>
      <c r="I408" s="36" t="n">
        <v>-0.590443686006826</v>
      </c>
      <c r="J408" s="31" t="n">
        <v>74490</v>
      </c>
      <c r="K408" s="31" t="n">
        <v>72146.66666666667</v>
      </c>
      <c r="L408" s="31" t="n">
        <v>82801.66666666667</v>
      </c>
      <c r="M408" s="36" t="n">
        <v>0.586689388461053</v>
      </c>
      <c r="N408" s="36" t="n">
        <v>0.4298691652599432</v>
      </c>
      <c r="O408" s="36" t="n">
        <v>0.1275167785234899</v>
      </c>
      <c r="P408" s="36" t="n">
        <v>0.03321033210332103</v>
      </c>
      <c r="Q408" s="36" t="n">
        <v>-0.1419816138917263</v>
      </c>
      <c r="R408" s="36" t="n">
        <v>0.1276681433749496</v>
      </c>
      <c r="S408" s="36" t="n">
        <v>0.1642949547218628</v>
      </c>
      <c r="T408" s="36" t="n">
        <v>0.01447233348765109</v>
      </c>
      <c r="U408" s="31" t="n">
        <v>142000</v>
      </c>
      <c r="V408" s="31" t="n">
        <v>67500</v>
      </c>
      <c r="W408" s="36" t="n">
        <v>-0.4084507042253521</v>
      </c>
      <c r="X408" s="36" t="n">
        <v>0.2444444444444445</v>
      </c>
      <c r="Y408" s="31" t="n">
        <v>11179416</v>
      </c>
      <c r="Z408" s="31" t="n">
        <v>939070944000</v>
      </c>
      <c r="AA408" s="31" t="n">
        <v>6292020000</v>
      </c>
      <c r="AB408" s="31" t="n">
        <v>3963013330</v>
      </c>
      <c r="AC408" s="36" t="n">
        <v>0.006700260550282769</v>
      </c>
      <c r="AD408" s="29" t="inlineStr">
        <is>
          <t>yfinance_download</t>
        </is>
      </c>
      <c r="AE408" s="29" t="inlineStr">
        <is>
          <t>064760.KQ</t>
        </is>
      </c>
    </row>
    <row r="409" ht="24" customHeight="1">
      <c r="A409" s="24" t="inlineStr">
        <is>
          <t>2025-02-12</t>
        </is>
      </c>
      <c r="B409" s="30" t="n">
        <v>83200</v>
      </c>
      <c r="C409" s="30" t="n">
        <v>86600</v>
      </c>
      <c r="D409" s="30" t="n">
        <v>82400</v>
      </c>
      <c r="E409" s="30" t="n">
        <v>83000</v>
      </c>
      <c r="F409" s="30" t="n">
        <v>82198.421875</v>
      </c>
      <c r="G409" s="30" t="n">
        <v>40300</v>
      </c>
      <c r="H409" s="35" t="n">
        <v>-0.01190476190476186</v>
      </c>
      <c r="I409" s="35" t="n">
        <v>-0.5953193564115066</v>
      </c>
      <c r="J409" s="30" t="n">
        <v>74985</v>
      </c>
      <c r="K409" s="30" t="n">
        <v>72240</v>
      </c>
      <c r="L409" s="30" t="n">
        <v>82652.5</v>
      </c>
      <c r="M409" s="35" t="n">
        <v>0.5832288784526362</v>
      </c>
      <c r="N409" s="35" t="n">
        <v>0.4185639546357459</v>
      </c>
      <c r="O409" s="35" t="n">
        <v>0.1354309165526675</v>
      </c>
      <c r="P409" s="35" t="n">
        <v>0.07235142118863047</v>
      </c>
      <c r="Q409" s="35" t="n">
        <v>-0.1774033696729435</v>
      </c>
      <c r="R409" s="35" t="n">
        <v>0.1068880442755218</v>
      </c>
      <c r="S409" s="35" t="n">
        <v>0.1489479512735328</v>
      </c>
      <c r="T409" s="35" t="n">
        <v>0.004204349535706697</v>
      </c>
      <c r="U409" s="30" t="n">
        <v>142000</v>
      </c>
      <c r="V409" s="30" t="n">
        <v>67500</v>
      </c>
      <c r="W409" s="35" t="n">
        <v>-0.4154929577464789</v>
      </c>
      <c r="X409" s="35" t="n">
        <v>0.2296296296296296</v>
      </c>
      <c r="Y409" s="30" t="n">
        <v>11179416</v>
      </c>
      <c r="Z409" s="30" t="n">
        <v>927891528000</v>
      </c>
      <c r="AA409" s="30" t="n">
        <v>3344900000</v>
      </c>
      <c r="AB409" s="30" t="n">
        <v>4004244895</v>
      </c>
      <c r="AC409" s="35" t="n">
        <v>0.00360483946567513</v>
      </c>
      <c r="AD409" s="24" t="inlineStr">
        <is>
          <t>yfinance_download</t>
        </is>
      </c>
      <c r="AE409" s="24" t="inlineStr">
        <is>
          <t>064760.KQ</t>
        </is>
      </c>
    </row>
    <row r="410" ht="24" customHeight="1">
      <c r="A410" s="29" t="inlineStr">
        <is>
          <t>2025-02-13</t>
        </is>
      </c>
      <c r="B410" s="31" t="n">
        <v>83600</v>
      </c>
      <c r="C410" s="31" t="n">
        <v>88900</v>
      </c>
      <c r="D410" s="31" t="n">
        <v>82700</v>
      </c>
      <c r="E410" s="31" t="n">
        <v>88900</v>
      </c>
      <c r="F410" s="31" t="n">
        <v>88041.4453125</v>
      </c>
      <c r="G410" s="31" t="n">
        <v>84636</v>
      </c>
      <c r="H410" s="36" t="n">
        <v>0.07108433734939767</v>
      </c>
      <c r="I410" s="36" t="n">
        <v>-0.5665529010238908</v>
      </c>
      <c r="J410" s="31" t="n">
        <v>75780</v>
      </c>
      <c r="K410" s="31" t="n">
        <v>72473.33333333333</v>
      </c>
      <c r="L410" s="31" t="n">
        <v>82506.66666666667</v>
      </c>
      <c r="M410" s="36" t="n">
        <v>0.6246964049716315</v>
      </c>
      <c r="N410" s="36" t="n">
        <v>0.4361649714543297</v>
      </c>
      <c r="O410" s="36" t="n">
        <v>0.2178082191780821</v>
      </c>
      <c r="P410" s="36" t="n">
        <v>0.1869158878504673</v>
      </c>
      <c r="Q410" s="36" t="n">
        <v>-0.1644736842105263</v>
      </c>
      <c r="R410" s="36" t="n">
        <v>0.1731327527051993</v>
      </c>
      <c r="S410" s="36" t="n">
        <v>0.2266580811332906</v>
      </c>
      <c r="T410" s="36" t="n">
        <v>0.07748868778280538</v>
      </c>
      <c r="U410" s="31" t="n">
        <v>142000</v>
      </c>
      <c r="V410" s="31" t="n">
        <v>67500</v>
      </c>
      <c r="W410" s="36" t="n">
        <v>-0.3739436619718309</v>
      </c>
      <c r="X410" s="36" t="n">
        <v>0.317037037037037</v>
      </c>
      <c r="Y410" s="31" t="n">
        <v>11179416</v>
      </c>
      <c r="Z410" s="31" t="n">
        <v>993850082400</v>
      </c>
      <c r="AA410" s="31" t="n">
        <v>7524140400</v>
      </c>
      <c r="AB410" s="31" t="n">
        <v>4300776065</v>
      </c>
      <c r="AC410" s="36" t="n">
        <v>0.007570699578582638</v>
      </c>
      <c r="AD410" s="29" t="inlineStr">
        <is>
          <t>yfinance_download</t>
        </is>
      </c>
      <c r="AE410" s="29" t="inlineStr">
        <is>
          <t>064760.KQ</t>
        </is>
      </c>
    </row>
    <row r="411" ht="24" customHeight="1">
      <c r="A411" s="24" t="inlineStr">
        <is>
          <t>2025-02-14</t>
        </is>
      </c>
      <c r="B411" s="30" t="n">
        <v>89000</v>
      </c>
      <c r="C411" s="30" t="n">
        <v>90100</v>
      </c>
      <c r="D411" s="30" t="n">
        <v>87000</v>
      </c>
      <c r="E411" s="30" t="n">
        <v>88100</v>
      </c>
      <c r="F411" s="30" t="n">
        <v>87249.171875</v>
      </c>
      <c r="G411" s="30" t="n">
        <v>55181</v>
      </c>
      <c r="H411" s="35" t="n">
        <v>-0.008998875140607376</v>
      </c>
      <c r="I411" s="35" t="n">
        <v>-0.5704534373476353</v>
      </c>
      <c r="J411" s="30" t="n">
        <v>76650</v>
      </c>
      <c r="K411" s="30" t="n">
        <v>72703.33333333333</v>
      </c>
      <c r="L411" s="30" t="n">
        <v>82363.33333333333</v>
      </c>
      <c r="M411" s="35" t="n">
        <v>0.609495493782471</v>
      </c>
      <c r="N411" s="35" t="n">
        <v>0.4362783293286528</v>
      </c>
      <c r="O411" s="35" t="n">
        <v>0.2461103253182462</v>
      </c>
      <c r="P411" s="35" t="n">
        <v>0.1857335127860027</v>
      </c>
      <c r="Q411" s="35" t="n">
        <v>-0.1633428300094967</v>
      </c>
      <c r="R411" s="35" t="n">
        <v>0.1493803000652316</v>
      </c>
      <c r="S411" s="35" t="n">
        <v>0.2117738755673744</v>
      </c>
      <c r="T411" s="35" t="n">
        <v>0.06965073455016402</v>
      </c>
      <c r="U411" s="30" t="n">
        <v>142000</v>
      </c>
      <c r="V411" s="30" t="n">
        <v>67500</v>
      </c>
      <c r="W411" s="35" t="n">
        <v>-0.3795774647887324</v>
      </c>
      <c r="X411" s="35" t="n">
        <v>0.3051851851851852</v>
      </c>
      <c r="Y411" s="30" t="n">
        <v>11179416</v>
      </c>
      <c r="Z411" s="30" t="n">
        <v>984906549600</v>
      </c>
      <c r="AA411" s="30" t="n">
        <v>4861446100</v>
      </c>
      <c r="AB411" s="30" t="n">
        <v>4432552430</v>
      </c>
      <c r="AC411" s="35" t="n">
        <v>0.004935946564650604</v>
      </c>
      <c r="AD411" s="24" t="inlineStr">
        <is>
          <t>yfinance_download</t>
        </is>
      </c>
      <c r="AE411" s="24" t="inlineStr">
        <is>
          <t>064760.KQ</t>
        </is>
      </c>
    </row>
    <row r="412" ht="24" customHeight="1">
      <c r="A412" s="29" t="inlineStr">
        <is>
          <t>2025-02-17</t>
        </is>
      </c>
      <c r="B412" s="31" t="n">
        <v>88100</v>
      </c>
      <c r="C412" s="31" t="n">
        <v>88800</v>
      </c>
      <c r="D412" s="31" t="n">
        <v>85300</v>
      </c>
      <c r="E412" s="31" t="n">
        <v>87100</v>
      </c>
      <c r="F412" s="31" t="n">
        <v>86258.828125</v>
      </c>
      <c r="G412" s="31" t="n">
        <v>59519</v>
      </c>
      <c r="H412" s="36" t="n">
        <v>-0.01135073779795692</v>
      </c>
      <c r="I412" s="36" t="n">
        <v>-0.5753291077523159</v>
      </c>
      <c r="J412" s="31" t="n">
        <v>77455</v>
      </c>
      <c r="K412" s="31" t="n">
        <v>72956.66666666667</v>
      </c>
      <c r="L412" s="31" t="n">
        <v>82216.66666666667</v>
      </c>
      <c r="M412" s="36" t="n">
        <v>0.6145295366005152</v>
      </c>
      <c r="N412" s="36" t="n">
        <v>0.4310778993926346</v>
      </c>
      <c r="O412" s="36" t="n">
        <v>0.2267605633802816</v>
      </c>
      <c r="P412" s="36" t="n">
        <v>0.2114047287899861</v>
      </c>
      <c r="Q412" s="36" t="n">
        <v>-0.1680993314231136</v>
      </c>
      <c r="R412" s="36" t="n">
        <v>0.1245239171131625</v>
      </c>
      <c r="S412" s="36" t="n">
        <v>0.193859368574953</v>
      </c>
      <c r="T412" s="36" t="n">
        <v>0.05939590512872495</v>
      </c>
      <c r="U412" s="31" t="n">
        <v>142000</v>
      </c>
      <c r="V412" s="31" t="n">
        <v>67500</v>
      </c>
      <c r="W412" s="36" t="n">
        <v>-0.3866197183098592</v>
      </c>
      <c r="X412" s="36" t="n">
        <v>0.2903703703703704</v>
      </c>
      <c r="Y412" s="31" t="n">
        <v>11179416</v>
      </c>
      <c r="Z412" s="31" t="n">
        <v>973727133600</v>
      </c>
      <c r="AA412" s="31" t="n">
        <v>5184104900</v>
      </c>
      <c r="AB412" s="31" t="n">
        <v>4614076575</v>
      </c>
      <c r="AC412" s="36" t="n">
        <v>0.005323981145347842</v>
      </c>
      <c r="AD412" s="29" t="inlineStr">
        <is>
          <t>yfinance_download</t>
        </is>
      </c>
      <c r="AE412" s="29" t="inlineStr">
        <is>
          <t>064760.KQ</t>
        </is>
      </c>
    </row>
    <row r="413" ht="24" customHeight="1">
      <c r="A413" s="24" t="inlineStr">
        <is>
          <t>2025-02-18</t>
        </is>
      </c>
      <c r="B413" s="30" t="n">
        <v>87100</v>
      </c>
      <c r="C413" s="30" t="n">
        <v>88400</v>
      </c>
      <c r="D413" s="30" t="n">
        <v>86200</v>
      </c>
      <c r="E413" s="30" t="n">
        <v>87000</v>
      </c>
      <c r="F413" s="30" t="n">
        <v>86159.7890625</v>
      </c>
      <c r="G413" s="30" t="n">
        <v>31837</v>
      </c>
      <c r="H413" s="35" t="n">
        <v>-0.001148105625717544</v>
      </c>
      <c r="I413" s="35" t="n">
        <v>-0.575816674792784</v>
      </c>
      <c r="J413" s="30" t="n">
        <v>78310</v>
      </c>
      <c r="K413" s="30" t="n">
        <v>73200</v>
      </c>
      <c r="L413" s="30" t="n">
        <v>82025</v>
      </c>
      <c r="M413" s="35" t="n">
        <v>0.608421226259649</v>
      </c>
      <c r="N413" s="35" t="n">
        <v>0.4311245659827739</v>
      </c>
      <c r="O413" s="35" t="n">
        <v>0.2446351931330473</v>
      </c>
      <c r="P413" s="35" t="n">
        <v>0.201657458563536</v>
      </c>
      <c r="Q413" s="35" t="n">
        <v>-0.2090909090909091</v>
      </c>
      <c r="R413" s="35" t="n">
        <v>0.1109692248754948</v>
      </c>
      <c r="S413" s="35" t="n">
        <v>0.1885245901639345</v>
      </c>
      <c r="T413" s="35" t="n">
        <v>0.06065224017067972</v>
      </c>
      <c r="U413" s="30" t="n">
        <v>142000</v>
      </c>
      <c r="V413" s="30" t="n">
        <v>67500</v>
      </c>
      <c r="W413" s="35" t="n">
        <v>-0.3873239436619719</v>
      </c>
      <c r="X413" s="35" t="n">
        <v>0.288888888888889</v>
      </c>
      <c r="Y413" s="30" t="n">
        <v>11179416</v>
      </c>
      <c r="Z413" s="30" t="n">
        <v>972609192000</v>
      </c>
      <c r="AA413" s="30" t="n">
        <v>2769819000</v>
      </c>
      <c r="AB413" s="30" t="n">
        <v>4628005725</v>
      </c>
      <c r="AC413" s="35" t="n">
        <v>0.002847823177883353</v>
      </c>
      <c r="AD413" s="24" t="inlineStr">
        <is>
          <t>yfinance_download</t>
        </is>
      </c>
      <c r="AE413" s="24" t="inlineStr">
        <is>
          <t>064760.KQ</t>
        </is>
      </c>
    </row>
    <row r="414" ht="24" customHeight="1">
      <c r="A414" s="29" t="inlineStr">
        <is>
          <t>2025-02-19</t>
        </is>
      </c>
      <c r="B414" s="31" t="n">
        <v>88000</v>
      </c>
      <c r="C414" s="31" t="n">
        <v>91200</v>
      </c>
      <c r="D414" s="31" t="n">
        <v>87400</v>
      </c>
      <c r="E414" s="31" t="n">
        <v>87700</v>
      </c>
      <c r="F414" s="31" t="n">
        <v>86853.03125</v>
      </c>
      <c r="G414" s="31" t="n">
        <v>68247</v>
      </c>
      <c r="H414" s="36" t="n">
        <v>0.008045977011494232</v>
      </c>
      <c r="I414" s="36" t="n">
        <v>-0.5724037055095075</v>
      </c>
      <c r="J414" s="31" t="n">
        <v>79195</v>
      </c>
      <c r="K414" s="31" t="n">
        <v>73461.66666666667</v>
      </c>
      <c r="L414" s="31" t="n">
        <v>81830.83333333333</v>
      </c>
      <c r="M414" s="36" t="n">
        <v>0.607396926977823</v>
      </c>
      <c r="N414" s="36" t="n">
        <v>0.4308193487275511</v>
      </c>
      <c r="O414" s="36" t="n">
        <v>0.2528571428571429</v>
      </c>
      <c r="P414" s="36" t="n">
        <v>0.2180555555555554</v>
      </c>
      <c r="Q414" s="36" t="n">
        <v>-0.2099099099099099</v>
      </c>
      <c r="R414" s="36" t="n">
        <v>0.1073931435065345</v>
      </c>
      <c r="S414" s="36" t="n">
        <v>0.1938199060734622</v>
      </c>
      <c r="T414" s="36" t="n">
        <v>0.07172316873224238</v>
      </c>
      <c r="U414" s="31" t="n">
        <v>142000</v>
      </c>
      <c r="V414" s="31" t="n">
        <v>67500</v>
      </c>
      <c r="W414" s="36" t="n">
        <v>-0.3823943661971831</v>
      </c>
      <c r="X414" s="36" t="n">
        <v>0.2992592592592593</v>
      </c>
      <c r="Y414" s="31" t="n">
        <v>11179416</v>
      </c>
      <c r="Z414" s="31" t="n">
        <v>980434783200</v>
      </c>
      <c r="AA414" s="31" t="n">
        <v>5985261900</v>
      </c>
      <c r="AB414" s="31" t="n">
        <v>4831120320</v>
      </c>
      <c r="AC414" s="36" t="n">
        <v>0.006104701712504481</v>
      </c>
      <c r="AD414" s="29" t="inlineStr">
        <is>
          <t>yfinance_download</t>
        </is>
      </c>
      <c r="AE414" s="29" t="inlineStr">
        <is>
          <t>064760.KQ</t>
        </is>
      </c>
    </row>
    <row r="415" ht="24" customHeight="1">
      <c r="A415" s="24" t="inlineStr">
        <is>
          <t>2025-02-20</t>
        </is>
      </c>
      <c r="B415" s="30" t="n">
        <v>87700</v>
      </c>
      <c r="C415" s="30" t="n">
        <v>89100</v>
      </c>
      <c r="D415" s="30" t="n">
        <v>86000</v>
      </c>
      <c r="E415" s="30" t="n">
        <v>87000</v>
      </c>
      <c r="F415" s="30" t="n">
        <v>86159.7890625</v>
      </c>
      <c r="G415" s="30" t="n">
        <v>39251</v>
      </c>
      <c r="H415" s="35" t="n">
        <v>-0.007981755986317007</v>
      </c>
      <c r="I415" s="35" t="n">
        <v>-0.575816674792784</v>
      </c>
      <c r="J415" s="30" t="n">
        <v>79955</v>
      </c>
      <c r="K415" s="30" t="n">
        <v>73748.33333333333</v>
      </c>
      <c r="L415" s="30" t="n">
        <v>81658.33333333333</v>
      </c>
      <c r="M415" s="35" t="n">
        <v>0.609080912756284</v>
      </c>
      <c r="N415" s="35" t="n">
        <v>0.4256182483899205</v>
      </c>
      <c r="O415" s="35" t="n">
        <v>0.2116991643454038</v>
      </c>
      <c r="P415" s="35" t="n">
        <v>0.2464183381088825</v>
      </c>
      <c r="Q415" s="35" t="n">
        <v>-0.1922005571030641</v>
      </c>
      <c r="R415" s="35" t="n">
        <v>0.08811206303545749</v>
      </c>
      <c r="S415" s="35" t="n">
        <v>0.1796876765576625</v>
      </c>
      <c r="T415" s="35" t="n">
        <v>0.0654148382488009</v>
      </c>
      <c r="U415" s="30" t="n">
        <v>142000</v>
      </c>
      <c r="V415" s="30" t="n">
        <v>67500</v>
      </c>
      <c r="W415" s="35" t="n">
        <v>-0.3873239436619719</v>
      </c>
      <c r="X415" s="35" t="n">
        <v>0.288888888888889</v>
      </c>
      <c r="Y415" s="30" t="n">
        <v>11179416</v>
      </c>
      <c r="Z415" s="30" t="n">
        <v>972609192000</v>
      </c>
      <c r="AA415" s="30" t="n">
        <v>3414837000</v>
      </c>
      <c r="AB415" s="30" t="n">
        <v>4923334510</v>
      </c>
      <c r="AC415" s="35" t="n">
        <v>0.003511006299434604</v>
      </c>
      <c r="AD415" s="24" t="inlineStr">
        <is>
          <t>yfinance_download</t>
        </is>
      </c>
      <c r="AE415" s="24" t="inlineStr">
        <is>
          <t>064760.KQ</t>
        </is>
      </c>
    </row>
    <row r="416" ht="24" customHeight="1">
      <c r="A416" s="29" t="inlineStr">
        <is>
          <t>2025-02-21</t>
        </is>
      </c>
      <c r="B416" s="31" t="n">
        <v>87400</v>
      </c>
      <c r="C416" s="31" t="n">
        <v>87400</v>
      </c>
      <c r="D416" s="31" t="n">
        <v>83900</v>
      </c>
      <c r="E416" s="31" t="n">
        <v>85800</v>
      </c>
      <c r="F416" s="31" t="n">
        <v>84971.3828125</v>
      </c>
      <c r="G416" s="31" t="n">
        <v>48878</v>
      </c>
      <c r="H416" s="36" t="n">
        <v>-0.01379310344827589</v>
      </c>
      <c r="I416" s="36" t="n">
        <v>-0.5816674792784008</v>
      </c>
      <c r="J416" s="31" t="n">
        <v>80625</v>
      </c>
      <c r="K416" s="31" t="n">
        <v>74001.66666666667</v>
      </c>
      <c r="L416" s="31" t="n">
        <v>81477.5</v>
      </c>
      <c r="M416" s="36" t="n">
        <v>0.6150709831430637</v>
      </c>
      <c r="N416" s="36" t="n">
        <v>0.4268771406551018</v>
      </c>
      <c r="O416" s="36" t="n">
        <v>0.1850828729281768</v>
      </c>
      <c r="P416" s="36" t="n">
        <v>0.2152974504249292</v>
      </c>
      <c r="Q416" s="36" t="n">
        <v>-0.2018604651162791</v>
      </c>
      <c r="R416" s="36" t="n">
        <v>0.06418604651162796</v>
      </c>
      <c r="S416" s="36" t="n">
        <v>0.1594333460958086</v>
      </c>
      <c r="T416" s="36" t="n">
        <v>0.05305145592341454</v>
      </c>
      <c r="U416" s="31" t="n">
        <v>142000</v>
      </c>
      <c r="V416" s="31" t="n">
        <v>67500</v>
      </c>
      <c r="W416" s="36" t="n">
        <v>-0.395774647887324</v>
      </c>
      <c r="X416" s="36" t="n">
        <v>0.2711111111111111</v>
      </c>
      <c r="Y416" s="31" t="n">
        <v>11179416</v>
      </c>
      <c r="Z416" s="31" t="n">
        <v>959193892800</v>
      </c>
      <c r="AA416" s="31" t="n">
        <v>4193732400</v>
      </c>
      <c r="AB416" s="31" t="n">
        <v>5048729430</v>
      </c>
      <c r="AC416" s="36" t="n">
        <v>0.004372142516210149</v>
      </c>
      <c r="AD416" s="29" t="inlineStr">
        <is>
          <t>yfinance_download</t>
        </is>
      </c>
      <c r="AE416" s="29" t="inlineStr">
        <is>
          <t>064760.KQ</t>
        </is>
      </c>
    </row>
    <row r="417" ht="24" customHeight="1">
      <c r="A417" s="24" t="inlineStr">
        <is>
          <t>2025-02-24</t>
        </is>
      </c>
      <c r="B417" s="30" t="n">
        <v>84100</v>
      </c>
      <c r="C417" s="30" t="n">
        <v>88500</v>
      </c>
      <c r="D417" s="30" t="n">
        <v>84100</v>
      </c>
      <c r="E417" s="30" t="n">
        <v>88500</v>
      </c>
      <c r="F417" s="30" t="n">
        <v>87645.3046875</v>
      </c>
      <c r="G417" s="30" t="n">
        <v>77075</v>
      </c>
      <c r="H417" s="35" t="n">
        <v>0.03146853146853146</v>
      </c>
      <c r="I417" s="35" t="n">
        <v>-0.568503169185763</v>
      </c>
      <c r="J417" s="30" t="n">
        <v>81395</v>
      </c>
      <c r="K417" s="30" t="n">
        <v>74306.66666666667</v>
      </c>
      <c r="L417" s="30" t="n">
        <v>81300.83333333333</v>
      </c>
      <c r="M417" s="35" t="n">
        <v>0.6201342721570423</v>
      </c>
      <c r="N417" s="35" t="n">
        <v>0.4302057676738933</v>
      </c>
      <c r="O417" s="35" t="n">
        <v>0.2106703146374829</v>
      </c>
      <c r="P417" s="35" t="n">
        <v>0.2606837606837606</v>
      </c>
      <c r="Q417" s="35" t="n">
        <v>-0.1932543299908842</v>
      </c>
      <c r="R417" s="35" t="n">
        <v>0.08729037410160334</v>
      </c>
      <c r="S417" s="35" t="n">
        <v>0.1910102278844428</v>
      </c>
      <c r="T417" s="35" t="n">
        <v>0.08854972786256821</v>
      </c>
      <c r="U417" s="30" t="n">
        <v>142000</v>
      </c>
      <c r="V417" s="30" t="n">
        <v>67500</v>
      </c>
      <c r="W417" s="35" t="n">
        <v>-0.3767605633802817</v>
      </c>
      <c r="X417" s="35" t="n">
        <v>0.3111111111111111</v>
      </c>
      <c r="Y417" s="30" t="n">
        <v>11179416</v>
      </c>
      <c r="Z417" s="30" t="n">
        <v>989378316000</v>
      </c>
      <c r="AA417" s="30" t="n">
        <v>6821137500</v>
      </c>
      <c r="AB417" s="30" t="n">
        <v>5330476620</v>
      </c>
      <c r="AC417" s="35" t="n">
        <v>0.0068943672907422</v>
      </c>
      <c r="AD417" s="24" t="inlineStr">
        <is>
          <t>yfinance_download</t>
        </is>
      </c>
      <c r="AE417" s="24" t="inlineStr">
        <is>
          <t>064760.KQ</t>
        </is>
      </c>
    </row>
    <row r="418" ht="24" customHeight="1">
      <c r="A418" s="29" t="inlineStr">
        <is>
          <t>2025-02-25</t>
        </is>
      </c>
      <c r="B418" s="31" t="n">
        <v>87600</v>
      </c>
      <c r="C418" s="31" t="n">
        <v>89000</v>
      </c>
      <c r="D418" s="31" t="n">
        <v>85100</v>
      </c>
      <c r="E418" s="31" t="n">
        <v>85100</v>
      </c>
      <c r="F418" s="31" t="n">
        <v>84278.140625</v>
      </c>
      <c r="G418" s="31" t="n">
        <v>47501</v>
      </c>
      <c r="H418" s="36" t="n">
        <v>-0.03841807909604522</v>
      </c>
      <c r="I418" s="36" t="n">
        <v>-0.5850804485616772</v>
      </c>
      <c r="J418" s="31" t="n">
        <v>81950</v>
      </c>
      <c r="K418" s="31" t="n">
        <v>74533.33333333333</v>
      </c>
      <c r="L418" s="31" t="n">
        <v>81117.5</v>
      </c>
      <c r="M418" s="36" t="n">
        <v>0.6436483950978018</v>
      </c>
      <c r="N418" s="36" t="n">
        <v>0.4378774870248578</v>
      </c>
      <c r="O418" s="36" t="n">
        <v>0.1499999999999999</v>
      </c>
      <c r="P418" s="36" t="n">
        <v>0.1902097902097901</v>
      </c>
      <c r="Q418" s="36" t="n">
        <v>-0.2054154995331466</v>
      </c>
      <c r="R418" s="36" t="n">
        <v>0.03843807199511895</v>
      </c>
      <c r="S418" s="36" t="n">
        <v>0.1417710196779964</v>
      </c>
      <c r="T418" s="36" t="n">
        <v>0.04909544796129062</v>
      </c>
      <c r="U418" s="31" t="n">
        <v>142000</v>
      </c>
      <c r="V418" s="31" t="n">
        <v>67500</v>
      </c>
      <c r="W418" s="36" t="n">
        <v>-0.4007042253521127</v>
      </c>
      <c r="X418" s="36" t="n">
        <v>0.2607407407407407</v>
      </c>
      <c r="Y418" s="31" t="n">
        <v>11179416</v>
      </c>
      <c r="Z418" s="31" t="n">
        <v>951368301600</v>
      </c>
      <c r="AA418" s="31" t="n">
        <v>4042335100</v>
      </c>
      <c r="AB418" s="31" t="n">
        <v>5451696575</v>
      </c>
      <c r="AC418" s="36" t="n">
        <v>0.004248969713623681</v>
      </c>
      <c r="AD418" s="29" t="inlineStr">
        <is>
          <t>yfinance_download</t>
        </is>
      </c>
      <c r="AE418" s="29" t="inlineStr">
        <is>
          <t>064760.KQ</t>
        </is>
      </c>
    </row>
    <row r="419" ht="24" customHeight="1">
      <c r="A419" s="24" t="inlineStr">
        <is>
          <t>2025-02-26</t>
        </is>
      </c>
      <c r="B419" s="30" t="n">
        <v>85200</v>
      </c>
      <c r="C419" s="30" t="n">
        <v>85900</v>
      </c>
      <c r="D419" s="30" t="n">
        <v>84500</v>
      </c>
      <c r="E419" s="30" t="n">
        <v>84600</v>
      </c>
      <c r="F419" s="30" t="n">
        <v>83782.96875</v>
      </c>
      <c r="G419" s="30" t="n">
        <v>32238</v>
      </c>
      <c r="H419" s="35" t="n">
        <v>-0.005875440658049347</v>
      </c>
      <c r="I419" s="35" t="n">
        <v>-0.5875182837640176</v>
      </c>
      <c r="J419" s="30" t="n">
        <v>82565</v>
      </c>
      <c r="K419" s="30" t="n">
        <v>74743.33333333333</v>
      </c>
      <c r="L419" s="30" t="n">
        <v>80925</v>
      </c>
      <c r="M419" s="35" t="n">
        <v>0.6356314236724709</v>
      </c>
      <c r="N419" s="35" t="n">
        <v>0.4382040089406282</v>
      </c>
      <c r="O419" s="35" t="n">
        <v>0.1701244813278009</v>
      </c>
      <c r="P419" s="35" t="n">
        <v>0.175</v>
      </c>
      <c r="Q419" s="35" t="n">
        <v>-0.2144846796657381</v>
      </c>
      <c r="R419" s="35" t="n">
        <v>0.02464724762308479</v>
      </c>
      <c r="S419" s="35" t="n">
        <v>0.131873522722205</v>
      </c>
      <c r="T419" s="35" t="n">
        <v>0.04541241890639491</v>
      </c>
      <c r="U419" s="30" t="n">
        <v>142000</v>
      </c>
      <c r="V419" s="30" t="n">
        <v>67500</v>
      </c>
      <c r="W419" s="35" t="n">
        <v>-0.4042253521126761</v>
      </c>
      <c r="X419" s="35" t="n">
        <v>0.2533333333333334</v>
      </c>
      <c r="Y419" s="30" t="n">
        <v>11179416</v>
      </c>
      <c r="Z419" s="30" t="n">
        <v>945778593600</v>
      </c>
      <c r="AA419" s="30" t="n">
        <v>2727334800</v>
      </c>
      <c r="AB419" s="30" t="n">
        <v>5497908830</v>
      </c>
      <c r="AC419" s="35" t="n">
        <v>0.002883692672318482</v>
      </c>
      <c r="AD419" s="24" t="inlineStr">
        <is>
          <t>yfinance_download</t>
        </is>
      </c>
      <c r="AE419" s="24" t="inlineStr">
        <is>
          <t>064760.KQ</t>
        </is>
      </c>
    </row>
    <row r="420" ht="24" customHeight="1">
      <c r="A420" s="29" t="inlineStr">
        <is>
          <t>2025-02-27</t>
        </is>
      </c>
      <c r="B420" s="31" t="n">
        <v>85500</v>
      </c>
      <c r="C420" s="31" t="n">
        <v>86000</v>
      </c>
      <c r="D420" s="31" t="n">
        <v>82600</v>
      </c>
      <c r="E420" s="31" t="n">
        <v>84200</v>
      </c>
      <c r="F420" s="31" t="n">
        <v>83386.8359375</v>
      </c>
      <c r="G420" s="31" t="n">
        <v>44557</v>
      </c>
      <c r="H420" s="36" t="n">
        <v>-0.004728132387706863</v>
      </c>
      <c r="I420" s="36" t="n">
        <v>-0.5894685519258898</v>
      </c>
      <c r="J420" s="31" t="n">
        <v>83080</v>
      </c>
      <c r="K420" s="31" t="n">
        <v>74946.66666666667</v>
      </c>
      <c r="L420" s="31" t="n">
        <v>80752.5</v>
      </c>
      <c r="M420" s="36" t="n">
        <v>0.635207723741267</v>
      </c>
      <c r="N420" s="36" t="n">
        <v>0.4384518073954266</v>
      </c>
      <c r="O420" s="36" t="n">
        <v>0.1393775372124493</v>
      </c>
      <c r="P420" s="36" t="n">
        <v>0.1694444444444445</v>
      </c>
      <c r="Q420" s="36" t="n">
        <v>-0.1973307912297426</v>
      </c>
      <c r="R420" s="36" t="n">
        <v>0.01348098218584504</v>
      </c>
      <c r="S420" s="36" t="n">
        <v>0.12346557552037</v>
      </c>
      <c r="T420" s="36" t="n">
        <v>0.04269217671279524</v>
      </c>
      <c r="U420" s="31" t="n">
        <v>142000</v>
      </c>
      <c r="V420" s="31" t="n">
        <v>67500</v>
      </c>
      <c r="W420" s="36" t="n">
        <v>-0.4070422535211268</v>
      </c>
      <c r="X420" s="36" t="n">
        <v>0.2474074074074073</v>
      </c>
      <c r="Y420" s="31" t="n">
        <v>11179416</v>
      </c>
      <c r="Z420" s="31" t="n">
        <v>941306827200</v>
      </c>
      <c r="AA420" s="31" t="n">
        <v>3751699400</v>
      </c>
      <c r="AB420" s="31" t="n">
        <v>5565546710</v>
      </c>
      <c r="AC420" s="36" t="n">
        <v>0.003985628587396694</v>
      </c>
      <c r="AD420" s="29" t="inlineStr">
        <is>
          <t>yfinance_download</t>
        </is>
      </c>
      <c r="AE420" s="29" t="inlineStr">
        <is>
          <t>064760.KQ</t>
        </is>
      </c>
    </row>
    <row r="421" ht="24" customHeight="1">
      <c r="A421" s="24" t="inlineStr">
        <is>
          <t>2025-02-28</t>
        </is>
      </c>
      <c r="B421" s="30" t="n">
        <v>81600</v>
      </c>
      <c r="C421" s="30" t="n">
        <v>82600</v>
      </c>
      <c r="D421" s="30" t="n">
        <v>79600</v>
      </c>
      <c r="E421" s="30" t="n">
        <v>80200</v>
      </c>
      <c r="F421" s="30" t="n">
        <v>79425.4609375</v>
      </c>
      <c r="G421" s="30" t="n">
        <v>62529</v>
      </c>
      <c r="H421" s="35" t="n">
        <v>-0.04750593824228033</v>
      </c>
      <c r="I421" s="35" t="n">
        <v>-0.6089712335446125</v>
      </c>
      <c r="J421" s="30" t="n">
        <v>83400</v>
      </c>
      <c r="K421" s="30" t="n">
        <v>75110</v>
      </c>
      <c r="L421" s="30" t="n">
        <v>80555</v>
      </c>
      <c r="M421" s="35" t="n">
        <v>0.6639950285254079</v>
      </c>
      <c r="N421" s="35" t="n">
        <v>0.4476238135789829</v>
      </c>
      <c r="O421" s="35" t="n">
        <v>0.08672086720867211</v>
      </c>
      <c r="P421" s="35" t="n">
        <v>0.1392045454545454</v>
      </c>
      <c r="Q421" s="35" t="n">
        <v>-0.2281039461020212</v>
      </c>
      <c r="R421" s="35" t="n">
        <v>-0.0383693045563549</v>
      </c>
      <c r="S421" s="35" t="n">
        <v>0.06776727466382648</v>
      </c>
      <c r="T421" s="35" t="n">
        <v>-0.004406926944323764</v>
      </c>
      <c r="U421" s="30" t="n">
        <v>142000</v>
      </c>
      <c r="V421" s="30" t="n">
        <v>67500</v>
      </c>
      <c r="W421" s="35" t="n">
        <v>-0.4352112676056338</v>
      </c>
      <c r="X421" s="35" t="n">
        <v>0.1881481481481482</v>
      </c>
      <c r="Y421" s="30" t="n">
        <v>11179416</v>
      </c>
      <c r="Z421" s="30" t="n">
        <v>896589163200</v>
      </c>
      <c r="AA421" s="30" t="n">
        <v>5014825800</v>
      </c>
      <c r="AB421" s="30" t="n">
        <v>5454096050</v>
      </c>
      <c r="AC421" s="35" t="n">
        <v>0.005593225978888343</v>
      </c>
      <c r="AD421" s="24" t="inlineStr">
        <is>
          <t>yfinance_download</t>
        </is>
      </c>
      <c r="AE421" s="24" t="inlineStr">
        <is>
          <t>064760.KQ</t>
        </is>
      </c>
    </row>
    <row r="422" ht="24" customHeight="1">
      <c r="A422" s="29" t="inlineStr">
        <is>
          <t>2025-03-04</t>
        </is>
      </c>
      <c r="B422" s="31" t="n">
        <v>80100</v>
      </c>
      <c r="C422" s="31" t="n">
        <v>81500</v>
      </c>
      <c r="D422" s="31" t="n">
        <v>76500</v>
      </c>
      <c r="E422" s="31" t="n">
        <v>81500</v>
      </c>
      <c r="F422" s="31" t="n">
        <v>80712.90625</v>
      </c>
      <c r="G422" s="31" t="n">
        <v>45126</v>
      </c>
      <c r="H422" s="36" t="n">
        <v>0.01620947630922687</v>
      </c>
      <c r="I422" s="36" t="n">
        <v>-0.6026328620185275</v>
      </c>
      <c r="J422" s="31" t="n">
        <v>83975</v>
      </c>
      <c r="K422" s="31" t="n">
        <v>75306.66666666667</v>
      </c>
      <c r="L422" s="31" t="n">
        <v>80358.33333333333</v>
      </c>
      <c r="M422" s="36" t="n">
        <v>0.630279569319621</v>
      </c>
      <c r="N422" s="36" t="n">
        <v>0.4477140381859095</v>
      </c>
      <c r="O422" s="36" t="n">
        <v>0.1642857142857144</v>
      </c>
      <c r="P422" s="36" t="n">
        <v>0.1692969870875178</v>
      </c>
      <c r="Q422" s="36" t="n">
        <v>-0.2245480494766888</v>
      </c>
      <c r="R422" s="36" t="n">
        <v>-0.02947305745757667</v>
      </c>
      <c r="S422" s="36" t="n">
        <v>0.08224150141643061</v>
      </c>
      <c r="T422" s="36" t="n">
        <v>0.01420719693041583</v>
      </c>
      <c r="U422" s="31" t="n">
        <v>142000</v>
      </c>
      <c r="V422" s="31" t="n">
        <v>67500</v>
      </c>
      <c r="W422" s="36" t="n">
        <v>-0.426056338028169</v>
      </c>
      <c r="X422" s="36" t="n">
        <v>0.2074074074074075</v>
      </c>
      <c r="Y422" s="31" t="n">
        <v>11179416</v>
      </c>
      <c r="Z422" s="31" t="n">
        <v>911122404000</v>
      </c>
      <c r="AA422" s="31" t="n">
        <v>3677769000</v>
      </c>
      <c r="AB422" s="31" t="n">
        <v>5461395500</v>
      </c>
      <c r="AC422" s="36" t="n">
        <v>0.004036525700448038</v>
      </c>
      <c r="AD422" s="29" t="inlineStr">
        <is>
          <t>yfinance_download</t>
        </is>
      </c>
      <c r="AE422" s="29" t="inlineStr">
        <is>
          <t>064760.KQ</t>
        </is>
      </c>
    </row>
    <row r="423" ht="24" customHeight="1">
      <c r="A423" s="24" t="inlineStr">
        <is>
          <t>2025-03-05</t>
        </is>
      </c>
      <c r="B423" s="30" t="n">
        <v>80700</v>
      </c>
      <c r="C423" s="30" t="n">
        <v>82000</v>
      </c>
      <c r="D423" s="30" t="n">
        <v>79900</v>
      </c>
      <c r="E423" s="30" t="n">
        <v>81600</v>
      </c>
      <c r="F423" s="30" t="n">
        <v>80811.9453125</v>
      </c>
      <c r="G423" s="30" t="n">
        <v>32785</v>
      </c>
      <c r="H423" s="35" t="n">
        <v>0.001226993865030668</v>
      </c>
      <c r="I423" s="35" t="n">
        <v>-0.6021452949780595</v>
      </c>
      <c r="J423" s="30" t="n">
        <v>84440</v>
      </c>
      <c r="K423" s="30" t="n">
        <v>75505</v>
      </c>
      <c r="L423" s="30" t="n">
        <v>80221.66666666667</v>
      </c>
      <c r="M423" s="35" t="n">
        <v>0.6239365725391847</v>
      </c>
      <c r="N423" s="35" t="n">
        <v>0.4476861053646211</v>
      </c>
      <c r="O423" s="35" t="n">
        <v>0.1286307053941909</v>
      </c>
      <c r="P423" s="35" t="n">
        <v>0.1707317073170731</v>
      </c>
      <c r="Q423" s="35" t="n">
        <v>-0.1673469387755102</v>
      </c>
      <c r="R423" s="35" t="n">
        <v>-0.03363334912363813</v>
      </c>
      <c r="S423" s="35" t="n">
        <v>0.08072313091848216</v>
      </c>
      <c r="T423" s="35" t="n">
        <v>0.01718155942908184</v>
      </c>
      <c r="U423" s="30" t="n">
        <v>142000</v>
      </c>
      <c r="V423" s="30" t="n">
        <v>67500</v>
      </c>
      <c r="W423" s="35" t="n">
        <v>-0.4253521126760563</v>
      </c>
      <c r="X423" s="35" t="n">
        <v>0.2088888888888889</v>
      </c>
      <c r="Y423" s="30" t="n">
        <v>11179416</v>
      </c>
      <c r="Z423" s="30" t="n">
        <v>912240345600</v>
      </c>
      <c r="AA423" s="30" t="n">
        <v>2675256000</v>
      </c>
      <c r="AB423" s="30" t="n">
        <v>5449976285</v>
      </c>
      <c r="AC423" s="35" t="n">
        <v>0.002932621882931989</v>
      </c>
      <c r="AD423" s="24" t="inlineStr">
        <is>
          <t>yfinance_download</t>
        </is>
      </c>
      <c r="AE423" s="24" t="inlineStr">
        <is>
          <t>064760.KQ</t>
        </is>
      </c>
    </row>
    <row r="424" ht="24" customHeight="1">
      <c r="A424" s="29" t="inlineStr">
        <is>
          <t>2025-03-06</t>
        </is>
      </c>
      <c r="B424" s="31" t="n">
        <v>81600</v>
      </c>
      <c r="C424" s="31" t="n">
        <v>81600</v>
      </c>
      <c r="D424" s="31" t="n">
        <v>78900</v>
      </c>
      <c r="E424" s="31" t="n">
        <v>79700</v>
      </c>
      <c r="F424" s="31" t="n">
        <v>78930.2890625</v>
      </c>
      <c r="G424" s="31" t="n">
        <v>27532</v>
      </c>
      <c r="H424" s="36" t="n">
        <v>-0.02328431372549022</v>
      </c>
      <c r="I424" s="36" t="n">
        <v>-0.6114090687469527</v>
      </c>
      <c r="J424" s="31" t="n">
        <v>84820</v>
      </c>
      <c r="K424" s="31" t="n">
        <v>75686.66666666667</v>
      </c>
      <c r="L424" s="31" t="n">
        <v>80048.33333333333</v>
      </c>
      <c r="M424" s="36" t="n">
        <v>0.632290577518865</v>
      </c>
      <c r="N424" s="36" t="n">
        <v>0.4497614827566239</v>
      </c>
      <c r="O424" s="36" t="n">
        <v>0.1054091539528432</v>
      </c>
      <c r="P424" s="36" t="n">
        <v>0.1584302325581395</v>
      </c>
      <c r="Q424" s="36" t="n">
        <v>-0.2069651741293532</v>
      </c>
      <c r="R424" s="36" t="n">
        <v>-0.06036312190521098</v>
      </c>
      <c r="S424" s="36" t="n">
        <v>0.05302563199154409</v>
      </c>
      <c r="T424" s="36" t="n">
        <v>-0.004351537612692247</v>
      </c>
      <c r="U424" s="31" t="n">
        <v>142000</v>
      </c>
      <c r="V424" s="31" t="n">
        <v>67500</v>
      </c>
      <c r="W424" s="36" t="n">
        <v>-0.4387323943661972</v>
      </c>
      <c r="X424" s="36" t="n">
        <v>0.1807407407407406</v>
      </c>
      <c r="Y424" s="31" t="n">
        <v>11179416</v>
      </c>
      <c r="Z424" s="31" t="n">
        <v>890999455200</v>
      </c>
      <c r="AA424" s="31" t="n">
        <v>2194300400</v>
      </c>
      <c r="AB424" s="31" t="n">
        <v>5481834120</v>
      </c>
      <c r="AC424" s="36" t="n">
        <v>0.002462740450842871</v>
      </c>
      <c r="AD424" s="29" t="inlineStr">
        <is>
          <t>yfinance_download</t>
        </is>
      </c>
      <c r="AE424" s="29" t="inlineStr">
        <is>
          <t>064760.KQ</t>
        </is>
      </c>
    </row>
    <row r="425" ht="24" customHeight="1">
      <c r="A425" s="24" t="inlineStr">
        <is>
          <t>2025-03-07</t>
        </is>
      </c>
      <c r="B425" s="30" t="n">
        <v>79700</v>
      </c>
      <c r="C425" s="30" t="n">
        <v>82900</v>
      </c>
      <c r="D425" s="30" t="n">
        <v>78900</v>
      </c>
      <c r="E425" s="30" t="n">
        <v>81200</v>
      </c>
      <c r="F425" s="30" t="n">
        <v>80415.8046875</v>
      </c>
      <c r="G425" s="30" t="n">
        <v>29552</v>
      </c>
      <c r="H425" s="35" t="n">
        <v>0.01882057716436636</v>
      </c>
      <c r="I425" s="35" t="n">
        <v>-0.6040955631399317</v>
      </c>
      <c r="J425" s="30" t="n">
        <v>84815</v>
      </c>
      <c r="K425" s="30" t="n">
        <v>75886.66666666667</v>
      </c>
      <c r="L425" s="30" t="n">
        <v>79907.5</v>
      </c>
      <c r="M425" s="35" t="n">
        <v>0.4441466476146943</v>
      </c>
      <c r="N425" s="35" t="n">
        <v>0.4509175839296952</v>
      </c>
      <c r="O425" s="35" t="n">
        <v>-0.001230012300122985</v>
      </c>
      <c r="P425" s="35" t="n">
        <v>0.1734104046242775</v>
      </c>
      <c r="Q425" s="35" t="n">
        <v>-0.1722731906218145</v>
      </c>
      <c r="R425" s="35" t="n">
        <v>-0.04262217768083476</v>
      </c>
      <c r="S425" s="35" t="n">
        <v>0.07001669155758572</v>
      </c>
      <c r="T425" s="35" t="n">
        <v>0.01617495228858368</v>
      </c>
      <c r="U425" s="30" t="n">
        <v>142000</v>
      </c>
      <c r="V425" s="30" t="n">
        <v>67500</v>
      </c>
      <c r="W425" s="35" t="n">
        <v>-0.428169014084507</v>
      </c>
      <c r="X425" s="35" t="n">
        <v>0.202962962962963</v>
      </c>
      <c r="Y425" s="30" t="n">
        <v>11179416</v>
      </c>
      <c r="Z425" s="30" t="n">
        <v>907768579200</v>
      </c>
      <c r="AA425" s="30" t="n">
        <v>2399622400</v>
      </c>
      <c r="AB425" s="30" t="n">
        <v>5151990470</v>
      </c>
      <c r="AC425" s="35" t="n">
        <v>0.002643429674680681</v>
      </c>
      <c r="AD425" s="24" t="inlineStr">
        <is>
          <t>yfinance_download</t>
        </is>
      </c>
      <c r="AE425" s="24" t="inlineStr">
        <is>
          <t>064760.KQ</t>
        </is>
      </c>
    </row>
    <row r="426" ht="24" customHeight="1">
      <c r="A426" s="29" t="inlineStr">
        <is>
          <t>2025-03-10</t>
        </is>
      </c>
      <c r="B426" s="31" t="n">
        <v>80700</v>
      </c>
      <c r="C426" s="31" t="n">
        <v>84100</v>
      </c>
      <c r="D426" s="31" t="n">
        <v>79500</v>
      </c>
      <c r="E426" s="31" t="n">
        <v>83200</v>
      </c>
      <c r="F426" s="31" t="n">
        <v>82396.4921875</v>
      </c>
      <c r="G426" s="31" t="n">
        <v>22878</v>
      </c>
      <c r="H426" s="36" t="n">
        <v>0.02463054187192126</v>
      </c>
      <c r="I426" s="36" t="n">
        <v>-0.5943442223305704</v>
      </c>
      <c r="J426" s="31" t="n">
        <v>84690</v>
      </c>
      <c r="K426" s="31" t="n">
        <v>76126.66666666667</v>
      </c>
      <c r="L426" s="31" t="n">
        <v>79798.33333333333</v>
      </c>
      <c r="M426" s="36" t="n">
        <v>0.4075854426097781</v>
      </c>
      <c r="N426" s="36" t="n">
        <v>0.4526764413881672</v>
      </c>
      <c r="O426" s="36" t="n">
        <v>-0.02917152858809802</v>
      </c>
      <c r="P426" s="36" t="n">
        <v>0.2093023255813953</v>
      </c>
      <c r="Q426" s="36" t="n">
        <v>-0.1360332294911735</v>
      </c>
      <c r="R426" s="36" t="n">
        <v>-0.01759357657338534</v>
      </c>
      <c r="S426" s="36" t="n">
        <v>0.09291531657763374</v>
      </c>
      <c r="T426" s="36" t="n">
        <v>0.04262829215313602</v>
      </c>
      <c r="U426" s="31" t="n">
        <v>142000</v>
      </c>
      <c r="V426" s="31" t="n">
        <v>67500</v>
      </c>
      <c r="W426" s="36" t="n">
        <v>-0.4140845070422535</v>
      </c>
      <c r="X426" s="36" t="n">
        <v>0.2325925925925927</v>
      </c>
      <c r="Y426" s="31" t="n">
        <v>11179416</v>
      </c>
      <c r="Z426" s="31" t="n">
        <v>930127411200</v>
      </c>
      <c r="AA426" s="31" t="n">
        <v>1903449600</v>
      </c>
      <c r="AB426" s="31" t="n">
        <v>4548386575</v>
      </c>
      <c r="AC426" s="36" t="n">
        <v>0.00204643963512942</v>
      </c>
      <c r="AD426" s="29" t="inlineStr">
        <is>
          <t>yfinance_download</t>
        </is>
      </c>
      <c r="AE426" s="29" t="inlineStr">
        <is>
          <t>064760.KQ</t>
        </is>
      </c>
    </row>
    <row r="427" ht="24" customHeight="1">
      <c r="A427" s="24" t="inlineStr">
        <is>
          <t>2025-03-11</t>
        </is>
      </c>
      <c r="B427" s="30" t="n">
        <v>82000</v>
      </c>
      <c r="C427" s="30" t="n">
        <v>83200</v>
      </c>
      <c r="D427" s="30" t="n">
        <v>79500</v>
      </c>
      <c r="E427" s="30" t="n">
        <v>82000</v>
      </c>
      <c r="F427" s="30" t="n">
        <v>81208.078125</v>
      </c>
      <c r="G427" s="30" t="n">
        <v>25906</v>
      </c>
      <c r="H427" s="35" t="n">
        <v>-0.01442307692307687</v>
      </c>
      <c r="I427" s="35" t="n">
        <v>-0.6001950268161873</v>
      </c>
      <c r="J427" s="30" t="n">
        <v>84520</v>
      </c>
      <c r="K427" s="30" t="n">
        <v>76343.33333333333</v>
      </c>
      <c r="L427" s="30" t="n">
        <v>79695.83333333333</v>
      </c>
      <c r="M427" s="35" t="n">
        <v>0.4102491656131989</v>
      </c>
      <c r="N427" s="35" t="n">
        <v>0.4541741161326088</v>
      </c>
      <c r="O427" s="35" t="n">
        <v>-0.03981264637002346</v>
      </c>
      <c r="P427" s="35" t="n">
        <v>0.1884057971014492</v>
      </c>
      <c r="Q427" s="35" t="n">
        <v>-0.1304347826086957</v>
      </c>
      <c r="R427" s="35" t="n">
        <v>-0.02981542830099382</v>
      </c>
      <c r="S427" s="35" t="n">
        <v>0.07409509671222114</v>
      </c>
      <c r="T427" s="35" t="n">
        <v>0.02891200920165216</v>
      </c>
      <c r="U427" s="30" t="n">
        <v>142000</v>
      </c>
      <c r="V427" s="30" t="n">
        <v>67500</v>
      </c>
      <c r="W427" s="35" t="n">
        <v>-0.4225352112676056</v>
      </c>
      <c r="X427" s="35" t="n">
        <v>0.2148148148148148</v>
      </c>
      <c r="Y427" s="30" t="n">
        <v>11179416</v>
      </c>
      <c r="Z427" s="30" t="n">
        <v>916712112000</v>
      </c>
      <c r="AA427" s="30" t="n">
        <v>2124292000</v>
      </c>
      <c r="AB427" s="30" t="n">
        <v>4045114185</v>
      </c>
      <c r="AC427" s="35" t="n">
        <v>0.002317294570664514</v>
      </c>
      <c r="AD427" s="24" t="inlineStr">
        <is>
          <t>yfinance_download</t>
        </is>
      </c>
      <c r="AE427" s="24" t="inlineStr">
        <is>
          <t>064760.KQ</t>
        </is>
      </c>
    </row>
    <row r="428" ht="24" customHeight="1">
      <c r="A428" s="29" t="inlineStr">
        <is>
          <t>2025-03-12</t>
        </is>
      </c>
      <c r="B428" s="31" t="n">
        <v>81300</v>
      </c>
      <c r="C428" s="31" t="n">
        <v>87900</v>
      </c>
      <c r="D428" s="31" t="n">
        <v>81300</v>
      </c>
      <c r="E428" s="31" t="n">
        <v>87900</v>
      </c>
      <c r="F428" s="31" t="n">
        <v>87051.1015625</v>
      </c>
      <c r="G428" s="31" t="n">
        <v>52895</v>
      </c>
      <c r="H428" s="36" t="n">
        <v>0.07195121951219519</v>
      </c>
      <c r="I428" s="36" t="n">
        <v>-0.5714285714285714</v>
      </c>
      <c r="J428" s="31" t="n">
        <v>84715</v>
      </c>
      <c r="K428" s="31" t="n">
        <v>76655</v>
      </c>
      <c r="L428" s="31" t="n">
        <v>79668.33333333333</v>
      </c>
      <c r="M428" s="36" t="n">
        <v>0.4819217181679397</v>
      </c>
      <c r="N428" s="36" t="n">
        <v>0.475479393667602</v>
      </c>
      <c r="O428" s="36" t="n">
        <v>0.04642857142857149</v>
      </c>
      <c r="P428" s="36" t="n">
        <v>0.2702312138728324</v>
      </c>
      <c r="Q428" s="36" t="n">
        <v>-0.03618421052631582</v>
      </c>
      <c r="R428" s="36" t="n">
        <v>0.03759664758307268</v>
      </c>
      <c r="S428" s="36" t="n">
        <v>0.1466962363837976</v>
      </c>
      <c r="T428" s="36" t="n">
        <v>0.1033241982385307</v>
      </c>
      <c r="U428" s="31" t="n">
        <v>142000</v>
      </c>
      <c r="V428" s="31" t="n">
        <v>67500</v>
      </c>
      <c r="W428" s="36" t="n">
        <v>-0.3809859154929578</v>
      </c>
      <c r="X428" s="36" t="n">
        <v>0.3022222222222222</v>
      </c>
      <c r="Y428" s="31" t="n">
        <v>11179416</v>
      </c>
      <c r="Z428" s="31" t="n">
        <v>982670666400</v>
      </c>
      <c r="AA428" s="31" t="n">
        <v>4649470500</v>
      </c>
      <c r="AB428" s="31" t="n">
        <v>3962986710</v>
      </c>
      <c r="AC428" s="36" t="n">
        <v>0.004731463611337122</v>
      </c>
      <c r="AD428" s="29" t="inlineStr">
        <is>
          <t>yfinance_download</t>
        </is>
      </c>
      <c r="AE428" s="29" t="inlineStr">
        <is>
          <t>064760.KQ</t>
        </is>
      </c>
    </row>
    <row r="429" ht="24" customHeight="1">
      <c r="A429" s="24" t="inlineStr">
        <is>
          <t>2025-03-13</t>
        </is>
      </c>
      <c r="B429" s="30" t="n">
        <v>88800</v>
      </c>
      <c r="C429" s="30" t="n">
        <v>90200</v>
      </c>
      <c r="D429" s="30" t="n">
        <v>86800</v>
      </c>
      <c r="E429" s="30" t="n">
        <v>86800</v>
      </c>
      <c r="F429" s="30" t="n">
        <v>85961.7265625</v>
      </c>
      <c r="G429" s="30" t="n">
        <v>56372</v>
      </c>
      <c r="H429" s="35" t="n">
        <v>-0.01251422070534702</v>
      </c>
      <c r="I429" s="35" t="n">
        <v>-0.5767918088737201</v>
      </c>
      <c r="J429" s="30" t="n">
        <v>84905</v>
      </c>
      <c r="K429" s="30" t="n">
        <v>76976.66666666667</v>
      </c>
      <c r="L429" s="30" t="n">
        <v>79639.16666666667</v>
      </c>
      <c r="M429" s="35" t="n">
        <v>0.4821714983478999</v>
      </c>
      <c r="N429" s="35" t="n">
        <v>0.4729758465775963</v>
      </c>
      <c r="O429" s="35" t="n">
        <v>0.04578313253012056</v>
      </c>
      <c r="P429" s="35" t="n">
        <v>0.2859259259259259</v>
      </c>
      <c r="Q429" s="35" t="n">
        <v>-0.03875968992248058</v>
      </c>
      <c r="R429" s="35" t="n">
        <v>0.02231906248159699</v>
      </c>
      <c r="S429" s="35" t="n">
        <v>0.1276144286147316</v>
      </c>
      <c r="T429" s="35" t="n">
        <v>0.08991597517971672</v>
      </c>
      <c r="U429" s="30" t="n">
        <v>142000</v>
      </c>
      <c r="V429" s="30" t="n">
        <v>67500</v>
      </c>
      <c r="W429" s="35" t="n">
        <v>-0.3887323943661972</v>
      </c>
      <c r="X429" s="35" t="n">
        <v>0.2859259259259259</v>
      </c>
      <c r="Y429" s="30" t="n">
        <v>11179416</v>
      </c>
      <c r="Z429" s="30" t="n">
        <v>970373308800</v>
      </c>
      <c r="AA429" s="30" t="n">
        <v>4893089600</v>
      </c>
      <c r="AB429" s="30" t="n">
        <v>4040396190</v>
      </c>
      <c r="AC429" s="35" t="n">
        <v>0.005042481646626264</v>
      </c>
      <c r="AD429" s="24" t="inlineStr">
        <is>
          <t>yfinance_download</t>
        </is>
      </c>
      <c r="AE429" s="24" t="inlineStr">
        <is>
          <t>064760.KQ</t>
        </is>
      </c>
    </row>
    <row r="430" ht="24" customHeight="1">
      <c r="A430" s="29" t="inlineStr">
        <is>
          <t>2025-03-14</t>
        </is>
      </c>
      <c r="B430" s="31" t="n">
        <v>87600</v>
      </c>
      <c r="C430" s="31" t="n">
        <v>91900</v>
      </c>
      <c r="D430" s="31" t="n">
        <v>87000</v>
      </c>
      <c r="E430" s="31" t="n">
        <v>91200</v>
      </c>
      <c r="F430" s="31" t="n">
        <v>90319.2265625</v>
      </c>
      <c r="G430" s="31" t="n">
        <v>60918</v>
      </c>
      <c r="H430" s="36" t="n">
        <v>0.05069124423963123</v>
      </c>
      <c r="I430" s="36" t="n">
        <v>-0.5553388590931253</v>
      </c>
      <c r="J430" s="31" t="n">
        <v>85020</v>
      </c>
      <c r="K430" s="31" t="n">
        <v>77370</v>
      </c>
      <c r="L430" s="31" t="n">
        <v>79643.33333333333</v>
      </c>
      <c r="M430" s="36" t="n">
        <v>0.4480188222869984</v>
      </c>
      <c r="N430" s="36" t="n">
        <v>0.4822406238870351</v>
      </c>
      <c r="O430" s="36" t="n">
        <v>0.02587176602924623</v>
      </c>
      <c r="P430" s="36" t="n">
        <v>0.349112426035503</v>
      </c>
      <c r="Q430" s="36" t="n">
        <v>0.005512679162072764</v>
      </c>
      <c r="R430" s="36" t="n">
        <v>0.07268877911079752</v>
      </c>
      <c r="S430" s="36" t="n">
        <v>0.1787514540519581</v>
      </c>
      <c r="T430" s="36" t="n">
        <v>0.1451052609550916</v>
      </c>
      <c r="U430" s="31" t="n">
        <v>142000</v>
      </c>
      <c r="V430" s="31" t="n">
        <v>67500</v>
      </c>
      <c r="W430" s="36" t="n">
        <v>-0.3577464788732394</v>
      </c>
      <c r="X430" s="36" t="n">
        <v>0.3511111111111112</v>
      </c>
      <c r="Y430" s="31" t="n">
        <v>11179416</v>
      </c>
      <c r="Z430" s="31" t="n">
        <v>1019562739200</v>
      </c>
      <c r="AA430" s="31" t="n">
        <v>5555721600</v>
      </c>
      <c r="AB430" s="31" t="n">
        <v>3941975250</v>
      </c>
      <c r="AC430" s="36" t="n">
        <v>0.005449121850372148</v>
      </c>
      <c r="AD430" s="29" t="inlineStr">
        <is>
          <t>yfinance_download</t>
        </is>
      </c>
      <c r="AE430" s="29" t="inlineStr">
        <is>
          <t>064760.KQ</t>
        </is>
      </c>
    </row>
    <row r="431" ht="24" customHeight="1">
      <c r="A431" s="24" t="inlineStr">
        <is>
          <t>2025-03-17</t>
        </is>
      </c>
      <c r="B431" s="30" t="n">
        <v>93900</v>
      </c>
      <c r="C431" s="30" t="n">
        <v>94300</v>
      </c>
      <c r="D431" s="30" t="n">
        <v>89700</v>
      </c>
      <c r="E431" s="30" t="n">
        <v>91400</v>
      </c>
      <c r="F431" s="30" t="n">
        <v>90517.296875</v>
      </c>
      <c r="G431" s="30" t="n">
        <v>48029</v>
      </c>
      <c r="H431" s="35" t="n">
        <v>0.002192982456140413</v>
      </c>
      <c r="I431" s="35" t="n">
        <v>-0.5543637250121891</v>
      </c>
      <c r="J431" s="30" t="n">
        <v>85185</v>
      </c>
      <c r="K431" s="30" t="n">
        <v>77708.33333333333</v>
      </c>
      <c r="L431" s="30" t="n">
        <v>79667.5</v>
      </c>
      <c r="M431" s="35" t="n">
        <v>0.4462480800495859</v>
      </c>
      <c r="N431" s="35" t="n">
        <v>0.4725014740736601</v>
      </c>
      <c r="O431" s="35" t="n">
        <v>0.03745743473325769</v>
      </c>
      <c r="P431" s="35" t="n">
        <v>0.2855133614627285</v>
      </c>
      <c r="Q431" s="35" t="n">
        <v>0.03276836158192098</v>
      </c>
      <c r="R431" s="35" t="n">
        <v>0.07295885425837878</v>
      </c>
      <c r="S431" s="35" t="n">
        <v>0.1761930294906167</v>
      </c>
      <c r="T431" s="35" t="n">
        <v>0.1472683340132426</v>
      </c>
      <c r="U431" s="30" t="n">
        <v>142000</v>
      </c>
      <c r="V431" s="30" t="n">
        <v>67500</v>
      </c>
      <c r="W431" s="35" t="n">
        <v>-0.3563380281690141</v>
      </c>
      <c r="X431" s="35" t="n">
        <v>0.354074074074074</v>
      </c>
      <c r="Y431" s="30" t="n">
        <v>11179416</v>
      </c>
      <c r="Z431" s="30" t="n">
        <v>1021798622400</v>
      </c>
      <c r="AA431" s="30" t="n">
        <v>4389850600</v>
      </c>
      <c r="AB431" s="30" t="n">
        <v>3918395475</v>
      </c>
      <c r="AC431" s="35" t="n">
        <v>0.004296199372131783</v>
      </c>
      <c r="AD431" s="24" t="inlineStr">
        <is>
          <t>yfinance_download</t>
        </is>
      </c>
      <c r="AE431" s="24" t="inlineStr">
        <is>
          <t>064760.KQ</t>
        </is>
      </c>
    </row>
    <row r="432" ht="24" customHeight="1">
      <c r="A432" s="29" t="inlineStr">
        <is>
          <t>2025-03-18</t>
        </is>
      </c>
      <c r="B432" s="31" t="n">
        <v>91700</v>
      </c>
      <c r="C432" s="31" t="n">
        <v>92200</v>
      </c>
      <c r="D432" s="31" t="n">
        <v>90100</v>
      </c>
      <c r="E432" s="31" t="n">
        <v>90500</v>
      </c>
      <c r="F432" s="31" t="n">
        <v>89625.9921875</v>
      </c>
      <c r="G432" s="31" t="n">
        <v>25756</v>
      </c>
      <c r="H432" s="36" t="n">
        <v>-0.009846827133479175</v>
      </c>
      <c r="I432" s="36" t="n">
        <v>-0.5587518283764017</v>
      </c>
      <c r="J432" s="31" t="n">
        <v>85355</v>
      </c>
      <c r="K432" s="31" t="n">
        <v>78040</v>
      </c>
      <c r="L432" s="31" t="n">
        <v>79673.33333333333</v>
      </c>
      <c r="M432" s="36" t="n">
        <v>0.4456734638873709</v>
      </c>
      <c r="N432" s="36" t="n">
        <v>0.4728329512407541</v>
      </c>
      <c r="O432" s="36" t="n">
        <v>0.03903559127439715</v>
      </c>
      <c r="P432" s="36" t="n">
        <v>0.2818696883852692</v>
      </c>
      <c r="Q432" s="36" t="n">
        <v>0.007795100222717233</v>
      </c>
      <c r="R432" s="36" t="n">
        <v>0.06027766387440692</v>
      </c>
      <c r="S432" s="36" t="n">
        <v>0.1596617119425936</v>
      </c>
      <c r="T432" s="36" t="n">
        <v>0.1358882101916159</v>
      </c>
      <c r="U432" s="31" t="n">
        <v>142000</v>
      </c>
      <c r="V432" s="31" t="n">
        <v>67500</v>
      </c>
      <c r="W432" s="36" t="n">
        <v>-0.3626760563380281</v>
      </c>
      <c r="X432" s="36" t="n">
        <v>0.3407407407407408</v>
      </c>
      <c r="Y432" s="31" t="n">
        <v>11179416</v>
      </c>
      <c r="Z432" s="31" t="n">
        <v>1011737148000</v>
      </c>
      <c r="AA432" s="31" t="n">
        <v>2330918000</v>
      </c>
      <c r="AB432" s="31" t="n">
        <v>3775736130</v>
      </c>
      <c r="AC432" s="36" t="n">
        <v>0.002303877054042894</v>
      </c>
      <c r="AD432" s="29" t="inlineStr">
        <is>
          <t>yfinance_download</t>
        </is>
      </c>
      <c r="AE432" s="29" t="inlineStr">
        <is>
          <t>064760.KQ</t>
        </is>
      </c>
    </row>
    <row r="433" ht="24" customHeight="1">
      <c r="A433" s="24" t="inlineStr">
        <is>
          <t>2025-03-19</t>
        </is>
      </c>
      <c r="B433" s="30" t="n">
        <v>90600</v>
      </c>
      <c r="C433" s="30" t="n">
        <v>92400</v>
      </c>
      <c r="D433" s="30" t="n">
        <v>89400</v>
      </c>
      <c r="E433" s="30" t="n">
        <v>91500</v>
      </c>
      <c r="F433" s="30" t="n">
        <v>90616.3359375</v>
      </c>
      <c r="G433" s="30" t="n">
        <v>44220</v>
      </c>
      <c r="H433" s="35" t="n">
        <v>0.01104972375690605</v>
      </c>
      <c r="I433" s="35" t="n">
        <v>-0.5538761579717211</v>
      </c>
      <c r="J433" s="30" t="n">
        <v>85580</v>
      </c>
      <c r="K433" s="30" t="n">
        <v>78388.33333333333</v>
      </c>
      <c r="L433" s="30" t="n">
        <v>79676.66666666667</v>
      </c>
      <c r="M433" s="35" t="n">
        <v>0.4465293108522254</v>
      </c>
      <c r="N433" s="35" t="n">
        <v>0.4729190106482876</v>
      </c>
      <c r="O433" s="35" t="n">
        <v>0.05172413793103448</v>
      </c>
      <c r="P433" s="35" t="n">
        <v>0.2960339943342776</v>
      </c>
      <c r="Q433" s="35" t="n">
        <v>0.004390779363337094</v>
      </c>
      <c r="R433" s="35" t="n">
        <v>0.06917504089740589</v>
      </c>
      <c r="S433" s="35" t="n">
        <v>0.1672655369634088</v>
      </c>
      <c r="T433" s="35" t="n">
        <v>0.1483914153035184</v>
      </c>
      <c r="U433" s="30" t="n">
        <v>142000</v>
      </c>
      <c r="V433" s="30" t="n">
        <v>67500</v>
      </c>
      <c r="W433" s="35" t="n">
        <v>-0.3556338028169014</v>
      </c>
      <c r="X433" s="35" t="n">
        <v>0.3555555555555556</v>
      </c>
      <c r="Y433" s="30" t="n">
        <v>11179416</v>
      </c>
      <c r="Z433" s="30" t="n">
        <v>1022916564000</v>
      </c>
      <c r="AA433" s="30" t="n">
        <v>4046130000</v>
      </c>
      <c r="AB433" s="30" t="n">
        <v>3839551680</v>
      </c>
      <c r="AC433" s="35" t="n">
        <v>0.003955483900053455</v>
      </c>
      <c r="AD433" s="24" t="inlineStr">
        <is>
          <t>yfinance_download</t>
        </is>
      </c>
      <c r="AE433" s="24" t="inlineStr">
        <is>
          <t>064760.KQ</t>
        </is>
      </c>
    </row>
    <row r="434" ht="24" customHeight="1">
      <c r="A434" s="29" t="inlineStr">
        <is>
          <t>2025-03-20</t>
        </is>
      </c>
      <c r="B434" s="31" t="n">
        <v>92100</v>
      </c>
      <c r="C434" s="31" t="n">
        <v>93200</v>
      </c>
      <c r="D434" s="31" t="n">
        <v>90100</v>
      </c>
      <c r="E434" s="31" t="n">
        <v>92000</v>
      </c>
      <c r="F434" s="31" t="n">
        <v>91111.5078125</v>
      </c>
      <c r="G434" s="31" t="n">
        <v>24036</v>
      </c>
      <c r="H434" s="36" t="n">
        <v>0.005464480874316946</v>
      </c>
      <c r="I434" s="36" t="n">
        <v>-0.5514383227693809</v>
      </c>
      <c r="J434" s="31" t="n">
        <v>85795</v>
      </c>
      <c r="K434" s="31" t="n">
        <v>78726.66666666667</v>
      </c>
      <c r="L434" s="31" t="n">
        <v>79708.33333333333</v>
      </c>
      <c r="M434" s="36" t="n">
        <v>0.4462283305918256</v>
      </c>
      <c r="N434" s="36" t="n">
        <v>0.4723840158016843</v>
      </c>
      <c r="O434" s="36" t="n">
        <v>0.04903078677309014</v>
      </c>
      <c r="P434" s="36" t="n">
        <v>0.2831241283124128</v>
      </c>
      <c r="Q434" s="36" t="n">
        <v>0.04308390022675734</v>
      </c>
      <c r="R434" s="36" t="n">
        <v>0.07232356197913625</v>
      </c>
      <c r="S434" s="36" t="n">
        <v>0.1686002201710559</v>
      </c>
      <c r="T434" s="36" t="n">
        <v>0.1542080501829588</v>
      </c>
      <c r="U434" s="31" t="n">
        <v>142000</v>
      </c>
      <c r="V434" s="31" t="n">
        <v>67500</v>
      </c>
      <c r="W434" s="36" t="n">
        <v>-0.352112676056338</v>
      </c>
      <c r="X434" s="36" t="n">
        <v>0.3629629629629629</v>
      </c>
      <c r="Y434" s="31" t="n">
        <v>11179416</v>
      </c>
      <c r="Z434" s="31" t="n">
        <v>1028506272000</v>
      </c>
      <c r="AA434" s="31" t="n">
        <v>2211312000</v>
      </c>
      <c r="AB434" s="31" t="n">
        <v>3650854185</v>
      </c>
      <c r="AC434" s="36" t="n">
        <v>0.002150022863448323</v>
      </c>
      <c r="AD434" s="29" t="inlineStr">
        <is>
          <t>yfinance_download</t>
        </is>
      </c>
      <c r="AE434" s="29" t="inlineStr">
        <is>
          <t>064760.KQ</t>
        </is>
      </c>
    </row>
    <row r="435" ht="24" customHeight="1">
      <c r="A435" s="24" t="inlineStr">
        <is>
          <t>2025-03-21</t>
        </is>
      </c>
      <c r="B435" s="30" t="n">
        <v>92500</v>
      </c>
      <c r="C435" s="30" t="n">
        <v>94000</v>
      </c>
      <c r="D435" s="30" t="n">
        <v>90700</v>
      </c>
      <c r="E435" s="30" t="n">
        <v>90700</v>
      </c>
      <c r="F435" s="30" t="n">
        <v>89824.0625</v>
      </c>
      <c r="G435" s="30" t="n">
        <v>63350</v>
      </c>
      <c r="H435" s="35" t="n">
        <v>-0.01413043478260867</v>
      </c>
      <c r="I435" s="35" t="n">
        <v>-0.5577766942954656</v>
      </c>
      <c r="J435" s="30" t="n">
        <v>85980</v>
      </c>
      <c r="K435" s="30" t="n">
        <v>79038.33333333333</v>
      </c>
      <c r="L435" s="30" t="n">
        <v>79749.16666666667</v>
      </c>
      <c r="M435" s="35" t="n">
        <v>0.4487194908368096</v>
      </c>
      <c r="N435" s="35" t="n">
        <v>0.4739391507864615</v>
      </c>
      <c r="O435" s="35" t="n">
        <v>0.04252873563218396</v>
      </c>
      <c r="P435" s="35" t="n">
        <v>0.2597222222222222</v>
      </c>
      <c r="Q435" s="35" t="n">
        <v>0.05710955710955701</v>
      </c>
      <c r="R435" s="35" t="n">
        <v>0.05489648755524534</v>
      </c>
      <c r="S435" s="35" t="n">
        <v>0.1475444404613795</v>
      </c>
      <c r="T435" s="35" t="n">
        <v>0.1373159594144138</v>
      </c>
      <c r="U435" s="30" t="n">
        <v>142000</v>
      </c>
      <c r="V435" s="30" t="n">
        <v>67500</v>
      </c>
      <c r="W435" s="35" t="n">
        <v>-0.3612676056338028</v>
      </c>
      <c r="X435" s="35" t="n">
        <v>0.3437037037037036</v>
      </c>
      <c r="Y435" s="30" t="n">
        <v>11179416</v>
      </c>
      <c r="Z435" s="30" t="n">
        <v>1013973031200</v>
      </c>
      <c r="AA435" s="30" t="n">
        <v>5745845000</v>
      </c>
      <c r="AB435" s="30" t="n">
        <v>3767404585</v>
      </c>
      <c r="AC435" s="35" t="n">
        <v>0.005666664519864007</v>
      </c>
      <c r="AD435" s="24" t="inlineStr">
        <is>
          <t>yfinance_download</t>
        </is>
      </c>
      <c r="AE435" s="24" t="inlineStr">
        <is>
          <t>064760.KQ</t>
        </is>
      </c>
    </row>
    <row r="436" ht="24" customHeight="1">
      <c r="A436" s="29" t="inlineStr">
        <is>
          <t>2025-03-24</t>
        </is>
      </c>
      <c r="B436" s="31" t="n">
        <v>90600</v>
      </c>
      <c r="C436" s="31" t="n">
        <v>91300</v>
      </c>
      <c r="D436" s="31" t="n">
        <v>88500</v>
      </c>
      <c r="E436" s="31" t="n">
        <v>89100</v>
      </c>
      <c r="F436" s="31" t="n">
        <v>88239.5078125</v>
      </c>
      <c r="G436" s="31" t="n">
        <v>24945</v>
      </c>
      <c r="H436" s="36" t="n">
        <v>-0.01764057331863289</v>
      </c>
      <c r="I436" s="36" t="n">
        <v>-0.5655777669429547</v>
      </c>
      <c r="J436" s="31" t="n">
        <v>86145</v>
      </c>
      <c r="K436" s="31" t="n">
        <v>79321.66666666667</v>
      </c>
      <c r="L436" s="31" t="n">
        <v>79780.83333333333</v>
      </c>
      <c r="M436" s="36" t="n">
        <v>0.4507709040233206</v>
      </c>
      <c r="N436" s="36" t="n">
        <v>0.4760350067909881</v>
      </c>
      <c r="O436" s="36" t="n">
        <v>0.03846153846153855</v>
      </c>
      <c r="P436" s="36" t="n">
        <v>0.2357836338418862</v>
      </c>
      <c r="Q436" s="36" t="n">
        <v>0.04454865181711609</v>
      </c>
      <c r="R436" s="36" t="n">
        <v>0.03430262928782857</v>
      </c>
      <c r="S436" s="36" t="n">
        <v>0.1232744311138192</v>
      </c>
      <c r="T436" s="36" t="n">
        <v>0.1168095929473454</v>
      </c>
      <c r="U436" s="31" t="n">
        <v>142000</v>
      </c>
      <c r="V436" s="31" t="n">
        <v>67500</v>
      </c>
      <c r="W436" s="36" t="n">
        <v>-0.3725352112676056</v>
      </c>
      <c r="X436" s="36" t="n">
        <v>0.3200000000000001</v>
      </c>
      <c r="Y436" s="31" t="n">
        <v>11179416</v>
      </c>
      <c r="Z436" s="31" t="n">
        <v>996085965600</v>
      </c>
      <c r="AA436" s="31" t="n">
        <v>2222599500</v>
      </c>
      <c r="AB436" s="31" t="n">
        <v>3668847940</v>
      </c>
      <c r="AC436" s="36" t="n">
        <v>0.002231333014175338</v>
      </c>
      <c r="AD436" s="29" t="inlineStr">
        <is>
          <t>yfinance_download</t>
        </is>
      </c>
      <c r="AE436" s="29" t="inlineStr">
        <is>
          <t>064760.KQ</t>
        </is>
      </c>
    </row>
    <row r="437" ht="24" customHeight="1">
      <c r="A437" s="24" t="inlineStr">
        <is>
          <t>2025-03-25</t>
        </is>
      </c>
      <c r="B437" s="30" t="n">
        <v>88300</v>
      </c>
      <c r="C437" s="30" t="n">
        <v>90100</v>
      </c>
      <c r="D437" s="30" t="n">
        <v>84700</v>
      </c>
      <c r="E437" s="30" t="n">
        <v>85700</v>
      </c>
      <c r="F437" s="30" t="n">
        <v>84872.34375</v>
      </c>
      <c r="G437" s="30" t="n">
        <v>37316</v>
      </c>
      <c r="H437" s="35" t="n">
        <v>-0.03815937149270487</v>
      </c>
      <c r="I437" s="35" t="n">
        <v>-0.5821550463188688</v>
      </c>
      <c r="J437" s="30" t="n">
        <v>86005</v>
      </c>
      <c r="K437" s="30" t="n">
        <v>79585</v>
      </c>
      <c r="L437" s="30" t="n">
        <v>79770.83333333333</v>
      </c>
      <c r="M437" s="35" t="n">
        <v>0.4586341166833312</v>
      </c>
      <c r="N437" s="35" t="n">
        <v>0.4786510101573209</v>
      </c>
      <c r="O437" s="35" t="n">
        <v>-0.03163841807909606</v>
      </c>
      <c r="P437" s="35" t="n">
        <v>0.2260371959942775</v>
      </c>
      <c r="Q437" s="35" t="n">
        <v>-0.0138089758342923</v>
      </c>
      <c r="R437" s="35" t="n">
        <v>-0.003546305447357678</v>
      </c>
      <c r="S437" s="35" t="n">
        <v>0.07683608720236235</v>
      </c>
      <c r="T437" s="35" t="n">
        <v>0.07432750065291205</v>
      </c>
      <c r="U437" s="30" t="n">
        <v>142000</v>
      </c>
      <c r="V437" s="30" t="n">
        <v>67500</v>
      </c>
      <c r="W437" s="35" t="n">
        <v>-0.3964788732394366</v>
      </c>
      <c r="X437" s="35" t="n">
        <v>0.2696296296296297</v>
      </c>
      <c r="Y437" s="30" t="n">
        <v>11179416</v>
      </c>
      <c r="Z437" s="30" t="n">
        <v>958075951200</v>
      </c>
      <c r="AA437" s="30" t="n">
        <v>3197981200</v>
      </c>
      <c r="AB437" s="30" t="n">
        <v>3487690125</v>
      </c>
      <c r="AC437" s="35" t="n">
        <v>0.003337920335015711</v>
      </c>
      <c r="AD437" s="24" t="inlineStr">
        <is>
          <t>yfinance_download</t>
        </is>
      </c>
      <c r="AE437" s="24" t="inlineStr">
        <is>
          <t>064760.KQ</t>
        </is>
      </c>
    </row>
    <row r="438" ht="24" customHeight="1">
      <c r="A438" s="29" t="inlineStr">
        <is>
          <t>2025-03-26</t>
        </is>
      </c>
      <c r="B438" s="31" t="n">
        <v>86500</v>
      </c>
      <c r="C438" s="31" t="n">
        <v>87300</v>
      </c>
      <c r="D438" s="31" t="n">
        <v>84600</v>
      </c>
      <c r="E438" s="31" t="n">
        <v>86000</v>
      </c>
      <c r="F438" s="31" t="n">
        <v>85169.453125</v>
      </c>
      <c r="G438" s="31" t="n">
        <v>26723</v>
      </c>
      <c r="H438" s="36" t="n">
        <v>0.003500583430571691</v>
      </c>
      <c r="I438" s="36" t="n">
        <v>-0.5806923451974646</v>
      </c>
      <c r="J438" s="31" t="n">
        <v>86050</v>
      </c>
      <c r="K438" s="31" t="n">
        <v>79885</v>
      </c>
      <c r="L438" s="31" t="n">
        <v>79729.16666666667</v>
      </c>
      <c r="M438" s="36" t="n">
        <v>0.4371694969670164</v>
      </c>
      <c r="N438" s="36" t="n">
        <v>0.4742688054810056</v>
      </c>
      <c r="O438" s="36" t="n">
        <v>0.01057579318448876</v>
      </c>
      <c r="P438" s="36" t="n">
        <v>0.2647058823529411</v>
      </c>
      <c r="Q438" s="36" t="n">
        <v>-0.05494505494505497</v>
      </c>
      <c r="R438" s="36" t="n">
        <v>-0.0005810575246949501</v>
      </c>
      <c r="S438" s="36" t="n">
        <v>0.07654753708455897</v>
      </c>
      <c r="T438" s="36" t="n">
        <v>0.0786516853932584</v>
      </c>
      <c r="U438" s="31" t="n">
        <v>142000</v>
      </c>
      <c r="V438" s="31" t="n">
        <v>67500</v>
      </c>
      <c r="W438" s="36" t="n">
        <v>-0.3943661971830986</v>
      </c>
      <c r="X438" s="36" t="n">
        <v>0.2740740740740741</v>
      </c>
      <c r="Y438" s="31" t="n">
        <v>11179416</v>
      </c>
      <c r="Z438" s="31" t="n">
        <v>961429776000</v>
      </c>
      <c r="AA438" s="31" t="n">
        <v>2298178000</v>
      </c>
      <c r="AB438" s="31" t="n">
        <v>3400482270</v>
      </c>
      <c r="AC438" s="36" t="n">
        <v>0.002390375311196936</v>
      </c>
      <c r="AD438" s="29" t="inlineStr">
        <is>
          <t>yfinance_download</t>
        </is>
      </c>
      <c r="AE438" s="29" t="inlineStr">
        <is>
          <t>064760.KQ</t>
        </is>
      </c>
    </row>
    <row r="439" ht="24" customHeight="1">
      <c r="A439" s="24" t="inlineStr">
        <is>
          <t>2025-03-27</t>
        </is>
      </c>
      <c r="B439" s="30" t="n">
        <v>85600</v>
      </c>
      <c r="C439" s="30" t="n">
        <v>85600</v>
      </c>
      <c r="D439" s="30" t="n">
        <v>83600</v>
      </c>
      <c r="E439" s="30" t="n">
        <v>84900</v>
      </c>
      <c r="F439" s="30" t="n">
        <v>84080.0703125</v>
      </c>
      <c r="G439" s="30" t="n">
        <v>16702</v>
      </c>
      <c r="H439" s="35" t="n">
        <v>-0.01279069767441865</v>
      </c>
      <c r="I439" s="35" t="n">
        <v>-0.5860555826426134</v>
      </c>
      <c r="J439" s="30" t="n">
        <v>86065</v>
      </c>
      <c r="K439" s="30" t="n">
        <v>80138.33333333333</v>
      </c>
      <c r="L439" s="30" t="n">
        <v>79658.33333333333</v>
      </c>
      <c r="M439" s="35" t="n">
        <v>0.439271185484391</v>
      </c>
      <c r="N439" s="35" t="n">
        <v>0.4735631111437276</v>
      </c>
      <c r="O439" s="35" t="n">
        <v>0.003546099290780091</v>
      </c>
      <c r="P439" s="35" t="n">
        <v>0.2180774748923959</v>
      </c>
      <c r="Q439" s="35" t="n">
        <v>-0.0910064239828694</v>
      </c>
      <c r="R439" s="35" t="n">
        <v>-0.0135362807180619</v>
      </c>
      <c r="S439" s="35" t="n">
        <v>0.0594180895534806</v>
      </c>
      <c r="T439" s="35" t="n">
        <v>0.0658018621194687</v>
      </c>
      <c r="U439" s="30" t="n">
        <v>142000</v>
      </c>
      <c r="V439" s="30" t="n">
        <v>67500</v>
      </c>
      <c r="W439" s="35" t="n">
        <v>-0.402112676056338</v>
      </c>
      <c r="X439" s="35" t="n">
        <v>0.2577777777777779</v>
      </c>
      <c r="Y439" s="30" t="n">
        <v>11179416</v>
      </c>
      <c r="Z439" s="30" t="n">
        <v>949132418400</v>
      </c>
      <c r="AA439" s="30" t="n">
        <v>1417999800</v>
      </c>
      <c r="AB439" s="30" t="n">
        <v>3335015520</v>
      </c>
      <c r="AC439" s="35" t="n">
        <v>0.001493995750761936</v>
      </c>
      <c r="AD439" s="24" t="inlineStr">
        <is>
          <t>yfinance_download</t>
        </is>
      </c>
      <c r="AE439" s="24" t="inlineStr">
        <is>
          <t>064760.KQ</t>
        </is>
      </c>
    </row>
    <row r="440" ht="24" customHeight="1">
      <c r="A440" s="29" t="inlineStr">
        <is>
          <t>2025-03-28</t>
        </is>
      </c>
      <c r="B440" s="31" t="n">
        <v>84500</v>
      </c>
      <c r="C440" s="31" t="n">
        <v>84700</v>
      </c>
      <c r="D440" s="31" t="n">
        <v>82400</v>
      </c>
      <c r="E440" s="31" t="n">
        <v>83800</v>
      </c>
      <c r="F440" s="31" t="n">
        <v>82990.6953125</v>
      </c>
      <c r="G440" s="31" t="n">
        <v>20610</v>
      </c>
      <c r="H440" s="36" t="n">
        <v>-0.01295641931684333</v>
      </c>
      <c r="I440" s="36" t="n">
        <v>-0.5914188200877621</v>
      </c>
      <c r="J440" s="31" t="n">
        <v>86045</v>
      </c>
      <c r="K440" s="31" t="n">
        <v>80373.33333333333</v>
      </c>
      <c r="L440" s="31" t="n">
        <v>79561.66666666667</v>
      </c>
      <c r="M440" s="36" t="n">
        <v>0.4415440778007693</v>
      </c>
      <c r="N440" s="36" t="n">
        <v>0.4747405026293754</v>
      </c>
      <c r="O440" s="36" t="n">
        <v>-0.004750593824228044</v>
      </c>
      <c r="P440" s="36" t="n">
        <v>0.2022955523672885</v>
      </c>
      <c r="Q440" s="36" t="n">
        <v>-0.1215932914046122</v>
      </c>
      <c r="R440" s="36" t="n">
        <v>-0.02609099889592659</v>
      </c>
      <c r="S440" s="36" t="n">
        <v>0.04263437292634387</v>
      </c>
      <c r="T440" s="36" t="n">
        <v>0.05327104761505752</v>
      </c>
      <c r="U440" s="31" t="n">
        <v>142000</v>
      </c>
      <c r="V440" s="31" t="n">
        <v>67500</v>
      </c>
      <c r="W440" s="36" t="n">
        <v>-0.4098591549295775</v>
      </c>
      <c r="X440" s="36" t="n">
        <v>0.2414814814814814</v>
      </c>
      <c r="Y440" s="31" t="n">
        <v>11179416</v>
      </c>
      <c r="Z440" s="31" t="n">
        <v>936835060800</v>
      </c>
      <c r="AA440" s="31" t="n">
        <v>1727118000</v>
      </c>
      <c r="AB440" s="31" t="n">
        <v>3233786450</v>
      </c>
      <c r="AC440" s="36" t="n">
        <v>0.001843566783810532</v>
      </c>
      <c r="AD440" s="29" t="inlineStr">
        <is>
          <t>yfinance_download</t>
        </is>
      </c>
      <c r="AE440" s="29" t="inlineStr">
        <is>
          <t>064760.KQ</t>
        </is>
      </c>
    </row>
    <row r="441" ht="24" customHeight="1">
      <c r="A441" s="24" t="inlineStr">
        <is>
          <t>2025-03-31</t>
        </is>
      </c>
      <c r="B441" s="30" t="n">
        <v>82400</v>
      </c>
      <c r="C441" s="30" t="n">
        <v>82500</v>
      </c>
      <c r="D441" s="30" t="n">
        <v>78800</v>
      </c>
      <c r="E441" s="30" t="n">
        <v>79600</v>
      </c>
      <c r="F441" s="30" t="n">
        <v>78831.2578125</v>
      </c>
      <c r="G441" s="30" t="n">
        <v>49088</v>
      </c>
      <c r="H441" s="35" t="n">
        <v>-0.05011933174224348</v>
      </c>
      <c r="I441" s="35" t="n">
        <v>-0.6118966357874207</v>
      </c>
      <c r="J441" s="30" t="n">
        <v>86015</v>
      </c>
      <c r="K441" s="30" t="n">
        <v>80533.33333333333</v>
      </c>
      <c r="L441" s="30" t="n">
        <v>79445.83333333333</v>
      </c>
      <c r="M441" s="35" t="n">
        <v>0.4453640451108839</v>
      </c>
      <c r="N441" s="35" t="n">
        <v>0.4872838785778729</v>
      </c>
      <c r="O441" s="35" t="n">
        <v>-0.007481296758104716</v>
      </c>
      <c r="P441" s="35" t="n">
        <v>0.1371428571428572</v>
      </c>
      <c r="Q441" s="35" t="n">
        <v>-0.1486631016042781</v>
      </c>
      <c r="R441" s="35" t="n">
        <v>-0.07458001511364298</v>
      </c>
      <c r="S441" s="35" t="n">
        <v>-0.01158940397350983</v>
      </c>
      <c r="T441" s="35" t="n">
        <v>0.001940525515288227</v>
      </c>
      <c r="U441" s="30" t="n">
        <v>142000</v>
      </c>
      <c r="V441" s="30" t="n">
        <v>67500</v>
      </c>
      <c r="W441" s="35" t="n">
        <v>-0.4394366197183098</v>
      </c>
      <c r="X441" s="35" t="n">
        <v>0.1792592592592592</v>
      </c>
      <c r="Y441" s="30" t="n">
        <v>11179416</v>
      </c>
      <c r="Z441" s="30" t="n">
        <v>889881513600</v>
      </c>
      <c r="AA441" s="30" t="n">
        <v>3907404800</v>
      </c>
      <c r="AB441" s="30" t="n">
        <v>3178415400</v>
      </c>
      <c r="AC441" s="35" t="n">
        <v>0.004390927039480417</v>
      </c>
      <c r="AD441" s="24" t="inlineStr">
        <is>
          <t>yfinance_download</t>
        </is>
      </c>
      <c r="AE441" s="24" t="inlineStr">
        <is>
          <t>064760.KQ</t>
        </is>
      </c>
    </row>
    <row r="442" ht="24" customHeight="1">
      <c r="A442" s="29" t="inlineStr">
        <is>
          <t>2025-04-01</t>
        </is>
      </c>
      <c r="B442" s="31" t="n">
        <v>79600</v>
      </c>
      <c r="C442" s="31" t="n">
        <v>84700</v>
      </c>
      <c r="D442" s="31" t="n">
        <v>77400</v>
      </c>
      <c r="E442" s="31" t="n">
        <v>84400</v>
      </c>
      <c r="F442" s="31" t="n">
        <v>83584.8984375</v>
      </c>
      <c r="G442" s="31" t="n">
        <v>42562</v>
      </c>
      <c r="H442" s="36" t="n">
        <v>0.06030150753768848</v>
      </c>
      <c r="I442" s="36" t="n">
        <v>-0.5884934178449537</v>
      </c>
      <c r="J442" s="31" t="n">
        <v>86160</v>
      </c>
      <c r="K442" s="31" t="n">
        <v>80771.66666666667</v>
      </c>
      <c r="L442" s="31" t="n">
        <v>79379.16666666667</v>
      </c>
      <c r="M442" s="36" t="n">
        <v>0.4917427438426043</v>
      </c>
      <c r="N442" s="36" t="n">
        <v>0.5014143820390488</v>
      </c>
      <c r="O442" s="36" t="n">
        <v>0.03558282208588959</v>
      </c>
      <c r="P442" s="36" t="n">
        <v>0.2039942938659058</v>
      </c>
      <c r="Q442" s="36" t="n">
        <v>-0.08658008658008653</v>
      </c>
      <c r="R442" s="36" t="n">
        <v>-0.02042711234911787</v>
      </c>
      <c r="S442" s="36" t="n">
        <v>0.04492086746590185</v>
      </c>
      <c r="T442" s="36" t="n">
        <v>0.06325127289906041</v>
      </c>
      <c r="U442" s="31" t="n">
        <v>142000</v>
      </c>
      <c r="V442" s="31" t="n">
        <v>67500</v>
      </c>
      <c r="W442" s="36" t="n">
        <v>-0.4056338028169014</v>
      </c>
      <c r="X442" s="36" t="n">
        <v>0.2503703703703704</v>
      </c>
      <c r="Y442" s="31" t="n">
        <v>11179416</v>
      </c>
      <c r="Z442" s="31" t="n">
        <v>943542710400</v>
      </c>
      <c r="AA442" s="31" t="n">
        <v>3592232800</v>
      </c>
      <c r="AB442" s="31" t="n">
        <v>3174138590</v>
      </c>
      <c r="AC442" s="36" t="n">
        <v>0.003807175616329153</v>
      </c>
      <c r="AD442" s="29" t="inlineStr">
        <is>
          <t>yfinance_download</t>
        </is>
      </c>
      <c r="AE442" s="29" t="inlineStr">
        <is>
          <t>064760.KQ</t>
        </is>
      </c>
    </row>
    <row r="443" ht="24" customHeight="1">
      <c r="A443" s="24" t="inlineStr">
        <is>
          <t>2025-04-02</t>
        </is>
      </c>
      <c r="B443" s="30" t="n">
        <v>84700</v>
      </c>
      <c r="C443" s="30" t="n">
        <v>90400</v>
      </c>
      <c r="D443" s="30" t="n">
        <v>83000</v>
      </c>
      <c r="E443" s="30" t="n">
        <v>89900</v>
      </c>
      <c r="F443" s="30" t="n">
        <v>89031.7890625</v>
      </c>
      <c r="G443" s="30" t="n">
        <v>75421</v>
      </c>
      <c r="H443" s="35" t="n">
        <v>0.06516587677725116</v>
      </c>
      <c r="I443" s="35" t="n">
        <v>-0.5616772306192102</v>
      </c>
      <c r="J443" s="30" t="n">
        <v>86575</v>
      </c>
      <c r="K443" s="30" t="n">
        <v>81088.33333333333</v>
      </c>
      <c r="L443" s="30" t="n">
        <v>79358.33333333333</v>
      </c>
      <c r="M443" s="35" t="n">
        <v>0.5400691871435707</v>
      </c>
      <c r="N443" s="35" t="n">
        <v>0.5168659128178419</v>
      </c>
      <c r="O443" s="35" t="n">
        <v>0.1017156862745099</v>
      </c>
      <c r="P443" s="35" t="n">
        <v>0.2679830747531735</v>
      </c>
      <c r="Q443" s="35" t="n">
        <v>-0.02705627705627711</v>
      </c>
      <c r="R443" s="35" t="n">
        <v>0.03840600635287328</v>
      </c>
      <c r="S443" s="35" t="n">
        <v>0.1086675025178303</v>
      </c>
      <c r="T443" s="35" t="n">
        <v>0.1328362910847423</v>
      </c>
      <c r="U443" s="30" t="n">
        <v>142000</v>
      </c>
      <c r="V443" s="30" t="n">
        <v>67500</v>
      </c>
      <c r="W443" s="35" t="n">
        <v>-0.3669014084507042</v>
      </c>
      <c r="X443" s="35" t="n">
        <v>0.3318518518518518</v>
      </c>
      <c r="Y443" s="30" t="n">
        <v>11179416</v>
      </c>
      <c r="Z443" s="30" t="n">
        <v>1005029498400</v>
      </c>
      <c r="AA443" s="30" t="n">
        <v>6780347900</v>
      </c>
      <c r="AB443" s="30" t="n">
        <v>3379393185</v>
      </c>
      <c r="AC443" s="35" t="n">
        <v>0.006746416807461141</v>
      </c>
      <c r="AD443" s="24" t="inlineStr">
        <is>
          <t>yfinance_download</t>
        </is>
      </c>
      <c r="AE443" s="24" t="inlineStr">
        <is>
          <t>064760.KQ</t>
        </is>
      </c>
    </row>
    <row r="444" ht="24" customHeight="1">
      <c r="A444" s="29" t="inlineStr">
        <is>
          <t>2025-04-03</t>
        </is>
      </c>
      <c r="B444" s="31" t="n">
        <v>87000</v>
      </c>
      <c r="C444" s="31" t="n">
        <v>87400</v>
      </c>
      <c r="D444" s="31" t="n">
        <v>84700</v>
      </c>
      <c r="E444" s="31" t="n">
        <v>87300</v>
      </c>
      <c r="F444" s="31" t="n">
        <v>86456.8984375</v>
      </c>
      <c r="G444" s="31" t="n">
        <v>30998</v>
      </c>
      <c r="H444" s="36" t="n">
        <v>-0.02892102335928814</v>
      </c>
      <c r="I444" s="36" t="n">
        <v>-0.5743539736713799</v>
      </c>
      <c r="J444" s="31" t="n">
        <v>86955</v>
      </c>
      <c r="K444" s="31" t="n">
        <v>81378.33333333333</v>
      </c>
      <c r="L444" s="31" t="n">
        <v>79322.5</v>
      </c>
      <c r="M444" s="36" t="n">
        <v>0.5443925513532208</v>
      </c>
      <c r="N444" s="36" t="n">
        <v>0.52002268544227</v>
      </c>
      <c r="O444" s="36" t="n">
        <v>0.09535759096612306</v>
      </c>
      <c r="P444" s="36" t="n">
        <v>0.2489270386266094</v>
      </c>
      <c r="Q444" s="36" t="n">
        <v>-0.04694323144104806</v>
      </c>
      <c r="R444" s="36" t="n">
        <v>0.003967569432465012</v>
      </c>
      <c r="S444" s="36" t="n">
        <v>0.07276711655436552</v>
      </c>
      <c r="T444" s="36" t="n">
        <v>0.1005704560496707</v>
      </c>
      <c r="U444" s="31" t="n">
        <v>142000</v>
      </c>
      <c r="V444" s="31" t="n">
        <v>67500</v>
      </c>
      <c r="W444" s="36" t="n">
        <v>-0.3852112676056338</v>
      </c>
      <c r="X444" s="36" t="n">
        <v>0.2933333333333332</v>
      </c>
      <c r="Y444" s="31" t="n">
        <v>11179416</v>
      </c>
      <c r="Z444" s="31" t="n">
        <v>975963016800</v>
      </c>
      <c r="AA444" s="31" t="n">
        <v>2706125400</v>
      </c>
      <c r="AB444" s="31" t="n">
        <v>3404984435</v>
      </c>
      <c r="AC444" s="36" t="n">
        <v>0.002772774534913094</v>
      </c>
      <c r="AD444" s="29" t="inlineStr">
        <is>
          <t>yfinance_download</t>
        </is>
      </c>
      <c r="AE444" s="29" t="inlineStr">
        <is>
          <t>064760.KQ</t>
        </is>
      </c>
    </row>
    <row r="445" ht="24" customHeight="1">
      <c r="A445" s="24" t="inlineStr">
        <is>
          <t>2025-04-04</t>
        </is>
      </c>
      <c r="B445" s="30" t="n">
        <v>86000</v>
      </c>
      <c r="C445" s="30" t="n">
        <v>86800</v>
      </c>
      <c r="D445" s="30" t="n">
        <v>81600</v>
      </c>
      <c r="E445" s="30" t="n">
        <v>84000</v>
      </c>
      <c r="F445" s="30" t="n">
        <v>83188.765625</v>
      </c>
      <c r="G445" s="30" t="n">
        <v>39202</v>
      </c>
      <c r="H445" s="35" t="n">
        <v>-0.03780068728522334</v>
      </c>
      <c r="I445" s="35" t="n">
        <v>-0.590443686006826</v>
      </c>
      <c r="J445" s="30" t="n">
        <v>87095</v>
      </c>
      <c r="K445" s="30" t="n">
        <v>81561.66666666667</v>
      </c>
      <c r="L445" s="30" t="n">
        <v>79259.16666666667</v>
      </c>
      <c r="M445" s="35" t="n">
        <v>0.5622906768400399</v>
      </c>
      <c r="N445" s="35" t="n">
        <v>0.5202022330183546</v>
      </c>
      <c r="O445" s="35" t="n">
        <v>0.03448275862068972</v>
      </c>
      <c r="P445" s="35" t="n">
        <v>0.1506849315068493</v>
      </c>
      <c r="Q445" s="35" t="n">
        <v>-0.08296943231441045</v>
      </c>
      <c r="R445" s="35" t="n">
        <v>-0.0355359090648143</v>
      </c>
      <c r="S445" s="35" t="n">
        <v>0.02989558003146886</v>
      </c>
      <c r="T445" s="35" t="n">
        <v>0.05981432221299321</v>
      </c>
      <c r="U445" s="30" t="n">
        <v>142000</v>
      </c>
      <c r="V445" s="30" t="n">
        <v>67500</v>
      </c>
      <c r="W445" s="35" t="n">
        <v>-0.4084507042253521</v>
      </c>
      <c r="X445" s="35" t="n">
        <v>0.2444444444444445</v>
      </c>
      <c r="Y445" s="30" t="n">
        <v>11179416</v>
      </c>
      <c r="Z445" s="30" t="n">
        <v>939070944000</v>
      </c>
      <c r="AA445" s="30" t="n">
        <v>3292968000</v>
      </c>
      <c r="AB445" s="30" t="n">
        <v>3449651715</v>
      </c>
      <c r="AC445" s="35" t="n">
        <v>0.003506623244004875</v>
      </c>
      <c r="AD445" s="24" t="inlineStr">
        <is>
          <t>yfinance_download</t>
        </is>
      </c>
      <c r="AE445" s="24" t="inlineStr">
        <is>
          <t>064760.KQ</t>
        </is>
      </c>
    </row>
    <row r="446" ht="24" customHeight="1">
      <c r="A446" s="29" t="inlineStr">
        <is>
          <t>2025-04-07</t>
        </is>
      </c>
      <c r="B446" s="31" t="n">
        <v>80000</v>
      </c>
      <c r="C446" s="31" t="n">
        <v>82400</v>
      </c>
      <c r="D446" s="31" t="n">
        <v>79300</v>
      </c>
      <c r="E446" s="31" t="n">
        <v>80900</v>
      </c>
      <c r="F446" s="31" t="n">
        <v>80118.703125</v>
      </c>
      <c r="G446" s="31" t="n">
        <v>37844</v>
      </c>
      <c r="H446" s="36" t="n">
        <v>-0.03690476190476188</v>
      </c>
      <c r="I446" s="36" t="n">
        <v>-0.605558264261336</v>
      </c>
      <c r="J446" s="31" t="n">
        <v>86980</v>
      </c>
      <c r="K446" s="31" t="n">
        <v>81678.33333333333</v>
      </c>
      <c r="L446" s="31" t="n">
        <v>79177.5</v>
      </c>
      <c r="M446" s="36" t="n">
        <v>0.5721911384890136</v>
      </c>
      <c r="N446" s="36" t="n">
        <v>0.5261243561136281</v>
      </c>
      <c r="O446" s="36" t="n">
        <v>-0.02764423076923073</v>
      </c>
      <c r="P446" s="36" t="n">
        <v>0.09472259810554795</v>
      </c>
      <c r="Q446" s="36" t="n">
        <v>-0.1080485115766262</v>
      </c>
      <c r="R446" s="36" t="n">
        <v>-0.06990112669579218</v>
      </c>
      <c r="S446" s="36" t="n">
        <v>-0.009529250923337451</v>
      </c>
      <c r="T446" s="36" t="n">
        <v>0.02175491774809757</v>
      </c>
      <c r="U446" s="31" t="n">
        <v>142000</v>
      </c>
      <c r="V446" s="31" t="n">
        <v>67500</v>
      </c>
      <c r="W446" s="36" t="n">
        <v>-0.4302816901408451</v>
      </c>
      <c r="X446" s="36" t="n">
        <v>0.1985185185185185</v>
      </c>
      <c r="Y446" s="31" t="n">
        <v>11179416</v>
      </c>
      <c r="Z446" s="31" t="n">
        <v>904414754400</v>
      </c>
      <c r="AA446" s="31" t="n">
        <v>3061579600</v>
      </c>
      <c r="AB446" s="31" t="n">
        <v>3507558215</v>
      </c>
      <c r="AC446" s="36" t="n">
        <v>0.003385149993523812</v>
      </c>
      <c r="AD446" s="29" t="inlineStr">
        <is>
          <t>yfinance_download</t>
        </is>
      </c>
      <c r="AE446" s="29" t="inlineStr">
        <is>
          <t>064760.KQ</t>
        </is>
      </c>
    </row>
    <row r="447" ht="24" customHeight="1">
      <c r="A447" s="24" t="inlineStr">
        <is>
          <t>2025-04-08</t>
        </is>
      </c>
      <c r="B447" s="30" t="n">
        <v>83000</v>
      </c>
      <c r="C447" s="30" t="n">
        <v>83500</v>
      </c>
      <c r="D447" s="30" t="n">
        <v>78900</v>
      </c>
      <c r="E447" s="30" t="n">
        <v>79600</v>
      </c>
      <c r="F447" s="30" t="n">
        <v>78831.2578125</v>
      </c>
      <c r="G447" s="30" t="n">
        <v>34114</v>
      </c>
      <c r="H447" s="35" t="n">
        <v>-0.01606922126081578</v>
      </c>
      <c r="I447" s="35" t="n">
        <v>-0.6118966357874207</v>
      </c>
      <c r="J447" s="30" t="n">
        <v>86860</v>
      </c>
      <c r="K447" s="30" t="n">
        <v>81798.33333333333</v>
      </c>
      <c r="L447" s="30" t="n">
        <v>79091.66666666667</v>
      </c>
      <c r="M447" s="35" t="n">
        <v>0.5727407355560278</v>
      </c>
      <c r="N447" s="35" t="n">
        <v>0.525428627194037</v>
      </c>
      <c r="O447" s="35" t="n">
        <v>-0.02926829268292686</v>
      </c>
      <c r="P447" s="35" t="n">
        <v>0.09944751381215466</v>
      </c>
      <c r="Q447" s="35" t="n">
        <v>-0.1145717463848721</v>
      </c>
      <c r="R447" s="35" t="n">
        <v>-0.08358277688233939</v>
      </c>
      <c r="S447" s="35" t="n">
        <v>-0.02687503820371229</v>
      </c>
      <c r="T447" s="35" t="n">
        <v>0.006427141502475919</v>
      </c>
      <c r="U447" s="30" t="n">
        <v>142000</v>
      </c>
      <c r="V447" s="30" t="n">
        <v>67500</v>
      </c>
      <c r="W447" s="35" t="n">
        <v>-0.4394366197183098</v>
      </c>
      <c r="X447" s="35" t="n">
        <v>0.1792592592592592</v>
      </c>
      <c r="Y447" s="30" t="n">
        <v>11179416</v>
      </c>
      <c r="Z447" s="30" t="n">
        <v>889881513600</v>
      </c>
      <c r="AA447" s="30" t="n">
        <v>2715474400</v>
      </c>
      <c r="AB447" s="30" t="n">
        <v>3537117335</v>
      </c>
      <c r="AC447" s="35" t="n">
        <v>0.003051501080199538</v>
      </c>
      <c r="AD447" s="24" t="inlineStr">
        <is>
          <t>yfinance_download</t>
        </is>
      </c>
      <c r="AE447" s="24" t="inlineStr">
        <is>
          <t>064760.KQ</t>
        </is>
      </c>
    </row>
    <row r="448" ht="24" customHeight="1">
      <c r="A448" s="29" t="inlineStr">
        <is>
          <t>2025-04-09</t>
        </is>
      </c>
      <c r="B448" s="31" t="n">
        <v>80400</v>
      </c>
      <c r="C448" s="31" t="n">
        <v>80400</v>
      </c>
      <c r="D448" s="31" t="n">
        <v>76500</v>
      </c>
      <c r="E448" s="31" t="n">
        <v>78000</v>
      </c>
      <c r="F448" s="31" t="n">
        <v>77246.7109375</v>
      </c>
      <c r="G448" s="31" t="n">
        <v>23323</v>
      </c>
      <c r="H448" s="36" t="n">
        <v>-0.02010050251256279</v>
      </c>
      <c r="I448" s="36" t="n">
        <v>-0.6196977084349098</v>
      </c>
      <c r="J448" s="31" t="n">
        <v>86365</v>
      </c>
      <c r="K448" s="31" t="n">
        <v>81856.66666666667</v>
      </c>
      <c r="L448" s="31" t="n">
        <v>78984.16666666667</v>
      </c>
      <c r="M448" s="36" t="n">
        <v>0.5069194713648569</v>
      </c>
      <c r="N448" s="36" t="n">
        <v>0.5243273089052743</v>
      </c>
      <c r="O448" s="36" t="n">
        <v>-0.1126279863481229</v>
      </c>
      <c r="P448" s="36" t="n">
        <v>0.04697986577181212</v>
      </c>
      <c r="Q448" s="36" t="n">
        <v>-0.141914191419142</v>
      </c>
      <c r="R448" s="36" t="n">
        <v>-0.09685636542580911</v>
      </c>
      <c r="S448" s="36" t="n">
        <v>-0.04711487559555327</v>
      </c>
      <c r="T448" s="36" t="n">
        <v>-0.01246030322532998</v>
      </c>
      <c r="U448" s="31" t="n">
        <v>142000</v>
      </c>
      <c r="V448" s="31" t="n">
        <v>67500</v>
      </c>
      <c r="W448" s="36" t="n">
        <v>-0.4507042253521126</v>
      </c>
      <c r="X448" s="36" t="n">
        <v>0.1555555555555554</v>
      </c>
      <c r="Y448" s="31" t="n">
        <v>11179416</v>
      </c>
      <c r="Z448" s="31" t="n">
        <v>871994448000</v>
      </c>
      <c r="AA448" s="31" t="n">
        <v>1819194000</v>
      </c>
      <c r="AB448" s="31" t="n">
        <v>3395603510</v>
      </c>
      <c r="AC448" s="36" t="n">
        <v>0.002086244934440225</v>
      </c>
      <c r="AD448" s="29" t="inlineStr">
        <is>
          <t>yfinance_download</t>
        </is>
      </c>
      <c r="AE448" s="29" t="inlineStr">
        <is>
          <t>064760.KQ</t>
        </is>
      </c>
    </row>
    <row r="449" ht="24" customHeight="1">
      <c r="A449" s="24" t="inlineStr">
        <is>
          <t>2025-04-10</t>
        </is>
      </c>
      <c r="B449" s="30" t="n">
        <v>83600</v>
      </c>
      <c r="C449" s="30" t="n">
        <v>85300</v>
      </c>
      <c r="D449" s="30" t="n">
        <v>80700</v>
      </c>
      <c r="E449" s="30" t="n">
        <v>85300</v>
      </c>
      <c r="F449" s="30" t="n">
        <v>84476.2109375</v>
      </c>
      <c r="G449" s="30" t="n">
        <v>47592</v>
      </c>
      <c r="H449" s="35" t="n">
        <v>0.09358974358974348</v>
      </c>
      <c r="I449" s="35" t="n">
        <v>-0.5841053144807411</v>
      </c>
      <c r="J449" s="30" t="n">
        <v>86290</v>
      </c>
      <c r="K449" s="30" t="n">
        <v>82060</v>
      </c>
      <c r="L449" s="30" t="n">
        <v>78923.33333333333</v>
      </c>
      <c r="M449" s="35" t="n">
        <v>0.6156451207780959</v>
      </c>
      <c r="N449" s="35" t="n">
        <v>0.5555965153251814</v>
      </c>
      <c r="O449" s="35" t="n">
        <v>-0.01728110599078336</v>
      </c>
      <c r="P449" s="35" t="n">
        <v>0.1668946648426812</v>
      </c>
      <c r="Q449" s="35" t="n">
        <v>-0.0788336933045356</v>
      </c>
      <c r="R449" s="35" t="n">
        <v>-0.01147294008575728</v>
      </c>
      <c r="S449" s="35" t="n">
        <v>0.03948330489885454</v>
      </c>
      <c r="T449" s="35" t="n">
        <v>0.08079570891582555</v>
      </c>
      <c r="U449" s="30" t="n">
        <v>142000</v>
      </c>
      <c r="V449" s="30" t="n">
        <v>67500</v>
      </c>
      <c r="W449" s="35" t="n">
        <v>-0.3992957746478873</v>
      </c>
      <c r="X449" s="35" t="n">
        <v>0.2637037037037038</v>
      </c>
      <c r="Y449" s="30" t="n">
        <v>11179416</v>
      </c>
      <c r="Z449" s="30" t="n">
        <v>953604184800</v>
      </c>
      <c r="AA449" s="30" t="n">
        <v>4059597600</v>
      </c>
      <c r="AB449" s="30" t="n">
        <v>3353928910</v>
      </c>
      <c r="AC449" s="35" t="n">
        <v>0.004257109673707464</v>
      </c>
      <c r="AD449" s="24" t="inlineStr">
        <is>
          <t>yfinance_download</t>
        </is>
      </c>
      <c r="AE449" s="24" t="inlineStr">
        <is>
          <t>064760.KQ</t>
        </is>
      </c>
    </row>
    <row r="450" ht="24" customHeight="1">
      <c r="A450" s="29" t="inlineStr">
        <is>
          <t>2025-04-11</t>
        </is>
      </c>
      <c r="B450" s="31" t="n">
        <v>82500</v>
      </c>
      <c r="C450" s="31" t="n">
        <v>83300</v>
      </c>
      <c r="D450" s="31" t="n">
        <v>79900</v>
      </c>
      <c r="E450" s="31" t="n">
        <v>82200</v>
      </c>
      <c r="F450" s="31" t="n">
        <v>81406.1484375</v>
      </c>
      <c r="G450" s="31" t="n">
        <v>42348</v>
      </c>
      <c r="H450" s="36" t="n">
        <v>-0.03634232121922631</v>
      </c>
      <c r="I450" s="36" t="n">
        <v>-0.5992198927352511</v>
      </c>
      <c r="J450" s="31" t="n">
        <v>85840</v>
      </c>
      <c r="K450" s="31" t="n">
        <v>82213.33333333333</v>
      </c>
      <c r="L450" s="31" t="n">
        <v>78835</v>
      </c>
      <c r="M450" s="36" t="n">
        <v>0.5975198119480611</v>
      </c>
      <c r="N450" s="36" t="n">
        <v>0.5614070032998015</v>
      </c>
      <c r="O450" s="36" t="n">
        <v>-0.09868421052631582</v>
      </c>
      <c r="P450" s="36" t="n">
        <v>0.1260273972602739</v>
      </c>
      <c r="Q450" s="36" t="n">
        <v>-0.1142241379310345</v>
      </c>
      <c r="R450" s="36" t="n">
        <v>-0.04240447343895615</v>
      </c>
      <c r="S450" s="36" t="n">
        <v>-0.000162179695102127</v>
      </c>
      <c r="T450" s="36" t="n">
        <v>0.04268408701718784</v>
      </c>
      <c r="U450" s="31" t="n">
        <v>142000</v>
      </c>
      <c r="V450" s="31" t="n">
        <v>67500</v>
      </c>
      <c r="W450" s="36" t="n">
        <v>-0.4211267605633803</v>
      </c>
      <c r="X450" s="36" t="n">
        <v>0.2177777777777778</v>
      </c>
      <c r="Y450" s="31" t="n">
        <v>11179416</v>
      </c>
      <c r="Z450" s="31" t="n">
        <v>918947995200</v>
      </c>
      <c r="AA450" s="31" t="n">
        <v>3481005600</v>
      </c>
      <c r="AB450" s="31" t="n">
        <v>3250193110</v>
      </c>
      <c r="AC450" s="36" t="n">
        <v>0.003788033292615643</v>
      </c>
      <c r="AD450" s="29" t="inlineStr">
        <is>
          <t>yfinance_download</t>
        </is>
      </c>
      <c r="AE450" s="29" t="inlineStr">
        <is>
          <t>064760.KQ</t>
        </is>
      </c>
    </row>
    <row r="451" ht="24" customHeight="1">
      <c r="A451" s="24" t="inlineStr">
        <is>
          <t>2025-04-14</t>
        </is>
      </c>
      <c r="B451" s="30" t="n">
        <v>81800</v>
      </c>
      <c r="C451" s="30" t="n">
        <v>85700</v>
      </c>
      <c r="D451" s="30" t="n">
        <v>81800</v>
      </c>
      <c r="E451" s="30" t="n">
        <v>84400</v>
      </c>
      <c r="F451" s="30" t="n">
        <v>83584.8984375</v>
      </c>
      <c r="G451" s="30" t="n">
        <v>31353</v>
      </c>
      <c r="H451" s="35" t="n">
        <v>0.02676399026763998</v>
      </c>
      <c r="I451" s="35" t="n">
        <v>-0.5884934178449537</v>
      </c>
      <c r="J451" s="30" t="n">
        <v>85490</v>
      </c>
      <c r="K451" s="30" t="n">
        <v>82441.66666666667</v>
      </c>
      <c r="L451" s="30" t="n">
        <v>78793.33333333333</v>
      </c>
      <c r="M451" s="35" t="n">
        <v>0.6074670177484282</v>
      </c>
      <c r="N451" s="35" t="n">
        <v>0.5589926156539821</v>
      </c>
      <c r="O451" s="35" t="n">
        <v>-0.07658643326039383</v>
      </c>
      <c r="P451" s="35" t="n">
        <v>0.1937765205091937</v>
      </c>
      <c r="Q451" s="35" t="n">
        <v>-0.05592841163310958</v>
      </c>
      <c r="R451" s="35" t="n">
        <v>-0.01275002924318636</v>
      </c>
      <c r="S451" s="35" t="n">
        <v>0.02375416961487908</v>
      </c>
      <c r="T451" s="35" t="n">
        <v>0.07115661223453773</v>
      </c>
      <c r="U451" s="30" t="n">
        <v>142000</v>
      </c>
      <c r="V451" s="30" t="n">
        <v>67500</v>
      </c>
      <c r="W451" s="35" t="n">
        <v>-0.4056338028169014</v>
      </c>
      <c r="X451" s="35" t="n">
        <v>0.2503703703703704</v>
      </c>
      <c r="Y451" s="30" t="n">
        <v>11179416</v>
      </c>
      <c r="Z451" s="30" t="n">
        <v>943542710400</v>
      </c>
      <c r="AA451" s="30" t="n">
        <v>2646193200</v>
      </c>
      <c r="AB451" s="30" t="n">
        <v>3163010240</v>
      </c>
      <c r="AC451" s="35" t="n">
        <v>0.002804529324250927</v>
      </c>
      <c r="AD451" s="24" t="inlineStr">
        <is>
          <t>yfinance_download</t>
        </is>
      </c>
      <c r="AE451" s="24" t="inlineStr">
        <is>
          <t>064760.KQ</t>
        </is>
      </c>
    </row>
    <row r="452" ht="24" customHeight="1">
      <c r="A452" s="29" t="inlineStr">
        <is>
          <t>2025-04-15</t>
        </is>
      </c>
      <c r="B452" s="31" t="n">
        <v>83800</v>
      </c>
      <c r="C452" s="31" t="n">
        <v>86600</v>
      </c>
      <c r="D452" s="31" t="n">
        <v>83800</v>
      </c>
      <c r="E452" s="31" t="n">
        <v>85800</v>
      </c>
      <c r="F452" s="31" t="n">
        <v>84971.3828125</v>
      </c>
      <c r="G452" s="31" t="n">
        <v>16363</v>
      </c>
      <c r="H452" s="36" t="n">
        <v>0.01658767772511838</v>
      </c>
      <c r="I452" s="36" t="n">
        <v>-0.5816674792784008</v>
      </c>
      <c r="J452" s="31" t="n">
        <v>85255</v>
      </c>
      <c r="K452" s="31" t="n">
        <v>82688.33333333333</v>
      </c>
      <c r="L452" s="31" t="n">
        <v>78759.16666666667</v>
      </c>
      <c r="M452" s="36" t="n">
        <v>0.610924102751696</v>
      </c>
      <c r="N452" s="36" t="n">
        <v>0.5596302512947571</v>
      </c>
      <c r="O452" s="36" t="n">
        <v>-0.05193370165745859</v>
      </c>
      <c r="P452" s="36" t="n">
        <v>0.2084507042253521</v>
      </c>
      <c r="Q452" s="36" t="n">
        <v>-0.04560622914349277</v>
      </c>
      <c r="R452" s="36" t="n">
        <v>0.006392586945047185</v>
      </c>
      <c r="S452" s="36" t="n">
        <v>0.03763126599883093</v>
      </c>
      <c r="T452" s="36" t="n">
        <v>0.0893970014072436</v>
      </c>
      <c r="U452" s="31" t="n">
        <v>142000</v>
      </c>
      <c r="V452" s="31" t="n">
        <v>67500</v>
      </c>
      <c r="W452" s="36" t="n">
        <v>-0.395774647887324</v>
      </c>
      <c r="X452" s="36" t="n">
        <v>0.2711111111111111</v>
      </c>
      <c r="Y452" s="31" t="n">
        <v>11179416</v>
      </c>
      <c r="Z452" s="31" t="n">
        <v>959193892800</v>
      </c>
      <c r="AA452" s="31" t="n">
        <v>1403945400</v>
      </c>
      <c r="AB452" s="31" t="n">
        <v>3116661610</v>
      </c>
      <c r="AC452" s="36" t="n">
        <v>0.001463672163197076</v>
      </c>
      <c r="AD452" s="29" t="inlineStr">
        <is>
          <t>yfinance_download</t>
        </is>
      </c>
      <c r="AE452" s="29" t="inlineStr">
        <is>
          <t>064760.KQ</t>
        </is>
      </c>
    </row>
    <row r="453" ht="24" customHeight="1">
      <c r="A453" s="24" t="inlineStr">
        <is>
          <t>2025-04-16</t>
        </is>
      </c>
      <c r="B453" s="30" t="n">
        <v>84800</v>
      </c>
      <c r="C453" s="30" t="n">
        <v>85000</v>
      </c>
      <c r="D453" s="30" t="n">
        <v>81100</v>
      </c>
      <c r="E453" s="30" t="n">
        <v>82200</v>
      </c>
      <c r="F453" s="30" t="n">
        <v>81406.1484375</v>
      </c>
      <c r="G453" s="30" t="n">
        <v>26953</v>
      </c>
      <c r="H453" s="35" t="n">
        <v>-0.04195804195804198</v>
      </c>
      <c r="I453" s="35" t="n">
        <v>-0.5992198927352511</v>
      </c>
      <c r="J453" s="30" t="n">
        <v>84790</v>
      </c>
      <c r="K453" s="30" t="n">
        <v>82893.33333333333</v>
      </c>
      <c r="L453" s="30" t="n">
        <v>78713.33333333333</v>
      </c>
      <c r="M453" s="35" t="n">
        <v>0.6247536565983833</v>
      </c>
      <c r="N453" s="35" t="n">
        <v>0.566108658770048</v>
      </c>
      <c r="O453" s="35" t="n">
        <v>-0.101639344262295</v>
      </c>
      <c r="P453" s="35" t="n">
        <v>0.1759656652360515</v>
      </c>
      <c r="Q453" s="35" t="n">
        <v>-0.06271379703534774</v>
      </c>
      <c r="R453" s="35" t="n">
        <v>-0.03054605495931129</v>
      </c>
      <c r="S453" s="35" t="n">
        <v>-0.008364162779475603</v>
      </c>
      <c r="T453" s="35" t="n">
        <v>0.04429575675446773</v>
      </c>
      <c r="U453" s="30" t="n">
        <v>142000</v>
      </c>
      <c r="V453" s="30" t="n">
        <v>67500</v>
      </c>
      <c r="W453" s="35" t="n">
        <v>-0.4211267605633803</v>
      </c>
      <c r="X453" s="35" t="n">
        <v>0.2177777777777778</v>
      </c>
      <c r="Y453" s="30" t="n">
        <v>11179416</v>
      </c>
      <c r="Z453" s="30" t="n">
        <v>918947995200</v>
      </c>
      <c r="AA453" s="30" t="n">
        <v>2215536600</v>
      </c>
      <c r="AB453" s="30" t="n">
        <v>3025131940</v>
      </c>
      <c r="AC453" s="35" t="n">
        <v>0.002410948836683419</v>
      </c>
      <c r="AD453" s="24" t="inlineStr">
        <is>
          <t>yfinance_download</t>
        </is>
      </c>
      <c r="AE453" s="24" t="inlineStr">
        <is>
          <t>064760.KQ</t>
        </is>
      </c>
    </row>
    <row r="454" ht="24" customHeight="1">
      <c r="A454" s="29" t="inlineStr">
        <is>
          <t>2025-04-17</t>
        </is>
      </c>
      <c r="B454" s="31" t="n">
        <v>82000</v>
      </c>
      <c r="C454" s="31" t="n">
        <v>83600</v>
      </c>
      <c r="D454" s="31" t="n">
        <v>81400</v>
      </c>
      <c r="E454" s="31" t="n">
        <v>83400</v>
      </c>
      <c r="F454" s="31" t="n">
        <v>82594.5625</v>
      </c>
      <c r="G454" s="31" t="n">
        <v>17203</v>
      </c>
      <c r="H454" s="36" t="n">
        <v>0.01459854014598538</v>
      </c>
      <c r="I454" s="36" t="n">
        <v>-0.5933690882496343</v>
      </c>
      <c r="J454" s="31" t="n">
        <v>84360</v>
      </c>
      <c r="K454" s="31" t="n">
        <v>83116.66666666667</v>
      </c>
      <c r="L454" s="31" t="n">
        <v>78676.66666666667</v>
      </c>
      <c r="M454" s="36" t="n">
        <v>0.6275453840822319</v>
      </c>
      <c r="N454" s="36" t="n">
        <v>0.5665646533708555</v>
      </c>
      <c r="O454" s="36" t="n">
        <v>-0.09347826086956523</v>
      </c>
      <c r="P454" s="36" t="n">
        <v>0.1914285714285715</v>
      </c>
      <c r="Q454" s="36" t="n">
        <v>-0.05011389521640086</v>
      </c>
      <c r="R454" s="36" t="n">
        <v>-0.01137980085348511</v>
      </c>
      <c r="S454" s="36" t="n">
        <v>0.00340886304391419</v>
      </c>
      <c r="T454" s="36" t="n">
        <v>0.06003474134643905</v>
      </c>
      <c r="U454" s="31" t="n">
        <v>142000</v>
      </c>
      <c r="V454" s="31" t="n">
        <v>67500</v>
      </c>
      <c r="W454" s="36" t="n">
        <v>-0.4126760563380282</v>
      </c>
      <c r="X454" s="36" t="n">
        <v>0.2355555555555555</v>
      </c>
      <c r="Y454" s="31" t="n">
        <v>11179416</v>
      </c>
      <c r="Z454" s="31" t="n">
        <v>932363294400</v>
      </c>
      <c r="AA454" s="31" t="n">
        <v>1434730200</v>
      </c>
      <c r="AB454" s="31" t="n">
        <v>2986302850</v>
      </c>
      <c r="AC454" s="36" t="n">
        <v>0.001538810256278145</v>
      </c>
      <c r="AD454" s="29" t="inlineStr">
        <is>
          <t>yfinance_download</t>
        </is>
      </c>
      <c r="AE454" s="29" t="inlineStr">
        <is>
          <t>064760.KQ</t>
        </is>
      </c>
    </row>
    <row r="455" ht="24" customHeight="1">
      <c r="A455" s="24" t="inlineStr">
        <is>
          <t>2025-04-18</t>
        </is>
      </c>
      <c r="B455" s="30" t="n">
        <v>82200</v>
      </c>
      <c r="C455" s="30" t="n">
        <v>83400</v>
      </c>
      <c r="D455" s="30" t="n">
        <v>81500</v>
      </c>
      <c r="E455" s="30" t="n">
        <v>83000</v>
      </c>
      <c r="F455" s="30" t="n">
        <v>82198.421875</v>
      </c>
      <c r="G455" s="30" t="n">
        <v>14668</v>
      </c>
      <c r="H455" s="35" t="n">
        <v>-0.004796163069544335</v>
      </c>
      <c r="I455" s="35" t="n">
        <v>-0.5953193564115066</v>
      </c>
      <c r="J455" s="30" t="n">
        <v>83975</v>
      </c>
      <c r="K455" s="30" t="n">
        <v>83303.33333333333</v>
      </c>
      <c r="L455" s="30" t="n">
        <v>78655.83333333333</v>
      </c>
      <c r="M455" s="35" t="n">
        <v>0.6264539951224001</v>
      </c>
      <c r="N455" s="35" t="n">
        <v>0.5649106136998214</v>
      </c>
      <c r="O455" s="35" t="n">
        <v>-0.08489525909592066</v>
      </c>
      <c r="P455" s="35" t="n">
        <v>0.1559888579387188</v>
      </c>
      <c r="Q455" s="35" t="n">
        <v>-0.0292397660818714</v>
      </c>
      <c r="R455" s="35" t="n">
        <v>-0.01161059839237866</v>
      </c>
      <c r="S455" s="35" t="n">
        <v>-0.003641310871913883</v>
      </c>
      <c r="T455" s="35" t="n">
        <v>0.05523006346212944</v>
      </c>
      <c r="U455" s="30" t="n">
        <v>142000</v>
      </c>
      <c r="V455" s="30" t="n">
        <v>67500</v>
      </c>
      <c r="W455" s="35" t="n">
        <v>-0.4154929577464789</v>
      </c>
      <c r="X455" s="35" t="n">
        <v>0.2296296296296296</v>
      </c>
      <c r="Y455" s="30" t="n">
        <v>11179416</v>
      </c>
      <c r="Z455" s="30" t="n">
        <v>927891528000</v>
      </c>
      <c r="AA455" s="30" t="n">
        <v>1217444000</v>
      </c>
      <c r="AB455" s="30" t="n">
        <v>2759882800</v>
      </c>
      <c r="AC455" s="35" t="n">
        <v>0.001312054225372774</v>
      </c>
      <c r="AD455" s="24" t="inlineStr">
        <is>
          <t>yfinance_download</t>
        </is>
      </c>
      <c r="AE455" s="24" t="inlineStr">
        <is>
          <t>064760.KQ</t>
        </is>
      </c>
    </row>
    <row r="456" ht="24" customHeight="1">
      <c r="A456" s="29" t="inlineStr">
        <is>
          <t>2025-04-21</t>
        </is>
      </c>
      <c r="B456" s="31" t="n">
        <v>82300</v>
      </c>
      <c r="C456" s="31" t="n">
        <v>84900</v>
      </c>
      <c r="D456" s="31" t="n">
        <v>82100</v>
      </c>
      <c r="E456" s="31" t="n">
        <v>84100</v>
      </c>
      <c r="F456" s="31" t="n">
        <v>83287.796875</v>
      </c>
      <c r="G456" s="31" t="n">
        <v>19213</v>
      </c>
      <c r="H456" s="36" t="n">
        <v>0.01325301204819285</v>
      </c>
      <c r="I456" s="36" t="n">
        <v>-0.5899561189663578</v>
      </c>
      <c r="J456" s="31" t="n">
        <v>83725</v>
      </c>
      <c r="K456" s="31" t="n">
        <v>83498.33333333333</v>
      </c>
      <c r="L456" s="31" t="n">
        <v>78605</v>
      </c>
      <c r="M456" s="36" t="n">
        <v>0.6269354951446557</v>
      </c>
      <c r="N456" s="36" t="n">
        <v>0.5651970791606996</v>
      </c>
      <c r="O456" s="36" t="n">
        <v>-0.05611672278338942</v>
      </c>
      <c r="P456" s="36" t="n">
        <v>0.1616022099447514</v>
      </c>
      <c r="Q456" s="36" t="n">
        <v>-0.06762749445676275</v>
      </c>
      <c r="R456" s="36" t="n">
        <v>0.00447894893998213</v>
      </c>
      <c r="S456" s="36" t="n">
        <v>0.007205732649354424</v>
      </c>
      <c r="T456" s="36" t="n">
        <v>0.06990649449780539</v>
      </c>
      <c r="U456" s="31" t="n">
        <v>142000</v>
      </c>
      <c r="V456" s="31" t="n">
        <v>67500</v>
      </c>
      <c r="W456" s="36" t="n">
        <v>-0.4077464788732394</v>
      </c>
      <c r="X456" s="36" t="n">
        <v>0.2459259259259259</v>
      </c>
      <c r="Y456" s="31" t="n">
        <v>11179416</v>
      </c>
      <c r="Z456" s="31" t="n">
        <v>940188885600</v>
      </c>
      <c r="AA456" s="31" t="n">
        <v>1615813300</v>
      </c>
      <c r="AB456" s="31" t="n">
        <v>2729543490</v>
      </c>
      <c r="AC456" s="36" t="n">
        <v>0.001718604979007848</v>
      </c>
      <c r="AD456" s="29" t="inlineStr">
        <is>
          <t>yfinance_download</t>
        </is>
      </c>
      <c r="AE456" s="29" t="inlineStr">
        <is>
          <t>064760.KQ</t>
        </is>
      </c>
    </row>
    <row r="457" ht="24" customHeight="1">
      <c r="A457" s="24" t="inlineStr">
        <is>
          <t>2025-04-22</t>
        </is>
      </c>
      <c r="B457" s="30" t="n">
        <v>84000</v>
      </c>
      <c r="C457" s="30" t="n">
        <v>84000</v>
      </c>
      <c r="D457" s="30" t="n">
        <v>81400</v>
      </c>
      <c r="E457" s="30" t="n">
        <v>82300</v>
      </c>
      <c r="F457" s="30" t="n">
        <v>81505.1796875</v>
      </c>
      <c r="G457" s="30" t="n">
        <v>18435</v>
      </c>
      <c r="H457" s="35" t="n">
        <v>-0.0214030915576694</v>
      </c>
      <c r="I457" s="35" t="n">
        <v>-0.598732325694783</v>
      </c>
      <c r="J457" s="30" t="n">
        <v>83555</v>
      </c>
      <c r="K457" s="30" t="n">
        <v>83651.66666666667</v>
      </c>
      <c r="L457" s="30" t="n">
        <v>78546.66666666667</v>
      </c>
      <c r="M457" s="35" t="n">
        <v>0.6169147637312666</v>
      </c>
      <c r="N457" s="35" t="n">
        <v>0.5672395319867473</v>
      </c>
      <c r="O457" s="35" t="n">
        <v>-0.03967327887981331</v>
      </c>
      <c r="P457" s="35" t="n">
        <v>0.1258549931600548</v>
      </c>
      <c r="Q457" s="35" t="n">
        <v>-0.07838745800671898</v>
      </c>
      <c r="R457" s="35" t="n">
        <v>-0.01502004667584222</v>
      </c>
      <c r="S457" s="35" t="n">
        <v>-0.01615827538801784</v>
      </c>
      <c r="T457" s="35" t="n">
        <v>0.04778475640808</v>
      </c>
      <c r="U457" s="30" t="n">
        <v>142000</v>
      </c>
      <c r="V457" s="30" t="n">
        <v>67500</v>
      </c>
      <c r="W457" s="35" t="n">
        <v>-0.4204225352112676</v>
      </c>
      <c r="X457" s="35" t="n">
        <v>0.2192592592592593</v>
      </c>
      <c r="Y457" s="30" t="n">
        <v>11179416</v>
      </c>
      <c r="Z457" s="30" t="n">
        <v>920065936800</v>
      </c>
      <c r="AA457" s="30" t="n">
        <v>1517200500</v>
      </c>
      <c r="AB457" s="30" t="n">
        <v>2645504455</v>
      </c>
      <c r="AC457" s="35" t="n">
        <v>0.001649012792797048</v>
      </c>
      <c r="AD457" s="24" t="inlineStr">
        <is>
          <t>yfinance_download</t>
        </is>
      </c>
      <c r="AE457" s="24" t="inlineStr">
        <is>
          <t>064760.KQ</t>
        </is>
      </c>
    </row>
    <row r="458" ht="24" customHeight="1">
      <c r="A458" s="29" t="inlineStr">
        <is>
          <t>2025-04-23</t>
        </is>
      </c>
      <c r="B458" s="31" t="n">
        <v>83400</v>
      </c>
      <c r="C458" s="31" t="n">
        <v>89400</v>
      </c>
      <c r="D458" s="31" t="n">
        <v>83400</v>
      </c>
      <c r="E458" s="31" t="n">
        <v>88900</v>
      </c>
      <c r="F458" s="31" t="n">
        <v>88041.4453125</v>
      </c>
      <c r="G458" s="31" t="n">
        <v>50967</v>
      </c>
      <c r="H458" s="36" t="n">
        <v>0.08019441069258804</v>
      </c>
      <c r="I458" s="36" t="n">
        <v>-0.5665529010238908</v>
      </c>
      <c r="J458" s="31" t="n">
        <v>83700</v>
      </c>
      <c r="K458" s="31" t="n">
        <v>83900</v>
      </c>
      <c r="L458" s="31" t="n">
        <v>78585</v>
      </c>
      <c r="M458" s="36" t="n">
        <v>0.681544908421629</v>
      </c>
      <c r="N458" s="36" t="n">
        <v>0.5888575069407538</v>
      </c>
      <c r="O458" s="36" t="n">
        <v>0.03372093023255807</v>
      </c>
      <c r="P458" s="36" t="n">
        <v>0.2013513513513514</v>
      </c>
      <c r="Q458" s="36" t="n">
        <v>0.05456702253855283</v>
      </c>
      <c r="R458" s="36" t="n">
        <v>0.06212664277180413</v>
      </c>
      <c r="S458" s="36" t="n">
        <v>0.05959475566150174</v>
      </c>
      <c r="T458" s="36" t="n">
        <v>0.1312591461474837</v>
      </c>
      <c r="U458" s="31" t="n">
        <v>142000</v>
      </c>
      <c r="V458" s="31" t="n">
        <v>67500</v>
      </c>
      <c r="W458" s="36" t="n">
        <v>-0.3739436619718309</v>
      </c>
      <c r="X458" s="36" t="n">
        <v>0.317037037037037</v>
      </c>
      <c r="Y458" s="31" t="n">
        <v>11179416</v>
      </c>
      <c r="Z458" s="31" t="n">
        <v>993850082400</v>
      </c>
      <c r="AA458" s="31" t="n">
        <v>4530966300</v>
      </c>
      <c r="AB458" s="31" t="n">
        <v>2757143870</v>
      </c>
      <c r="AC458" s="36" t="n">
        <v>0.004559003797693905</v>
      </c>
      <c r="AD458" s="29" t="inlineStr">
        <is>
          <t>yfinance_download</t>
        </is>
      </c>
      <c r="AE458" s="29" t="inlineStr">
        <is>
          <t>064760.KQ</t>
        </is>
      </c>
    </row>
    <row r="459" ht="24" customHeight="1">
      <c r="A459" s="24" t="inlineStr">
        <is>
          <t>2025-04-24</t>
        </is>
      </c>
      <c r="B459" s="30" t="n">
        <v>88000</v>
      </c>
      <c r="C459" s="30" t="n">
        <v>88700</v>
      </c>
      <c r="D459" s="30" t="n">
        <v>85500</v>
      </c>
      <c r="E459" s="30" t="n">
        <v>87300</v>
      </c>
      <c r="F459" s="30" t="n">
        <v>86456.8984375</v>
      </c>
      <c r="G459" s="30" t="n">
        <v>32052</v>
      </c>
      <c r="H459" s="35" t="n">
        <v>-0.01799775028121486</v>
      </c>
      <c r="I459" s="35" t="n">
        <v>-0.5743539736713799</v>
      </c>
      <c r="J459" s="30" t="n">
        <v>83820</v>
      </c>
      <c r="K459" s="30" t="n">
        <v>84150</v>
      </c>
      <c r="L459" s="30" t="n">
        <v>78595.83333333333</v>
      </c>
      <c r="M459" s="35" t="n">
        <v>0.6833440730404462</v>
      </c>
      <c r="N459" s="35" t="n">
        <v>0.5879818867775851</v>
      </c>
      <c r="O459" s="35" t="n">
        <v>0.0282685512367491</v>
      </c>
      <c r="P459" s="35" t="n">
        <v>0.2074688796680497</v>
      </c>
      <c r="Q459" s="35" t="n">
        <v>0.01511627906976742</v>
      </c>
      <c r="R459" s="35" t="n">
        <v>0.04151753758052967</v>
      </c>
      <c r="S459" s="35" t="n">
        <v>0.03743315508021383</v>
      </c>
      <c r="T459" s="35" t="n">
        <v>0.1107459046811219</v>
      </c>
      <c r="U459" s="30" t="n">
        <v>142000</v>
      </c>
      <c r="V459" s="30" t="n">
        <v>67500</v>
      </c>
      <c r="W459" s="35" t="n">
        <v>-0.3852112676056338</v>
      </c>
      <c r="X459" s="35" t="n">
        <v>0.2933333333333332</v>
      </c>
      <c r="Y459" s="30" t="n">
        <v>11179416</v>
      </c>
      <c r="Z459" s="30" t="n">
        <v>975963016800</v>
      </c>
      <c r="AA459" s="30" t="n">
        <v>2798139600</v>
      </c>
      <c r="AB459" s="30" t="n">
        <v>2826150860</v>
      </c>
      <c r="AC459" s="35" t="n">
        <v>0.002867054951707674</v>
      </c>
      <c r="AD459" s="24" t="inlineStr">
        <is>
          <t>yfinance_download</t>
        </is>
      </c>
      <c r="AE459" s="24" t="inlineStr">
        <is>
          <t>064760.KQ</t>
        </is>
      </c>
    </row>
    <row r="460" ht="24" customHeight="1">
      <c r="A460" s="29" t="inlineStr">
        <is>
          <t>2025-04-25</t>
        </is>
      </c>
      <c r="B460" s="31" t="n">
        <v>87900</v>
      </c>
      <c r="C460" s="31" t="n">
        <v>91000</v>
      </c>
      <c r="D460" s="31" t="n">
        <v>86800</v>
      </c>
      <c r="E460" s="31" t="n">
        <v>89300</v>
      </c>
      <c r="F460" s="31" t="n">
        <v>88437.578125</v>
      </c>
      <c r="G460" s="31" t="n">
        <v>35519</v>
      </c>
      <c r="H460" s="36" t="n">
        <v>0.02290950744558984</v>
      </c>
      <c r="I460" s="36" t="n">
        <v>-0.5646026328620185</v>
      </c>
      <c r="J460" s="31" t="n">
        <v>84095</v>
      </c>
      <c r="K460" s="31" t="n">
        <v>84406.66666666667</v>
      </c>
      <c r="L460" s="31" t="n">
        <v>78644.16666666667</v>
      </c>
      <c r="M460" s="36" t="n">
        <v>0.6846137626146764</v>
      </c>
      <c r="N460" s="36" t="n">
        <v>0.5880878259426087</v>
      </c>
      <c r="O460" s="36" t="n">
        <v>0.0656324582338903</v>
      </c>
      <c r="P460" s="36" t="n">
        <v>0.2083897158322057</v>
      </c>
      <c r="Q460" s="36" t="n">
        <v>0.06946107784431144</v>
      </c>
      <c r="R460" s="36" t="n">
        <v>0.06189428622391335</v>
      </c>
      <c r="S460" s="36" t="n">
        <v>0.0579733038464576</v>
      </c>
      <c r="T460" s="36" t="n">
        <v>0.1354942621300583</v>
      </c>
      <c r="U460" s="31" t="n">
        <v>142000</v>
      </c>
      <c r="V460" s="31" t="n">
        <v>67500</v>
      </c>
      <c r="W460" s="36" t="n">
        <v>-0.3711267605633802</v>
      </c>
      <c r="X460" s="36" t="n">
        <v>0.3229629629629629</v>
      </c>
      <c r="Y460" s="31" t="n">
        <v>11179416</v>
      </c>
      <c r="Z460" s="31" t="n">
        <v>998321848800</v>
      </c>
      <c r="AA460" s="31" t="n">
        <v>3171846700</v>
      </c>
      <c r="AB460" s="31" t="n">
        <v>2898387295</v>
      </c>
      <c r="AC460" s="36" t="n">
        <v>0.003177178485888708</v>
      </c>
      <c r="AD460" s="29" t="inlineStr">
        <is>
          <t>yfinance_download</t>
        </is>
      </c>
      <c r="AE460" s="29" t="inlineStr">
        <is>
          <t>064760.KQ</t>
        </is>
      </c>
    </row>
    <row r="461" ht="24" customHeight="1">
      <c r="A461" s="24" t="inlineStr">
        <is>
          <t>2025-04-28</t>
        </is>
      </c>
      <c r="B461" s="30" t="n">
        <v>89600</v>
      </c>
      <c r="C461" s="30" t="n">
        <v>90200</v>
      </c>
      <c r="D461" s="30" t="n">
        <v>86000</v>
      </c>
      <c r="E461" s="30" t="n">
        <v>86900</v>
      </c>
      <c r="F461" s="30" t="n">
        <v>86060.7578125</v>
      </c>
      <c r="G461" s="30" t="n">
        <v>36569</v>
      </c>
      <c r="H461" s="35" t="n">
        <v>-0.02687569988801797</v>
      </c>
      <c r="I461" s="35" t="n">
        <v>-0.576304241833252</v>
      </c>
      <c r="J461" s="30" t="n">
        <v>84460</v>
      </c>
      <c r="K461" s="30" t="n">
        <v>84625</v>
      </c>
      <c r="L461" s="30" t="n">
        <v>78689.16666666667</v>
      </c>
      <c r="M461" s="35" t="n">
        <v>0.6649103608237357</v>
      </c>
      <c r="N461" s="35" t="n">
        <v>0.5913628243139184</v>
      </c>
      <c r="O461" s="35" t="n">
        <v>0.09170854271356776</v>
      </c>
      <c r="P461" s="35" t="n">
        <v>0.1775067750677506</v>
      </c>
      <c r="Q461" s="35" t="n">
        <v>0.0662576687116565</v>
      </c>
      <c r="R461" s="35" t="n">
        <v>0.02888941510774323</v>
      </c>
      <c r="S461" s="35" t="n">
        <v>0.02688330871491873</v>
      </c>
      <c r="T461" s="35" t="n">
        <v>0.1043451555169601</v>
      </c>
      <c r="U461" s="30" t="n">
        <v>142000</v>
      </c>
      <c r="V461" s="30" t="n">
        <v>67500</v>
      </c>
      <c r="W461" s="35" t="n">
        <v>-0.3880281690140845</v>
      </c>
      <c r="X461" s="35" t="n">
        <v>0.2874074074074073</v>
      </c>
      <c r="Y461" s="30" t="n">
        <v>11179416</v>
      </c>
      <c r="Z461" s="30" t="n">
        <v>971491250400</v>
      </c>
      <c r="AA461" s="30" t="n">
        <v>3177846100</v>
      </c>
      <c r="AB461" s="30" t="n">
        <v>2861909360</v>
      </c>
      <c r="AC461" s="35" t="n">
        <v>0.003271101102240046</v>
      </c>
      <c r="AD461" s="24" t="inlineStr">
        <is>
          <t>yfinance_download</t>
        </is>
      </c>
      <c r="AE461" s="24" t="inlineStr">
        <is>
          <t>064760.KQ</t>
        </is>
      </c>
    </row>
    <row r="462" ht="24" customHeight="1">
      <c r="A462" s="29" t="inlineStr">
        <is>
          <t>2025-04-29</t>
        </is>
      </c>
      <c r="B462" s="31" t="n">
        <v>86900</v>
      </c>
      <c r="C462" s="31" t="n">
        <v>87500</v>
      </c>
      <c r="D462" s="31" t="n">
        <v>85600</v>
      </c>
      <c r="E462" s="31" t="n">
        <v>86300</v>
      </c>
      <c r="F462" s="31" t="n">
        <v>85466.5546875</v>
      </c>
      <c r="G462" s="31" t="n">
        <v>19907</v>
      </c>
      <c r="H462" s="36" t="n">
        <v>-0.006904487917146152</v>
      </c>
      <c r="I462" s="36" t="n">
        <v>-0.5792296440760605</v>
      </c>
      <c r="J462" s="31" t="n">
        <v>84555</v>
      </c>
      <c r="K462" s="31" t="n">
        <v>84896.66666666667</v>
      </c>
      <c r="L462" s="31" t="n">
        <v>78695.83333333333</v>
      </c>
      <c r="M462" s="36" t="n">
        <v>0.6330892011447825</v>
      </c>
      <c r="N462" s="36" t="n">
        <v>0.5806521599863903</v>
      </c>
      <c r="O462" s="36" t="n">
        <v>0.02251184834123232</v>
      </c>
      <c r="P462" s="36" t="n">
        <v>0.2328571428571429</v>
      </c>
      <c r="Q462" s="36" t="n">
        <v>0.009356725146198785</v>
      </c>
      <c r="R462" s="36" t="n">
        <v>0.02063745491100466</v>
      </c>
      <c r="S462" s="36" t="n">
        <v>0.01652989909301494</v>
      </c>
      <c r="T462" s="36" t="n">
        <v>0.0966273097898025</v>
      </c>
      <c r="U462" s="31" t="n">
        <v>142000</v>
      </c>
      <c r="V462" s="31" t="n">
        <v>67500</v>
      </c>
      <c r="W462" s="36" t="n">
        <v>-0.3922535211267606</v>
      </c>
      <c r="X462" s="36" t="n">
        <v>0.2785185185185186</v>
      </c>
      <c r="Y462" s="31" t="n">
        <v>11179416</v>
      </c>
      <c r="Z462" s="31" t="n">
        <v>964783600800</v>
      </c>
      <c r="AA462" s="31" t="n">
        <v>1717974100</v>
      </c>
      <c r="AB462" s="31" t="n">
        <v>2768196425</v>
      </c>
      <c r="AC462" s="36" t="n">
        <v>0.001780683355910541</v>
      </c>
      <c r="AD462" s="29" t="inlineStr">
        <is>
          <t>yfinance_download</t>
        </is>
      </c>
      <c r="AE462" s="29" t="inlineStr">
        <is>
          <t>064760.KQ</t>
        </is>
      </c>
    </row>
    <row r="463" ht="24" customHeight="1">
      <c r="A463" s="24" t="inlineStr">
        <is>
          <t>2025-04-30</t>
        </is>
      </c>
      <c r="B463" s="30" t="n">
        <v>85200</v>
      </c>
      <c r="C463" s="30" t="n">
        <v>86900</v>
      </c>
      <c r="D463" s="30" t="n">
        <v>85200</v>
      </c>
      <c r="E463" s="30" t="n">
        <v>85700</v>
      </c>
      <c r="F463" s="30" t="n">
        <v>84872.34375</v>
      </c>
      <c r="G463" s="30" t="n">
        <v>19407</v>
      </c>
      <c r="H463" s="35" t="n">
        <v>-0.006952491309385911</v>
      </c>
      <c r="I463" s="35" t="n">
        <v>-0.5821550463188688</v>
      </c>
      <c r="J463" s="30" t="n">
        <v>84345</v>
      </c>
      <c r="K463" s="30" t="n">
        <v>85120</v>
      </c>
      <c r="L463" s="30" t="n">
        <v>78715.83333333333</v>
      </c>
      <c r="M463" s="35" t="n">
        <v>0.5875446921402458</v>
      </c>
      <c r="N463" s="35" t="n">
        <v>0.5779661828290007</v>
      </c>
      <c r="O463" s="35" t="n">
        <v>-0.04671857619577313</v>
      </c>
      <c r="P463" s="35" t="n">
        <v>0.1853388658367912</v>
      </c>
      <c r="Q463" s="35" t="n">
        <v>0.02881152460984393</v>
      </c>
      <c r="R463" s="35" t="n">
        <v>0.01606497124903661</v>
      </c>
      <c r="S463" s="35" t="n">
        <v>0.006813909774436189</v>
      </c>
      <c r="T463" s="35" t="n">
        <v>0.08872632570744976</v>
      </c>
      <c r="U463" s="30" t="n">
        <v>142000</v>
      </c>
      <c r="V463" s="30" t="n">
        <v>67500</v>
      </c>
      <c r="W463" s="35" t="n">
        <v>-0.3964788732394366</v>
      </c>
      <c r="X463" s="35" t="n">
        <v>0.2696296296296297</v>
      </c>
      <c r="Y463" s="30" t="n">
        <v>11179416</v>
      </c>
      <c r="Z463" s="30" t="n">
        <v>958075951200</v>
      </c>
      <c r="AA463" s="30" t="n">
        <v>1663179900</v>
      </c>
      <c r="AB463" s="30" t="n">
        <v>2512338025</v>
      </c>
      <c r="AC463" s="35" t="n">
        <v>0.001735958300505143</v>
      </c>
      <c r="AD463" s="24" t="inlineStr">
        <is>
          <t>yfinance_download</t>
        </is>
      </c>
      <c r="AE463" s="24" t="inlineStr">
        <is>
          <t>064760.KQ</t>
        </is>
      </c>
    </row>
    <row r="464" ht="24" customHeight="1">
      <c r="A464" s="29" t="inlineStr">
        <is>
          <t>2025-05-02</t>
        </is>
      </c>
      <c r="B464" s="31" t="n">
        <v>85400</v>
      </c>
      <c r="C464" s="31" t="n">
        <v>86500</v>
      </c>
      <c r="D464" s="31" t="n">
        <v>84500</v>
      </c>
      <c r="E464" s="31" t="n">
        <v>84800</v>
      </c>
      <c r="F464" s="31" t="n">
        <v>83981.0390625</v>
      </c>
      <c r="G464" s="31" t="n">
        <v>22525</v>
      </c>
      <c r="H464" s="36" t="n">
        <v>-0.01050175029171529</v>
      </c>
      <c r="I464" s="36" t="n">
        <v>-0.5865431496830814</v>
      </c>
      <c r="J464" s="31" t="n">
        <v>84220</v>
      </c>
      <c r="K464" s="31" t="n">
        <v>85331.66666666667</v>
      </c>
      <c r="L464" s="31" t="n">
        <v>78705.83333333333</v>
      </c>
      <c r="M464" s="36" t="n">
        <v>0.5798371187317661</v>
      </c>
      <c r="N464" s="36" t="n">
        <v>0.5785397809227666</v>
      </c>
      <c r="O464" s="36" t="n">
        <v>-0.02863688430698741</v>
      </c>
      <c r="P464" s="36" t="n">
        <v>0.1761442441054091</v>
      </c>
      <c r="Q464" s="36" t="n">
        <v>-0.01395348837209298</v>
      </c>
      <c r="R464" s="36" t="n">
        <v>0.006886725243410163</v>
      </c>
      <c r="S464" s="36" t="n">
        <v>-0.006230590441219652</v>
      </c>
      <c r="T464" s="36" t="n">
        <v>0.07742966955011821</v>
      </c>
      <c r="U464" s="31" t="n">
        <v>142000</v>
      </c>
      <c r="V464" s="31" t="n">
        <v>67500</v>
      </c>
      <c r="W464" s="36" t="n">
        <v>-0.4028169014084507</v>
      </c>
      <c r="X464" s="36" t="n">
        <v>0.2562962962962962</v>
      </c>
      <c r="Y464" s="31" t="n">
        <v>11179416</v>
      </c>
      <c r="Z464" s="31" t="n">
        <v>948014476800</v>
      </c>
      <c r="AA464" s="31" t="n">
        <v>1910120000</v>
      </c>
      <c r="AB464" s="31" t="n">
        <v>2472537755</v>
      </c>
      <c r="AC464" s="36" t="n">
        <v>0.002014863746013209</v>
      </c>
      <c r="AD464" s="29" t="inlineStr">
        <is>
          <t>yfinance_download</t>
        </is>
      </c>
      <c r="AE464" s="29" t="inlineStr">
        <is>
          <t>064760.KQ</t>
        </is>
      </c>
    </row>
    <row r="465" ht="24" customHeight="1">
      <c r="A465" s="24" t="inlineStr">
        <is>
          <t>2025-05-07</t>
        </is>
      </c>
      <c r="B465" s="30" t="n">
        <v>85600</v>
      </c>
      <c r="C465" s="30" t="n">
        <v>89000</v>
      </c>
      <c r="D465" s="30" t="n">
        <v>85300</v>
      </c>
      <c r="E465" s="30" t="n">
        <v>88100</v>
      </c>
      <c r="F465" s="30" t="n">
        <v>87249.171875</v>
      </c>
      <c r="G465" s="30" t="n">
        <v>41017</v>
      </c>
      <c r="H465" s="35" t="n">
        <v>0.03891509433962259</v>
      </c>
      <c r="I465" s="35" t="n">
        <v>-0.5704534373476353</v>
      </c>
      <c r="J465" s="30" t="n">
        <v>84425</v>
      </c>
      <c r="K465" s="30" t="n">
        <v>85445</v>
      </c>
      <c r="L465" s="30" t="n">
        <v>78729.16666666667</v>
      </c>
      <c r="M465" s="35" t="n">
        <v>0.5789147919662344</v>
      </c>
      <c r="N465" s="35" t="n">
        <v>0.5230719628765668</v>
      </c>
      <c r="O465" s="35" t="n">
        <v>0.04880952380952386</v>
      </c>
      <c r="P465" s="35" t="n">
        <v>0.08364083640836406</v>
      </c>
      <c r="Q465" s="35" t="n">
        <v>0.03282532239155911</v>
      </c>
      <c r="R465" s="35" t="n">
        <v>0.04352976014213805</v>
      </c>
      <c r="S465" s="35" t="n">
        <v>0.03107261981391529</v>
      </c>
      <c r="T465" s="35" t="n">
        <v>0.1190261974067213</v>
      </c>
      <c r="U465" s="30" t="n">
        <v>142000</v>
      </c>
      <c r="V465" s="30" t="n">
        <v>67500</v>
      </c>
      <c r="W465" s="35" t="n">
        <v>-0.3795774647887324</v>
      </c>
      <c r="X465" s="35" t="n">
        <v>0.3051851851851852</v>
      </c>
      <c r="Y465" s="30" t="n">
        <v>11179416</v>
      </c>
      <c r="Z465" s="30" t="n">
        <v>984906549600</v>
      </c>
      <c r="AA465" s="30" t="n">
        <v>3613597700</v>
      </c>
      <c r="AB465" s="30" t="n">
        <v>2488569240</v>
      </c>
      <c r="AC465" s="35" t="n">
        <v>0.003668975195126472</v>
      </c>
      <c r="AD465" s="24" t="inlineStr">
        <is>
          <t>yfinance_download</t>
        </is>
      </c>
      <c r="AE465" s="24" t="inlineStr">
        <is>
          <t>064760.KQ</t>
        </is>
      </c>
    </row>
    <row r="466" ht="24" customHeight="1">
      <c r="A466" s="29" t="inlineStr">
        <is>
          <t>2025-05-08</t>
        </is>
      </c>
      <c r="B466" s="31" t="n">
        <v>88000</v>
      </c>
      <c r="C466" s="31" t="n">
        <v>88900</v>
      </c>
      <c r="D466" s="31" t="n">
        <v>86600</v>
      </c>
      <c r="E466" s="31" t="n">
        <v>87000</v>
      </c>
      <c r="F466" s="31" t="n">
        <v>86159.7890625</v>
      </c>
      <c r="G466" s="31" t="n">
        <v>23636</v>
      </c>
      <c r="H466" s="36" t="n">
        <v>-0.01248581157775253</v>
      </c>
      <c r="I466" s="36" t="n">
        <v>-0.575816674792784</v>
      </c>
      <c r="J466" s="31" t="n">
        <v>84730</v>
      </c>
      <c r="K466" s="31" t="n">
        <v>85466.66666666667</v>
      </c>
      <c r="L466" s="31" t="n">
        <v>78747.5</v>
      </c>
      <c r="M466" s="36" t="n">
        <v>0.5628563254959883</v>
      </c>
      <c r="N466" s="36" t="n">
        <v>0.5123509968343872</v>
      </c>
      <c r="O466" s="36" t="n">
        <v>0.07540173053152044</v>
      </c>
      <c r="P466" s="36" t="n">
        <v>0.01516919486581103</v>
      </c>
      <c r="Q466" s="36" t="n">
        <v>0.02594339622641506</v>
      </c>
      <c r="R466" s="36" t="n">
        <v>0.02679098312286077</v>
      </c>
      <c r="S466" s="36" t="n">
        <v>0.01794071762870519</v>
      </c>
      <c r="T466" s="36" t="n">
        <v>0.1047969776818312</v>
      </c>
      <c r="U466" s="31" t="n">
        <v>142000</v>
      </c>
      <c r="V466" s="31" t="n">
        <v>67500</v>
      </c>
      <c r="W466" s="36" t="n">
        <v>-0.3873239436619719</v>
      </c>
      <c r="X466" s="36" t="n">
        <v>0.288888888888889</v>
      </c>
      <c r="Y466" s="31" t="n">
        <v>11179416</v>
      </c>
      <c r="Z466" s="31" t="n">
        <v>972609192000</v>
      </c>
      <c r="AA466" s="31" t="n">
        <v>2056332000</v>
      </c>
      <c r="AB466" s="31" t="n">
        <v>2438306860</v>
      </c>
      <c r="AC466" s="36" t="n">
        <v>0.002114242819124004</v>
      </c>
      <c r="AD466" s="29" t="inlineStr">
        <is>
          <t>yfinance_download</t>
        </is>
      </c>
      <c r="AE466" s="29" t="inlineStr">
        <is>
          <t>064760.KQ</t>
        </is>
      </c>
    </row>
    <row r="467" ht="24" customHeight="1">
      <c r="A467" s="24" t="inlineStr">
        <is>
          <t>2025-05-09</t>
        </is>
      </c>
      <c r="B467" s="30" t="n">
        <v>87000</v>
      </c>
      <c r="C467" s="30" t="n">
        <v>87400</v>
      </c>
      <c r="D467" s="30" t="n">
        <v>85200</v>
      </c>
      <c r="E467" s="30" t="n">
        <v>85800</v>
      </c>
      <c r="F467" s="30" t="n">
        <v>84971.3828125</v>
      </c>
      <c r="G467" s="30" t="n">
        <v>20027</v>
      </c>
      <c r="H467" s="35" t="n">
        <v>-0.01379310344827589</v>
      </c>
      <c r="I467" s="35" t="n">
        <v>-0.5816674792784008</v>
      </c>
      <c r="J467" s="30" t="n">
        <v>85040</v>
      </c>
      <c r="K467" s="30" t="n">
        <v>85473.33333333333</v>
      </c>
      <c r="L467" s="30" t="n">
        <v>78787.5</v>
      </c>
      <c r="M467" s="35" t="n">
        <v>0.5618251000229475</v>
      </c>
      <c r="N467" s="35" t="n">
        <v>0.5131494902619544</v>
      </c>
      <c r="O467" s="35" t="n">
        <v>0.07788944723618085</v>
      </c>
      <c r="P467" s="35" t="n">
        <v>0.004683840749414525</v>
      </c>
      <c r="Q467" s="35" t="n">
        <v>0.05925925925925934</v>
      </c>
      <c r="R467" s="35" t="n">
        <v>0.008936970837253089</v>
      </c>
      <c r="S467" s="35" t="n">
        <v>0.003821854769518795</v>
      </c>
      <c r="T467" s="35" t="n">
        <v>0.08900523560209428</v>
      </c>
      <c r="U467" s="30" t="n">
        <v>142000</v>
      </c>
      <c r="V467" s="30" t="n">
        <v>67500</v>
      </c>
      <c r="W467" s="35" t="n">
        <v>-0.395774647887324</v>
      </c>
      <c r="X467" s="35" t="n">
        <v>0.2711111111111111</v>
      </c>
      <c r="Y467" s="30" t="n">
        <v>11179416</v>
      </c>
      <c r="Z467" s="30" t="n">
        <v>959193892800</v>
      </c>
      <c r="AA467" s="30" t="n">
        <v>1718316600</v>
      </c>
      <c r="AB467" s="30" t="n">
        <v>2388448970</v>
      </c>
      <c r="AC467" s="35" t="n">
        <v>0.001791417369207837</v>
      </c>
      <c r="AD467" s="24" t="inlineStr">
        <is>
          <t>yfinance_download</t>
        </is>
      </c>
      <c r="AE467" s="24" t="inlineStr">
        <is>
          <t>064760.KQ</t>
        </is>
      </c>
    </row>
    <row r="468" ht="24" customHeight="1">
      <c r="A468" s="29" t="inlineStr">
        <is>
          <t>2025-05-12</t>
        </is>
      </c>
      <c r="B468" s="31" t="n">
        <v>87000</v>
      </c>
      <c r="C468" s="31" t="n">
        <v>94600</v>
      </c>
      <c r="D468" s="31" t="n">
        <v>86300</v>
      </c>
      <c r="E468" s="31" t="n">
        <v>94200</v>
      </c>
      <c r="F468" s="31" t="n">
        <v>93290.2578125</v>
      </c>
      <c r="G468" s="31" t="n">
        <v>78239</v>
      </c>
      <c r="H468" s="36" t="n">
        <v>0.09790209790209792</v>
      </c>
      <c r="I468" s="36" t="n">
        <v>-0.5407118478790833</v>
      </c>
      <c r="J468" s="31" t="n">
        <v>85850</v>
      </c>
      <c r="K468" s="31" t="n">
        <v>85643.33333333333</v>
      </c>
      <c r="L468" s="31" t="n">
        <v>78895</v>
      </c>
      <c r="M468" s="36" t="n">
        <v>0.6439022254865824</v>
      </c>
      <c r="N468" s="36" t="n">
        <v>0.5491958921932134</v>
      </c>
      <c r="O468" s="36" t="n">
        <v>0.2076923076923076</v>
      </c>
      <c r="P468" s="36" t="n">
        <v>0.1214285714285714</v>
      </c>
      <c r="Q468" s="36" t="n">
        <v>0.1586715867158672</v>
      </c>
      <c r="R468" s="36" t="n">
        <v>0.09726266744321488</v>
      </c>
      <c r="S468" s="36" t="n">
        <v>0.09991048145409254</v>
      </c>
      <c r="T468" s="36" t="n">
        <v>0.1939920147030865</v>
      </c>
      <c r="U468" s="31" t="n">
        <v>142000</v>
      </c>
      <c r="V468" s="31" t="n">
        <v>67500</v>
      </c>
      <c r="W468" s="36" t="n">
        <v>-0.3366197183098592</v>
      </c>
      <c r="X468" s="36" t="n">
        <v>0.3955555555555557</v>
      </c>
      <c r="Y468" s="31" t="n">
        <v>11179416</v>
      </c>
      <c r="Z468" s="31" t="n">
        <v>1053100987200</v>
      </c>
      <c r="AA468" s="31" t="n">
        <v>7370113800</v>
      </c>
      <c r="AB468" s="31" t="n">
        <v>2665994960</v>
      </c>
      <c r="AC468" s="36" t="n">
        <v>0.006998487219725968</v>
      </c>
      <c r="AD468" s="29" t="inlineStr">
        <is>
          <t>yfinance_download</t>
        </is>
      </c>
      <c r="AE468" s="29" t="inlineStr">
        <is>
          <t>064760.KQ</t>
        </is>
      </c>
    </row>
    <row r="469" ht="24" customHeight="1">
      <c r="A469" s="24" t="inlineStr">
        <is>
          <t>2025-05-13</t>
        </is>
      </c>
      <c r="B469" s="30" t="n">
        <v>96000</v>
      </c>
      <c r="C469" s="30" t="n">
        <v>96200</v>
      </c>
      <c r="D469" s="30" t="n">
        <v>92400</v>
      </c>
      <c r="E469" s="30" t="n">
        <v>94000</v>
      </c>
      <c r="F469" s="30" t="n">
        <v>93092.1875</v>
      </c>
      <c r="G469" s="30" t="n">
        <v>34353</v>
      </c>
      <c r="H469" s="35" t="n">
        <v>-0.002123142250530785</v>
      </c>
      <c r="I469" s="35" t="n">
        <v>-0.5416869819600195</v>
      </c>
      <c r="J469" s="30" t="n">
        <v>86285</v>
      </c>
      <c r="K469" s="30" t="n">
        <v>85826.66666666667</v>
      </c>
      <c r="L469" s="30" t="n">
        <v>79033.33333333333</v>
      </c>
      <c r="M469" s="35" t="n">
        <v>0.5642768320623283</v>
      </c>
      <c r="N469" s="35" t="n">
        <v>0.5484665386401277</v>
      </c>
      <c r="O469" s="35" t="n">
        <v>0.1019929660023446</v>
      </c>
      <c r="P469" s="35" t="n">
        <v>0.1325301204819278</v>
      </c>
      <c r="Q469" s="35" t="n">
        <v>0.2144702842377262</v>
      </c>
      <c r="R469" s="35" t="n">
        <v>0.08941299182940265</v>
      </c>
      <c r="S469" s="35" t="n">
        <v>0.0952306975299051</v>
      </c>
      <c r="T469" s="35" t="n">
        <v>0.1893715731758752</v>
      </c>
      <c r="U469" s="30" t="n">
        <v>142000</v>
      </c>
      <c r="V469" s="30" t="n">
        <v>67500</v>
      </c>
      <c r="W469" s="35" t="n">
        <v>-0.3380281690140845</v>
      </c>
      <c r="X469" s="35" t="n">
        <v>0.3925925925925926</v>
      </c>
      <c r="Y469" s="30" t="n">
        <v>11179416</v>
      </c>
      <c r="Z469" s="30" t="n">
        <v>1050865104000</v>
      </c>
      <c r="AA469" s="30" t="n">
        <v>3229182000</v>
      </c>
      <c r="AB469" s="30" t="n">
        <v>2624474180</v>
      </c>
      <c r="AC469" s="35" t="n">
        <v>0.003072879656683319</v>
      </c>
      <c r="AD469" s="24" t="inlineStr">
        <is>
          <t>yfinance_download</t>
        </is>
      </c>
      <c r="AE469" s="24" t="inlineStr">
        <is>
          <t>064760.KQ</t>
        </is>
      </c>
    </row>
    <row r="470" ht="24" customHeight="1">
      <c r="A470" s="29" t="inlineStr">
        <is>
          <t>2025-05-14</t>
        </is>
      </c>
      <c r="B470" s="31" t="n">
        <v>97000</v>
      </c>
      <c r="C470" s="31" t="n">
        <v>98500</v>
      </c>
      <c r="D470" s="31" t="n">
        <v>96100</v>
      </c>
      <c r="E470" s="31" t="n">
        <v>97100</v>
      </c>
      <c r="F470" s="31" t="n">
        <v>96162.25</v>
      </c>
      <c r="G470" s="31" t="n">
        <v>35866</v>
      </c>
      <c r="H470" s="36" t="n">
        <v>0.03297872340425534</v>
      </c>
      <c r="I470" s="36" t="n">
        <v>-0.5265724037055095</v>
      </c>
      <c r="J470" s="31" t="n">
        <v>87030</v>
      </c>
      <c r="K470" s="31" t="n">
        <v>85963.33333333333</v>
      </c>
      <c r="L470" s="31" t="n">
        <v>79218.33333333333</v>
      </c>
      <c r="M470" s="36" t="n">
        <v>0.5496437897858806</v>
      </c>
      <c r="N470" s="36" t="n">
        <v>0.5335142549804101</v>
      </c>
      <c r="O470" s="36" t="n">
        <v>0.1812652068126521</v>
      </c>
      <c r="P470" s="36" t="n">
        <v>0.092238470191226</v>
      </c>
      <c r="Q470" s="36" t="n">
        <v>0.2963951935914553</v>
      </c>
      <c r="R470" s="36" t="n">
        <v>0.115707227392853</v>
      </c>
      <c r="S470" s="36" t="n">
        <v>0.129551359106596</v>
      </c>
      <c r="T470" s="36" t="n">
        <v>0.2257263680545329</v>
      </c>
      <c r="U470" s="31" t="n">
        <v>142000</v>
      </c>
      <c r="V470" s="31" t="n">
        <v>67500</v>
      </c>
      <c r="W470" s="36" t="n">
        <v>-0.3161971830985916</v>
      </c>
      <c r="X470" s="36" t="n">
        <v>0.4385185185185185</v>
      </c>
      <c r="Y470" s="31" t="n">
        <v>11179416</v>
      </c>
      <c r="Z470" s="31" t="n">
        <v>1085521293600</v>
      </c>
      <c r="AA470" s="31" t="n">
        <v>3482588600</v>
      </c>
      <c r="AB470" s="31" t="n">
        <v>2624553330</v>
      </c>
      <c r="AC470" s="36" t="n">
        <v>0.003208217674340055</v>
      </c>
      <c r="AD470" s="29" t="inlineStr">
        <is>
          <t>yfinance_download</t>
        </is>
      </c>
      <c r="AE470" s="29" t="inlineStr">
        <is>
          <t>064760.KQ</t>
        </is>
      </c>
    </row>
    <row r="471" ht="24" customHeight="1">
      <c r="A471" s="24" t="inlineStr">
        <is>
          <t>2025-05-15</t>
        </is>
      </c>
      <c r="B471" s="30" t="n">
        <v>95300</v>
      </c>
      <c r="C471" s="30" t="n">
        <v>96900</v>
      </c>
      <c r="D471" s="30" t="n">
        <v>94600</v>
      </c>
      <c r="E471" s="30" t="n">
        <v>95400</v>
      </c>
      <c r="F471" s="30" t="n">
        <v>94478.671875</v>
      </c>
      <c r="G471" s="30" t="n">
        <v>48491</v>
      </c>
      <c r="H471" s="35" t="n">
        <v>-0.01750772399588052</v>
      </c>
      <c r="I471" s="35" t="n">
        <v>-0.5348610433934666</v>
      </c>
      <c r="J471" s="30" t="n">
        <v>87580</v>
      </c>
      <c r="K471" s="30" t="n">
        <v>86085</v>
      </c>
      <c r="L471" s="30" t="n">
        <v>79394.16666666667</v>
      </c>
      <c r="M471" s="35" t="n">
        <v>0.5530312298829055</v>
      </c>
      <c r="N471" s="35" t="n">
        <v>0.5345484017104086</v>
      </c>
      <c r="O471" s="35" t="n">
        <v>0.1303317535545023</v>
      </c>
      <c r="P471" s="35" t="n">
        <v>0.08286038592508516</v>
      </c>
      <c r="Q471" s="35" t="n">
        <v>0.2839838492597577</v>
      </c>
      <c r="R471" s="35" t="n">
        <v>0.08928979218999777</v>
      </c>
      <c r="S471" s="35" t="n">
        <v>0.1082070047046524</v>
      </c>
      <c r="T471" s="35" t="n">
        <v>0.2015996137415637</v>
      </c>
      <c r="U471" s="30" t="n">
        <v>142000</v>
      </c>
      <c r="V471" s="30" t="n">
        <v>67500</v>
      </c>
      <c r="W471" s="35" t="n">
        <v>-0.328169014084507</v>
      </c>
      <c r="X471" s="35" t="n">
        <v>0.4133333333333333</v>
      </c>
      <c r="Y471" s="30" t="n">
        <v>11179416</v>
      </c>
      <c r="Z471" s="30" t="n">
        <v>1066516286400</v>
      </c>
      <c r="AA471" s="30" t="n">
        <v>4626041400</v>
      </c>
      <c r="AB471" s="30" t="n">
        <v>2723545740</v>
      </c>
      <c r="AC471" s="35" t="n">
        <v>0.004337525323326371</v>
      </c>
      <c r="AD471" s="24" t="inlineStr">
        <is>
          <t>yfinance_download</t>
        </is>
      </c>
      <c r="AE471" s="24" t="inlineStr">
        <is>
          <t>064760.KQ</t>
        </is>
      </c>
    </row>
    <row r="472" ht="24" customHeight="1">
      <c r="A472" s="29" t="inlineStr">
        <is>
          <t>2025-05-16</t>
        </is>
      </c>
      <c r="B472" s="31" t="n">
        <v>95400</v>
      </c>
      <c r="C472" s="31" t="n">
        <v>95400</v>
      </c>
      <c r="D472" s="31" t="n">
        <v>90300</v>
      </c>
      <c r="E472" s="31" t="n">
        <v>91300</v>
      </c>
      <c r="F472" s="31" t="n">
        <v>90418.265625</v>
      </c>
      <c r="G472" s="31" t="n">
        <v>43334</v>
      </c>
      <c r="H472" s="36" t="n">
        <v>-0.04297693920335433</v>
      </c>
      <c r="I472" s="36" t="n">
        <v>-0.5548512920526573</v>
      </c>
      <c r="J472" s="31" t="n">
        <v>87855</v>
      </c>
      <c r="K472" s="31" t="n">
        <v>86155</v>
      </c>
      <c r="L472" s="31" t="n">
        <v>79555.83333333333</v>
      </c>
      <c r="M472" s="36" t="n">
        <v>0.5787295995231515</v>
      </c>
      <c r="N472" s="36" t="n">
        <v>0.5417703778021243</v>
      </c>
      <c r="O472" s="36" t="n">
        <v>0.0641025641025641</v>
      </c>
      <c r="P472" s="36" t="n">
        <v>0.04822043628013772</v>
      </c>
      <c r="Q472" s="36" t="n">
        <v>0.2698191933240612</v>
      </c>
      <c r="R472" s="36" t="n">
        <v>0.03921233851232153</v>
      </c>
      <c r="S472" s="36" t="n">
        <v>0.05971795020602411</v>
      </c>
      <c r="T472" s="36" t="n">
        <v>0.1476216912650445</v>
      </c>
      <c r="U472" s="31" t="n">
        <v>142000</v>
      </c>
      <c r="V472" s="31" t="n">
        <v>67500</v>
      </c>
      <c r="W472" s="36" t="n">
        <v>-0.3570422535211267</v>
      </c>
      <c r="X472" s="36" t="n">
        <v>0.3525925925925926</v>
      </c>
      <c r="Y472" s="31" t="n">
        <v>11179416</v>
      </c>
      <c r="Z472" s="31" t="n">
        <v>1020680680800</v>
      </c>
      <c r="AA472" s="31" t="n">
        <v>3956394200</v>
      </c>
      <c r="AB472" s="31" t="n">
        <v>2851168180</v>
      </c>
      <c r="AC472" s="36" t="n">
        <v>0.003876231101875089</v>
      </c>
      <c r="AD472" s="29" t="inlineStr">
        <is>
          <t>yfinance_download</t>
        </is>
      </c>
      <c r="AE472" s="29" t="inlineStr">
        <is>
          <t>064760.KQ</t>
        </is>
      </c>
    </row>
    <row r="473" ht="24" customHeight="1">
      <c r="A473" s="24" t="inlineStr">
        <is>
          <t>2025-05-19</t>
        </is>
      </c>
      <c r="B473" s="30" t="n">
        <v>90400</v>
      </c>
      <c r="C473" s="30" t="n">
        <v>90700</v>
      </c>
      <c r="D473" s="30" t="n">
        <v>88400</v>
      </c>
      <c r="E473" s="30" t="n">
        <v>90300</v>
      </c>
      <c r="F473" s="30" t="n">
        <v>89427.921875</v>
      </c>
      <c r="G473" s="30" t="n">
        <v>23034</v>
      </c>
      <c r="H473" s="35" t="n">
        <v>-0.01095290251916758</v>
      </c>
      <c r="I473" s="35" t="n">
        <v>-0.5597269624573379</v>
      </c>
      <c r="J473" s="30" t="n">
        <v>88260</v>
      </c>
      <c r="K473" s="30" t="n">
        <v>86210</v>
      </c>
      <c r="L473" s="30" t="n">
        <v>79705</v>
      </c>
      <c r="M473" s="35" t="n">
        <v>0.5562998024541503</v>
      </c>
      <c r="N473" s="35" t="n">
        <v>0.5423354065641584</v>
      </c>
      <c r="O473" s="35" t="n">
        <v>0.0985401459854014</v>
      </c>
      <c r="P473" s="35" t="n">
        <v>0.03793103448275859</v>
      </c>
      <c r="Q473" s="35" t="n">
        <v>0.2472375690607735</v>
      </c>
      <c r="R473" s="35" t="n">
        <v>0.02311352821210066</v>
      </c>
      <c r="S473" s="35" t="n">
        <v>0.04744229207748529</v>
      </c>
      <c r="T473" s="35" t="n">
        <v>0.1329276707860234</v>
      </c>
      <c r="U473" s="30" t="n">
        <v>142000</v>
      </c>
      <c r="V473" s="30" t="n">
        <v>67500</v>
      </c>
      <c r="W473" s="35" t="n">
        <v>-0.3640845070422535</v>
      </c>
      <c r="X473" s="35" t="n">
        <v>0.3377777777777777</v>
      </c>
      <c r="Y473" s="30" t="n">
        <v>11179416</v>
      </c>
      <c r="Z473" s="30" t="n">
        <v>1009501264800</v>
      </c>
      <c r="AA473" s="30" t="n">
        <v>2079970200</v>
      </c>
      <c r="AB473" s="30" t="n">
        <v>2844389860</v>
      </c>
      <c r="AC473" s="35" t="n">
        <v>0.002060393852415905</v>
      </c>
      <c r="AD473" s="24" t="inlineStr">
        <is>
          <t>yfinance_download</t>
        </is>
      </c>
      <c r="AE473" s="24" t="inlineStr">
        <is>
          <t>064760.KQ</t>
        </is>
      </c>
    </row>
    <row r="474" ht="24" customHeight="1">
      <c r="A474" s="29" t="inlineStr">
        <is>
          <t>2025-05-20</t>
        </is>
      </c>
      <c r="B474" s="31" t="n">
        <v>90300</v>
      </c>
      <c r="C474" s="31" t="n">
        <v>91700</v>
      </c>
      <c r="D474" s="31" t="n">
        <v>88700</v>
      </c>
      <c r="E474" s="31" t="n">
        <v>89900</v>
      </c>
      <c r="F474" s="31" t="n">
        <v>89031.7890625</v>
      </c>
      <c r="G474" s="31" t="n">
        <v>19796</v>
      </c>
      <c r="H474" s="36" t="n">
        <v>-0.004429678848283491</v>
      </c>
      <c r="I474" s="36" t="n">
        <v>-0.5616772306192102</v>
      </c>
      <c r="J474" s="31" t="n">
        <v>88585</v>
      </c>
      <c r="K474" s="31" t="n">
        <v>86246.66666666667</v>
      </c>
      <c r="L474" s="31" t="n">
        <v>79854.16666666667</v>
      </c>
      <c r="M474" s="36" t="n">
        <v>0.5561699845486922</v>
      </c>
      <c r="N474" s="36" t="n">
        <v>0.5422635962178737</v>
      </c>
      <c r="O474" s="36" t="n">
        <v>0.07793764988009588</v>
      </c>
      <c r="P474" s="36" t="n">
        <v>0.02508551881413901</v>
      </c>
      <c r="Q474" s="36" t="n">
        <v>0.2486111111111111</v>
      </c>
      <c r="R474" s="36" t="n">
        <v>0.01484449963312073</v>
      </c>
      <c r="S474" s="36" t="n">
        <v>0.04235912499033767</v>
      </c>
      <c r="T474" s="36" t="n">
        <v>0.1258022436733628</v>
      </c>
      <c r="U474" s="31" t="n">
        <v>142000</v>
      </c>
      <c r="V474" s="31" t="n">
        <v>67500</v>
      </c>
      <c r="W474" s="36" t="n">
        <v>-0.3669014084507042</v>
      </c>
      <c r="X474" s="36" t="n">
        <v>0.3318518518518518</v>
      </c>
      <c r="Y474" s="31" t="n">
        <v>11179416</v>
      </c>
      <c r="Z474" s="31" t="n">
        <v>1005029498400</v>
      </c>
      <c r="AA474" s="31" t="n">
        <v>1779660400</v>
      </c>
      <c r="AB474" s="31" t="n">
        <v>2861636370</v>
      </c>
      <c r="AC474" s="36" t="n">
        <v>0.001770754393610543</v>
      </c>
      <c r="AD474" s="29" t="inlineStr">
        <is>
          <t>yfinance_download</t>
        </is>
      </c>
      <c r="AE474" s="29" t="inlineStr">
        <is>
          <t>064760.KQ</t>
        </is>
      </c>
    </row>
    <row r="475" ht="24" customHeight="1">
      <c r="A475" s="24" t="inlineStr">
        <is>
          <t>2025-05-21</t>
        </is>
      </c>
      <c r="B475" s="30" t="n">
        <v>89900</v>
      </c>
      <c r="C475" s="30" t="n">
        <v>90200</v>
      </c>
      <c r="D475" s="30" t="n">
        <v>88500</v>
      </c>
      <c r="E475" s="30" t="n">
        <v>89800</v>
      </c>
      <c r="F475" s="30" t="n">
        <v>88932.75</v>
      </c>
      <c r="G475" s="30" t="n">
        <v>23026</v>
      </c>
      <c r="H475" s="35" t="n">
        <v>-0.00111234705228036</v>
      </c>
      <c r="I475" s="35" t="n">
        <v>-0.5621647976596782</v>
      </c>
      <c r="J475" s="30" t="n">
        <v>88925</v>
      </c>
      <c r="K475" s="30" t="n">
        <v>86293.33333333333</v>
      </c>
      <c r="L475" s="30" t="n">
        <v>80020.83333333333</v>
      </c>
      <c r="M475" s="35" t="n">
        <v>0.5555222512035396</v>
      </c>
      <c r="N475" s="35" t="n">
        <v>0.54196171921737</v>
      </c>
      <c r="O475" s="35" t="n">
        <v>0.08192771084337358</v>
      </c>
      <c r="P475" s="35" t="n">
        <v>0.03218390804597693</v>
      </c>
      <c r="Q475" s="35" t="n">
        <v>0.2865329512893984</v>
      </c>
      <c r="R475" s="35" t="n">
        <v>0.009839752600506069</v>
      </c>
      <c r="S475" s="35" t="n">
        <v>0.04063658838071693</v>
      </c>
      <c r="T475" s="35" t="n">
        <v>0.1222077583962511</v>
      </c>
      <c r="U475" s="30" t="n">
        <v>142000</v>
      </c>
      <c r="V475" s="30" t="n">
        <v>67500</v>
      </c>
      <c r="W475" s="35" t="n">
        <v>-0.3676056338028169</v>
      </c>
      <c r="X475" s="35" t="n">
        <v>0.3303703703703704</v>
      </c>
      <c r="Y475" s="30" t="n">
        <v>11179416</v>
      </c>
      <c r="Z475" s="30" t="n">
        <v>1003911556800</v>
      </c>
      <c r="AA475" s="30" t="n">
        <v>2067734800</v>
      </c>
      <c r="AB475" s="30" t="n">
        <v>2904150910</v>
      </c>
      <c r="AC475" s="35" t="n">
        <v>0.002059678251529418</v>
      </c>
      <c r="AD475" s="24" t="inlineStr">
        <is>
          <t>yfinance_download</t>
        </is>
      </c>
      <c r="AE475" s="24" t="inlineStr">
        <is>
          <t>064760.KQ</t>
        </is>
      </c>
    </row>
    <row r="476" ht="24" customHeight="1">
      <c r="A476" s="29" t="inlineStr">
        <is>
          <t>2025-05-22</t>
        </is>
      </c>
      <c r="B476" s="31" t="n">
        <v>90300</v>
      </c>
      <c r="C476" s="31" t="n">
        <v>90300</v>
      </c>
      <c r="D476" s="31" t="n">
        <v>84300</v>
      </c>
      <c r="E476" s="31" t="n">
        <v>85000</v>
      </c>
      <c r="F476" s="31" t="n">
        <v>84179.109375</v>
      </c>
      <c r="G476" s="31" t="n">
        <v>39893</v>
      </c>
      <c r="H476" s="36" t="n">
        <v>-0.05345211581291764</v>
      </c>
      <c r="I476" s="36" t="n">
        <v>-0.5855680156021452</v>
      </c>
      <c r="J476" s="31" t="n">
        <v>88970</v>
      </c>
      <c r="K476" s="31" t="n">
        <v>86280</v>
      </c>
      <c r="L476" s="31" t="n">
        <v>80140.83333333333</v>
      </c>
      <c r="M476" s="36" t="n">
        <v>0.590926128848232</v>
      </c>
      <c r="N476" s="36" t="n">
        <v>0.5526027700429427</v>
      </c>
      <c r="O476" s="36" t="n">
        <v>0.01070154577883464</v>
      </c>
      <c r="P476" s="36" t="n">
        <v>-0.009324009324009341</v>
      </c>
      <c r="Q476" s="36" t="n">
        <v>0.2039660056657224</v>
      </c>
      <c r="R476" s="36" t="n">
        <v>-0.04462178262335614</v>
      </c>
      <c r="S476" s="36" t="n">
        <v>-0.01483541956420953</v>
      </c>
      <c r="T476" s="36" t="n">
        <v>0.06063284426374405</v>
      </c>
      <c r="U476" s="31" t="n">
        <v>142000</v>
      </c>
      <c r="V476" s="31" t="n">
        <v>67500</v>
      </c>
      <c r="W476" s="36" t="n">
        <v>-0.4014084507042254</v>
      </c>
      <c r="X476" s="36" t="n">
        <v>0.2592592592592593</v>
      </c>
      <c r="Y476" s="31" t="n">
        <v>11179416</v>
      </c>
      <c r="Z476" s="31" t="n">
        <v>950250360000</v>
      </c>
      <c r="AA476" s="31" t="n">
        <v>3390905000</v>
      </c>
      <c r="AB476" s="31" t="n">
        <v>2992905495</v>
      </c>
      <c r="AC476" s="36" t="n">
        <v>0.003568433270575135</v>
      </c>
      <c r="AD476" s="29" t="inlineStr">
        <is>
          <t>yfinance_download</t>
        </is>
      </c>
      <c r="AE476" s="29" t="inlineStr">
        <is>
          <t>064760.KQ</t>
        </is>
      </c>
    </row>
    <row r="477" ht="24" customHeight="1">
      <c r="A477" s="24" t="inlineStr">
        <is>
          <t>2025-05-23</t>
        </is>
      </c>
      <c r="B477" s="30" t="n">
        <v>86200</v>
      </c>
      <c r="C477" s="30" t="n">
        <v>86700</v>
      </c>
      <c r="D477" s="30" t="n">
        <v>84800</v>
      </c>
      <c r="E477" s="30" t="n">
        <v>85300</v>
      </c>
      <c r="F477" s="30" t="n">
        <v>84476.2109375</v>
      </c>
      <c r="G477" s="30" t="n">
        <v>14294</v>
      </c>
      <c r="H477" s="35" t="n">
        <v>0.003529411764705781</v>
      </c>
      <c r="I477" s="35" t="n">
        <v>-0.5841053144807411</v>
      </c>
      <c r="J477" s="30" t="n">
        <v>89120</v>
      </c>
      <c r="K477" s="30" t="n">
        <v>86226.66666666667</v>
      </c>
      <c r="L477" s="30" t="n">
        <v>80266.66666666667</v>
      </c>
      <c r="M477" s="35" t="n">
        <v>0.5848898166899564</v>
      </c>
      <c r="N477" s="35" t="n">
        <v>0.5488530914061571</v>
      </c>
      <c r="O477" s="35" t="n">
        <v>0.03645200486026723</v>
      </c>
      <c r="P477" s="35" t="n">
        <v>-0.0361581920903955</v>
      </c>
      <c r="Q477" s="35" t="n">
        <v>0.2150997150997151</v>
      </c>
      <c r="R477" s="35" t="n">
        <v>-0.04286355475763015</v>
      </c>
      <c r="S477" s="35" t="n">
        <v>-0.01074686871810737</v>
      </c>
      <c r="T477" s="35" t="n">
        <v>0.06270764119601324</v>
      </c>
      <c r="U477" s="30" t="n">
        <v>142000</v>
      </c>
      <c r="V477" s="30" t="n">
        <v>67500</v>
      </c>
      <c r="W477" s="35" t="n">
        <v>-0.3992957746478873</v>
      </c>
      <c r="X477" s="35" t="n">
        <v>0.2637037037037038</v>
      </c>
      <c r="Y477" s="30" t="n">
        <v>11179416</v>
      </c>
      <c r="Z477" s="30" t="n">
        <v>953604184800</v>
      </c>
      <c r="AA477" s="30" t="n">
        <v>1219278200</v>
      </c>
      <c r="AB477" s="30" t="n">
        <v>2978009380</v>
      </c>
      <c r="AC477" s="35" t="n">
        <v>0.001278599883929536</v>
      </c>
      <c r="AD477" s="24" t="inlineStr">
        <is>
          <t>yfinance_download</t>
        </is>
      </c>
      <c r="AE477" s="24" t="inlineStr">
        <is>
          <t>064760.KQ</t>
        </is>
      </c>
    </row>
    <row r="478" ht="24" customHeight="1">
      <c r="A478" s="29" t="inlineStr">
        <is>
          <t>2025-05-26</t>
        </is>
      </c>
      <c r="B478" s="31" t="n">
        <v>85300</v>
      </c>
      <c r="C478" s="31" t="n">
        <v>87800</v>
      </c>
      <c r="D478" s="31" t="n">
        <v>84500</v>
      </c>
      <c r="E478" s="31" t="n">
        <v>86300</v>
      </c>
      <c r="F478" s="31" t="n">
        <v>85466.5546875</v>
      </c>
      <c r="G478" s="31" t="n">
        <v>15399</v>
      </c>
      <c r="H478" s="36" t="n">
        <v>0.01172332942555676</v>
      </c>
      <c r="I478" s="36" t="n">
        <v>-0.5792296440760605</v>
      </c>
      <c r="J478" s="31" t="n">
        <v>88990</v>
      </c>
      <c r="K478" s="31" t="n">
        <v>86246.66666666667</v>
      </c>
      <c r="L478" s="31" t="n">
        <v>80390</v>
      </c>
      <c r="M478" s="36" t="n">
        <v>0.5098084636602898</v>
      </c>
      <c r="N478" s="36" t="n">
        <v>0.543470624175155</v>
      </c>
      <c r="O478" s="36" t="n">
        <v>-0.02924634420697414</v>
      </c>
      <c r="P478" s="36" t="n">
        <v>0.01410105757931834</v>
      </c>
      <c r="Q478" s="36" t="n">
        <v>0.206993006993007</v>
      </c>
      <c r="R478" s="36" t="n">
        <v>-0.03022811551859761</v>
      </c>
      <c r="S478" s="36" t="n">
        <v>0.0006183813867202126</v>
      </c>
      <c r="T478" s="36" t="n">
        <v>0.07351660654310233</v>
      </c>
      <c r="U478" s="31" t="n">
        <v>142000</v>
      </c>
      <c r="V478" s="31" t="n">
        <v>67500</v>
      </c>
      <c r="W478" s="36" t="n">
        <v>-0.3922535211267606</v>
      </c>
      <c r="X478" s="36" t="n">
        <v>0.2785185185185186</v>
      </c>
      <c r="Y478" s="31" t="n">
        <v>11179416</v>
      </c>
      <c r="Z478" s="31" t="n">
        <v>964783600800</v>
      </c>
      <c r="AA478" s="31" t="n">
        <v>1328933700</v>
      </c>
      <c r="AB478" s="31" t="n">
        <v>2817907750</v>
      </c>
      <c r="AC478" s="36" t="n">
        <v>0.001377442256375467</v>
      </c>
      <c r="AD478" s="29" t="inlineStr">
        <is>
          <t>yfinance_download</t>
        </is>
      </c>
      <c r="AE478" s="29" t="inlineStr">
        <is>
          <t>064760.KQ</t>
        </is>
      </c>
    </row>
    <row r="479" ht="24" customHeight="1">
      <c r="A479" s="24" t="inlineStr">
        <is>
          <t>2025-05-27</t>
        </is>
      </c>
      <c r="B479" s="30" t="n">
        <v>85600</v>
      </c>
      <c r="C479" s="30" t="n">
        <v>88300</v>
      </c>
      <c r="D479" s="30" t="n">
        <v>84900</v>
      </c>
      <c r="E479" s="30" t="n">
        <v>87100</v>
      </c>
      <c r="F479" s="30" t="n">
        <v>86258.828125</v>
      </c>
      <c r="G479" s="30" t="n">
        <v>25517</v>
      </c>
      <c r="H479" s="35" t="n">
        <v>0.009269988412514474</v>
      </c>
      <c r="I479" s="35" t="n">
        <v>-0.5753291077523159</v>
      </c>
      <c r="J479" s="30" t="n">
        <v>88980</v>
      </c>
      <c r="K479" s="30" t="n">
        <v>86288.33333333333</v>
      </c>
      <c r="L479" s="30" t="n">
        <v>80515.83333333333</v>
      </c>
      <c r="M479" s="35" t="n">
        <v>0.5069342683471739</v>
      </c>
      <c r="N479" s="35" t="n">
        <v>0.5435627639384345</v>
      </c>
      <c r="O479" s="35" t="n">
        <v>-0.002290950744558984</v>
      </c>
      <c r="P479" s="35" t="n">
        <v>0.02955082742316795</v>
      </c>
      <c r="Q479" s="35" t="n">
        <v>0.2097222222222221</v>
      </c>
      <c r="R479" s="35" t="n">
        <v>-0.02112834344796588</v>
      </c>
      <c r="S479" s="35" t="n">
        <v>0.009406447376045568</v>
      </c>
      <c r="T479" s="35" t="n">
        <v>0.08177480619753874</v>
      </c>
      <c r="U479" s="30" t="n">
        <v>142000</v>
      </c>
      <c r="V479" s="30" t="n">
        <v>67500</v>
      </c>
      <c r="W479" s="35" t="n">
        <v>-0.3866197183098592</v>
      </c>
      <c r="X479" s="35" t="n">
        <v>0.2903703703703704</v>
      </c>
      <c r="Y479" s="30" t="n">
        <v>11179416</v>
      </c>
      <c r="Z479" s="30" t="n">
        <v>973727133600</v>
      </c>
      <c r="AA479" s="30" t="n">
        <v>2222530700</v>
      </c>
      <c r="AB479" s="30" t="n">
        <v>2789127305</v>
      </c>
      <c r="AC479" s="35" t="n">
        <v>0.002282498477559114</v>
      </c>
      <c r="AD479" s="24" t="inlineStr">
        <is>
          <t>yfinance_download</t>
        </is>
      </c>
      <c r="AE479" s="24" t="inlineStr">
        <is>
          <t>064760.KQ</t>
        </is>
      </c>
    </row>
    <row r="480" ht="24" customHeight="1">
      <c r="A480" s="29" t="inlineStr">
        <is>
          <t>2025-05-28</t>
        </is>
      </c>
      <c r="B480" s="31" t="n">
        <v>87500</v>
      </c>
      <c r="C480" s="31" t="n">
        <v>89000</v>
      </c>
      <c r="D480" s="31" t="n">
        <v>86800</v>
      </c>
      <c r="E480" s="31" t="n">
        <v>87300</v>
      </c>
      <c r="F480" s="31" t="n">
        <v>86456.8984375</v>
      </c>
      <c r="G480" s="31" t="n">
        <v>38386</v>
      </c>
      <c r="H480" s="36" t="n">
        <v>0.002296211251435087</v>
      </c>
      <c r="I480" s="36" t="n">
        <v>-0.5743539736713799</v>
      </c>
      <c r="J480" s="31" t="n">
        <v>88880</v>
      </c>
      <c r="K480" s="31" t="n">
        <v>86340</v>
      </c>
      <c r="L480" s="31" t="n">
        <v>80643.33333333333</v>
      </c>
      <c r="M480" s="36" t="n">
        <v>0.5000051447130786</v>
      </c>
      <c r="N480" s="36" t="n">
        <v>0.543434483901034</v>
      </c>
      <c r="O480" s="36" t="n">
        <v>-0.02239641657334823</v>
      </c>
      <c r="P480" s="36" t="n">
        <v>0.03681710213776723</v>
      </c>
      <c r="Q480" s="36" t="n">
        <v>0.2124999999999999</v>
      </c>
      <c r="R480" s="36" t="n">
        <v>-0.01777677767776775</v>
      </c>
      <c r="S480" s="36" t="n">
        <v>0.01111883252258505</v>
      </c>
      <c r="T480" s="36" t="n">
        <v>0.0825445376761873</v>
      </c>
      <c r="U480" s="31" t="n">
        <v>142000</v>
      </c>
      <c r="V480" s="31" t="n">
        <v>67500</v>
      </c>
      <c r="W480" s="36" t="n">
        <v>-0.3852112676056338</v>
      </c>
      <c r="X480" s="36" t="n">
        <v>0.2933333333333332</v>
      </c>
      <c r="Y480" s="31" t="n">
        <v>11179416</v>
      </c>
      <c r="Z480" s="31" t="n">
        <v>975963016800</v>
      </c>
      <c r="AA480" s="31" t="n">
        <v>3351097800</v>
      </c>
      <c r="AB480" s="31" t="n">
        <v>2798089860</v>
      </c>
      <c r="AC480" s="36" t="n">
        <v>0.003433631953583264</v>
      </c>
      <c r="AD480" s="29" t="inlineStr">
        <is>
          <t>yfinance_download</t>
        </is>
      </c>
      <c r="AE480" s="29" t="inlineStr">
        <is>
          <t>064760.KQ</t>
        </is>
      </c>
    </row>
    <row r="481" ht="24" customHeight="1">
      <c r="A481" s="24" t="inlineStr">
        <is>
          <t>2025-05-29</t>
        </is>
      </c>
      <c r="B481" s="30" t="n">
        <v>88900</v>
      </c>
      <c r="C481" s="30" t="n">
        <v>91600</v>
      </c>
      <c r="D481" s="30" t="n">
        <v>88200</v>
      </c>
      <c r="E481" s="30" t="n">
        <v>91500</v>
      </c>
      <c r="F481" s="30" t="n">
        <v>90616.3359375</v>
      </c>
      <c r="G481" s="30" t="n">
        <v>40210</v>
      </c>
      <c r="H481" s="35" t="n">
        <v>0.04810996563573888</v>
      </c>
      <c r="I481" s="35" t="n">
        <v>-0.5538761579717211</v>
      </c>
      <c r="J481" s="30" t="n">
        <v>89110</v>
      </c>
      <c r="K481" s="30" t="n">
        <v>86528.33333333333</v>
      </c>
      <c r="L481" s="30" t="n">
        <v>80819.16666666667</v>
      </c>
      <c r="M481" s="35" t="n">
        <v>0.5183944193539566</v>
      </c>
      <c r="N481" s="35" t="n">
        <v>0.542184658854897</v>
      </c>
      <c r="O481" s="35" t="n">
        <v>0.05293440736478705</v>
      </c>
      <c r="P481" s="35" t="n">
        <v>0.1408977556109725</v>
      </c>
      <c r="Q481" s="35" t="n">
        <v>0.2997159090909092</v>
      </c>
      <c r="R481" s="35" t="n">
        <v>0.02682078330153748</v>
      </c>
      <c r="S481" s="35" t="n">
        <v>0.05745709497852358</v>
      </c>
      <c r="T481" s="35" t="n">
        <v>0.1321571821865688</v>
      </c>
      <c r="U481" s="30" t="n">
        <v>142000</v>
      </c>
      <c r="V481" s="30" t="n">
        <v>67500</v>
      </c>
      <c r="W481" s="35" t="n">
        <v>-0.3556338028169014</v>
      </c>
      <c r="X481" s="35" t="n">
        <v>0.3555555555555556</v>
      </c>
      <c r="Y481" s="30" t="n">
        <v>11179416</v>
      </c>
      <c r="Z481" s="30" t="n">
        <v>1022916564000</v>
      </c>
      <c r="AA481" s="30" t="n">
        <v>3679215000</v>
      </c>
      <c r="AB481" s="30" t="n">
        <v>2823158305</v>
      </c>
      <c r="AC481" s="35" t="n">
        <v>0.003596788955702159</v>
      </c>
      <c r="AD481" s="24" t="inlineStr">
        <is>
          <t>yfinance_download</t>
        </is>
      </c>
      <c r="AE481" s="24" t="inlineStr">
        <is>
          <t>064760.KQ</t>
        </is>
      </c>
    </row>
    <row r="482" ht="24" customHeight="1">
      <c r="A482" s="29" t="inlineStr">
        <is>
          <t>2025-05-30</t>
        </is>
      </c>
      <c r="B482" s="31" t="n">
        <v>89700</v>
      </c>
      <c r="C482" s="31" t="n">
        <v>91200</v>
      </c>
      <c r="D482" s="31" t="n">
        <v>87600</v>
      </c>
      <c r="E482" s="31" t="n">
        <v>87600</v>
      </c>
      <c r="F482" s="31" t="n">
        <v>86754</v>
      </c>
      <c r="G482" s="31" t="n">
        <v>32283</v>
      </c>
      <c r="H482" s="36" t="n">
        <v>-0.04262295081967216</v>
      </c>
      <c r="I482" s="36" t="n">
        <v>-0.5728912725499756</v>
      </c>
      <c r="J482" s="31" t="n">
        <v>89175</v>
      </c>
      <c r="K482" s="31" t="n">
        <v>86630</v>
      </c>
      <c r="L482" s="31" t="n">
        <v>80968.33333333333</v>
      </c>
      <c r="M482" s="36" t="n">
        <v>0.5424618431479058</v>
      </c>
      <c r="N482" s="36" t="n">
        <v>0.5493106485698119</v>
      </c>
      <c r="O482" s="36" t="n">
        <v>0.0150637311703361</v>
      </c>
      <c r="P482" s="36" t="n">
        <v>0.07484662576687118</v>
      </c>
      <c r="Q482" s="36" t="n">
        <v>0.2568149210903874</v>
      </c>
      <c r="R482" s="36" t="n">
        <v>-0.01766190075693863</v>
      </c>
      <c r="S482" s="36" t="n">
        <v>0.01119704490361317</v>
      </c>
      <c r="T482" s="36" t="n">
        <v>0.08190444824108201</v>
      </c>
      <c r="U482" s="31" t="n">
        <v>142000</v>
      </c>
      <c r="V482" s="31" t="n">
        <v>67500</v>
      </c>
      <c r="W482" s="36" t="n">
        <v>-0.3830985915492958</v>
      </c>
      <c r="X482" s="36" t="n">
        <v>0.2977777777777777</v>
      </c>
      <c r="Y482" s="31" t="n">
        <v>11179416</v>
      </c>
      <c r="Z482" s="31" t="n">
        <v>979316841600</v>
      </c>
      <c r="AA482" s="31" t="n">
        <v>2827990800</v>
      </c>
      <c r="AB482" s="31" t="n">
        <v>2878659140</v>
      </c>
      <c r="AC482" s="36" t="n">
        <v>0.002887717927304968</v>
      </c>
      <c r="AD482" s="29" t="inlineStr">
        <is>
          <t>yfinance_download</t>
        </is>
      </c>
      <c r="AE482" s="29" t="inlineStr">
        <is>
          <t>064760.KQ</t>
        </is>
      </c>
    </row>
    <row r="483" ht="24" customHeight="1">
      <c r="A483" s="24" t="inlineStr">
        <is>
          <t>2025-06-02</t>
        </is>
      </c>
      <c r="B483" s="30" t="n">
        <v>87500</v>
      </c>
      <c r="C483" s="30" t="n">
        <v>90100</v>
      </c>
      <c r="D483" s="30" t="n">
        <v>87200</v>
      </c>
      <c r="E483" s="30" t="n">
        <v>89200</v>
      </c>
      <c r="F483" s="30" t="n">
        <v>88338.546875</v>
      </c>
      <c r="G483" s="30" t="n">
        <v>19450</v>
      </c>
      <c r="H483" s="35" t="n">
        <v>0.0182648401826484</v>
      </c>
      <c r="I483" s="35" t="n">
        <v>-0.5650901999024867</v>
      </c>
      <c r="J483" s="30" t="n">
        <v>89350</v>
      </c>
      <c r="K483" s="30" t="n">
        <v>86756.66666666667</v>
      </c>
      <c r="L483" s="30" t="n">
        <v>81130.83333333333</v>
      </c>
      <c r="M483" s="35" t="n">
        <v>0.5447598648378481</v>
      </c>
      <c r="N483" s="35" t="n">
        <v>0.5503462469328343</v>
      </c>
      <c r="O483" s="35" t="n">
        <v>0.04084014002333713</v>
      </c>
      <c r="P483" s="35" t="n">
        <v>0.09313725490196068</v>
      </c>
      <c r="Q483" s="35" t="n">
        <v>0.2797704447632712</v>
      </c>
      <c r="R483" s="35" t="n">
        <v>-0.001678791270285362</v>
      </c>
      <c r="S483" s="35" t="n">
        <v>0.02816306143620073</v>
      </c>
      <c r="T483" s="35" t="n">
        <v>0.09945869326293955</v>
      </c>
      <c r="U483" s="30" t="n">
        <v>142000</v>
      </c>
      <c r="V483" s="30" t="n">
        <v>67500</v>
      </c>
      <c r="W483" s="35" t="n">
        <v>-0.3718309859154929</v>
      </c>
      <c r="X483" s="35" t="n">
        <v>0.3214814814814815</v>
      </c>
      <c r="Y483" s="30" t="n">
        <v>11179416</v>
      </c>
      <c r="Z483" s="30" t="n">
        <v>997203907200</v>
      </c>
      <c r="AA483" s="30" t="n">
        <v>1734940000</v>
      </c>
      <c r="AB483" s="30" t="n">
        <v>2882247145</v>
      </c>
      <c r="AC483" s="35" t="n">
        <v>0.001739804655270007</v>
      </c>
      <c r="AD483" s="24" t="inlineStr">
        <is>
          <t>yfinance_download</t>
        </is>
      </c>
      <c r="AE483" s="24" t="inlineStr">
        <is>
          <t>064760.KQ</t>
        </is>
      </c>
    </row>
    <row r="484" ht="24" customHeight="1">
      <c r="A484" s="29" t="inlineStr">
        <is>
          <t>2025-06-04</t>
        </is>
      </c>
      <c r="B484" s="31" t="n">
        <v>91000</v>
      </c>
      <c r="C484" s="31" t="n">
        <v>95100</v>
      </c>
      <c r="D484" s="31" t="n">
        <v>90400</v>
      </c>
      <c r="E484" s="31" t="n">
        <v>94500</v>
      </c>
      <c r="F484" s="31" t="n">
        <v>93587.359375</v>
      </c>
      <c r="G484" s="31" t="n">
        <v>60316</v>
      </c>
      <c r="H484" s="36" t="n">
        <v>0.0594170403587444</v>
      </c>
      <c r="I484" s="36" t="n">
        <v>-0.5392491467576792</v>
      </c>
      <c r="J484" s="31" t="n">
        <v>89835</v>
      </c>
      <c r="K484" s="31" t="n">
        <v>87003.33333333333</v>
      </c>
      <c r="L484" s="31" t="n">
        <v>81345</v>
      </c>
      <c r="M484" s="36" t="n">
        <v>0.578057370463597</v>
      </c>
      <c r="N484" s="36" t="n">
        <v>0.5600889588590994</v>
      </c>
      <c r="O484" s="36" t="n">
        <v>0.1143867924528301</v>
      </c>
      <c r="P484" s="36" t="n">
        <v>0.1856963613550815</v>
      </c>
      <c r="Q484" s="36" t="n">
        <v>0.3735465116279071</v>
      </c>
      <c r="R484" s="36" t="n">
        <v>0.05192853564868916</v>
      </c>
      <c r="S484" s="36" t="n">
        <v>0.08616528102371568</v>
      </c>
      <c r="T484" s="36" t="n">
        <v>0.161718605937673</v>
      </c>
      <c r="U484" s="31" t="n">
        <v>142000</v>
      </c>
      <c r="V484" s="31" t="n">
        <v>67500</v>
      </c>
      <c r="W484" s="36" t="n">
        <v>-0.3345070422535211</v>
      </c>
      <c r="X484" s="36" t="n">
        <v>0.3999999999999999</v>
      </c>
      <c r="Y484" s="31" t="n">
        <v>11179416</v>
      </c>
      <c r="Z484" s="31" t="n">
        <v>1056454812000</v>
      </c>
      <c r="AA484" s="31" t="n">
        <v>5699862000</v>
      </c>
      <c r="AB484" s="31" t="n">
        <v>3071734245</v>
      </c>
      <c r="AC484" s="36" t="n">
        <v>0.005395272883664049</v>
      </c>
      <c r="AD484" s="29" t="inlineStr">
        <is>
          <t>yfinance_download</t>
        </is>
      </c>
      <c r="AE484" s="29" t="inlineStr">
        <is>
          <t>064760.KQ</t>
        </is>
      </c>
    </row>
    <row r="485" ht="24" customHeight="1">
      <c r="A485" s="24" t="inlineStr">
        <is>
          <t>2025-06-05</t>
        </is>
      </c>
      <c r="B485" s="30" t="n">
        <v>95400</v>
      </c>
      <c r="C485" s="30" t="n">
        <v>97800</v>
      </c>
      <c r="D485" s="30" t="n">
        <v>90400</v>
      </c>
      <c r="E485" s="30" t="n">
        <v>95500</v>
      </c>
      <c r="F485" s="30" t="n">
        <v>94577.703125</v>
      </c>
      <c r="G485" s="30" t="n">
        <v>39363</v>
      </c>
      <c r="H485" s="35" t="n">
        <v>0.01058201058201069</v>
      </c>
      <c r="I485" s="35" t="n">
        <v>-0.5343734763529986</v>
      </c>
      <c r="J485" s="30" t="n">
        <v>90205</v>
      </c>
      <c r="K485" s="30" t="n">
        <v>87241.66666666667</v>
      </c>
      <c r="L485" s="30" t="n">
        <v>81564.16666666667</v>
      </c>
      <c r="M485" s="35" t="n">
        <v>0.5652988329246078</v>
      </c>
      <c r="N485" s="35" t="n">
        <v>0.5593767962609683</v>
      </c>
      <c r="O485" s="35" t="n">
        <v>0.08399545970488087</v>
      </c>
      <c r="P485" s="35" t="n">
        <v>0.1761083743842364</v>
      </c>
      <c r="Q485" s="35" t="n">
        <v>0.3800578034682081</v>
      </c>
      <c r="R485" s="35" t="n">
        <v>0.05869962862369049</v>
      </c>
      <c r="S485" s="35" t="n">
        <v>0.09466042601967706</v>
      </c>
      <c r="T485" s="35" t="n">
        <v>0.1708573004893896</v>
      </c>
      <c r="U485" s="30" t="n">
        <v>142000</v>
      </c>
      <c r="V485" s="30" t="n">
        <v>67500</v>
      </c>
      <c r="W485" s="35" t="n">
        <v>-0.3274647887323944</v>
      </c>
      <c r="X485" s="35" t="n">
        <v>0.4148148148148147</v>
      </c>
      <c r="Y485" s="30" t="n">
        <v>11179416</v>
      </c>
      <c r="Z485" s="30" t="n">
        <v>1067634228000</v>
      </c>
      <c r="AA485" s="30" t="n">
        <v>3759166500</v>
      </c>
      <c r="AB485" s="30" t="n">
        <v>3079012685</v>
      </c>
      <c r="AC485" s="35" t="n">
        <v>0.003521024711845413</v>
      </c>
      <c r="AD485" s="24" t="inlineStr">
        <is>
          <t>yfinance_download</t>
        </is>
      </c>
      <c r="AE485" s="24" t="inlineStr">
        <is>
          <t>064760.KQ</t>
        </is>
      </c>
    </row>
    <row r="486" ht="24" customHeight="1">
      <c r="A486" s="29" t="inlineStr">
        <is>
          <t>2025-06-09</t>
        </is>
      </c>
      <c r="B486" s="31" t="n">
        <v>96900</v>
      </c>
      <c r="C486" s="31" t="n">
        <v>97900</v>
      </c>
      <c r="D486" s="31" t="n">
        <v>93500</v>
      </c>
      <c r="E486" s="31" t="n">
        <v>94400</v>
      </c>
      <c r="F486" s="31" t="n">
        <v>93488.328125</v>
      </c>
      <c r="G486" s="31" t="n">
        <v>23747</v>
      </c>
      <c r="H486" s="36" t="n">
        <v>-0.01151832460732982</v>
      </c>
      <c r="I486" s="36" t="n">
        <v>-0.5397367137981472</v>
      </c>
      <c r="J486" s="31" t="n">
        <v>90575</v>
      </c>
      <c r="K486" s="31" t="n">
        <v>87428.33333333333</v>
      </c>
      <c r="L486" s="31" t="n">
        <v>81777.5</v>
      </c>
      <c r="M486" s="36" t="n">
        <v>0.5649206005543653</v>
      </c>
      <c r="N486" s="36" t="n">
        <v>0.5583952729633845</v>
      </c>
      <c r="O486" s="36" t="n">
        <v>0.08505747126436791</v>
      </c>
      <c r="P486" s="36" t="n">
        <v>0.1346153846153846</v>
      </c>
      <c r="Q486" s="36" t="n">
        <v>0.3720930232558139</v>
      </c>
      <c r="R486" s="36" t="n">
        <v>0.04223019597019051</v>
      </c>
      <c r="S486" s="36" t="n">
        <v>0.07974150256400492</v>
      </c>
      <c r="T486" s="36" t="n">
        <v>0.1543517471187061</v>
      </c>
      <c r="U486" s="31" t="n">
        <v>142000</v>
      </c>
      <c r="V486" s="31" t="n">
        <v>67500</v>
      </c>
      <c r="W486" s="36" t="n">
        <v>-0.3352112676056338</v>
      </c>
      <c r="X486" s="36" t="n">
        <v>0.3985185185185185</v>
      </c>
      <c r="Y486" s="31" t="n">
        <v>11179416</v>
      </c>
      <c r="Z486" s="31" t="n">
        <v>1055336870400</v>
      </c>
      <c r="AA486" s="31" t="n">
        <v>2241716800</v>
      </c>
      <c r="AB486" s="31" t="n">
        <v>3088281925</v>
      </c>
      <c r="AC486" s="36" t="n">
        <v>0.002124171781424003</v>
      </c>
      <c r="AD486" s="29" t="inlineStr">
        <is>
          <t>yfinance_download</t>
        </is>
      </c>
      <c r="AE486" s="29" t="inlineStr">
        <is>
          <t>064760.KQ</t>
        </is>
      </c>
    </row>
    <row r="487" ht="24" customHeight="1">
      <c r="A487" s="24" t="inlineStr">
        <is>
          <t>2025-06-10</t>
        </is>
      </c>
      <c r="B487" s="30" t="n">
        <v>94800</v>
      </c>
      <c r="C487" s="30" t="n">
        <v>95400</v>
      </c>
      <c r="D487" s="30" t="n">
        <v>93300</v>
      </c>
      <c r="E487" s="30" t="n">
        <v>94500</v>
      </c>
      <c r="F487" s="30" t="n">
        <v>93587.359375</v>
      </c>
      <c r="G487" s="30" t="n">
        <v>22889</v>
      </c>
      <c r="H487" s="35" t="n">
        <v>0.001059322033898358</v>
      </c>
      <c r="I487" s="35" t="n">
        <v>-0.5392491467576792</v>
      </c>
      <c r="J487" s="30" t="n">
        <v>91010</v>
      </c>
      <c r="K487" s="30" t="n">
        <v>87636.66666666667</v>
      </c>
      <c r="L487" s="30" t="n">
        <v>81990</v>
      </c>
      <c r="M487" s="35" t="n">
        <v>0.5609251714723713</v>
      </c>
      <c r="N487" s="35" t="n">
        <v>0.5572675665837925</v>
      </c>
      <c r="O487" s="35" t="n">
        <v>0.1013986013986015</v>
      </c>
      <c r="P487" s="35" t="n">
        <v>0.1524390243902438</v>
      </c>
      <c r="Q487" s="35" t="n">
        <v>0.3695652173913044</v>
      </c>
      <c r="R487" s="35" t="n">
        <v>0.0383474343478738</v>
      </c>
      <c r="S487" s="35" t="n">
        <v>0.07831577345859797</v>
      </c>
      <c r="T487" s="35" t="n">
        <v>0.1525795828759604</v>
      </c>
      <c r="U487" s="30" t="n">
        <v>142000</v>
      </c>
      <c r="V487" s="30" t="n">
        <v>67500</v>
      </c>
      <c r="W487" s="35" t="n">
        <v>-0.3345070422535211</v>
      </c>
      <c r="X487" s="35" t="n">
        <v>0.3999999999999999</v>
      </c>
      <c r="Y487" s="30" t="n">
        <v>11179416</v>
      </c>
      <c r="Z487" s="30" t="n">
        <v>1056454812000</v>
      </c>
      <c r="AA487" s="30" t="n">
        <v>2163010500</v>
      </c>
      <c r="AB487" s="30" t="n">
        <v>3110516620</v>
      </c>
      <c r="AC487" s="35" t="n">
        <v>0.002047423586348339</v>
      </c>
      <c r="AD487" s="24" t="inlineStr">
        <is>
          <t>yfinance_download</t>
        </is>
      </c>
      <c r="AE487" s="24" t="inlineStr">
        <is>
          <t>064760.KQ</t>
        </is>
      </c>
    </row>
    <row r="488" ht="24" customHeight="1">
      <c r="A488" s="29" t="inlineStr">
        <is>
          <t>2025-06-11</t>
        </is>
      </c>
      <c r="B488" s="31" t="n">
        <v>94000</v>
      </c>
      <c r="C488" s="31" t="n">
        <v>102400</v>
      </c>
      <c r="D488" s="31" t="n">
        <v>93800</v>
      </c>
      <c r="E488" s="31" t="n">
        <v>101900</v>
      </c>
      <c r="F488" s="31" t="n">
        <v>100915.890625</v>
      </c>
      <c r="G488" s="31" t="n">
        <v>76159</v>
      </c>
      <c r="H488" s="36" t="n">
        <v>0.07830687830687832</v>
      </c>
      <c r="I488" s="36" t="n">
        <v>-0.5031691857630425</v>
      </c>
      <c r="J488" s="31" t="n">
        <v>91395</v>
      </c>
      <c r="K488" s="31" t="n">
        <v>87870</v>
      </c>
      <c r="L488" s="31" t="n">
        <v>82262.5</v>
      </c>
      <c r="M488" s="36" t="n">
        <v>0.5209653389198785</v>
      </c>
      <c r="N488" s="36" t="n">
        <v>0.5607695562009399</v>
      </c>
      <c r="O488" s="36" t="n">
        <v>0.08174097664543534</v>
      </c>
      <c r="P488" s="36" t="n">
        <v>0.1592718998862344</v>
      </c>
      <c r="Q488" s="36" t="n">
        <v>0.472543352601156</v>
      </c>
      <c r="R488" s="36" t="n">
        <v>0.1149406422670824</v>
      </c>
      <c r="S488" s="36" t="n">
        <v>0.1596676909070218</v>
      </c>
      <c r="T488" s="36" t="n">
        <v>0.2387175201337184</v>
      </c>
      <c r="U488" s="31" t="n">
        <v>142000</v>
      </c>
      <c r="V488" s="31" t="n">
        <v>67500</v>
      </c>
      <c r="W488" s="36" t="n">
        <v>-0.2823943661971831</v>
      </c>
      <c r="X488" s="36" t="n">
        <v>0.5096296296296297</v>
      </c>
      <c r="Y488" s="31" t="n">
        <v>11179416</v>
      </c>
      <c r="Z488" s="31" t="n">
        <v>1139182490400</v>
      </c>
      <c r="AA488" s="31" t="n">
        <v>7760602100</v>
      </c>
      <c r="AB488" s="31" t="n">
        <v>3130041035</v>
      </c>
      <c r="AC488" s="36" t="n">
        <v>0.006812430989239509</v>
      </c>
      <c r="AD488" s="29" t="inlineStr">
        <is>
          <t>yfinance_download</t>
        </is>
      </c>
      <c r="AE488" s="29" t="inlineStr">
        <is>
          <t>064760.KQ</t>
        </is>
      </c>
    </row>
    <row r="489" ht="24" customHeight="1">
      <c r="A489" s="24" t="inlineStr">
        <is>
          <t>2025-06-12</t>
        </is>
      </c>
      <c r="B489" s="30" t="n">
        <v>101700</v>
      </c>
      <c r="C489" s="30" t="n">
        <v>101700</v>
      </c>
      <c r="D489" s="30" t="n">
        <v>97500</v>
      </c>
      <c r="E489" s="30" t="n">
        <v>98800</v>
      </c>
      <c r="F489" s="30" t="n">
        <v>97845.8359375</v>
      </c>
      <c r="G489" s="30" t="n">
        <v>65262</v>
      </c>
      <c r="H489" s="35" t="n">
        <v>-0.03042198233562321</v>
      </c>
      <c r="I489" s="35" t="n">
        <v>-0.5182837640175524</v>
      </c>
      <c r="J489" s="30" t="n">
        <v>91635</v>
      </c>
      <c r="K489" s="30" t="n">
        <v>88070</v>
      </c>
      <c r="L489" s="30" t="n">
        <v>82523.33333333333</v>
      </c>
      <c r="M489" s="35" t="n">
        <v>0.5351855256042519</v>
      </c>
      <c r="N489" s="35" t="n">
        <v>0.5640857721331297</v>
      </c>
      <c r="O489" s="35" t="n">
        <v>0.05106382978723412</v>
      </c>
      <c r="P489" s="35" t="n">
        <v>0.1382488479262673</v>
      </c>
      <c r="Q489" s="35" t="n">
        <v>0.4637037037037037</v>
      </c>
      <c r="R489" s="35" t="n">
        <v>0.07819064767828876</v>
      </c>
      <c r="S489" s="35" t="n">
        <v>0.1218349040535938</v>
      </c>
      <c r="T489" s="35" t="n">
        <v>0.1972371450498849</v>
      </c>
      <c r="U489" s="30" t="n">
        <v>142000</v>
      </c>
      <c r="V489" s="30" t="n">
        <v>67500</v>
      </c>
      <c r="W489" s="35" t="n">
        <v>-0.3042253521126761</v>
      </c>
      <c r="X489" s="35" t="n">
        <v>0.4637037037037037</v>
      </c>
      <c r="Y489" s="30" t="n">
        <v>11179416</v>
      </c>
      <c r="Z489" s="30" t="n">
        <v>1104526300800</v>
      </c>
      <c r="AA489" s="30" t="n">
        <v>6447885600</v>
      </c>
      <c r="AB489" s="30" t="n">
        <v>3290976215</v>
      </c>
      <c r="AC489" s="35" t="n">
        <v>0.005837693131734252</v>
      </c>
      <c r="AD489" s="24" t="inlineStr">
        <is>
          <t>yfinance_download</t>
        </is>
      </c>
      <c r="AE489" s="24" t="inlineStr">
        <is>
          <t>064760.KQ</t>
        </is>
      </c>
    </row>
    <row r="490" ht="24" customHeight="1">
      <c r="A490" s="29" t="inlineStr">
        <is>
          <t>2025-06-13</t>
        </is>
      </c>
      <c r="B490" s="31" t="n">
        <v>98400</v>
      </c>
      <c r="C490" s="31" t="n">
        <v>101000</v>
      </c>
      <c r="D490" s="31" t="n">
        <v>94400</v>
      </c>
      <c r="E490" s="31" t="n">
        <v>99900</v>
      </c>
      <c r="F490" s="31" t="n">
        <v>98935.2109375</v>
      </c>
      <c r="G490" s="31" t="n">
        <v>105670</v>
      </c>
      <c r="H490" s="36" t="n">
        <v>0.01113360323886647</v>
      </c>
      <c r="I490" s="36" t="n">
        <v>-0.5129205265724037</v>
      </c>
      <c r="J490" s="31" t="n">
        <v>91775</v>
      </c>
      <c r="K490" s="31" t="n">
        <v>88215</v>
      </c>
      <c r="L490" s="31" t="n">
        <v>82792.5</v>
      </c>
      <c r="M490" s="36" t="n">
        <v>0.5244810022530757</v>
      </c>
      <c r="N490" s="36" t="n">
        <v>0.5554914393377678</v>
      </c>
      <c r="O490" s="36" t="n">
        <v>0.02883625128733258</v>
      </c>
      <c r="P490" s="36" t="n">
        <v>0.09539473684210531</v>
      </c>
      <c r="Q490" s="36" t="n">
        <v>0.4778106508875739</v>
      </c>
      <c r="R490" s="36" t="n">
        <v>0.0885317352220103</v>
      </c>
      <c r="S490" s="36" t="n">
        <v>0.1324604659071587</v>
      </c>
      <c r="T490" s="36" t="n">
        <v>0.206631035419875</v>
      </c>
      <c r="U490" s="31" t="n">
        <v>142000</v>
      </c>
      <c r="V490" s="31" t="n">
        <v>67500</v>
      </c>
      <c r="W490" s="36" t="n">
        <v>-0.2964788732394367</v>
      </c>
      <c r="X490" s="36" t="n">
        <v>0.48</v>
      </c>
      <c r="Y490" s="31" t="n">
        <v>11179416</v>
      </c>
      <c r="Z490" s="31" t="n">
        <v>1116823658400</v>
      </c>
      <c r="AA490" s="31" t="n">
        <v>10556433000</v>
      </c>
      <c r="AB490" s="31" t="n">
        <v>3644668435</v>
      </c>
      <c r="AC490" s="36" t="n">
        <v>0.009452193209376947</v>
      </c>
      <c r="AD490" s="29" t="inlineStr">
        <is>
          <t>yfinance_download</t>
        </is>
      </c>
      <c r="AE490" s="29" t="inlineStr">
        <is>
          <t>064760.KQ</t>
        </is>
      </c>
    </row>
    <row r="491" ht="24" customHeight="1">
      <c r="A491" s="24" t="inlineStr">
        <is>
          <t>2025-06-16</t>
        </is>
      </c>
      <c r="B491" s="30" t="n">
        <v>102000</v>
      </c>
      <c r="C491" s="30" t="n">
        <v>102200</v>
      </c>
      <c r="D491" s="30" t="n">
        <v>98900</v>
      </c>
      <c r="E491" s="30" t="n">
        <v>101100</v>
      </c>
      <c r="F491" s="30" t="n">
        <v>100123.6171875</v>
      </c>
      <c r="G491" s="30" t="n">
        <v>32508</v>
      </c>
      <c r="H491" s="35" t="n">
        <v>0.01201201201201196</v>
      </c>
      <c r="I491" s="35" t="n">
        <v>-0.5070697220867869</v>
      </c>
      <c r="J491" s="30" t="n">
        <v>92060</v>
      </c>
      <c r="K491" s="30" t="n">
        <v>88376.66666666667</v>
      </c>
      <c r="L491" s="30" t="n">
        <v>83042.5</v>
      </c>
      <c r="M491" s="35" t="n">
        <v>0.5204186958932185</v>
      </c>
      <c r="N491" s="35" t="n">
        <v>0.5558622012186011</v>
      </c>
      <c r="O491" s="35" t="n">
        <v>0.05974842767295607</v>
      </c>
      <c r="P491" s="35" t="n">
        <v>0.1061269146608315</v>
      </c>
      <c r="Q491" s="35" t="n">
        <v>0.4219409282700421</v>
      </c>
      <c r="R491" s="35" t="n">
        <v>0.09819682815555075</v>
      </c>
      <c r="S491" s="35" t="n">
        <v>0.1439671104741069</v>
      </c>
      <c r="T491" s="35" t="n">
        <v>0.217448896649306</v>
      </c>
      <c r="U491" s="30" t="n">
        <v>142000</v>
      </c>
      <c r="V491" s="30" t="n">
        <v>67500</v>
      </c>
      <c r="W491" s="35" t="n">
        <v>-0.2880281690140845</v>
      </c>
      <c r="X491" s="35" t="n">
        <v>0.4977777777777779</v>
      </c>
      <c r="Y491" s="30" t="n">
        <v>11179416</v>
      </c>
      <c r="Z491" s="30" t="n">
        <v>1130238957600</v>
      </c>
      <c r="AA491" s="30" t="n">
        <v>3286558800</v>
      </c>
      <c r="AB491" s="30" t="n">
        <v>3577694305</v>
      </c>
      <c r="AC491" s="35" t="n">
        <v>0.002907844202237398</v>
      </c>
      <c r="AD491" s="24" t="inlineStr">
        <is>
          <t>yfinance_download</t>
        </is>
      </c>
      <c r="AE491" s="24" t="inlineStr">
        <is>
          <t>064760.KQ</t>
        </is>
      </c>
    </row>
    <row r="492" ht="24" customHeight="1">
      <c r="A492" s="29" t="inlineStr">
        <is>
          <t>2025-06-17</t>
        </is>
      </c>
      <c r="B492" s="31" t="n">
        <v>100100</v>
      </c>
      <c r="C492" s="31" t="n">
        <v>104300</v>
      </c>
      <c r="D492" s="31" t="n">
        <v>97000</v>
      </c>
      <c r="E492" s="31" t="n">
        <v>99000</v>
      </c>
      <c r="F492" s="31" t="n">
        <v>98043.8984375</v>
      </c>
      <c r="G492" s="31" t="n">
        <v>47056</v>
      </c>
      <c r="H492" s="36" t="n">
        <v>-0.02077151335311578</v>
      </c>
      <c r="I492" s="36" t="n">
        <v>-0.5173086299366163</v>
      </c>
      <c r="J492" s="31" t="n">
        <v>92445</v>
      </c>
      <c r="K492" s="31" t="n">
        <v>88518.33333333333</v>
      </c>
      <c r="L492" s="31" t="n">
        <v>83279.16666666667</v>
      </c>
      <c r="M492" s="36" t="n">
        <v>0.4997246389476702</v>
      </c>
      <c r="N492" s="36" t="n">
        <v>0.5573284486107163</v>
      </c>
      <c r="O492" s="36" t="n">
        <v>0.0843373493975903</v>
      </c>
      <c r="P492" s="36" t="n">
        <v>0.09392265193370175</v>
      </c>
      <c r="Q492" s="36" t="n">
        <v>0.4022662889518414</v>
      </c>
      <c r="R492" s="36" t="n">
        <v>0.07090702579912378</v>
      </c>
      <c r="S492" s="36" t="n">
        <v>0.1184123816158611</v>
      </c>
      <c r="T492" s="36" t="n">
        <v>0.1887727022564667</v>
      </c>
      <c r="U492" s="31" t="n">
        <v>142000</v>
      </c>
      <c r="V492" s="31" t="n">
        <v>67500</v>
      </c>
      <c r="W492" s="36" t="n">
        <v>-0.3028169014084507</v>
      </c>
      <c r="X492" s="36" t="n">
        <v>0.4666666666666666</v>
      </c>
      <c r="Y492" s="31" t="n">
        <v>11179416</v>
      </c>
      <c r="Z492" s="31" t="n">
        <v>1106762184000</v>
      </c>
      <c r="AA492" s="31" t="n">
        <v>4658544000</v>
      </c>
      <c r="AB492" s="31" t="n">
        <v>3612801795</v>
      </c>
      <c r="AC492" s="36" t="n">
        <v>0.004209164414312876</v>
      </c>
      <c r="AD492" s="29" t="inlineStr">
        <is>
          <t>yfinance_download</t>
        </is>
      </c>
      <c r="AE492" s="29" t="inlineStr">
        <is>
          <t>064760.KQ</t>
        </is>
      </c>
    </row>
    <row r="493" ht="24" customHeight="1">
      <c r="A493" s="24" t="inlineStr">
        <is>
          <t>2025-06-18</t>
        </is>
      </c>
      <c r="B493" s="30" t="n">
        <v>98100</v>
      </c>
      <c r="C493" s="30" t="n">
        <v>101700</v>
      </c>
      <c r="D493" s="30" t="n">
        <v>98100</v>
      </c>
      <c r="E493" s="30" t="n">
        <v>100900</v>
      </c>
      <c r="F493" s="30" t="n">
        <v>99925.5546875</v>
      </c>
      <c r="G493" s="30" t="n">
        <v>28332</v>
      </c>
      <c r="H493" s="35" t="n">
        <v>0.0191919191919192</v>
      </c>
      <c r="I493" s="35" t="n">
        <v>-0.5080448561677231</v>
      </c>
      <c r="J493" s="30" t="n">
        <v>92975</v>
      </c>
      <c r="K493" s="30" t="n">
        <v>88675</v>
      </c>
      <c r="L493" s="30" t="n">
        <v>83531.66666666667</v>
      </c>
      <c r="M493" s="35" t="n">
        <v>0.4987994981057597</v>
      </c>
      <c r="N493" s="35" t="n">
        <v>0.5581367553916367</v>
      </c>
      <c r="O493" s="35" t="n">
        <v>0.1173864894795127</v>
      </c>
      <c r="P493" s="35" t="n">
        <v>0.1027322404371585</v>
      </c>
      <c r="Q493" s="35" t="n">
        <v>0.4291784702549575</v>
      </c>
      <c r="R493" s="35" t="n">
        <v>0.0852379671954826</v>
      </c>
      <c r="S493" s="35" t="n">
        <v>0.1378629828023683</v>
      </c>
      <c r="T493" s="35" t="n">
        <v>0.2079251381711527</v>
      </c>
      <c r="U493" s="30" t="n">
        <v>142000</v>
      </c>
      <c r="V493" s="30" t="n">
        <v>67500</v>
      </c>
      <c r="W493" s="35" t="n">
        <v>-0.2894366197183098</v>
      </c>
      <c r="X493" s="35" t="n">
        <v>0.4948148148148148</v>
      </c>
      <c r="Y493" s="30" t="n">
        <v>11179416</v>
      </c>
      <c r="Z493" s="30" t="n">
        <v>1128003074400</v>
      </c>
      <c r="AA493" s="30" t="n">
        <v>2858698800</v>
      </c>
      <c r="AB493" s="30" t="n">
        <v>3651738225</v>
      </c>
      <c r="AC493" s="35" t="n">
        <v>0.002534300539491509</v>
      </c>
      <c r="AD493" s="24" t="inlineStr">
        <is>
          <t>yfinance_download</t>
        </is>
      </c>
      <c r="AE493" s="24" t="inlineStr">
        <is>
          <t>064760.KQ</t>
        </is>
      </c>
    </row>
    <row r="494" ht="24" customHeight="1">
      <c r="A494" s="29" t="inlineStr">
        <is>
          <t>2025-06-19</t>
        </is>
      </c>
      <c r="B494" s="31" t="n">
        <v>101300</v>
      </c>
      <c r="C494" s="31" t="n">
        <v>101400</v>
      </c>
      <c r="D494" s="31" t="n">
        <v>99600</v>
      </c>
      <c r="E494" s="31" t="n">
        <v>100200</v>
      </c>
      <c r="F494" s="31" t="n">
        <v>99232.3125</v>
      </c>
      <c r="G494" s="31" t="n">
        <v>17340</v>
      </c>
      <c r="H494" s="36" t="n">
        <v>-0.006937561942517378</v>
      </c>
      <c r="I494" s="36" t="n">
        <v>-0.5114578254509995</v>
      </c>
      <c r="J494" s="31" t="n">
        <v>93490</v>
      </c>
      <c r="K494" s="31" t="n">
        <v>88811.66666666667</v>
      </c>
      <c r="L494" s="31" t="n">
        <v>83769.16666666667</v>
      </c>
      <c r="M494" s="36" t="n">
        <v>0.499575728094725</v>
      </c>
      <c r="N494" s="36" t="n">
        <v>0.5584079984959699</v>
      </c>
      <c r="O494" s="36" t="n">
        <v>0.1145717463848721</v>
      </c>
      <c r="P494" s="36" t="n">
        <v>0.08913043478260874</v>
      </c>
      <c r="Q494" s="36" t="n">
        <v>0.397489539748954</v>
      </c>
      <c r="R494" s="36" t="n">
        <v>0.071772382072949</v>
      </c>
      <c r="S494" s="36" t="n">
        <v>0.1282301499427627</v>
      </c>
      <c r="T494" s="36" t="n">
        <v>0.1961441660117584</v>
      </c>
      <c r="U494" s="31" t="n">
        <v>142000</v>
      </c>
      <c r="V494" s="31" t="n">
        <v>67500</v>
      </c>
      <c r="W494" s="36" t="n">
        <v>-0.2943661971830986</v>
      </c>
      <c r="X494" s="36" t="n">
        <v>0.4844444444444445</v>
      </c>
      <c r="Y494" s="31" t="n">
        <v>11179416</v>
      </c>
      <c r="Z494" s="31" t="n">
        <v>1120177483200</v>
      </c>
      <c r="AA494" s="31" t="n">
        <v>1737468000</v>
      </c>
      <c r="AB494" s="31" t="n">
        <v>3649628605</v>
      </c>
      <c r="AC494" s="36" t="n">
        <v>0.001551064921459225</v>
      </c>
      <c r="AD494" s="29" t="inlineStr">
        <is>
          <t>yfinance_download</t>
        </is>
      </c>
      <c r="AE494" s="29" t="inlineStr">
        <is>
          <t>064760.KQ</t>
        </is>
      </c>
    </row>
    <row r="495" ht="24" customHeight="1">
      <c r="A495" s="24" t="inlineStr">
        <is>
          <t>2025-06-20</t>
        </is>
      </c>
      <c r="B495" s="30" t="n">
        <v>99900</v>
      </c>
      <c r="C495" s="30" t="n">
        <v>102800</v>
      </c>
      <c r="D495" s="30" t="n">
        <v>98600</v>
      </c>
      <c r="E495" s="30" t="n">
        <v>101800</v>
      </c>
      <c r="F495" s="30" t="n">
        <v>100816.859375</v>
      </c>
      <c r="G495" s="30" t="n">
        <v>48853</v>
      </c>
      <c r="H495" s="35" t="n">
        <v>0.01596806387225547</v>
      </c>
      <c r="I495" s="35" t="n">
        <v>-0.5036567528035105</v>
      </c>
      <c r="J495" s="30" t="n">
        <v>94090</v>
      </c>
      <c r="K495" s="30" t="n">
        <v>88996.66666666667</v>
      </c>
      <c r="L495" s="30" t="n">
        <v>84017.5</v>
      </c>
      <c r="M495" s="35" t="n">
        <v>0.5000733221396215</v>
      </c>
      <c r="N495" s="35" t="n">
        <v>0.5580969364039708</v>
      </c>
      <c r="O495" s="35" t="n">
        <v>0.1336302895322941</v>
      </c>
      <c r="P495" s="35" t="n">
        <v>0.1223814773980154</v>
      </c>
      <c r="Q495" s="35" t="n">
        <v>0.413888888888889</v>
      </c>
      <c r="R495" s="35" t="n">
        <v>0.08194282070358172</v>
      </c>
      <c r="S495" s="35" t="n">
        <v>0.1438630660324356</v>
      </c>
      <c r="T495" s="35" t="n">
        <v>0.2116523343351087</v>
      </c>
      <c r="U495" s="30" t="n">
        <v>142000</v>
      </c>
      <c r="V495" s="30" t="n">
        <v>67500</v>
      </c>
      <c r="W495" s="35" t="n">
        <v>-0.2830985915492957</v>
      </c>
      <c r="X495" s="35" t="n">
        <v>0.5081481481481482</v>
      </c>
      <c r="Y495" s="30" t="n">
        <v>11179416</v>
      </c>
      <c r="Z495" s="30" t="n">
        <v>1138064548800</v>
      </c>
      <c r="AA495" s="30" t="n">
        <v>4973235400</v>
      </c>
      <c r="AB495" s="30" t="n">
        <v>3794903635</v>
      </c>
      <c r="AC495" s="35" t="n">
        <v>0.004369906263439879</v>
      </c>
      <c r="AD495" s="24" t="inlineStr">
        <is>
          <t>yfinance_download</t>
        </is>
      </c>
      <c r="AE495" s="24" t="inlineStr">
        <is>
          <t>064760.KQ</t>
        </is>
      </c>
    </row>
    <row r="496" ht="24" customHeight="1">
      <c r="A496" s="29" t="inlineStr">
        <is>
          <t>2025-06-23</t>
        </is>
      </c>
      <c r="B496" s="31" t="n">
        <v>100300</v>
      </c>
      <c r="C496" s="31" t="n">
        <v>100700</v>
      </c>
      <c r="D496" s="31" t="n">
        <v>98200</v>
      </c>
      <c r="E496" s="31" t="n">
        <v>99500</v>
      </c>
      <c r="F496" s="31" t="n">
        <v>98539.0703125</v>
      </c>
      <c r="G496" s="31" t="n">
        <v>30531</v>
      </c>
      <c r="H496" s="36" t="n">
        <v>-0.02259332023575633</v>
      </c>
      <c r="I496" s="36" t="n">
        <v>-0.5148707947342759</v>
      </c>
      <c r="J496" s="31" t="n">
        <v>94815</v>
      </c>
      <c r="K496" s="31" t="n">
        <v>89170</v>
      </c>
      <c r="L496" s="31" t="n">
        <v>84245.83333333333</v>
      </c>
      <c r="M496" s="36" t="n">
        <v>0.4612878477370759</v>
      </c>
      <c r="N496" s="36" t="n">
        <v>0.5589527623173568</v>
      </c>
      <c r="O496" s="36" t="n">
        <v>0.1705882352941177</v>
      </c>
      <c r="P496" s="36" t="n">
        <v>0.11672278338945</v>
      </c>
      <c r="Q496" s="36" t="n">
        <v>0.3800277392510403</v>
      </c>
      <c r="R496" s="36" t="n">
        <v>0.04941201286716246</v>
      </c>
      <c r="S496" s="36" t="n">
        <v>0.1158461365930246</v>
      </c>
      <c r="T496" s="36" t="n">
        <v>0.1810673129234879</v>
      </c>
      <c r="U496" s="31" t="n">
        <v>142000</v>
      </c>
      <c r="V496" s="31" t="n">
        <v>67500</v>
      </c>
      <c r="W496" s="36" t="n">
        <v>-0.2992957746478874</v>
      </c>
      <c r="X496" s="36" t="n">
        <v>0.4740740740740741</v>
      </c>
      <c r="Y496" s="31" t="n">
        <v>11179416</v>
      </c>
      <c r="Z496" s="31" t="n">
        <v>1112351892000</v>
      </c>
      <c r="AA496" s="31" t="n">
        <v>3037834500</v>
      </c>
      <c r="AB496" s="31" t="n">
        <v>3777250110</v>
      </c>
      <c r="AC496" s="36" t="n">
        <v>0.002731001333164452</v>
      </c>
      <c r="AD496" s="29" t="inlineStr">
        <is>
          <t>yfinance_download</t>
        </is>
      </c>
      <c r="AE496" s="29" t="inlineStr">
        <is>
          <t>064760.KQ</t>
        </is>
      </c>
    </row>
    <row r="497" ht="24" customHeight="1">
      <c r="A497" s="24" t="inlineStr">
        <is>
          <t>2025-06-24</t>
        </is>
      </c>
      <c r="B497" s="30" t="n">
        <v>101600</v>
      </c>
      <c r="C497" s="30" t="n">
        <v>103900</v>
      </c>
      <c r="D497" s="30" t="n">
        <v>101100</v>
      </c>
      <c r="E497" s="30" t="n">
        <v>102000</v>
      </c>
      <c r="F497" s="30" t="n">
        <v>101014.9296875</v>
      </c>
      <c r="G497" s="30" t="n">
        <v>38653</v>
      </c>
      <c r="H497" s="35" t="n">
        <v>0.02512562814070352</v>
      </c>
      <c r="I497" s="35" t="n">
        <v>-0.5026816187225743</v>
      </c>
      <c r="J497" s="30" t="n">
        <v>95650</v>
      </c>
      <c r="K497" s="30" t="n">
        <v>89441.66666666667</v>
      </c>
      <c r="L497" s="30" t="n">
        <v>84513.33333333333</v>
      </c>
      <c r="M497" s="35" t="n">
        <v>0.4646828895269979</v>
      </c>
      <c r="N497" s="35" t="n">
        <v>0.5543483745101992</v>
      </c>
      <c r="O497" s="35" t="n">
        <v>0.1957796014067996</v>
      </c>
      <c r="P497" s="35" t="n">
        <v>0.1901983663943991</v>
      </c>
      <c r="Q497" s="35" t="n">
        <v>0.4592274678111588</v>
      </c>
      <c r="R497" s="35" t="n">
        <v>0.06638787245164668</v>
      </c>
      <c r="S497" s="35" t="n">
        <v>0.1404080872076772</v>
      </c>
      <c r="T497" s="35" t="n">
        <v>0.2069101522442218</v>
      </c>
      <c r="U497" s="30" t="n">
        <v>142000</v>
      </c>
      <c r="V497" s="30" t="n">
        <v>67500</v>
      </c>
      <c r="W497" s="35" t="n">
        <v>-0.2816901408450704</v>
      </c>
      <c r="X497" s="35" t="n">
        <v>0.5111111111111111</v>
      </c>
      <c r="Y497" s="30" t="n">
        <v>11179416</v>
      </c>
      <c r="Z497" s="30" t="n">
        <v>1140300432000</v>
      </c>
      <c r="AA497" s="30" t="n">
        <v>3942606000</v>
      </c>
      <c r="AB497" s="30" t="n">
        <v>3913416500</v>
      </c>
      <c r="AC497" s="35" t="n">
        <v>0.003457515133169747</v>
      </c>
      <c r="AD497" s="24" t="inlineStr">
        <is>
          <t>yfinance_download</t>
        </is>
      </c>
      <c r="AE497" s="24" t="inlineStr">
        <is>
          <t>064760.KQ</t>
        </is>
      </c>
    </row>
    <row r="498" ht="24" customHeight="1">
      <c r="A498" s="29" t="inlineStr">
        <is>
          <t>2025-06-25</t>
        </is>
      </c>
      <c r="B498" s="31" t="n">
        <v>105100</v>
      </c>
      <c r="C498" s="31" t="n">
        <v>108000</v>
      </c>
      <c r="D498" s="31" t="n">
        <v>103100</v>
      </c>
      <c r="E498" s="31" t="n">
        <v>106800</v>
      </c>
      <c r="F498" s="31" t="n">
        <v>105768.5703125</v>
      </c>
      <c r="G498" s="31" t="n">
        <v>67028</v>
      </c>
      <c r="H498" s="36" t="n">
        <v>0.04705882352941182</v>
      </c>
      <c r="I498" s="36" t="n">
        <v>-0.4792784007801073</v>
      </c>
      <c r="J498" s="31" t="n">
        <v>96675</v>
      </c>
      <c r="K498" s="31" t="n">
        <v>89788.33333333333</v>
      </c>
      <c r="L498" s="31" t="n">
        <v>84836.66666666667</v>
      </c>
      <c r="M498" s="36" t="n">
        <v>0.4835898978894008</v>
      </c>
      <c r="N498" s="36" t="n">
        <v>0.5614925013374633</v>
      </c>
      <c r="O498" s="36" t="n">
        <v>0.2375434530706837</v>
      </c>
      <c r="P498" s="36" t="n">
        <v>0.241860465116279</v>
      </c>
      <c r="Q498" s="36" t="n">
        <v>0.5705882352941176</v>
      </c>
      <c r="R498" s="36" t="n">
        <v>0.104732350659426</v>
      </c>
      <c r="S498" s="36" t="n">
        <v>0.1894641100365675</v>
      </c>
      <c r="T498" s="36" t="n">
        <v>0.258889631055754</v>
      </c>
      <c r="U498" s="31" t="n">
        <v>142000</v>
      </c>
      <c r="V498" s="31" t="n">
        <v>67500</v>
      </c>
      <c r="W498" s="36" t="n">
        <v>-0.247887323943662</v>
      </c>
      <c r="X498" s="36" t="n">
        <v>0.5822222222222222</v>
      </c>
      <c r="Y498" s="31" t="n">
        <v>11179416</v>
      </c>
      <c r="Z498" s="31" t="n">
        <v>1193961628800</v>
      </c>
      <c r="AA498" s="31" t="n">
        <v>7158590400</v>
      </c>
      <c r="AB498" s="31" t="n">
        <v>4204899335</v>
      </c>
      <c r="AC498" s="36" t="n">
        <v>0.005995662027426119</v>
      </c>
      <c r="AD498" s="29" t="inlineStr">
        <is>
          <t>yfinance_download</t>
        </is>
      </c>
      <c r="AE498" s="29" t="inlineStr">
        <is>
          <t>064760.KQ</t>
        </is>
      </c>
    </row>
    <row r="499" ht="24" customHeight="1">
      <c r="A499" s="24" t="inlineStr">
        <is>
          <t>2025-06-26</t>
        </is>
      </c>
      <c r="B499" s="30" t="n">
        <v>107000</v>
      </c>
      <c r="C499" s="30" t="n">
        <v>107800</v>
      </c>
      <c r="D499" s="30" t="n">
        <v>104700</v>
      </c>
      <c r="E499" s="30" t="n">
        <v>105800</v>
      </c>
      <c r="F499" s="30" t="n">
        <v>104778.2265625</v>
      </c>
      <c r="G499" s="30" t="n">
        <v>35840</v>
      </c>
      <c r="H499" s="35" t="n">
        <v>-0.009363295880149836</v>
      </c>
      <c r="I499" s="35" t="n">
        <v>-0.4841540711847879</v>
      </c>
      <c r="J499" s="30" t="n">
        <v>97610</v>
      </c>
      <c r="K499" s="30" t="n">
        <v>90136.66666666667</v>
      </c>
      <c r="L499" s="30" t="n">
        <v>85137.5</v>
      </c>
      <c r="M499" s="35" t="n">
        <v>0.4890413319108409</v>
      </c>
      <c r="N499" s="35" t="n">
        <v>0.561092832288725</v>
      </c>
      <c r="O499" s="35" t="n">
        <v>0.2146957520091848</v>
      </c>
      <c r="P499" s="35" t="n">
        <v>0.2461719670200235</v>
      </c>
      <c r="Q499" s="35" t="n">
        <v>0.5179340028694404</v>
      </c>
      <c r="R499" s="35" t="n">
        <v>0.08390533756787222</v>
      </c>
      <c r="S499" s="35" t="n">
        <v>0.1737731592766538</v>
      </c>
      <c r="T499" s="35" t="n">
        <v>0.2426956394068418</v>
      </c>
      <c r="U499" s="30" t="n">
        <v>142000</v>
      </c>
      <c r="V499" s="30" t="n">
        <v>67500</v>
      </c>
      <c r="W499" s="35" t="n">
        <v>-0.2549295774647887</v>
      </c>
      <c r="X499" s="35" t="n">
        <v>0.5674074074074074</v>
      </c>
      <c r="Y499" s="30" t="n">
        <v>11179416</v>
      </c>
      <c r="Z499" s="30" t="n">
        <v>1182782212800</v>
      </c>
      <c r="AA499" s="30" t="n">
        <v>3791872000</v>
      </c>
      <c r="AB499" s="30" t="n">
        <v>4283366400</v>
      </c>
      <c r="AC499" s="35" t="n">
        <v>0.003205891971458974</v>
      </c>
      <c r="AD499" s="24" t="inlineStr">
        <is>
          <t>yfinance_download</t>
        </is>
      </c>
      <c r="AE499" s="24" t="inlineStr">
        <is>
          <t>064760.KQ</t>
        </is>
      </c>
    </row>
    <row r="500" ht="24" customHeight="1">
      <c r="A500" s="29" t="inlineStr">
        <is>
          <t>2025-06-27</t>
        </is>
      </c>
      <c r="B500" s="31" t="n">
        <v>105800</v>
      </c>
      <c r="C500" s="31" t="n">
        <v>107800</v>
      </c>
      <c r="D500" s="31" t="n">
        <v>103400</v>
      </c>
      <c r="E500" s="31" t="n">
        <v>103700</v>
      </c>
      <c r="F500" s="31" t="n">
        <v>102698.5078125</v>
      </c>
      <c r="G500" s="31" t="n">
        <v>34668</v>
      </c>
      <c r="H500" s="36" t="n">
        <v>-0.01984877126654061</v>
      </c>
      <c r="I500" s="36" t="n">
        <v>-0.4943929790346172</v>
      </c>
      <c r="J500" s="31" t="n">
        <v>98430</v>
      </c>
      <c r="K500" s="31" t="n">
        <v>90468.33333333333</v>
      </c>
      <c r="L500" s="31" t="n">
        <v>85420.83333333333</v>
      </c>
      <c r="M500" s="36" t="n">
        <v>0.4999920830348858</v>
      </c>
      <c r="N500" s="36" t="n">
        <v>0.5621736941124175</v>
      </c>
      <c r="O500" s="36" t="n">
        <v>0.1878579610538373</v>
      </c>
      <c r="P500" s="36" t="n">
        <v>0.2374701670644392</v>
      </c>
      <c r="Q500" s="36" t="n">
        <v>0.4878048780487805</v>
      </c>
      <c r="R500" s="36" t="n">
        <v>0.05354058721934374</v>
      </c>
      <c r="S500" s="36" t="n">
        <v>0.1462574381459443</v>
      </c>
      <c r="T500" s="36" t="n">
        <v>0.2139895614848057</v>
      </c>
      <c r="U500" s="31" t="n">
        <v>142000</v>
      </c>
      <c r="V500" s="31" t="n">
        <v>67500</v>
      </c>
      <c r="W500" s="36" t="n">
        <v>-0.2697183098591549</v>
      </c>
      <c r="X500" s="36" t="n">
        <v>0.5362962962962963</v>
      </c>
      <c r="Y500" s="31" t="n">
        <v>11179416</v>
      </c>
      <c r="Z500" s="31" t="n">
        <v>1159305439200</v>
      </c>
      <c r="AA500" s="31" t="n">
        <v>3595071600</v>
      </c>
      <c r="AB500" s="31" t="n">
        <v>4295565090</v>
      </c>
      <c r="AC500" s="36" t="n">
        <v>0.00310105644158872</v>
      </c>
      <c r="AD500" s="29" t="inlineStr">
        <is>
          <t>yfinance_download</t>
        </is>
      </c>
      <c r="AE500" s="29" t="inlineStr">
        <is>
          <t>064760.KQ</t>
        </is>
      </c>
    </row>
    <row r="501" ht="24" customHeight="1">
      <c r="A501" s="24" t="inlineStr">
        <is>
          <t>2025-06-30</t>
        </is>
      </c>
      <c r="B501" s="30" t="n">
        <v>105900</v>
      </c>
      <c r="C501" s="30" t="n">
        <v>108400</v>
      </c>
      <c r="D501" s="30" t="n">
        <v>104000</v>
      </c>
      <c r="E501" s="30" t="n">
        <v>107400</v>
      </c>
      <c r="F501" s="30" t="n">
        <v>106362.78125</v>
      </c>
      <c r="G501" s="30" t="n">
        <v>35436</v>
      </c>
      <c r="H501" s="35" t="n">
        <v>0.03567984570877525</v>
      </c>
      <c r="I501" s="35" t="n">
        <v>-0.4763529985372988</v>
      </c>
      <c r="J501" s="30" t="n">
        <v>99225</v>
      </c>
      <c r="K501" s="30" t="n">
        <v>90931.66666666667</v>
      </c>
      <c r="L501" s="30" t="n">
        <v>85732.5</v>
      </c>
      <c r="M501" s="35" t="n">
        <v>0.4889568719168639</v>
      </c>
      <c r="N501" s="35" t="n">
        <v>0.5542328651556406</v>
      </c>
      <c r="O501" s="35" t="n">
        <v>0.1737704918032787</v>
      </c>
      <c r="P501" s="35" t="n">
        <v>0.3492462311557789</v>
      </c>
      <c r="Q501" s="35" t="n">
        <v>0.5342857142857143</v>
      </c>
      <c r="R501" s="35" t="n">
        <v>0.0823885109599396</v>
      </c>
      <c r="S501" s="35" t="n">
        <v>0.1811066918381934</v>
      </c>
      <c r="T501" s="35" t="n">
        <v>0.2527337940687604</v>
      </c>
      <c r="U501" s="30" t="n">
        <v>142000</v>
      </c>
      <c r="V501" s="30" t="n">
        <v>67500</v>
      </c>
      <c r="W501" s="35" t="n">
        <v>-0.2436619718309859</v>
      </c>
      <c r="X501" s="35" t="n">
        <v>0.5911111111111111</v>
      </c>
      <c r="Y501" s="30" t="n">
        <v>11179416</v>
      </c>
      <c r="Z501" s="30" t="n">
        <v>1200669278400</v>
      </c>
      <c r="AA501" s="30" t="n">
        <v>3805826400</v>
      </c>
      <c r="AB501" s="30" t="n">
        <v>4301895660</v>
      </c>
      <c r="AC501" s="35" t="n">
        <v>0.003169754126691412</v>
      </c>
      <c r="AD501" s="24" t="inlineStr">
        <is>
          <t>yfinance_download</t>
        </is>
      </c>
      <c r="AE501" s="24" t="inlineStr">
        <is>
          <t>064760.KQ</t>
        </is>
      </c>
    </row>
    <row r="502" ht="24" customHeight="1">
      <c r="A502" s="29" t="inlineStr">
        <is>
          <t>2025-07-01</t>
        </is>
      </c>
      <c r="B502" s="31" t="n">
        <v>107400</v>
      </c>
      <c r="C502" s="31" t="n">
        <v>108400</v>
      </c>
      <c r="D502" s="31" t="n">
        <v>105600</v>
      </c>
      <c r="E502" s="31" t="n">
        <v>105700</v>
      </c>
      <c r="F502" s="31" t="n">
        <v>104679.1953125</v>
      </c>
      <c r="G502" s="31" t="n">
        <v>31730</v>
      </c>
      <c r="H502" s="36" t="n">
        <v>-0.01582867783985098</v>
      </c>
      <c r="I502" s="36" t="n">
        <v>-0.484641638225256</v>
      </c>
      <c r="J502" s="31" t="n">
        <v>100130</v>
      </c>
      <c r="K502" s="31" t="n">
        <v>91286.66666666667</v>
      </c>
      <c r="L502" s="31" t="n">
        <v>86029.16666666667</v>
      </c>
      <c r="M502" s="36" t="n">
        <v>0.4602160805829127</v>
      </c>
      <c r="N502" s="36" t="n">
        <v>0.5440002943153983</v>
      </c>
      <c r="O502" s="36" t="n">
        <v>0.20662100456621</v>
      </c>
      <c r="P502" s="36" t="n">
        <v>0.2523696682464456</v>
      </c>
      <c r="Q502" s="36" t="n">
        <v>0.5078459343794579</v>
      </c>
      <c r="R502" s="36" t="n">
        <v>0.05562768401078588</v>
      </c>
      <c r="S502" s="36" t="n">
        <v>0.1578908931570875</v>
      </c>
      <c r="T502" s="36" t="n">
        <v>0.2286530730856782</v>
      </c>
      <c r="U502" s="31" t="n">
        <v>142000</v>
      </c>
      <c r="V502" s="31" t="n">
        <v>67500</v>
      </c>
      <c r="W502" s="36" t="n">
        <v>-0.2556338028169014</v>
      </c>
      <c r="X502" s="36" t="n">
        <v>0.5659259259259259</v>
      </c>
      <c r="Y502" s="31" t="n">
        <v>11179416</v>
      </c>
      <c r="Z502" s="31" t="n">
        <v>1181664271200</v>
      </c>
      <c r="AA502" s="31" t="n">
        <v>3353861000</v>
      </c>
      <c r="AB502" s="31" t="n">
        <v>4328189170</v>
      </c>
      <c r="AC502" s="36" t="n">
        <v>0.002838252016026597</v>
      </c>
      <c r="AD502" s="29" t="inlineStr">
        <is>
          <t>yfinance_download</t>
        </is>
      </c>
      <c r="AE502" s="29" t="inlineStr">
        <is>
          <t>064760.KQ</t>
        </is>
      </c>
    </row>
    <row r="503" ht="24" customHeight="1">
      <c r="A503" s="24" t="inlineStr">
        <is>
          <t>2025-07-02</t>
        </is>
      </c>
      <c r="B503" s="30" t="n">
        <v>104600</v>
      </c>
      <c r="C503" s="30" t="n">
        <v>105600</v>
      </c>
      <c r="D503" s="30" t="n">
        <v>102700</v>
      </c>
      <c r="E503" s="30" t="n">
        <v>103400</v>
      </c>
      <c r="F503" s="30" t="n">
        <v>102401.40625</v>
      </c>
      <c r="G503" s="30" t="n">
        <v>20459</v>
      </c>
      <c r="H503" s="35" t="n">
        <v>-0.02175969725638605</v>
      </c>
      <c r="I503" s="35" t="n">
        <v>-0.4958556801560214</v>
      </c>
      <c r="J503" s="30" t="n">
        <v>100840</v>
      </c>
      <c r="K503" s="30" t="n">
        <v>91511.66666666667</v>
      </c>
      <c r="L503" s="30" t="n">
        <v>86300</v>
      </c>
      <c r="M503" s="35" t="n">
        <v>0.4722540123061691</v>
      </c>
      <c r="N503" s="35" t="n">
        <v>0.5314998442653923</v>
      </c>
      <c r="O503" s="35" t="n">
        <v>0.1591928251121075</v>
      </c>
      <c r="P503" s="35" t="n">
        <v>0.1501668520578421</v>
      </c>
      <c r="Q503" s="35" t="n">
        <v>0.4583921015514809</v>
      </c>
      <c r="R503" s="35" t="n">
        <v>0.02538675128917101</v>
      </c>
      <c r="S503" s="35" t="n">
        <v>0.1299105760649826</v>
      </c>
      <c r="T503" s="35" t="n">
        <v>0.198146002317497</v>
      </c>
      <c r="U503" s="30" t="n">
        <v>142000</v>
      </c>
      <c r="V503" s="30" t="n">
        <v>67500</v>
      </c>
      <c r="W503" s="35" t="n">
        <v>-0.2718309859154929</v>
      </c>
      <c r="X503" s="35" t="n">
        <v>0.5318518518518518</v>
      </c>
      <c r="Y503" s="30" t="n">
        <v>11179416</v>
      </c>
      <c r="Z503" s="30" t="n">
        <v>1155951614400</v>
      </c>
      <c r="AA503" s="30" t="n">
        <v>2115460600</v>
      </c>
      <c r="AB503" s="30" t="n">
        <v>4347215200</v>
      </c>
      <c r="AC503" s="35" t="n">
        <v>0.001830059817078101</v>
      </c>
      <c r="AD503" s="24" t="inlineStr">
        <is>
          <t>yfinance_download</t>
        </is>
      </c>
      <c r="AE503" s="24" t="inlineStr">
        <is>
          <t>064760.KQ</t>
        </is>
      </c>
    </row>
    <row r="504" ht="24" customHeight="1">
      <c r="A504" s="29" t="inlineStr">
        <is>
          <t>2025-07-03</t>
        </is>
      </c>
      <c r="B504" s="31" t="n">
        <v>104900</v>
      </c>
      <c r="C504" s="31" t="n">
        <v>108900</v>
      </c>
      <c r="D504" s="31" t="n">
        <v>104100</v>
      </c>
      <c r="E504" s="31" t="n">
        <v>107000</v>
      </c>
      <c r="F504" s="31" t="n">
        <v>105966.640625</v>
      </c>
      <c r="G504" s="31" t="n">
        <v>27180</v>
      </c>
      <c r="H504" s="36" t="n">
        <v>0.03481624758220514</v>
      </c>
      <c r="I504" s="36" t="n">
        <v>-0.4783032666991711</v>
      </c>
      <c r="J504" s="31" t="n">
        <v>101465</v>
      </c>
      <c r="K504" s="31" t="n">
        <v>91840</v>
      </c>
      <c r="L504" s="31" t="n">
        <v>86609.16666666667</v>
      </c>
      <c r="M504" s="36" t="n">
        <v>0.4438262762976271</v>
      </c>
      <c r="N504" s="36" t="n">
        <v>0.5312658394238008</v>
      </c>
      <c r="O504" s="36" t="n">
        <v>0.1322751322751323</v>
      </c>
      <c r="P504" s="36" t="n">
        <v>0.2256586483390608</v>
      </c>
      <c r="Q504" s="36" t="n">
        <v>0.5307582260371959</v>
      </c>
      <c r="R504" s="36" t="n">
        <v>0.05455083033558372</v>
      </c>
      <c r="S504" s="36" t="n">
        <v>0.1650696864111498</v>
      </c>
      <c r="T504" s="36" t="n">
        <v>0.235435048253168</v>
      </c>
      <c r="U504" s="31" t="n">
        <v>138100</v>
      </c>
      <c r="V504" s="31" t="n">
        <v>67500</v>
      </c>
      <c r="W504" s="36" t="n">
        <v>-0.225199131064446</v>
      </c>
      <c r="X504" s="36" t="n">
        <v>0.5851851851851853</v>
      </c>
      <c r="Y504" s="31" t="n">
        <v>11179416</v>
      </c>
      <c r="Z504" s="31" t="n">
        <v>1196197512000</v>
      </c>
      <c r="AA504" s="31" t="n">
        <v>2908260000</v>
      </c>
      <c r="AB504" s="31" t="n">
        <v>4207635100</v>
      </c>
      <c r="AC504" s="36" t="n">
        <v>0.00243125401183747</v>
      </c>
      <c r="AD504" s="29" t="inlineStr">
        <is>
          <t>yfinance_download</t>
        </is>
      </c>
      <c r="AE504" s="29" t="inlineStr">
        <is>
          <t>064760.KQ</t>
        </is>
      </c>
    </row>
    <row r="505" ht="24" customHeight="1">
      <c r="A505" s="24" t="inlineStr">
        <is>
          <t>2025-07-04</t>
        </is>
      </c>
      <c r="B505" s="30" t="n">
        <v>106200</v>
      </c>
      <c r="C505" s="30" t="n">
        <v>107800</v>
      </c>
      <c r="D505" s="30" t="n">
        <v>105200</v>
      </c>
      <c r="E505" s="30" t="n">
        <v>106300</v>
      </c>
      <c r="F505" s="30" t="n">
        <v>105273.3984375</v>
      </c>
      <c r="G505" s="30" t="n">
        <v>24591</v>
      </c>
      <c r="H505" s="35" t="n">
        <v>-0.006542056074766323</v>
      </c>
      <c r="I505" s="35" t="n">
        <v>-0.4817162359824476</v>
      </c>
      <c r="J505" s="30" t="n">
        <v>102005</v>
      </c>
      <c r="K505" s="30" t="n">
        <v>92211.66666666667</v>
      </c>
      <c r="L505" s="30" t="n">
        <v>86886.66666666667</v>
      </c>
      <c r="M505" s="35" t="n">
        <v>0.4459431069966966</v>
      </c>
      <c r="N505" s="35" t="n">
        <v>0.5245976540503823</v>
      </c>
      <c r="O505" s="35" t="n">
        <v>0.1130890052356022</v>
      </c>
      <c r="P505" s="35" t="n">
        <v>0.2654761904761904</v>
      </c>
      <c r="Q505" s="35" t="n">
        <v>0.4561643835616438</v>
      </c>
      <c r="R505" s="35" t="n">
        <v>0.04210577912847402</v>
      </c>
      <c r="S505" s="35" t="n">
        <v>0.1527825474000035</v>
      </c>
      <c r="T505" s="35" t="n">
        <v>0.2234328243689097</v>
      </c>
      <c r="U505" s="30" t="n">
        <v>136800</v>
      </c>
      <c r="V505" s="30" t="n">
        <v>67500</v>
      </c>
      <c r="W505" s="35" t="n">
        <v>-0.222953216374269</v>
      </c>
      <c r="X505" s="35" t="n">
        <v>0.5748148148148149</v>
      </c>
      <c r="Y505" s="30" t="n">
        <v>11179416</v>
      </c>
      <c r="Z505" s="30" t="n">
        <v>1188371920800</v>
      </c>
      <c r="AA505" s="30" t="n">
        <v>2614023300</v>
      </c>
      <c r="AB505" s="30" t="n">
        <v>4150377940</v>
      </c>
      <c r="AC505" s="35" t="n">
        <v>0.002199667674948316</v>
      </c>
      <c r="AD505" s="24" t="inlineStr">
        <is>
          <t>yfinance_download</t>
        </is>
      </c>
      <c r="AE505" s="24" t="inlineStr">
        <is>
          <t>064760.KQ</t>
        </is>
      </c>
    </row>
    <row r="506" ht="24" customHeight="1">
      <c r="A506" s="29" t="inlineStr">
        <is>
          <t>2025-07-07</t>
        </is>
      </c>
      <c r="B506" s="31" t="n">
        <v>106400</v>
      </c>
      <c r="C506" s="31" t="n">
        <v>108000</v>
      </c>
      <c r="D506" s="31" t="n">
        <v>105000</v>
      </c>
      <c r="E506" s="31" t="n">
        <v>106400</v>
      </c>
      <c r="F506" s="31" t="n">
        <v>105372.4375</v>
      </c>
      <c r="G506" s="31" t="n">
        <v>43260</v>
      </c>
      <c r="H506" s="36" t="n">
        <v>0.0009407337723423836</v>
      </c>
      <c r="I506" s="36" t="n">
        <v>-0.4812286689419796</v>
      </c>
      <c r="J506" s="31" t="n">
        <v>102605</v>
      </c>
      <c r="K506" s="31" t="n">
        <v>92636.66666666667</v>
      </c>
      <c r="L506" s="31" t="n">
        <v>87157.5</v>
      </c>
      <c r="M506" s="36" t="n">
        <v>0.4417215390929447</v>
      </c>
      <c r="N506" s="36" t="n">
        <v>0.5175389707683802</v>
      </c>
      <c r="O506" s="36" t="n">
        <v>0.1271186440677967</v>
      </c>
      <c r="P506" s="36" t="n">
        <v>0.3152039555006181</v>
      </c>
      <c r="Q506" s="36" t="n">
        <v>0.4397834912043301</v>
      </c>
      <c r="R506" s="36" t="n">
        <v>0.03698650163247397</v>
      </c>
      <c r="S506" s="36" t="n">
        <v>0.1485732791191392</v>
      </c>
      <c r="T506" s="36" t="n">
        <v>0.2207784757479276</v>
      </c>
      <c r="U506" s="31" t="n">
        <v>136800</v>
      </c>
      <c r="V506" s="31" t="n">
        <v>67500</v>
      </c>
      <c r="W506" s="36" t="n">
        <v>-0.2222222222222222</v>
      </c>
      <c r="X506" s="36" t="n">
        <v>0.5762962962962963</v>
      </c>
      <c r="Y506" s="31" t="n">
        <v>11179416</v>
      </c>
      <c r="Z506" s="31" t="n">
        <v>1189489862400</v>
      </c>
      <c r="AA506" s="31" t="n">
        <v>4602864000</v>
      </c>
      <c r="AB506" s="31" t="n">
        <v>4268435300</v>
      </c>
      <c r="AC506" s="36" t="n">
        <v>0.00386961179367509</v>
      </c>
      <c r="AD506" s="29" t="inlineStr">
        <is>
          <t>yfinance_download</t>
        </is>
      </c>
      <c r="AE506" s="29" t="inlineStr">
        <is>
          <t>064760.KQ</t>
        </is>
      </c>
    </row>
    <row r="507" ht="24" customHeight="1">
      <c r="A507" s="24" t="inlineStr">
        <is>
          <t>2025-07-08</t>
        </is>
      </c>
      <c r="B507" s="30" t="n">
        <v>107000</v>
      </c>
      <c r="C507" s="30" t="n">
        <v>107700</v>
      </c>
      <c r="D507" s="30" t="n">
        <v>101500</v>
      </c>
      <c r="E507" s="30" t="n">
        <v>103900</v>
      </c>
      <c r="F507" s="30" t="n">
        <v>102896.578125</v>
      </c>
      <c r="G507" s="30" t="n">
        <v>57551</v>
      </c>
      <c r="H507" s="35" t="n">
        <v>-0.02349624060150379</v>
      </c>
      <c r="I507" s="35" t="n">
        <v>-0.4934178449536811</v>
      </c>
      <c r="J507" s="30" t="n">
        <v>103075</v>
      </c>
      <c r="K507" s="30" t="n">
        <v>93041.66666666667</v>
      </c>
      <c r="L507" s="30" t="n">
        <v>87420</v>
      </c>
      <c r="M507" s="35" t="n">
        <v>0.4540583221717383</v>
      </c>
      <c r="N507" s="35" t="n">
        <v>0.5190573379328368</v>
      </c>
      <c r="O507" s="35" t="n">
        <v>0.09947089947089949</v>
      </c>
      <c r="P507" s="35" t="n">
        <v>0.3052763819095476</v>
      </c>
      <c r="Q507" s="35" t="n">
        <v>0.4350828729281768</v>
      </c>
      <c r="R507" s="35" t="n">
        <v>0.008003880669415375</v>
      </c>
      <c r="S507" s="35" t="n">
        <v>0.1167039856695029</v>
      </c>
      <c r="T507" s="35" t="n">
        <v>0.1885152139098605</v>
      </c>
      <c r="U507" s="30" t="n">
        <v>136800</v>
      </c>
      <c r="V507" s="30" t="n">
        <v>67500</v>
      </c>
      <c r="W507" s="35" t="n">
        <v>-0.2404970760233918</v>
      </c>
      <c r="X507" s="35" t="n">
        <v>0.5392592592592593</v>
      </c>
      <c r="Y507" s="30" t="n">
        <v>11179416</v>
      </c>
      <c r="Z507" s="30" t="n">
        <v>1161541322400</v>
      </c>
      <c r="AA507" s="30" t="n">
        <v>5979548900</v>
      </c>
      <c r="AB507" s="30" t="n">
        <v>4459262220</v>
      </c>
      <c r="AC507" s="35" t="n">
        <v>0.005147943327272194</v>
      </c>
      <c r="AD507" s="24" t="inlineStr">
        <is>
          <t>yfinance_download</t>
        </is>
      </c>
      <c r="AE507" s="24" t="inlineStr">
        <is>
          <t>064760.KQ</t>
        </is>
      </c>
    </row>
    <row r="508" ht="24" customHeight="1">
      <c r="A508" s="29" t="inlineStr">
        <is>
          <t>2025-07-09</t>
        </is>
      </c>
      <c r="B508" s="31" t="n">
        <v>103200</v>
      </c>
      <c r="C508" s="31" t="n">
        <v>103600</v>
      </c>
      <c r="D508" s="31" t="n">
        <v>101200</v>
      </c>
      <c r="E508" s="31" t="n">
        <v>102100</v>
      </c>
      <c r="F508" s="31" t="n">
        <v>101113.9609375</v>
      </c>
      <c r="G508" s="31" t="n">
        <v>35569</v>
      </c>
      <c r="H508" s="36" t="n">
        <v>-0.01732435033686242</v>
      </c>
      <c r="I508" s="36" t="n">
        <v>-0.5021940516821063</v>
      </c>
      <c r="J508" s="31" t="n">
        <v>103085</v>
      </c>
      <c r="K508" s="31" t="n">
        <v>93443.33333333333</v>
      </c>
      <c r="L508" s="31" t="n">
        <v>87650</v>
      </c>
      <c r="M508" s="36" t="n">
        <v>0.3684807755118671</v>
      </c>
      <c r="N508" s="36" t="n">
        <v>0.518515669255577</v>
      </c>
      <c r="O508" s="36" t="n">
        <v>0.001962708537782243</v>
      </c>
      <c r="P508" s="36" t="n">
        <v>0.308974358974359</v>
      </c>
      <c r="Q508" s="36" t="n">
        <v>0.3704697986577181</v>
      </c>
      <c r="R508" s="36" t="n">
        <v>-0.009555221419217164</v>
      </c>
      <c r="S508" s="36" t="n">
        <v>0.09264081618092979</v>
      </c>
      <c r="T508" s="36" t="n">
        <v>0.1648602395892755</v>
      </c>
      <c r="U508" s="31" t="n">
        <v>136800</v>
      </c>
      <c r="V508" s="31" t="n">
        <v>67500</v>
      </c>
      <c r="W508" s="36" t="n">
        <v>-0.2536549707602339</v>
      </c>
      <c r="X508" s="36" t="n">
        <v>0.5125925925925925</v>
      </c>
      <c r="Y508" s="31" t="n">
        <v>11179416</v>
      </c>
      <c r="Z508" s="31" t="n">
        <v>1141418373600</v>
      </c>
      <c r="AA508" s="31" t="n">
        <v>3631594900</v>
      </c>
      <c r="AB508" s="31" t="n">
        <v>4252811860</v>
      </c>
      <c r="AC508" s="36" t="n">
        <v>0.003181650991429248</v>
      </c>
      <c r="AD508" s="29" t="inlineStr">
        <is>
          <t>yfinance_download</t>
        </is>
      </c>
      <c r="AE508" s="29" t="inlineStr">
        <is>
          <t>064760.KQ</t>
        </is>
      </c>
    </row>
    <row r="509" ht="24" customHeight="1">
      <c r="A509" s="24" t="inlineStr">
        <is>
          <t>2025-07-10</t>
        </is>
      </c>
      <c r="B509" s="30" t="n">
        <v>102300</v>
      </c>
      <c r="C509" s="30" t="n">
        <v>105000</v>
      </c>
      <c r="D509" s="30" t="n">
        <v>101700</v>
      </c>
      <c r="E509" s="30" t="n">
        <v>104500</v>
      </c>
      <c r="F509" s="30" t="n">
        <v>103490.78125</v>
      </c>
      <c r="G509" s="30" t="n">
        <v>44980</v>
      </c>
      <c r="H509" s="35" t="n">
        <v>0.02350636630754166</v>
      </c>
      <c r="I509" s="35" t="n">
        <v>-0.4904924427108728</v>
      </c>
      <c r="J509" s="30" t="n">
        <v>103370</v>
      </c>
      <c r="K509" s="30" t="n">
        <v>93763.33333333333</v>
      </c>
      <c r="L509" s="30" t="n">
        <v>87911.66666666667</v>
      </c>
      <c r="M509" s="35" t="n">
        <v>0.3583287260882144</v>
      </c>
      <c r="N509" s="35" t="n">
        <v>0.4862680581119869</v>
      </c>
      <c r="O509" s="35" t="n">
        <v>0.05769230769230771</v>
      </c>
      <c r="P509" s="35" t="n">
        <v>0.2250879249706916</v>
      </c>
      <c r="Q509" s="35" t="n">
        <v>0.4295485636114911</v>
      </c>
      <c r="R509" s="35" t="n">
        <v>0.01093160491438527</v>
      </c>
      <c r="S509" s="35" t="n">
        <v>0.1145081588396317</v>
      </c>
      <c r="T509" s="35" t="n">
        <v>0.1886931958215632</v>
      </c>
      <c r="U509" s="30" t="n">
        <v>136800</v>
      </c>
      <c r="V509" s="30" t="n">
        <v>67500</v>
      </c>
      <c r="W509" s="35" t="n">
        <v>-0.2361111111111112</v>
      </c>
      <c r="X509" s="35" t="n">
        <v>0.5481481481481481</v>
      </c>
      <c r="Y509" s="30" t="n">
        <v>11179416</v>
      </c>
      <c r="Z509" s="30" t="n">
        <v>1168248972000</v>
      </c>
      <c r="AA509" s="30" t="n">
        <v>4700410000</v>
      </c>
      <c r="AB509" s="30" t="n">
        <v>4165438080</v>
      </c>
      <c r="AC509" s="35" t="n">
        <v>0.004023465984269661</v>
      </c>
      <c r="AD509" s="24" t="inlineStr">
        <is>
          <t>yfinance_download</t>
        </is>
      </c>
      <c r="AE509" s="24" t="inlineStr">
        <is>
          <t>064760.KQ</t>
        </is>
      </c>
    </row>
    <row r="510" ht="24" customHeight="1">
      <c r="A510" s="29" t="inlineStr">
        <is>
          <t>2025-07-11</t>
        </is>
      </c>
      <c r="B510" s="31" t="n">
        <v>103500</v>
      </c>
      <c r="C510" s="31" t="n">
        <v>103900</v>
      </c>
      <c r="D510" s="31" t="n">
        <v>99850</v>
      </c>
      <c r="E510" s="31" t="n">
        <v>100900</v>
      </c>
      <c r="F510" s="31" t="n">
        <v>99925.5546875</v>
      </c>
      <c r="G510" s="31" t="n">
        <v>77075</v>
      </c>
      <c r="H510" s="36" t="n">
        <v>-0.03444976076555029</v>
      </c>
      <c r="I510" s="36" t="n">
        <v>-0.5080448561677231</v>
      </c>
      <c r="J510" s="31" t="n">
        <v>103420</v>
      </c>
      <c r="K510" s="31" t="n">
        <v>94075</v>
      </c>
      <c r="L510" s="31" t="n">
        <v>88144.16666666667</v>
      </c>
      <c r="M510" s="36" t="n">
        <v>0.3805311947404159</v>
      </c>
      <c r="N510" s="36" t="n">
        <v>0.4856150891007328</v>
      </c>
      <c r="O510" s="36" t="n">
        <v>0.01001001001001001</v>
      </c>
      <c r="P510" s="36" t="n">
        <v>0.2274939172749393</v>
      </c>
      <c r="Q510" s="36" t="n">
        <v>0.3821917808219177</v>
      </c>
      <c r="R510" s="36" t="n">
        <v>-0.0243666602204603</v>
      </c>
      <c r="S510" s="36" t="n">
        <v>0.07254849853840017</v>
      </c>
      <c r="T510" s="36" t="n">
        <v>0.1447155701360461</v>
      </c>
      <c r="U510" s="31" t="n">
        <v>136800</v>
      </c>
      <c r="V510" s="31" t="n">
        <v>67500</v>
      </c>
      <c r="W510" s="36" t="n">
        <v>-0.2624269005847953</v>
      </c>
      <c r="X510" s="36" t="n">
        <v>0.4948148148148148</v>
      </c>
      <c r="Y510" s="31" t="n">
        <v>11179416</v>
      </c>
      <c r="Z510" s="31" t="n">
        <v>1128003074400</v>
      </c>
      <c r="AA510" s="31" t="n">
        <v>7776867500</v>
      </c>
      <c r="AB510" s="31" t="n">
        <v>4026459805</v>
      </c>
      <c r="AC510" s="36" t="n">
        <v>0.0068943672907422</v>
      </c>
      <c r="AD510" s="29" t="inlineStr">
        <is>
          <t>yfinance_download</t>
        </is>
      </c>
      <c r="AE510" s="29" t="inlineStr">
        <is>
          <t>064760.KQ</t>
        </is>
      </c>
    </row>
    <row r="511" ht="24" customHeight="1">
      <c r="A511" s="24" t="inlineStr">
        <is>
          <t>2025-07-14</t>
        </is>
      </c>
      <c r="B511" s="30" t="n">
        <v>99100</v>
      </c>
      <c r="C511" s="30" t="n">
        <v>100800</v>
      </c>
      <c r="D511" s="30" t="n">
        <v>99000</v>
      </c>
      <c r="E511" s="30" t="n">
        <v>100000</v>
      </c>
      <c r="F511" s="30" t="n">
        <v>99034.2421875</v>
      </c>
      <c r="G511" s="30" t="n">
        <v>27694</v>
      </c>
      <c r="H511" s="35" t="n">
        <v>-0.008919722497522264</v>
      </c>
      <c r="I511" s="35" t="n">
        <v>-0.5124329595319357</v>
      </c>
      <c r="J511" s="30" t="n">
        <v>103365</v>
      </c>
      <c r="K511" s="30" t="n">
        <v>94335</v>
      </c>
      <c r="L511" s="30" t="n">
        <v>88388.33333333333</v>
      </c>
      <c r="M511" s="35" t="n">
        <v>0.3795814202128688</v>
      </c>
      <c r="N511" s="35" t="n">
        <v>0.4839342361275827</v>
      </c>
      <c r="O511" s="35" t="n">
        <v>-0.01088031651829868</v>
      </c>
      <c r="P511" s="35" t="n">
        <v>0.1848341232227488</v>
      </c>
      <c r="Q511" s="35" t="n">
        <v>0.4144271570014144</v>
      </c>
      <c r="R511" s="35" t="n">
        <v>-0.0325545397378223</v>
      </c>
      <c r="S511" s="35" t="n">
        <v>0.06005194254518464</v>
      </c>
      <c r="T511" s="35" t="n">
        <v>0.1313710331303151</v>
      </c>
      <c r="U511" s="30" t="n">
        <v>136800</v>
      </c>
      <c r="V511" s="30" t="n">
        <v>67500</v>
      </c>
      <c r="W511" s="35" t="n">
        <v>-0.2690058479532164</v>
      </c>
      <c r="X511" s="35" t="n">
        <v>0.4814814814814814</v>
      </c>
      <c r="Y511" s="30" t="n">
        <v>11179416</v>
      </c>
      <c r="Z511" s="30" t="n">
        <v>1117941600000</v>
      </c>
      <c r="AA511" s="30" t="n">
        <v>2769400000</v>
      </c>
      <c r="AB511" s="30" t="n">
        <v>4000601865</v>
      </c>
      <c r="AC511" s="35" t="n">
        <v>0.00247723136879422</v>
      </c>
      <c r="AD511" s="24" t="inlineStr">
        <is>
          <t>yfinance_download</t>
        </is>
      </c>
      <c r="AE511" s="24" t="inlineStr">
        <is>
          <t>064760.KQ</t>
        </is>
      </c>
    </row>
    <row r="512" ht="24" customHeight="1">
      <c r="A512" s="29" t="inlineStr">
        <is>
          <t>2025-07-15</t>
        </is>
      </c>
      <c r="B512" s="31" t="n">
        <v>99200</v>
      </c>
      <c r="C512" s="31" t="n">
        <v>100500</v>
      </c>
      <c r="D512" s="31" t="n">
        <v>98600</v>
      </c>
      <c r="E512" s="31" t="n">
        <v>100100</v>
      </c>
      <c r="F512" s="31" t="n">
        <v>99133.28125</v>
      </c>
      <c r="G512" s="31" t="n">
        <v>41918</v>
      </c>
      <c r="H512" s="36" t="n">
        <v>0.0009999999999998899</v>
      </c>
      <c r="I512" s="36" t="n">
        <v>-0.5119453924914676</v>
      </c>
      <c r="J512" s="31" t="n">
        <v>103420</v>
      </c>
      <c r="K512" s="31" t="n">
        <v>94573.33333333333</v>
      </c>
      <c r="L512" s="31" t="n">
        <v>88630.83333333333</v>
      </c>
      <c r="M512" s="36" t="n">
        <v>0.3717777564200651</v>
      </c>
      <c r="N512" s="36" t="n">
        <v>0.4831569608826276</v>
      </c>
      <c r="O512" s="36" t="n">
        <v>0.01111111111111107</v>
      </c>
      <c r="P512" s="36" t="n">
        <v>0.1666666666666667</v>
      </c>
      <c r="Q512" s="36" t="n">
        <v>0.4098591549295774</v>
      </c>
      <c r="R512" s="36" t="n">
        <v>-0.0321021079094953</v>
      </c>
      <c r="S512" s="36" t="n">
        <v>0.05843789651769349</v>
      </c>
      <c r="T512" s="36" t="n">
        <v>0.1294038004080598</v>
      </c>
      <c r="U512" s="31" t="n">
        <v>136800</v>
      </c>
      <c r="V512" s="31" t="n">
        <v>67500</v>
      </c>
      <c r="W512" s="36" t="n">
        <v>-0.2682748538011696</v>
      </c>
      <c r="X512" s="36" t="n">
        <v>0.482962962962963</v>
      </c>
      <c r="Y512" s="31" t="n">
        <v>11179416</v>
      </c>
      <c r="Z512" s="31" t="n">
        <v>1119059541600</v>
      </c>
      <c r="AA512" s="31" t="n">
        <v>4195991800</v>
      </c>
      <c r="AB512" s="31" t="n">
        <v>3977474255</v>
      </c>
      <c r="AC512" s="36" t="n">
        <v>0.003749569744967</v>
      </c>
      <c r="AD512" s="29" t="inlineStr">
        <is>
          <t>yfinance_download</t>
        </is>
      </c>
      <c r="AE512" s="29" t="inlineStr">
        <is>
          <t>064760.KQ</t>
        </is>
      </c>
    </row>
    <row r="513" ht="24" customHeight="1">
      <c r="A513" s="24" t="inlineStr">
        <is>
          <t>2025-07-16</t>
        </is>
      </c>
      <c r="B513" s="30" t="n">
        <v>100100</v>
      </c>
      <c r="C513" s="30" t="n">
        <v>101700</v>
      </c>
      <c r="D513" s="30" t="n">
        <v>99000</v>
      </c>
      <c r="E513" s="30" t="n">
        <v>100300</v>
      </c>
      <c r="F513" s="30" t="n">
        <v>99331.34375</v>
      </c>
      <c r="G513" s="30" t="n">
        <v>26893</v>
      </c>
      <c r="H513" s="35" t="n">
        <v>0.00199800199800193</v>
      </c>
      <c r="I513" s="35" t="n">
        <v>-0.5109702584105315</v>
      </c>
      <c r="J513" s="30" t="n">
        <v>103390</v>
      </c>
      <c r="K513" s="30" t="n">
        <v>94875</v>
      </c>
      <c r="L513" s="30" t="n">
        <v>88884.16666666667</v>
      </c>
      <c r="M513" s="35" t="n">
        <v>0.3654591172305015</v>
      </c>
      <c r="N513" s="35" t="n">
        <v>0.4739908666201089</v>
      </c>
      <c r="O513" s="35" t="n">
        <v>-0.00594648166501488</v>
      </c>
      <c r="P513" s="35" t="n">
        <v>0.2201946472019465</v>
      </c>
      <c r="Q513" s="35" t="n">
        <v>0.4349070100143062</v>
      </c>
      <c r="R513" s="35" t="n">
        <v>-0.02988683625108812</v>
      </c>
      <c r="S513" s="35" t="n">
        <v>0.05718050065876157</v>
      </c>
      <c r="T513" s="35" t="n">
        <v>0.128434948106618</v>
      </c>
      <c r="U513" s="30" t="n">
        <v>136800</v>
      </c>
      <c r="V513" s="30" t="n">
        <v>67500</v>
      </c>
      <c r="W513" s="35" t="n">
        <v>-0.2668128654970761</v>
      </c>
      <c r="X513" s="35" t="n">
        <v>0.4859259259259259</v>
      </c>
      <c r="Y513" s="30" t="n">
        <v>11179416</v>
      </c>
      <c r="Z513" s="30" t="n">
        <v>1121295424800</v>
      </c>
      <c r="AA513" s="30" t="n">
        <v>2697367900</v>
      </c>
      <c r="AB513" s="30" t="n">
        <v>3969407710</v>
      </c>
      <c r="AC513" s="35" t="n">
        <v>0.002405581830034771</v>
      </c>
      <c r="AD513" s="24" t="inlineStr">
        <is>
          <t>yfinance_download</t>
        </is>
      </c>
      <c r="AE513" s="24" t="inlineStr">
        <is>
          <t>064760.KQ</t>
        </is>
      </c>
    </row>
    <row r="514" ht="24" customHeight="1">
      <c r="A514" s="29" t="inlineStr">
        <is>
          <t>2025-07-17</t>
        </is>
      </c>
      <c r="B514" s="31" t="n">
        <v>99800</v>
      </c>
      <c r="C514" s="31" t="n">
        <v>100200</v>
      </c>
      <c r="D514" s="31" t="n">
        <v>97500</v>
      </c>
      <c r="E514" s="31" t="n">
        <v>99200</v>
      </c>
      <c r="F514" s="31" t="n">
        <v>98241.96875</v>
      </c>
      <c r="G514" s="31" t="n">
        <v>19250</v>
      </c>
      <c r="H514" s="36" t="n">
        <v>-0.01096709870388834</v>
      </c>
      <c r="I514" s="36" t="n">
        <v>-0.5163334958556802</v>
      </c>
      <c r="J514" s="31" t="n">
        <v>103340</v>
      </c>
      <c r="K514" s="31" t="n">
        <v>95138.33333333333</v>
      </c>
      <c r="L514" s="31" t="n">
        <v>89127.5</v>
      </c>
      <c r="M514" s="36" t="n">
        <v>0.36674421516183</v>
      </c>
      <c r="N514" s="36" t="n">
        <v>0.4743875296753101</v>
      </c>
      <c r="O514" s="36" t="n">
        <v>-0.009980039920159722</v>
      </c>
      <c r="P514" s="36" t="n">
        <v>0.1894484412470023</v>
      </c>
      <c r="Q514" s="36" t="n">
        <v>0.417142857142857</v>
      </c>
      <c r="R514" s="36" t="n">
        <v>-0.04006193148829107</v>
      </c>
      <c r="S514" s="36" t="n">
        <v>0.04269222010055529</v>
      </c>
      <c r="T514" s="36" t="n">
        <v>0.1130122577206811</v>
      </c>
      <c r="U514" s="31" t="n">
        <v>136800</v>
      </c>
      <c r="V514" s="31" t="n">
        <v>67500</v>
      </c>
      <c r="W514" s="36" t="n">
        <v>-0.2748538011695907</v>
      </c>
      <c r="X514" s="36" t="n">
        <v>0.4696296296296296</v>
      </c>
      <c r="Y514" s="31" t="n">
        <v>11179416</v>
      </c>
      <c r="Z514" s="31" t="n">
        <v>1108998067200</v>
      </c>
      <c r="AA514" s="31" t="n">
        <v>1909600000</v>
      </c>
      <c r="AB514" s="31" t="n">
        <v>3978014310</v>
      </c>
      <c r="AC514" s="36" t="n">
        <v>0.001721914633107848</v>
      </c>
      <c r="AD514" s="29" t="inlineStr">
        <is>
          <t>yfinance_download</t>
        </is>
      </c>
      <c r="AE514" s="29" t="inlineStr">
        <is>
          <t>064760.KQ</t>
        </is>
      </c>
    </row>
    <row r="515" ht="24" customHeight="1">
      <c r="A515" s="24" t="inlineStr">
        <is>
          <t>2025-07-18</t>
        </is>
      </c>
      <c r="B515" s="30" t="n">
        <v>99700</v>
      </c>
      <c r="C515" s="30" t="n">
        <v>99800</v>
      </c>
      <c r="D515" s="30" t="n">
        <v>98200</v>
      </c>
      <c r="E515" s="30" t="n">
        <v>99200</v>
      </c>
      <c r="F515" s="30" t="n">
        <v>98241.96875</v>
      </c>
      <c r="G515" s="30" t="n">
        <v>20207</v>
      </c>
      <c r="H515" s="35" t="n">
        <v>0</v>
      </c>
      <c r="I515" s="35" t="n">
        <v>-0.5163334958556802</v>
      </c>
      <c r="J515" s="30" t="n">
        <v>103210</v>
      </c>
      <c r="K515" s="30" t="n">
        <v>95408.33333333333</v>
      </c>
      <c r="L515" s="30" t="n">
        <v>89355.83333333333</v>
      </c>
      <c r="M515" s="35" t="n">
        <v>0.361724373180667</v>
      </c>
      <c r="N515" s="35" t="n">
        <v>0.4741385916121029</v>
      </c>
      <c r="O515" s="35" t="n">
        <v>-0.02554027504911593</v>
      </c>
      <c r="P515" s="35" t="n">
        <v>0.1951807228915663</v>
      </c>
      <c r="Q515" s="35" t="n">
        <v>0.3816155988857939</v>
      </c>
      <c r="R515" s="35" t="n">
        <v>-0.03885282433872683</v>
      </c>
      <c r="S515" s="35" t="n">
        <v>0.03974146213643115</v>
      </c>
      <c r="T515" s="35" t="n">
        <v>0.1101681479478118</v>
      </c>
      <c r="U515" s="30" t="n">
        <v>136800</v>
      </c>
      <c r="V515" s="30" t="n">
        <v>67500</v>
      </c>
      <c r="W515" s="35" t="n">
        <v>-0.2748538011695907</v>
      </c>
      <c r="X515" s="35" t="n">
        <v>0.4696296296296296</v>
      </c>
      <c r="Y515" s="30" t="n">
        <v>11179416</v>
      </c>
      <c r="Z515" s="30" t="n">
        <v>1108998067200</v>
      </c>
      <c r="AA515" s="30" t="n">
        <v>2004534400</v>
      </c>
      <c r="AB515" s="30" t="n">
        <v>3829579260</v>
      </c>
      <c r="AC515" s="35" t="n">
        <v>0.001807518389153781</v>
      </c>
      <c r="AD515" s="24" t="inlineStr">
        <is>
          <t>yfinance_download</t>
        </is>
      </c>
      <c r="AE515" s="24" t="inlineStr">
        <is>
          <t>064760.KQ</t>
        </is>
      </c>
    </row>
    <row r="516" ht="24" customHeight="1">
      <c r="A516" s="29" t="inlineStr">
        <is>
          <t>2025-07-21</t>
        </is>
      </c>
      <c r="B516" s="31" t="n">
        <v>99200</v>
      </c>
      <c r="C516" s="31" t="n">
        <v>99200</v>
      </c>
      <c r="D516" s="31" t="n">
        <v>96000</v>
      </c>
      <c r="E516" s="31" t="n">
        <v>97000</v>
      </c>
      <c r="F516" s="31" t="n">
        <v>96063.21875</v>
      </c>
      <c r="G516" s="31" t="n">
        <v>33253</v>
      </c>
      <c r="H516" s="36" t="n">
        <v>-0.02217741935483875</v>
      </c>
      <c r="I516" s="36" t="n">
        <v>-0.5270599707459775</v>
      </c>
      <c r="J516" s="31" t="n">
        <v>103085</v>
      </c>
      <c r="K516" s="31" t="n">
        <v>95623.33333333333</v>
      </c>
      <c r="L516" s="31" t="n">
        <v>89560.83333333333</v>
      </c>
      <c r="M516" s="36" t="n">
        <v>0.3613986868326767</v>
      </c>
      <c r="N516" s="36" t="n">
        <v>0.4765492358200455</v>
      </c>
      <c r="O516" s="36" t="n">
        <v>-0.02512562814070352</v>
      </c>
      <c r="P516" s="36" t="n">
        <v>0.1533888228299642</v>
      </c>
      <c r="Q516" s="36" t="n">
        <v>0.339779005524862</v>
      </c>
      <c r="R516" s="36" t="n">
        <v>-0.05902895668622976</v>
      </c>
      <c r="S516" s="36" t="n">
        <v>0.01439676508523036</v>
      </c>
      <c r="T516" s="36" t="n">
        <v>0.08306272273036019</v>
      </c>
      <c r="U516" s="31" t="n">
        <v>136800</v>
      </c>
      <c r="V516" s="31" t="n">
        <v>67500</v>
      </c>
      <c r="W516" s="36" t="n">
        <v>-0.2909356725146199</v>
      </c>
      <c r="X516" s="36" t="n">
        <v>0.4370370370370371</v>
      </c>
      <c r="Y516" s="31" t="n">
        <v>11179416</v>
      </c>
      <c r="Z516" s="31" t="n">
        <v>1084403352000</v>
      </c>
      <c r="AA516" s="31" t="n">
        <v>3225541000</v>
      </c>
      <c r="AB516" s="31" t="n">
        <v>3838964585</v>
      </c>
      <c r="AC516" s="36" t="n">
        <v>0.002974484534791441</v>
      </c>
      <c r="AD516" s="29" t="inlineStr">
        <is>
          <t>yfinance_download</t>
        </is>
      </c>
      <c r="AE516" s="29" t="inlineStr">
        <is>
          <t>064760.KQ</t>
        </is>
      </c>
    </row>
    <row r="517" ht="24" customHeight="1">
      <c r="A517" s="24" t="inlineStr">
        <is>
          <t>2025-07-22</t>
        </is>
      </c>
      <c r="B517" s="30" t="n">
        <v>97000</v>
      </c>
      <c r="C517" s="30" t="n">
        <v>97800</v>
      </c>
      <c r="D517" s="30" t="n">
        <v>94000</v>
      </c>
      <c r="E517" s="30" t="n">
        <v>94400</v>
      </c>
      <c r="F517" s="30" t="n">
        <v>93488.328125</v>
      </c>
      <c r="G517" s="30" t="n">
        <v>36308</v>
      </c>
      <c r="H517" s="35" t="n">
        <v>-0.02680412371134022</v>
      </c>
      <c r="I517" s="35" t="n">
        <v>-0.5397367137981472</v>
      </c>
      <c r="J517" s="30" t="n">
        <v>102705</v>
      </c>
      <c r="K517" s="30" t="n">
        <v>95825</v>
      </c>
      <c r="L517" s="30" t="n">
        <v>89738.33333333333</v>
      </c>
      <c r="M517" s="35" t="n">
        <v>0.3585543971810717</v>
      </c>
      <c r="N517" s="35" t="n">
        <v>0.4778483458768429</v>
      </c>
      <c r="O517" s="35" t="n">
        <v>-0.07450980392156858</v>
      </c>
      <c r="P517" s="35" t="n">
        <v>0.1470230862697448</v>
      </c>
      <c r="Q517" s="35" t="n">
        <v>0.2913816689466484</v>
      </c>
      <c r="R517" s="35" t="n">
        <v>-0.08086266491407434</v>
      </c>
      <c r="S517" s="35" t="n">
        <v>-0.01487085833550739</v>
      </c>
      <c r="T517" s="35" t="n">
        <v>0.05194732834351723</v>
      </c>
      <c r="U517" s="30" t="n">
        <v>136800</v>
      </c>
      <c r="V517" s="30" t="n">
        <v>67500</v>
      </c>
      <c r="W517" s="35" t="n">
        <v>-0.3099415204678363</v>
      </c>
      <c r="X517" s="35" t="n">
        <v>0.3985185185185185</v>
      </c>
      <c r="Y517" s="30" t="n">
        <v>11179416</v>
      </c>
      <c r="Z517" s="30" t="n">
        <v>1055336870400</v>
      </c>
      <c r="AA517" s="30" t="n">
        <v>3427475200</v>
      </c>
      <c r="AB517" s="30" t="n">
        <v>3813208045</v>
      </c>
      <c r="AC517" s="35" t="n">
        <v>0.003247754623318428</v>
      </c>
      <c r="AD517" s="24" t="inlineStr">
        <is>
          <t>yfinance_download</t>
        </is>
      </c>
      <c r="AE517" s="24" t="inlineStr">
        <is>
          <t>064760.KQ</t>
        </is>
      </c>
    </row>
    <row r="518" ht="24" customHeight="1">
      <c r="A518" s="29" t="inlineStr">
        <is>
          <t>2025-07-23</t>
        </is>
      </c>
      <c r="B518" s="31" t="n">
        <v>94600</v>
      </c>
      <c r="C518" s="31" t="n">
        <v>95200</v>
      </c>
      <c r="D518" s="31" t="n">
        <v>91700</v>
      </c>
      <c r="E518" s="31" t="n">
        <v>93700</v>
      </c>
      <c r="F518" s="31" t="n">
        <v>92795.0859375</v>
      </c>
      <c r="G518" s="31" t="n">
        <v>22091</v>
      </c>
      <c r="H518" s="36" t="n">
        <v>-0.007415254237288171</v>
      </c>
      <c r="I518" s="36" t="n">
        <v>-0.5431496830814238</v>
      </c>
      <c r="J518" s="31" t="n">
        <v>102050</v>
      </c>
      <c r="K518" s="31" t="n">
        <v>95905</v>
      </c>
      <c r="L518" s="31" t="n">
        <v>89902.5</v>
      </c>
      <c r="M518" s="36" t="n">
        <v>0.3044900969039835</v>
      </c>
      <c r="N518" s="36" t="n">
        <v>0.4501088614749553</v>
      </c>
      <c r="O518" s="36" t="n">
        <v>-0.1226591760299626</v>
      </c>
      <c r="P518" s="36" t="n">
        <v>0.05399325084364448</v>
      </c>
      <c r="Q518" s="36" t="n">
        <v>0.2662162162162163</v>
      </c>
      <c r="R518" s="36" t="n">
        <v>-0.0818226359627634</v>
      </c>
      <c r="S518" s="36" t="n">
        <v>-0.02299150200719458</v>
      </c>
      <c r="T518" s="36" t="n">
        <v>0.04224020466616607</v>
      </c>
      <c r="U518" s="31" t="n">
        <v>136800</v>
      </c>
      <c r="V518" s="31" t="n">
        <v>67500</v>
      </c>
      <c r="W518" s="36" t="n">
        <v>-0.3150584795321637</v>
      </c>
      <c r="X518" s="36" t="n">
        <v>0.3881481481481481</v>
      </c>
      <c r="Y518" s="31" t="n">
        <v>11179416</v>
      </c>
      <c r="Z518" s="31" t="n">
        <v>1047511279200</v>
      </c>
      <c r="AA518" s="31" t="n">
        <v>2069926700</v>
      </c>
      <c r="AB518" s="31" t="n">
        <v>3558774860</v>
      </c>
      <c r="AC518" s="36" t="n">
        <v>0.001976042397921323</v>
      </c>
      <c r="AD518" s="29" t="inlineStr">
        <is>
          <t>yfinance_download</t>
        </is>
      </c>
      <c r="AE518" s="29" t="inlineStr">
        <is>
          <t>064760.KQ</t>
        </is>
      </c>
    </row>
    <row r="519" ht="24" customHeight="1">
      <c r="A519" s="24" t="inlineStr">
        <is>
          <t>2025-07-24</t>
        </is>
      </c>
      <c r="B519" s="30" t="n">
        <v>94000</v>
      </c>
      <c r="C519" s="30" t="n">
        <v>94800</v>
      </c>
      <c r="D519" s="30" t="n">
        <v>90400</v>
      </c>
      <c r="E519" s="30" t="n">
        <v>92400</v>
      </c>
      <c r="F519" s="30" t="n">
        <v>91507.640625</v>
      </c>
      <c r="G519" s="30" t="n">
        <v>29903</v>
      </c>
      <c r="H519" s="35" t="n">
        <v>-0.0138740661686233</v>
      </c>
      <c r="I519" s="35" t="n">
        <v>-0.5494880546075085</v>
      </c>
      <c r="J519" s="30" t="n">
        <v>101380</v>
      </c>
      <c r="K519" s="30" t="n">
        <v>95990</v>
      </c>
      <c r="L519" s="30" t="n">
        <v>90070</v>
      </c>
      <c r="M519" s="35" t="n">
        <v>0.3055019030556422</v>
      </c>
      <c r="N519" s="35" t="n">
        <v>0.4494339503017213</v>
      </c>
      <c r="O519" s="35" t="n">
        <v>-0.1266540642722117</v>
      </c>
      <c r="P519" s="35" t="n">
        <v>0.05841924398625431</v>
      </c>
      <c r="Q519" s="35" t="n">
        <v>0.2780082987551866</v>
      </c>
      <c r="R519" s="35" t="n">
        <v>-0.08857762872361408</v>
      </c>
      <c r="S519" s="35" t="n">
        <v>-0.03739972913845191</v>
      </c>
      <c r="T519" s="35" t="n">
        <v>0.02586876873542798</v>
      </c>
      <c r="U519" s="30" t="n">
        <v>136800</v>
      </c>
      <c r="V519" s="30" t="n">
        <v>67500</v>
      </c>
      <c r="W519" s="35" t="n">
        <v>-0.3245614035087719</v>
      </c>
      <c r="X519" s="35" t="n">
        <v>0.3688888888888888</v>
      </c>
      <c r="Y519" s="30" t="n">
        <v>11179416</v>
      </c>
      <c r="Z519" s="30" t="n">
        <v>1032978038400</v>
      </c>
      <c r="AA519" s="30" t="n">
        <v>2763037200</v>
      </c>
      <c r="AB519" s="30" t="n">
        <v>3507333120</v>
      </c>
      <c r="AC519" s="35" t="n">
        <v>0.002674826663575271</v>
      </c>
      <c r="AD519" s="24" t="inlineStr">
        <is>
          <t>yfinance_download</t>
        </is>
      </c>
      <c r="AE519" s="24" t="inlineStr">
        <is>
          <t>064760.KQ</t>
        </is>
      </c>
    </row>
    <row r="520" ht="24" customHeight="1">
      <c r="A520" s="29" t="inlineStr">
        <is>
          <t>2025-07-25</t>
        </is>
      </c>
      <c r="B520" s="31" t="n">
        <v>91500</v>
      </c>
      <c r="C520" s="31" t="n">
        <v>92500</v>
      </c>
      <c r="D520" s="31" t="n">
        <v>91100</v>
      </c>
      <c r="E520" s="31" t="n">
        <v>92000</v>
      </c>
      <c r="F520" s="31" t="n">
        <v>91111.5078125</v>
      </c>
      <c r="G520" s="31" t="n">
        <v>20828</v>
      </c>
      <c r="H520" s="36" t="n">
        <v>-0.004329004329004293</v>
      </c>
      <c r="I520" s="36" t="n">
        <v>-0.5514383227693809</v>
      </c>
      <c r="J520" s="31" t="n">
        <v>100795</v>
      </c>
      <c r="K520" s="31" t="n">
        <v>96035</v>
      </c>
      <c r="L520" s="31" t="n">
        <v>90220.83333333333</v>
      </c>
      <c r="M520" s="36" t="n">
        <v>0.3014979499470647</v>
      </c>
      <c r="N520" s="36" t="n">
        <v>0.4473104047552991</v>
      </c>
      <c r="O520" s="36" t="n">
        <v>-0.1128254580520733</v>
      </c>
      <c r="P520" s="36" t="n">
        <v>0.03023516237402024</v>
      </c>
      <c r="Q520" s="36" t="n">
        <v>0.2449255751014885</v>
      </c>
      <c r="R520" s="36" t="n">
        <v>-0.0872563123170792</v>
      </c>
      <c r="S520" s="36" t="n">
        <v>-0.04201593169157081</v>
      </c>
      <c r="T520" s="36" t="n">
        <v>0.01972013115965465</v>
      </c>
      <c r="U520" s="31" t="n">
        <v>134500</v>
      </c>
      <c r="V520" s="31" t="n">
        <v>67500</v>
      </c>
      <c r="W520" s="36" t="n">
        <v>-0.3159851301115242</v>
      </c>
      <c r="X520" s="36" t="n">
        <v>0.3629629629629629</v>
      </c>
      <c r="Y520" s="31" t="n">
        <v>11179416</v>
      </c>
      <c r="Z520" s="31" t="n">
        <v>1028506272000</v>
      </c>
      <c r="AA520" s="31" t="n">
        <v>1916176000</v>
      </c>
      <c r="AB520" s="31" t="n">
        <v>3423388340</v>
      </c>
      <c r="AC520" s="36" t="n">
        <v>0.001863066907967286</v>
      </c>
      <c r="AD520" s="29" t="inlineStr">
        <is>
          <t>yfinance_download</t>
        </is>
      </c>
      <c r="AE520" s="29" t="inlineStr">
        <is>
          <t>064760.KQ</t>
        </is>
      </c>
    </row>
    <row r="521" ht="24" customHeight="1">
      <c r="A521" s="24" t="inlineStr">
        <is>
          <t>2025-07-28</t>
        </is>
      </c>
      <c r="B521" s="30" t="n">
        <v>92000</v>
      </c>
      <c r="C521" s="30" t="n">
        <v>95250</v>
      </c>
      <c r="D521" s="30" t="n">
        <v>91400</v>
      </c>
      <c r="E521" s="30" t="n">
        <v>94600</v>
      </c>
      <c r="F521" s="30" t="n">
        <v>93686.3984375</v>
      </c>
      <c r="G521" s="30" t="n">
        <v>40062</v>
      </c>
      <c r="H521" s="35" t="n">
        <v>0.02826086956521734</v>
      </c>
      <c r="I521" s="35" t="n">
        <v>-0.5387615797172112</v>
      </c>
      <c r="J521" s="30" t="n">
        <v>100155</v>
      </c>
      <c r="K521" s="30" t="n">
        <v>96163.33333333333</v>
      </c>
      <c r="L521" s="30" t="n">
        <v>90394.16666666667</v>
      </c>
      <c r="M521" s="35" t="n">
        <v>0.2888458181700237</v>
      </c>
      <c r="N521" s="35" t="n">
        <v>0.446970118925837</v>
      </c>
      <c r="O521" s="35" t="n">
        <v>-0.1191806331471136</v>
      </c>
      <c r="P521" s="35" t="n">
        <v>0.08860759493670889</v>
      </c>
      <c r="Q521" s="35" t="n">
        <v>0.2818428184281843</v>
      </c>
      <c r="R521" s="35" t="n">
        <v>-0.05546403075233386</v>
      </c>
      <c r="S521" s="35" t="n">
        <v>-0.01625706263648652</v>
      </c>
      <c r="T521" s="35" t="n">
        <v>0.04652770735574752</v>
      </c>
      <c r="U521" s="30" t="n">
        <v>131700</v>
      </c>
      <c r="V521" s="30" t="n">
        <v>67500</v>
      </c>
      <c r="W521" s="35" t="n">
        <v>-0.281700835231587</v>
      </c>
      <c r="X521" s="35" t="n">
        <v>0.4014814814814816</v>
      </c>
      <c r="Y521" s="30" t="n">
        <v>11179416</v>
      </c>
      <c r="Z521" s="30" t="n">
        <v>1057572753600</v>
      </c>
      <c r="AA521" s="30" t="n">
        <v>3789865200</v>
      </c>
      <c r="AB521" s="30" t="n">
        <v>3422590280</v>
      </c>
      <c r="AC521" s="35" t="n">
        <v>0.00358355033930216</v>
      </c>
      <c r="AD521" s="24" t="inlineStr">
        <is>
          <t>yfinance_download</t>
        </is>
      </c>
      <c r="AE521" s="24" t="inlineStr">
        <is>
          <t>064760.KQ</t>
        </is>
      </c>
    </row>
    <row r="522" ht="24" customHeight="1">
      <c r="A522" s="29" t="inlineStr">
        <is>
          <t>2025-07-29</t>
        </is>
      </c>
      <c r="B522" s="31" t="n">
        <v>95300</v>
      </c>
      <c r="C522" s="31" t="n">
        <v>109500</v>
      </c>
      <c r="D522" s="31" t="n">
        <v>94500</v>
      </c>
      <c r="E522" s="31" t="n">
        <v>107100</v>
      </c>
      <c r="F522" s="31" t="n">
        <v>106065.671875</v>
      </c>
      <c r="G522" s="31" t="n">
        <v>261822</v>
      </c>
      <c r="H522" s="36" t="n">
        <v>0.1321353065539113</v>
      </c>
      <c r="I522" s="36" t="n">
        <v>-0.4778156996587031</v>
      </c>
      <c r="J522" s="31" t="n">
        <v>100225</v>
      </c>
      <c r="K522" s="31" t="n">
        <v>96510</v>
      </c>
      <c r="L522" s="31" t="n">
        <v>90703.33333333333</v>
      </c>
      <c r="M522" s="36" t="n">
        <v>0.5668963354816063</v>
      </c>
      <c r="N522" s="36" t="n">
        <v>0.5202312649094333</v>
      </c>
      <c r="O522" s="36" t="n">
        <v>0.01324503311258285</v>
      </c>
      <c r="P522" s="36" t="n">
        <v>0.2410196987253765</v>
      </c>
      <c r="Q522" s="36" t="n">
        <v>0.53</v>
      </c>
      <c r="R522" s="36" t="n">
        <v>0.06859565976552751</v>
      </c>
      <c r="S522" s="36" t="n">
        <v>0.1097295617034504</v>
      </c>
      <c r="T522" s="36" t="n">
        <v>0.1807724817169527</v>
      </c>
      <c r="U522" s="31" t="n">
        <v>131000</v>
      </c>
      <c r="V522" s="31" t="n">
        <v>67500</v>
      </c>
      <c r="W522" s="36" t="n">
        <v>-0.1824427480916031</v>
      </c>
      <c r="X522" s="36" t="n">
        <v>0.5866666666666667</v>
      </c>
      <c r="Y522" s="31" t="n">
        <v>11179416</v>
      </c>
      <c r="Z522" s="31" t="n">
        <v>1197315453600</v>
      </c>
      <c r="AA522" s="31" t="n">
        <v>28041136200</v>
      </c>
      <c r="AB522" s="31" t="n">
        <v>4656954040</v>
      </c>
      <c r="AC522" s="36" t="n">
        <v>0.02342000691270456</v>
      </c>
      <c r="AD522" s="29" t="inlineStr">
        <is>
          <t>yfinance_download</t>
        </is>
      </c>
      <c r="AE522" s="29" t="inlineStr">
        <is>
          <t>064760.KQ</t>
        </is>
      </c>
    </row>
    <row r="523" ht="24" customHeight="1">
      <c r="A523" s="24" t="inlineStr">
        <is>
          <t>2025-07-30</t>
        </is>
      </c>
      <c r="B523" s="30" t="n">
        <v>105800</v>
      </c>
      <c r="C523" s="30" t="n">
        <v>114500</v>
      </c>
      <c r="D523" s="30" t="n">
        <v>105700</v>
      </c>
      <c r="E523" s="30" t="n">
        <v>111800</v>
      </c>
      <c r="F523" s="30" t="n">
        <v>110720.28125</v>
      </c>
      <c r="G523" s="30" t="n">
        <v>141209</v>
      </c>
      <c r="H523" s="35" t="n">
        <v>0.04388422035480866</v>
      </c>
      <c r="I523" s="35" t="n">
        <v>-0.4549000487567041</v>
      </c>
      <c r="J523" s="30" t="n">
        <v>100645</v>
      </c>
      <c r="K523" s="30" t="n">
        <v>96945</v>
      </c>
      <c r="L523" s="30" t="n">
        <v>91032.5</v>
      </c>
      <c r="M523" s="35" t="n">
        <v>0.5793399411704606</v>
      </c>
      <c r="N523" s="35" t="n">
        <v>0.5260118635157575</v>
      </c>
      <c r="O523" s="35" t="n">
        <v>0.0812379110251451</v>
      </c>
      <c r="P523" s="35" t="n">
        <v>0.3045507584597433</v>
      </c>
      <c r="Q523" s="35" t="n">
        <v>0.5463347164591978</v>
      </c>
      <c r="R523" s="35" t="n">
        <v>0.1108351135178101</v>
      </c>
      <c r="S523" s="35" t="n">
        <v>0.1532312135747074</v>
      </c>
      <c r="T523" s="35" t="n">
        <v>0.2281328097108175</v>
      </c>
      <c r="U523" s="30" t="n">
        <v>129500</v>
      </c>
      <c r="V523" s="30" t="n">
        <v>67500</v>
      </c>
      <c r="W523" s="35" t="n">
        <v>-0.1366795366795367</v>
      </c>
      <c r="X523" s="35" t="n">
        <v>0.6562962962962964</v>
      </c>
      <c r="Y523" s="30" t="n">
        <v>11179416</v>
      </c>
      <c r="Z523" s="30" t="n">
        <v>1249858708800</v>
      </c>
      <c r="AA523" s="30" t="n">
        <v>15787166200</v>
      </c>
      <c r="AB523" s="30" t="n">
        <v>5340539320</v>
      </c>
      <c r="AC523" s="35" t="n">
        <v>0.01263116069748187</v>
      </c>
      <c r="AD523" s="24" t="inlineStr">
        <is>
          <t>yfinance_download</t>
        </is>
      </c>
      <c r="AE523" s="24" t="inlineStr">
        <is>
          <t>064760.KQ</t>
        </is>
      </c>
    </row>
    <row r="524" ht="24" customHeight="1">
      <c r="A524" s="29" t="inlineStr">
        <is>
          <t>2025-07-31</t>
        </is>
      </c>
      <c r="B524" s="31" t="n">
        <v>110100</v>
      </c>
      <c r="C524" s="31" t="n">
        <v>112200</v>
      </c>
      <c r="D524" s="31" t="n">
        <v>105000</v>
      </c>
      <c r="E524" s="31" t="n">
        <v>107000</v>
      </c>
      <c r="F524" s="31" t="n">
        <v>105966.640625</v>
      </c>
      <c r="G524" s="31" t="n">
        <v>106605</v>
      </c>
      <c r="H524" s="36" t="n">
        <v>-0.04293381037567079</v>
      </c>
      <c r="I524" s="36" t="n">
        <v>-0.4783032666991711</v>
      </c>
      <c r="J524" s="31" t="n">
        <v>100645</v>
      </c>
      <c r="K524" s="31" t="n">
        <v>97315</v>
      </c>
      <c r="L524" s="31" t="n">
        <v>91323.33333333333</v>
      </c>
      <c r="M524" s="36" t="n">
        <v>0.5910184234935817</v>
      </c>
      <c r="N524" s="36" t="n">
        <v>0.5342196138476193</v>
      </c>
      <c r="O524" s="36" t="n">
        <v>0</v>
      </c>
      <c r="P524" s="36" t="n">
        <v>0.2617924528301887</v>
      </c>
      <c r="Q524" s="36" t="n">
        <v>0.4840499306518724</v>
      </c>
      <c r="R524" s="36" t="n">
        <v>0.06314272939539967</v>
      </c>
      <c r="S524" s="36" t="n">
        <v>0.09952217027179766</v>
      </c>
      <c r="T524" s="36" t="n">
        <v>0.1716611307807425</v>
      </c>
      <c r="U524" s="31" t="n">
        <v>121400</v>
      </c>
      <c r="V524" s="31" t="n">
        <v>67500</v>
      </c>
      <c r="W524" s="36" t="n">
        <v>-0.1186161449752883</v>
      </c>
      <c r="X524" s="36" t="n">
        <v>0.5851851851851853</v>
      </c>
      <c r="Y524" s="31" t="n">
        <v>11179416</v>
      </c>
      <c r="Z524" s="31" t="n">
        <v>1196197512000</v>
      </c>
      <c r="AA524" s="31" t="n">
        <v>11406735000</v>
      </c>
      <c r="AB524" s="31" t="n">
        <v>5765463070</v>
      </c>
      <c r="AC524" s="36" t="n">
        <v>0.009535829062985043</v>
      </c>
      <c r="AD524" s="29" t="inlineStr">
        <is>
          <t>yfinance_download</t>
        </is>
      </c>
      <c r="AE524" s="29" t="inlineStr">
        <is>
          <t>064760.KQ</t>
        </is>
      </c>
    </row>
    <row r="525" ht="24" customHeight="1">
      <c r="A525" s="24" t="inlineStr">
        <is>
          <t>2025-08-01</t>
        </is>
      </c>
      <c r="B525" s="30" t="n">
        <v>105100</v>
      </c>
      <c r="C525" s="30" t="n">
        <v>105400</v>
      </c>
      <c r="D525" s="30" t="n">
        <v>101000</v>
      </c>
      <c r="E525" s="30" t="n">
        <v>101600</v>
      </c>
      <c r="F525" s="30" t="n">
        <v>100618.7890625</v>
      </c>
      <c r="G525" s="30" t="n">
        <v>52773</v>
      </c>
      <c r="H525" s="35" t="n">
        <v>-0.05046728971962622</v>
      </c>
      <c r="I525" s="35" t="n">
        <v>-0.5046318868844466</v>
      </c>
      <c r="J525" s="30" t="n">
        <v>100410</v>
      </c>
      <c r="K525" s="30" t="n">
        <v>97540</v>
      </c>
      <c r="L525" s="30" t="n">
        <v>91492.5</v>
      </c>
      <c r="M525" s="35" t="n">
        <v>0.6180323507893362</v>
      </c>
      <c r="N525" s="35" t="n">
        <v>0.5409331561272259</v>
      </c>
      <c r="O525" s="35" t="n">
        <v>-0.04421448730009403</v>
      </c>
      <c r="P525" s="35" t="n">
        <v>0.1532349602724177</v>
      </c>
      <c r="Q525" s="35" t="n">
        <v>0.2496924969249692</v>
      </c>
      <c r="R525" s="35" t="n">
        <v>0.01185140922218908</v>
      </c>
      <c r="S525" s="35" t="n">
        <v>0.04162394914906709</v>
      </c>
      <c r="T525" s="35" t="n">
        <v>0.1104735360821925</v>
      </c>
      <c r="U525" s="30" t="n">
        <v>121400</v>
      </c>
      <c r="V525" s="30" t="n">
        <v>67500</v>
      </c>
      <c r="W525" s="35" t="n">
        <v>-0.1630971993410214</v>
      </c>
      <c r="X525" s="35" t="n">
        <v>0.5051851851851852</v>
      </c>
      <c r="Y525" s="30" t="n">
        <v>11179416</v>
      </c>
      <c r="Z525" s="30" t="n">
        <v>1135828665600</v>
      </c>
      <c r="AA525" s="30" t="n">
        <v>5361736800</v>
      </c>
      <c r="AB525" s="30" t="n">
        <v>5902848745</v>
      </c>
      <c r="AC525" s="35" t="n">
        <v>0.004720550697818205</v>
      </c>
      <c r="AD525" s="24" t="inlineStr">
        <is>
          <t>yfinance_download</t>
        </is>
      </c>
      <c r="AE525" s="24" t="inlineStr">
        <is>
          <t>064760.KQ</t>
        </is>
      </c>
    </row>
    <row r="526" ht="24" customHeight="1">
      <c r="A526" s="29" t="inlineStr">
        <is>
          <t>2025-08-04</t>
        </is>
      </c>
      <c r="B526" s="31" t="n">
        <v>101000</v>
      </c>
      <c r="C526" s="31" t="n">
        <v>104000</v>
      </c>
      <c r="D526" s="31" t="n">
        <v>100100</v>
      </c>
      <c r="E526" s="31" t="n">
        <v>103300</v>
      </c>
      <c r="F526" s="31" t="n">
        <v>102302.375</v>
      </c>
      <c r="G526" s="31" t="n">
        <v>28774</v>
      </c>
      <c r="H526" s="36" t="n">
        <v>0.0167322834645669</v>
      </c>
      <c r="I526" s="36" t="n">
        <v>-0.4963432471964895</v>
      </c>
      <c r="J526" s="31" t="n">
        <v>100255</v>
      </c>
      <c r="K526" s="31" t="n">
        <v>97811.66666666667</v>
      </c>
      <c r="L526" s="31" t="n">
        <v>91639.16666666667</v>
      </c>
      <c r="M526" s="36" t="n">
        <v>0.6214165237567661</v>
      </c>
      <c r="N526" s="36" t="n">
        <v>0.540690222010468</v>
      </c>
      <c r="O526" s="36" t="n">
        <v>-0.02913533834586468</v>
      </c>
      <c r="P526" s="36" t="n">
        <v>0.1873563218390804</v>
      </c>
      <c r="Q526" s="36" t="n">
        <v>0.2053675612602099</v>
      </c>
      <c r="R526" s="36" t="n">
        <v>0.03037254999750627</v>
      </c>
      <c r="S526" s="36" t="n">
        <v>0.05611123417451891</v>
      </c>
      <c r="T526" s="36" t="n">
        <v>0.1272472650886174</v>
      </c>
      <c r="U526" s="31" t="n">
        <v>119900</v>
      </c>
      <c r="V526" s="31" t="n">
        <v>67500</v>
      </c>
      <c r="W526" s="36" t="n">
        <v>-0.1384487072560467</v>
      </c>
      <c r="X526" s="36" t="n">
        <v>0.5303703703703704</v>
      </c>
      <c r="Y526" s="31" t="n">
        <v>11179416</v>
      </c>
      <c r="Z526" s="31" t="n">
        <v>1154833672800</v>
      </c>
      <c r="AA526" s="31" t="n">
        <v>2972354200</v>
      </c>
      <c r="AB526" s="31" t="n">
        <v>5821323255</v>
      </c>
      <c r="AC526" s="36" t="n">
        <v>0.002573837488469881</v>
      </c>
      <c r="AD526" s="29" t="inlineStr">
        <is>
          <t>yfinance_download</t>
        </is>
      </c>
      <c r="AE526" s="29" t="inlineStr">
        <is>
          <t>064760.KQ</t>
        </is>
      </c>
    </row>
    <row r="527" ht="24" customHeight="1">
      <c r="A527" s="24" t="inlineStr">
        <is>
          <t>2025-08-05</t>
        </is>
      </c>
      <c r="B527" s="30" t="n">
        <v>103500</v>
      </c>
      <c r="C527" s="30" t="n">
        <v>104800</v>
      </c>
      <c r="D527" s="30" t="n">
        <v>101300</v>
      </c>
      <c r="E527" s="30" t="n">
        <v>102100</v>
      </c>
      <c r="F527" s="30" t="n">
        <v>101113.9609375</v>
      </c>
      <c r="G527" s="30" t="n">
        <v>26950</v>
      </c>
      <c r="H527" s="35" t="n">
        <v>-0.01161665053242977</v>
      </c>
      <c r="I527" s="35" t="n">
        <v>-0.5021940516821063</v>
      </c>
      <c r="J527" s="30" t="n">
        <v>100165</v>
      </c>
      <c r="K527" s="30" t="n">
        <v>98083.33333333333</v>
      </c>
      <c r="L527" s="30" t="n">
        <v>91778.33333333333</v>
      </c>
      <c r="M527" s="35" t="n">
        <v>0.6170728745534239</v>
      </c>
      <c r="N527" s="35" t="n">
        <v>0.5404126141594896</v>
      </c>
      <c r="O527" s="35" t="n">
        <v>-0.01732435033686242</v>
      </c>
      <c r="P527" s="35" t="n">
        <v>0.1899766899766899</v>
      </c>
      <c r="Q527" s="35" t="n">
        <v>0.1955503512880563</v>
      </c>
      <c r="R527" s="35" t="n">
        <v>0.01931812509359565</v>
      </c>
      <c r="S527" s="35" t="n">
        <v>0.04095157179269338</v>
      </c>
      <c r="T527" s="35" t="n">
        <v>0.1124629996186464</v>
      </c>
      <c r="U527" s="30" t="n">
        <v>117400</v>
      </c>
      <c r="V527" s="30" t="n">
        <v>67500</v>
      </c>
      <c r="W527" s="35" t="n">
        <v>-0.1303236797274276</v>
      </c>
      <c r="X527" s="35" t="n">
        <v>0.5125925925925925</v>
      </c>
      <c r="Y527" s="30" t="n">
        <v>11179416</v>
      </c>
      <c r="Z527" s="30" t="n">
        <v>1141418373600</v>
      </c>
      <c r="AA527" s="30" t="n">
        <v>2751595000</v>
      </c>
      <c r="AB527" s="30" t="n">
        <v>5659925560</v>
      </c>
      <c r="AC527" s="35" t="n">
        <v>0.002410680486350987</v>
      </c>
      <c r="AD527" s="24" t="inlineStr">
        <is>
          <t>yfinance_download</t>
        </is>
      </c>
      <c r="AE527" s="24" t="inlineStr">
        <is>
          <t>064760.KQ</t>
        </is>
      </c>
    </row>
    <row r="528" ht="24" customHeight="1">
      <c r="A528" s="29" t="inlineStr">
        <is>
          <t>2025-08-06</t>
        </is>
      </c>
      <c r="B528" s="31" t="n">
        <v>102500</v>
      </c>
      <c r="C528" s="31" t="n">
        <v>102500</v>
      </c>
      <c r="D528" s="31" t="n">
        <v>100500</v>
      </c>
      <c r="E528" s="31" t="n">
        <v>101700</v>
      </c>
      <c r="F528" s="31" t="n">
        <v>100717.828125</v>
      </c>
      <c r="G528" s="31" t="n">
        <v>23316</v>
      </c>
      <c r="H528" s="36" t="n">
        <v>-0.003917727717923647</v>
      </c>
      <c r="I528" s="36" t="n">
        <v>-0.5041443198439786</v>
      </c>
      <c r="J528" s="31" t="n">
        <v>100145</v>
      </c>
      <c r="K528" s="31" t="n">
        <v>98208.33333333333</v>
      </c>
      <c r="L528" s="31" t="n">
        <v>91925.83333333333</v>
      </c>
      <c r="M528" s="36" t="n">
        <v>0.6139621168084739</v>
      </c>
      <c r="N528" s="36" t="n">
        <v>0.5034287936577591</v>
      </c>
      <c r="O528" s="36" t="n">
        <v>-0.003917727717923647</v>
      </c>
      <c r="P528" s="36" t="n">
        <v>0.07961783439490455</v>
      </c>
      <c r="Q528" s="36" t="n">
        <v>0.2107142857142856</v>
      </c>
      <c r="R528" s="36" t="n">
        <v>0.01552748514653746</v>
      </c>
      <c r="S528" s="36" t="n">
        <v>0.03555366991938902</v>
      </c>
      <c r="T528" s="36" t="n">
        <v>0.1063266582661748</v>
      </c>
      <c r="U528" s="31" t="n">
        <v>115100</v>
      </c>
      <c r="V528" s="31" t="n">
        <v>67500</v>
      </c>
      <c r="W528" s="36" t="n">
        <v>-0.1164205039096438</v>
      </c>
      <c r="X528" s="36" t="n">
        <v>0.5066666666666666</v>
      </c>
      <c r="Y528" s="31" t="n">
        <v>11179416</v>
      </c>
      <c r="Z528" s="31" t="n">
        <v>1136946607200</v>
      </c>
      <c r="AA528" s="31" t="n">
        <v>2371237200</v>
      </c>
      <c r="AB528" s="31" t="n">
        <v>5596907675</v>
      </c>
      <c r="AC528" s="36" t="n">
        <v>0.002085618783664549</v>
      </c>
      <c r="AD528" s="29" t="inlineStr">
        <is>
          <t>yfinance_download</t>
        </is>
      </c>
      <c r="AE528" s="29" t="inlineStr">
        <is>
          <t>064760.KQ</t>
        </is>
      </c>
    </row>
    <row r="529" ht="24" customHeight="1">
      <c r="A529" s="24" t="inlineStr">
        <is>
          <t>2025-08-07</t>
        </is>
      </c>
      <c r="B529" s="30" t="n">
        <v>105000</v>
      </c>
      <c r="C529" s="30" t="n">
        <v>106900</v>
      </c>
      <c r="D529" s="30" t="n">
        <v>103300</v>
      </c>
      <c r="E529" s="30" t="n">
        <v>104700</v>
      </c>
      <c r="F529" s="30" t="n">
        <v>103688.8515625</v>
      </c>
      <c r="G529" s="30" t="n">
        <v>40438</v>
      </c>
      <c r="H529" s="35" t="n">
        <v>0.02949852507374628</v>
      </c>
      <c r="I529" s="35" t="n">
        <v>-0.4895173086299366</v>
      </c>
      <c r="J529" s="30" t="n">
        <v>100155</v>
      </c>
      <c r="K529" s="30" t="n">
        <v>98386.66666666667</v>
      </c>
      <c r="L529" s="30" t="n">
        <v>92106.66666666667</v>
      </c>
      <c r="M529" s="35" t="n">
        <v>0.61730185159845</v>
      </c>
      <c r="N529" s="35" t="n">
        <v>0.5065487716025776</v>
      </c>
      <c r="O529" s="35" t="n">
        <v>0.00191387559808609</v>
      </c>
      <c r="P529" s="35" t="n">
        <v>0.1138297872340426</v>
      </c>
      <c r="Q529" s="35" t="n">
        <v>0.2614457831325301</v>
      </c>
      <c r="R529" s="35" t="n">
        <v>0.04537966152463691</v>
      </c>
      <c r="S529" s="35" t="n">
        <v>0.06416858652933999</v>
      </c>
      <c r="T529" s="35" t="n">
        <v>0.1367255356108859</v>
      </c>
      <c r="U529" s="30" t="n">
        <v>114400</v>
      </c>
      <c r="V529" s="30" t="n">
        <v>67500</v>
      </c>
      <c r="W529" s="35" t="n">
        <v>-0.08479020979020979</v>
      </c>
      <c r="X529" s="35" t="n">
        <v>0.5511111111111111</v>
      </c>
      <c r="Y529" s="30" t="n">
        <v>11179416</v>
      </c>
      <c r="Z529" s="30" t="n">
        <v>1170484855200</v>
      </c>
      <c r="AA529" s="30" t="n">
        <v>4233858600</v>
      </c>
      <c r="AB529" s="30" t="n">
        <v>5573580105</v>
      </c>
      <c r="AC529" s="35" t="n">
        <v>0.00361718358096702</v>
      </c>
      <c r="AD529" s="24" t="inlineStr">
        <is>
          <t>yfinance_download</t>
        </is>
      </c>
      <c r="AE529" s="24" t="inlineStr">
        <is>
          <t>064760.KQ</t>
        </is>
      </c>
    </row>
    <row r="530" ht="24" customHeight="1">
      <c r="A530" s="29" t="inlineStr">
        <is>
          <t>2025-08-08</t>
        </is>
      </c>
      <c r="B530" s="31" t="n">
        <v>104700</v>
      </c>
      <c r="C530" s="31" t="n">
        <v>109000</v>
      </c>
      <c r="D530" s="31" t="n">
        <v>103500</v>
      </c>
      <c r="E530" s="31" t="n">
        <v>107100</v>
      </c>
      <c r="F530" s="31" t="n">
        <v>106065.671875</v>
      </c>
      <c r="G530" s="31" t="n">
        <v>37396</v>
      </c>
      <c r="H530" s="36" t="n">
        <v>0.02292263610315182</v>
      </c>
      <c r="I530" s="36" t="n">
        <v>-0.4778156996587031</v>
      </c>
      <c r="J530" s="31" t="n">
        <v>100465</v>
      </c>
      <c r="K530" s="31" t="n">
        <v>98553.33333333333</v>
      </c>
      <c r="L530" s="31" t="n">
        <v>92258.33333333333</v>
      </c>
      <c r="M530" s="36" t="n">
        <v>0.6073856999408541</v>
      </c>
      <c r="N530" s="36" t="n">
        <v>0.5043607565474436</v>
      </c>
      <c r="O530" s="36" t="n">
        <v>0.06144697720515357</v>
      </c>
      <c r="P530" s="36" t="n">
        <v>0.1029866117404736</v>
      </c>
      <c r="Q530" s="36" t="n">
        <v>0.204724409448819</v>
      </c>
      <c r="R530" s="36" t="n">
        <v>0.06604290051261641</v>
      </c>
      <c r="S530" s="36" t="n">
        <v>0.08672123384969233</v>
      </c>
      <c r="T530" s="36" t="n">
        <v>0.160870743383615</v>
      </c>
      <c r="U530" s="31" t="n">
        <v>113800</v>
      </c>
      <c r="V530" s="31" t="n">
        <v>67500</v>
      </c>
      <c r="W530" s="36" t="n">
        <v>-0.0588752196836555</v>
      </c>
      <c r="X530" s="36" t="n">
        <v>0.5866666666666667</v>
      </c>
      <c r="Y530" s="31" t="n">
        <v>11179416</v>
      </c>
      <c r="Z530" s="31" t="n">
        <v>1197315453600</v>
      </c>
      <c r="AA530" s="31" t="n">
        <v>4005111600</v>
      </c>
      <c r="AB530" s="31" t="n">
        <v>5384992310</v>
      </c>
      <c r="AC530" s="36" t="n">
        <v>0.003345076343880575</v>
      </c>
      <c r="AD530" s="29" t="inlineStr">
        <is>
          <t>yfinance_download</t>
        </is>
      </c>
      <c r="AE530" s="29" t="inlineStr">
        <is>
          <t>064760.KQ</t>
        </is>
      </c>
    </row>
    <row r="531" ht="24" customHeight="1">
      <c r="A531" s="24" t="inlineStr">
        <is>
          <t>2025-08-11</t>
        </is>
      </c>
      <c r="B531" s="30" t="n">
        <v>106200</v>
      </c>
      <c r="C531" s="30" t="n">
        <v>107100</v>
      </c>
      <c r="D531" s="30" t="n">
        <v>104300</v>
      </c>
      <c r="E531" s="30" t="n">
        <v>106400</v>
      </c>
      <c r="F531" s="30" t="n">
        <v>105372.4375</v>
      </c>
      <c r="G531" s="30" t="n">
        <v>24789</v>
      </c>
      <c r="H531" s="35" t="n">
        <v>-0.006535947712418277</v>
      </c>
      <c r="I531" s="35" t="n">
        <v>-0.4812286689419796</v>
      </c>
      <c r="J531" s="30" t="n">
        <v>100785</v>
      </c>
      <c r="K531" s="30" t="n">
        <v>98736.66666666667</v>
      </c>
      <c r="L531" s="30" t="n">
        <v>92410.83333333333</v>
      </c>
      <c r="M531" s="35" t="n">
        <v>0.6067900276349895</v>
      </c>
      <c r="N531" s="35" t="n">
        <v>0.5030367072783442</v>
      </c>
      <c r="O531" s="35" t="n">
        <v>0.06400000000000006</v>
      </c>
      <c r="P531" s="35" t="n">
        <v>0.1153039832285114</v>
      </c>
      <c r="Q531" s="35" t="n">
        <v>0.2077185017026106</v>
      </c>
      <c r="R531" s="35" t="n">
        <v>0.05571265565312289</v>
      </c>
      <c r="S531" s="35" t="n">
        <v>0.07761385503527896</v>
      </c>
      <c r="T531" s="35" t="n">
        <v>0.1513801592526129</v>
      </c>
      <c r="U531" s="30" t="n">
        <v>113800</v>
      </c>
      <c r="V531" s="30" t="n">
        <v>67500</v>
      </c>
      <c r="W531" s="35" t="n">
        <v>-0.0650263620386643</v>
      </c>
      <c r="X531" s="35" t="n">
        <v>0.5762962962962963</v>
      </c>
      <c r="Y531" s="30" t="n">
        <v>11179416</v>
      </c>
      <c r="Z531" s="30" t="n">
        <v>1189489862400</v>
      </c>
      <c r="AA531" s="30" t="n">
        <v>2637549600</v>
      </c>
      <c r="AB531" s="30" t="n">
        <v>5378399790</v>
      </c>
      <c r="AC531" s="35" t="n">
        <v>0.002217378796888853</v>
      </c>
      <c r="AD531" s="24" t="inlineStr">
        <is>
          <t>yfinance_download</t>
        </is>
      </c>
      <c r="AE531" s="24" t="inlineStr">
        <is>
          <t>064760.KQ</t>
        </is>
      </c>
    </row>
    <row r="532" ht="24" customHeight="1">
      <c r="A532" s="29" t="inlineStr">
        <is>
          <t>2025-08-12</t>
        </is>
      </c>
      <c r="B532" s="31" t="n">
        <v>106800</v>
      </c>
      <c r="C532" s="31" t="n">
        <v>110500</v>
      </c>
      <c r="D532" s="31" t="n">
        <v>105800</v>
      </c>
      <c r="E532" s="31" t="n">
        <v>106400</v>
      </c>
      <c r="F532" s="31" t="n">
        <v>105372.4375</v>
      </c>
      <c r="G532" s="31" t="n">
        <v>27477</v>
      </c>
      <c r="H532" s="36" t="n">
        <v>0</v>
      </c>
      <c r="I532" s="36" t="n">
        <v>-0.4812286689419796</v>
      </c>
      <c r="J532" s="31" t="n">
        <v>101100</v>
      </c>
      <c r="K532" s="31" t="n">
        <v>98988.33333333333</v>
      </c>
      <c r="L532" s="31" t="n">
        <v>92571.66666666667</v>
      </c>
      <c r="M532" s="36" t="n">
        <v>0.6068609452299346</v>
      </c>
      <c r="N532" s="36" t="n">
        <v>0.4941464509576389</v>
      </c>
      <c r="O532" s="36" t="n">
        <v>0.06293706293706292</v>
      </c>
      <c r="P532" s="36" t="n">
        <v>0.1653888280394304</v>
      </c>
      <c r="Q532" s="36" t="n">
        <v>0.2215843857634903</v>
      </c>
      <c r="R532" s="36" t="n">
        <v>0.05242334322453024</v>
      </c>
      <c r="S532" s="36" t="n">
        <v>0.07487414341757459</v>
      </c>
      <c r="T532" s="36" t="n">
        <v>0.1493797598257205</v>
      </c>
      <c r="U532" s="31" t="n">
        <v>113800</v>
      </c>
      <c r="V532" s="31" t="n">
        <v>67500</v>
      </c>
      <c r="W532" s="36" t="n">
        <v>-0.0650263620386643</v>
      </c>
      <c r="X532" s="36" t="n">
        <v>0.5762962962962963</v>
      </c>
      <c r="Y532" s="31" t="n">
        <v>11179416</v>
      </c>
      <c r="Z532" s="31" t="n">
        <v>1189489862400</v>
      </c>
      <c r="AA532" s="31" t="n">
        <v>2923552800</v>
      </c>
      <c r="AB532" s="31" t="n">
        <v>5314777840</v>
      </c>
      <c r="AC532" s="36" t="n">
        <v>0.002457820694748277</v>
      </c>
      <c r="AD532" s="29" t="inlineStr">
        <is>
          <t>yfinance_download</t>
        </is>
      </c>
      <c r="AE532" s="29" t="inlineStr">
        <is>
          <t>064760.KQ</t>
        </is>
      </c>
    </row>
    <row r="533" ht="24" customHeight="1">
      <c r="A533" s="24" t="inlineStr">
        <is>
          <t>2025-08-13</t>
        </is>
      </c>
      <c r="B533" s="30" t="n">
        <v>108200</v>
      </c>
      <c r="C533" s="30" t="n">
        <v>116900</v>
      </c>
      <c r="D533" s="30" t="n">
        <v>108200</v>
      </c>
      <c r="E533" s="30" t="n">
        <v>115200</v>
      </c>
      <c r="F533" s="30" t="n">
        <v>114087.4453125</v>
      </c>
      <c r="G533" s="30" t="n">
        <v>107070</v>
      </c>
      <c r="H533" s="35" t="n">
        <v>0.08270676691729317</v>
      </c>
      <c r="I533" s="35" t="n">
        <v>-0.4383227693807898</v>
      </c>
      <c r="J533" s="30" t="n">
        <v>101845</v>
      </c>
      <c r="K533" s="30" t="n">
        <v>99403.33333333333</v>
      </c>
      <c r="L533" s="30" t="n">
        <v>92806.66666666667</v>
      </c>
      <c r="M533" s="35" t="n">
        <v>0.6683333535132397</v>
      </c>
      <c r="N533" s="35" t="n">
        <v>0.519467441628263</v>
      </c>
      <c r="O533" s="35" t="n">
        <v>0.148554336989033</v>
      </c>
      <c r="P533" s="35" t="n">
        <v>0.2757475083056478</v>
      </c>
      <c r="Q533" s="35" t="n">
        <v>0.3241379310344827</v>
      </c>
      <c r="R533" s="35" t="n">
        <v>0.1311306396975798</v>
      </c>
      <c r="S533" s="35" t="n">
        <v>0.1589148586566513</v>
      </c>
      <c r="T533" s="35" t="n">
        <v>0.2412901372027871</v>
      </c>
      <c r="U533" s="30" t="n">
        <v>115200</v>
      </c>
      <c r="V533" s="30" t="n">
        <v>67500</v>
      </c>
      <c r="W533" s="35" t="n">
        <v>0</v>
      </c>
      <c r="X533" s="35" t="n">
        <v>0.7066666666666668</v>
      </c>
      <c r="Y533" s="30" t="n">
        <v>11179416</v>
      </c>
      <c r="Z533" s="30" t="n">
        <v>1287868723200</v>
      </c>
      <c r="AA533" s="30" t="n">
        <v>12334464000</v>
      </c>
      <c r="AB533" s="30" t="n">
        <v>5796632645</v>
      </c>
      <c r="AC533" s="35" t="n">
        <v>0.009577423364512064</v>
      </c>
      <c r="AD533" s="24" t="inlineStr">
        <is>
          <t>yfinance_download</t>
        </is>
      </c>
      <c r="AE533" s="24" t="inlineStr">
        <is>
          <t>064760.KQ</t>
        </is>
      </c>
    </row>
    <row r="534" ht="24" customHeight="1">
      <c r="A534" s="29" t="inlineStr">
        <is>
          <t>2025-08-14</t>
        </is>
      </c>
      <c r="B534" s="31" t="n">
        <v>113800</v>
      </c>
      <c r="C534" s="31" t="n">
        <v>116800</v>
      </c>
      <c r="D534" s="31" t="n">
        <v>106200</v>
      </c>
      <c r="E534" s="31" t="n">
        <v>113000</v>
      </c>
      <c r="F534" s="31" t="n">
        <v>111908.6953125</v>
      </c>
      <c r="G534" s="31" t="n">
        <v>49716</v>
      </c>
      <c r="H534" s="36" t="n">
        <v>-0.01909722222222221</v>
      </c>
      <c r="I534" s="36" t="n">
        <v>-0.4490492442710873</v>
      </c>
      <c r="J534" s="31" t="n">
        <v>102535</v>
      </c>
      <c r="K534" s="31" t="n">
        <v>99788.33333333333</v>
      </c>
      <c r="L534" s="31" t="n">
        <v>93017.5</v>
      </c>
      <c r="M534" s="36" t="n">
        <v>0.6719672544073496</v>
      </c>
      <c r="N534" s="36" t="n">
        <v>0.5214198522272468</v>
      </c>
      <c r="O534" s="36" t="n">
        <v>0.1391129032258065</v>
      </c>
      <c r="P534" s="36" t="n">
        <v>0.256952169076752</v>
      </c>
      <c r="Q534" s="36" t="n">
        <v>0.2884834663625997</v>
      </c>
      <c r="R534" s="36" t="n">
        <v>0.1020627102940459</v>
      </c>
      <c r="S534" s="36" t="n">
        <v>0.1323969067860304</v>
      </c>
      <c r="T534" s="36" t="n">
        <v>0.2148251673072272</v>
      </c>
      <c r="U534" s="31" t="n">
        <v>115200</v>
      </c>
      <c r="V534" s="31" t="n">
        <v>67500</v>
      </c>
      <c r="W534" s="36" t="n">
        <v>-0.01909722222222221</v>
      </c>
      <c r="X534" s="36" t="n">
        <v>0.674074074074074</v>
      </c>
      <c r="Y534" s="31" t="n">
        <v>11179416</v>
      </c>
      <c r="Z534" s="31" t="n">
        <v>1263274008000</v>
      </c>
      <c r="AA534" s="31" t="n">
        <v>5617908000</v>
      </c>
      <c r="AB534" s="31" t="n">
        <v>5982048045</v>
      </c>
      <c r="AC534" s="36" t="n">
        <v>0.004447101709069597</v>
      </c>
      <c r="AD534" s="29" t="inlineStr">
        <is>
          <t>yfinance_download</t>
        </is>
      </c>
      <c r="AE534" s="29" t="inlineStr">
        <is>
          <t>064760.KQ</t>
        </is>
      </c>
    </row>
    <row r="535" ht="24" customHeight="1">
      <c r="A535" s="24" t="inlineStr">
        <is>
          <t>2025-08-18</t>
        </is>
      </c>
      <c r="B535" s="30" t="n">
        <v>110600</v>
      </c>
      <c r="C535" s="30" t="n">
        <v>116300</v>
      </c>
      <c r="D535" s="30" t="n">
        <v>109200</v>
      </c>
      <c r="E535" s="30" t="n">
        <v>114200</v>
      </c>
      <c r="F535" s="30" t="n">
        <v>113097.109375</v>
      </c>
      <c r="G535" s="30" t="n">
        <v>54396</v>
      </c>
      <c r="H535" s="35" t="n">
        <v>0.01061946902654864</v>
      </c>
      <c r="I535" s="35" t="n">
        <v>-0.4431984397854705</v>
      </c>
      <c r="J535" s="30" t="n">
        <v>103285</v>
      </c>
      <c r="K535" s="30" t="n">
        <v>100195</v>
      </c>
      <c r="L535" s="30" t="n">
        <v>93244.16666666667</v>
      </c>
      <c r="M535" s="35" t="n">
        <v>0.6714840759898727</v>
      </c>
      <c r="N535" s="35" t="n">
        <v>0.5214507880280869</v>
      </c>
      <c r="O535" s="35" t="n">
        <v>0.1512096774193548</v>
      </c>
      <c r="P535" s="35" t="n">
        <v>0.2717149220489978</v>
      </c>
      <c r="Q535" s="35" t="n">
        <v>0.3126436781609196</v>
      </c>
      <c r="R535" s="35" t="n">
        <v>0.1056784625066562</v>
      </c>
      <c r="S535" s="35" t="n">
        <v>0.1397774340036928</v>
      </c>
      <c r="T535" s="35" t="n">
        <v>0.2247414941059762</v>
      </c>
      <c r="U535" s="30" t="n">
        <v>115200</v>
      </c>
      <c r="V535" s="30" t="n">
        <v>67500</v>
      </c>
      <c r="W535" s="35" t="n">
        <v>-0.00868055555555558</v>
      </c>
      <c r="X535" s="35" t="n">
        <v>0.6918518518518519</v>
      </c>
      <c r="Y535" s="30" t="n">
        <v>11179416</v>
      </c>
      <c r="Z535" s="30" t="n">
        <v>1276689307200</v>
      </c>
      <c r="AA535" s="30" t="n">
        <v>6212023200</v>
      </c>
      <c r="AB535" s="30" t="n">
        <v>6192422485</v>
      </c>
      <c r="AC535" s="35" t="n">
        <v>0.004865728227664129</v>
      </c>
      <c r="AD535" s="24" t="inlineStr">
        <is>
          <t>yfinance_download</t>
        </is>
      </c>
      <c r="AE535" s="24" t="inlineStr">
        <is>
          <t>064760.KQ</t>
        </is>
      </c>
    </row>
    <row r="536" ht="24" customHeight="1">
      <c r="A536" s="29" t="inlineStr">
        <is>
          <t>2025-08-19</t>
        </is>
      </c>
      <c r="B536" s="31" t="n">
        <v>114700</v>
      </c>
      <c r="C536" s="31" t="n">
        <v>114700</v>
      </c>
      <c r="D536" s="31" t="n">
        <v>110600</v>
      </c>
      <c r="E536" s="31" t="n">
        <v>112200</v>
      </c>
      <c r="F536" s="31" t="n">
        <v>111116.421875</v>
      </c>
      <c r="G536" s="31" t="n">
        <v>30809</v>
      </c>
      <c r="H536" s="36" t="n">
        <v>-0.01751313485113837</v>
      </c>
      <c r="I536" s="36" t="n">
        <v>-0.4529497805948318</v>
      </c>
      <c r="J536" s="31" t="n">
        <v>104045</v>
      </c>
      <c r="K536" s="31" t="n">
        <v>100648.3333333333</v>
      </c>
      <c r="L536" s="31" t="n">
        <v>93464.16666666667</v>
      </c>
      <c r="M536" s="36" t="n">
        <v>0.6689141526757028</v>
      </c>
      <c r="N536" s="36" t="n">
        <v>0.5094458935430629</v>
      </c>
      <c r="O536" s="36" t="n">
        <v>0.1567010309278352</v>
      </c>
      <c r="P536" s="36" t="n">
        <v>0.3200000000000001</v>
      </c>
      <c r="Q536" s="36" t="n">
        <v>0.3076923076923077</v>
      </c>
      <c r="R536" s="36" t="n">
        <v>0.07837954731125962</v>
      </c>
      <c r="S536" s="36" t="n">
        <v>0.1147725579161769</v>
      </c>
      <c r="T536" s="36" t="n">
        <v>0.200460069367048</v>
      </c>
      <c r="U536" s="31" t="n">
        <v>115200</v>
      </c>
      <c r="V536" s="31" t="n">
        <v>67500</v>
      </c>
      <c r="W536" s="36" t="n">
        <v>-0.02604166666666663</v>
      </c>
      <c r="X536" s="36" t="n">
        <v>0.6622222222222223</v>
      </c>
      <c r="Y536" s="31" t="n">
        <v>11179416</v>
      </c>
      <c r="Z536" s="31" t="n">
        <v>1254330475200</v>
      </c>
      <c r="AA536" s="31" t="n">
        <v>3456769800</v>
      </c>
      <c r="AB536" s="31" t="n">
        <v>6203983925</v>
      </c>
      <c r="AC536" s="36" t="n">
        <v>0.002755868463969853</v>
      </c>
      <c r="AD536" s="29" t="inlineStr">
        <is>
          <t>yfinance_download</t>
        </is>
      </c>
      <c r="AE536" s="29" t="inlineStr">
        <is>
          <t>064760.KQ</t>
        </is>
      </c>
    </row>
    <row r="537" ht="24" customHeight="1">
      <c r="A537" s="24" t="inlineStr">
        <is>
          <t>2025-08-20</t>
        </is>
      </c>
      <c r="B537" s="30" t="n">
        <v>112000</v>
      </c>
      <c r="C537" s="30" t="n">
        <v>112000</v>
      </c>
      <c r="D537" s="30" t="n">
        <v>108100</v>
      </c>
      <c r="E537" s="30" t="n">
        <v>110700</v>
      </c>
      <c r="F537" s="30" t="n">
        <v>109630.90625</v>
      </c>
      <c r="G537" s="30" t="n">
        <v>31821</v>
      </c>
      <c r="H537" s="35" t="n">
        <v>-0.0133689839572193</v>
      </c>
      <c r="I537" s="35" t="n">
        <v>-0.4602632862018528</v>
      </c>
      <c r="J537" s="30" t="n">
        <v>104860</v>
      </c>
      <c r="K537" s="30" t="n">
        <v>101071.6666666667</v>
      </c>
      <c r="L537" s="30" t="n">
        <v>93649.16666666667</v>
      </c>
      <c r="M537" s="35" t="n">
        <v>0.6612689501892102</v>
      </c>
      <c r="N537" s="35" t="n">
        <v>0.5108475985305635</v>
      </c>
      <c r="O537" s="35" t="n">
        <v>0.1726694915254237</v>
      </c>
      <c r="P537" s="35" t="n">
        <v>0.2977725674091443</v>
      </c>
      <c r="Q537" s="35" t="n">
        <v>0.2508474576271187</v>
      </c>
      <c r="R537" s="35" t="n">
        <v>0.05569330535952699</v>
      </c>
      <c r="S537" s="35" t="n">
        <v>0.09526243754431674</v>
      </c>
      <c r="T537" s="35" t="n">
        <v>0.1820713834435259</v>
      </c>
      <c r="U537" s="30" t="n">
        <v>115200</v>
      </c>
      <c r="V537" s="30" t="n">
        <v>67500</v>
      </c>
      <c r="W537" s="35" t="n">
        <v>-0.0390625</v>
      </c>
      <c r="X537" s="35" t="n">
        <v>0.6399999999999999</v>
      </c>
      <c r="Y537" s="30" t="n">
        <v>11179416</v>
      </c>
      <c r="Z537" s="30" t="n">
        <v>1237561351200</v>
      </c>
      <c r="AA537" s="30" t="n">
        <v>3522584700</v>
      </c>
      <c r="AB537" s="30" t="n">
        <v>6208739400</v>
      </c>
      <c r="AC537" s="35" t="n">
        <v>0.00284639197611038</v>
      </c>
      <c r="AD537" s="24" t="inlineStr">
        <is>
          <t>yfinance_download</t>
        </is>
      </c>
      <c r="AE537" s="24" t="inlineStr">
        <is>
          <t>064760.KQ</t>
        </is>
      </c>
    </row>
    <row r="538" ht="24" customHeight="1">
      <c r="A538" s="29" t="inlineStr">
        <is>
          <t>2025-08-21</t>
        </is>
      </c>
      <c r="B538" s="31" t="n">
        <v>110700</v>
      </c>
      <c r="C538" s="31" t="n">
        <v>111200</v>
      </c>
      <c r="D538" s="31" t="n">
        <v>108500</v>
      </c>
      <c r="E538" s="31" t="n">
        <v>109700</v>
      </c>
      <c r="F538" s="31" t="n">
        <v>108640.5625</v>
      </c>
      <c r="G538" s="31" t="n">
        <v>35841</v>
      </c>
      <c r="H538" s="36" t="n">
        <v>-0.009033423667569984</v>
      </c>
      <c r="I538" s="36" t="n">
        <v>-0.4651389566065334</v>
      </c>
      <c r="J538" s="31" t="n">
        <v>105660</v>
      </c>
      <c r="K538" s="31" t="n">
        <v>101461.6666666667</v>
      </c>
      <c r="L538" s="31" t="n">
        <v>93854.16666666667</v>
      </c>
      <c r="M538" s="36" t="n">
        <v>0.6618194457617292</v>
      </c>
      <c r="N538" s="36" t="n">
        <v>0.5114249788546597</v>
      </c>
      <c r="O538" s="36" t="n">
        <v>0.1707577374599787</v>
      </c>
      <c r="P538" s="36" t="n">
        <v>0.2711471610660487</v>
      </c>
      <c r="Q538" s="36" t="n">
        <v>0.2890716803760283</v>
      </c>
      <c r="R538" s="36" t="n">
        <v>0.03823585084232439</v>
      </c>
      <c r="S538" s="36" t="n">
        <v>0.08119651099758518</v>
      </c>
      <c r="T538" s="36" t="n">
        <v>0.168834628190899</v>
      </c>
      <c r="U538" s="31" t="n">
        <v>115200</v>
      </c>
      <c r="V538" s="31" t="n">
        <v>67500</v>
      </c>
      <c r="W538" s="36" t="n">
        <v>-0.04774305555555558</v>
      </c>
      <c r="X538" s="36" t="n">
        <v>0.6251851851851853</v>
      </c>
      <c r="Y538" s="31" t="n">
        <v>11179416</v>
      </c>
      <c r="Z538" s="31" t="n">
        <v>1226381935200</v>
      </c>
      <c r="AA538" s="31" t="n">
        <v>3931757700</v>
      </c>
      <c r="AB538" s="31" t="n">
        <v>6301830950</v>
      </c>
      <c r="AC538" s="36" t="n">
        <v>0.003205981421569785</v>
      </c>
      <c r="AD538" s="29" t="inlineStr">
        <is>
          <t>yfinance_download</t>
        </is>
      </c>
      <c r="AE538" s="29" t="inlineStr">
        <is>
          <t>064760.KQ</t>
        </is>
      </c>
    </row>
    <row r="539" ht="24" customHeight="1">
      <c r="A539" s="24" t="inlineStr">
        <is>
          <t>2025-08-22</t>
        </is>
      </c>
      <c r="B539" s="30" t="n">
        <v>109700</v>
      </c>
      <c r="C539" s="30" t="n">
        <v>111400</v>
      </c>
      <c r="D539" s="30" t="n">
        <v>107900</v>
      </c>
      <c r="E539" s="30" t="n">
        <v>108300</v>
      </c>
      <c r="F539" s="30" t="n">
        <v>107254.0859375</v>
      </c>
      <c r="G539" s="30" t="n">
        <v>23609</v>
      </c>
      <c r="H539" s="35" t="n">
        <v>-0.01276207839562438</v>
      </c>
      <c r="I539" s="35" t="n">
        <v>-0.4719648951730863</v>
      </c>
      <c r="J539" s="30" t="n">
        <v>106455</v>
      </c>
      <c r="K539" s="30" t="n">
        <v>101815</v>
      </c>
      <c r="L539" s="30" t="n">
        <v>94051.66666666667</v>
      </c>
      <c r="M539" s="35" t="n">
        <v>0.6613278957213724</v>
      </c>
      <c r="N539" s="35" t="n">
        <v>0.5125394125158313</v>
      </c>
      <c r="O539" s="35" t="n">
        <v>0.1720779220779221</v>
      </c>
      <c r="P539" s="35" t="n">
        <v>0.2433983926521239</v>
      </c>
      <c r="Q539" s="35" t="n">
        <v>0.2801418439716312</v>
      </c>
      <c r="R539" s="35" t="n">
        <v>0.01733126673242213</v>
      </c>
      <c r="S539" s="35" t="n">
        <v>0.0636939547217994</v>
      </c>
      <c r="T539" s="35" t="n">
        <v>0.1514947457957505</v>
      </c>
      <c r="U539" s="30" t="n">
        <v>115200</v>
      </c>
      <c r="V539" s="30" t="n">
        <v>67500</v>
      </c>
      <c r="W539" s="35" t="n">
        <v>-0.05989583333333337</v>
      </c>
      <c r="X539" s="35" t="n">
        <v>0.6044444444444443</v>
      </c>
      <c r="Y539" s="30" t="n">
        <v>11179416</v>
      </c>
      <c r="Z539" s="30" t="n">
        <v>1210730752800</v>
      </c>
      <c r="AA539" s="30" t="n">
        <v>2556854700</v>
      </c>
      <c r="AB539" s="30" t="n">
        <v>6291521825</v>
      </c>
      <c r="AC539" s="35" t="n">
        <v>0.002111827666132113</v>
      </c>
      <c r="AD539" s="24" t="inlineStr">
        <is>
          <t>yfinance_download</t>
        </is>
      </c>
      <c r="AE539" s="24" t="inlineStr">
        <is>
          <t>064760.KQ</t>
        </is>
      </c>
    </row>
    <row r="540" ht="24" customHeight="1">
      <c r="A540" s="29" t="inlineStr">
        <is>
          <t>2025-08-25</t>
        </is>
      </c>
      <c r="B540" s="31" t="n">
        <v>109800</v>
      </c>
      <c r="C540" s="31" t="n">
        <v>110700</v>
      </c>
      <c r="D540" s="31" t="n">
        <v>108000</v>
      </c>
      <c r="E540" s="31" t="n">
        <v>109200</v>
      </c>
      <c r="F540" s="31" t="n">
        <v>108145.390625</v>
      </c>
      <c r="G540" s="31" t="n">
        <v>33264</v>
      </c>
      <c r="H540" s="36" t="n">
        <v>0.008310249307479145</v>
      </c>
      <c r="I540" s="36" t="n">
        <v>-0.4675767918088737</v>
      </c>
      <c r="J540" s="31" t="n">
        <v>107315</v>
      </c>
      <c r="K540" s="31" t="n">
        <v>102180</v>
      </c>
      <c r="L540" s="31" t="n">
        <v>94260</v>
      </c>
      <c r="M540" s="36" t="n">
        <v>0.6595296142474907</v>
      </c>
      <c r="N540" s="36" t="n">
        <v>0.512595516290975</v>
      </c>
      <c r="O540" s="36" t="n">
        <v>0.1869565217391305</v>
      </c>
      <c r="P540" s="36" t="n">
        <v>0.2508591065292096</v>
      </c>
      <c r="Q540" s="36" t="n">
        <v>0.2969121140142519</v>
      </c>
      <c r="R540" s="36" t="n">
        <v>0.01756511205330114</v>
      </c>
      <c r="S540" s="36" t="n">
        <v>0.06870229007633588</v>
      </c>
      <c r="T540" s="36" t="n">
        <v>0.158497772119669</v>
      </c>
      <c r="U540" s="31" t="n">
        <v>115200</v>
      </c>
      <c r="V540" s="31" t="n">
        <v>67500</v>
      </c>
      <c r="W540" s="36" t="n">
        <v>-0.05208333333333337</v>
      </c>
      <c r="X540" s="36" t="n">
        <v>0.6177777777777778</v>
      </c>
      <c r="Y540" s="31" t="n">
        <v>11179416</v>
      </c>
      <c r="Z540" s="31" t="n">
        <v>1220792227200</v>
      </c>
      <c r="AA540" s="31" t="n">
        <v>3632428800</v>
      </c>
      <c r="AB540" s="31" t="n">
        <v>6377334465</v>
      </c>
      <c r="AC540" s="36" t="n">
        <v>0.002975468486010361</v>
      </c>
      <c r="AD540" s="29" t="inlineStr">
        <is>
          <t>yfinance_download</t>
        </is>
      </c>
      <c r="AE540" s="29" t="inlineStr">
        <is>
          <t>064760.KQ</t>
        </is>
      </c>
    </row>
    <row r="541" ht="24" customHeight="1">
      <c r="A541" s="24" t="inlineStr">
        <is>
          <t>2025-08-26</t>
        </is>
      </c>
      <c r="B541" s="30" t="n">
        <v>110100</v>
      </c>
      <c r="C541" s="30" t="n">
        <v>112500</v>
      </c>
      <c r="D541" s="30" t="n">
        <v>108300</v>
      </c>
      <c r="E541" s="30" t="n">
        <v>110700</v>
      </c>
      <c r="F541" s="30" t="n">
        <v>109630.90625</v>
      </c>
      <c r="G541" s="30" t="n">
        <v>25324</v>
      </c>
      <c r="H541" s="35" t="n">
        <v>0.01373626373626369</v>
      </c>
      <c r="I541" s="35" t="n">
        <v>-0.4602632862018528</v>
      </c>
      <c r="J541" s="30" t="n">
        <v>108120</v>
      </c>
      <c r="K541" s="30" t="n">
        <v>102500</v>
      </c>
      <c r="L541" s="30" t="n">
        <v>94514.16666666667</v>
      </c>
      <c r="M541" s="35" t="n">
        <v>0.6560238369908749</v>
      </c>
      <c r="N541" s="35" t="n">
        <v>0.5048100638001668</v>
      </c>
      <c r="O541" s="35" t="n">
        <v>0.1701902748414377</v>
      </c>
      <c r="P541" s="35" t="n">
        <v>0.2098360655737705</v>
      </c>
      <c r="Q541" s="35" t="n">
        <v>0.3802992518703241</v>
      </c>
      <c r="R541" s="35" t="n">
        <v>0.02386237513873479</v>
      </c>
      <c r="S541" s="35" t="n">
        <v>0.08000000000000007</v>
      </c>
      <c r="T541" s="35" t="n">
        <v>0.1712529867656523</v>
      </c>
      <c r="U541" s="30" t="n">
        <v>115200</v>
      </c>
      <c r="V541" s="30" t="n">
        <v>67500</v>
      </c>
      <c r="W541" s="35" t="n">
        <v>-0.0390625</v>
      </c>
      <c r="X541" s="35" t="n">
        <v>0.6399999999999999</v>
      </c>
      <c r="Y541" s="30" t="n">
        <v>11179416</v>
      </c>
      <c r="Z541" s="30" t="n">
        <v>1237561351200</v>
      </c>
      <c r="AA541" s="30" t="n">
        <v>2803366800</v>
      </c>
      <c r="AB541" s="30" t="n">
        <v>6328009545</v>
      </c>
      <c r="AC541" s="35" t="n">
        <v>0.00226523460617263</v>
      </c>
      <c r="AD541" s="24" t="inlineStr">
        <is>
          <t>yfinance_download</t>
        </is>
      </c>
      <c r="AE541" s="24" t="inlineStr">
        <is>
          <t>064760.KQ</t>
        </is>
      </c>
    </row>
    <row r="542" ht="24" customHeight="1">
      <c r="A542" s="29" t="inlineStr">
        <is>
          <t>2025-08-27</t>
        </is>
      </c>
      <c r="B542" s="31" t="n">
        <v>109700</v>
      </c>
      <c r="C542" s="31" t="n">
        <v>111700</v>
      </c>
      <c r="D542" s="31" t="n">
        <v>108800</v>
      </c>
      <c r="E542" s="31" t="n">
        <v>110900</v>
      </c>
      <c r="F542" s="31" t="n">
        <v>109828.9765625</v>
      </c>
      <c r="G542" s="31" t="n">
        <v>25497</v>
      </c>
      <c r="H542" s="36" t="n">
        <v>0.001806684733514086</v>
      </c>
      <c r="I542" s="36" t="n">
        <v>-0.4592881521209167</v>
      </c>
      <c r="J542" s="31" t="n">
        <v>108310</v>
      </c>
      <c r="K542" s="31" t="n">
        <v>102888.3333333333</v>
      </c>
      <c r="L542" s="31" t="n">
        <v>94759.16666666667</v>
      </c>
      <c r="M542" s="36" t="n">
        <v>0.4664023959175397</v>
      </c>
      <c r="N542" s="36" t="n">
        <v>0.4955377227436026</v>
      </c>
      <c r="O542" s="36" t="n">
        <v>0.03548085901027087</v>
      </c>
      <c r="P542" s="36" t="n">
        <v>0.2659817351598173</v>
      </c>
      <c r="Q542" s="36" t="n">
        <v>0.3607361963190183</v>
      </c>
      <c r="R542" s="36" t="n">
        <v>0.02391284276613415</v>
      </c>
      <c r="S542" s="36" t="n">
        <v>0.07786759107770558</v>
      </c>
      <c r="T542" s="36" t="n">
        <v>0.1703353237593548</v>
      </c>
      <c r="U542" s="31" t="n">
        <v>115200</v>
      </c>
      <c r="V542" s="31" t="n">
        <v>67500</v>
      </c>
      <c r="W542" s="36" t="n">
        <v>-0.03732638888888884</v>
      </c>
      <c r="X542" s="36" t="n">
        <v>0.642962962962963</v>
      </c>
      <c r="Y542" s="31" t="n">
        <v>11179416</v>
      </c>
      <c r="Z542" s="31" t="n">
        <v>1239797234400</v>
      </c>
      <c r="AA542" s="31" t="n">
        <v>2827617300</v>
      </c>
      <c r="AB542" s="31" t="n">
        <v>5067333600</v>
      </c>
      <c r="AC542" s="36" t="n">
        <v>0.002280709475342898</v>
      </c>
      <c r="AD542" s="29" t="inlineStr">
        <is>
          <t>yfinance_download</t>
        </is>
      </c>
      <c r="AE542" s="29" t="inlineStr">
        <is>
          <t>064760.KQ</t>
        </is>
      </c>
    </row>
    <row r="543" ht="24" customHeight="1">
      <c r="A543" s="24" t="inlineStr">
        <is>
          <t>2025-08-28</t>
        </is>
      </c>
      <c r="B543" s="30" t="n">
        <v>110800</v>
      </c>
      <c r="C543" s="30" t="n">
        <v>112200</v>
      </c>
      <c r="D543" s="30" t="n">
        <v>109000</v>
      </c>
      <c r="E543" s="30" t="n">
        <v>110400</v>
      </c>
      <c r="F543" s="30" t="n">
        <v>109333.8046875</v>
      </c>
      <c r="G543" s="30" t="n">
        <v>16355</v>
      </c>
      <c r="H543" s="35" t="n">
        <v>-0.00450856627592422</v>
      </c>
      <c r="I543" s="35" t="n">
        <v>-0.461725987323257</v>
      </c>
      <c r="J543" s="30" t="n">
        <v>108240</v>
      </c>
      <c r="K543" s="30" t="n">
        <v>103241.6666666667</v>
      </c>
      <c r="L543" s="30" t="n">
        <v>94999.16666666667</v>
      </c>
      <c r="M543" s="35" t="n">
        <v>0.4398446312564701</v>
      </c>
      <c r="N543" s="35" t="n">
        <v>0.4950140406428231</v>
      </c>
      <c r="O543" s="35" t="n">
        <v>-0.01252236135957063</v>
      </c>
      <c r="P543" s="35" t="n">
        <v>0.2376681614349776</v>
      </c>
      <c r="Q543" s="35" t="n">
        <v>0.3529411764705883</v>
      </c>
      <c r="R543" s="35" t="n">
        <v>0.01995565410199562</v>
      </c>
      <c r="S543" s="35" t="n">
        <v>0.06933570102510278</v>
      </c>
      <c r="T543" s="35" t="n">
        <v>0.1621154571531329</v>
      </c>
      <c r="U543" s="30" t="n">
        <v>115200</v>
      </c>
      <c r="V543" s="30" t="n">
        <v>67500</v>
      </c>
      <c r="W543" s="35" t="n">
        <v>-0.04166666666666663</v>
      </c>
      <c r="X543" s="35" t="n">
        <v>0.6355555555555557</v>
      </c>
      <c r="Y543" s="30" t="n">
        <v>11179416</v>
      </c>
      <c r="Z543" s="30" t="n">
        <v>1234207526400</v>
      </c>
      <c r="AA543" s="30" t="n">
        <v>1805592000</v>
      </c>
      <c r="AB543" s="30" t="n">
        <v>4368254890</v>
      </c>
      <c r="AC543" s="35" t="n">
        <v>0.001462956562310589</v>
      </c>
      <c r="AD543" s="24" t="inlineStr">
        <is>
          <t>yfinance_download</t>
        </is>
      </c>
      <c r="AE543" s="24" t="inlineStr">
        <is>
          <t>064760.KQ</t>
        </is>
      </c>
    </row>
    <row r="544" ht="24" customHeight="1">
      <c r="A544" s="29" t="inlineStr">
        <is>
          <t>2025-08-29</t>
        </is>
      </c>
      <c r="B544" s="31" t="n">
        <v>110500</v>
      </c>
      <c r="C544" s="31" t="n">
        <v>111800</v>
      </c>
      <c r="D544" s="31" t="n">
        <v>108100</v>
      </c>
      <c r="E544" s="31" t="n">
        <v>109500</v>
      </c>
      <c r="F544" s="31" t="n">
        <v>108442.5</v>
      </c>
      <c r="G544" s="31" t="n">
        <v>18202</v>
      </c>
      <c r="H544" s="36" t="n">
        <v>-0.008152173913043459</v>
      </c>
      <c r="I544" s="36" t="n">
        <v>-0.4661140906874696</v>
      </c>
      <c r="J544" s="31" t="n">
        <v>108365</v>
      </c>
      <c r="K544" s="31" t="n">
        <v>103491.6666666667</v>
      </c>
      <c r="L544" s="31" t="n">
        <v>95247.5</v>
      </c>
      <c r="M544" s="36" t="n">
        <v>0.4115148381131898</v>
      </c>
      <c r="N544" s="36" t="n">
        <v>0.4819131131351256</v>
      </c>
      <c r="O544" s="36" t="n">
        <v>0.02336448598130847</v>
      </c>
      <c r="P544" s="36" t="n">
        <v>0.1587301587301588</v>
      </c>
      <c r="Q544" s="36" t="n">
        <v>0.3739021329987453</v>
      </c>
      <c r="R544" s="36" t="n">
        <v>0.01047386148664242</v>
      </c>
      <c r="S544" s="36" t="n">
        <v>0.05805620420323687</v>
      </c>
      <c r="T544" s="36" t="n">
        <v>0.1496364733982518</v>
      </c>
      <c r="U544" s="31" t="n">
        <v>115200</v>
      </c>
      <c r="V544" s="31" t="n">
        <v>67500</v>
      </c>
      <c r="W544" s="36" t="n">
        <v>-0.04947916666666663</v>
      </c>
      <c r="X544" s="36" t="n">
        <v>0.6222222222222222</v>
      </c>
      <c r="Y544" s="31" t="n">
        <v>11179416</v>
      </c>
      <c r="Z544" s="31" t="n">
        <v>1224146052000</v>
      </c>
      <c r="AA544" s="31" t="n">
        <v>1993119000</v>
      </c>
      <c r="AB544" s="31" t="n">
        <v>3897574090</v>
      </c>
      <c r="AC544" s="36" t="n">
        <v>0.001628170916978132</v>
      </c>
      <c r="AD544" s="29" t="inlineStr">
        <is>
          <t>yfinance_download</t>
        </is>
      </c>
      <c r="AE544" s="29" t="inlineStr">
        <is>
          <t>064760.KQ</t>
        </is>
      </c>
    </row>
    <row r="545" ht="24" customHeight="1">
      <c r="A545" s="24" t="inlineStr">
        <is>
          <t>2025-09-01</t>
        </is>
      </c>
      <c r="B545" s="30" t="n">
        <v>106600</v>
      </c>
      <c r="C545" s="30" t="n">
        <v>107700</v>
      </c>
      <c r="D545" s="30" t="n">
        <v>102700</v>
      </c>
      <c r="E545" s="30" t="n">
        <v>102900</v>
      </c>
      <c r="F545" s="30" t="n">
        <v>101906.234375</v>
      </c>
      <c r="G545" s="30" t="n">
        <v>35309</v>
      </c>
      <c r="H545" s="35" t="n">
        <v>-0.0602739726027397</v>
      </c>
      <c r="I545" s="35" t="n">
        <v>-0.4982935153583617</v>
      </c>
      <c r="J545" s="30" t="n">
        <v>108430</v>
      </c>
      <c r="K545" s="30" t="n">
        <v>103615</v>
      </c>
      <c r="L545" s="30" t="n">
        <v>95428.33333333333</v>
      </c>
      <c r="M545" s="35" t="n">
        <v>0.4290296120893266</v>
      </c>
      <c r="N545" s="35" t="n">
        <v>0.4986725404200769</v>
      </c>
      <c r="O545" s="35" t="n">
        <v>0.01279527559055116</v>
      </c>
      <c r="P545" s="35" t="n">
        <v>0.07748691099476446</v>
      </c>
      <c r="Q545" s="35" t="n">
        <v>0.2672413793103448</v>
      </c>
      <c r="R545" s="35" t="n">
        <v>-0.05100064557779216</v>
      </c>
      <c r="S545" s="35" t="n">
        <v>-0.006900545287844451</v>
      </c>
      <c r="T545" s="35" t="n">
        <v>0.07829610353319261</v>
      </c>
      <c r="U545" s="30" t="n">
        <v>115200</v>
      </c>
      <c r="V545" s="30" t="n">
        <v>67500</v>
      </c>
      <c r="W545" s="35" t="n">
        <v>-0.1067708333333334</v>
      </c>
      <c r="X545" s="35" t="n">
        <v>0.5244444444444445</v>
      </c>
      <c r="Y545" s="30" t="n">
        <v>11179416</v>
      </c>
      <c r="Z545" s="30" t="n">
        <v>1150361906400</v>
      </c>
      <c r="AA545" s="30" t="n">
        <v>3633296100</v>
      </c>
      <c r="AB545" s="30" t="n">
        <v>3811152055</v>
      </c>
      <c r="AC545" s="35" t="n">
        <v>0.003158393962618441</v>
      </c>
      <c r="AD545" s="24" t="inlineStr">
        <is>
          <t>yfinance_download</t>
        </is>
      </c>
      <c r="AE545" s="24" t="inlineStr">
        <is>
          <t>064760.KQ</t>
        </is>
      </c>
    </row>
    <row r="546" ht="24" customHeight="1">
      <c r="A546" s="29" t="inlineStr">
        <is>
          <t>2025-09-02</t>
        </is>
      </c>
      <c r="B546" s="31" t="n">
        <v>102600</v>
      </c>
      <c r="C546" s="31" t="n">
        <v>104400</v>
      </c>
      <c r="D546" s="31" t="n">
        <v>101700</v>
      </c>
      <c r="E546" s="31" t="n">
        <v>102200</v>
      </c>
      <c r="F546" s="31" t="n">
        <v>101213</v>
      </c>
      <c r="G546" s="31" t="n">
        <v>29974</v>
      </c>
      <c r="H546" s="36" t="n">
        <v>-0.006802721088435382</v>
      </c>
      <c r="I546" s="36" t="n">
        <v>-0.5017064846416383</v>
      </c>
      <c r="J546" s="31" t="n">
        <v>108375</v>
      </c>
      <c r="K546" s="31" t="n">
        <v>103745</v>
      </c>
      <c r="L546" s="31" t="n">
        <v>95586.66666666667</v>
      </c>
      <c r="M546" s="36" t="n">
        <v>0.4256876005391814</v>
      </c>
      <c r="N546" s="36" t="n">
        <v>0.4982315077955781</v>
      </c>
      <c r="O546" s="36" t="n">
        <v>-0.01064859632139403</v>
      </c>
      <c r="P546" s="36" t="n">
        <v>0.08262711864406769</v>
      </c>
      <c r="Q546" s="36" t="n">
        <v>0.2283653846153846</v>
      </c>
      <c r="R546" s="36" t="n">
        <v>-0.05697808535178772</v>
      </c>
      <c r="S546" s="36" t="n">
        <v>-0.01489228396549236</v>
      </c>
      <c r="T546" s="36" t="n">
        <v>0.06918677639838178</v>
      </c>
      <c r="U546" s="31" t="n">
        <v>115200</v>
      </c>
      <c r="V546" s="31" t="n">
        <v>67500</v>
      </c>
      <c r="W546" s="36" t="n">
        <v>-0.1128472222222222</v>
      </c>
      <c r="X546" s="36" t="n">
        <v>0.5140740740740741</v>
      </c>
      <c r="Y546" s="31" t="n">
        <v>11179416</v>
      </c>
      <c r="Z546" s="31" t="n">
        <v>1142536315200</v>
      </c>
      <c r="AA546" s="31" t="n">
        <v>3063342800</v>
      </c>
      <c r="AB546" s="31" t="n">
        <v>3815701485</v>
      </c>
      <c r="AC546" s="36" t="n">
        <v>0.002681177621442838</v>
      </c>
      <c r="AD546" s="29" t="inlineStr">
        <is>
          <t>yfinance_download</t>
        </is>
      </c>
      <c r="AE546" s="29" t="inlineStr">
        <is>
          <t>064760.KQ</t>
        </is>
      </c>
    </row>
    <row r="547" ht="24" customHeight="1">
      <c r="A547" s="24" t="inlineStr">
        <is>
          <t>2025-09-03</t>
        </is>
      </c>
      <c r="B547" s="30" t="n">
        <v>102200</v>
      </c>
      <c r="C547" s="30" t="n">
        <v>106600</v>
      </c>
      <c r="D547" s="30" t="n">
        <v>101300</v>
      </c>
      <c r="E547" s="30" t="n">
        <v>105900</v>
      </c>
      <c r="F547" s="30" t="n">
        <v>104877.265625</v>
      </c>
      <c r="G547" s="30" t="n">
        <v>31583</v>
      </c>
      <c r="H547" s="35" t="n">
        <v>0.03620352250489245</v>
      </c>
      <c r="I547" s="35" t="n">
        <v>-0.4836665041443199</v>
      </c>
      <c r="J547" s="30" t="n">
        <v>108565</v>
      </c>
      <c r="K547" s="30" t="n">
        <v>103935</v>
      </c>
      <c r="L547" s="30" t="n">
        <v>95785.83333333333</v>
      </c>
      <c r="M547" s="35" t="n">
        <v>0.4421992079028043</v>
      </c>
      <c r="N547" s="35" t="n">
        <v>0.5031915549919765</v>
      </c>
      <c r="O547" s="35" t="n">
        <v>0.0372184133202742</v>
      </c>
      <c r="P547" s="35" t="n">
        <v>0.1206349206349207</v>
      </c>
      <c r="Q547" s="35" t="n">
        <v>0.2914634146341464</v>
      </c>
      <c r="R547" s="35" t="n">
        <v>-0.02454750610233503</v>
      </c>
      <c r="S547" s="35" t="n">
        <v>0.01890604704863619</v>
      </c>
      <c r="T547" s="35" t="n">
        <v>0.1055914670749851</v>
      </c>
      <c r="U547" s="30" t="n">
        <v>115200</v>
      </c>
      <c r="V547" s="30" t="n">
        <v>67500</v>
      </c>
      <c r="W547" s="35" t="n">
        <v>-0.08072916666666663</v>
      </c>
      <c r="X547" s="35" t="n">
        <v>0.568888888888889</v>
      </c>
      <c r="Y547" s="30" t="n">
        <v>11179416</v>
      </c>
      <c r="Z547" s="30" t="n">
        <v>1183900154400</v>
      </c>
      <c r="AA547" s="30" t="n">
        <v>3344639700</v>
      </c>
      <c r="AB547" s="30" t="n">
        <v>3845353720</v>
      </c>
      <c r="AC547" s="35" t="n">
        <v>0.00282510284973741</v>
      </c>
      <c r="AD547" s="24" t="inlineStr">
        <is>
          <t>yfinance_download</t>
        </is>
      </c>
      <c r="AE547" s="24" t="inlineStr">
        <is>
          <t>064760.KQ</t>
        </is>
      </c>
    </row>
    <row r="548" ht="24" customHeight="1">
      <c r="A548" s="29" t="inlineStr">
        <is>
          <t>2025-09-04</t>
        </is>
      </c>
      <c r="B548" s="31" t="n">
        <v>105500</v>
      </c>
      <c r="C548" s="31" t="n">
        <v>108900</v>
      </c>
      <c r="D548" s="31" t="n">
        <v>105200</v>
      </c>
      <c r="E548" s="31" t="n">
        <v>107300</v>
      </c>
      <c r="F548" s="31" t="n">
        <v>106263.7421875</v>
      </c>
      <c r="G548" s="31" t="n">
        <v>24961</v>
      </c>
      <c r="H548" s="36" t="n">
        <v>0.0132200188857412</v>
      </c>
      <c r="I548" s="36" t="n">
        <v>-0.476840565577767</v>
      </c>
      <c r="J548" s="31" t="n">
        <v>108845</v>
      </c>
      <c r="K548" s="31" t="n">
        <v>104025</v>
      </c>
      <c r="L548" s="31" t="n">
        <v>95947.5</v>
      </c>
      <c r="M548" s="36" t="n">
        <v>0.4432418536958856</v>
      </c>
      <c r="N548" s="36" t="n">
        <v>0.4783081141427232</v>
      </c>
      <c r="O548" s="36" t="n">
        <v>0.05506391347099315</v>
      </c>
      <c r="P548" s="36" t="n">
        <v>0.05299313052011767</v>
      </c>
      <c r="Q548" s="36" t="n">
        <v>0.2207053469852105</v>
      </c>
      <c r="R548" s="36" t="n">
        <v>-0.01419449676144979</v>
      </c>
      <c r="S548" s="36" t="n">
        <v>0.03148281663061758</v>
      </c>
      <c r="T548" s="36" t="n">
        <v>0.1183199145365956</v>
      </c>
      <c r="U548" s="31" t="n">
        <v>115200</v>
      </c>
      <c r="V548" s="31" t="n">
        <v>67500</v>
      </c>
      <c r="W548" s="36" t="n">
        <v>-0.06857638888888884</v>
      </c>
      <c r="X548" s="36" t="n">
        <v>0.5896296296296297</v>
      </c>
      <c r="Y548" s="31" t="n">
        <v>11179416</v>
      </c>
      <c r="Z548" s="31" t="n">
        <v>1199551336800</v>
      </c>
      <c r="AA548" s="31" t="n">
        <v>2678315300</v>
      </c>
      <c r="AB548" s="31" t="n">
        <v>3860707625</v>
      </c>
      <c r="AC548" s="36" t="n">
        <v>0.002232764215948311</v>
      </c>
      <c r="AD548" s="29" t="inlineStr">
        <is>
          <t>yfinance_download</t>
        </is>
      </c>
      <c r="AE548" s="29" t="inlineStr">
        <is>
          <t>064760.KQ</t>
        </is>
      </c>
    </row>
    <row r="549" ht="24" customHeight="1">
      <c r="A549" s="24" t="inlineStr">
        <is>
          <t>2025-09-05</t>
        </is>
      </c>
      <c r="B549" s="30" t="n">
        <v>109000</v>
      </c>
      <c r="C549" s="30" t="n">
        <v>110500</v>
      </c>
      <c r="D549" s="30" t="n">
        <v>107700</v>
      </c>
      <c r="E549" s="30" t="n">
        <v>108400</v>
      </c>
      <c r="F549" s="30" t="n">
        <v>107353.1171875</v>
      </c>
      <c r="G549" s="30" t="n">
        <v>29559</v>
      </c>
      <c r="H549" s="35" t="n">
        <v>0.01025163094128612</v>
      </c>
      <c r="I549" s="35" t="n">
        <v>-0.4714773281326182</v>
      </c>
      <c r="J549" s="30" t="n">
        <v>109030</v>
      </c>
      <c r="K549" s="30" t="n">
        <v>104185</v>
      </c>
      <c r="L549" s="30" t="n">
        <v>96127.5</v>
      </c>
      <c r="M549" s="35" t="n">
        <v>0.4331593630739946</v>
      </c>
      <c r="N549" s="35" t="n">
        <v>0.4740327855126413</v>
      </c>
      <c r="O549" s="35" t="n">
        <v>0.0353390639923592</v>
      </c>
      <c r="P549" s="35" t="n">
        <v>0.09716599190283404</v>
      </c>
      <c r="Q549" s="35" t="n">
        <v>0.2488479262672811</v>
      </c>
      <c r="R549" s="35" t="n">
        <v>-0.005778226176281764</v>
      </c>
      <c r="S549" s="35" t="n">
        <v>0.0404568795891922</v>
      </c>
      <c r="T549" s="35" t="n">
        <v>0.1276689813008764</v>
      </c>
      <c r="U549" s="30" t="n">
        <v>115200</v>
      </c>
      <c r="V549" s="30" t="n">
        <v>67500</v>
      </c>
      <c r="W549" s="35" t="n">
        <v>-0.05902777777777779</v>
      </c>
      <c r="X549" s="35" t="n">
        <v>0.605925925925926</v>
      </c>
      <c r="Y549" s="30" t="n">
        <v>11179416</v>
      </c>
      <c r="Z549" s="30" t="n">
        <v>1211848694400</v>
      </c>
      <c r="AA549" s="30" t="n">
        <v>3204195600</v>
      </c>
      <c r="AB549" s="30" t="n">
        <v>3809224475</v>
      </c>
      <c r="AC549" s="35" t="n">
        <v>0.002644055825456357</v>
      </c>
      <c r="AD549" s="24" t="inlineStr">
        <is>
          <t>yfinance_download</t>
        </is>
      </c>
      <c r="AE549" s="24" t="inlineStr">
        <is>
          <t>064760.KQ</t>
        </is>
      </c>
    </row>
    <row r="550" ht="24" customHeight="1">
      <c r="A550" s="29" t="inlineStr">
        <is>
          <t>2025-09-08</t>
        </is>
      </c>
      <c r="B550" s="31" t="n">
        <v>109000</v>
      </c>
      <c r="C550" s="31" t="n">
        <v>110800</v>
      </c>
      <c r="D550" s="31" t="n">
        <v>108000</v>
      </c>
      <c r="E550" s="31" t="n">
        <v>109500</v>
      </c>
      <c r="F550" s="31" t="n">
        <v>108442.5</v>
      </c>
      <c r="G550" s="31" t="n">
        <v>16726</v>
      </c>
      <c r="H550" s="36" t="n">
        <v>0.01014760147601468</v>
      </c>
      <c r="I550" s="36" t="n">
        <v>-0.4661140906874696</v>
      </c>
      <c r="J550" s="31" t="n">
        <v>109150</v>
      </c>
      <c r="K550" s="31" t="n">
        <v>104345</v>
      </c>
      <c r="L550" s="31" t="n">
        <v>96280</v>
      </c>
      <c r="M550" s="36" t="n">
        <v>0.4273435606732143</v>
      </c>
      <c r="N550" s="36" t="n">
        <v>0.4739556948157901</v>
      </c>
      <c r="O550" s="36" t="n">
        <v>0.02240896358543409</v>
      </c>
      <c r="P550" s="36" t="n">
        <v>0.09609609609609615</v>
      </c>
      <c r="Q550" s="36" t="n">
        <v>0.200657894736842</v>
      </c>
      <c r="R550" s="36" t="n">
        <v>0.003206596426935437</v>
      </c>
      <c r="S550" s="36" t="n">
        <v>0.04940342134266129</v>
      </c>
      <c r="T550" s="36" t="n">
        <v>0.1373078520980473</v>
      </c>
      <c r="U550" s="31" t="n">
        <v>115200</v>
      </c>
      <c r="V550" s="31" t="n">
        <v>67500</v>
      </c>
      <c r="W550" s="36" t="n">
        <v>-0.04947916666666663</v>
      </c>
      <c r="X550" s="36" t="n">
        <v>0.6222222222222222</v>
      </c>
      <c r="Y550" s="31" t="n">
        <v>11179416</v>
      </c>
      <c r="Z550" s="31" t="n">
        <v>1224146052000</v>
      </c>
      <c r="AA550" s="31" t="n">
        <v>1831497000</v>
      </c>
      <c r="AB550" s="31" t="n">
        <v>3700543745</v>
      </c>
      <c r="AC550" s="36" t="n">
        <v>0.001496142553421395</v>
      </c>
      <c r="AD550" s="29" t="inlineStr">
        <is>
          <t>yfinance_download</t>
        </is>
      </c>
      <c r="AE550" s="29" t="inlineStr">
        <is>
          <t>064760.KQ</t>
        </is>
      </c>
    </row>
    <row r="551" ht="24" customHeight="1">
      <c r="A551" s="24" t="inlineStr">
        <is>
          <t>2025-09-09</t>
        </is>
      </c>
      <c r="B551" s="30" t="n">
        <v>110500</v>
      </c>
      <c r="C551" s="30" t="n">
        <v>113600</v>
      </c>
      <c r="D551" s="30" t="n">
        <v>110400</v>
      </c>
      <c r="E551" s="30" t="n">
        <v>112200</v>
      </c>
      <c r="F551" s="30" t="n">
        <v>111116.421875</v>
      </c>
      <c r="G551" s="30" t="n">
        <v>39196</v>
      </c>
      <c r="H551" s="35" t="n">
        <v>0.02465753424657535</v>
      </c>
      <c r="I551" s="35" t="n">
        <v>-0.4529497805948318</v>
      </c>
      <c r="J551" s="30" t="n">
        <v>109440</v>
      </c>
      <c r="K551" s="30" t="n">
        <v>104530</v>
      </c>
      <c r="L551" s="30" t="n">
        <v>96453.33333333333</v>
      </c>
      <c r="M551" s="35" t="n">
        <v>0.4339086134146974</v>
      </c>
      <c r="N551" s="35" t="n">
        <v>0.4758065984920212</v>
      </c>
      <c r="O551" s="35" t="n">
        <v>0.05451127819548862</v>
      </c>
      <c r="P551" s="35" t="n">
        <v>0.1097922848664687</v>
      </c>
      <c r="Q551" s="35" t="n">
        <v>0.2275711159737417</v>
      </c>
      <c r="R551" s="35" t="n">
        <v>0.02521929824561409</v>
      </c>
      <c r="S551" s="35" t="n">
        <v>0.07337606428776433</v>
      </c>
      <c r="T551" s="35" t="n">
        <v>0.16325684268731</v>
      </c>
      <c r="U551" s="30" t="n">
        <v>115200</v>
      </c>
      <c r="V551" s="30" t="n">
        <v>67500</v>
      </c>
      <c r="W551" s="35" t="n">
        <v>-0.02604166666666663</v>
      </c>
      <c r="X551" s="35" t="n">
        <v>0.6622222222222223</v>
      </c>
      <c r="Y551" s="30" t="n">
        <v>11179416</v>
      </c>
      <c r="Z551" s="30" t="n">
        <v>1254330475200</v>
      </c>
      <c r="AA551" s="30" t="n">
        <v>4397791200</v>
      </c>
      <c r="AB551" s="30" t="n">
        <v>3788555825</v>
      </c>
      <c r="AC551" s="35" t="n">
        <v>0.00350608654334001</v>
      </c>
      <c r="AD551" s="24" t="inlineStr">
        <is>
          <t>yfinance_download</t>
        </is>
      </c>
      <c r="AE551" s="24" t="inlineStr">
        <is>
          <t>064760.KQ</t>
        </is>
      </c>
    </row>
    <row r="552" ht="24" customHeight="1">
      <c r="A552" s="29" t="inlineStr">
        <is>
          <t>2025-09-10</t>
        </is>
      </c>
      <c r="B552" s="31" t="n">
        <v>114000</v>
      </c>
      <c r="C552" s="31" t="n">
        <v>119500</v>
      </c>
      <c r="D552" s="31" t="n">
        <v>113000</v>
      </c>
      <c r="E552" s="31" t="n">
        <v>116100</v>
      </c>
      <c r="F552" s="31" t="n">
        <v>114978.7578125</v>
      </c>
      <c r="G552" s="31" t="n">
        <v>77351</v>
      </c>
      <c r="H552" s="36" t="n">
        <v>0.03475935828876997</v>
      </c>
      <c r="I552" s="36" t="n">
        <v>-0.4339346660165773</v>
      </c>
      <c r="J552" s="31" t="n">
        <v>109925</v>
      </c>
      <c r="K552" s="31" t="n">
        <v>104815</v>
      </c>
      <c r="L552" s="31" t="n">
        <v>96666.66666666667</v>
      </c>
      <c r="M552" s="36" t="n">
        <v>0.448025955613243</v>
      </c>
      <c r="N552" s="36" t="n">
        <v>0.4779773395348673</v>
      </c>
      <c r="O552" s="36" t="n">
        <v>0.09116541353383467</v>
      </c>
      <c r="P552" s="36" t="n">
        <v>0.1727272727272726</v>
      </c>
      <c r="Q552" s="36" t="n">
        <v>0.2828729281767957</v>
      </c>
      <c r="R552" s="36" t="n">
        <v>0.05617466454400732</v>
      </c>
      <c r="S552" s="36" t="n">
        <v>0.1076658875160998</v>
      </c>
      <c r="T552" s="36" t="n">
        <v>0.2010344827586206</v>
      </c>
      <c r="U552" s="31" t="n">
        <v>116100</v>
      </c>
      <c r="V552" s="31" t="n">
        <v>67500</v>
      </c>
      <c r="W552" s="36" t="n">
        <v>0</v>
      </c>
      <c r="X552" s="36" t="n">
        <v>0.72</v>
      </c>
      <c r="Y552" s="31" t="n">
        <v>11179416</v>
      </c>
      <c r="Z552" s="31" t="n">
        <v>1297930197600</v>
      </c>
      <c r="AA552" s="31" t="n">
        <v>8980451100</v>
      </c>
      <c r="AB552" s="31" t="n">
        <v>4091400740</v>
      </c>
      <c r="AC552" s="36" t="n">
        <v>0.00691905552132598</v>
      </c>
      <c r="AD552" s="29" t="inlineStr">
        <is>
          <t>yfinance_download</t>
        </is>
      </c>
      <c r="AE552" s="29" t="inlineStr">
        <is>
          <t>064760.KQ</t>
        </is>
      </c>
    </row>
    <row r="553" ht="24" customHeight="1">
      <c r="A553" s="24" t="inlineStr">
        <is>
          <t>2025-09-11</t>
        </is>
      </c>
      <c r="B553" s="30" t="n">
        <v>118500</v>
      </c>
      <c r="C553" s="30" t="n">
        <v>120000</v>
      </c>
      <c r="D553" s="30" t="n">
        <v>113500</v>
      </c>
      <c r="E553" s="30" t="n">
        <v>120000</v>
      </c>
      <c r="F553" s="30" t="n">
        <v>118841.09375</v>
      </c>
      <c r="G553" s="30" t="n">
        <v>83918</v>
      </c>
      <c r="H553" s="35" t="n">
        <v>0.03359173126614978</v>
      </c>
      <c r="I553" s="35" t="n">
        <v>-0.4149195514383228</v>
      </c>
      <c r="J553" s="30" t="n">
        <v>110165</v>
      </c>
      <c r="K553" s="30" t="n">
        <v>105133.3333333333</v>
      </c>
      <c r="L553" s="30" t="n">
        <v>96904.16666666667</v>
      </c>
      <c r="M553" s="35" t="n">
        <v>0.3599315657109619</v>
      </c>
      <c r="N553" s="35" t="n">
        <v>0.4809507721204688</v>
      </c>
      <c r="O553" s="35" t="n">
        <v>0.04166666666666674</v>
      </c>
      <c r="P553" s="35" t="n">
        <v>0.1892963330029733</v>
      </c>
      <c r="Q553" s="35" t="n">
        <v>0.3114754098360655</v>
      </c>
      <c r="R553" s="35" t="n">
        <v>0.08927517814187813</v>
      </c>
      <c r="S553" s="35" t="n">
        <v>0.14140773620799</v>
      </c>
      <c r="T553" s="35" t="n">
        <v>0.238336844820914</v>
      </c>
      <c r="U553" s="30" t="n">
        <v>120000</v>
      </c>
      <c r="V553" s="30" t="n">
        <v>67500</v>
      </c>
      <c r="W553" s="35" t="n">
        <v>0</v>
      </c>
      <c r="X553" s="35" t="n">
        <v>0.7777777777777777</v>
      </c>
      <c r="Y553" s="30" t="n">
        <v>11179416</v>
      </c>
      <c r="Z553" s="30" t="n">
        <v>1341529920000</v>
      </c>
      <c r="AA553" s="30" t="n">
        <v>10070160000</v>
      </c>
      <c r="AB553" s="30" t="n">
        <v>3978185540</v>
      </c>
      <c r="AC553" s="35" t="n">
        <v>0.007506474399020486</v>
      </c>
      <c r="AD553" s="24" t="inlineStr">
        <is>
          <t>yfinance_download</t>
        </is>
      </c>
      <c r="AE553" s="24" t="inlineStr">
        <is>
          <t>064760.KQ</t>
        </is>
      </c>
    </row>
    <row r="554" ht="24" customHeight="1">
      <c r="A554" s="29" t="inlineStr">
        <is>
          <t>2025-09-12</t>
        </is>
      </c>
      <c r="B554" s="31" t="n">
        <v>127400</v>
      </c>
      <c r="C554" s="31" t="n">
        <v>140300</v>
      </c>
      <c r="D554" s="31" t="n">
        <v>127200</v>
      </c>
      <c r="E554" s="31" t="n">
        <v>137100</v>
      </c>
      <c r="F554" s="31" t="n">
        <v>135775.953125</v>
      </c>
      <c r="G554" s="31" t="n">
        <v>233556</v>
      </c>
      <c r="H554" s="36" t="n">
        <v>0.1425000000000001</v>
      </c>
      <c r="I554" s="36" t="n">
        <v>-0.3315455875182838</v>
      </c>
      <c r="J554" s="31" t="n">
        <v>111370</v>
      </c>
      <c r="K554" s="31" t="n">
        <v>105748.3333333333</v>
      </c>
      <c r="L554" s="31" t="n">
        <v>97280</v>
      </c>
      <c r="M554" s="36" t="n">
        <v>0.6057281731613491</v>
      </c>
      <c r="N554" s="36" t="n">
        <v>0.5585665473452698</v>
      </c>
      <c r="O554" s="36" t="n">
        <v>0.2132743362831859</v>
      </c>
      <c r="P554" s="36" t="n">
        <v>0.3682634730538923</v>
      </c>
      <c r="Q554" s="36" t="n">
        <v>0.4902173913043477</v>
      </c>
      <c r="R554" s="36" t="n">
        <v>0.2310316961479753</v>
      </c>
      <c r="S554" s="36" t="n">
        <v>0.2964743337168436</v>
      </c>
      <c r="T554" s="36" t="n">
        <v>0.4093338815789473</v>
      </c>
      <c r="U554" s="31" t="n">
        <v>137100</v>
      </c>
      <c r="V554" s="31" t="n">
        <v>67500</v>
      </c>
      <c r="W554" s="36" t="n">
        <v>0</v>
      </c>
      <c r="X554" s="36" t="n">
        <v>1.031111111111111</v>
      </c>
      <c r="Y554" s="31" t="n">
        <v>11179416</v>
      </c>
      <c r="Z554" s="31" t="n">
        <v>1532697933600</v>
      </c>
      <c r="AA554" s="31" t="n">
        <v>32020527600</v>
      </c>
      <c r="AB554" s="31" t="n">
        <v>5298316520</v>
      </c>
      <c r="AC554" s="36" t="n">
        <v>0.02089161008052657</v>
      </c>
      <c r="AD554" s="29" t="inlineStr">
        <is>
          <t>yfinance_download</t>
        </is>
      </c>
      <c r="AE554" s="29" t="inlineStr">
        <is>
          <t>064760.KQ</t>
        </is>
      </c>
    </row>
    <row r="555" ht="24" customHeight="1">
      <c r="A555" s="24" t="inlineStr">
        <is>
          <t>2025-09-15</t>
        </is>
      </c>
      <c r="B555" s="30" t="n">
        <v>138000</v>
      </c>
      <c r="C555" s="30" t="n">
        <v>143300</v>
      </c>
      <c r="D555" s="30" t="n">
        <v>135700</v>
      </c>
      <c r="E555" s="30" t="n">
        <v>140900</v>
      </c>
      <c r="F555" s="30" t="n">
        <v>139539.25</v>
      </c>
      <c r="G555" s="30" t="n">
        <v>117387</v>
      </c>
      <c r="H555" s="35" t="n">
        <v>0.02771699489423773</v>
      </c>
      <c r="I555" s="35" t="n">
        <v>-0.3130180399804973</v>
      </c>
      <c r="J555" s="30" t="n">
        <v>112705</v>
      </c>
      <c r="K555" s="30" t="n">
        <v>106400</v>
      </c>
      <c r="L555" s="30" t="n">
        <v>97698.33333333333</v>
      </c>
      <c r="M555" s="35" t="n">
        <v>0.6088540972089427</v>
      </c>
      <c r="N555" s="35" t="n">
        <v>0.5599951534343509</v>
      </c>
      <c r="O555" s="35" t="n">
        <v>0.2338003502626971</v>
      </c>
      <c r="P555" s="35" t="n">
        <v>0.3840864440078586</v>
      </c>
      <c r="Q555" s="35" t="n">
        <v>0.5534729878721059</v>
      </c>
      <c r="R555" s="35" t="n">
        <v>0.2501663635153719</v>
      </c>
      <c r="S555" s="35" t="n">
        <v>0.3242481203007519</v>
      </c>
      <c r="T555" s="35" t="n">
        <v>0.4421945103123561</v>
      </c>
      <c r="U555" s="30" t="n">
        <v>140900</v>
      </c>
      <c r="V555" s="30" t="n">
        <v>67500</v>
      </c>
      <c r="W555" s="35" t="n">
        <v>0</v>
      </c>
      <c r="X555" s="35" t="n">
        <v>1.087407407407408</v>
      </c>
      <c r="Y555" s="30" t="n">
        <v>11179416</v>
      </c>
      <c r="Z555" s="30" t="n">
        <v>1575179714400</v>
      </c>
      <c r="AA555" s="30" t="n">
        <v>16539828300</v>
      </c>
      <c r="AB555" s="30" t="n">
        <v>5814706775</v>
      </c>
      <c r="AC555" s="35" t="n">
        <v>0.01050028015774706</v>
      </c>
      <c r="AD555" s="24" t="inlineStr">
        <is>
          <t>yfinance_download</t>
        </is>
      </c>
      <c r="AE555" s="24" t="inlineStr">
        <is>
          <t>064760.KQ</t>
        </is>
      </c>
    </row>
    <row r="556" ht="24" customHeight="1">
      <c r="A556" s="29" t="inlineStr">
        <is>
          <t>2025-09-16</t>
        </is>
      </c>
      <c r="B556" s="31" t="n">
        <v>143800</v>
      </c>
      <c r="C556" s="31" t="n">
        <v>146900</v>
      </c>
      <c r="D556" s="31" t="n">
        <v>142000</v>
      </c>
      <c r="E556" s="31" t="n">
        <v>145800</v>
      </c>
      <c r="F556" s="31" t="n">
        <v>144391.921875</v>
      </c>
      <c r="G556" s="31" t="n">
        <v>112409</v>
      </c>
      <c r="H556" s="36" t="n">
        <v>0.03477643718949608</v>
      </c>
      <c r="I556" s="36" t="n">
        <v>-0.2891272549975622</v>
      </c>
      <c r="J556" s="31" t="n">
        <v>114385</v>
      </c>
      <c r="K556" s="31" t="n">
        <v>107171.6666666667</v>
      </c>
      <c r="L556" s="31" t="n">
        <v>98170.83333333333</v>
      </c>
      <c r="M556" s="36" t="n">
        <v>0.604395512791744</v>
      </c>
      <c r="N556" s="36" t="n">
        <v>0.5598178941609798</v>
      </c>
      <c r="O556" s="36" t="n">
        <v>0.2994652406417113</v>
      </c>
      <c r="P556" s="36" t="n">
        <v>0.4653266331658292</v>
      </c>
      <c r="Q556" s="36" t="n">
        <v>0.6363636363636365</v>
      </c>
      <c r="R556" s="36" t="n">
        <v>0.2746426541941689</v>
      </c>
      <c r="S556" s="36" t="n">
        <v>0.3604341943610718</v>
      </c>
      <c r="T556" s="36" t="n">
        <v>0.4851661644242604</v>
      </c>
      <c r="U556" s="31" t="n">
        <v>145800</v>
      </c>
      <c r="V556" s="31" t="n">
        <v>67500</v>
      </c>
      <c r="W556" s="36" t="n">
        <v>0</v>
      </c>
      <c r="X556" s="36" t="n">
        <v>1.16</v>
      </c>
      <c r="Y556" s="31" t="n">
        <v>11179416</v>
      </c>
      <c r="Z556" s="31" t="n">
        <v>1629958852800</v>
      </c>
      <c r="AA556" s="31" t="n">
        <v>16389232200</v>
      </c>
      <c r="AB556" s="31" t="n">
        <v>6461329895</v>
      </c>
      <c r="AC556" s="36" t="n">
        <v>0.01005499750613091</v>
      </c>
      <c r="AD556" s="29" t="inlineStr">
        <is>
          <t>yfinance_download</t>
        </is>
      </c>
      <c r="AE556" s="29" t="inlineStr">
        <is>
          <t>064760.KQ</t>
        </is>
      </c>
    </row>
    <row r="557" ht="24" customHeight="1">
      <c r="A557" s="24" t="inlineStr">
        <is>
          <t>2025-09-17</t>
        </is>
      </c>
      <c r="B557" s="30" t="n">
        <v>143400</v>
      </c>
      <c r="C557" s="30" t="n">
        <v>150000</v>
      </c>
      <c r="D557" s="30" t="n">
        <v>141400</v>
      </c>
      <c r="E557" s="30" t="n">
        <v>149000</v>
      </c>
      <c r="F557" s="30" t="n">
        <v>147561.015625</v>
      </c>
      <c r="G557" s="30" t="n">
        <v>96305</v>
      </c>
      <c r="H557" s="35" t="n">
        <v>0.02194787379972563</v>
      </c>
      <c r="I557" s="35" t="n">
        <v>-0.2735251097025841</v>
      </c>
      <c r="J557" s="30" t="n">
        <v>116300</v>
      </c>
      <c r="K557" s="30" t="n">
        <v>107955</v>
      </c>
      <c r="L557" s="30" t="n">
        <v>98698.33333333333</v>
      </c>
      <c r="M557" s="35" t="n">
        <v>0.5962555674292561</v>
      </c>
      <c r="N557" s="35" t="n">
        <v>0.5594155601243591</v>
      </c>
      <c r="O557" s="35" t="n">
        <v>0.3459801264679314</v>
      </c>
      <c r="P557" s="35" t="n">
        <v>0.4607843137254901</v>
      </c>
      <c r="Q557" s="35" t="n">
        <v>0.7386231038506417</v>
      </c>
      <c r="R557" s="35" t="n">
        <v>0.2811693895098881</v>
      </c>
      <c r="S557" s="35" t="n">
        <v>0.3802047149275161</v>
      </c>
      <c r="T557" s="35" t="n">
        <v>0.509650618889208</v>
      </c>
      <c r="U557" s="30" t="n">
        <v>149000</v>
      </c>
      <c r="V557" s="30" t="n">
        <v>67500</v>
      </c>
      <c r="W557" s="35" t="n">
        <v>0</v>
      </c>
      <c r="X557" s="35" t="n">
        <v>1.207407407407407</v>
      </c>
      <c r="Y557" s="30" t="n">
        <v>11179416</v>
      </c>
      <c r="Z557" s="30" t="n">
        <v>1665732984000</v>
      </c>
      <c r="AA557" s="30" t="n">
        <v>14349445000</v>
      </c>
      <c r="AB557" s="30" t="n">
        <v>7002672910</v>
      </c>
      <c r="AC557" s="35" t="n">
        <v>0.008614492921633831</v>
      </c>
      <c r="AD557" s="24" t="inlineStr">
        <is>
          <t>yfinance_download</t>
        </is>
      </c>
      <c r="AE557" s="24" t="inlineStr">
        <is>
          <t>064760.KQ</t>
        </is>
      </c>
    </row>
    <row r="558" ht="24" customHeight="1">
      <c r="A558" s="29" t="inlineStr">
        <is>
          <t>2025-09-18</t>
        </is>
      </c>
      <c r="B558" s="31" t="n">
        <v>151900</v>
      </c>
      <c r="C558" s="31" t="n">
        <v>160000</v>
      </c>
      <c r="D558" s="31" t="n">
        <v>146000</v>
      </c>
      <c r="E558" s="31" t="n">
        <v>158100</v>
      </c>
      <c r="F558" s="31" t="n">
        <v>156573.140625</v>
      </c>
      <c r="G558" s="31" t="n">
        <v>96327</v>
      </c>
      <c r="H558" s="36" t="n">
        <v>0.06107382550335561</v>
      </c>
      <c r="I558" s="36" t="n">
        <v>-0.2291565090199903</v>
      </c>
      <c r="J558" s="31" t="n">
        <v>118720</v>
      </c>
      <c r="K558" s="31" t="n">
        <v>108810</v>
      </c>
      <c r="L558" s="31" t="n">
        <v>99299.16666666667</v>
      </c>
      <c r="M558" s="36" t="n">
        <v>0.6096153962315031</v>
      </c>
      <c r="N558" s="36" t="n">
        <v>0.564425375146048</v>
      </c>
      <c r="O558" s="36" t="n">
        <v>0.4412032816773017</v>
      </c>
      <c r="P558" s="36" t="n">
        <v>0.4803370786516854</v>
      </c>
      <c r="Q558" s="36" t="n">
        <v>0.8383720930232559</v>
      </c>
      <c r="R558" s="36" t="n">
        <v>0.3317048517520216</v>
      </c>
      <c r="S558" s="36" t="n">
        <v>0.4529914529914529</v>
      </c>
      <c r="T558" s="36" t="n">
        <v>0.5921583766228316</v>
      </c>
      <c r="U558" s="31" t="n">
        <v>158100</v>
      </c>
      <c r="V558" s="31" t="n">
        <v>67500</v>
      </c>
      <c r="W558" s="36" t="n">
        <v>0</v>
      </c>
      <c r="X558" s="36" t="n">
        <v>1.342222222222222</v>
      </c>
      <c r="Y558" s="31" t="n">
        <v>11179416</v>
      </c>
      <c r="Z558" s="31" t="n">
        <v>1767465669600</v>
      </c>
      <c r="AA558" s="31" t="n">
        <v>15229298700</v>
      </c>
      <c r="AB558" s="31" t="n">
        <v>7567549960</v>
      </c>
      <c r="AC558" s="36" t="n">
        <v>0.00861646082407167</v>
      </c>
      <c r="AD558" s="29" t="inlineStr">
        <is>
          <t>yfinance_download</t>
        </is>
      </c>
      <c r="AE558" s="29" t="inlineStr">
        <is>
          <t>064760.KQ</t>
        </is>
      </c>
    </row>
    <row r="559" ht="24" customHeight="1">
      <c r="A559" s="24" t="inlineStr">
        <is>
          <t>2025-09-19</t>
        </is>
      </c>
      <c r="B559" s="30" t="n">
        <v>161900</v>
      </c>
      <c r="C559" s="30" t="n">
        <v>163600</v>
      </c>
      <c r="D559" s="30" t="n">
        <v>151500</v>
      </c>
      <c r="E559" s="30" t="n">
        <v>159300</v>
      </c>
      <c r="F559" s="30" t="n">
        <v>157761.546875</v>
      </c>
      <c r="G559" s="30" t="n">
        <v>71352</v>
      </c>
      <c r="H559" s="35" t="n">
        <v>0.007590132827324458</v>
      </c>
      <c r="I559" s="35" t="n">
        <v>-0.2233057045343735</v>
      </c>
      <c r="J559" s="30" t="n">
        <v>121270</v>
      </c>
      <c r="K559" s="30" t="n">
        <v>109701.6666666667</v>
      </c>
      <c r="L559" s="30" t="n">
        <v>99919.16666666667</v>
      </c>
      <c r="M559" s="35" t="n">
        <v>0.599702634781666</v>
      </c>
      <c r="N559" s="35" t="n">
        <v>0.563374563601024</v>
      </c>
      <c r="O559" s="35" t="n">
        <v>0.4709141274238227</v>
      </c>
      <c r="P559" s="35" t="n">
        <v>0.505671077504726</v>
      </c>
      <c r="Q559" s="35" t="n">
        <v>0.8763250883392226</v>
      </c>
      <c r="R559" s="35" t="n">
        <v>0.3135977570709987</v>
      </c>
      <c r="S559" s="35" t="n">
        <v>0.4521201440269822</v>
      </c>
      <c r="T559" s="35" t="n">
        <v>0.594288716712676</v>
      </c>
      <c r="U559" s="30" t="n">
        <v>159300</v>
      </c>
      <c r="V559" s="30" t="n">
        <v>67500</v>
      </c>
      <c r="W559" s="35" t="n">
        <v>0</v>
      </c>
      <c r="X559" s="35" t="n">
        <v>1.36</v>
      </c>
      <c r="Y559" s="30" t="n">
        <v>11179416</v>
      </c>
      <c r="Z559" s="30" t="n">
        <v>1780880968800</v>
      </c>
      <c r="AA559" s="30" t="n">
        <v>11366373600</v>
      </c>
      <c r="AB559" s="30" t="n">
        <v>8008025905</v>
      </c>
      <c r="AC559" s="35" t="n">
        <v>0.006382444306572007</v>
      </c>
      <c r="AD559" s="24" t="inlineStr">
        <is>
          <t>yfinance_download</t>
        </is>
      </c>
      <c r="AE559" s="24" t="inlineStr">
        <is>
          <t>064760.KQ</t>
        </is>
      </c>
    </row>
    <row r="560" ht="24" customHeight="1">
      <c r="A560" s="29" t="inlineStr">
        <is>
          <t>2025-09-22</t>
        </is>
      </c>
      <c r="B560" s="31" t="n">
        <v>160000</v>
      </c>
      <c r="C560" s="31" t="n">
        <v>162400</v>
      </c>
      <c r="D560" s="31" t="n">
        <v>156100</v>
      </c>
      <c r="E560" s="31" t="n">
        <v>161700</v>
      </c>
      <c r="F560" s="31" t="n">
        <v>160138.375</v>
      </c>
      <c r="G560" s="31" t="n">
        <v>56533</v>
      </c>
      <c r="H560" s="36" t="n">
        <v>0.01506591337099805</v>
      </c>
      <c r="I560" s="36" t="n">
        <v>-0.21160409556314</v>
      </c>
      <c r="J560" s="31" t="n">
        <v>123895</v>
      </c>
      <c r="K560" s="31" t="n">
        <v>110668.3333333333</v>
      </c>
      <c r="L560" s="31" t="n">
        <v>100568.3333333333</v>
      </c>
      <c r="M560" s="36" t="n">
        <v>0.5984150687046671</v>
      </c>
      <c r="N560" s="36" t="n">
        <v>0.5606893033934149</v>
      </c>
      <c r="O560" s="36" t="n">
        <v>0.4807692307692308</v>
      </c>
      <c r="P560" s="36" t="n">
        <v>0.5593056894889104</v>
      </c>
      <c r="Q560" s="36" t="n">
        <v>0.9295942720763724</v>
      </c>
      <c r="R560" s="36" t="n">
        <v>0.3051374147463577</v>
      </c>
      <c r="S560" s="36" t="n">
        <v>0.4611225734552191</v>
      </c>
      <c r="T560" s="36" t="n">
        <v>0.6078619843887241</v>
      </c>
      <c r="U560" s="31" t="n">
        <v>161700</v>
      </c>
      <c r="V560" s="31" t="n">
        <v>67500</v>
      </c>
      <c r="W560" s="36" t="n">
        <v>0</v>
      </c>
      <c r="X560" s="36" t="n">
        <v>1.395555555555556</v>
      </c>
      <c r="Y560" s="31" t="n">
        <v>11179416</v>
      </c>
      <c r="Z560" s="31" t="n">
        <v>1807711567200</v>
      </c>
      <c r="AA560" s="31" t="n">
        <v>9141386100</v>
      </c>
      <c r="AB560" s="31" t="n">
        <v>8283473770</v>
      </c>
      <c r="AC560" s="36" t="n">
        <v>0.005056883114466802</v>
      </c>
      <c r="AD560" s="29" t="inlineStr">
        <is>
          <t>yfinance_download</t>
        </is>
      </c>
      <c r="AE560" s="29" t="inlineStr">
        <is>
          <t>064760.KQ</t>
        </is>
      </c>
    </row>
    <row r="561" ht="24" customHeight="1">
      <c r="A561" s="24" t="inlineStr">
        <is>
          <t>2025-09-23</t>
        </is>
      </c>
      <c r="B561" s="30" t="n">
        <v>164200</v>
      </c>
      <c r="C561" s="30" t="n">
        <v>164300</v>
      </c>
      <c r="D561" s="30" t="n">
        <v>158700</v>
      </c>
      <c r="E561" s="30" t="n">
        <v>160800</v>
      </c>
      <c r="F561" s="30" t="n">
        <v>159247.0625</v>
      </c>
      <c r="G561" s="30" t="n">
        <v>59793</v>
      </c>
      <c r="H561" s="35" t="n">
        <v>-0.005565862708719838</v>
      </c>
      <c r="I561" s="35" t="n">
        <v>-0.2159921989273526</v>
      </c>
      <c r="J561" s="30" t="n">
        <v>126400</v>
      </c>
      <c r="K561" s="30" t="n">
        <v>111558.3333333333</v>
      </c>
      <c r="L561" s="30" t="n">
        <v>101245</v>
      </c>
      <c r="M561" s="35" t="n">
        <v>0.6051780060691251</v>
      </c>
      <c r="N561" s="35" t="n">
        <v>0.5583654018646164</v>
      </c>
      <c r="O561" s="35" t="n">
        <v>0.4525745257452574</v>
      </c>
      <c r="P561" s="35" t="n">
        <v>0.4972067039106145</v>
      </c>
      <c r="Q561" s="35" t="n">
        <v>1.020100502512563</v>
      </c>
      <c r="R561" s="35" t="n">
        <v>0.2721518987341771</v>
      </c>
      <c r="S561" s="35" t="n">
        <v>0.4413983715544931</v>
      </c>
      <c r="T561" s="35" t="n">
        <v>0.5882265790903254</v>
      </c>
      <c r="U561" s="30" t="n">
        <v>161700</v>
      </c>
      <c r="V561" s="30" t="n">
        <v>67500</v>
      </c>
      <c r="W561" s="35" t="n">
        <v>-0.005565862708719838</v>
      </c>
      <c r="X561" s="35" t="n">
        <v>1.382222222222222</v>
      </c>
      <c r="Y561" s="30" t="n">
        <v>11179416</v>
      </c>
      <c r="Z561" s="30" t="n">
        <v>1797650092800</v>
      </c>
      <c r="AA561" s="30" t="n">
        <v>9614714400</v>
      </c>
      <c r="AB561" s="30" t="n">
        <v>8624041150</v>
      </c>
      <c r="AC561" s="35" t="n">
        <v>0.005348490475710001</v>
      </c>
      <c r="AD561" s="24" t="inlineStr">
        <is>
          <t>yfinance_download</t>
        </is>
      </c>
      <c r="AE561" s="24" t="inlineStr">
        <is>
          <t>064760.KQ</t>
        </is>
      </c>
    </row>
    <row r="562" ht="24" customHeight="1">
      <c r="A562" s="29" t="inlineStr">
        <is>
          <t>2025-09-24</t>
        </is>
      </c>
      <c r="B562" s="31" t="n">
        <v>158000</v>
      </c>
      <c r="C562" s="31" t="n">
        <v>165800</v>
      </c>
      <c r="D562" s="31" t="n">
        <v>157000</v>
      </c>
      <c r="E562" s="31" t="n">
        <v>165500</v>
      </c>
      <c r="F562" s="31" t="n">
        <v>163901.671875</v>
      </c>
      <c r="G562" s="31" t="n">
        <v>84928</v>
      </c>
      <c r="H562" s="36" t="n">
        <v>0.02922885572139311</v>
      </c>
      <c r="I562" s="36" t="n">
        <v>-0.1930765480253535</v>
      </c>
      <c r="J562" s="31" t="n">
        <v>129130</v>
      </c>
      <c r="K562" s="31" t="n">
        <v>112555</v>
      </c>
      <c r="L562" s="31" t="n">
        <v>101920.8333333333</v>
      </c>
      <c r="M562" s="36" t="n">
        <v>0.6023660126813916</v>
      </c>
      <c r="N562" s="36" t="n">
        <v>0.5580179654947022</v>
      </c>
      <c r="O562" s="36" t="n">
        <v>0.4923354373309288</v>
      </c>
      <c r="P562" s="36" t="n">
        <v>0.5657521286660359</v>
      </c>
      <c r="Q562" s="36" t="n">
        <v>0.9609004739336493</v>
      </c>
      <c r="R562" s="36" t="n">
        <v>0.28165414698366</v>
      </c>
      <c r="S562" s="36" t="n">
        <v>0.4703922526764692</v>
      </c>
      <c r="T562" s="36" t="n">
        <v>0.6238093291361759</v>
      </c>
      <c r="U562" s="31" t="n">
        <v>165500</v>
      </c>
      <c r="V562" s="31" t="n">
        <v>67500</v>
      </c>
      <c r="W562" s="36" t="n">
        <v>0</v>
      </c>
      <c r="X562" s="36" t="n">
        <v>1.451851851851852</v>
      </c>
      <c r="Y562" s="31" t="n">
        <v>11179416</v>
      </c>
      <c r="Z562" s="31" t="n">
        <v>1850193348000</v>
      </c>
      <c r="AA562" s="31" t="n">
        <v>14055584000</v>
      </c>
      <c r="AB562" s="31" t="n">
        <v>9185439485</v>
      </c>
      <c r="AC562" s="36" t="n">
        <v>0.00759681901093939</v>
      </c>
      <c r="AD562" s="29" t="inlineStr">
        <is>
          <t>yfinance_download</t>
        </is>
      </c>
      <c r="AE562" s="29" t="inlineStr">
        <is>
          <t>064760.KQ</t>
        </is>
      </c>
    </row>
    <row r="563" ht="24" customHeight="1">
      <c r="A563" s="24" t="inlineStr">
        <is>
          <t>2025-09-25</t>
        </is>
      </c>
      <c r="B563" s="30" t="n">
        <v>160800</v>
      </c>
      <c r="C563" s="30" t="n">
        <v>164300</v>
      </c>
      <c r="D563" s="30" t="n">
        <v>159900</v>
      </c>
      <c r="E563" s="30" t="n">
        <v>161700</v>
      </c>
      <c r="F563" s="30" t="n">
        <v>160138.375</v>
      </c>
      <c r="G563" s="30" t="n">
        <v>48978</v>
      </c>
      <c r="H563" s="35" t="n">
        <v>-0.02296072507552871</v>
      </c>
      <c r="I563" s="35" t="n">
        <v>-0.21160409556314</v>
      </c>
      <c r="J563" s="30" t="n">
        <v>131695</v>
      </c>
      <c r="K563" s="30" t="n">
        <v>113526.6666666667</v>
      </c>
      <c r="L563" s="30" t="n">
        <v>102519.1666666667</v>
      </c>
      <c r="M563" s="35" t="n">
        <v>0.6160824359035679</v>
      </c>
      <c r="N563" s="35" t="n">
        <v>0.5582976680608241</v>
      </c>
      <c r="O563" s="35" t="n">
        <v>0.4646739130434783</v>
      </c>
      <c r="P563" s="35" t="n">
        <v>0.5638297872340425</v>
      </c>
      <c r="Q563" s="35" t="n">
        <v>0.7986651835372636</v>
      </c>
      <c r="R563" s="35" t="n">
        <v>0.2278370477239076</v>
      </c>
      <c r="S563" s="35" t="n">
        <v>0.4243349580128015</v>
      </c>
      <c r="T563" s="35" t="n">
        <v>0.5772660396836362</v>
      </c>
      <c r="U563" s="30" t="n">
        <v>165500</v>
      </c>
      <c r="V563" s="30" t="n">
        <v>67500</v>
      </c>
      <c r="W563" s="35" t="n">
        <v>-0.02296072507552871</v>
      </c>
      <c r="X563" s="35" t="n">
        <v>1.395555555555556</v>
      </c>
      <c r="Y563" s="30" t="n">
        <v>11179416</v>
      </c>
      <c r="Z563" s="30" t="n">
        <v>1807711567200</v>
      </c>
      <c r="AA563" s="30" t="n">
        <v>7919742600</v>
      </c>
      <c r="AB563" s="30" t="n">
        <v>9491147015</v>
      </c>
      <c r="AC563" s="35" t="n">
        <v>0.004381087527291229</v>
      </c>
      <c r="AD563" s="24" t="inlineStr">
        <is>
          <t>yfinance_download</t>
        </is>
      </c>
      <c r="AE563" s="24" t="inlineStr">
        <is>
          <t>064760.KQ</t>
        </is>
      </c>
    </row>
    <row r="564" ht="24" customHeight="1">
      <c r="A564" s="29" t="inlineStr">
        <is>
          <t>2025-09-26</t>
        </is>
      </c>
      <c r="B564" s="31" t="n">
        <v>157000</v>
      </c>
      <c r="C564" s="31" t="n">
        <v>159300</v>
      </c>
      <c r="D564" s="31" t="n">
        <v>151900</v>
      </c>
      <c r="E564" s="31" t="n">
        <v>156900</v>
      </c>
      <c r="F564" s="31" t="n">
        <v>155384.734375</v>
      </c>
      <c r="G564" s="31" t="n">
        <v>95580</v>
      </c>
      <c r="H564" s="36" t="n">
        <v>-0.0296846011131725</v>
      </c>
      <c r="I564" s="36" t="n">
        <v>-0.235007313505607</v>
      </c>
      <c r="J564" s="31" t="n">
        <v>134065</v>
      </c>
      <c r="K564" s="31" t="n">
        <v>114358.3333333333</v>
      </c>
      <c r="L564" s="31" t="n">
        <v>103099.1666666667</v>
      </c>
      <c r="M564" s="36" t="n">
        <v>0.6336008998492354</v>
      </c>
      <c r="N564" s="36" t="n">
        <v>0.5607398408541981</v>
      </c>
      <c r="O564" s="36" t="n">
        <v>0.4328767123287671</v>
      </c>
      <c r="P564" s="36" t="n">
        <v>0.4663551401869159</v>
      </c>
      <c r="Q564" s="36" t="n">
        <v>0.7972508591065293</v>
      </c>
      <c r="R564" s="36" t="n">
        <v>0.1703278260545258</v>
      </c>
      <c r="S564" s="36" t="n">
        <v>0.3720032062959995</v>
      </c>
      <c r="T564" s="36" t="n">
        <v>0.5218357730017216</v>
      </c>
      <c r="U564" s="31" t="n">
        <v>165500</v>
      </c>
      <c r="V564" s="31" t="n">
        <v>67500</v>
      </c>
      <c r="W564" s="36" t="n">
        <v>-0.05196374622356492</v>
      </c>
      <c r="X564" s="36" t="n">
        <v>1.324444444444445</v>
      </c>
      <c r="Y564" s="31" t="n">
        <v>11179416</v>
      </c>
      <c r="Z564" s="31" t="n">
        <v>1754050370400</v>
      </c>
      <c r="AA564" s="31" t="n">
        <v>14996502000</v>
      </c>
      <c r="AB564" s="31" t="n">
        <v>10141316165</v>
      </c>
      <c r="AC564" s="36" t="n">
        <v>0.008549641591296004</v>
      </c>
      <c r="AD564" s="29" t="inlineStr">
        <is>
          <t>yfinance_download</t>
        </is>
      </c>
      <c r="AE564" s="29" t="inlineStr">
        <is>
          <t>064760.KQ</t>
        </is>
      </c>
    </row>
    <row r="565" ht="24" customHeight="1">
      <c r="A565" s="24" t="inlineStr">
        <is>
          <t>2025-09-29</t>
        </is>
      </c>
      <c r="B565" s="30" t="n">
        <v>156900</v>
      </c>
      <c r="C565" s="30" t="n">
        <v>168400</v>
      </c>
      <c r="D565" s="30" t="n">
        <v>155000</v>
      </c>
      <c r="E565" s="30" t="n">
        <v>166400</v>
      </c>
      <c r="F565" s="30" t="n">
        <v>164792.984375</v>
      </c>
      <c r="G565" s="30" t="n">
        <v>82730</v>
      </c>
      <c r="H565" s="35" t="n">
        <v>0.06054811982154229</v>
      </c>
      <c r="I565" s="35" t="n">
        <v>-0.1886884446611409</v>
      </c>
      <c r="J565" s="30" t="n">
        <v>137240</v>
      </c>
      <c r="K565" s="30" t="n">
        <v>115360</v>
      </c>
      <c r="L565" s="30" t="n">
        <v>103785.8333333333</v>
      </c>
      <c r="M565" s="35" t="n">
        <v>0.575954845764588</v>
      </c>
      <c r="N565" s="35" t="n">
        <v>0.5705956556200091</v>
      </c>
      <c r="O565" s="35" t="n">
        <v>0.6171039844509232</v>
      </c>
      <c r="P565" s="35" t="n">
        <v>0.5653809971777988</v>
      </c>
      <c r="Q565" s="35" t="n">
        <v>0.980952380952381</v>
      </c>
      <c r="R565" s="35" t="n">
        <v>0.2124744972311279</v>
      </c>
      <c r="S565" s="35" t="n">
        <v>0.4424410540915396</v>
      </c>
      <c r="T565" s="35" t="n">
        <v>0.6033016709088428</v>
      </c>
      <c r="U565" s="30" t="n">
        <v>166400</v>
      </c>
      <c r="V565" s="30" t="n">
        <v>67500</v>
      </c>
      <c r="W565" s="35" t="n">
        <v>0</v>
      </c>
      <c r="X565" s="35" t="n">
        <v>1.465185185185185</v>
      </c>
      <c r="Y565" s="30" t="n">
        <v>11179416</v>
      </c>
      <c r="Z565" s="30" t="n">
        <v>1860254822400</v>
      </c>
      <c r="AA565" s="30" t="n">
        <v>13766272000</v>
      </c>
      <c r="AB565" s="30" t="n">
        <v>10647964960</v>
      </c>
      <c r="AC565" s="35" t="n">
        <v>0.007400207667377258</v>
      </c>
      <c r="AD565" s="24" t="inlineStr">
        <is>
          <t>yfinance_download</t>
        </is>
      </c>
      <c r="AE565" s="24" t="inlineStr">
        <is>
          <t>064760.KQ</t>
        </is>
      </c>
    </row>
    <row r="566" ht="24" customHeight="1">
      <c r="A566" s="29" t="inlineStr">
        <is>
          <t>2025-09-30</t>
        </is>
      </c>
      <c r="B566" s="31" t="n">
        <v>167500</v>
      </c>
      <c r="C566" s="31" t="n">
        <v>179000</v>
      </c>
      <c r="D566" s="31" t="n">
        <v>166600</v>
      </c>
      <c r="E566" s="31" t="n">
        <v>175000</v>
      </c>
      <c r="F566" s="31" t="n">
        <v>173309.921875</v>
      </c>
      <c r="G566" s="31" t="n">
        <v>98434</v>
      </c>
      <c r="H566" s="36" t="n">
        <v>0.05168269230769229</v>
      </c>
      <c r="I566" s="36" t="n">
        <v>-0.1467576791808873</v>
      </c>
      <c r="J566" s="31" t="n">
        <v>140880</v>
      </c>
      <c r="K566" s="31" t="n">
        <v>116503.3333333333</v>
      </c>
      <c r="L566" s="31" t="n">
        <v>104570</v>
      </c>
      <c r="M566" s="36" t="n">
        <v>0.5706299549689222</v>
      </c>
      <c r="N566" s="36" t="n">
        <v>0.5773104158422165</v>
      </c>
      <c r="O566" s="36" t="n">
        <v>0.7123287671232876</v>
      </c>
      <c r="P566" s="36" t="n">
        <v>0.6447368421052631</v>
      </c>
      <c r="Q566" s="36" t="n">
        <v>1.163164400494438</v>
      </c>
      <c r="R566" s="36" t="n">
        <v>0.2421919363997729</v>
      </c>
      <c r="S566" s="36" t="n">
        <v>0.5021029441217706</v>
      </c>
      <c r="T566" s="36" t="n">
        <v>0.6735201300564215</v>
      </c>
      <c r="U566" s="31" t="n">
        <v>175000</v>
      </c>
      <c r="V566" s="31" t="n">
        <v>67500</v>
      </c>
      <c r="W566" s="36" t="n">
        <v>0</v>
      </c>
      <c r="X566" s="36" t="n">
        <v>1.592592592592593</v>
      </c>
      <c r="Y566" s="31" t="n">
        <v>11179416</v>
      </c>
      <c r="Z566" s="31" t="n">
        <v>1956397800000</v>
      </c>
      <c r="AA566" s="31" t="n">
        <v>17225950000</v>
      </c>
      <c r="AB566" s="31" t="n">
        <v>11356095320</v>
      </c>
      <c r="AC566" s="36" t="n">
        <v>0.008804932207550019</v>
      </c>
      <c r="AD566" s="29" t="inlineStr">
        <is>
          <t>yfinance_download</t>
        </is>
      </c>
      <c r="AE566" s="29" t="inlineStr">
        <is>
          <t>064760.KQ</t>
        </is>
      </c>
    </row>
    <row r="567" ht="24" customHeight="1">
      <c r="A567" s="24" t="inlineStr">
        <is>
          <t>2025-10-01</t>
        </is>
      </c>
      <c r="B567" s="30" t="n">
        <v>177900</v>
      </c>
      <c r="C567" s="30" t="n">
        <v>181000</v>
      </c>
      <c r="D567" s="30" t="n">
        <v>173800</v>
      </c>
      <c r="E567" s="30" t="n">
        <v>179400</v>
      </c>
      <c r="F567" s="30" t="n">
        <v>177667.4375</v>
      </c>
      <c r="G567" s="30" t="n">
        <v>62963</v>
      </c>
      <c r="H567" s="35" t="n">
        <v>0.02514285714285713</v>
      </c>
      <c r="I567" s="35" t="n">
        <v>-0.1253047294002926</v>
      </c>
      <c r="J567" s="30" t="n">
        <v>144555</v>
      </c>
      <c r="K567" s="30" t="n">
        <v>117761.6666666667</v>
      </c>
      <c r="L567" s="30" t="n">
        <v>105401.6666666667</v>
      </c>
      <c r="M567" s="35" t="n">
        <v>0.5698293109662496</v>
      </c>
      <c r="N567" s="35" t="n">
        <v>0.5742311677098715</v>
      </c>
      <c r="O567" s="35" t="n">
        <v>0.6940509915014164</v>
      </c>
      <c r="P567" s="35" t="n">
        <v>0.7266602502406159</v>
      </c>
      <c r="Q567" s="35" t="n">
        <v>1.253768844221105</v>
      </c>
      <c r="R567" s="35" t="n">
        <v>0.2410501193317423</v>
      </c>
      <c r="S567" s="35" t="n">
        <v>0.5234159389727839</v>
      </c>
      <c r="T567" s="35" t="n">
        <v>0.7020603722268781</v>
      </c>
      <c r="U567" s="30" t="n">
        <v>179400</v>
      </c>
      <c r="V567" s="30" t="n">
        <v>67500</v>
      </c>
      <c r="W567" s="35" t="n">
        <v>0</v>
      </c>
      <c r="X567" s="35" t="n">
        <v>1.657777777777778</v>
      </c>
      <c r="Y567" s="30" t="n">
        <v>11179416</v>
      </c>
      <c r="Z567" s="30" t="n">
        <v>2005587230400</v>
      </c>
      <c r="AA567" s="30" t="n">
        <v>11295562200</v>
      </c>
      <c r="AB567" s="30" t="n">
        <v>11753641445</v>
      </c>
      <c r="AC567" s="35" t="n">
        <v>0.005632047326980229</v>
      </c>
      <c r="AD567" s="24" t="inlineStr">
        <is>
          <t>yfinance_download</t>
        </is>
      </c>
      <c r="AE567" s="24" t="inlineStr">
        <is>
          <t>064760.KQ</t>
        </is>
      </c>
    </row>
    <row r="568" ht="24" customHeight="1">
      <c r="A568" s="29" t="inlineStr">
        <is>
          <t>2025-10-02</t>
        </is>
      </c>
      <c r="B568" s="31" t="n">
        <v>178200</v>
      </c>
      <c r="C568" s="31" t="n">
        <v>189500</v>
      </c>
      <c r="D568" s="31" t="n">
        <v>177900</v>
      </c>
      <c r="E568" s="31" t="n">
        <v>189500</v>
      </c>
      <c r="F568" s="31" t="n">
        <v>187669.890625</v>
      </c>
      <c r="G568" s="31" t="n">
        <v>140888</v>
      </c>
      <c r="H568" s="36" t="n">
        <v>0.05629877369007796</v>
      </c>
      <c r="I568" s="36" t="n">
        <v>-0.076060458313018</v>
      </c>
      <c r="J568" s="31" t="n">
        <v>148665</v>
      </c>
      <c r="K568" s="31" t="n">
        <v>119218.3333333333</v>
      </c>
      <c r="L568" s="31" t="n">
        <v>106330.8333333333</v>
      </c>
      <c r="M568" s="36" t="n">
        <v>0.5762086993652185</v>
      </c>
      <c r="N568" s="36" t="n">
        <v>0.5791989531168821</v>
      </c>
      <c r="O568" s="36" t="n">
        <v>0.7660764212488351</v>
      </c>
      <c r="P568" s="36" t="n">
        <v>0.8560235063663075</v>
      </c>
      <c r="Q568" s="36" t="n">
        <v>1.429487179487179</v>
      </c>
      <c r="R568" s="36" t="n">
        <v>0.2746779672417852</v>
      </c>
      <c r="S568" s="36" t="n">
        <v>0.5895206274202793</v>
      </c>
      <c r="T568" s="36" t="n">
        <v>0.7821735620743435</v>
      </c>
      <c r="U568" s="31" t="n">
        <v>189500</v>
      </c>
      <c r="V568" s="31" t="n">
        <v>67500</v>
      </c>
      <c r="W568" s="36" t="n">
        <v>0</v>
      </c>
      <c r="X568" s="36" t="n">
        <v>1.807407407407407</v>
      </c>
      <c r="Y568" s="31" t="n">
        <v>11179416</v>
      </c>
      <c r="Z568" s="31" t="n">
        <v>2118499332000</v>
      </c>
      <c r="AA568" s="31" t="n">
        <v>26698276000</v>
      </c>
      <c r="AB568" s="31" t="n">
        <v>12954639480</v>
      </c>
      <c r="AC568" s="36" t="n">
        <v>0.01260244721191161</v>
      </c>
      <c r="AD568" s="29" t="inlineStr">
        <is>
          <t>yfinance_download</t>
        </is>
      </c>
      <c r="AE568" s="29" t="inlineStr">
        <is>
          <t>064760.KQ</t>
        </is>
      </c>
    </row>
    <row r="569" ht="24" customHeight="1">
      <c r="A569" s="24" t="inlineStr">
        <is>
          <t>2025-10-10</t>
        </is>
      </c>
      <c r="B569" s="30" t="n">
        <v>195200</v>
      </c>
      <c r="C569" s="30" t="n">
        <v>198500</v>
      </c>
      <c r="D569" s="30" t="n">
        <v>181900</v>
      </c>
      <c r="E569" s="30" t="n">
        <v>186600</v>
      </c>
      <c r="F569" s="30" t="n">
        <v>184797.90625</v>
      </c>
      <c r="G569" s="30" t="n">
        <v>102854</v>
      </c>
      <c r="H569" s="35" t="n">
        <v>-0.01530343007915569</v>
      </c>
      <c r="I569" s="35" t="n">
        <v>-0.09019990248659193</v>
      </c>
      <c r="J569" s="30" t="n">
        <v>152575</v>
      </c>
      <c r="K569" s="30" t="n">
        <v>120586.6666666667</v>
      </c>
      <c r="L569" s="30" t="n">
        <v>107175</v>
      </c>
      <c r="M569" s="35" t="n">
        <v>0.5943495877533569</v>
      </c>
      <c r="N569" s="35" t="n">
        <v>0.5810747726926111</v>
      </c>
      <c r="O569" s="35" t="n">
        <v>0.7214022140221403</v>
      </c>
      <c r="P569" s="35" t="n">
        <v>0.7856459330143541</v>
      </c>
      <c r="Q569" s="35" t="n">
        <v>1.18757327080891</v>
      </c>
      <c r="R569" s="35" t="n">
        <v>0.2230050794691136</v>
      </c>
      <c r="S569" s="35" t="n">
        <v>0.5474347633790357</v>
      </c>
      <c r="T569" s="35" t="n">
        <v>0.7410776766969909</v>
      </c>
      <c r="U569" s="30" t="n">
        <v>189500</v>
      </c>
      <c r="V569" s="30" t="n">
        <v>67500</v>
      </c>
      <c r="W569" s="35" t="n">
        <v>-0.01530343007915569</v>
      </c>
      <c r="X569" s="35" t="n">
        <v>1.764444444444444</v>
      </c>
      <c r="Y569" s="30" t="n">
        <v>11179416</v>
      </c>
      <c r="Z569" s="30" t="n">
        <v>2086079025600</v>
      </c>
      <c r="AA569" s="30" t="n">
        <v>19192556400</v>
      </c>
      <c r="AB569" s="30" t="n">
        <v>13754057520</v>
      </c>
      <c r="AC569" s="35" t="n">
        <v>0.009200301697333742</v>
      </c>
      <c r="AD569" s="24" t="inlineStr">
        <is>
          <t>yfinance_download</t>
        </is>
      </c>
      <c r="AE569" s="24" t="inlineStr">
        <is>
          <t>064760.KQ</t>
        </is>
      </c>
    </row>
    <row r="570" ht="24" customHeight="1">
      <c r="A570" s="29" t="inlineStr">
        <is>
          <t>2025-10-13</t>
        </is>
      </c>
      <c r="B570" s="31" t="n">
        <v>180100</v>
      </c>
      <c r="C570" s="31" t="n">
        <v>185200</v>
      </c>
      <c r="D570" s="31" t="n">
        <v>178100</v>
      </c>
      <c r="E570" s="31" t="n">
        <v>183700</v>
      </c>
      <c r="F570" s="31" t="n">
        <v>181925.90625</v>
      </c>
      <c r="G570" s="31" t="n">
        <v>70787</v>
      </c>
      <c r="H570" s="36" t="n">
        <v>-0.01554126473740625</v>
      </c>
      <c r="I570" s="36" t="n">
        <v>-0.1043393466601658</v>
      </c>
      <c r="J570" s="31" t="n">
        <v>156285</v>
      </c>
      <c r="K570" s="31" t="n">
        <v>121966.6666666667</v>
      </c>
      <c r="L570" s="31" t="n">
        <v>108020.8333333333</v>
      </c>
      <c r="M570" s="36" t="n">
        <v>0.6114254521087158</v>
      </c>
      <c r="N570" s="36" t="n">
        <v>0.5761201623763117</v>
      </c>
      <c r="O570" s="36" t="n">
        <v>0.6776255707762557</v>
      </c>
      <c r="P570" s="36" t="n">
        <v>0.8206144697720514</v>
      </c>
      <c r="Q570" s="36" t="n">
        <v>1.234793187347932</v>
      </c>
      <c r="R570" s="36" t="n">
        <v>0.1754167066577086</v>
      </c>
      <c r="S570" s="36" t="n">
        <v>0.5061492210986607</v>
      </c>
      <c r="T570" s="36" t="n">
        <v>0.7005978784956606</v>
      </c>
      <c r="U570" s="31" t="n">
        <v>189500</v>
      </c>
      <c r="V570" s="31" t="n">
        <v>67500</v>
      </c>
      <c r="W570" s="36" t="n">
        <v>-0.03060686015831138</v>
      </c>
      <c r="X570" s="36" t="n">
        <v>1.721481481481482</v>
      </c>
      <c r="Y570" s="31" t="n">
        <v>11179416</v>
      </c>
      <c r="Z570" s="31" t="n">
        <v>2053658719200</v>
      </c>
      <c r="AA570" s="31" t="n">
        <v>13003571900</v>
      </c>
      <c r="AB570" s="31" t="n">
        <v>14312661265</v>
      </c>
      <c r="AC570" s="36" t="n">
        <v>0.006331904993963906</v>
      </c>
      <c r="AD570" s="29" t="inlineStr">
        <is>
          <t>yfinance_download</t>
        </is>
      </c>
      <c r="AE570" s="29" t="inlineStr">
        <is>
          <t>064760.KQ</t>
        </is>
      </c>
    </row>
    <row r="571" ht="24" customHeight="1">
      <c r="A571" s="24" t="inlineStr">
        <is>
          <t>2025-10-14</t>
        </is>
      </c>
      <c r="B571" s="30" t="n">
        <v>186000</v>
      </c>
      <c r="C571" s="30" t="n">
        <v>188200</v>
      </c>
      <c r="D571" s="30" t="n">
        <v>176300</v>
      </c>
      <c r="E571" s="30" t="n">
        <v>182000</v>
      </c>
      <c r="F571" s="30" t="n">
        <v>180242.328125</v>
      </c>
      <c r="G571" s="30" t="n">
        <v>72233</v>
      </c>
      <c r="H571" s="35" t="n">
        <v>-0.009254218835057171</v>
      </c>
      <c r="I571" s="35" t="n">
        <v>-0.1126279863481229</v>
      </c>
      <c r="J571" s="30" t="n">
        <v>159775</v>
      </c>
      <c r="K571" s="30" t="n">
        <v>123333.3333333333</v>
      </c>
      <c r="L571" s="30" t="n">
        <v>108834.1666666667</v>
      </c>
      <c r="M571" s="35" t="n">
        <v>0.624761583106511</v>
      </c>
      <c r="N571" s="35" t="n">
        <v>0.5761691184749755</v>
      </c>
      <c r="O571" s="35" t="n">
        <v>0.6221033868092691</v>
      </c>
      <c r="P571" s="35" t="n">
        <v>0.8200000000000001</v>
      </c>
      <c r="Q571" s="35" t="n">
        <v>1.156398104265403</v>
      </c>
      <c r="R571" s="35" t="n">
        <v>0.1391018619934283</v>
      </c>
      <c r="S571" s="35" t="n">
        <v>0.4756756756756757</v>
      </c>
      <c r="T571" s="35" t="n">
        <v>0.6722689719068</v>
      </c>
      <c r="U571" s="30" t="n">
        <v>189500</v>
      </c>
      <c r="V571" s="30" t="n">
        <v>67500</v>
      </c>
      <c r="W571" s="35" t="n">
        <v>-0.0395778364116095</v>
      </c>
      <c r="X571" s="35" t="n">
        <v>1.696296296296296</v>
      </c>
      <c r="Y571" s="30" t="n">
        <v>11179416</v>
      </c>
      <c r="Z571" s="30" t="n">
        <v>2034653712000</v>
      </c>
      <c r="AA571" s="30" t="n">
        <v>13146406000</v>
      </c>
      <c r="AB571" s="30" t="n">
        <v>14750092005</v>
      </c>
      <c r="AC571" s="35" t="n">
        <v>0.006461249854196319</v>
      </c>
      <c r="AD571" s="24" t="inlineStr">
        <is>
          <t>yfinance_download</t>
        </is>
      </c>
      <c r="AE571" s="24" t="inlineStr">
        <is>
          <t>064760.KQ</t>
        </is>
      </c>
    </row>
    <row r="572" ht="24" customHeight="1">
      <c r="A572" s="29" t="inlineStr">
        <is>
          <t>2025-10-15</t>
        </is>
      </c>
      <c r="B572" s="31" t="n">
        <v>182000</v>
      </c>
      <c r="C572" s="31" t="n">
        <v>182900</v>
      </c>
      <c r="D572" s="31" t="n">
        <v>176100</v>
      </c>
      <c r="E572" s="31" t="n">
        <v>180500</v>
      </c>
      <c r="F572" s="31" t="n">
        <v>178756.8125</v>
      </c>
      <c r="G572" s="31" t="n">
        <v>83844</v>
      </c>
      <c r="H572" s="36" t="n">
        <v>-0.008241758241758212</v>
      </c>
      <c r="I572" s="36" t="n">
        <v>-0.1199414919551438</v>
      </c>
      <c r="J572" s="31" t="n">
        <v>162995</v>
      </c>
      <c r="K572" s="31" t="n">
        <v>124673.3333333333</v>
      </c>
      <c r="L572" s="31" t="n">
        <v>109623.3333333333</v>
      </c>
      <c r="M572" s="36" t="n">
        <v>0.6345861731706588</v>
      </c>
      <c r="N572" s="36" t="n">
        <v>0.5771408950781611</v>
      </c>
      <c r="O572" s="36" t="n">
        <v>0.5546942291128338</v>
      </c>
      <c r="P572" s="36" t="n">
        <v>0.8031968031968031</v>
      </c>
      <c r="Q572" s="36" t="n">
        <v>1.103729603729604</v>
      </c>
      <c r="R572" s="36" t="n">
        <v>0.1073959323905642</v>
      </c>
      <c r="S572" s="36" t="n">
        <v>0.4477835409871131</v>
      </c>
      <c r="T572" s="36" t="n">
        <v>0.6465472679174142</v>
      </c>
      <c r="U572" s="31" t="n">
        <v>189500</v>
      </c>
      <c r="V572" s="31" t="n">
        <v>67500</v>
      </c>
      <c r="W572" s="36" t="n">
        <v>-0.0474934036939314</v>
      </c>
      <c r="X572" s="36" t="n">
        <v>1.674074074074074</v>
      </c>
      <c r="Y572" s="31" t="n">
        <v>11179416</v>
      </c>
      <c r="Z572" s="31" t="n">
        <v>2017884588000</v>
      </c>
      <c r="AA572" s="31" t="n">
        <v>15133842000</v>
      </c>
      <c r="AB572" s="31" t="n">
        <v>15057761550</v>
      </c>
      <c r="AC572" s="36" t="n">
        <v>0.007499855090820486</v>
      </c>
      <c r="AD572" s="29" t="inlineStr">
        <is>
          <t>yfinance_download</t>
        </is>
      </c>
      <c r="AE572" s="29" t="inlineStr">
        <is>
          <t>064760.KQ</t>
        </is>
      </c>
    </row>
    <row r="573" ht="24" customHeight="1">
      <c r="A573" s="24" t="inlineStr">
        <is>
          <t>2025-10-16</t>
        </is>
      </c>
      <c r="B573" s="30" t="n">
        <v>180100</v>
      </c>
      <c r="C573" s="30" t="n">
        <v>183900</v>
      </c>
      <c r="D573" s="30" t="n">
        <v>179600</v>
      </c>
      <c r="E573" s="30" t="n">
        <v>182800</v>
      </c>
      <c r="F573" s="30" t="n">
        <v>181034.59375</v>
      </c>
      <c r="G573" s="30" t="n">
        <v>46019</v>
      </c>
      <c r="H573" s="35" t="n">
        <v>0.01274238227146807</v>
      </c>
      <c r="I573" s="35" t="n">
        <v>-0.1087274500243783</v>
      </c>
      <c r="J573" s="30" t="n">
        <v>166135</v>
      </c>
      <c r="K573" s="30" t="n">
        <v>126048.3333333333</v>
      </c>
      <c r="L573" s="30" t="n">
        <v>110461.6666666667</v>
      </c>
      <c r="M573" s="35" t="n">
        <v>0.6342995198019091</v>
      </c>
      <c r="N573" s="35" t="n">
        <v>0.5768849685629922</v>
      </c>
      <c r="O573" s="35" t="n">
        <v>0.5233333333333334</v>
      </c>
      <c r="P573" s="35" t="n">
        <v>0.8225324027916252</v>
      </c>
      <c r="Q573" s="35" t="n">
        <v>1.223844282238443</v>
      </c>
      <c r="R573" s="35" t="n">
        <v>0.1003099888644776</v>
      </c>
      <c r="S573" s="35" t="n">
        <v>0.4502373428182311</v>
      </c>
      <c r="T573" s="35" t="n">
        <v>0.6548727311133575</v>
      </c>
      <c r="U573" s="30" t="n">
        <v>189500</v>
      </c>
      <c r="V573" s="30" t="n">
        <v>67500</v>
      </c>
      <c r="W573" s="35" t="n">
        <v>-0.0353562005277045</v>
      </c>
      <c r="X573" s="35" t="n">
        <v>1.708148148148148</v>
      </c>
      <c r="Y573" s="30" t="n">
        <v>11179416</v>
      </c>
      <c r="Z573" s="30" t="n">
        <v>2043597244800</v>
      </c>
      <c r="AA573" s="30" t="n">
        <v>8412273200</v>
      </c>
      <c r="AB573" s="30" t="n">
        <v>14974867210</v>
      </c>
      <c r="AC573" s="35" t="n">
        <v>0.00411640464940208</v>
      </c>
      <c r="AD573" s="24" t="inlineStr">
        <is>
          <t>yfinance_download</t>
        </is>
      </c>
      <c r="AE573" s="24" t="inlineStr">
        <is>
          <t>064760.KQ</t>
        </is>
      </c>
    </row>
    <row r="574" ht="24" customHeight="1">
      <c r="A574" s="29" t="inlineStr">
        <is>
          <t>2025-10-17</t>
        </is>
      </c>
      <c r="B574" s="31" t="n">
        <v>180300</v>
      </c>
      <c r="C574" s="31" t="n">
        <v>186400</v>
      </c>
      <c r="D574" s="31" t="n">
        <v>178100</v>
      </c>
      <c r="E574" s="31" t="n">
        <v>180000</v>
      </c>
      <c r="F574" s="31" t="n">
        <v>178261.640625</v>
      </c>
      <c r="G574" s="31" t="n">
        <v>62429</v>
      </c>
      <c r="H574" s="36" t="n">
        <v>-0.01531728665207877</v>
      </c>
      <c r="I574" s="36" t="n">
        <v>-0.1223793271574841</v>
      </c>
      <c r="J574" s="31" t="n">
        <v>168280</v>
      </c>
      <c r="K574" s="31" t="n">
        <v>127395</v>
      </c>
      <c r="L574" s="31" t="n">
        <v>111266.6666666667</v>
      </c>
      <c r="M574" s="36" t="n">
        <v>0.4600598919845705</v>
      </c>
      <c r="N574" s="36" t="n">
        <v>0.5776504877709303</v>
      </c>
      <c r="O574" s="36" t="n">
        <v>0.3129102844638949</v>
      </c>
      <c r="P574" s="36" t="n">
        <v>0.814516129032258</v>
      </c>
      <c r="Q574" s="36" t="n">
        <v>1.158273381294964</v>
      </c>
      <c r="R574" s="36" t="n">
        <v>0.06964582838126931</v>
      </c>
      <c r="S574" s="36" t="n">
        <v>0.412928293889085</v>
      </c>
      <c r="T574" s="36" t="n">
        <v>0.6177351707609346</v>
      </c>
      <c r="U574" s="31" t="n">
        <v>189500</v>
      </c>
      <c r="V574" s="31" t="n">
        <v>67500</v>
      </c>
      <c r="W574" s="36" t="n">
        <v>-0.05013192612137207</v>
      </c>
      <c r="X574" s="36" t="n">
        <v>1.666666666666667</v>
      </c>
      <c r="Y574" s="31" t="n">
        <v>11179416</v>
      </c>
      <c r="Z574" s="31" t="n">
        <v>2012294880000</v>
      </c>
      <c r="AA574" s="31" t="n">
        <v>11237220000</v>
      </c>
      <c r="AB574" s="31" t="n">
        <v>13935701830</v>
      </c>
      <c r="AC574" s="36" t="n">
        <v>0.005584280967807263</v>
      </c>
      <c r="AD574" s="29" t="inlineStr">
        <is>
          <t>yfinance_download</t>
        </is>
      </c>
      <c r="AE574" s="29" t="inlineStr">
        <is>
          <t>064760.KQ</t>
        </is>
      </c>
    </row>
    <row r="575" ht="24" customHeight="1">
      <c r="A575" s="24" t="inlineStr">
        <is>
          <t>2025-10-20</t>
        </is>
      </c>
      <c r="B575" s="30" t="n">
        <v>180300</v>
      </c>
      <c r="C575" s="30" t="n">
        <v>182500</v>
      </c>
      <c r="D575" s="30" t="n">
        <v>175700</v>
      </c>
      <c r="E575" s="30" t="n">
        <v>178600</v>
      </c>
      <c r="F575" s="30" t="n">
        <v>176875.15625</v>
      </c>
      <c r="G575" s="30" t="n">
        <v>58714</v>
      </c>
      <c r="H575" s="35" t="n">
        <v>-0.007777777777777772</v>
      </c>
      <c r="I575" s="35" t="n">
        <v>-0.129205265724037</v>
      </c>
      <c r="J575" s="30" t="n">
        <v>170165</v>
      </c>
      <c r="K575" s="30" t="n">
        <v>128718.3333333333</v>
      </c>
      <c r="L575" s="30" t="n">
        <v>112063.3333333333</v>
      </c>
      <c r="M575" s="35" t="n">
        <v>0.4633637895708502</v>
      </c>
      <c r="N575" s="35" t="n">
        <v>0.578479706670784</v>
      </c>
      <c r="O575" s="35" t="n">
        <v>0.2675656493967353</v>
      </c>
      <c r="P575" s="35" t="n">
        <v>0.8004032258064515</v>
      </c>
      <c r="Q575" s="35" t="n">
        <v>1.151807228915663</v>
      </c>
      <c r="R575" s="35" t="n">
        <v>0.04956953545088583</v>
      </c>
      <c r="S575" s="35" t="n">
        <v>0.3875257344848573</v>
      </c>
      <c r="T575" s="35" t="n">
        <v>0.5937416341949493</v>
      </c>
      <c r="U575" s="30" t="n">
        <v>189500</v>
      </c>
      <c r="V575" s="30" t="n">
        <v>67500</v>
      </c>
      <c r="W575" s="35" t="n">
        <v>-0.05751978891820575</v>
      </c>
      <c r="X575" s="35" t="n">
        <v>1.645925925925926</v>
      </c>
      <c r="Y575" s="30" t="n">
        <v>11179416</v>
      </c>
      <c r="Z575" s="30" t="n">
        <v>1996643697600</v>
      </c>
      <c r="AA575" s="30" t="n">
        <v>10486320400</v>
      </c>
      <c r="AB575" s="30" t="n">
        <v>13633026435</v>
      </c>
      <c r="AC575" s="35" t="n">
        <v>0.005251973806145151</v>
      </c>
      <c r="AD575" s="24" t="inlineStr">
        <is>
          <t>yfinance_download</t>
        </is>
      </c>
      <c r="AE575" s="24" t="inlineStr">
        <is>
          <t>064760.KQ</t>
        </is>
      </c>
    </row>
    <row r="576" ht="24" customHeight="1">
      <c r="A576" s="29" t="inlineStr">
        <is>
          <t>2025-10-21</t>
        </is>
      </c>
      <c r="B576" s="31" t="n">
        <v>175700</v>
      </c>
      <c r="C576" s="31" t="n">
        <v>178100</v>
      </c>
      <c r="D576" s="31" t="n">
        <v>171400</v>
      </c>
      <c r="E576" s="31" t="n">
        <v>174800</v>
      </c>
      <c r="F576" s="31" t="n">
        <v>173111.859375</v>
      </c>
      <c r="G576" s="31" t="n">
        <v>84093</v>
      </c>
      <c r="H576" s="36" t="n">
        <v>-0.02127659574468088</v>
      </c>
      <c r="I576" s="36" t="n">
        <v>-0.1477328132618235</v>
      </c>
      <c r="J576" s="31" t="n">
        <v>171615</v>
      </c>
      <c r="K576" s="31" t="n">
        <v>130015</v>
      </c>
      <c r="L576" s="31" t="n">
        <v>112819.1666666667</v>
      </c>
      <c r="M576" s="36" t="n">
        <v>0.470008751488299</v>
      </c>
      <c r="N576" s="36" t="n">
        <v>0.5782654317691178</v>
      </c>
      <c r="O576" s="36" t="n">
        <v>0.1989026063100137</v>
      </c>
      <c r="P576" s="36" t="n">
        <v>0.8020618556701031</v>
      </c>
      <c r="Q576" s="36" t="n">
        <v>1.078478002378121</v>
      </c>
      <c r="R576" s="36" t="n">
        <v>0.01855898377181475</v>
      </c>
      <c r="S576" s="36" t="n">
        <v>0.3444602545860094</v>
      </c>
      <c r="T576" s="36" t="n">
        <v>0.5493821233094258</v>
      </c>
      <c r="U576" s="31" t="n">
        <v>189500</v>
      </c>
      <c r="V576" s="31" t="n">
        <v>67500</v>
      </c>
      <c r="W576" s="36" t="n">
        <v>-0.07757255936675467</v>
      </c>
      <c r="X576" s="36" t="n">
        <v>1.58962962962963</v>
      </c>
      <c r="Y576" s="31" t="n">
        <v>11179416</v>
      </c>
      <c r="Z576" s="31" t="n">
        <v>1954161916800</v>
      </c>
      <c r="AA576" s="31" t="n">
        <v>14699456400</v>
      </c>
      <c r="AB576" s="31" t="n">
        <v>13548537645</v>
      </c>
      <c r="AC576" s="36" t="n">
        <v>0.007522128168412375</v>
      </c>
      <c r="AD576" s="29" t="inlineStr">
        <is>
          <t>yfinance_download</t>
        </is>
      </c>
      <c r="AE576" s="29" t="inlineStr">
        <is>
          <t>064760.KQ</t>
        </is>
      </c>
    </row>
    <row r="577" ht="24" customHeight="1">
      <c r="A577" s="24" t="inlineStr">
        <is>
          <t>2025-10-22</t>
        </is>
      </c>
      <c r="B577" s="30" t="n">
        <v>173700</v>
      </c>
      <c r="C577" s="30" t="n">
        <v>175200</v>
      </c>
      <c r="D577" s="30" t="n">
        <v>167700</v>
      </c>
      <c r="E577" s="30" t="n">
        <v>175200</v>
      </c>
      <c r="F577" s="30" t="n">
        <v>173508</v>
      </c>
      <c r="G577" s="30" t="n">
        <v>74058</v>
      </c>
      <c r="H577" s="35" t="n">
        <v>0.002288329519450905</v>
      </c>
      <c r="I577" s="35" t="n">
        <v>-0.1457825450999513</v>
      </c>
      <c r="J577" s="30" t="n">
        <v>172925</v>
      </c>
      <c r="K577" s="30" t="n">
        <v>131361.6666666667</v>
      </c>
      <c r="L577" s="30" t="n">
        <v>113593.3333333333</v>
      </c>
      <c r="M577" s="35" t="n">
        <v>0.4682915385964674</v>
      </c>
      <c r="N577" s="35" t="n">
        <v>0.5733038117908518</v>
      </c>
      <c r="O577" s="35" t="n">
        <v>0.1758389261744966</v>
      </c>
      <c r="P577" s="35" t="n">
        <v>0.8559322033898304</v>
      </c>
      <c r="Q577" s="35" t="n">
        <v>1.128797083839611</v>
      </c>
      <c r="R577" s="35" t="n">
        <v>0.01315599248228994</v>
      </c>
      <c r="S577" s="35" t="n">
        <v>0.3337224202900391</v>
      </c>
      <c r="T577" s="35" t="n">
        <v>0.542344034274312</v>
      </c>
      <c r="U577" s="30" t="n">
        <v>189500</v>
      </c>
      <c r="V577" s="30" t="n">
        <v>67500</v>
      </c>
      <c r="W577" s="35" t="n">
        <v>-0.07546174142480211</v>
      </c>
      <c r="X577" s="35" t="n">
        <v>1.595555555555555</v>
      </c>
      <c r="Y577" s="30" t="n">
        <v>11179416</v>
      </c>
      <c r="Z577" s="30" t="n">
        <v>1958633683200</v>
      </c>
      <c r="AA577" s="30" t="n">
        <v>12974961600</v>
      </c>
      <c r="AB577" s="30" t="n">
        <v>13479813475</v>
      </c>
      <c r="AC577" s="35" t="n">
        <v>0.006624496306426024</v>
      </c>
      <c r="AD577" s="24" t="inlineStr">
        <is>
          <t>yfinance_download</t>
        </is>
      </c>
      <c r="AE577" s="24" t="inlineStr">
        <is>
          <t>064760.KQ</t>
        </is>
      </c>
    </row>
    <row r="578" ht="24" customHeight="1">
      <c r="A578" s="29" t="inlineStr">
        <is>
          <t>2025-10-23</t>
        </is>
      </c>
      <c r="B578" s="31" t="n">
        <v>172800</v>
      </c>
      <c r="C578" s="31" t="n">
        <v>172900</v>
      </c>
      <c r="D578" s="31" t="n">
        <v>167600</v>
      </c>
      <c r="E578" s="31" t="n">
        <v>170000</v>
      </c>
      <c r="F578" s="31" t="n">
        <v>168358.21875</v>
      </c>
      <c r="G578" s="31" t="n">
        <v>84251</v>
      </c>
      <c r="H578" s="36" t="n">
        <v>-0.02968036529680362</v>
      </c>
      <c r="I578" s="36" t="n">
        <v>-0.1711360312042906</v>
      </c>
      <c r="J578" s="31" t="n">
        <v>173520</v>
      </c>
      <c r="K578" s="31" t="n">
        <v>132633.3333333333</v>
      </c>
      <c r="L578" s="31" t="n">
        <v>114269.1666666667</v>
      </c>
      <c r="M578" s="36" t="n">
        <v>0.4433944459765996</v>
      </c>
      <c r="N578" s="36" t="n">
        <v>0.5781497972431714</v>
      </c>
      <c r="O578" s="36" t="n">
        <v>0.07526881720430101</v>
      </c>
      <c r="P578" s="36" t="n">
        <v>0.8143009605122733</v>
      </c>
      <c r="Q578" s="36" t="n">
        <v>0.9122609673790776</v>
      </c>
      <c r="R578" s="36" t="n">
        <v>-0.02028584601198713</v>
      </c>
      <c r="S578" s="36" t="n">
        <v>0.2817290776577028</v>
      </c>
      <c r="T578" s="36" t="n">
        <v>0.4877154087935649</v>
      </c>
      <c r="U578" s="31" t="n">
        <v>189500</v>
      </c>
      <c r="V578" s="31" t="n">
        <v>67500</v>
      </c>
      <c r="W578" s="36" t="n">
        <v>-0.1029023746701847</v>
      </c>
      <c r="X578" s="36" t="n">
        <v>1.518518518518519</v>
      </c>
      <c r="Y578" s="31" t="n">
        <v>11179416</v>
      </c>
      <c r="Z578" s="31" t="n">
        <v>1900500720000</v>
      </c>
      <c r="AA578" s="31" t="n">
        <v>14322670000</v>
      </c>
      <c r="AB578" s="31" t="n">
        <v>13434482040</v>
      </c>
      <c r="AC578" s="36" t="n">
        <v>0.007536261285920481</v>
      </c>
      <c r="AD578" s="29" t="inlineStr">
        <is>
          <t>yfinance_download</t>
        </is>
      </c>
      <c r="AE578" s="29" t="inlineStr">
        <is>
          <t>064760.KQ</t>
        </is>
      </c>
    </row>
    <row r="579" ht="24" customHeight="1">
      <c r="A579" s="24" t="inlineStr">
        <is>
          <t>2025-10-24</t>
        </is>
      </c>
      <c r="B579" s="30" t="n">
        <v>171300</v>
      </c>
      <c r="C579" s="30" t="n">
        <v>175200</v>
      </c>
      <c r="D579" s="30" t="n">
        <v>170100</v>
      </c>
      <c r="E579" s="30" t="n">
        <v>174100</v>
      </c>
      <c r="F579" s="30" t="n">
        <v>172418.625</v>
      </c>
      <c r="G579" s="30" t="n">
        <v>93787</v>
      </c>
      <c r="H579" s="35" t="n">
        <v>0.02411764705882358</v>
      </c>
      <c r="I579" s="35" t="n">
        <v>-0.1511457825450999</v>
      </c>
      <c r="J579" s="30" t="n">
        <v>174260</v>
      </c>
      <c r="K579" s="30" t="n">
        <v>133995</v>
      </c>
      <c r="L579" s="30" t="n">
        <v>114992.5</v>
      </c>
      <c r="M579" s="35" t="n">
        <v>0.449015307522624</v>
      </c>
      <c r="N579" s="35" t="n">
        <v>0.5765198641219078</v>
      </c>
      <c r="O579" s="35" t="n">
        <v>0.0929064657878218</v>
      </c>
      <c r="P579" s="35" t="n">
        <v>0.8841991341991342</v>
      </c>
      <c r="Q579" s="35" t="n">
        <v>0.9942726231386025</v>
      </c>
      <c r="R579" s="35" t="n">
        <v>-0.000918168254332552</v>
      </c>
      <c r="S579" s="35" t="n">
        <v>0.2993022127691332</v>
      </c>
      <c r="T579" s="35" t="n">
        <v>0.5140117833771767</v>
      </c>
      <c r="U579" s="30" t="n">
        <v>189500</v>
      </c>
      <c r="V579" s="30" t="n">
        <v>67500</v>
      </c>
      <c r="W579" s="35" t="n">
        <v>-0.08126649076517145</v>
      </c>
      <c r="X579" s="35" t="n">
        <v>1.579259259259259</v>
      </c>
      <c r="Y579" s="30" t="n">
        <v>11179416</v>
      </c>
      <c r="Z579" s="30" t="n">
        <v>1946336325600</v>
      </c>
      <c r="AA579" s="30" t="n">
        <v>16328316700</v>
      </c>
      <c r="AB579" s="30" t="n">
        <v>13682579195</v>
      </c>
      <c r="AC579" s="35" t="n">
        <v>0.008389257542612244</v>
      </c>
      <c r="AD579" s="24" t="inlineStr">
        <is>
          <t>yfinance_download</t>
        </is>
      </c>
      <c r="AE579" s="24" t="inlineStr">
        <is>
          <t>064760.KQ</t>
        </is>
      </c>
    </row>
    <row r="580" ht="24" customHeight="1">
      <c r="A580" s="29" t="inlineStr">
        <is>
          <t>2025-10-27</t>
        </is>
      </c>
      <c r="B580" s="31" t="n">
        <v>174200</v>
      </c>
      <c r="C580" s="31" t="n">
        <v>176600</v>
      </c>
      <c r="D580" s="31" t="n">
        <v>169000</v>
      </c>
      <c r="E580" s="31" t="n">
        <v>172900</v>
      </c>
      <c r="F580" s="31" t="n">
        <v>171230.203125</v>
      </c>
      <c r="G580" s="31" t="n">
        <v>69406</v>
      </c>
      <c r="H580" s="36" t="n">
        <v>-0.006892590465249815</v>
      </c>
      <c r="I580" s="36" t="n">
        <v>-0.1569965870307167</v>
      </c>
      <c r="J580" s="31" t="n">
        <v>174820</v>
      </c>
      <c r="K580" s="31" t="n">
        <v>135343.3333333333</v>
      </c>
      <c r="L580" s="31" t="n">
        <v>115689.1666666667</v>
      </c>
      <c r="M580" s="36" t="n">
        <v>0.4491385020866364</v>
      </c>
      <c r="N580" s="36" t="n">
        <v>0.5768393608200191</v>
      </c>
      <c r="O580" s="36" t="n">
        <v>0.06926406926406936</v>
      </c>
      <c r="P580" s="36" t="n">
        <v>0.8793478260869565</v>
      </c>
      <c r="Q580" s="36" t="n">
        <v>0.9361702127659575</v>
      </c>
      <c r="R580" s="36" t="n">
        <v>-0.0109827250886626</v>
      </c>
      <c r="S580" s="36" t="n">
        <v>0.2774918109499298</v>
      </c>
      <c r="T580" s="36" t="n">
        <v>0.4945219589849237</v>
      </c>
      <c r="U580" s="31" t="n">
        <v>189500</v>
      </c>
      <c r="V580" s="31" t="n">
        <v>67500</v>
      </c>
      <c r="W580" s="36" t="n">
        <v>-0.08759894459102902</v>
      </c>
      <c r="X580" s="36" t="n">
        <v>1.561481481481481</v>
      </c>
      <c r="Y580" s="31" t="n">
        <v>11179416</v>
      </c>
      <c r="Z580" s="31" t="n">
        <v>1932921026400</v>
      </c>
      <c r="AA580" s="31" t="n">
        <v>12000297400</v>
      </c>
      <c r="AB580" s="31" t="n">
        <v>13825524760</v>
      </c>
      <c r="AC580" s="36" t="n">
        <v>0.006208374390934196</v>
      </c>
      <c r="AD580" s="29" t="inlineStr">
        <is>
          <t>yfinance_download</t>
        </is>
      </c>
      <c r="AE580" s="29" t="inlineStr">
        <is>
          <t>064760.KQ</t>
        </is>
      </c>
    </row>
    <row r="581" ht="24" customHeight="1">
      <c r="A581" s="24" t="inlineStr">
        <is>
          <t>2025-10-28</t>
        </is>
      </c>
      <c r="B581" s="30" t="n">
        <v>172900</v>
      </c>
      <c r="C581" s="30" t="n">
        <v>175800</v>
      </c>
      <c r="D581" s="30" t="n">
        <v>168500</v>
      </c>
      <c r="E581" s="30" t="n">
        <v>169800</v>
      </c>
      <c r="F581" s="30" t="n">
        <v>168160.140625</v>
      </c>
      <c r="G581" s="30" t="n">
        <v>74990</v>
      </c>
      <c r="H581" s="35" t="n">
        <v>-0.01792943898207056</v>
      </c>
      <c r="I581" s="35" t="n">
        <v>-0.1721111652852267</v>
      </c>
      <c r="J581" s="30" t="n">
        <v>175270</v>
      </c>
      <c r="K581" s="30" t="n">
        <v>136596.6666666667</v>
      </c>
      <c r="L581" s="30" t="n">
        <v>116380</v>
      </c>
      <c r="M581" s="35" t="n">
        <v>0.454641957669931</v>
      </c>
      <c r="N581" s="35" t="n">
        <v>0.5787665127672051</v>
      </c>
      <c r="O581" s="35" t="n">
        <v>0.05597014925373145</v>
      </c>
      <c r="P581" s="35" t="n">
        <v>0.7949260042283297</v>
      </c>
      <c r="Q581" s="35" t="n">
        <v>0.953970080552359</v>
      </c>
      <c r="R581" s="35" t="n">
        <v>-0.03120899184115933</v>
      </c>
      <c r="S581" s="35" t="n">
        <v>0.2430757217111204</v>
      </c>
      <c r="T581" s="35" t="n">
        <v>0.4590135762158447</v>
      </c>
      <c r="U581" s="30" t="n">
        <v>189500</v>
      </c>
      <c r="V581" s="30" t="n">
        <v>67500</v>
      </c>
      <c r="W581" s="35" t="n">
        <v>-0.1039577836411609</v>
      </c>
      <c r="X581" s="35" t="n">
        <v>1.515555555555556</v>
      </c>
      <c r="Y581" s="30" t="n">
        <v>11179416</v>
      </c>
      <c r="Z581" s="30" t="n">
        <v>1898264836800</v>
      </c>
      <c r="AA581" s="30" t="n">
        <v>12733302000</v>
      </c>
      <c r="AB581" s="30" t="n">
        <v>13981454140</v>
      </c>
      <c r="AC581" s="35" t="n">
        <v>0.006707863809701687</v>
      </c>
      <c r="AD581" s="24" t="inlineStr">
        <is>
          <t>yfinance_download</t>
        </is>
      </c>
      <c r="AE581" s="24" t="inlineStr">
        <is>
          <t>064760.KQ</t>
        </is>
      </c>
    </row>
    <row r="582" ht="24" customHeight="1">
      <c r="A582" s="29" t="inlineStr">
        <is>
          <t>2025-10-29</t>
        </is>
      </c>
      <c r="B582" s="31" t="n">
        <v>169900</v>
      </c>
      <c r="C582" s="31" t="n">
        <v>171700</v>
      </c>
      <c r="D582" s="31" t="n">
        <v>163900</v>
      </c>
      <c r="E582" s="31" t="n">
        <v>168900</v>
      </c>
      <c r="F582" s="31" t="n">
        <v>167268.84375</v>
      </c>
      <c r="G582" s="31" t="n">
        <v>82694</v>
      </c>
      <c r="H582" s="36" t="n">
        <v>-0.005300353356890497</v>
      </c>
      <c r="I582" s="36" t="n">
        <v>-0.1764992686494393</v>
      </c>
      <c r="J582" s="31" t="n">
        <v>175440</v>
      </c>
      <c r="K582" s="31" t="n">
        <v>137626.6666666667</v>
      </c>
      <c r="L582" s="31" t="n">
        <v>117068.3333333333</v>
      </c>
      <c r="M582" s="36" t="n">
        <v>0.4447451793708284</v>
      </c>
      <c r="N582" s="36" t="n">
        <v>0.5209715821865994</v>
      </c>
      <c r="O582" s="36" t="n">
        <v>0.02054380664652578</v>
      </c>
      <c r="P582" s="36" t="n">
        <v>0.5770308123249299</v>
      </c>
      <c r="Q582" s="36" t="n">
        <v>0.9571263035921205</v>
      </c>
      <c r="R582" s="36" t="n">
        <v>-0.03727770177838574</v>
      </c>
      <c r="S582" s="36" t="n">
        <v>0.2272330943615579</v>
      </c>
      <c r="T582" s="36" t="n">
        <v>0.442747113509204</v>
      </c>
      <c r="U582" s="31" t="n">
        <v>189500</v>
      </c>
      <c r="V582" s="31" t="n">
        <v>67500</v>
      </c>
      <c r="W582" s="36" t="n">
        <v>-0.108707124010554</v>
      </c>
      <c r="X582" s="36" t="n">
        <v>1.502222222222222</v>
      </c>
      <c r="Y582" s="31" t="n">
        <v>11179416</v>
      </c>
      <c r="Z582" s="31" t="n">
        <v>1888203362400</v>
      </c>
      <c r="AA582" s="31" t="n">
        <v>13967016600</v>
      </c>
      <c r="AB582" s="31" t="n">
        <v>13977025770</v>
      </c>
      <c r="AC582" s="36" t="n">
        <v>0.00739698746338807</v>
      </c>
      <c r="AD582" s="29" t="inlineStr">
        <is>
          <t>yfinance_download</t>
        </is>
      </c>
      <c r="AE582" s="29" t="inlineStr">
        <is>
          <t>064760.KQ</t>
        </is>
      </c>
    </row>
    <row r="583" ht="24" customHeight="1">
      <c r="A583" s="24" t="inlineStr">
        <is>
          <t>2025-10-30</t>
        </is>
      </c>
      <c r="B583" s="30" t="n">
        <v>170300</v>
      </c>
      <c r="C583" s="30" t="n">
        <v>170600</v>
      </c>
      <c r="D583" s="30" t="n">
        <v>163800</v>
      </c>
      <c r="E583" s="30" t="n">
        <v>168500</v>
      </c>
      <c r="F583" s="30" t="n">
        <v>166872.703125</v>
      </c>
      <c r="G583" s="30" t="n">
        <v>66296</v>
      </c>
      <c r="H583" s="35" t="n">
        <v>-0.002368265245707546</v>
      </c>
      <c r="I583" s="35" t="n">
        <v>-0.1784495368113116</v>
      </c>
      <c r="J583" s="30" t="n">
        <v>175780</v>
      </c>
      <c r="K583" s="30" t="n">
        <v>138571.6666666667</v>
      </c>
      <c r="L583" s="30" t="n">
        <v>117758.3333333333</v>
      </c>
      <c r="M583" s="35" t="n">
        <v>0.4357105907776505</v>
      </c>
      <c r="N583" s="35" t="n">
        <v>0.5160149409749166</v>
      </c>
      <c r="O583" s="35" t="n">
        <v>0.04205318491032783</v>
      </c>
      <c r="P583" s="35" t="n">
        <v>0.5071556350626119</v>
      </c>
      <c r="Q583" s="35" t="n">
        <v>0.9661610268378062</v>
      </c>
      <c r="R583" s="35" t="n">
        <v>-0.04141540562066215</v>
      </c>
      <c r="S583" s="35" t="n">
        <v>0.215977292135237</v>
      </c>
      <c r="T583" s="35" t="n">
        <v>0.4308966102894347</v>
      </c>
      <c r="U583" s="30" t="n">
        <v>189500</v>
      </c>
      <c r="V583" s="30" t="n">
        <v>67500</v>
      </c>
      <c r="W583" s="35" t="n">
        <v>-0.1108179419525066</v>
      </c>
      <c r="X583" s="35" t="n">
        <v>1.496296296296296</v>
      </c>
      <c r="Y583" s="30" t="n">
        <v>11179416</v>
      </c>
      <c r="Z583" s="30" t="n">
        <v>1883731596000</v>
      </c>
      <c r="AA583" s="30" t="n">
        <v>11170876000</v>
      </c>
      <c r="AB583" s="30" t="n">
        <v>14139582440</v>
      </c>
      <c r="AC583" s="35" t="n">
        <v>0.005930184546312616</v>
      </c>
      <c r="AD583" s="24" t="inlineStr">
        <is>
          <t>yfinance_download</t>
        </is>
      </c>
      <c r="AE583" s="24" t="inlineStr">
        <is>
          <t>064760.KQ</t>
        </is>
      </c>
    </row>
    <row r="584" ht="24" customHeight="1">
      <c r="A584" s="29" t="inlineStr">
        <is>
          <t>2025-10-31</t>
        </is>
      </c>
      <c r="B584" s="31" t="n">
        <v>167900</v>
      </c>
      <c r="C584" s="31" t="n">
        <v>168900</v>
      </c>
      <c r="D584" s="31" t="n">
        <v>163600</v>
      </c>
      <c r="E584" s="31" t="n">
        <v>166000</v>
      </c>
      <c r="F584" s="31" t="n">
        <v>164396.84375</v>
      </c>
      <c r="G584" s="31" t="n">
        <v>69092</v>
      </c>
      <c r="H584" s="36" t="n">
        <v>-0.01483679525222548</v>
      </c>
      <c r="I584" s="36" t="n">
        <v>-0.1906387128230131</v>
      </c>
      <c r="J584" s="31" t="n">
        <v>176235</v>
      </c>
      <c r="K584" s="31" t="n">
        <v>139555</v>
      </c>
      <c r="L584" s="31" t="n">
        <v>118435</v>
      </c>
      <c r="M584" s="36" t="n">
        <v>0.4242401894697251</v>
      </c>
      <c r="N584" s="36" t="n">
        <v>0.507459329697551</v>
      </c>
      <c r="O584" s="36" t="n">
        <v>0.05799872530274053</v>
      </c>
      <c r="P584" s="36" t="n">
        <v>0.5514018691588785</v>
      </c>
      <c r="Q584" s="36" t="n">
        <v>0.9575471698113207</v>
      </c>
      <c r="R584" s="36" t="n">
        <v>-0.05807586461259118</v>
      </c>
      <c r="S584" s="36" t="n">
        <v>0.1894951811113899</v>
      </c>
      <c r="T584" s="36" t="n">
        <v>0.4016126989487905</v>
      </c>
      <c r="U584" s="31" t="n">
        <v>189500</v>
      </c>
      <c r="V584" s="31" t="n">
        <v>67500</v>
      </c>
      <c r="W584" s="36" t="n">
        <v>-0.1240105540897097</v>
      </c>
      <c r="X584" s="36" t="n">
        <v>1.459259259259259</v>
      </c>
      <c r="Y584" s="31" t="n">
        <v>11179416</v>
      </c>
      <c r="Z584" s="31" t="n">
        <v>1855783056000</v>
      </c>
      <c r="AA584" s="31" t="n">
        <v>11469272000</v>
      </c>
      <c r="AB584" s="31" t="n">
        <v>13963220940</v>
      </c>
      <c r="AC584" s="36" t="n">
        <v>0.006180287056139606</v>
      </c>
      <c r="AD584" s="29" t="inlineStr">
        <is>
          <t>yfinance_download</t>
        </is>
      </c>
      <c r="AE584" s="29" t="inlineStr">
        <is>
          <t>064760.KQ</t>
        </is>
      </c>
    </row>
    <row r="585" ht="24" customHeight="1">
      <c r="A585" s="24" t="inlineStr">
        <is>
          <t>2025-11-03</t>
        </is>
      </c>
      <c r="B585" s="30" t="n">
        <v>166000</v>
      </c>
      <c r="C585" s="30" t="n">
        <v>166900</v>
      </c>
      <c r="D585" s="30" t="n">
        <v>159200</v>
      </c>
      <c r="E585" s="30" t="n">
        <v>161500</v>
      </c>
      <c r="F585" s="30" t="n">
        <v>159940.296875</v>
      </c>
      <c r="G585" s="30" t="n">
        <v>78664</v>
      </c>
      <c r="H585" s="35" t="n">
        <v>-0.02710843373493976</v>
      </c>
      <c r="I585" s="35" t="n">
        <v>-0.2125792296440761</v>
      </c>
      <c r="J585" s="30" t="n">
        <v>175990</v>
      </c>
      <c r="K585" s="30" t="n">
        <v>140553.3333333333</v>
      </c>
      <c r="L585" s="30" t="n">
        <v>119046.6666666667</v>
      </c>
      <c r="M585" s="35" t="n">
        <v>0.378607027555535</v>
      </c>
      <c r="N585" s="35" t="n">
        <v>0.498170305290495</v>
      </c>
      <c r="O585" s="35" t="n">
        <v>-0.02944711538461542</v>
      </c>
      <c r="P585" s="35" t="n">
        <v>0.5895669291338583</v>
      </c>
      <c r="Q585" s="35" t="n">
        <v>0.833144154370034</v>
      </c>
      <c r="R585" s="35" t="n">
        <v>-0.08233422353542819</v>
      </c>
      <c r="S585" s="35" t="n">
        <v>0.1490300241901057</v>
      </c>
      <c r="T585" s="35" t="n">
        <v>0.356610852886823</v>
      </c>
      <c r="U585" s="30" t="n">
        <v>189500</v>
      </c>
      <c r="V585" s="30" t="n">
        <v>67500</v>
      </c>
      <c r="W585" s="35" t="n">
        <v>-0.1477572559366754</v>
      </c>
      <c r="X585" s="35" t="n">
        <v>1.392592592592592</v>
      </c>
      <c r="Y585" s="30" t="n">
        <v>11179416</v>
      </c>
      <c r="Z585" s="30" t="n">
        <v>1805475684000</v>
      </c>
      <c r="AA585" s="30" t="n">
        <v>12704236000</v>
      </c>
      <c r="AB585" s="30" t="n">
        <v>13910119140</v>
      </c>
      <c r="AC585" s="35" t="n">
        <v>0.007036503516820556</v>
      </c>
      <c r="AD585" s="24" t="inlineStr">
        <is>
          <t>yfinance_download</t>
        </is>
      </c>
      <c r="AE585" s="24" t="inlineStr">
        <is>
          <t>064760.KQ</t>
        </is>
      </c>
    </row>
    <row r="586" ht="24" customHeight="1">
      <c r="A586" s="29" t="inlineStr">
        <is>
          <t>2025-11-04</t>
        </is>
      </c>
      <c r="B586" s="31" t="n">
        <v>161700</v>
      </c>
      <c r="C586" s="31" t="n">
        <v>169400</v>
      </c>
      <c r="D586" s="31" t="n">
        <v>159100</v>
      </c>
      <c r="E586" s="31" t="n">
        <v>166400</v>
      </c>
      <c r="F586" s="31" t="n">
        <v>164792.984375</v>
      </c>
      <c r="G586" s="31" t="n">
        <v>98599</v>
      </c>
      <c r="H586" s="36" t="n">
        <v>0.03034055727554175</v>
      </c>
      <c r="I586" s="36" t="n">
        <v>-0.1886884446611409</v>
      </c>
      <c r="J586" s="31" t="n">
        <v>175560</v>
      </c>
      <c r="K586" s="31" t="n">
        <v>141605</v>
      </c>
      <c r="L586" s="31" t="n">
        <v>119708.3333333333</v>
      </c>
      <c r="M586" s="36" t="n">
        <v>0.345149669918072</v>
      </c>
      <c r="N586" s="36" t="n">
        <v>0.4999408324783279</v>
      </c>
      <c r="O586" s="36" t="n">
        <v>-0.04914285714285715</v>
      </c>
      <c r="P586" s="36" t="n">
        <v>0.6108422071636013</v>
      </c>
      <c r="Q586" s="36" t="n">
        <v>0.9126436781609195</v>
      </c>
      <c r="R586" s="36" t="n">
        <v>-0.05217589428115743</v>
      </c>
      <c r="S586" s="36" t="n">
        <v>0.1750997493026376</v>
      </c>
      <c r="T586" s="36" t="n">
        <v>0.3900452488687782</v>
      </c>
      <c r="U586" s="31" t="n">
        <v>189500</v>
      </c>
      <c r="V586" s="31" t="n">
        <v>67500</v>
      </c>
      <c r="W586" s="36" t="n">
        <v>-0.1218997361477573</v>
      </c>
      <c r="X586" s="36" t="n">
        <v>1.465185185185185</v>
      </c>
      <c r="Y586" s="31" t="n">
        <v>11179416</v>
      </c>
      <c r="Z586" s="31" t="n">
        <v>1860254822400</v>
      </c>
      <c r="AA586" s="31" t="n">
        <v>16406873600</v>
      </c>
      <c r="AB586" s="31" t="n">
        <v>13869165320</v>
      </c>
      <c r="AC586" s="36" t="n">
        <v>0.0088196914758338</v>
      </c>
      <c r="AD586" s="29" t="inlineStr">
        <is>
          <t>yfinance_download</t>
        </is>
      </c>
      <c r="AE586" s="29" t="inlineStr">
        <is>
          <t>064760.KQ</t>
        </is>
      </c>
    </row>
    <row r="587" ht="24" customHeight="1">
      <c r="A587" s="24" t="inlineStr">
        <is>
          <t>2025-11-05</t>
        </is>
      </c>
      <c r="B587" s="30" t="n">
        <v>164000</v>
      </c>
      <c r="C587" s="30" t="n">
        <v>164100</v>
      </c>
      <c r="D587" s="30" t="n">
        <v>152600</v>
      </c>
      <c r="E587" s="30" t="n">
        <v>158400</v>
      </c>
      <c r="F587" s="30" t="n">
        <v>156870.25</v>
      </c>
      <c r="G587" s="30" t="n">
        <v>79955</v>
      </c>
      <c r="H587" s="35" t="n">
        <v>-0.04807692307692313</v>
      </c>
      <c r="I587" s="35" t="n">
        <v>-0.2276938078985861</v>
      </c>
      <c r="J587" s="30" t="n">
        <v>174510</v>
      </c>
      <c r="K587" s="30" t="n">
        <v>142543.3333333333</v>
      </c>
      <c r="L587" s="30" t="n">
        <v>120313.3333333333</v>
      </c>
      <c r="M587" s="35" t="n">
        <v>0.3652226673033439</v>
      </c>
      <c r="N587" s="35" t="n">
        <v>0.5116379054502734</v>
      </c>
      <c r="O587" s="35" t="n">
        <v>-0.117056856187291</v>
      </c>
      <c r="P587" s="35" t="n">
        <v>0.5514201762977473</v>
      </c>
      <c r="Q587" s="35" t="n">
        <v>0.8461538461538463</v>
      </c>
      <c r="R587" s="35" t="n">
        <v>-0.09231562661165549</v>
      </c>
      <c r="S587" s="35" t="n">
        <v>0.1112410261207117</v>
      </c>
      <c r="T587" s="35" t="n">
        <v>0.3165623095251289</v>
      </c>
      <c r="U587" s="30" t="n">
        <v>189500</v>
      </c>
      <c r="V587" s="30" t="n">
        <v>67500</v>
      </c>
      <c r="W587" s="35" t="n">
        <v>-0.1641160949868073</v>
      </c>
      <c r="X587" s="35" t="n">
        <v>1.346666666666667</v>
      </c>
      <c r="Y587" s="30" t="n">
        <v>11179416</v>
      </c>
      <c r="Z587" s="30" t="n">
        <v>1770819494400</v>
      </c>
      <c r="AA587" s="30" t="n">
        <v>12664872000</v>
      </c>
      <c r="AB587" s="30" t="n">
        <v>13937630810</v>
      </c>
      <c r="AC587" s="35" t="n">
        <v>0.007151983609877296</v>
      </c>
      <c r="AD587" s="24" t="inlineStr">
        <is>
          <t>yfinance_download</t>
        </is>
      </c>
      <c r="AE587" s="24" t="inlineStr">
        <is>
          <t>064760.KQ</t>
        </is>
      </c>
    </row>
    <row r="588" ht="24" customHeight="1">
      <c r="A588" s="29" t="inlineStr">
        <is>
          <t>2025-11-06</t>
        </is>
      </c>
      <c r="B588" s="31" t="n">
        <v>162000</v>
      </c>
      <c r="C588" s="31" t="n">
        <v>163000</v>
      </c>
      <c r="D588" s="31" t="n">
        <v>154400</v>
      </c>
      <c r="E588" s="31" t="n">
        <v>159600</v>
      </c>
      <c r="F588" s="31" t="n">
        <v>158058.65625</v>
      </c>
      <c r="G588" s="31" t="n">
        <v>65962</v>
      </c>
      <c r="H588" s="36" t="n">
        <v>0.007575757575757569</v>
      </c>
      <c r="I588" s="36" t="n">
        <v>-0.2218430034129693</v>
      </c>
      <c r="J588" s="31" t="n">
        <v>173015</v>
      </c>
      <c r="K588" s="31" t="n">
        <v>143508.3333333333</v>
      </c>
      <c r="L588" s="31" t="n">
        <v>120858.3333333333</v>
      </c>
      <c r="M588" s="36" t="n">
        <v>0.2878169456221901</v>
      </c>
      <c r="N588" s="36" t="n">
        <v>0.5110516183428947</v>
      </c>
      <c r="O588" s="36" t="n">
        <v>-0.1577836411609499</v>
      </c>
      <c r="P588" s="36" t="n">
        <v>0.5693215339233038</v>
      </c>
      <c r="Q588" s="36" t="n">
        <v>0.6942675159235669</v>
      </c>
      <c r="R588" s="36" t="n">
        <v>-0.07753662977198506</v>
      </c>
      <c r="S588" s="36" t="n">
        <v>0.1121305382962661</v>
      </c>
      <c r="T588" s="36" t="n">
        <v>0.3205543680617804</v>
      </c>
      <c r="U588" s="31" t="n">
        <v>189500</v>
      </c>
      <c r="V588" s="31" t="n">
        <v>67500</v>
      </c>
      <c r="W588" s="36" t="n">
        <v>-0.1577836411609499</v>
      </c>
      <c r="X588" s="36" t="n">
        <v>1.364444444444445</v>
      </c>
      <c r="Y588" s="31" t="n">
        <v>11179416</v>
      </c>
      <c r="Z588" s="31" t="n">
        <v>1784234793600</v>
      </c>
      <c r="AA588" s="31" t="n">
        <v>10527535200</v>
      </c>
      <c r="AB588" s="31" t="n">
        <v>13129093770</v>
      </c>
      <c r="AC588" s="36" t="n">
        <v>0.005900308209301809</v>
      </c>
      <c r="AD588" s="29" t="inlineStr">
        <is>
          <t>yfinance_download</t>
        </is>
      </c>
      <c r="AE588" s="29" t="inlineStr">
        <is>
          <t>064760.KQ</t>
        </is>
      </c>
    </row>
    <row r="589" ht="24" customHeight="1">
      <c r="A589" s="24" t="inlineStr">
        <is>
          <t>2025-11-07</t>
        </is>
      </c>
      <c r="B589" s="30" t="n">
        <v>159900</v>
      </c>
      <c r="C589" s="30" t="n">
        <v>160300</v>
      </c>
      <c r="D589" s="30" t="n">
        <v>150000</v>
      </c>
      <c r="E589" s="30" t="n">
        <v>152700</v>
      </c>
      <c r="F589" s="30" t="n">
        <v>151225.296875</v>
      </c>
      <c r="G589" s="30" t="n">
        <v>88096</v>
      </c>
      <c r="H589" s="35" t="n">
        <v>-0.04323308270676696</v>
      </c>
      <c r="I589" s="35" t="n">
        <v>-0.2554851292052657</v>
      </c>
      <c r="J589" s="30" t="n">
        <v>171320</v>
      </c>
      <c r="K589" s="30" t="n">
        <v>144308.3333333333</v>
      </c>
      <c r="L589" s="30" t="n">
        <v>121347.5</v>
      </c>
      <c r="M589" s="35" t="n">
        <v>0.3127105139767115</v>
      </c>
      <c r="N589" s="35" t="n">
        <v>0.5196671576134536</v>
      </c>
      <c r="O589" s="35" t="n">
        <v>-0.1816720257234726</v>
      </c>
      <c r="P589" s="35" t="n">
        <v>0.4584527220630372</v>
      </c>
      <c r="Q589" s="35" t="n">
        <v>0.6244680851063831</v>
      </c>
      <c r="R589" s="35" t="n">
        <v>-0.1086855008171842</v>
      </c>
      <c r="S589" s="35" t="n">
        <v>0.05815094993359127</v>
      </c>
      <c r="T589" s="35" t="n">
        <v>0.2583695584993511</v>
      </c>
      <c r="U589" s="30" t="n">
        <v>189500</v>
      </c>
      <c r="V589" s="30" t="n">
        <v>67500</v>
      </c>
      <c r="W589" s="35" t="n">
        <v>-0.1941952506596306</v>
      </c>
      <c r="X589" s="35" t="n">
        <v>1.262222222222222</v>
      </c>
      <c r="Y589" s="30" t="n">
        <v>11179416</v>
      </c>
      <c r="Z589" s="30" t="n">
        <v>1707096823200</v>
      </c>
      <c r="AA589" s="30" t="n">
        <v>13452259200</v>
      </c>
      <c r="AB589" s="30" t="n">
        <v>12842078910</v>
      </c>
      <c r="AC589" s="35" t="n">
        <v>0.007880196961987997</v>
      </c>
      <c r="AD589" s="24" t="inlineStr">
        <is>
          <t>yfinance_download</t>
        </is>
      </c>
      <c r="AE589" s="24" t="inlineStr">
        <is>
          <t>064760.KQ</t>
        </is>
      </c>
    </row>
    <row r="590" ht="24" customHeight="1">
      <c r="A590" s="29" t="inlineStr">
        <is>
          <t>2025-11-10</t>
        </is>
      </c>
      <c r="B590" s="31" t="n">
        <v>154100</v>
      </c>
      <c r="C590" s="31" t="n">
        <v>169500</v>
      </c>
      <c r="D590" s="31" t="n">
        <v>152500</v>
      </c>
      <c r="E590" s="31" t="n">
        <v>166300</v>
      </c>
      <c r="F590" s="31" t="n">
        <v>164693.953125</v>
      </c>
      <c r="G590" s="31" t="n">
        <v>115141</v>
      </c>
      <c r="H590" s="36" t="n">
        <v>0.08906352324819911</v>
      </c>
      <c r="I590" s="36" t="n">
        <v>-0.189176011701609</v>
      </c>
      <c r="J590" s="31" t="n">
        <v>170450</v>
      </c>
      <c r="K590" s="31" t="n">
        <v>145295</v>
      </c>
      <c r="L590" s="31" t="n">
        <v>121924.1666666667</v>
      </c>
      <c r="M590" s="36" t="n">
        <v>0.4687179474065273</v>
      </c>
      <c r="N590" s="36" t="n">
        <v>0.545459068159867</v>
      </c>
      <c r="O590" s="36" t="n">
        <v>-0.09471965160587914</v>
      </c>
      <c r="P590" s="36" t="n">
        <v>0.5527544351073763</v>
      </c>
      <c r="Q590" s="36" t="n">
        <v>0.7126673532440784</v>
      </c>
      <c r="R590" s="36" t="n">
        <v>-0.02434731592842476</v>
      </c>
      <c r="S590" s="36" t="n">
        <v>0.1445679479679274</v>
      </c>
      <c r="T590" s="36" t="n">
        <v>0.3639625723639694</v>
      </c>
      <c r="U590" s="31" t="n">
        <v>189500</v>
      </c>
      <c r="V590" s="31" t="n">
        <v>67500</v>
      </c>
      <c r="W590" s="36" t="n">
        <v>-0.1224274406332454</v>
      </c>
      <c r="X590" s="36" t="n">
        <v>1.463703703703704</v>
      </c>
      <c r="Y590" s="31" t="n">
        <v>11179416</v>
      </c>
      <c r="Z590" s="31" t="n">
        <v>1859136880800</v>
      </c>
      <c r="AA590" s="31" t="n">
        <v>19147948300</v>
      </c>
      <c r="AB590" s="31" t="n">
        <v>13149297730</v>
      </c>
      <c r="AC590" s="36" t="n">
        <v>0.01029937520886601</v>
      </c>
      <c r="AD590" s="29" t="inlineStr">
        <is>
          <t>yfinance_download</t>
        </is>
      </c>
      <c r="AE590" s="29" t="inlineStr">
        <is>
          <t>064760.KQ</t>
        </is>
      </c>
    </row>
    <row r="591" ht="24" customHeight="1">
      <c r="A591" s="24" t="inlineStr">
        <is>
          <t>2025-11-11</t>
        </is>
      </c>
      <c r="B591" s="30" t="n">
        <v>171000</v>
      </c>
      <c r="C591" s="30" t="n">
        <v>180000</v>
      </c>
      <c r="D591" s="30" t="n">
        <v>169000</v>
      </c>
      <c r="E591" s="30" t="n">
        <v>171600</v>
      </c>
      <c r="F591" s="30" t="n">
        <v>169942.765625</v>
      </c>
      <c r="G591" s="30" t="n">
        <v>119783</v>
      </c>
      <c r="H591" s="35" t="n">
        <v>0.03187011425135289</v>
      </c>
      <c r="I591" s="35" t="n">
        <v>-0.1633349585568016</v>
      </c>
      <c r="J591" s="30" t="n">
        <v>169930</v>
      </c>
      <c r="K591" s="30" t="n">
        <v>146381.6666666667</v>
      </c>
      <c r="L591" s="30" t="n">
        <v>122559.1666666667</v>
      </c>
      <c r="M591" s="35" t="n">
        <v>0.4856779621142766</v>
      </c>
      <c r="N591" s="35" t="n">
        <v>0.5467882500645047</v>
      </c>
      <c r="O591" s="35" t="n">
        <v>-0.05714285714285716</v>
      </c>
      <c r="P591" s="35" t="n">
        <v>0.612781954887218</v>
      </c>
      <c r="Q591" s="35" t="n">
        <v>0.7987421383647799</v>
      </c>
      <c r="R591" s="35" t="n">
        <v>0.009827576060730925</v>
      </c>
      <c r="S591" s="35" t="n">
        <v>0.1722779491967346</v>
      </c>
      <c r="T591" s="35" t="n">
        <v>0.4001400684023362</v>
      </c>
      <c r="U591" s="30" t="n">
        <v>189500</v>
      </c>
      <c r="V591" s="30" t="n">
        <v>67500</v>
      </c>
      <c r="W591" s="35" t="n">
        <v>-0.09445910290237469</v>
      </c>
      <c r="X591" s="35" t="n">
        <v>1.542222222222222</v>
      </c>
      <c r="Y591" s="30" t="n">
        <v>11179416</v>
      </c>
      <c r="Z591" s="30" t="n">
        <v>1918387785600</v>
      </c>
      <c r="AA591" s="30" t="n">
        <v>20554762800</v>
      </c>
      <c r="AB591" s="30" t="n">
        <v>13519715570</v>
      </c>
      <c r="AC591" s="35" t="n">
        <v>0.01071460262324973</v>
      </c>
      <c r="AD591" s="24" t="inlineStr">
        <is>
          <t>yfinance_download</t>
        </is>
      </c>
      <c r="AE591" s="24" t="inlineStr">
        <is>
          <t>064760.KQ</t>
        </is>
      </c>
    </row>
    <row r="592" ht="24" customHeight="1">
      <c r="A592" s="29" t="inlineStr">
        <is>
          <t>2025-11-12</t>
        </is>
      </c>
      <c r="B592" s="31" t="n">
        <v>168900</v>
      </c>
      <c r="C592" s="31" t="n">
        <v>171400</v>
      </c>
      <c r="D592" s="31" t="n">
        <v>161700</v>
      </c>
      <c r="E592" s="31" t="n">
        <v>163400</v>
      </c>
      <c r="F592" s="31" t="n">
        <v>161821.953125</v>
      </c>
      <c r="G592" s="31" t="n">
        <v>54456</v>
      </c>
      <c r="H592" s="36" t="n">
        <v>-0.04778554778554778</v>
      </c>
      <c r="I592" s="36" t="n">
        <v>-0.2033154558751828</v>
      </c>
      <c r="J592" s="31" t="n">
        <v>169075</v>
      </c>
      <c r="K592" s="31" t="n">
        <v>147331.6666666667</v>
      </c>
      <c r="L592" s="31" t="n">
        <v>123160</v>
      </c>
      <c r="M592" s="36" t="n">
        <v>0.5114748278270139</v>
      </c>
      <c r="N592" s="36" t="n">
        <v>0.5586259381481049</v>
      </c>
      <c r="O592" s="36" t="n">
        <v>-0.09473684210526312</v>
      </c>
      <c r="P592" s="36" t="n">
        <v>0.5357142857142858</v>
      </c>
      <c r="Q592" s="36" t="n">
        <v>0.7897042716319824</v>
      </c>
      <c r="R592" s="36" t="n">
        <v>-0.03356498595297941</v>
      </c>
      <c r="S592" s="36" t="n">
        <v>0.1090623197094991</v>
      </c>
      <c r="T592" s="36" t="n">
        <v>0.3267294576161091</v>
      </c>
      <c r="U592" s="31" t="n">
        <v>189500</v>
      </c>
      <c r="V592" s="31" t="n">
        <v>67500</v>
      </c>
      <c r="W592" s="36" t="n">
        <v>-0.1377308707124011</v>
      </c>
      <c r="X592" s="36" t="n">
        <v>1.420740740740741</v>
      </c>
      <c r="Y592" s="31" t="n">
        <v>11179416</v>
      </c>
      <c r="Z592" s="31" t="n">
        <v>1826716574400</v>
      </c>
      <c r="AA592" s="31" t="n">
        <v>8898110400</v>
      </c>
      <c r="AB592" s="31" t="n">
        <v>13207928990</v>
      </c>
      <c r="AC592" s="36" t="n">
        <v>0.004871095234312776</v>
      </c>
      <c r="AD592" s="29" t="inlineStr">
        <is>
          <t>yfinance_download</t>
        </is>
      </c>
      <c r="AE592" s="29" t="inlineStr">
        <is>
          <t>064760.KQ</t>
        </is>
      </c>
    </row>
    <row r="593" ht="24" customHeight="1">
      <c r="A593" s="24" t="inlineStr">
        <is>
          <t>2025-11-13</t>
        </is>
      </c>
      <c r="B593" s="30" t="n">
        <v>161000</v>
      </c>
      <c r="C593" s="30" t="n">
        <v>172300</v>
      </c>
      <c r="D593" s="30" t="n">
        <v>160200</v>
      </c>
      <c r="E593" s="30" t="n">
        <v>170000</v>
      </c>
      <c r="F593" s="30" t="n">
        <v>168358.21875</v>
      </c>
      <c r="G593" s="30" t="n">
        <v>65361</v>
      </c>
      <c r="H593" s="35" t="n">
        <v>0.04039167686658507</v>
      </c>
      <c r="I593" s="35" t="n">
        <v>-0.1711360312042906</v>
      </c>
      <c r="J593" s="30" t="n">
        <v>168435</v>
      </c>
      <c r="K593" s="30" t="n">
        <v>148245</v>
      </c>
      <c r="L593" s="30" t="n">
        <v>123824.1666666667</v>
      </c>
      <c r="M593" s="35" t="n">
        <v>0.5327944501116704</v>
      </c>
      <c r="N593" s="35" t="n">
        <v>0.5408273553240842</v>
      </c>
      <c r="O593" s="35" t="n">
        <v>-0.07002188183807445</v>
      </c>
      <c r="P593" s="35" t="n">
        <v>0.4756944444444444</v>
      </c>
      <c r="Q593" s="35" t="n">
        <v>0.8826135105204873</v>
      </c>
      <c r="R593" s="35" t="n">
        <v>0.009291418054442335</v>
      </c>
      <c r="S593" s="35" t="n">
        <v>0.1467503119835407</v>
      </c>
      <c r="T593" s="35" t="n">
        <v>0.3729145495292383</v>
      </c>
      <c r="U593" s="30" t="n">
        <v>189500</v>
      </c>
      <c r="V593" s="30" t="n">
        <v>67500</v>
      </c>
      <c r="W593" s="35" t="n">
        <v>-0.1029023746701847</v>
      </c>
      <c r="X593" s="35" t="n">
        <v>1.518518518518519</v>
      </c>
      <c r="Y593" s="30" t="n">
        <v>11179416</v>
      </c>
      <c r="Z593" s="30" t="n">
        <v>1900500720000</v>
      </c>
      <c r="AA593" s="30" t="n">
        <v>11111370000</v>
      </c>
      <c r="AB593" s="30" t="n">
        <v>13342883830</v>
      </c>
      <c r="AC593" s="35" t="n">
        <v>0.005846548692704521</v>
      </c>
      <c r="AD593" s="24" t="inlineStr">
        <is>
          <t>yfinance_download</t>
        </is>
      </c>
      <c r="AE593" s="24" t="inlineStr">
        <is>
          <t>064760.KQ</t>
        </is>
      </c>
    </row>
    <row r="594" ht="24" customHeight="1">
      <c r="A594" s="29" t="inlineStr">
        <is>
          <t>2025-11-14</t>
        </is>
      </c>
      <c r="B594" s="31" t="n">
        <v>164200</v>
      </c>
      <c r="C594" s="31" t="n">
        <v>164200</v>
      </c>
      <c r="D594" s="31" t="n">
        <v>158300</v>
      </c>
      <c r="E594" s="31" t="n">
        <v>158900</v>
      </c>
      <c r="F594" s="31" t="n">
        <v>157365.40625</v>
      </c>
      <c r="G594" s="31" t="n">
        <v>70280</v>
      </c>
      <c r="H594" s="36" t="n">
        <v>-0.06529411764705884</v>
      </c>
      <c r="I594" s="36" t="n">
        <v>-0.2252559726962458</v>
      </c>
      <c r="J594" s="31" t="n">
        <v>167380</v>
      </c>
      <c r="K594" s="31" t="n">
        <v>149010</v>
      </c>
      <c r="L594" s="31" t="n">
        <v>124399.1666666667</v>
      </c>
      <c r="M594" s="36" t="n">
        <v>0.5757963734205964</v>
      </c>
      <c r="N594" s="36" t="n">
        <v>0.5583728589172389</v>
      </c>
      <c r="O594" s="36" t="n">
        <v>-0.1172222222222222</v>
      </c>
      <c r="P594" s="36" t="n">
        <v>0.4061946902654867</v>
      </c>
      <c r="Q594" s="36" t="n">
        <v>0.7675194660734148</v>
      </c>
      <c r="R594" s="36" t="n">
        <v>-0.05066316166806073</v>
      </c>
      <c r="S594" s="36" t="n">
        <v>0.0663713844708409</v>
      </c>
      <c r="T594" s="36" t="n">
        <v>0.2773397463809377</v>
      </c>
      <c r="U594" s="31" t="n">
        <v>189500</v>
      </c>
      <c r="V594" s="31" t="n">
        <v>67500</v>
      </c>
      <c r="W594" s="36" t="n">
        <v>-0.1614775725593668</v>
      </c>
      <c r="X594" s="36" t="n">
        <v>1.354074074074074</v>
      </c>
      <c r="Y594" s="31" t="n">
        <v>11179416</v>
      </c>
      <c r="Z594" s="31" t="n">
        <v>1776409202400</v>
      </c>
      <c r="AA594" s="31" t="n">
        <v>11167492000</v>
      </c>
      <c r="AB594" s="31" t="n">
        <v>13339397430</v>
      </c>
      <c r="AC594" s="36" t="n">
        <v>0.006286553787782832</v>
      </c>
      <c r="AD594" s="29" t="inlineStr">
        <is>
          <t>yfinance_download</t>
        </is>
      </c>
      <c r="AE594" s="29" t="inlineStr">
        <is>
          <t>064760.KQ</t>
        </is>
      </c>
    </row>
    <row r="595" ht="24" customHeight="1">
      <c r="A595" s="24" t="inlineStr">
        <is>
          <t>2025-11-17</t>
        </is>
      </c>
      <c r="B595" s="30" t="n">
        <v>159700</v>
      </c>
      <c r="C595" s="30" t="n">
        <v>163200</v>
      </c>
      <c r="D595" s="30" t="n">
        <v>158000</v>
      </c>
      <c r="E595" s="30" t="n">
        <v>162300</v>
      </c>
      <c r="F595" s="30" t="n">
        <v>160732.578125</v>
      </c>
      <c r="G595" s="30" t="n">
        <v>39486</v>
      </c>
      <c r="H595" s="35" t="n">
        <v>0.02139710509754567</v>
      </c>
      <c r="I595" s="35" t="n">
        <v>-0.2086786933203315</v>
      </c>
      <c r="J595" s="30" t="n">
        <v>166565</v>
      </c>
      <c r="K595" s="30" t="n">
        <v>149811.6666666667</v>
      </c>
      <c r="L595" s="30" t="n">
        <v>125003.3333333333</v>
      </c>
      <c r="M595" s="35" t="n">
        <v>0.5835901709956605</v>
      </c>
      <c r="N595" s="35" t="n">
        <v>0.5591660544372686</v>
      </c>
      <c r="O595" s="35" t="n">
        <v>-0.09126539753639418</v>
      </c>
      <c r="P595" s="35" t="n">
        <v>0.4211908931698773</v>
      </c>
      <c r="Q595" s="35" t="n">
        <v>0.8073496659242763</v>
      </c>
      <c r="R595" s="35" t="n">
        <v>-0.025605619427851</v>
      </c>
      <c r="S595" s="35" t="n">
        <v>0.08336021894156009</v>
      </c>
      <c r="T595" s="35" t="n">
        <v>0.2983653769232821</v>
      </c>
      <c r="U595" s="30" t="n">
        <v>189500</v>
      </c>
      <c r="V595" s="30" t="n">
        <v>67500</v>
      </c>
      <c r="W595" s="35" t="n">
        <v>-0.1435356200527704</v>
      </c>
      <c r="X595" s="35" t="n">
        <v>1.404444444444445</v>
      </c>
      <c r="Y595" s="30" t="n">
        <v>11179416</v>
      </c>
      <c r="Z595" s="30" t="n">
        <v>1814419216800</v>
      </c>
      <c r="AA595" s="30" t="n">
        <v>6408577800</v>
      </c>
      <c r="AB595" s="30" t="n">
        <v>13135510300</v>
      </c>
      <c r="AC595" s="35" t="n">
        <v>0.003532027075475141</v>
      </c>
      <c r="AD595" s="24" t="inlineStr">
        <is>
          <t>yfinance_download</t>
        </is>
      </c>
      <c r="AE595" s="24" t="inlineStr">
        <is>
          <t>064760.KQ</t>
        </is>
      </c>
    </row>
    <row r="596" ht="24" customHeight="1">
      <c r="A596" s="29" t="inlineStr">
        <is>
          <t>2025-11-18</t>
        </is>
      </c>
      <c r="B596" s="31" t="n">
        <v>158300</v>
      </c>
      <c r="C596" s="31" t="n">
        <v>159200</v>
      </c>
      <c r="D596" s="31" t="n">
        <v>152100</v>
      </c>
      <c r="E596" s="31" t="n">
        <v>154300</v>
      </c>
      <c r="F596" s="31" t="n">
        <v>152809.84375</v>
      </c>
      <c r="G596" s="31" t="n">
        <v>49673</v>
      </c>
      <c r="H596" s="36" t="n">
        <v>-0.04929143561306226</v>
      </c>
      <c r="I596" s="36" t="n">
        <v>-0.2476840565577767</v>
      </c>
      <c r="J596" s="31" t="n">
        <v>165540</v>
      </c>
      <c r="K596" s="31" t="n">
        <v>150513.3333333333</v>
      </c>
      <c r="L596" s="31" t="n">
        <v>125580.8333333333</v>
      </c>
      <c r="M596" s="36" t="n">
        <v>0.6026635872871551</v>
      </c>
      <c r="N596" s="36" t="n">
        <v>0.5686990422595889</v>
      </c>
      <c r="O596" s="36" t="n">
        <v>-0.1172768878718535</v>
      </c>
      <c r="P596" s="36" t="n">
        <v>0.375222816399287</v>
      </c>
      <c r="Q596" s="36" t="n">
        <v>0.8152941176470587</v>
      </c>
      <c r="R596" s="36" t="n">
        <v>-0.0678989972212154</v>
      </c>
      <c r="S596" s="36" t="n">
        <v>0.02515834699029984</v>
      </c>
      <c r="T596" s="36" t="n">
        <v>0.2286906839552214</v>
      </c>
      <c r="U596" s="31" t="n">
        <v>189500</v>
      </c>
      <c r="V596" s="31" t="n">
        <v>67500</v>
      </c>
      <c r="W596" s="36" t="n">
        <v>-0.1857519788918206</v>
      </c>
      <c r="X596" s="36" t="n">
        <v>1.285925925925926</v>
      </c>
      <c r="Y596" s="31" t="n">
        <v>11179416</v>
      </c>
      <c r="Z596" s="31" t="n">
        <v>1724983888800</v>
      </c>
      <c r="AA596" s="31" t="n">
        <v>7664543900</v>
      </c>
      <c r="AB596" s="31" t="n">
        <v>12783764675</v>
      </c>
      <c r="AC596" s="36" t="n">
        <v>0.004443255354304733</v>
      </c>
      <c r="AD596" s="29" t="inlineStr">
        <is>
          <t>yfinance_download</t>
        </is>
      </c>
      <c r="AE596" s="29" t="inlineStr">
        <is>
          <t>064760.KQ</t>
        </is>
      </c>
    </row>
    <row r="597" ht="24" customHeight="1">
      <c r="A597" s="24" t="inlineStr">
        <is>
          <t>2025-11-19</t>
        </is>
      </c>
      <c r="B597" s="30" t="n">
        <v>155400</v>
      </c>
      <c r="C597" s="30" t="n">
        <v>162200</v>
      </c>
      <c r="D597" s="30" t="n">
        <v>150900</v>
      </c>
      <c r="E597" s="30" t="n">
        <v>156400</v>
      </c>
      <c r="F597" s="30" t="n">
        <v>154889.5625</v>
      </c>
      <c r="G597" s="30" t="n">
        <v>38860</v>
      </c>
      <c r="H597" s="35" t="n">
        <v>0.01360985093972777</v>
      </c>
      <c r="I597" s="35" t="n">
        <v>-0.2374451487079473</v>
      </c>
      <c r="J597" s="30" t="n">
        <v>164600</v>
      </c>
      <c r="K597" s="30" t="n">
        <v>151275</v>
      </c>
      <c r="L597" s="30" t="n">
        <v>126173.3333333333</v>
      </c>
      <c r="M597" s="35" t="n">
        <v>0.6059444749961876</v>
      </c>
      <c r="N597" s="35" t="n">
        <v>0.5674729144766274</v>
      </c>
      <c r="O597" s="35" t="n">
        <v>-0.1073059360730594</v>
      </c>
      <c r="P597" s="35" t="n">
        <v>0.4128274616079495</v>
      </c>
      <c r="Q597" s="35" t="n">
        <v>0.8335287221570926</v>
      </c>
      <c r="R597" s="35" t="n">
        <v>-0.04981773997569872</v>
      </c>
      <c r="S597" s="35" t="n">
        <v>0.03387869773591135</v>
      </c>
      <c r="T597" s="35" t="n">
        <v>0.2395646200993342</v>
      </c>
      <c r="U597" s="30" t="n">
        <v>189500</v>
      </c>
      <c r="V597" s="30" t="n">
        <v>67500</v>
      </c>
      <c r="W597" s="35" t="n">
        <v>-0.1746701846965699</v>
      </c>
      <c r="X597" s="35" t="n">
        <v>1.317037037037037</v>
      </c>
      <c r="Y597" s="30" t="n">
        <v>11179416</v>
      </c>
      <c r="Z597" s="30" t="n">
        <v>1748460662400</v>
      </c>
      <c r="AA597" s="30" t="n">
        <v>6077704000</v>
      </c>
      <c r="AB597" s="30" t="n">
        <v>12438901795</v>
      </c>
      <c r="AC597" s="35" t="n">
        <v>0.003476031306107582</v>
      </c>
      <c r="AD597" s="24" t="inlineStr">
        <is>
          <t>yfinance_download</t>
        </is>
      </c>
      <c r="AE597" s="24" t="inlineStr">
        <is>
          <t>064760.KQ</t>
        </is>
      </c>
    </row>
    <row r="598" ht="24" customHeight="1">
      <c r="A598" s="29" t="inlineStr">
        <is>
          <t>2025-11-20</t>
        </is>
      </c>
      <c r="B598" s="31" t="n">
        <v>160800</v>
      </c>
      <c r="C598" s="31" t="n">
        <v>161700</v>
      </c>
      <c r="D598" s="31" t="n">
        <v>154200</v>
      </c>
      <c r="E598" s="31" t="n">
        <v>155200</v>
      </c>
      <c r="F598" s="31" t="n">
        <v>153701.140625</v>
      </c>
      <c r="G598" s="31" t="n">
        <v>29456</v>
      </c>
      <c r="H598" s="36" t="n">
        <v>-0.007672634271099765</v>
      </c>
      <c r="I598" s="36" t="n">
        <v>-0.2432959531935641</v>
      </c>
      <c r="J598" s="31" t="n">
        <v>163860</v>
      </c>
      <c r="K598" s="31" t="n">
        <v>152033.3333333333</v>
      </c>
      <c r="L598" s="31" t="n">
        <v>126747.5</v>
      </c>
      <c r="M598" s="36" t="n">
        <v>0.5990382169990649</v>
      </c>
      <c r="N598" s="36" t="n">
        <v>0.5673217767497797</v>
      </c>
      <c r="O598" s="36" t="n">
        <v>-0.08705882352941174</v>
      </c>
      <c r="P598" s="36" t="n">
        <v>0.4147675478577939</v>
      </c>
      <c r="Q598" s="36" t="n">
        <v>0.7983777520278099</v>
      </c>
      <c r="R598" s="36" t="n">
        <v>-0.05284999389722933</v>
      </c>
      <c r="S598" s="36" t="n">
        <v>0.02082876562157421</v>
      </c>
      <c r="T598" s="36" t="n">
        <v>0.2244817452020751</v>
      </c>
      <c r="U598" s="31" t="n">
        <v>189500</v>
      </c>
      <c r="V598" s="31" t="n">
        <v>67500</v>
      </c>
      <c r="W598" s="36" t="n">
        <v>-0.1810026385224275</v>
      </c>
      <c r="X598" s="36" t="n">
        <v>1.299259259259259</v>
      </c>
      <c r="Y598" s="31" t="n">
        <v>11179416</v>
      </c>
      <c r="Z598" s="31" t="n">
        <v>1735045363200</v>
      </c>
      <c r="AA598" s="31" t="n">
        <v>4571571200</v>
      </c>
      <c r="AB598" s="31" t="n">
        <v>11951346855</v>
      </c>
      <c r="AC598" s="36" t="n">
        <v>0.002634842464042845</v>
      </c>
      <c r="AD598" s="29" t="inlineStr">
        <is>
          <t>yfinance_download</t>
        </is>
      </c>
      <c r="AE598" s="29" t="inlineStr">
        <is>
          <t>064760.KQ</t>
        </is>
      </c>
    </row>
    <row r="599" ht="24" customHeight="1">
      <c r="A599" s="24" t="inlineStr">
        <is>
          <t>2025-11-21</t>
        </is>
      </c>
      <c r="B599" s="30" t="n">
        <v>148100</v>
      </c>
      <c r="C599" s="30" t="n">
        <v>149000</v>
      </c>
      <c r="D599" s="30" t="n">
        <v>141300</v>
      </c>
      <c r="E599" s="30" t="n">
        <v>141700</v>
      </c>
      <c r="F599" s="30" t="n">
        <v>140331.53125</v>
      </c>
      <c r="G599" s="30" t="n">
        <v>72622</v>
      </c>
      <c r="H599" s="35" t="n">
        <v>-0.08698453608247425</v>
      </c>
      <c r="I599" s="35" t="n">
        <v>-0.3091175036567528</v>
      </c>
      <c r="J599" s="30" t="n">
        <v>162240</v>
      </c>
      <c r="K599" s="30" t="n">
        <v>152590</v>
      </c>
      <c r="L599" s="30" t="n">
        <v>127202.5</v>
      </c>
      <c r="M599" s="35" t="n">
        <v>0.6571838545648002</v>
      </c>
      <c r="N599" s="35" t="n">
        <v>0.5976195892094573</v>
      </c>
      <c r="O599" s="35" t="n">
        <v>-0.1860999425617461</v>
      </c>
      <c r="P599" s="35" t="n">
        <v>0.3084025854108956</v>
      </c>
      <c r="Q599" s="35" t="n">
        <v>0.6268656716417911</v>
      </c>
      <c r="R599" s="35" t="n">
        <v>-0.1266025641025641</v>
      </c>
      <c r="S599" s="35" t="n">
        <v>-0.07136771741267445</v>
      </c>
      <c r="T599" s="35" t="n">
        <v>0.113971816591655</v>
      </c>
      <c r="U599" s="30" t="n">
        <v>189500</v>
      </c>
      <c r="V599" s="30" t="n">
        <v>67500</v>
      </c>
      <c r="W599" s="35" t="n">
        <v>-0.2522427440633246</v>
      </c>
      <c r="X599" s="35" t="n">
        <v>1.099259259259259</v>
      </c>
      <c r="Y599" s="30" t="n">
        <v>11179416</v>
      </c>
      <c r="Z599" s="30" t="n">
        <v>1584123247200</v>
      </c>
      <c r="AA599" s="30" t="n">
        <v>10290537400</v>
      </c>
      <c r="AB599" s="30" t="n">
        <v>11649457890</v>
      </c>
      <c r="AC599" s="35" t="n">
        <v>0.006496045947301719</v>
      </c>
      <c r="AD599" s="24" t="inlineStr">
        <is>
          <t>yfinance_download</t>
        </is>
      </c>
      <c r="AE599" s="24" t="inlineStr">
        <is>
          <t>064760.KQ</t>
        </is>
      </c>
    </row>
    <row r="600" ht="24" customHeight="1">
      <c r="A600" s="29" t="inlineStr">
        <is>
          <t>2025-11-24</t>
        </is>
      </c>
      <c r="B600" s="31" t="n">
        <v>144300</v>
      </c>
      <c r="C600" s="31" t="n">
        <v>146700</v>
      </c>
      <c r="D600" s="31" t="n">
        <v>140100</v>
      </c>
      <c r="E600" s="31" t="n">
        <v>145100</v>
      </c>
      <c r="F600" s="31" t="n">
        <v>143698.6875</v>
      </c>
      <c r="G600" s="31" t="n">
        <v>64408</v>
      </c>
      <c r="H600" s="36" t="n">
        <v>0.02399435426958352</v>
      </c>
      <c r="I600" s="36" t="n">
        <v>-0.2925402242808386</v>
      </c>
      <c r="J600" s="31" t="n">
        <v>160850</v>
      </c>
      <c r="K600" s="31" t="n">
        <v>153188.3333333333</v>
      </c>
      <c r="L600" s="31" t="n">
        <v>127684.1666666667</v>
      </c>
      <c r="M600" s="36" t="n">
        <v>0.6678225469621051</v>
      </c>
      <c r="N600" s="36" t="n">
        <v>0.5988341249606902</v>
      </c>
      <c r="O600" s="36" t="n">
        <v>-0.1607865818392135</v>
      </c>
      <c r="P600" s="36" t="n">
        <v>0.3287545787545787</v>
      </c>
      <c r="Q600" s="36" t="n">
        <v>0.6620847651775488</v>
      </c>
      <c r="R600" s="36" t="n">
        <v>-0.09791731426795147</v>
      </c>
      <c r="S600" s="36" t="n">
        <v>-0.05279993036893593</v>
      </c>
      <c r="T600" s="36" t="n">
        <v>0.1363977522663342</v>
      </c>
      <c r="U600" s="31" t="n">
        <v>189500</v>
      </c>
      <c r="V600" s="31" t="n">
        <v>67500</v>
      </c>
      <c r="W600" s="36" t="n">
        <v>-0.2343007915567282</v>
      </c>
      <c r="X600" s="36" t="n">
        <v>1.14962962962963</v>
      </c>
      <c r="Y600" s="31" t="n">
        <v>11179416</v>
      </c>
      <c r="Z600" s="31" t="n">
        <v>1622133261600</v>
      </c>
      <c r="AA600" s="31" t="n">
        <v>9345600800</v>
      </c>
      <c r="AB600" s="31" t="n">
        <v>11516723060</v>
      </c>
      <c r="AC600" s="36" t="n">
        <v>0.00576130273710183</v>
      </c>
      <c r="AD600" s="29" t="inlineStr">
        <is>
          <t>yfinance_download</t>
        </is>
      </c>
      <c r="AE600" s="29" t="inlineStr">
        <is>
          <t>064760.KQ</t>
        </is>
      </c>
    </row>
    <row r="601" ht="24" customHeight="1">
      <c r="A601" s="24" t="inlineStr">
        <is>
          <t>2025-11-25</t>
        </is>
      </c>
      <c r="B601" s="30" t="n">
        <v>150700</v>
      </c>
      <c r="C601" s="30" t="n">
        <v>150700</v>
      </c>
      <c r="D601" s="30" t="n">
        <v>140700</v>
      </c>
      <c r="E601" s="30" t="n">
        <v>144700</v>
      </c>
      <c r="F601" s="30" t="n">
        <v>143302.546875</v>
      </c>
      <c r="G601" s="30" t="n">
        <v>76058</v>
      </c>
      <c r="H601" s="35" t="n">
        <v>-0.002756719503790528</v>
      </c>
      <c r="I601" s="35" t="n">
        <v>-0.2944904924427109</v>
      </c>
      <c r="J601" s="30" t="n">
        <v>159595</v>
      </c>
      <c r="K601" s="30" t="n">
        <v>153755</v>
      </c>
      <c r="L601" s="30" t="n">
        <v>128127.5</v>
      </c>
      <c r="M601" s="35" t="n">
        <v>0.666966066483527</v>
      </c>
      <c r="N601" s="35" t="n">
        <v>0.5988117537098299</v>
      </c>
      <c r="O601" s="35" t="n">
        <v>-0.1478209658421673</v>
      </c>
      <c r="P601" s="35" t="n">
        <v>0.3071364046973803</v>
      </c>
      <c r="Q601" s="35" t="n">
        <v>0.5814207650273224</v>
      </c>
      <c r="R601" s="35" t="n">
        <v>-0.09332999154108834</v>
      </c>
      <c r="S601" s="35" t="n">
        <v>-0.05889239374329291</v>
      </c>
      <c r="T601" s="35" t="n">
        <v>0.1293438176816062</v>
      </c>
      <c r="U601" s="30" t="n">
        <v>189500</v>
      </c>
      <c r="V601" s="30" t="n">
        <v>67500</v>
      </c>
      <c r="W601" s="35" t="n">
        <v>-0.2364116094986808</v>
      </c>
      <c r="X601" s="35" t="n">
        <v>1.143703703703704</v>
      </c>
      <c r="Y601" s="30" t="n">
        <v>11179416</v>
      </c>
      <c r="Z601" s="30" t="n">
        <v>1617661495200</v>
      </c>
      <c r="AA601" s="30" t="n">
        <v>11005592600</v>
      </c>
      <c r="AB601" s="30" t="n">
        <v>11430337590</v>
      </c>
      <c r="AC601" s="35" t="n">
        <v>0.006803396528047619</v>
      </c>
      <c r="AD601" s="24" t="inlineStr">
        <is>
          <t>yfinance_download</t>
        </is>
      </c>
      <c r="AE601" s="24" t="inlineStr">
        <is>
          <t>064760.KQ</t>
        </is>
      </c>
    </row>
    <row r="602" ht="24" customHeight="1">
      <c r="A602" s="29" t="inlineStr">
        <is>
          <t>2025-11-26</t>
        </is>
      </c>
      <c r="B602" s="31" t="n">
        <v>144200</v>
      </c>
      <c r="C602" s="31" t="n">
        <v>145100</v>
      </c>
      <c r="D602" s="31" t="n">
        <v>140400</v>
      </c>
      <c r="E602" s="31" t="n">
        <v>143200</v>
      </c>
      <c r="F602" s="31" t="n">
        <v>141817.03125</v>
      </c>
      <c r="G602" s="31" t="n">
        <v>77666</v>
      </c>
      <c r="H602" s="36" t="n">
        <v>-0.01036627505183141</v>
      </c>
      <c r="I602" s="36" t="n">
        <v>-0.3018039980497318</v>
      </c>
      <c r="J602" s="31" t="n">
        <v>158310</v>
      </c>
      <c r="K602" s="31" t="n">
        <v>154293.3333333333</v>
      </c>
      <c r="L602" s="31" t="n">
        <v>128590.8333333333</v>
      </c>
      <c r="M602" s="36" t="n">
        <v>0.6670248326445911</v>
      </c>
      <c r="N602" s="36" t="n">
        <v>0.5996222133995935</v>
      </c>
      <c r="O602" s="36" t="n">
        <v>-0.1521610420367081</v>
      </c>
      <c r="P602" s="36" t="n">
        <v>0.2912533814247069</v>
      </c>
      <c r="Q602" s="36" t="n">
        <v>0.634703196347032</v>
      </c>
      <c r="R602" s="36" t="n">
        <v>-0.09544564462131266</v>
      </c>
      <c r="S602" s="36" t="n">
        <v>-0.07189768406498454</v>
      </c>
      <c r="T602" s="36" t="n">
        <v>0.1136097052019001</v>
      </c>
      <c r="U602" s="31" t="n">
        <v>189500</v>
      </c>
      <c r="V602" s="31" t="n">
        <v>67500</v>
      </c>
      <c r="W602" s="36" t="n">
        <v>-0.2443271767810027</v>
      </c>
      <c r="X602" s="36" t="n">
        <v>1.121481481481482</v>
      </c>
      <c r="Y602" s="31" t="n">
        <v>11179416</v>
      </c>
      <c r="Z602" s="31" t="n">
        <v>1600892371200</v>
      </c>
      <c r="AA602" s="31" t="n">
        <v>11121771200</v>
      </c>
      <c r="AB602" s="31" t="n">
        <v>11288075320</v>
      </c>
      <c r="AC602" s="36" t="n">
        <v>0.006947232306231381</v>
      </c>
      <c r="AD602" s="29" t="inlineStr">
        <is>
          <t>yfinance_download</t>
        </is>
      </c>
      <c r="AE602" s="29" t="inlineStr">
        <is>
          <t>064760.KQ</t>
        </is>
      </c>
    </row>
    <row r="603" ht="24" customHeight="1">
      <c r="A603" s="24" t="inlineStr">
        <is>
          <t>2025-11-27</t>
        </is>
      </c>
      <c r="B603" s="30" t="n">
        <v>144500</v>
      </c>
      <c r="C603" s="30" t="n">
        <v>147200</v>
      </c>
      <c r="D603" s="30" t="n">
        <v>142600</v>
      </c>
      <c r="E603" s="30" t="n">
        <v>144200</v>
      </c>
      <c r="F603" s="30" t="n">
        <v>142807.375</v>
      </c>
      <c r="G603" s="30" t="n">
        <v>44361</v>
      </c>
      <c r="H603" s="35" t="n">
        <v>0.006983240223463749</v>
      </c>
      <c r="I603" s="35" t="n">
        <v>-0.2969283276450512</v>
      </c>
      <c r="J603" s="30" t="n">
        <v>157095</v>
      </c>
      <c r="K603" s="30" t="n">
        <v>154856.6666666667</v>
      </c>
      <c r="L603" s="30" t="n">
        <v>129049.1666666667</v>
      </c>
      <c r="M603" s="35" t="n">
        <v>0.6687797663823659</v>
      </c>
      <c r="N603" s="35" t="n">
        <v>0.5993096235506807</v>
      </c>
      <c r="O603" s="35" t="n">
        <v>-0.1442136498516321</v>
      </c>
      <c r="P603" s="35" t="n">
        <v>0.306159420289855</v>
      </c>
      <c r="Q603" s="35" t="n">
        <v>0.616591928251121</v>
      </c>
      <c r="R603" s="35" t="n">
        <v>-0.08208408924536104</v>
      </c>
      <c r="S603" s="35" t="n">
        <v>-0.06881632477344635</v>
      </c>
      <c r="T603" s="35" t="n">
        <v>0.1174035735733796</v>
      </c>
      <c r="U603" s="30" t="n">
        <v>189500</v>
      </c>
      <c r="V603" s="30" t="n">
        <v>67500</v>
      </c>
      <c r="W603" s="35" t="n">
        <v>-0.2390501319261213</v>
      </c>
      <c r="X603" s="35" t="n">
        <v>1.136296296296296</v>
      </c>
      <c r="Y603" s="30" t="n">
        <v>11179416</v>
      </c>
      <c r="Z603" s="30" t="n">
        <v>1612071787200</v>
      </c>
      <c r="AA603" s="30" t="n">
        <v>6396856200</v>
      </c>
      <c r="AB603" s="30" t="n">
        <v>11049374330</v>
      </c>
      <c r="AC603" s="35" t="n">
        <v>0.003968096365677778</v>
      </c>
      <c r="AD603" s="24" t="inlineStr">
        <is>
          <t>yfinance_download</t>
        </is>
      </c>
      <c r="AE603" s="24" t="inlineStr">
        <is>
          <t>064760.KQ</t>
        </is>
      </c>
    </row>
    <row r="604" ht="24" customHeight="1">
      <c r="A604" s="29" t="inlineStr">
        <is>
          <t>2025-11-28</t>
        </is>
      </c>
      <c r="B604" s="31" t="n">
        <v>145600</v>
      </c>
      <c r="C604" s="31" t="n">
        <v>145600</v>
      </c>
      <c r="D604" s="31" t="n">
        <v>141600</v>
      </c>
      <c r="E604" s="31" t="n">
        <v>144500</v>
      </c>
      <c r="F604" s="31" t="n">
        <v>143104.484375</v>
      </c>
      <c r="G604" s="31" t="n">
        <v>40535</v>
      </c>
      <c r="H604" s="36" t="n">
        <v>0.002080443828016643</v>
      </c>
      <c r="I604" s="36" t="n">
        <v>-0.2954656265236471</v>
      </c>
      <c r="J604" s="31" t="n">
        <v>156020</v>
      </c>
      <c r="K604" s="31" t="n">
        <v>155440</v>
      </c>
      <c r="L604" s="31" t="n">
        <v>129465.8333333333</v>
      </c>
      <c r="M604" s="36" t="n">
        <v>0.6688159690574792</v>
      </c>
      <c r="N604" s="36" t="n">
        <v>0.5987060774864781</v>
      </c>
      <c r="O604" s="36" t="n">
        <v>-0.1295180722891566</v>
      </c>
      <c r="P604" s="36" t="n">
        <v>0.3196347031963471</v>
      </c>
      <c r="Q604" s="36" t="n">
        <v>0.5291005291005291</v>
      </c>
      <c r="R604" s="36" t="n">
        <v>-0.07383668760415329</v>
      </c>
      <c r="S604" s="36" t="n">
        <v>-0.07038085434894492</v>
      </c>
      <c r="T604" s="36" t="n">
        <v>0.1161245888554896</v>
      </c>
      <c r="U604" s="31" t="n">
        <v>189500</v>
      </c>
      <c r="V604" s="31" t="n">
        <v>67500</v>
      </c>
      <c r="W604" s="36" t="n">
        <v>-0.237467018469657</v>
      </c>
      <c r="X604" s="36" t="n">
        <v>1.140740740740741</v>
      </c>
      <c r="Y604" s="31" t="n">
        <v>11179416</v>
      </c>
      <c r="Z604" s="31" t="n">
        <v>1615425612000</v>
      </c>
      <c r="AA604" s="31" t="n">
        <v>5857307500</v>
      </c>
      <c r="AB604" s="31" t="n">
        <v>10768776105</v>
      </c>
      <c r="AC604" s="36" t="n">
        <v>0.003625860241715667</v>
      </c>
      <c r="AD604" s="29" t="inlineStr">
        <is>
          <t>yfinance_download</t>
        </is>
      </c>
      <c r="AE604" s="29" t="inlineStr">
        <is>
          <t>064760.KQ</t>
        </is>
      </c>
    </row>
    <row r="605" ht="24" customHeight="1">
      <c r="A605" s="24" t="inlineStr">
        <is>
          <t>2025-12-01</t>
        </is>
      </c>
      <c r="B605" s="30" t="n">
        <v>147600</v>
      </c>
      <c r="C605" s="30" t="n">
        <v>149900</v>
      </c>
      <c r="D605" s="30" t="n">
        <v>143300</v>
      </c>
      <c r="E605" s="30" t="n">
        <v>147100</v>
      </c>
      <c r="F605" s="30" t="n">
        <v>145679.375</v>
      </c>
      <c r="G605" s="30" t="n">
        <v>50060</v>
      </c>
      <c r="H605" s="35" t="n">
        <v>0.01799307958477514</v>
      </c>
      <c r="I605" s="35" t="n">
        <v>-0.2827888834714773</v>
      </c>
      <c r="J605" s="30" t="n">
        <v>155300</v>
      </c>
      <c r="K605" s="30" t="n">
        <v>156176.6666666667</v>
      </c>
      <c r="L605" s="30" t="n">
        <v>129895.8333333333</v>
      </c>
      <c r="M605" s="35" t="n">
        <v>0.6691539121988962</v>
      </c>
      <c r="N605" s="35" t="n">
        <v>0.5833702949174585</v>
      </c>
      <c r="O605" s="35" t="n">
        <v>-0.08916408668730647</v>
      </c>
      <c r="P605" s="35" t="n">
        <v>0.4295432458697765</v>
      </c>
      <c r="Q605" s="35" t="n">
        <v>0.5403141361256545</v>
      </c>
      <c r="R605" s="35" t="n">
        <v>-0.05280103026400518</v>
      </c>
      <c r="S605" s="35" t="n">
        <v>-0.05811794335474774</v>
      </c>
      <c r="T605" s="35" t="n">
        <v>0.1324458700882118</v>
      </c>
      <c r="U605" s="30" t="n">
        <v>189500</v>
      </c>
      <c r="V605" s="30" t="n">
        <v>67500</v>
      </c>
      <c r="W605" s="35" t="n">
        <v>-0.2237467018469657</v>
      </c>
      <c r="X605" s="35" t="n">
        <v>1.179259259259259</v>
      </c>
      <c r="Y605" s="30" t="n">
        <v>11179416</v>
      </c>
      <c r="Z605" s="30" t="n">
        <v>1644492093600</v>
      </c>
      <c r="AA605" s="30" t="n">
        <v>7363826000</v>
      </c>
      <c r="AB605" s="30" t="n">
        <v>10501755605</v>
      </c>
      <c r="AC605" s="35" t="n">
        <v>0.004477872547188511</v>
      </c>
      <c r="AD605" s="24" t="inlineStr">
        <is>
          <t>yfinance_download</t>
        </is>
      </c>
      <c r="AE605" s="24" t="inlineStr">
        <is>
          <t>064760.KQ</t>
        </is>
      </c>
    </row>
    <row r="606" ht="24" customHeight="1">
      <c r="A606" s="29" t="inlineStr">
        <is>
          <t>2025-12-02</t>
        </is>
      </c>
      <c r="B606" s="31" t="n">
        <v>150100</v>
      </c>
      <c r="C606" s="31" t="n">
        <v>152300</v>
      </c>
      <c r="D606" s="31" t="n">
        <v>148600</v>
      </c>
      <c r="E606" s="31" t="n">
        <v>149700</v>
      </c>
      <c r="F606" s="31" t="n">
        <v>148254.265625</v>
      </c>
      <c r="G606" s="31" t="n">
        <v>40295</v>
      </c>
      <c r="H606" s="36" t="n">
        <v>0.01767505098572397</v>
      </c>
      <c r="I606" s="36" t="n">
        <v>-0.2701121404193076</v>
      </c>
      <c r="J606" s="31" t="n">
        <v>154465</v>
      </c>
      <c r="K606" s="31" t="n">
        <v>156968.3333333333</v>
      </c>
      <c r="L606" s="31" t="n">
        <v>130356.6666666667</v>
      </c>
      <c r="M606" s="36" t="n">
        <v>0.6620538477736749</v>
      </c>
      <c r="N606" s="36" t="n">
        <v>0.5831204829094079</v>
      </c>
      <c r="O606" s="36" t="n">
        <v>-0.1003605769230769</v>
      </c>
      <c r="P606" s="36" t="n">
        <v>0.4647749510763208</v>
      </c>
      <c r="Q606" s="36" t="n">
        <v>0.5858050847457628</v>
      </c>
      <c r="R606" s="36" t="n">
        <v>-0.03084841226167745</v>
      </c>
      <c r="S606" s="36" t="n">
        <v>-0.04630445631284452</v>
      </c>
      <c r="T606" s="36" t="n">
        <v>0.1483877566676042</v>
      </c>
      <c r="U606" s="31" t="n">
        <v>189500</v>
      </c>
      <c r="V606" s="31" t="n">
        <v>67500</v>
      </c>
      <c r="W606" s="36" t="n">
        <v>-0.2100263852242744</v>
      </c>
      <c r="X606" s="36" t="n">
        <v>1.217777777777778</v>
      </c>
      <c r="Y606" s="31" t="n">
        <v>11179416</v>
      </c>
      <c r="Z606" s="31" t="n">
        <v>1673558575200</v>
      </c>
      <c r="AA606" s="31" t="n">
        <v>6032161500</v>
      </c>
      <c r="AB606" s="31" t="n">
        <v>9983020000</v>
      </c>
      <c r="AC606" s="36" t="n">
        <v>0.003604392215121076</v>
      </c>
      <c r="AD606" s="29" t="inlineStr">
        <is>
          <t>yfinance_download</t>
        </is>
      </c>
      <c r="AE606" s="29" t="inlineStr">
        <is>
          <t>064760.KQ</t>
        </is>
      </c>
    </row>
    <row r="607" ht="24" customHeight="1">
      <c r="A607" s="24" t="inlineStr">
        <is>
          <t>2025-12-03</t>
        </is>
      </c>
      <c r="B607" s="30" t="n">
        <v>152200</v>
      </c>
      <c r="C607" s="30" t="n">
        <v>152200</v>
      </c>
      <c r="D607" s="30" t="n">
        <v>147600</v>
      </c>
      <c r="E607" s="30" t="n">
        <v>149400</v>
      </c>
      <c r="F607" s="30" t="n">
        <v>147957.15625</v>
      </c>
      <c r="G607" s="30" t="n">
        <v>30127</v>
      </c>
      <c r="H607" s="35" t="n">
        <v>-0.002004008016032066</v>
      </c>
      <c r="I607" s="35" t="n">
        <v>-0.2715748415407119</v>
      </c>
      <c r="J607" s="30" t="n">
        <v>154015</v>
      </c>
      <c r="K607" s="30" t="n">
        <v>157693.3333333333</v>
      </c>
      <c r="L607" s="30" t="n">
        <v>130814.1666666667</v>
      </c>
      <c r="M607" s="35" t="n">
        <v>0.6416638589934266</v>
      </c>
      <c r="N607" s="35" t="n">
        <v>0.580207040924325</v>
      </c>
      <c r="O607" s="35" t="n">
        <v>-0.05681818181818177</v>
      </c>
      <c r="P607" s="35" t="n">
        <v>0.4107648725212465</v>
      </c>
      <c r="Q607" s="35" t="n">
        <v>0.5809523809523809</v>
      </c>
      <c r="R607" s="35" t="n">
        <v>-0.02996461383631466</v>
      </c>
      <c r="S607" s="35" t="n">
        <v>-0.05259152785998145</v>
      </c>
      <c r="T607" s="35" t="n">
        <v>0.1420781388356256</v>
      </c>
      <c r="U607" s="30" t="n">
        <v>189500</v>
      </c>
      <c r="V607" s="30" t="n">
        <v>67500</v>
      </c>
      <c r="W607" s="35" t="n">
        <v>-0.2116094986807388</v>
      </c>
      <c r="X607" s="35" t="n">
        <v>1.213333333333333</v>
      </c>
      <c r="Y607" s="30" t="n">
        <v>11179416</v>
      </c>
      <c r="Z607" s="30" t="n">
        <v>1670204750400</v>
      </c>
      <c r="AA607" s="30" t="n">
        <v>4500973800</v>
      </c>
      <c r="AB607" s="30" t="n">
        <v>9574825090</v>
      </c>
      <c r="AC607" s="35" t="n">
        <v>0.002694863488396889</v>
      </c>
      <c r="AD607" s="24" t="inlineStr">
        <is>
          <t>yfinance_download</t>
        </is>
      </c>
      <c r="AE607" s="24" t="inlineStr">
        <is>
          <t>064760.KQ</t>
        </is>
      </c>
    </row>
    <row r="608" ht="24" customHeight="1">
      <c r="A608" s="29" t="inlineStr">
        <is>
          <t>2025-12-04</t>
        </is>
      </c>
      <c r="B608" s="31" t="n">
        <v>149500</v>
      </c>
      <c r="C608" s="31" t="n">
        <v>149700</v>
      </c>
      <c r="D608" s="31" t="n">
        <v>141500</v>
      </c>
      <c r="E608" s="31" t="n">
        <v>144400</v>
      </c>
      <c r="F608" s="31" t="n">
        <v>143005.453125</v>
      </c>
      <c r="G608" s="31" t="n">
        <v>62404</v>
      </c>
      <c r="H608" s="36" t="n">
        <v>-0.03346720214190091</v>
      </c>
      <c r="I608" s="36" t="n">
        <v>-0.2959531935641151</v>
      </c>
      <c r="J608" s="31" t="n">
        <v>153255</v>
      </c>
      <c r="K608" s="31" t="n">
        <v>158311.6666666667</v>
      </c>
      <c r="L608" s="31" t="n">
        <v>131168.3333333333</v>
      </c>
      <c r="M608" s="36" t="n">
        <v>0.6499094455463695</v>
      </c>
      <c r="N608" s="36" t="n">
        <v>0.585724996551922</v>
      </c>
      <c r="O608" s="36" t="n">
        <v>-0.09523809523809523</v>
      </c>
      <c r="P608" s="36" t="n">
        <v>0.3457595526561044</v>
      </c>
      <c r="Q608" s="36" t="n">
        <v>0.4170755642787045</v>
      </c>
      <c r="R608" s="36" t="n">
        <v>-0.05777951779713553</v>
      </c>
      <c r="S608" s="36" t="n">
        <v>-0.08787518291976792</v>
      </c>
      <c r="T608" s="36" t="n">
        <v>0.1008754653689279</v>
      </c>
      <c r="U608" s="31" t="n">
        <v>189500</v>
      </c>
      <c r="V608" s="31" t="n">
        <v>67500</v>
      </c>
      <c r="W608" s="36" t="n">
        <v>-0.2379947229551451</v>
      </c>
      <c r="X608" s="36" t="n">
        <v>1.139259259259259</v>
      </c>
      <c r="Y608" s="31" t="n">
        <v>11179416</v>
      </c>
      <c r="Z608" s="31" t="n">
        <v>1614307670400</v>
      </c>
      <c r="AA608" s="31" t="n">
        <v>9011137600</v>
      </c>
      <c r="AB608" s="31" t="n">
        <v>9499005210</v>
      </c>
      <c r="AC608" s="36" t="n">
        <v>0.005582044715036993</v>
      </c>
      <c r="AD608" s="29" t="inlineStr">
        <is>
          <t>yfinance_download</t>
        </is>
      </c>
      <c r="AE608" s="29" t="inlineStr">
        <is>
          <t>064760.KQ</t>
        </is>
      </c>
    </row>
    <row r="609" ht="24" customHeight="1">
      <c r="A609" s="24" t="inlineStr">
        <is>
          <t>2025-12-05</t>
        </is>
      </c>
      <c r="B609" s="30" t="n">
        <v>144200</v>
      </c>
      <c r="C609" s="30" t="n">
        <v>147600</v>
      </c>
      <c r="D609" s="30" t="n">
        <v>142500</v>
      </c>
      <c r="E609" s="30" t="n">
        <v>147000</v>
      </c>
      <c r="F609" s="30" t="n">
        <v>145580.34375</v>
      </c>
      <c r="G609" s="30" t="n">
        <v>29908</v>
      </c>
      <c r="H609" s="35" t="n">
        <v>0.01800554016620493</v>
      </c>
      <c r="I609" s="35" t="n">
        <v>-0.2832764505119454</v>
      </c>
      <c r="J609" s="30" t="n">
        <v>152970</v>
      </c>
      <c r="K609" s="30" t="n">
        <v>158955</v>
      </c>
      <c r="L609" s="30" t="n">
        <v>131570</v>
      </c>
      <c r="M609" s="35" t="n">
        <v>0.6373470248026776</v>
      </c>
      <c r="N609" s="35" t="n">
        <v>0.5862023105800374</v>
      </c>
      <c r="O609" s="35" t="n">
        <v>-0.03732809430255402</v>
      </c>
      <c r="P609" s="35" t="n">
        <v>0.3560885608856088</v>
      </c>
      <c r="Q609" s="35" t="n">
        <v>0.4878542510121457</v>
      </c>
      <c r="R609" s="35" t="n">
        <v>-0.03902726024710723</v>
      </c>
      <c r="S609" s="35" t="n">
        <v>-0.07520996508445787</v>
      </c>
      <c r="T609" s="35" t="n">
        <v>0.1172759747662842</v>
      </c>
      <c r="U609" s="30" t="n">
        <v>189500</v>
      </c>
      <c r="V609" s="30" t="n">
        <v>67500</v>
      </c>
      <c r="W609" s="35" t="n">
        <v>-0.2242744063324539</v>
      </c>
      <c r="X609" s="35" t="n">
        <v>1.177777777777778</v>
      </c>
      <c r="Y609" s="30" t="n">
        <v>11179416</v>
      </c>
      <c r="Z609" s="30" t="n">
        <v>1643374152000</v>
      </c>
      <c r="AA609" s="30" t="n">
        <v>4396476000</v>
      </c>
      <c r="AB609" s="30" t="n">
        <v>9046216050</v>
      </c>
      <c r="AC609" s="35" t="n">
        <v>0.002675273914129325</v>
      </c>
      <c r="AD609" s="24" t="inlineStr">
        <is>
          <t>yfinance_download</t>
        </is>
      </c>
      <c r="AE609" s="24" t="inlineStr">
        <is>
          <t>064760.KQ</t>
        </is>
      </c>
    </row>
    <row r="610" ht="24" customHeight="1">
      <c r="A610" s="29" t="inlineStr">
        <is>
          <t>2025-12-08</t>
        </is>
      </c>
      <c r="B610" s="31" t="n">
        <v>147200</v>
      </c>
      <c r="C610" s="31" t="n">
        <v>149200</v>
      </c>
      <c r="D610" s="31" t="n">
        <v>145900</v>
      </c>
      <c r="E610" s="31" t="n">
        <v>148200</v>
      </c>
      <c r="F610" s="31" t="n">
        <v>146768.75</v>
      </c>
      <c r="G610" s="31" t="n">
        <v>27502</v>
      </c>
      <c r="H610" s="36" t="n">
        <v>0.008163265306122547</v>
      </c>
      <c r="I610" s="36" t="n">
        <v>-0.2774256460263286</v>
      </c>
      <c r="J610" s="31" t="n">
        <v>152065</v>
      </c>
      <c r="K610" s="31" t="n">
        <v>159600</v>
      </c>
      <c r="L610" s="31" t="n">
        <v>131972.5</v>
      </c>
      <c r="M610" s="36" t="n">
        <v>0.5432557371627893</v>
      </c>
      <c r="N610" s="36" t="n">
        <v>0.5861528050539899</v>
      </c>
      <c r="O610" s="36" t="n">
        <v>-0.1088394467829225</v>
      </c>
      <c r="P610" s="36" t="n">
        <v>0.3534246575342466</v>
      </c>
      <c r="Q610" s="36" t="n">
        <v>0.4834834834834836</v>
      </c>
      <c r="R610" s="36" t="n">
        <v>-0.02541676256863845</v>
      </c>
      <c r="S610" s="36" t="n">
        <v>-0.0714285714285714</v>
      </c>
      <c r="T610" s="36" t="n">
        <v>0.1229612229820607</v>
      </c>
      <c r="U610" s="31" t="n">
        <v>189500</v>
      </c>
      <c r="V610" s="31" t="n">
        <v>67500</v>
      </c>
      <c r="W610" s="36" t="n">
        <v>-0.2179419525065963</v>
      </c>
      <c r="X610" s="36" t="n">
        <v>1.195555555555555</v>
      </c>
      <c r="Y610" s="31" t="n">
        <v>11179416</v>
      </c>
      <c r="Z610" s="31" t="n">
        <v>1656789451200</v>
      </c>
      <c r="AA610" s="31" t="n">
        <v>4075796400</v>
      </c>
      <c r="AB610" s="31" t="n">
        <v>8292608455</v>
      </c>
      <c r="AC610" s="36" t="n">
        <v>0.002460056947518547</v>
      </c>
      <c r="AD610" s="29" t="inlineStr">
        <is>
          <t>yfinance_download</t>
        </is>
      </c>
      <c r="AE610" s="29" t="inlineStr">
        <is>
          <t>064760.KQ</t>
        </is>
      </c>
    </row>
    <row r="611" ht="24" customHeight="1">
      <c r="A611" s="24" t="inlineStr">
        <is>
          <t>2025-12-09</t>
        </is>
      </c>
      <c r="B611" s="30" t="n">
        <v>148200</v>
      </c>
      <c r="C611" s="30" t="n">
        <v>148200</v>
      </c>
      <c r="D611" s="30" t="n">
        <v>145200</v>
      </c>
      <c r="E611" s="30" t="n">
        <v>147000</v>
      </c>
      <c r="F611" s="30" t="n">
        <v>145580.34375</v>
      </c>
      <c r="G611" s="30" t="n">
        <v>29073</v>
      </c>
      <c r="H611" s="35" t="n">
        <v>-0.008097165991902799</v>
      </c>
      <c r="I611" s="35" t="n">
        <v>-0.2832764505119454</v>
      </c>
      <c r="J611" s="30" t="n">
        <v>150835</v>
      </c>
      <c r="K611" s="30" t="n">
        <v>160180</v>
      </c>
      <c r="L611" s="30" t="n">
        <v>132355</v>
      </c>
      <c r="M611" s="35" t="n">
        <v>0.5253392723708491</v>
      </c>
      <c r="N611" s="35" t="n">
        <v>0.5854750163685495</v>
      </c>
      <c r="O611" s="35" t="n">
        <v>-0.1433566433566433</v>
      </c>
      <c r="P611" s="35" t="n">
        <v>0.3101604278074865</v>
      </c>
      <c r="Q611" s="35" t="n">
        <v>0.4540059347181009</v>
      </c>
      <c r="R611" s="35" t="n">
        <v>-0.02542513342394004</v>
      </c>
      <c r="S611" s="35" t="n">
        <v>-0.08228243226370335</v>
      </c>
      <c r="T611" s="35" t="n">
        <v>0.1106493898983794</v>
      </c>
      <c r="U611" s="30" t="n">
        <v>189500</v>
      </c>
      <c r="V611" s="30" t="n">
        <v>67500</v>
      </c>
      <c r="W611" s="35" t="n">
        <v>-0.2242744063324539</v>
      </c>
      <c r="X611" s="35" t="n">
        <v>1.177777777777778</v>
      </c>
      <c r="Y611" s="30" t="n">
        <v>11179416</v>
      </c>
      <c r="Z611" s="30" t="n">
        <v>1643374152000</v>
      </c>
      <c r="AA611" s="30" t="n">
        <v>4273731000</v>
      </c>
      <c r="AB611" s="30" t="n">
        <v>7478556865</v>
      </c>
      <c r="AC611" s="35" t="n">
        <v>0.002600583071602309</v>
      </c>
      <c r="AD611" s="24" t="inlineStr">
        <is>
          <t>yfinance_download</t>
        </is>
      </c>
      <c r="AE611" s="24" t="inlineStr">
        <is>
          <t>064760.KQ</t>
        </is>
      </c>
    </row>
    <row r="612" ht="24" customHeight="1">
      <c r="A612" s="29" t="inlineStr">
        <is>
          <t>2025-12-10</t>
        </is>
      </c>
      <c r="B612" s="31" t="n">
        <v>146700</v>
      </c>
      <c r="C612" s="31" t="n">
        <v>150400</v>
      </c>
      <c r="D612" s="31" t="n">
        <v>146300</v>
      </c>
      <c r="E612" s="31" t="n">
        <v>147100</v>
      </c>
      <c r="F612" s="31" t="n">
        <v>145679.375</v>
      </c>
      <c r="G612" s="31" t="n">
        <v>29509</v>
      </c>
      <c r="H612" s="36" t="n">
        <v>0.0006802721088434716</v>
      </c>
      <c r="I612" s="36" t="n">
        <v>-0.2827888834714773</v>
      </c>
      <c r="J612" s="31" t="n">
        <v>150020</v>
      </c>
      <c r="K612" s="31" t="n">
        <v>160696.6666666667</v>
      </c>
      <c r="L612" s="31" t="n">
        <v>132755.8333333333</v>
      </c>
      <c r="M612" s="36" t="n">
        <v>0.5033522309179469</v>
      </c>
      <c r="N612" s="36" t="n">
        <v>0.5822753670351436</v>
      </c>
      <c r="O612" s="36" t="n">
        <v>-0.09975520195838439</v>
      </c>
      <c r="P612" s="36" t="n">
        <v>0.2670111972437554</v>
      </c>
      <c r="Q612" s="36" t="n">
        <v>0.4858585858585858</v>
      </c>
      <c r="R612" s="36" t="n">
        <v>-0.01946407145713902</v>
      </c>
      <c r="S612" s="36" t="n">
        <v>-0.08461075732746992</v>
      </c>
      <c r="T612" s="36" t="n">
        <v>0.1080492382632274</v>
      </c>
      <c r="U612" s="31" t="n">
        <v>189500</v>
      </c>
      <c r="V612" s="31" t="n">
        <v>67500</v>
      </c>
      <c r="W612" s="36" t="n">
        <v>-0.2237467018469657</v>
      </c>
      <c r="X612" s="36" t="n">
        <v>1.179259259259259</v>
      </c>
      <c r="Y612" s="31" t="n">
        <v>11179416</v>
      </c>
      <c r="Z612" s="31" t="n">
        <v>1644492093600</v>
      </c>
      <c r="AA612" s="31" t="n">
        <v>4340773900</v>
      </c>
      <c r="AB612" s="31" t="n">
        <v>7250690040</v>
      </c>
      <c r="AC612" s="36" t="n">
        <v>0.002639583319915817</v>
      </c>
      <c r="AD612" s="29" t="inlineStr">
        <is>
          <t>yfinance_download</t>
        </is>
      </c>
      <c r="AE612" s="29" t="inlineStr">
        <is>
          <t>064760.KQ</t>
        </is>
      </c>
    </row>
    <row r="613" ht="24" customHeight="1">
      <c r="A613" s="24" t="inlineStr">
        <is>
          <t>2025-12-11</t>
        </is>
      </c>
      <c r="B613" s="30" t="n">
        <v>149700</v>
      </c>
      <c r="C613" s="30" t="n">
        <v>149700</v>
      </c>
      <c r="D613" s="30" t="n">
        <v>144700</v>
      </c>
      <c r="E613" s="30" t="n">
        <v>146400</v>
      </c>
      <c r="F613" s="30" t="n">
        <v>144986.140625</v>
      </c>
      <c r="G613" s="30" t="n">
        <v>52664</v>
      </c>
      <c r="H613" s="35" t="n">
        <v>-0.004758667573079522</v>
      </c>
      <c r="I613" s="35" t="n">
        <v>-0.2862018527547537</v>
      </c>
      <c r="J613" s="30" t="n">
        <v>148840</v>
      </c>
      <c r="K613" s="30" t="n">
        <v>161136.6666666667</v>
      </c>
      <c r="L613" s="30" t="n">
        <v>133135</v>
      </c>
      <c r="M613" s="35" t="n">
        <v>0.4743276194001715</v>
      </c>
      <c r="N613" s="35" t="n">
        <v>0.5794172433164825</v>
      </c>
      <c r="O613" s="35" t="n">
        <v>-0.1388235294117647</v>
      </c>
      <c r="P613" s="35" t="n">
        <v>0.22</v>
      </c>
      <c r="Q613" s="35" t="n">
        <v>0.4509415262636274</v>
      </c>
      <c r="R613" s="35" t="n">
        <v>-0.01639344262295084</v>
      </c>
      <c r="S613" s="35" t="n">
        <v>-0.09145445894789095</v>
      </c>
      <c r="T613" s="35" t="n">
        <v>0.09963570811582234</v>
      </c>
      <c r="U613" s="30" t="n">
        <v>189500</v>
      </c>
      <c r="V613" s="30" t="n">
        <v>67500</v>
      </c>
      <c r="W613" s="35" t="n">
        <v>-0.2274406332453826</v>
      </c>
      <c r="X613" s="35" t="n">
        <v>1.168888888888889</v>
      </c>
      <c r="Y613" s="30" t="n">
        <v>11179416</v>
      </c>
      <c r="Z613" s="30" t="n">
        <v>1636666502400</v>
      </c>
      <c r="AA613" s="30" t="n">
        <v>7710009600</v>
      </c>
      <c r="AB613" s="30" t="n">
        <v>7080622020</v>
      </c>
      <c r="AC613" s="35" t="n">
        <v>0.004710800635739827</v>
      </c>
      <c r="AD613" s="24" t="inlineStr">
        <is>
          <t>yfinance_download</t>
        </is>
      </c>
      <c r="AE613" s="24" t="inlineStr">
        <is>
          <t>064760.KQ</t>
        </is>
      </c>
    </row>
    <row r="614" ht="24" customHeight="1">
      <c r="A614" s="29" t="inlineStr">
        <is>
          <t>2025-12-12</t>
        </is>
      </c>
      <c r="B614" s="31" t="n">
        <v>147000</v>
      </c>
      <c r="C614" s="31" t="n">
        <v>147000</v>
      </c>
      <c r="D614" s="31" t="n">
        <v>143500</v>
      </c>
      <c r="E614" s="31" t="n">
        <v>145500</v>
      </c>
      <c r="F614" s="31" t="n">
        <v>144094.828125</v>
      </c>
      <c r="G614" s="31" t="n">
        <v>38178</v>
      </c>
      <c r="H614" s="36" t="n">
        <v>-0.006147540983606592</v>
      </c>
      <c r="I614" s="36" t="n">
        <v>-0.2905899561189663</v>
      </c>
      <c r="J614" s="31" t="n">
        <v>148170</v>
      </c>
      <c r="K614" s="31" t="n">
        <v>161276.6666666667</v>
      </c>
      <c r="L614" s="31" t="n">
        <v>133512.5</v>
      </c>
      <c r="M614" s="36" t="n">
        <v>0.4214429340008725</v>
      </c>
      <c r="N614" s="36" t="n">
        <v>0.5026051373183557</v>
      </c>
      <c r="O614" s="36" t="n">
        <v>-0.08432976714915041</v>
      </c>
      <c r="P614" s="36" t="n">
        <v>0.06126914660831506</v>
      </c>
      <c r="Q614" s="36" t="n">
        <v>0.4520958083832336</v>
      </c>
      <c r="R614" s="36" t="n">
        <v>-0.01801984207329421</v>
      </c>
      <c r="S614" s="36" t="n">
        <v>-0.09782361573279863</v>
      </c>
      <c r="T614" s="36" t="n">
        <v>0.08978560059919483</v>
      </c>
      <c r="U614" s="31" t="n">
        <v>189500</v>
      </c>
      <c r="V614" s="31" t="n">
        <v>67500</v>
      </c>
      <c r="W614" s="36" t="n">
        <v>-0.2321899736147758</v>
      </c>
      <c r="X614" s="36" t="n">
        <v>1.155555555555555</v>
      </c>
      <c r="Y614" s="31" t="n">
        <v>11179416</v>
      </c>
      <c r="Z614" s="31" t="n">
        <v>1626605028000</v>
      </c>
      <c r="AA614" s="31" t="n">
        <v>5554899000</v>
      </c>
      <c r="AB614" s="31" t="n">
        <v>6799992370</v>
      </c>
      <c r="AC614" s="36" t="n">
        <v>0.003415026330534618</v>
      </c>
      <c r="AD614" s="29" t="inlineStr">
        <is>
          <t>yfinance_download</t>
        </is>
      </c>
      <c r="AE614" s="29" t="inlineStr">
        <is>
          <t>064760.KQ</t>
        </is>
      </c>
    </row>
    <row r="615" ht="24" customHeight="1">
      <c r="A615" s="24" t="inlineStr">
        <is>
          <t>2025-12-15</t>
        </is>
      </c>
      <c r="B615" s="30" t="n">
        <v>145500</v>
      </c>
      <c r="C615" s="30" t="n">
        <v>148000</v>
      </c>
      <c r="D615" s="30" t="n">
        <v>143100</v>
      </c>
      <c r="E615" s="30" t="n">
        <v>146800</v>
      </c>
      <c r="F615" s="30" t="n">
        <v>145382.265625</v>
      </c>
      <c r="G615" s="30" t="n">
        <v>36275</v>
      </c>
      <c r="H615" s="35" t="n">
        <v>0.008934707903780037</v>
      </c>
      <c r="I615" s="35" t="n">
        <v>-0.2842515845928815</v>
      </c>
      <c r="J615" s="30" t="n">
        <v>147395</v>
      </c>
      <c r="K615" s="30" t="n">
        <v>161375</v>
      </c>
      <c r="L615" s="30" t="n">
        <v>133887.5</v>
      </c>
      <c r="M615" s="35" t="n">
        <v>0.413714059624336</v>
      </c>
      <c r="N615" s="35" t="n">
        <v>0.4998846798034109</v>
      </c>
      <c r="O615" s="35" t="n">
        <v>-0.09550215650030802</v>
      </c>
      <c r="P615" s="35" t="n">
        <v>0.04187366926898517</v>
      </c>
      <c r="Q615" s="35" t="n">
        <v>0.4420432220039292</v>
      </c>
      <c r="R615" s="35" t="n">
        <v>-0.004036771939346706</v>
      </c>
      <c r="S615" s="35" t="n">
        <v>-0.09031758326878392</v>
      </c>
      <c r="T615" s="35" t="n">
        <v>0.0964429091588086</v>
      </c>
      <c r="U615" s="30" t="n">
        <v>189500</v>
      </c>
      <c r="V615" s="30" t="n">
        <v>67500</v>
      </c>
      <c r="W615" s="35" t="n">
        <v>-0.2253298153034301</v>
      </c>
      <c r="X615" s="35" t="n">
        <v>1.174814814814815</v>
      </c>
      <c r="Y615" s="30" t="n">
        <v>11179416</v>
      </c>
      <c r="Z615" s="30" t="n">
        <v>1641138268800</v>
      </c>
      <c r="AA615" s="30" t="n">
        <v>5325170000</v>
      </c>
      <c r="AB615" s="30" t="n">
        <v>6745821980</v>
      </c>
      <c r="AC615" s="35" t="n">
        <v>0.003244802769661671</v>
      </c>
      <c r="AD615" s="24" t="inlineStr">
        <is>
          <t>yfinance_download</t>
        </is>
      </c>
      <c r="AE615" s="24" t="inlineStr">
        <is>
          <t>064760.KQ</t>
        </is>
      </c>
    </row>
    <row r="616" ht="24" customHeight="1">
      <c r="A616" s="29" t="inlineStr">
        <is>
          <t>2025-12-16</t>
        </is>
      </c>
      <c r="B616" s="31" t="n">
        <v>146600</v>
      </c>
      <c r="C616" s="31" t="n">
        <v>146600</v>
      </c>
      <c r="D616" s="31" t="n">
        <v>137400</v>
      </c>
      <c r="E616" s="31" t="n">
        <v>138500</v>
      </c>
      <c r="F616" s="31" t="n">
        <v>137162.421875</v>
      </c>
      <c r="G616" s="31" t="n">
        <v>69453</v>
      </c>
      <c r="H616" s="36" t="n">
        <v>-0.05653950953678477</v>
      </c>
      <c r="I616" s="36" t="n">
        <v>-0.3247196489517309</v>
      </c>
      <c r="J616" s="31" t="n">
        <v>146605</v>
      </c>
      <c r="K616" s="31" t="n">
        <v>161253.3333333333</v>
      </c>
      <c r="L616" s="31" t="n">
        <v>134212.5</v>
      </c>
      <c r="M616" s="36" t="n">
        <v>0.424735367045406</v>
      </c>
      <c r="N616" s="36" t="n">
        <v>0.5086188013667986</v>
      </c>
      <c r="O616" s="36" t="n">
        <v>-0.1023979261179521</v>
      </c>
      <c r="P616" s="36" t="n">
        <v>-0.05006858710562412</v>
      </c>
      <c r="Q616" s="36" t="n">
        <v>0.3919597989949748</v>
      </c>
      <c r="R616" s="36" t="n">
        <v>-0.05528460830121751</v>
      </c>
      <c r="S616" s="36" t="n">
        <v>-0.1411030262940302</v>
      </c>
      <c r="T616" s="36" t="n">
        <v>0.0319456086430101</v>
      </c>
      <c r="U616" s="31" t="n">
        <v>189500</v>
      </c>
      <c r="V616" s="31" t="n">
        <v>67500</v>
      </c>
      <c r="W616" s="36" t="n">
        <v>-0.2691292875989446</v>
      </c>
      <c r="X616" s="36" t="n">
        <v>1.051851851851852</v>
      </c>
      <c r="Y616" s="31" t="n">
        <v>11179416</v>
      </c>
      <c r="Z616" s="31" t="n">
        <v>1548349116000</v>
      </c>
      <c r="AA616" s="31" t="n">
        <v>9619240500</v>
      </c>
      <c r="AB616" s="31" t="n">
        <v>6843556810</v>
      </c>
      <c r="AC616" s="36" t="n">
        <v>0.006212578546142303</v>
      </c>
      <c r="AD616" s="29" t="inlineStr">
        <is>
          <t>yfinance_download</t>
        </is>
      </c>
      <c r="AE616" s="29" t="inlineStr">
        <is>
          <t>064760.KQ</t>
        </is>
      </c>
    </row>
    <row r="617" ht="24" customHeight="1">
      <c r="A617" s="24" t="inlineStr">
        <is>
          <t>2025-12-17</t>
        </is>
      </c>
      <c r="B617" s="30" t="n">
        <v>138600</v>
      </c>
      <c r="C617" s="30" t="n">
        <v>148300</v>
      </c>
      <c r="D617" s="30" t="n">
        <v>137100</v>
      </c>
      <c r="E617" s="30" t="n">
        <v>146000</v>
      </c>
      <c r="F617" s="30" t="n">
        <v>144590</v>
      </c>
      <c r="G617" s="30" t="n">
        <v>96066</v>
      </c>
      <c r="H617" s="35" t="n">
        <v>0.05415162454873657</v>
      </c>
      <c r="I617" s="35" t="n">
        <v>-0.288152120916626</v>
      </c>
      <c r="J617" s="30" t="n">
        <v>146085</v>
      </c>
      <c r="K617" s="30" t="n">
        <v>161203.3333333333</v>
      </c>
      <c r="L617" s="30" t="n">
        <v>134579.1666666667</v>
      </c>
      <c r="M617" s="35" t="n">
        <v>0.4702761769635633</v>
      </c>
      <c r="N617" s="35" t="n">
        <v>0.5188285143899088</v>
      </c>
      <c r="O617" s="35" t="n">
        <v>-0.06649616368286448</v>
      </c>
      <c r="P617" s="35" t="n">
        <v>-0.02013422818791943</v>
      </c>
      <c r="Q617" s="35" t="n">
        <v>0.4313725490196079</v>
      </c>
      <c r="R617" s="35" t="n">
        <v>-0.0005818530307697412</v>
      </c>
      <c r="S617" s="35" t="n">
        <v>-0.09431153201960263</v>
      </c>
      <c r="T617" s="35" t="n">
        <v>0.08486330846156243</v>
      </c>
      <c r="U617" s="30" t="n">
        <v>189500</v>
      </c>
      <c r="V617" s="30" t="n">
        <v>67500</v>
      </c>
      <c r="W617" s="35" t="n">
        <v>-0.2295514511873351</v>
      </c>
      <c r="X617" s="35" t="n">
        <v>1.162962962962963</v>
      </c>
      <c r="Y617" s="30" t="n">
        <v>11179416</v>
      </c>
      <c r="Z617" s="30" t="n">
        <v>1632194736000</v>
      </c>
      <c r="AA617" s="30" t="n">
        <v>14025636000</v>
      </c>
      <c r="AB617" s="30" t="n">
        <v>7240953410</v>
      </c>
      <c r="AC617" s="35" t="n">
        <v>0.008593114345150052</v>
      </c>
      <c r="AD617" s="24" t="inlineStr">
        <is>
          <t>yfinance_download</t>
        </is>
      </c>
      <c r="AE617" s="24" t="inlineStr">
        <is>
          <t>064760.KQ</t>
        </is>
      </c>
    </row>
    <row r="618" ht="24" customHeight="1">
      <c r="A618" s="29" t="inlineStr">
        <is>
          <t>2025-12-18</t>
        </is>
      </c>
      <c r="B618" s="31" t="n">
        <v>144700</v>
      </c>
      <c r="C618" s="31" t="n">
        <v>144700</v>
      </c>
      <c r="D618" s="31" t="n">
        <v>138600</v>
      </c>
      <c r="E618" s="31" t="n">
        <v>139400</v>
      </c>
      <c r="F618" s="31" t="n">
        <v>138053.734375</v>
      </c>
      <c r="G618" s="31" t="n">
        <v>51371</v>
      </c>
      <c r="H618" s="36" t="n">
        <v>-0.04520547945205478</v>
      </c>
      <c r="I618" s="36" t="n">
        <v>-0.3203315455875183</v>
      </c>
      <c r="J618" s="31" t="n">
        <v>145295</v>
      </c>
      <c r="K618" s="31" t="n">
        <v>160891.6666666667</v>
      </c>
      <c r="L618" s="31" t="n">
        <v>134850.8333333333</v>
      </c>
      <c r="M618" s="36" t="n">
        <v>0.4935129102456222</v>
      </c>
      <c r="N618" s="36" t="n">
        <v>0.5112189204161838</v>
      </c>
      <c r="O618" s="36" t="n">
        <v>-0.1018041237113402</v>
      </c>
      <c r="P618" s="36" t="n">
        <v>-0.1182795698924731</v>
      </c>
      <c r="Q618" s="36" t="n">
        <v>0.3052434456928839</v>
      </c>
      <c r="R618" s="36" t="n">
        <v>-0.04057262810144879</v>
      </c>
      <c r="S618" s="36" t="n">
        <v>-0.1335784948464287</v>
      </c>
      <c r="T618" s="36" t="n">
        <v>0.03373480574214716</v>
      </c>
      <c r="U618" s="31" t="n">
        <v>189500</v>
      </c>
      <c r="V618" s="31" t="n">
        <v>67500</v>
      </c>
      <c r="W618" s="36" t="n">
        <v>-0.2643799472295515</v>
      </c>
      <c r="X618" s="36" t="n">
        <v>1.065185185185185</v>
      </c>
      <c r="Y618" s="31" t="n">
        <v>11179416</v>
      </c>
      <c r="Z618" s="31" t="n">
        <v>1558410590400</v>
      </c>
      <c r="AA618" s="31" t="n">
        <v>7161117400</v>
      </c>
      <c r="AB618" s="31" t="n">
        <v>7370430720</v>
      </c>
      <c r="AC618" s="36" t="n">
        <v>0.004595141642461466</v>
      </c>
      <c r="AD618" s="29" t="inlineStr">
        <is>
          <t>yfinance_download</t>
        </is>
      </c>
      <c r="AE618" s="29" t="inlineStr">
        <is>
          <t>064760.KQ</t>
        </is>
      </c>
    </row>
    <row r="619" ht="24" customHeight="1">
      <c r="A619" s="24" t="inlineStr">
        <is>
          <t>2025-12-19</t>
        </is>
      </c>
      <c r="B619" s="30" t="n">
        <v>143100</v>
      </c>
      <c r="C619" s="30" t="n">
        <v>143100</v>
      </c>
      <c r="D619" s="30" t="n">
        <v>138500</v>
      </c>
      <c r="E619" s="30" t="n">
        <v>140800</v>
      </c>
      <c r="F619" s="30" t="n">
        <v>139440.21875</v>
      </c>
      <c r="G619" s="30" t="n">
        <v>55976</v>
      </c>
      <c r="H619" s="35" t="n">
        <v>0.01004304160688663</v>
      </c>
      <c r="I619" s="35" t="n">
        <v>-0.3135056070209654</v>
      </c>
      <c r="J619" s="30" t="n">
        <v>145250</v>
      </c>
      <c r="K619" s="30" t="n">
        <v>160583.3333333333</v>
      </c>
      <c r="L619" s="30" t="n">
        <v>135142.5</v>
      </c>
      <c r="M619" s="35" t="n">
        <v>0.388413298622082</v>
      </c>
      <c r="N619" s="35" t="n">
        <v>0.5114316271724457</v>
      </c>
      <c r="O619" s="35" t="n">
        <v>-0.00635144671841914</v>
      </c>
      <c r="P619" s="35" t="n">
        <v>-0.1161330822347771</v>
      </c>
      <c r="Q619" s="35" t="n">
        <v>0.3308128544423441</v>
      </c>
      <c r="R619" s="35" t="n">
        <v>-0.03063683304647158</v>
      </c>
      <c r="S619" s="35" t="n">
        <v>-0.1231966787752985</v>
      </c>
      <c r="T619" s="35" t="n">
        <v>0.04186321845459418</v>
      </c>
      <c r="U619" s="30" t="n">
        <v>189500</v>
      </c>
      <c r="V619" s="30" t="n">
        <v>67500</v>
      </c>
      <c r="W619" s="35" t="n">
        <v>-0.2569920844327177</v>
      </c>
      <c r="X619" s="35" t="n">
        <v>1.085925925925926</v>
      </c>
      <c r="Y619" s="30" t="n">
        <v>11179416</v>
      </c>
      <c r="Z619" s="30" t="n">
        <v>1574061772800</v>
      </c>
      <c r="AA619" s="30" t="n">
        <v>7881420800</v>
      </c>
      <c r="AB619" s="30" t="n">
        <v>7249974890</v>
      </c>
      <c r="AC619" s="35" t="n">
        <v>0.005007059402745188</v>
      </c>
      <c r="AD619" s="24" t="inlineStr">
        <is>
          <t>yfinance_download</t>
        </is>
      </c>
      <c r="AE619" s="24" t="inlineStr">
        <is>
          <t>064760.KQ</t>
        </is>
      </c>
    </row>
    <row r="620" ht="24" customHeight="1">
      <c r="A620" s="29" t="inlineStr">
        <is>
          <t>2025-12-22</t>
        </is>
      </c>
      <c r="B620" s="31" t="n">
        <v>143500</v>
      </c>
      <c r="C620" s="31" t="n">
        <v>147500</v>
      </c>
      <c r="D620" s="31" t="n">
        <v>141600</v>
      </c>
      <c r="E620" s="31" t="n">
        <v>146400</v>
      </c>
      <c r="F620" s="31" t="n">
        <v>144986.140625</v>
      </c>
      <c r="G620" s="31" t="n">
        <v>48027</v>
      </c>
      <c r="H620" s="36" t="n">
        <v>0.03977272727272729</v>
      </c>
      <c r="I620" s="36" t="n">
        <v>-0.2862018527547537</v>
      </c>
      <c r="J620" s="31" t="n">
        <v>145315</v>
      </c>
      <c r="K620" s="31" t="n">
        <v>160328.3333333333</v>
      </c>
      <c r="L620" s="31" t="n">
        <v>135498.3333333333</v>
      </c>
      <c r="M620" s="36" t="n">
        <v>0.4050404268417562</v>
      </c>
      <c r="N620" s="36" t="n">
        <v>0.5173313687218531</v>
      </c>
      <c r="O620" s="36" t="n">
        <v>0.008959338387318994</v>
      </c>
      <c r="P620" s="36" t="n">
        <v>-0.09461966604823746</v>
      </c>
      <c r="Q620" s="36" t="n">
        <v>0.411764705882353</v>
      </c>
      <c r="R620" s="36" t="n">
        <v>0.007466538210095353</v>
      </c>
      <c r="S620" s="36" t="n">
        <v>-0.08687381103360814</v>
      </c>
      <c r="T620" s="36" t="n">
        <v>0.08045609417089983</v>
      </c>
      <c r="U620" s="31" t="n">
        <v>189500</v>
      </c>
      <c r="V620" s="31" t="n">
        <v>67500</v>
      </c>
      <c r="W620" s="36" t="n">
        <v>-0.2274406332453826</v>
      </c>
      <c r="X620" s="36" t="n">
        <v>1.168888888888889</v>
      </c>
      <c r="Y620" s="31" t="n">
        <v>11179416</v>
      </c>
      <c r="Z620" s="31" t="n">
        <v>1636666502400</v>
      </c>
      <c r="AA620" s="31" t="n">
        <v>7031152800</v>
      </c>
      <c r="AB620" s="31" t="n">
        <v>7134252490</v>
      </c>
      <c r="AC620" s="36" t="n">
        <v>0.00429602047191016</v>
      </c>
      <c r="AD620" s="29" t="inlineStr">
        <is>
          <t>yfinance_download</t>
        </is>
      </c>
      <c r="AE620" s="29" t="inlineStr">
        <is>
          <t>064760.KQ</t>
        </is>
      </c>
    </row>
    <row r="621" ht="24" customHeight="1">
      <c r="A621" s="24" t="inlineStr">
        <is>
          <t>2025-12-23</t>
        </is>
      </c>
      <c r="B621" s="30" t="n">
        <v>147000</v>
      </c>
      <c r="C621" s="30" t="n">
        <v>147000</v>
      </c>
      <c r="D621" s="30" t="n">
        <v>143600</v>
      </c>
      <c r="E621" s="30" t="n">
        <v>145800</v>
      </c>
      <c r="F621" s="30" t="n">
        <v>144391.921875</v>
      </c>
      <c r="G621" s="30" t="n">
        <v>23681</v>
      </c>
      <c r="H621" s="35" t="n">
        <v>-0.004098360655737654</v>
      </c>
      <c r="I621" s="35" t="n">
        <v>-0.2891272549975622</v>
      </c>
      <c r="J621" s="30" t="n">
        <v>145370</v>
      </c>
      <c r="K621" s="30" t="n">
        <v>160078.3333333333</v>
      </c>
      <c r="L621" s="30" t="n">
        <v>135818.3333333333</v>
      </c>
      <c r="M621" s="35" t="n">
        <v>0.4052227500955041</v>
      </c>
      <c r="N621" s="35" t="n">
        <v>0.5172863931829367</v>
      </c>
      <c r="O621" s="35" t="n">
        <v>0.007601935038009655</v>
      </c>
      <c r="P621" s="35" t="n">
        <v>-0.09328358208955223</v>
      </c>
      <c r="Q621" s="35" t="n">
        <v>0.3575418994413408</v>
      </c>
      <c r="R621" s="35" t="n">
        <v>0.002957969319667075</v>
      </c>
      <c r="S621" s="35" t="n">
        <v>-0.08919591450019271</v>
      </c>
      <c r="T621" s="35" t="n">
        <v>0.07349277834362078</v>
      </c>
      <c r="U621" s="30" t="n">
        <v>189500</v>
      </c>
      <c r="V621" s="30" t="n">
        <v>67600</v>
      </c>
      <c r="W621" s="35" t="n">
        <v>-0.2306068601583113</v>
      </c>
      <c r="X621" s="35" t="n">
        <v>1.156804733727811</v>
      </c>
      <c r="Y621" s="30" t="n">
        <v>11179416</v>
      </c>
      <c r="Z621" s="30" t="n">
        <v>1629958852800</v>
      </c>
      <c r="AA621" s="30" t="n">
        <v>3452689800</v>
      </c>
      <c r="AB621" s="30" t="n">
        <v>6756607350</v>
      </c>
      <c r="AC621" s="35" t="n">
        <v>0.00211826807411049</v>
      </c>
      <c r="AD621" s="24" t="inlineStr">
        <is>
          <t>yfinance_download</t>
        </is>
      </c>
      <c r="AE621" s="24" t="inlineStr">
        <is>
          <t>064760.KQ</t>
        </is>
      </c>
    </row>
    <row r="622" ht="24" customHeight="1">
      <c r="A622" s="29" t="inlineStr">
        <is>
          <t>2025-12-24</t>
        </is>
      </c>
      <c r="B622" s="31" t="n">
        <v>145900</v>
      </c>
      <c r="C622" s="31" t="n">
        <v>146100</v>
      </c>
      <c r="D622" s="31" t="n">
        <v>142200</v>
      </c>
      <c r="E622" s="31" t="n">
        <v>143100</v>
      </c>
      <c r="F622" s="31" t="n">
        <v>141718</v>
      </c>
      <c r="G622" s="31" t="n">
        <v>16708</v>
      </c>
      <c r="H622" s="36" t="n">
        <v>-0.01851851851851849</v>
      </c>
      <c r="I622" s="36" t="n">
        <v>-0.3022915650901999</v>
      </c>
      <c r="J622" s="31" t="n">
        <v>145365</v>
      </c>
      <c r="K622" s="31" t="n">
        <v>159705</v>
      </c>
      <c r="L622" s="31" t="n">
        <v>136130</v>
      </c>
      <c r="M622" s="36" t="n">
        <v>0.4091867014314718</v>
      </c>
      <c r="N622" s="36" t="n">
        <v>0.5145743553912405</v>
      </c>
      <c r="O622" s="36" t="n">
        <v>-0.0006983240223463749</v>
      </c>
      <c r="P622" s="36" t="n">
        <v>-0.1353474320241692</v>
      </c>
      <c r="Q622" s="36" t="n">
        <v>0.3538315988647114</v>
      </c>
      <c r="R622" s="36" t="n">
        <v>-0.01558146734083166</v>
      </c>
      <c r="S622" s="36" t="n">
        <v>-0.1039729501267963</v>
      </c>
      <c r="T622" s="36" t="n">
        <v>0.05120105781238515</v>
      </c>
      <c r="U622" s="31" t="n">
        <v>189500</v>
      </c>
      <c r="V622" s="31" t="n">
        <v>68000</v>
      </c>
      <c r="W622" s="36" t="n">
        <v>-0.2448548812664908</v>
      </c>
      <c r="X622" s="36" t="n">
        <v>1.104411764705882</v>
      </c>
      <c r="Y622" s="31" t="n">
        <v>11179416</v>
      </c>
      <c r="Z622" s="31" t="n">
        <v>1599774429600</v>
      </c>
      <c r="AA622" s="31" t="n">
        <v>2390914800</v>
      </c>
      <c r="AB622" s="31" t="n">
        <v>6320064530</v>
      </c>
      <c r="AC622" s="36" t="n">
        <v>0.001494532451426801</v>
      </c>
      <c r="AD622" s="29" t="inlineStr">
        <is>
          <t>yfinance_download</t>
        </is>
      </c>
      <c r="AE622" s="29" t="inlineStr">
        <is>
          <t>064760.KQ</t>
        </is>
      </c>
    </row>
    <row r="623" ht="24" customHeight="1">
      <c r="A623" s="24" t="inlineStr">
        <is>
          <t>2025-12-26</t>
        </is>
      </c>
      <c r="B623" s="30" t="n">
        <v>144200</v>
      </c>
      <c r="C623" s="30" t="n">
        <v>148000</v>
      </c>
      <c r="D623" s="30" t="n">
        <v>142100</v>
      </c>
      <c r="E623" s="30" t="n">
        <v>146000</v>
      </c>
      <c r="F623" s="30" t="n">
        <v>144590</v>
      </c>
      <c r="G623" s="30" t="n">
        <v>44762</v>
      </c>
      <c r="H623" s="35" t="n">
        <v>0.02026554856743545</v>
      </c>
      <c r="I623" s="35" t="n">
        <v>-0.288152120916626</v>
      </c>
      <c r="J623" s="30" t="n">
        <v>145455</v>
      </c>
      <c r="K623" s="30" t="n">
        <v>159443.3333333333</v>
      </c>
      <c r="L623" s="30" t="n">
        <v>136485</v>
      </c>
      <c r="M623" s="35" t="n">
        <v>0.414750024121472</v>
      </c>
      <c r="N623" s="35" t="n">
        <v>0.5146446535225381</v>
      </c>
      <c r="O623" s="35" t="n">
        <v>0.01248266296809986</v>
      </c>
      <c r="P623" s="35" t="n">
        <v>-0.09709338280766855</v>
      </c>
      <c r="Q623" s="35" t="n">
        <v>0.4119922630560928</v>
      </c>
      <c r="R623" s="35" t="n">
        <v>0.003746863291052227</v>
      </c>
      <c r="S623" s="35" t="n">
        <v>-0.0843141764054105</v>
      </c>
      <c r="T623" s="35" t="n">
        <v>0.06971462065428424</v>
      </c>
      <c r="U623" s="30" t="n">
        <v>189500</v>
      </c>
      <c r="V623" s="30" t="n">
        <v>68000</v>
      </c>
      <c r="W623" s="35" t="n">
        <v>-0.2295514511873351</v>
      </c>
      <c r="X623" s="35" t="n">
        <v>1.147058823529412</v>
      </c>
      <c r="Y623" s="30" t="n">
        <v>11179416</v>
      </c>
      <c r="Z623" s="30" t="n">
        <v>1632194736000</v>
      </c>
      <c r="AA623" s="30" t="n">
        <v>6535252000</v>
      </c>
      <c r="AB623" s="30" t="n">
        <v>6326984320</v>
      </c>
      <c r="AC623" s="35" t="n">
        <v>0.004003965860112908</v>
      </c>
      <c r="AD623" s="24" t="inlineStr">
        <is>
          <t>yfinance_download</t>
        </is>
      </c>
      <c r="AE623" s="24" t="inlineStr">
        <is>
          <t>064760.KQ</t>
        </is>
      </c>
    </row>
    <row r="624" ht="24" customHeight="1">
      <c r="A624" s="29" t="inlineStr">
        <is>
          <t>2025-12-29</t>
        </is>
      </c>
      <c r="B624" s="31" t="n">
        <v>147500</v>
      </c>
      <c r="C624" s="31" t="n">
        <v>147700</v>
      </c>
      <c r="D624" s="31" t="n">
        <v>139900</v>
      </c>
      <c r="E624" s="31" t="n">
        <v>141900</v>
      </c>
      <c r="F624" s="31" t="n">
        <v>141900</v>
      </c>
      <c r="G624" s="31" t="n">
        <v>50002</v>
      </c>
      <c r="H624" s="36" t="n">
        <v>-0.02808219178082194</v>
      </c>
      <c r="I624" s="36" t="n">
        <v>-0.3081423695758166</v>
      </c>
      <c r="J624" s="31" t="n">
        <v>145325</v>
      </c>
      <c r="K624" s="31" t="n">
        <v>159193.3333333333</v>
      </c>
      <c r="L624" s="31" t="n">
        <v>136775.8333333333</v>
      </c>
      <c r="M624" s="36" t="n">
        <v>0.4272862620327791</v>
      </c>
      <c r="N624" s="36" t="n">
        <v>0.5142759642079093</v>
      </c>
      <c r="O624" s="36" t="n">
        <v>-0.01799307958477514</v>
      </c>
      <c r="P624" s="36" t="n">
        <v>-0.09560229445506696</v>
      </c>
      <c r="Q624" s="36" t="n">
        <v>0.3261682242990653</v>
      </c>
      <c r="R624" s="36" t="n">
        <v>-0.02356786512988129</v>
      </c>
      <c r="S624" s="36" t="n">
        <v>-0.1086310146991081</v>
      </c>
      <c r="T624" s="36" t="n">
        <v>0.03746397694524495</v>
      </c>
      <c r="U624" s="31" t="n">
        <v>189500</v>
      </c>
      <c r="V624" s="31" t="n">
        <v>68000</v>
      </c>
      <c r="W624" s="36" t="n">
        <v>-0.2511873350923483</v>
      </c>
      <c r="X624" s="36" t="n">
        <v>1.086764705882353</v>
      </c>
      <c r="Y624" s="31" t="n">
        <v>11179416</v>
      </c>
      <c r="Z624" s="31" t="n">
        <v>1586359130400</v>
      </c>
      <c r="AA624" s="31" t="n">
        <v>7095283800</v>
      </c>
      <c r="AB624" s="31" t="n">
        <v>6388883135</v>
      </c>
      <c r="AC624" s="36" t="n">
        <v>0.004472684440761485</v>
      </c>
      <c r="AD624" s="29" t="inlineStr">
        <is>
          <t>yfinance_download</t>
        </is>
      </c>
      <c r="AE624" s="29" t="inlineStr">
        <is>
          <t>064760.KQ</t>
        </is>
      </c>
    </row>
    <row r="625" ht="24" customHeight="1">
      <c r="A625" s="24" t="inlineStr">
        <is>
          <t>2025-12-30</t>
        </is>
      </c>
      <c r="B625" s="30" t="n">
        <v>140400</v>
      </c>
      <c r="C625" s="30" t="n">
        <v>142500</v>
      </c>
      <c r="D625" s="30" t="n">
        <v>139100</v>
      </c>
      <c r="E625" s="30" t="n">
        <v>142200</v>
      </c>
      <c r="F625" s="30" t="n">
        <v>142200</v>
      </c>
      <c r="G625" s="30" t="n">
        <v>32054</v>
      </c>
      <c r="H625" s="35" t="n">
        <v>0.002114164904862603</v>
      </c>
      <c r="I625" s="35" t="n">
        <v>-0.3066796684544125</v>
      </c>
      <c r="J625" s="30" t="n">
        <v>145080</v>
      </c>
      <c r="K625" s="30" t="n">
        <v>158790</v>
      </c>
      <c r="L625" s="30" t="n">
        <v>137075</v>
      </c>
      <c r="M625" s="35" t="n">
        <v>0.4218235119645277</v>
      </c>
      <c r="N625" s="35" t="n">
        <v>0.4980160295123611</v>
      </c>
      <c r="O625" s="35" t="n">
        <v>-0.03331067301155677</v>
      </c>
      <c r="P625" s="35" t="n">
        <v>-0.1454326923076923</v>
      </c>
      <c r="Q625" s="35" t="n">
        <v>0.3377234242709313</v>
      </c>
      <c r="R625" s="35" t="n">
        <v>-0.01985111662531014</v>
      </c>
      <c r="S625" s="35" t="n">
        <v>-0.1044776119402985</v>
      </c>
      <c r="T625" s="35" t="n">
        <v>0.03738829108152464</v>
      </c>
      <c r="U625" s="30" t="n">
        <v>189500</v>
      </c>
      <c r="V625" s="30" t="n">
        <v>68000</v>
      </c>
      <c r="W625" s="35" t="n">
        <v>-0.2496042216358839</v>
      </c>
      <c r="X625" s="35" t="n">
        <v>1.091176470588235</v>
      </c>
      <c r="Y625" s="30" t="n">
        <v>11179416</v>
      </c>
      <c r="Z625" s="30" t="n">
        <v>1589712955200</v>
      </c>
      <c r="AA625" s="30" t="n">
        <v>4558078800</v>
      </c>
      <c r="AB625" s="30" t="n">
        <v>6248595775</v>
      </c>
      <c r="AC625" s="35" t="n">
        <v>0.002867233851929296</v>
      </c>
      <c r="AD625" s="24" t="inlineStr">
        <is>
          <t>yfinance_download</t>
        </is>
      </c>
      <c r="AE625" s="24" t="inlineStr">
        <is>
          <t>064760.KQ</t>
        </is>
      </c>
    </row>
    <row r="626" ht="24" customHeight="1">
      <c r="A626" s="29" t="inlineStr">
        <is>
          <t>2026-01-02</t>
        </is>
      </c>
      <c r="B626" s="31" t="n">
        <v>141600</v>
      </c>
      <c r="C626" s="31" t="n">
        <v>147200</v>
      </c>
      <c r="D626" s="31" t="n">
        <v>140400</v>
      </c>
      <c r="E626" s="31" t="n">
        <v>146100</v>
      </c>
      <c r="F626" s="31" t="n">
        <v>146100</v>
      </c>
      <c r="G626" s="31" t="n">
        <v>50260</v>
      </c>
      <c r="H626" s="36" t="n">
        <v>0.02742616033755274</v>
      </c>
      <c r="I626" s="36" t="n">
        <v>-0.287664553876158</v>
      </c>
      <c r="J626" s="31" t="n">
        <v>144900</v>
      </c>
      <c r="K626" s="31" t="n">
        <v>158308.3333333333</v>
      </c>
      <c r="L626" s="31" t="n">
        <v>137405.8333333333</v>
      </c>
      <c r="M626" s="36" t="n">
        <v>0.4290170529561029</v>
      </c>
      <c r="N626" s="36" t="n">
        <v>0.4892245047377647</v>
      </c>
      <c r="O626" s="36" t="n">
        <v>-0.02404809619238479</v>
      </c>
      <c r="P626" s="36" t="n">
        <v>-0.1651428571428571</v>
      </c>
      <c r="Q626" s="36" t="n">
        <v>0.3731203007518797</v>
      </c>
      <c r="R626" s="36" t="n">
        <v>0.008281573498964745</v>
      </c>
      <c r="S626" s="36" t="n">
        <v>-0.0771174395957257</v>
      </c>
      <c r="T626" s="36" t="n">
        <v>0.06327363588396895</v>
      </c>
      <c r="U626" s="31" t="n">
        <v>189500</v>
      </c>
      <c r="V626" s="31" t="n">
        <v>68000</v>
      </c>
      <c r="W626" s="36" t="n">
        <v>-0.229023746701847</v>
      </c>
      <c r="X626" s="36" t="n">
        <v>1.148529411764706</v>
      </c>
      <c r="Y626" s="31" t="n">
        <v>11179416</v>
      </c>
      <c r="Z626" s="31" t="n">
        <v>1633312677600</v>
      </c>
      <c r="AA626" s="31" t="n">
        <v>7342986000</v>
      </c>
      <c r="AB626" s="31" t="n">
        <v>6314137000</v>
      </c>
      <c r="AC626" s="36" t="n">
        <v>0.004495762569350671</v>
      </c>
      <c r="AD626" s="29" t="inlineStr">
        <is>
          <t>yfinance_download</t>
        </is>
      </c>
      <c r="AE626" s="29" t="inlineStr">
        <is>
          <t>064760.KQ</t>
        </is>
      </c>
    </row>
    <row r="627" ht="24" customHeight="1">
      <c r="A627" s="24" t="inlineStr">
        <is>
          <t>2026-01-05</t>
        </is>
      </c>
      <c r="B627" s="30" t="n">
        <v>154800</v>
      </c>
      <c r="C627" s="30" t="n">
        <v>158000</v>
      </c>
      <c r="D627" s="30" t="n">
        <v>149800</v>
      </c>
      <c r="E627" s="30" t="n">
        <v>155100</v>
      </c>
      <c r="F627" s="30" t="n">
        <v>155100</v>
      </c>
      <c r="G627" s="30" t="n">
        <v>101904</v>
      </c>
      <c r="H627" s="35" t="n">
        <v>0.06160164271047219</v>
      </c>
      <c r="I627" s="35" t="n">
        <v>-0.2437835202340322</v>
      </c>
      <c r="J627" s="30" t="n">
        <v>145185</v>
      </c>
      <c r="K627" s="30" t="n">
        <v>157903.3333333333</v>
      </c>
      <c r="L627" s="30" t="n">
        <v>137832.5</v>
      </c>
      <c r="M627" s="35" t="n">
        <v>0.4828194480861485</v>
      </c>
      <c r="N627" s="35" t="n">
        <v>0.5035310171930305</v>
      </c>
      <c r="O627" s="35" t="n">
        <v>0.0381526104417671</v>
      </c>
      <c r="P627" s="35" t="n">
        <v>-0.1354515050167224</v>
      </c>
      <c r="Q627" s="35" t="n">
        <v>0.492781520692974</v>
      </c>
      <c r="R627" s="35" t="n">
        <v>0.06829217894410577</v>
      </c>
      <c r="S627" s="35" t="n">
        <v>-0.01775347786620507</v>
      </c>
      <c r="T627" s="35" t="n">
        <v>0.1252788710935375</v>
      </c>
      <c r="U627" s="30" t="n">
        <v>189500</v>
      </c>
      <c r="V627" s="30" t="n">
        <v>68000</v>
      </c>
      <c r="W627" s="35" t="n">
        <v>-0.1815303430079156</v>
      </c>
      <c r="X627" s="35" t="n">
        <v>1.280882352941176</v>
      </c>
      <c r="Y627" s="30" t="n">
        <v>11179416</v>
      </c>
      <c r="Z627" s="30" t="n">
        <v>1733927421600</v>
      </c>
      <c r="AA627" s="30" t="n">
        <v>15805310400</v>
      </c>
      <c r="AB627" s="30" t="n">
        <v>6879353830</v>
      </c>
      <c r="AC627" s="35" t="n">
        <v>0.009115324092063485</v>
      </c>
      <c r="AD627" s="24" t="inlineStr">
        <is>
          <t>yfinance_download</t>
        </is>
      </c>
      <c r="AE627" s="24" t="inlineStr">
        <is>
          <t>064760.KQ</t>
        </is>
      </c>
    </row>
    <row r="628" ht="24" customHeight="1">
      <c r="A628" s="29" t="inlineStr">
        <is>
          <t>2026-01-06</t>
        </is>
      </c>
      <c r="B628" s="31" t="n">
        <v>157600</v>
      </c>
      <c r="C628" s="31" t="n">
        <v>166100</v>
      </c>
      <c r="D628" s="31" t="n">
        <v>150800</v>
      </c>
      <c r="E628" s="31" t="n">
        <v>161800</v>
      </c>
      <c r="F628" s="31" t="n">
        <v>161800</v>
      </c>
      <c r="G628" s="31" t="n">
        <v>131165</v>
      </c>
      <c r="H628" s="36" t="n">
        <v>0.04319793681495798</v>
      </c>
      <c r="I628" s="36" t="n">
        <v>-0.2111165285226718</v>
      </c>
      <c r="J628" s="31" t="n">
        <v>146055</v>
      </c>
      <c r="K628" s="31" t="n">
        <v>157441.6666666667</v>
      </c>
      <c r="L628" s="31" t="n">
        <v>138330</v>
      </c>
      <c r="M628" s="36" t="n">
        <v>0.4841581422533584</v>
      </c>
      <c r="N628" s="36" t="n">
        <v>0.4977430544241409</v>
      </c>
      <c r="O628" s="36" t="n">
        <v>0.1204986149584488</v>
      </c>
      <c r="P628" s="36" t="n">
        <v>-0.1461741424802111</v>
      </c>
      <c r="Q628" s="36" t="n">
        <v>0.5847208619000979</v>
      </c>
      <c r="R628" s="36" t="n">
        <v>0.1078018554654068</v>
      </c>
      <c r="S628" s="36" t="n">
        <v>0.02768221034245499</v>
      </c>
      <c r="T628" s="36" t="n">
        <v>0.1696667389575652</v>
      </c>
      <c r="U628" s="31" t="n">
        <v>189500</v>
      </c>
      <c r="V628" s="31" t="n">
        <v>68000</v>
      </c>
      <c r="W628" s="36" t="n">
        <v>-0.1461741424802111</v>
      </c>
      <c r="X628" s="36" t="n">
        <v>1.379411764705882</v>
      </c>
      <c r="Y628" s="31" t="n">
        <v>11179416</v>
      </c>
      <c r="Z628" s="31" t="n">
        <v>1808829508800</v>
      </c>
      <c r="AA628" s="31" t="n">
        <v>21222497000</v>
      </c>
      <c r="AB628" s="31" t="n">
        <v>7489921800</v>
      </c>
      <c r="AC628" s="36" t="n">
        <v>0.01173272378449822</v>
      </c>
      <c r="AD628" s="29" t="inlineStr">
        <is>
          <t>yfinance_download</t>
        </is>
      </c>
      <c r="AE628" s="29" t="inlineStr">
        <is>
          <t>064760.KQ</t>
        </is>
      </c>
    </row>
    <row r="629" ht="24" customHeight="1">
      <c r="A629" s="24" t="inlineStr">
        <is>
          <t>2026-01-07</t>
        </is>
      </c>
      <c r="B629" s="30" t="n">
        <v>172800</v>
      </c>
      <c r="C629" s="30" t="n">
        <v>173100</v>
      </c>
      <c r="D629" s="30" t="n">
        <v>162000</v>
      </c>
      <c r="E629" s="30" t="n">
        <v>167400</v>
      </c>
      <c r="F629" s="30" t="n">
        <v>167400</v>
      </c>
      <c r="G629" s="30" t="n">
        <v>117420</v>
      </c>
      <c r="H629" s="35" t="n">
        <v>0.03461063040791101</v>
      </c>
      <c r="I629" s="35" t="n">
        <v>-0.1838127742564603</v>
      </c>
      <c r="J629" s="30" t="n">
        <v>147075</v>
      </c>
      <c r="K629" s="30" t="n">
        <v>157121.6666666667</v>
      </c>
      <c r="L629" s="30" t="n">
        <v>138854.1666666667</v>
      </c>
      <c r="M629" s="35" t="n">
        <v>0.4930591486780359</v>
      </c>
      <c r="N629" s="35" t="n">
        <v>0.5025950040333527</v>
      </c>
      <c r="O629" s="35" t="n">
        <v>0.1387755102040817</v>
      </c>
      <c r="P629" s="35" t="n">
        <v>-0.1028938906752411</v>
      </c>
      <c r="Q629" s="35" t="n">
        <v>0.6019138755980862</v>
      </c>
      <c r="R629" s="35" t="n">
        <v>0.138194798572157</v>
      </c>
      <c r="S629" s="35" t="n">
        <v>0.06541639705960356</v>
      </c>
      <c r="T629" s="35" t="n">
        <v>0.2055813953488372</v>
      </c>
      <c r="U629" s="30" t="n">
        <v>189500</v>
      </c>
      <c r="V629" s="30" t="n">
        <v>68000</v>
      </c>
      <c r="W629" s="35" t="n">
        <v>-0.1166226912928759</v>
      </c>
      <c r="X629" s="35" t="n">
        <v>1.461764705882353</v>
      </c>
      <c r="Y629" s="30" t="n">
        <v>11179416</v>
      </c>
      <c r="Z629" s="30" t="n">
        <v>1871434238400</v>
      </c>
      <c r="AA629" s="30" t="n">
        <v>19656108000</v>
      </c>
      <c r="AB629" s="30" t="n">
        <v>8252903400</v>
      </c>
      <c r="AC629" s="35" t="n">
        <v>0.01050323201140381</v>
      </c>
      <c r="AD629" s="24" t="inlineStr">
        <is>
          <t>yfinance_download</t>
        </is>
      </c>
      <c r="AE629" s="24" t="inlineStr">
        <is>
          <t>064760.KQ</t>
        </is>
      </c>
    </row>
    <row r="630" ht="24" customHeight="1">
      <c r="A630" s="29" t="inlineStr">
        <is>
          <t>2026-01-08</t>
        </is>
      </c>
      <c r="B630" s="31" t="n">
        <v>164500</v>
      </c>
      <c r="C630" s="31" t="n">
        <v>172500</v>
      </c>
      <c r="D630" s="31" t="n">
        <v>159500</v>
      </c>
      <c r="E630" s="31" t="n">
        <v>159500</v>
      </c>
      <c r="F630" s="31" t="n">
        <v>159500</v>
      </c>
      <c r="G630" s="31" t="n">
        <v>116572</v>
      </c>
      <c r="H630" s="36" t="n">
        <v>-0.04719235364396657</v>
      </c>
      <c r="I630" s="36" t="n">
        <v>-0.2223305704534373</v>
      </c>
      <c r="J630" s="31" t="n">
        <v>147640</v>
      </c>
      <c r="K630" s="31" t="n">
        <v>156718.3333333333</v>
      </c>
      <c r="L630" s="31" t="n">
        <v>139342.5</v>
      </c>
      <c r="M630" s="36" t="n">
        <v>0.5291247760880533</v>
      </c>
      <c r="N630" s="36" t="n">
        <v>0.5105448840222027</v>
      </c>
      <c r="O630" s="36" t="n">
        <v>0.07624831309041835</v>
      </c>
      <c r="P630" s="36" t="n">
        <v>-0.1317365269461078</v>
      </c>
      <c r="Q630" s="36" t="n">
        <v>0.5807730426164519</v>
      </c>
      <c r="R630" s="36" t="n">
        <v>0.08033053373069632</v>
      </c>
      <c r="S630" s="36" t="n">
        <v>0.0177494656017696</v>
      </c>
      <c r="T630" s="36" t="n">
        <v>0.1446615354253009</v>
      </c>
      <c r="U630" s="31" t="n">
        <v>189500</v>
      </c>
      <c r="V630" s="31" t="n">
        <v>69700</v>
      </c>
      <c r="W630" s="36" t="n">
        <v>-0.158311345646438</v>
      </c>
      <c r="X630" s="36" t="n">
        <v>1.288378766140603</v>
      </c>
      <c r="Y630" s="31" t="n">
        <v>11179416</v>
      </c>
      <c r="Z630" s="31" t="n">
        <v>1783116852000</v>
      </c>
      <c r="AA630" s="31" t="n">
        <v>18593234000</v>
      </c>
      <c r="AB630" s="31" t="n">
        <v>8978775280</v>
      </c>
      <c r="AC630" s="36" t="n">
        <v>0.01042737831743626</v>
      </c>
      <c r="AD630" s="29" t="inlineStr">
        <is>
          <t>yfinance_download</t>
        </is>
      </c>
      <c r="AE630" s="29" t="inlineStr">
        <is>
          <t>064760.KQ</t>
        </is>
      </c>
    </row>
    <row r="631" ht="24" customHeight="1">
      <c r="A631" s="24" t="inlineStr">
        <is>
          <t>2026-01-09</t>
        </is>
      </c>
      <c r="B631" s="30" t="n">
        <v>156000</v>
      </c>
      <c r="C631" s="30" t="n">
        <v>157000</v>
      </c>
      <c r="D631" s="30" t="n">
        <v>148600</v>
      </c>
      <c r="E631" s="30" t="n">
        <v>150800</v>
      </c>
      <c r="F631" s="30" t="n">
        <v>150800</v>
      </c>
      <c r="G631" s="30" t="n">
        <v>94375</v>
      </c>
      <c r="H631" s="35" t="n">
        <v>-0.05454545454545456</v>
      </c>
      <c r="I631" s="35" t="n">
        <v>-0.264748902974159</v>
      </c>
      <c r="J631" s="30" t="n">
        <v>147830</v>
      </c>
      <c r="K631" s="30" t="n">
        <v>156198.3333333333</v>
      </c>
      <c r="L631" s="30" t="n">
        <v>139765.8333333333</v>
      </c>
      <c r="M631" s="35" t="n">
        <v>0.5677305295275276</v>
      </c>
      <c r="N631" s="35" t="n">
        <v>0.5216700290566854</v>
      </c>
      <c r="O631" s="35" t="n">
        <v>0.02585034013605436</v>
      </c>
      <c r="P631" s="35" t="n">
        <v>-0.1714285714285714</v>
      </c>
      <c r="Q631" s="35" t="n">
        <v>0.508</v>
      </c>
      <c r="R631" s="35" t="n">
        <v>0.02009064465940602</v>
      </c>
      <c r="S631" s="35" t="n">
        <v>-0.03456076142511133</v>
      </c>
      <c r="T631" s="35" t="n">
        <v>0.0789475253250973</v>
      </c>
      <c r="U631" s="30" t="n">
        <v>189500</v>
      </c>
      <c r="V631" s="30" t="n">
        <v>69700</v>
      </c>
      <c r="W631" s="35" t="n">
        <v>-0.204221635883905</v>
      </c>
      <c r="X631" s="35" t="n">
        <v>1.163558106169297</v>
      </c>
      <c r="Y631" s="30" t="n">
        <v>11179416</v>
      </c>
      <c r="Z631" s="30" t="n">
        <v>1685855932800</v>
      </c>
      <c r="AA631" s="30" t="n">
        <v>14231750000</v>
      </c>
      <c r="AB631" s="30" t="n">
        <v>9476676230</v>
      </c>
      <c r="AC631" s="35" t="n">
        <v>0.008441854207768993</v>
      </c>
      <c r="AD631" s="24" t="inlineStr">
        <is>
          <t>yfinance_download</t>
        </is>
      </c>
      <c r="AE631" s="24" t="inlineStr">
        <is>
          <t>064760.KQ</t>
        </is>
      </c>
    </row>
    <row r="632" ht="24" customHeight="1">
      <c r="A632" s="29" t="inlineStr">
        <is>
          <t>2026-01-12</t>
        </is>
      </c>
      <c r="B632" s="31" t="n">
        <v>153200</v>
      </c>
      <c r="C632" s="31" t="n">
        <v>164600</v>
      </c>
      <c r="D632" s="31" t="n">
        <v>153000</v>
      </c>
      <c r="E632" s="31" t="n">
        <v>158700</v>
      </c>
      <c r="F632" s="31" t="n">
        <v>158700</v>
      </c>
      <c r="G632" s="31" t="n">
        <v>99747</v>
      </c>
      <c r="H632" s="36" t="n">
        <v>0.0523872679045092</v>
      </c>
      <c r="I632" s="36" t="n">
        <v>-0.2262311067771818</v>
      </c>
      <c r="J632" s="31" t="n">
        <v>148410</v>
      </c>
      <c r="K632" s="31" t="n">
        <v>155835</v>
      </c>
      <c r="L632" s="31" t="n">
        <v>140254.1666666667</v>
      </c>
      <c r="M632" s="36" t="n">
        <v>0.5952750382878148</v>
      </c>
      <c r="N632" s="36" t="n">
        <v>0.533529996630578</v>
      </c>
      <c r="O632" s="36" t="n">
        <v>0.07885791978246082</v>
      </c>
      <c r="P632" s="36" t="n">
        <v>-0.1207756232686981</v>
      </c>
      <c r="Q632" s="36" t="n">
        <v>0.5854145854145854</v>
      </c>
      <c r="R632" s="36" t="n">
        <v>0.06933495047503535</v>
      </c>
      <c r="S632" s="36" t="n">
        <v>0.01838483010876879</v>
      </c>
      <c r="T632" s="36" t="n">
        <v>0.1315171860610203</v>
      </c>
      <c r="U632" s="31" t="n">
        <v>189500</v>
      </c>
      <c r="V632" s="31" t="n">
        <v>69900</v>
      </c>
      <c r="W632" s="36" t="n">
        <v>-0.162532981530343</v>
      </c>
      <c r="X632" s="36" t="n">
        <v>1.270386266094421</v>
      </c>
      <c r="Y632" s="31" t="n">
        <v>11179416</v>
      </c>
      <c r="Z632" s="31" t="n">
        <v>1774173319200</v>
      </c>
      <c r="AA632" s="31" t="n">
        <v>15829848900</v>
      </c>
      <c r="AB632" s="31" t="n">
        <v>10051129980</v>
      </c>
      <c r="AC632" s="36" t="n">
        <v>0.008922380203044596</v>
      </c>
      <c r="AD632" s="29" t="inlineStr">
        <is>
          <t>yfinance_download</t>
        </is>
      </c>
      <c r="AE632" s="29" t="inlineStr">
        <is>
          <t>064760.KQ</t>
        </is>
      </c>
    </row>
    <row r="633" ht="24" customHeight="1">
      <c r="A633" s="24" t="inlineStr">
        <is>
          <t>2026-01-13</t>
        </is>
      </c>
      <c r="B633" s="30" t="n">
        <v>159800</v>
      </c>
      <c r="C633" s="30" t="n">
        <v>161500</v>
      </c>
      <c r="D633" s="30" t="n">
        <v>154600</v>
      </c>
      <c r="E633" s="30" t="n">
        <v>157000</v>
      </c>
      <c r="F633" s="30" t="n">
        <v>157000</v>
      </c>
      <c r="G633" s="30" t="n">
        <v>41108</v>
      </c>
      <c r="H633" s="35" t="n">
        <v>-0.0107120352867045</v>
      </c>
      <c r="I633" s="35" t="n">
        <v>-0.234519746465139</v>
      </c>
      <c r="J633" s="30" t="n">
        <v>148940</v>
      </c>
      <c r="K633" s="30" t="n">
        <v>155405</v>
      </c>
      <c r="L633" s="30" t="n">
        <v>140726.6666666667</v>
      </c>
      <c r="M633" s="35" t="n">
        <v>0.5968722514993837</v>
      </c>
      <c r="N633" s="35" t="n">
        <v>0.5330047299589776</v>
      </c>
      <c r="O633" s="35" t="n">
        <v>0.07240437158469937</v>
      </c>
      <c r="P633" s="35" t="n">
        <v>-0.1411378555798687</v>
      </c>
      <c r="Q633" s="35" t="n">
        <v>0.5653040877367896</v>
      </c>
      <c r="R633" s="35" t="n">
        <v>0.05411575130925206</v>
      </c>
      <c r="S633" s="35" t="n">
        <v>0.01026350503523044</v>
      </c>
      <c r="T633" s="35" t="n">
        <v>0.1156378795774315</v>
      </c>
      <c r="U633" s="30" t="n">
        <v>189500</v>
      </c>
      <c r="V633" s="30" t="n">
        <v>69900</v>
      </c>
      <c r="W633" s="35" t="n">
        <v>-0.1715039577836411</v>
      </c>
      <c r="X633" s="35" t="n">
        <v>1.246065808297568</v>
      </c>
      <c r="Y633" s="30" t="n">
        <v>11179416</v>
      </c>
      <c r="Z633" s="30" t="n">
        <v>1755168312000</v>
      </c>
      <c r="AA633" s="30" t="n">
        <v>6453956000</v>
      </c>
      <c r="AB633" s="30" t="n">
        <v>9988327300</v>
      </c>
      <c r="AC633" s="35" t="n">
        <v>0.003677115155210254</v>
      </c>
      <c r="AD633" s="24" t="inlineStr">
        <is>
          <t>yfinance_download</t>
        </is>
      </c>
      <c r="AE633" s="24" t="inlineStr">
        <is>
          <t>064760.KQ</t>
        </is>
      </c>
    </row>
    <row r="634" ht="24" customHeight="1">
      <c r="A634" s="29" t="inlineStr">
        <is>
          <t>2026-01-14</t>
        </is>
      </c>
      <c r="B634" s="31" t="n">
        <v>156500</v>
      </c>
      <c r="C634" s="31" t="n">
        <v>169900</v>
      </c>
      <c r="D634" s="31" t="n">
        <v>155300</v>
      </c>
      <c r="E634" s="31" t="n">
        <v>165900</v>
      </c>
      <c r="F634" s="31" t="n">
        <v>165900</v>
      </c>
      <c r="G634" s="31" t="n">
        <v>66792</v>
      </c>
      <c r="H634" s="36" t="n">
        <v>0.05668789808917207</v>
      </c>
      <c r="I634" s="36" t="n">
        <v>-0.1911262798634812</v>
      </c>
      <c r="J634" s="31" t="n">
        <v>149960</v>
      </c>
      <c r="K634" s="31" t="n">
        <v>155170</v>
      </c>
      <c r="L634" s="31" t="n">
        <v>141282.5</v>
      </c>
      <c r="M634" s="36" t="n">
        <v>0.6235402412457637</v>
      </c>
      <c r="N634" s="36" t="n">
        <v>0.5455859667391527</v>
      </c>
      <c r="O634" s="36" t="n">
        <v>0.1402061855670103</v>
      </c>
      <c r="P634" s="36" t="n">
        <v>-0.07833333333333337</v>
      </c>
      <c r="Q634" s="36" t="n">
        <v>0.6723790322580645</v>
      </c>
      <c r="R634" s="36" t="n">
        <v>0.1062950120032009</v>
      </c>
      <c r="S634" s="36" t="n">
        <v>0.06914996455500422</v>
      </c>
      <c r="T634" s="36" t="n">
        <v>0.1742430945092279</v>
      </c>
      <c r="U634" s="31" t="n">
        <v>189500</v>
      </c>
      <c r="V634" s="31" t="n">
        <v>69900</v>
      </c>
      <c r="W634" s="36" t="n">
        <v>-0.1245382585751978</v>
      </c>
      <c r="X634" s="36" t="n">
        <v>1.373390557939914</v>
      </c>
      <c r="Y634" s="31" t="n">
        <v>11179416</v>
      </c>
      <c r="Z634" s="31" t="n">
        <v>1854665114400</v>
      </c>
      <c r="AA634" s="31" t="n">
        <v>11080792800</v>
      </c>
      <c r="AB634" s="31" t="n">
        <v>10264621990</v>
      </c>
      <c r="AC634" s="36" t="n">
        <v>0.005974551801274771</v>
      </c>
      <c r="AD634" s="29" t="inlineStr">
        <is>
          <t>yfinance_download</t>
        </is>
      </c>
      <c r="AE634" s="29" t="inlineStr">
        <is>
          <t>064760.KQ</t>
        </is>
      </c>
    </row>
    <row r="635" ht="24" customHeight="1">
      <c r="A635" s="24" t="inlineStr">
        <is>
          <t>2026-01-15</t>
        </is>
      </c>
      <c r="B635" s="30" t="n">
        <v>162000</v>
      </c>
      <c r="C635" s="30" t="n">
        <v>174500</v>
      </c>
      <c r="D635" s="30" t="n">
        <v>159700</v>
      </c>
      <c r="E635" s="30" t="n">
        <v>165200</v>
      </c>
      <c r="F635" s="30" t="n">
        <v>165200</v>
      </c>
      <c r="G635" s="30" t="n">
        <v>97076</v>
      </c>
      <c r="H635" s="35" t="n">
        <v>-0.00421940928270037</v>
      </c>
      <c r="I635" s="35" t="n">
        <v>-0.1945392491467577</v>
      </c>
      <c r="J635" s="30" t="n">
        <v>150880</v>
      </c>
      <c r="K635" s="30" t="n">
        <v>154946.6666666667</v>
      </c>
      <c r="L635" s="30" t="n">
        <v>141832.5</v>
      </c>
      <c r="M635" s="35" t="n">
        <v>0.6248339345559568</v>
      </c>
      <c r="N635" s="35" t="n">
        <v>0.5454396426321827</v>
      </c>
      <c r="O635" s="35" t="n">
        <v>0.1253405994550409</v>
      </c>
      <c r="P635" s="35" t="n">
        <v>-0.07502799552071671</v>
      </c>
      <c r="Q635" s="35" t="n">
        <v>0.6653225806451613</v>
      </c>
      <c r="R635" s="35" t="n">
        <v>0.09490986214209962</v>
      </c>
      <c r="S635" s="35" t="n">
        <v>0.06617330694432511</v>
      </c>
      <c r="T635" s="35" t="n">
        <v>0.1647541994958843</v>
      </c>
      <c r="U635" s="30" t="n">
        <v>189500</v>
      </c>
      <c r="V635" s="30" t="n">
        <v>69900</v>
      </c>
      <c r="W635" s="35" t="n">
        <v>-0.1282321899736147</v>
      </c>
      <c r="X635" s="35" t="n">
        <v>1.363376251788269</v>
      </c>
      <c r="Y635" s="30" t="n">
        <v>11179416</v>
      </c>
      <c r="Z635" s="30" t="n">
        <v>1846839523200</v>
      </c>
      <c r="AA635" s="30" t="n">
        <v>16036955200</v>
      </c>
      <c r="AB635" s="30" t="n">
        <v>10800211250</v>
      </c>
      <c r="AC635" s="35" t="n">
        <v>0.008683458957068957</v>
      </c>
      <c r="AD635" s="24" t="inlineStr">
        <is>
          <t>yfinance_download</t>
        </is>
      </c>
      <c r="AE635" s="24" t="inlineStr">
        <is>
          <t>064760.KQ</t>
        </is>
      </c>
    </row>
    <row r="636" ht="24" customHeight="1">
      <c r="A636" s="29" t="inlineStr">
        <is>
          <t>2026-01-16</t>
        </is>
      </c>
      <c r="B636" s="31" t="n">
        <v>167800</v>
      </c>
      <c r="C636" s="31" t="n">
        <v>173900</v>
      </c>
      <c r="D636" s="31" t="n">
        <v>162900</v>
      </c>
      <c r="E636" s="31" t="n">
        <v>168900</v>
      </c>
      <c r="F636" s="31" t="n">
        <v>168900</v>
      </c>
      <c r="G636" s="31" t="n">
        <v>89454</v>
      </c>
      <c r="H636" s="36" t="n">
        <v>0.0223970944309928</v>
      </c>
      <c r="I636" s="36" t="n">
        <v>-0.1764992686494393</v>
      </c>
      <c r="J636" s="31" t="n">
        <v>152400</v>
      </c>
      <c r="K636" s="31" t="n">
        <v>154848.3333333333</v>
      </c>
      <c r="L636" s="31" t="n">
        <v>142431.6666666667</v>
      </c>
      <c r="M636" s="36" t="n">
        <v>0.5801726724260124</v>
      </c>
      <c r="N636" s="36" t="n">
        <v>0.5457518927903251</v>
      </c>
      <c r="O636" s="36" t="n">
        <v>0.2194945848375451</v>
      </c>
      <c r="P636" s="36" t="n">
        <v>-0.03375286041189929</v>
      </c>
      <c r="Q636" s="36" t="n">
        <v>0.7412371134020619</v>
      </c>
      <c r="R636" s="36" t="n">
        <v>0.1082677165354331</v>
      </c>
      <c r="S636" s="36" t="n">
        <v>0.09074470718660188</v>
      </c>
      <c r="T636" s="36" t="n">
        <v>0.1858318023847694</v>
      </c>
      <c r="U636" s="31" t="n">
        <v>189500</v>
      </c>
      <c r="V636" s="31" t="n">
        <v>69900</v>
      </c>
      <c r="W636" s="36" t="n">
        <v>-0.108707124010554</v>
      </c>
      <c r="X636" s="36" t="n">
        <v>1.416309012875537</v>
      </c>
      <c r="Y636" s="31" t="n">
        <v>11179416</v>
      </c>
      <c r="Z636" s="31" t="n">
        <v>1888203362400</v>
      </c>
      <c r="AA636" s="31" t="n">
        <v>15108780600</v>
      </c>
      <c r="AB636" s="31" t="n">
        <v>11074688255</v>
      </c>
      <c r="AC636" s="36" t="n">
        <v>0.008001670212469059</v>
      </c>
      <c r="AD636" s="29" t="inlineStr">
        <is>
          <t>yfinance_download</t>
        </is>
      </c>
      <c r="AE636" s="29" t="inlineStr">
        <is>
          <t>064760.KQ</t>
        </is>
      </c>
    </row>
    <row r="637" ht="24" customHeight="1">
      <c r="A637" s="24" t="inlineStr">
        <is>
          <t>2026-01-19</t>
        </is>
      </c>
      <c r="B637" s="30" t="n">
        <v>169000</v>
      </c>
      <c r="C637" s="30" t="n">
        <v>175200</v>
      </c>
      <c r="D637" s="30" t="n">
        <v>162000</v>
      </c>
      <c r="E637" s="30" t="n">
        <v>173900</v>
      </c>
      <c r="F637" s="30" t="n">
        <v>173900</v>
      </c>
      <c r="G637" s="30" t="n">
        <v>93274</v>
      </c>
      <c r="H637" s="35" t="n">
        <v>0.02960331557134399</v>
      </c>
      <c r="I637" s="35" t="n">
        <v>-0.1521209166260361</v>
      </c>
      <c r="J637" s="30" t="n">
        <v>153795</v>
      </c>
      <c r="K637" s="30" t="n">
        <v>154826.6666666667</v>
      </c>
      <c r="L637" s="30" t="n">
        <v>143094.1666666667</v>
      </c>
      <c r="M637" s="35" t="n">
        <v>0.5619930797445827</v>
      </c>
      <c r="N637" s="35" t="n">
        <v>0.5490994302544158</v>
      </c>
      <c r="O637" s="35" t="n">
        <v>0.191095890410959</v>
      </c>
      <c r="P637" s="35" t="n">
        <v>-0.007420091324200961</v>
      </c>
      <c r="Q637" s="35" t="n">
        <v>0.8421610169491525</v>
      </c>
      <c r="R637" s="35" t="n">
        <v>0.1307259663838227</v>
      </c>
      <c r="S637" s="35" t="n">
        <v>0.1231915260075784</v>
      </c>
      <c r="T637" s="35" t="n">
        <v>0.2152836418908295</v>
      </c>
      <c r="U637" s="30" t="n">
        <v>189500</v>
      </c>
      <c r="V637" s="30" t="n">
        <v>69900</v>
      </c>
      <c r="W637" s="35" t="n">
        <v>-0.08232189973614779</v>
      </c>
      <c r="X637" s="35" t="n">
        <v>1.487839771101574</v>
      </c>
      <c r="Y637" s="30" t="n">
        <v>11179416</v>
      </c>
      <c r="Z637" s="30" t="n">
        <v>1944100442400</v>
      </c>
      <c r="AA637" s="30" t="n">
        <v>16220348600</v>
      </c>
      <c r="AB637" s="30" t="n">
        <v>11184423885</v>
      </c>
      <c r="AC637" s="35" t="n">
        <v>0.008343369635766304</v>
      </c>
      <c r="AD637" s="24" t="inlineStr">
        <is>
          <t>yfinance_download</t>
        </is>
      </c>
      <c r="AE637" s="24" t="inlineStr">
        <is>
          <t>064760.KQ</t>
        </is>
      </c>
    </row>
    <row r="638" ht="24" customHeight="1">
      <c r="A638" s="29" t="inlineStr">
        <is>
          <t>2026-01-20</t>
        </is>
      </c>
      <c r="B638" s="31" t="n">
        <v>172000</v>
      </c>
      <c r="C638" s="31" t="n">
        <v>179000</v>
      </c>
      <c r="D638" s="31" t="n">
        <v>166700</v>
      </c>
      <c r="E638" s="31" t="n">
        <v>167400</v>
      </c>
      <c r="F638" s="31" t="n">
        <v>167400</v>
      </c>
      <c r="G638" s="31" t="n">
        <v>105079</v>
      </c>
      <c r="H638" s="36" t="n">
        <v>-0.03737780333525009</v>
      </c>
      <c r="I638" s="36" t="n">
        <v>-0.1838127742564603</v>
      </c>
      <c r="J638" s="31" t="n">
        <v>155195</v>
      </c>
      <c r="K638" s="31" t="n">
        <v>154783.3333333333</v>
      </c>
      <c r="L638" s="31" t="n">
        <v>143708.3333333333</v>
      </c>
      <c r="M638" s="36" t="n">
        <v>0.5525168303120251</v>
      </c>
      <c r="N638" s="36" t="n">
        <v>0.5511273021140227</v>
      </c>
      <c r="O638" s="36" t="n">
        <v>0.2008608321377332</v>
      </c>
      <c r="P638" s="36" t="n">
        <v>-0.01529411764705879</v>
      </c>
      <c r="Q638" s="36" t="n">
        <v>0.7865528281750267</v>
      </c>
      <c r="R638" s="36" t="n">
        <v>0.07864299751924997</v>
      </c>
      <c r="S638" s="36" t="n">
        <v>0.08151179067513725</v>
      </c>
      <c r="T638" s="36" t="n">
        <v>0.1648593795302986</v>
      </c>
      <c r="U638" s="31" t="n">
        <v>189500</v>
      </c>
      <c r="V638" s="31" t="n">
        <v>69900</v>
      </c>
      <c r="W638" s="36" t="n">
        <v>-0.1166226912928759</v>
      </c>
      <c r="X638" s="36" t="n">
        <v>1.394849785407725</v>
      </c>
      <c r="Y638" s="31" t="n">
        <v>11179416</v>
      </c>
      <c r="Z638" s="31" t="n">
        <v>1871434238400</v>
      </c>
      <c r="AA638" s="31" t="n">
        <v>17590224600</v>
      </c>
      <c r="AB638" s="31" t="n">
        <v>11705879245</v>
      </c>
      <c r="AC638" s="36" t="n">
        <v>0.009399328193887767</v>
      </c>
      <c r="AD638" s="29" t="inlineStr">
        <is>
          <t>yfinance_download</t>
        </is>
      </c>
      <c r="AE638" s="29" t="inlineStr">
        <is>
          <t>064760.KQ</t>
        </is>
      </c>
    </row>
    <row r="639" ht="24" customHeight="1">
      <c r="A639" s="24" t="inlineStr">
        <is>
          <t>2026-01-21</t>
        </is>
      </c>
      <c r="B639" s="30" t="n">
        <v>163600</v>
      </c>
      <c r="C639" s="30" t="n">
        <v>171700</v>
      </c>
      <c r="D639" s="30" t="n">
        <v>163000</v>
      </c>
      <c r="E639" s="30" t="n">
        <v>170300</v>
      </c>
      <c r="F639" s="30" t="n">
        <v>170300</v>
      </c>
      <c r="G639" s="30" t="n">
        <v>69925</v>
      </c>
      <c r="H639" s="35" t="n">
        <v>0.01732377538829155</v>
      </c>
      <c r="I639" s="35" t="n">
        <v>-0.1696733300828864</v>
      </c>
      <c r="J639" s="30" t="n">
        <v>156670</v>
      </c>
      <c r="K639" s="30" t="n">
        <v>154720</v>
      </c>
      <c r="L639" s="30" t="n">
        <v>144357.5</v>
      </c>
      <c r="M639" s="35" t="n">
        <v>0.5531689332792394</v>
      </c>
      <c r="N639" s="35" t="n">
        <v>0.5500500735347748</v>
      </c>
      <c r="O639" s="35" t="n">
        <v>0.2095170454545454</v>
      </c>
      <c r="P639" s="35" t="n">
        <v>-0.02182653647329125</v>
      </c>
      <c r="Q639" s="35" t="n">
        <v>0.8430735930735931</v>
      </c>
      <c r="R639" s="35" t="n">
        <v>0.0869981489755538</v>
      </c>
      <c r="S639" s="35" t="n">
        <v>0.1006980351602895</v>
      </c>
      <c r="T639" s="35" t="n">
        <v>0.1797100947300971</v>
      </c>
      <c r="U639" s="30" t="n">
        <v>189500</v>
      </c>
      <c r="V639" s="30" t="n">
        <v>69900</v>
      </c>
      <c r="W639" s="35" t="n">
        <v>-0.1013192612137204</v>
      </c>
      <c r="X639" s="35" t="n">
        <v>1.436337625178827</v>
      </c>
      <c r="Y639" s="30" t="n">
        <v>11179416</v>
      </c>
      <c r="Z639" s="30" t="n">
        <v>1903854544800</v>
      </c>
      <c r="AA639" s="30" t="n">
        <v>11908227500</v>
      </c>
      <c r="AB639" s="30" t="n">
        <v>11907219580</v>
      </c>
      <c r="AC639" s="35" t="n">
        <v>0.006254798998444999</v>
      </c>
      <c r="AD639" s="24" t="inlineStr">
        <is>
          <t>yfinance_download</t>
        </is>
      </c>
      <c r="AE639" s="24" t="inlineStr">
        <is>
          <t>064760.KQ</t>
        </is>
      </c>
    </row>
    <row r="640" ht="24" customHeight="1">
      <c r="A640" s="29" t="inlineStr">
        <is>
          <t>2026-01-22</t>
        </is>
      </c>
      <c r="B640" s="31" t="n">
        <v>175300</v>
      </c>
      <c r="C640" s="31" t="n">
        <v>177000</v>
      </c>
      <c r="D640" s="31" t="n">
        <v>168100</v>
      </c>
      <c r="E640" s="31" t="n">
        <v>173500</v>
      </c>
      <c r="F640" s="31" t="n">
        <v>173500</v>
      </c>
      <c r="G640" s="31" t="n">
        <v>88469</v>
      </c>
      <c r="H640" s="36" t="n">
        <v>0.01879036993540817</v>
      </c>
      <c r="I640" s="36" t="n">
        <v>-0.1540711847879084</v>
      </c>
      <c r="J640" s="31" t="n">
        <v>158025</v>
      </c>
      <c r="K640" s="31" t="n">
        <v>154730</v>
      </c>
      <c r="L640" s="31" t="n">
        <v>145036.6666666667</v>
      </c>
      <c r="M640" s="36" t="n">
        <v>0.5431810189896716</v>
      </c>
      <c r="N640" s="36" t="n">
        <v>0.5511478840639396</v>
      </c>
      <c r="O640" s="36" t="n">
        <v>0.1851092896174864</v>
      </c>
      <c r="P640" s="36" t="n">
        <v>0.003470213996529692</v>
      </c>
      <c r="Q640" s="36" t="n">
        <v>0.8858695652173914</v>
      </c>
      <c r="R640" s="36" t="n">
        <v>0.0979275431102673</v>
      </c>
      <c r="S640" s="36" t="n">
        <v>0.1213080850513799</v>
      </c>
      <c r="T640" s="36" t="n">
        <v>0.1962492243340765</v>
      </c>
      <c r="U640" s="31" t="n">
        <v>189500</v>
      </c>
      <c r="V640" s="31" t="n">
        <v>69900</v>
      </c>
      <c r="W640" s="36" t="n">
        <v>-0.08443271767810023</v>
      </c>
      <c r="X640" s="36" t="n">
        <v>1.482117310443491</v>
      </c>
      <c r="Y640" s="31" t="n">
        <v>11179416</v>
      </c>
      <c r="Z640" s="31" t="n">
        <v>1939628676000</v>
      </c>
      <c r="AA640" s="31" t="n">
        <v>15349371500</v>
      </c>
      <c r="AB640" s="31" t="n">
        <v>12323130515</v>
      </c>
      <c r="AC640" s="36" t="n">
        <v>0.007913561853320424</v>
      </c>
      <c r="AD640" s="29" t="inlineStr">
        <is>
          <t>yfinance_download</t>
        </is>
      </c>
      <c r="AE640" s="29" t="inlineStr">
        <is>
          <t>064760.KQ</t>
        </is>
      </c>
    </row>
    <row r="641" ht="24" customHeight="1">
      <c r="A641" s="24" t="inlineStr">
        <is>
          <t>2026-01-23</t>
        </is>
      </c>
      <c r="B641" s="30" t="n">
        <v>175400</v>
      </c>
      <c r="C641" s="30" t="n">
        <v>182700</v>
      </c>
      <c r="D641" s="30" t="n">
        <v>171500</v>
      </c>
      <c r="E641" s="30" t="n">
        <v>181300</v>
      </c>
      <c r="F641" s="30" t="n">
        <v>181300</v>
      </c>
      <c r="G641" s="30" t="n">
        <v>126291</v>
      </c>
      <c r="H641" s="35" t="n">
        <v>0.04495677233429385</v>
      </c>
      <c r="I641" s="35" t="n">
        <v>-0.1160409556313993</v>
      </c>
      <c r="J641" s="30" t="n">
        <v>159800</v>
      </c>
      <c r="K641" s="30" t="n">
        <v>154921.6666666667</v>
      </c>
      <c r="L641" s="30" t="n">
        <v>145759.1666666667</v>
      </c>
      <c r="M641" s="35" t="n">
        <v>0.5551703212660044</v>
      </c>
      <c r="N641" s="35" t="n">
        <v>0.5571277718843899</v>
      </c>
      <c r="O641" s="35" t="n">
        <v>0.2434842249657065</v>
      </c>
      <c r="P641" s="35" t="n">
        <v>0.0677267373380448</v>
      </c>
      <c r="Q641" s="35" t="n">
        <v>0.9164904862579282</v>
      </c>
      <c r="R641" s="35" t="n">
        <v>0.134543178973717</v>
      </c>
      <c r="S641" s="35" t="n">
        <v>0.1702688455455983</v>
      </c>
      <c r="T641" s="35" t="n">
        <v>0.2438325777109502</v>
      </c>
      <c r="U641" s="30" t="n">
        <v>189500</v>
      </c>
      <c r="V641" s="30" t="n">
        <v>69900</v>
      </c>
      <c r="W641" s="35" t="n">
        <v>-0.0432717678100264</v>
      </c>
      <c r="X641" s="35" t="n">
        <v>1.593705293276109</v>
      </c>
      <c r="Y641" s="30" t="n">
        <v>11179416</v>
      </c>
      <c r="Z641" s="30" t="n">
        <v>2026828120800</v>
      </c>
      <c r="AA641" s="30" t="n">
        <v>22896558300</v>
      </c>
      <c r="AB641" s="30" t="n">
        <v>13295323940</v>
      </c>
      <c r="AC641" s="35" t="n">
        <v>0.0112967439444064</v>
      </c>
      <c r="AD641" s="24" t="inlineStr">
        <is>
          <t>yfinance_download</t>
        </is>
      </c>
      <c r="AE641" s="24" t="inlineStr">
        <is>
          <t>064760.KQ</t>
        </is>
      </c>
    </row>
    <row r="642" ht="24" customHeight="1">
      <c r="A642" s="29" t="inlineStr">
        <is>
          <t>2026-01-26</t>
        </is>
      </c>
      <c r="B642" s="31" t="n">
        <v>185000</v>
      </c>
      <c r="C642" s="31" t="n">
        <v>200500</v>
      </c>
      <c r="D642" s="31" t="n">
        <v>183500</v>
      </c>
      <c r="E642" s="31" t="n">
        <v>199900</v>
      </c>
      <c r="F642" s="31" t="n">
        <v>199900</v>
      </c>
      <c r="G642" s="31" t="n">
        <v>187569</v>
      </c>
      <c r="H642" s="36" t="n">
        <v>0.1025923883066739</v>
      </c>
      <c r="I642" s="36" t="n">
        <v>-0.0253534861043393</v>
      </c>
      <c r="J642" s="31" t="n">
        <v>162640</v>
      </c>
      <c r="K642" s="31" t="n">
        <v>155438.3333333333</v>
      </c>
      <c r="L642" s="31" t="n">
        <v>146532.5</v>
      </c>
      <c r="M642" s="36" t="n">
        <v>0.6296633376548701</v>
      </c>
      <c r="N642" s="36" t="n">
        <v>0.5939951340709916</v>
      </c>
      <c r="O642" s="36" t="n">
        <v>0.3969252271139063</v>
      </c>
      <c r="P642" s="36" t="n">
        <v>0.1835405565423327</v>
      </c>
      <c r="Q642" s="36" t="n">
        <v>0.8664799253034547</v>
      </c>
      <c r="R642" s="36" t="n">
        <v>0.2290949335956713</v>
      </c>
      <c r="S642" s="36" t="n">
        <v>0.2860405519873903</v>
      </c>
      <c r="T642" s="36" t="n">
        <v>0.3642024806783477</v>
      </c>
      <c r="U642" s="31" t="n">
        <v>199900</v>
      </c>
      <c r="V642" s="31" t="n">
        <v>69900</v>
      </c>
      <c r="W642" s="36" t="n">
        <v>0</v>
      </c>
      <c r="X642" s="36" t="n">
        <v>1.859799713876967</v>
      </c>
      <c r="Y642" s="31" t="n">
        <v>11179416</v>
      </c>
      <c r="Z642" s="31" t="n">
        <v>2234765258400</v>
      </c>
      <c r="AA642" s="31" t="n">
        <v>37495043100</v>
      </c>
      <c r="AB642" s="31" t="n">
        <v>15050530355</v>
      </c>
      <c r="AC642" s="36" t="n">
        <v>0.01677806783467043</v>
      </c>
      <c r="AD642" s="29" t="inlineStr">
        <is>
          <t>yfinance_download</t>
        </is>
      </c>
      <c r="AE642" s="29" t="inlineStr">
        <is>
          <t>064760.KQ</t>
        </is>
      </c>
    </row>
    <row r="643" ht="24" customHeight="1">
      <c r="A643" s="24" t="inlineStr">
        <is>
          <t>2026-01-27</t>
        </is>
      </c>
      <c r="B643" s="30" t="n">
        <v>200000</v>
      </c>
      <c r="C643" s="30" t="n">
        <v>206000</v>
      </c>
      <c r="D643" s="30" t="n">
        <v>192900</v>
      </c>
      <c r="E643" s="30" t="n">
        <v>200000</v>
      </c>
      <c r="F643" s="30" t="n">
        <v>200000</v>
      </c>
      <c r="G643" s="30" t="n">
        <v>114049</v>
      </c>
      <c r="H643" s="35" t="n">
        <v>0.0005002501250626068</v>
      </c>
      <c r="I643" s="35" t="n">
        <v>-0.02486591906387126</v>
      </c>
      <c r="J643" s="30" t="n">
        <v>165340</v>
      </c>
      <c r="K643" s="30" t="n">
        <v>155963.3333333333</v>
      </c>
      <c r="L643" s="30" t="n">
        <v>147267.5</v>
      </c>
      <c r="M643" s="35" t="n">
        <v>0.6324525325140551</v>
      </c>
      <c r="N643" s="35" t="n">
        <v>0.5939031968904999</v>
      </c>
      <c r="O643" s="35" t="n">
        <v>0.3698630136986301</v>
      </c>
      <c r="P643" s="35" t="n">
        <v>0.1869436201780414</v>
      </c>
      <c r="Q643" s="35" t="n">
        <v>0.7889087656529516</v>
      </c>
      <c r="R643" s="35" t="n">
        <v>0.20962864400629</v>
      </c>
      <c r="S643" s="35" t="n">
        <v>0.2823526897347666</v>
      </c>
      <c r="T643" s="35" t="n">
        <v>0.3580728945626157</v>
      </c>
      <c r="U643" s="30" t="n">
        <v>200000</v>
      </c>
      <c r="V643" s="30" t="n">
        <v>69900</v>
      </c>
      <c r="W643" s="35" t="n">
        <v>0</v>
      </c>
      <c r="X643" s="35" t="n">
        <v>1.861230329041488</v>
      </c>
      <c r="Y643" s="30" t="n">
        <v>11179416</v>
      </c>
      <c r="Z643" s="30" t="n">
        <v>2235883200000</v>
      </c>
      <c r="AA643" s="30" t="n">
        <v>22809800000</v>
      </c>
      <c r="AB643" s="30" t="n">
        <v>15864257755</v>
      </c>
      <c r="AC643" s="35" t="n">
        <v>0.01020169568786062</v>
      </c>
      <c r="AD643" s="24" t="inlineStr">
        <is>
          <t>yfinance_download</t>
        </is>
      </c>
      <c r="AE643" s="24" t="inlineStr">
        <is>
          <t>064760.KQ</t>
        </is>
      </c>
    </row>
    <row r="644" ht="24" customHeight="1">
      <c r="A644" s="29" t="inlineStr">
        <is>
          <t>2026-01-28</t>
        </is>
      </c>
      <c r="B644" s="31" t="n">
        <v>206500</v>
      </c>
      <c r="C644" s="31" t="n">
        <v>228000</v>
      </c>
      <c r="D644" s="31" t="n">
        <v>198900</v>
      </c>
      <c r="E644" s="31" t="n">
        <v>228000</v>
      </c>
      <c r="F644" s="31" t="n">
        <v>228000</v>
      </c>
      <c r="G644" s="31" t="n">
        <v>189275</v>
      </c>
      <c r="H644" s="36" t="n">
        <v>0.1399999999999999</v>
      </c>
      <c r="I644" s="36" t="n">
        <v>0</v>
      </c>
      <c r="J644" s="31" t="n">
        <v>169645</v>
      </c>
      <c r="K644" s="31" t="n">
        <v>156996.6666666667</v>
      </c>
      <c r="L644" s="31" t="n">
        <v>148275.8333333333</v>
      </c>
      <c r="M644" s="36" t="n">
        <v>0.7461455022763029</v>
      </c>
      <c r="N644" s="36" t="n">
        <v>0.6550558058797892</v>
      </c>
      <c r="O644" s="36" t="n">
        <v>0.6067653276955602</v>
      </c>
      <c r="P644" s="36" t="n">
        <v>0.3734939759036144</v>
      </c>
      <c r="Q644" s="36" t="n">
        <v>1.130841121495327</v>
      </c>
      <c r="R644" s="36" t="n">
        <v>0.3439830233723364</v>
      </c>
      <c r="S644" s="36" t="n">
        <v>0.4522601329115268</v>
      </c>
      <c r="T644" s="36" t="n">
        <v>0.5376747166036271</v>
      </c>
      <c r="U644" s="31" t="n">
        <v>228000</v>
      </c>
      <c r="V644" s="31" t="n">
        <v>69900</v>
      </c>
      <c r="W644" s="36" t="n">
        <v>0</v>
      </c>
      <c r="X644" s="36" t="n">
        <v>2.261802575107296</v>
      </c>
      <c r="Y644" s="31" t="n">
        <v>11179416</v>
      </c>
      <c r="Z644" s="31" t="n">
        <v>2548906848000</v>
      </c>
      <c r="AA644" s="31" t="n">
        <v>43154700000</v>
      </c>
      <c r="AB644" s="31" t="n">
        <v>17667228565</v>
      </c>
      <c r="AC644" s="36" t="n">
        <v>0.01693066972371365</v>
      </c>
      <c r="AD644" s="29" t="inlineStr">
        <is>
          <t>yfinance_download</t>
        </is>
      </c>
      <c r="AE644" s="29" t="inlineStr">
        <is>
          <t>064760.KQ</t>
        </is>
      </c>
    </row>
    <row r="645" ht="24" customHeight="1">
      <c r="A645" s="24" t="inlineStr">
        <is>
          <t>2026-01-29</t>
        </is>
      </c>
      <c r="B645" s="30" t="n">
        <v>232000</v>
      </c>
      <c r="C645" s="30" t="n">
        <v>248500</v>
      </c>
      <c r="D645" s="30" t="n">
        <v>205500</v>
      </c>
      <c r="E645" s="30" t="n">
        <v>221500</v>
      </c>
      <c r="F645" s="30" t="n">
        <v>221500</v>
      </c>
      <c r="G645" s="30" t="n">
        <v>199031</v>
      </c>
      <c r="H645" s="35" t="n">
        <v>-0.02850877192982459</v>
      </c>
      <c r="I645" s="35" t="n">
        <v>-0.02850877192982459</v>
      </c>
      <c r="J645" s="30" t="n">
        <v>173610</v>
      </c>
      <c r="K645" s="30" t="n">
        <v>157996.6666666667</v>
      </c>
      <c r="L645" s="30" t="n">
        <v>149275</v>
      </c>
      <c r="M645" s="35" t="n">
        <v>0.766254011225319</v>
      </c>
      <c r="N645" s="35" t="n">
        <v>0.6553654852053895</v>
      </c>
      <c r="O645" s="35" t="n">
        <v>0.5576652601969059</v>
      </c>
      <c r="P645" s="35" t="n">
        <v>0.3715170278637772</v>
      </c>
      <c r="Q645" s="35" t="n">
        <v>1.18011811023622</v>
      </c>
      <c r="R645" s="35" t="n">
        <v>0.2758481654282587</v>
      </c>
      <c r="S645" s="35" t="n">
        <v>0.4019283107238549</v>
      </c>
      <c r="T645" s="35" t="n">
        <v>0.4838385530061966</v>
      </c>
      <c r="U645" s="30" t="n">
        <v>228000</v>
      </c>
      <c r="V645" s="30" t="n">
        <v>70000</v>
      </c>
      <c r="W645" s="35" t="n">
        <v>-0.02850877192982459</v>
      </c>
      <c r="X645" s="35" t="n">
        <v>2.164285714285714</v>
      </c>
      <c r="Y645" s="30" t="n">
        <v>11179416</v>
      </c>
      <c r="Z645" s="30" t="n">
        <v>2476240644000</v>
      </c>
      <c r="AA645" s="30" t="n">
        <v>44085366500</v>
      </c>
      <c r="AB645" s="30" t="n">
        <v>19643592950</v>
      </c>
      <c r="AC645" s="35" t="n">
        <v>0.01780334500478379</v>
      </c>
      <c r="AD645" s="24" t="inlineStr">
        <is>
          <t>yfinance_download</t>
        </is>
      </c>
      <c r="AE645" s="24" t="inlineStr">
        <is>
          <t>064760.KQ</t>
        </is>
      </c>
    </row>
    <row r="646" ht="24" customHeight="1">
      <c r="A646" s="29" t="inlineStr">
        <is>
          <t>2026-01-30</t>
        </is>
      </c>
      <c r="B646" s="31" t="n">
        <v>226500</v>
      </c>
      <c r="C646" s="31" t="n">
        <v>244000</v>
      </c>
      <c r="D646" s="31" t="n">
        <v>220000</v>
      </c>
      <c r="E646" s="31" t="n">
        <v>238000</v>
      </c>
      <c r="F646" s="31" t="n">
        <v>238000</v>
      </c>
      <c r="G646" s="31" t="n">
        <v>157715</v>
      </c>
      <c r="H646" s="36" t="n">
        <v>0.0744920993227991</v>
      </c>
      <c r="I646" s="36" t="n">
        <v>0</v>
      </c>
      <c r="J646" s="31" t="n">
        <v>178205</v>
      </c>
      <c r="K646" s="31" t="n">
        <v>159190</v>
      </c>
      <c r="L646" s="31" t="n">
        <v>150397.5</v>
      </c>
      <c r="M646" s="36" t="n">
        <v>0.7873934865679917</v>
      </c>
      <c r="N646" s="36" t="n">
        <v>0.6684551037734824</v>
      </c>
      <c r="O646" s="36" t="n">
        <v>0.6290212183436004</v>
      </c>
      <c r="P646" s="36" t="n">
        <v>0.4302884615384615</v>
      </c>
      <c r="Q646" s="36" t="n">
        <v>1.303969022265247</v>
      </c>
      <c r="R646" s="36" t="n">
        <v>0.3355405291658484</v>
      </c>
      <c r="S646" s="36" t="n">
        <v>0.4950687857277467</v>
      </c>
      <c r="T646" s="36" t="n">
        <v>0.5824731129174354</v>
      </c>
      <c r="U646" s="31" t="n">
        <v>238000</v>
      </c>
      <c r="V646" s="31" t="n">
        <v>70000</v>
      </c>
      <c r="W646" s="36" t="n">
        <v>0</v>
      </c>
      <c r="X646" s="36" t="n">
        <v>2.4</v>
      </c>
      <c r="Y646" s="31" t="n">
        <v>11179416</v>
      </c>
      <c r="Z646" s="31" t="n">
        <v>2660701008000</v>
      </c>
      <c r="AA646" s="31" t="n">
        <v>37536170000</v>
      </c>
      <c r="AB646" s="31" t="n">
        <v>21153252150</v>
      </c>
      <c r="AC646" s="36" t="n">
        <v>0.01410762422652489</v>
      </c>
      <c r="AD646" s="29" t="inlineStr">
        <is>
          <t>yfinance_download</t>
        </is>
      </c>
      <c r="AE646" s="29" t="inlineStr">
        <is>
          <t>064760.KQ</t>
        </is>
      </c>
    </row>
    <row r="647" ht="24" customHeight="1">
      <c r="A647" s="24" t="inlineStr">
        <is>
          <t>2026-02-02</t>
        </is>
      </c>
      <c r="B647" s="30" t="n">
        <v>221000</v>
      </c>
      <c r="C647" s="30" t="n">
        <v>228500</v>
      </c>
      <c r="D647" s="30" t="n">
        <v>204000</v>
      </c>
      <c r="E647" s="30" t="n">
        <v>207000</v>
      </c>
      <c r="F647" s="30" t="n">
        <v>207000</v>
      </c>
      <c r="G647" s="30" t="n">
        <v>142048</v>
      </c>
      <c r="H647" s="35" t="n">
        <v>-0.1302521008403361</v>
      </c>
      <c r="I647" s="35" t="n">
        <v>-0.1302521008403361</v>
      </c>
      <c r="J647" s="30" t="n">
        <v>180800</v>
      </c>
      <c r="K647" s="30" t="n">
        <v>160000</v>
      </c>
      <c r="L647" s="30" t="n">
        <v>151271.6666666667</v>
      </c>
      <c r="M647" s="35" t="n">
        <v>0.9495871663095754</v>
      </c>
      <c r="N647" s="35" t="n">
        <v>0.7167592826936132</v>
      </c>
      <c r="O647" s="35" t="n">
        <v>0.3346228239845261</v>
      </c>
      <c r="P647" s="35" t="n">
        <v>0.3068181818181819</v>
      </c>
      <c r="Q647" s="35" t="n">
        <v>1.027424094025465</v>
      </c>
      <c r="R647" s="35" t="n">
        <v>0.1449115044247788</v>
      </c>
      <c r="S647" s="35" t="n">
        <v>0.29375</v>
      </c>
      <c r="T647" s="35" t="n">
        <v>0.3683990172206737</v>
      </c>
      <c r="U647" s="30" t="n">
        <v>238000</v>
      </c>
      <c r="V647" s="30" t="n">
        <v>70000</v>
      </c>
      <c r="W647" s="35" t="n">
        <v>-0.1302521008403361</v>
      </c>
      <c r="X647" s="35" t="n">
        <v>1.957142857142857</v>
      </c>
      <c r="Y647" s="30" t="n">
        <v>11179416</v>
      </c>
      <c r="Z647" s="30" t="n">
        <v>2314139112000</v>
      </c>
      <c r="AA647" s="30" t="n">
        <v>29403936000</v>
      </c>
      <c r="AB647" s="30" t="n">
        <v>21833183430</v>
      </c>
      <c r="AC647" s="35" t="n">
        <v>0.01270620934045213</v>
      </c>
      <c r="AD647" s="24" t="inlineStr">
        <is>
          <t>yfinance_download</t>
        </is>
      </c>
      <c r="AE647" s="24" t="inlineStr">
        <is>
          <t>064760.KQ</t>
        </is>
      </c>
    </row>
    <row r="648" ht="24" customHeight="1">
      <c r="A648" s="29" t="inlineStr">
        <is>
          <t>2026-02-03</t>
        </is>
      </c>
      <c r="B648" s="31" t="n">
        <v>221500</v>
      </c>
      <c r="C648" s="31" t="n">
        <v>221500</v>
      </c>
      <c r="D648" s="31" t="n">
        <v>212000</v>
      </c>
      <c r="E648" s="31" t="n">
        <v>221500</v>
      </c>
      <c r="F648" s="31" t="n">
        <v>221500</v>
      </c>
      <c r="G648" s="31" t="n">
        <v>76481</v>
      </c>
      <c r="H648" s="36" t="n">
        <v>0.07004830917874405</v>
      </c>
      <c r="I648" s="36" t="n">
        <v>-0.06932773109243695</v>
      </c>
      <c r="J648" s="31" t="n">
        <v>183785</v>
      </c>
      <c r="K648" s="31" t="n">
        <v>161031.6666666667</v>
      </c>
      <c r="L648" s="31" t="n">
        <v>152270</v>
      </c>
      <c r="M648" s="36" t="n">
        <v>0.9643664491817729</v>
      </c>
      <c r="N648" s="36" t="n">
        <v>0.7288753563659992</v>
      </c>
      <c r="O648" s="36" t="n">
        <v>0.3689740420271941</v>
      </c>
      <c r="P648" s="36" t="n">
        <v>0.3878446115288221</v>
      </c>
      <c r="Q648" s="36" t="n">
        <v>1.177974434611603</v>
      </c>
      <c r="R648" s="36" t="n">
        <v>0.2052126125635934</v>
      </c>
      <c r="S648" s="36" t="n">
        <v>0.3755058528860784</v>
      </c>
      <c r="T648" s="36" t="n">
        <v>0.454652919156761</v>
      </c>
      <c r="U648" s="31" t="n">
        <v>238000</v>
      </c>
      <c r="V648" s="31" t="n">
        <v>70000</v>
      </c>
      <c r="W648" s="36" t="n">
        <v>-0.06932773109243695</v>
      </c>
      <c r="X648" s="36" t="n">
        <v>2.164285714285714</v>
      </c>
      <c r="Y648" s="31" t="n">
        <v>11179416</v>
      </c>
      <c r="Z648" s="31" t="n">
        <v>2476240644000</v>
      </c>
      <c r="AA648" s="31" t="n">
        <v>16940541500</v>
      </c>
      <c r="AB648" s="31" t="n">
        <v>21619085655</v>
      </c>
      <c r="AC648" s="36" t="n">
        <v>0.006841233924920586</v>
      </c>
      <c r="AD648" s="29" t="inlineStr">
        <is>
          <t>yfinance_download</t>
        </is>
      </c>
      <c r="AE648" s="29" t="inlineStr">
        <is>
          <t>064760.KQ</t>
        </is>
      </c>
    </row>
    <row r="649" ht="24" customHeight="1">
      <c r="A649" s="24" t="inlineStr">
        <is>
          <t>2026-02-04</t>
        </is>
      </c>
      <c r="B649" s="30" t="n">
        <v>216500</v>
      </c>
      <c r="C649" s="30" t="n">
        <v>220500</v>
      </c>
      <c r="D649" s="30" t="n">
        <v>204500</v>
      </c>
      <c r="E649" s="30" t="n">
        <v>209000</v>
      </c>
      <c r="F649" s="30" t="n">
        <v>209000</v>
      </c>
      <c r="G649" s="30" t="n">
        <v>112542</v>
      </c>
      <c r="H649" s="35" t="n">
        <v>-0.05643340857787815</v>
      </c>
      <c r="I649" s="35" t="n">
        <v>-0.1218487394957983</v>
      </c>
      <c r="J649" s="30" t="n">
        <v>185865</v>
      </c>
      <c r="K649" s="30" t="n">
        <v>161970</v>
      </c>
      <c r="L649" s="30" t="n">
        <v>153139.1666666667</v>
      </c>
      <c r="M649" s="35" t="n">
        <v>0.9966504274188875</v>
      </c>
      <c r="N649" s="35" t="n">
        <v>0.7332124121056208</v>
      </c>
      <c r="O649" s="35" t="n">
        <v>0.2485065710872163</v>
      </c>
      <c r="P649" s="35" t="n">
        <v>0.3686967910936476</v>
      </c>
      <c r="Q649" s="35" t="n">
        <v>0.9961795606494748</v>
      </c>
      <c r="R649" s="35" t="n">
        <v>0.1244720630565195</v>
      </c>
      <c r="S649" s="35" t="n">
        <v>0.2903624127924924</v>
      </c>
      <c r="T649" s="35" t="n">
        <v>0.3647716945915209</v>
      </c>
      <c r="U649" s="30" t="n">
        <v>238000</v>
      </c>
      <c r="V649" s="30" t="n">
        <v>70000</v>
      </c>
      <c r="W649" s="35" t="n">
        <v>-0.1218487394957983</v>
      </c>
      <c r="X649" s="35" t="n">
        <v>1.985714285714286</v>
      </c>
      <c r="Y649" s="30" t="n">
        <v>11179416</v>
      </c>
      <c r="Z649" s="30" t="n">
        <v>2336497944000</v>
      </c>
      <c r="AA649" s="30" t="n">
        <v>23521278000</v>
      </c>
      <c r="AB649" s="30" t="n">
        <v>21812344155</v>
      </c>
      <c r="AC649" s="35" t="n">
        <v>0.01006689437086875</v>
      </c>
      <c r="AD649" s="24" t="inlineStr">
        <is>
          <t>yfinance_download</t>
        </is>
      </c>
      <c r="AE649" s="24" t="inlineStr">
        <is>
          <t>064760.KQ</t>
        </is>
      </c>
    </row>
    <row r="650" ht="24" customHeight="1">
      <c r="A650" s="29" t="inlineStr">
        <is>
          <t>2026-02-05</t>
        </is>
      </c>
      <c r="B650" s="31" t="n">
        <v>194400</v>
      </c>
      <c r="C650" s="31" t="n">
        <v>208500</v>
      </c>
      <c r="D650" s="31" t="n">
        <v>194400</v>
      </c>
      <c r="E650" s="31" t="n">
        <v>204500</v>
      </c>
      <c r="F650" s="31" t="n">
        <v>204500</v>
      </c>
      <c r="G650" s="31" t="n">
        <v>115217</v>
      </c>
      <c r="H650" s="36" t="n">
        <v>-0.02153110047846885</v>
      </c>
      <c r="I650" s="36" t="n">
        <v>-0.1407563025210085</v>
      </c>
      <c r="J650" s="31" t="n">
        <v>188115</v>
      </c>
      <c r="K650" s="31" t="n">
        <v>162606.6666666667</v>
      </c>
      <c r="L650" s="31" t="n">
        <v>153950.8333333333</v>
      </c>
      <c r="M650" s="36" t="n">
        <v>0.9801112235598335</v>
      </c>
      <c r="N650" s="36" t="n">
        <v>0.7146840824284345</v>
      </c>
      <c r="O650" s="36" t="n">
        <v>0.2821316614420062</v>
      </c>
      <c r="P650" s="36" t="n">
        <v>0.2297053517739025</v>
      </c>
      <c r="Q650" s="36" t="n">
        <v>0.9094304388422036</v>
      </c>
      <c r="R650" s="36" t="n">
        <v>0.08710097546713436</v>
      </c>
      <c r="S650" s="36" t="n">
        <v>0.2576360132835882</v>
      </c>
      <c r="T650" s="36" t="n">
        <v>0.3283461711260629</v>
      </c>
      <c r="U650" s="31" t="n">
        <v>238000</v>
      </c>
      <c r="V650" s="31" t="n">
        <v>70000</v>
      </c>
      <c r="W650" s="36" t="n">
        <v>-0.1407563025210085</v>
      </c>
      <c r="X650" s="36" t="n">
        <v>1.921428571428571</v>
      </c>
      <c r="Y650" s="31" t="n">
        <v>11179416</v>
      </c>
      <c r="Z650" s="31" t="n">
        <v>2286190572000</v>
      </c>
      <c r="AA650" s="31" t="n">
        <v>23561876500</v>
      </c>
      <c r="AB650" s="31" t="n">
        <v>22060776280</v>
      </c>
      <c r="AC650" s="36" t="n">
        <v>0.01030617341728763</v>
      </c>
      <c r="AD650" s="29" t="inlineStr">
        <is>
          <t>yfinance_download</t>
        </is>
      </c>
      <c r="AE650" s="29" t="inlineStr">
        <is>
          <t>064760.KQ</t>
        </is>
      </c>
    </row>
    <row r="651" ht="24" customHeight="1">
      <c r="A651" s="24" t="inlineStr">
        <is>
          <t>2026-02-06</t>
        </is>
      </c>
      <c r="B651" s="30" t="n">
        <v>199000</v>
      </c>
      <c r="C651" s="30" t="n">
        <v>210000</v>
      </c>
      <c r="D651" s="30" t="n">
        <v>192500</v>
      </c>
      <c r="E651" s="30" t="n">
        <v>209500</v>
      </c>
      <c r="F651" s="30" t="n">
        <v>209500</v>
      </c>
      <c r="G651" s="30" t="n">
        <v>84929</v>
      </c>
      <c r="H651" s="35" t="n">
        <v>0.02444987775061125</v>
      </c>
      <c r="I651" s="35" t="n">
        <v>-0.1197478991596639</v>
      </c>
      <c r="J651" s="30" t="n">
        <v>191050</v>
      </c>
      <c r="K651" s="30" t="n">
        <v>163238.3333333333</v>
      </c>
      <c r="L651" s="30" t="n">
        <v>154810</v>
      </c>
      <c r="M651" s="35" t="n">
        <v>0.9460242385052319</v>
      </c>
      <c r="N651" s="35" t="n">
        <v>0.7136290492382852</v>
      </c>
      <c r="O651" s="35" t="n">
        <v>0.3892572944297081</v>
      </c>
      <c r="P651" s="35" t="n">
        <v>0.2208624708624709</v>
      </c>
      <c r="Q651" s="35" t="n">
        <v>0.9689849624060149</v>
      </c>
      <c r="R651" s="35" t="n">
        <v>0.09657157812091066</v>
      </c>
      <c r="S651" s="35" t="n">
        <v>0.2833995282970707</v>
      </c>
      <c r="T651" s="35" t="n">
        <v>0.3532717524707707</v>
      </c>
      <c r="U651" s="30" t="n">
        <v>238000</v>
      </c>
      <c r="V651" s="30" t="n">
        <v>70000</v>
      </c>
      <c r="W651" s="35" t="n">
        <v>-0.1197478991596639</v>
      </c>
      <c r="X651" s="35" t="n">
        <v>1.992857142857143</v>
      </c>
      <c r="Y651" s="30" t="n">
        <v>11179416</v>
      </c>
      <c r="Z651" s="30" t="n">
        <v>2342087652000</v>
      </c>
      <c r="AA651" s="30" t="n">
        <v>17792625500</v>
      </c>
      <c r="AB651" s="30" t="n">
        <v>22238820055</v>
      </c>
      <c r="AC651" s="35" t="n">
        <v>0.007596908461050202</v>
      </c>
      <c r="AD651" s="24" t="inlineStr">
        <is>
          <t>yfinance_download</t>
        </is>
      </c>
      <c r="AE651" s="24" t="inlineStr">
        <is>
          <t>064760.KQ</t>
        </is>
      </c>
    </row>
    <row r="652" ht="24" customHeight="1">
      <c r="A652" s="29" t="inlineStr">
        <is>
          <t>2026-02-09</t>
        </is>
      </c>
      <c r="B652" s="31" t="n">
        <v>216000</v>
      </c>
      <c r="C652" s="31" t="n">
        <v>221000</v>
      </c>
      <c r="D652" s="31" t="n">
        <v>210500</v>
      </c>
      <c r="E652" s="31" t="n">
        <v>220000</v>
      </c>
      <c r="F652" s="31" t="n">
        <v>220000</v>
      </c>
      <c r="G652" s="31" t="n">
        <v>67396</v>
      </c>
      <c r="H652" s="36" t="n">
        <v>0.05011933174224348</v>
      </c>
      <c r="I652" s="36" t="n">
        <v>-0.07563025210084029</v>
      </c>
      <c r="J652" s="31" t="n">
        <v>194115</v>
      </c>
      <c r="K652" s="31" t="n">
        <v>164181.6666666667</v>
      </c>
      <c r="L652" s="31" t="n">
        <v>155756.6666666667</v>
      </c>
      <c r="M652" s="36" t="n">
        <v>0.9449727808636715</v>
      </c>
      <c r="N652" s="36" t="n">
        <v>0.7112967810217428</v>
      </c>
      <c r="O652" s="36" t="n">
        <v>0.3862633900441084</v>
      </c>
      <c r="P652" s="36" t="n">
        <v>0.346389228886169</v>
      </c>
      <c r="Q652" s="36" t="n">
        <v>1.067669172932331</v>
      </c>
      <c r="R652" s="36" t="n">
        <v>0.1333487880895345</v>
      </c>
      <c r="S652" s="36" t="n">
        <v>0.3399790882051388</v>
      </c>
      <c r="T652" s="36" t="n">
        <v>0.4124596057953647</v>
      </c>
      <c r="U652" s="31" t="n">
        <v>238000</v>
      </c>
      <c r="V652" s="31" t="n">
        <v>70000</v>
      </c>
      <c r="W652" s="36" t="n">
        <v>-0.07563025210084029</v>
      </c>
      <c r="X652" s="36" t="n">
        <v>2.142857142857143</v>
      </c>
      <c r="Y652" s="31" t="n">
        <v>11179416</v>
      </c>
      <c r="Z652" s="31" t="n">
        <v>2459471520000</v>
      </c>
      <c r="AA652" s="31" t="n">
        <v>14827120000</v>
      </c>
      <c r="AB652" s="31" t="n">
        <v>22188683610</v>
      </c>
      <c r="AC652" s="36" t="n">
        <v>0.006028579668204493</v>
      </c>
      <c r="AD652" s="29" t="inlineStr">
        <is>
          <t>yfinance_download</t>
        </is>
      </c>
      <c r="AE652" s="29" t="inlineStr">
        <is>
          <t>064760.KQ</t>
        </is>
      </c>
    </row>
    <row r="653" ht="24" customHeight="1">
      <c r="A653" s="24" t="inlineStr">
        <is>
          <t>2026-02-10</t>
        </is>
      </c>
      <c r="B653" s="30" t="n">
        <v>216000</v>
      </c>
      <c r="C653" s="30" t="n">
        <v>218000</v>
      </c>
      <c r="D653" s="30" t="n">
        <v>203000</v>
      </c>
      <c r="E653" s="30" t="n">
        <v>208500</v>
      </c>
      <c r="F653" s="30" t="n">
        <v>208500</v>
      </c>
      <c r="G653" s="30" t="n">
        <v>74118</v>
      </c>
      <c r="H653" s="35" t="n">
        <v>-0.05227272727272725</v>
      </c>
      <c r="I653" s="35" t="n">
        <v>-0.1239495798319328</v>
      </c>
      <c r="J653" s="30" t="n">
        <v>196690</v>
      </c>
      <c r="K653" s="30" t="n">
        <v>164823.3333333333</v>
      </c>
      <c r="L653" s="30" t="n">
        <v>156534.1666666667</v>
      </c>
      <c r="M653" s="35" t="n">
        <v>0.9729092466734806</v>
      </c>
      <c r="N653" s="35" t="n">
        <v>0.7174602081268084</v>
      </c>
      <c r="O653" s="35" t="n">
        <v>0.3280254777070064</v>
      </c>
      <c r="P653" s="35" t="n">
        <v>0.2264705882352942</v>
      </c>
      <c r="Q653" s="35" t="n">
        <v>0.8098958333333333</v>
      </c>
      <c r="R653" s="35" t="n">
        <v>0.06004372362601051</v>
      </c>
      <c r="S653" s="35" t="n">
        <v>0.2649907982284061</v>
      </c>
      <c r="T653" s="35" t="n">
        <v>0.3319775767803621</v>
      </c>
      <c r="U653" s="30" t="n">
        <v>238000</v>
      </c>
      <c r="V653" s="30" t="n">
        <v>70000</v>
      </c>
      <c r="W653" s="35" t="n">
        <v>-0.1239495798319328</v>
      </c>
      <c r="X653" s="35" t="n">
        <v>1.978571428571429</v>
      </c>
      <c r="Y653" s="30" t="n">
        <v>11179416</v>
      </c>
      <c r="Z653" s="30" t="n">
        <v>2330908236000</v>
      </c>
      <c r="AA653" s="30" t="n">
        <v>15453603000</v>
      </c>
      <c r="AB653" s="30" t="n">
        <v>22638665960</v>
      </c>
      <c r="AC653" s="35" t="n">
        <v>0.006629863313074672</v>
      </c>
      <c r="AD653" s="24" t="inlineStr">
        <is>
          <t>yfinance_download</t>
        </is>
      </c>
      <c r="AE653" s="24" t="inlineStr">
        <is>
          <t>064760.KQ</t>
        </is>
      </c>
    </row>
    <row r="654" ht="24" customHeight="1">
      <c r="A654" s="29" t="inlineStr">
        <is>
          <t>2026-02-11</t>
        </is>
      </c>
      <c r="B654" s="31" t="n">
        <v>205500</v>
      </c>
      <c r="C654" s="31" t="n">
        <v>212500</v>
      </c>
      <c r="D654" s="31" t="n">
        <v>203000</v>
      </c>
      <c r="E654" s="31" t="n">
        <v>207000</v>
      </c>
      <c r="F654" s="31" t="n">
        <v>207000</v>
      </c>
      <c r="G654" s="31" t="n">
        <v>48265</v>
      </c>
      <c r="H654" s="36" t="n">
        <v>-0.007194244604316502</v>
      </c>
      <c r="I654" s="36" t="n">
        <v>-0.1302521008403361</v>
      </c>
      <c r="J654" s="31" t="n">
        <v>198745</v>
      </c>
      <c r="K654" s="31" t="n">
        <v>165625</v>
      </c>
      <c r="L654" s="31" t="n">
        <v>157317.5</v>
      </c>
      <c r="M654" s="36" t="n">
        <v>0.9639190060195718</v>
      </c>
      <c r="N654" s="36" t="n">
        <v>0.7030865920365374</v>
      </c>
      <c r="O654" s="36" t="n">
        <v>0.2477396021699818</v>
      </c>
      <c r="P654" s="36" t="n">
        <v>0.3027061044682191</v>
      </c>
      <c r="Q654" s="36" t="n">
        <v>0.831858407079646</v>
      </c>
      <c r="R654" s="36" t="n">
        <v>0.04153563611663191</v>
      </c>
      <c r="S654" s="36" t="n">
        <v>0.249811320754717</v>
      </c>
      <c r="T654" s="36" t="n">
        <v>0.3158103834602</v>
      </c>
      <c r="U654" s="31" t="n">
        <v>238000</v>
      </c>
      <c r="V654" s="31" t="n">
        <v>72100</v>
      </c>
      <c r="W654" s="36" t="n">
        <v>-0.1302521008403361</v>
      </c>
      <c r="X654" s="36" t="n">
        <v>1.871012482662968</v>
      </c>
      <c r="Y654" s="31" t="n">
        <v>11179416</v>
      </c>
      <c r="Z654" s="31" t="n">
        <v>2314139112000</v>
      </c>
      <c r="AA654" s="31" t="n">
        <v>9990855000</v>
      </c>
      <c r="AB654" s="31" t="n">
        <v>22584169070</v>
      </c>
      <c r="AC654" s="36" t="n">
        <v>0.004317309598283131</v>
      </c>
      <c r="AD654" s="29" t="inlineStr">
        <is>
          <t>yfinance_download</t>
        </is>
      </c>
      <c r="AE654" s="29" t="inlineStr">
        <is>
          <t>064760.KQ</t>
        </is>
      </c>
    </row>
    <row r="655" ht="24" customHeight="1">
      <c r="A655" s="24" t="inlineStr">
        <is>
          <t>2026-02-12</t>
        </is>
      </c>
      <c r="B655" s="30" t="n">
        <v>209000</v>
      </c>
      <c r="C655" s="30" t="n">
        <v>221000</v>
      </c>
      <c r="D655" s="30" t="n">
        <v>202500</v>
      </c>
      <c r="E655" s="30" t="n">
        <v>221000</v>
      </c>
      <c r="F655" s="30" t="n">
        <v>221000</v>
      </c>
      <c r="G655" s="30" t="n">
        <v>105745</v>
      </c>
      <c r="H655" s="35" t="n">
        <v>0.06763285024154597</v>
      </c>
      <c r="I655" s="35" t="n">
        <v>-0.0714285714285714</v>
      </c>
      <c r="J655" s="30" t="n">
        <v>201535</v>
      </c>
      <c r="K655" s="30" t="n">
        <v>166603.3333333333</v>
      </c>
      <c r="L655" s="30" t="n">
        <v>158207.5</v>
      </c>
      <c r="M655" s="35" t="n">
        <v>0.9806173865523434</v>
      </c>
      <c r="N655" s="35" t="n">
        <v>0.7138874676600556</v>
      </c>
      <c r="O655" s="35" t="n">
        <v>0.3377723970944311</v>
      </c>
      <c r="P655" s="35" t="n">
        <v>0.3616759088108441</v>
      </c>
      <c r="Q655" s="35" t="n">
        <v>0.9352014010507881</v>
      </c>
      <c r="R655" s="35" t="n">
        <v>0.09658371994938841</v>
      </c>
      <c r="S655" s="35" t="n">
        <v>0.3265040715471879</v>
      </c>
      <c r="T655" s="35" t="n">
        <v>0.3968996412938703</v>
      </c>
      <c r="U655" s="30" t="n">
        <v>238000</v>
      </c>
      <c r="V655" s="30" t="n">
        <v>72100</v>
      </c>
      <c r="W655" s="35" t="n">
        <v>-0.0714285714285714</v>
      </c>
      <c r="X655" s="35" t="n">
        <v>2.065187239944521</v>
      </c>
      <c r="Y655" s="30" t="n">
        <v>11179416</v>
      </c>
      <c r="Z655" s="30" t="n">
        <v>2470650936000</v>
      </c>
      <c r="AA655" s="30" t="n">
        <v>23369645000</v>
      </c>
      <c r="AB655" s="30" t="n">
        <v>22950803560</v>
      </c>
      <c r="AC655" s="35" t="n">
        <v>0.009458901967687757</v>
      </c>
      <c r="AD655" s="24" t="inlineStr">
        <is>
          <t>yfinance_download</t>
        </is>
      </c>
      <c r="AE655" s="24" t="inlineStr">
        <is>
          <t>064760.KQ</t>
        </is>
      </c>
    </row>
    <row r="656" ht="24" customHeight="1">
      <c r="A656" s="29" t="inlineStr">
        <is>
          <t>2026-02-13</t>
        </is>
      </c>
      <c r="B656" s="31" t="n">
        <v>217500</v>
      </c>
      <c r="C656" s="31" t="n">
        <v>217500</v>
      </c>
      <c r="D656" s="31" t="n">
        <v>204500</v>
      </c>
      <c r="E656" s="31" t="n">
        <v>205500</v>
      </c>
      <c r="F656" s="31" t="n">
        <v>205500</v>
      </c>
      <c r="G656" s="31" t="n">
        <v>80659</v>
      </c>
      <c r="H656" s="36" t="n">
        <v>-0.07013574660633481</v>
      </c>
      <c r="I656" s="36" t="n">
        <v>-0.1365546218487395</v>
      </c>
      <c r="J656" s="31" t="n">
        <v>203365</v>
      </c>
      <c r="K656" s="31" t="n">
        <v>167456.6666666667</v>
      </c>
      <c r="L656" s="31" t="n">
        <v>158985</v>
      </c>
      <c r="M656" s="36" t="n">
        <v>1.027102513331574</v>
      </c>
      <c r="N656" s="36" t="n">
        <v>0.7220333883185761</v>
      </c>
      <c r="O656" s="36" t="n">
        <v>0.2166962699822381</v>
      </c>
      <c r="P656" s="36" t="n">
        <v>0.3318211276733636</v>
      </c>
      <c r="Q656" s="36" t="n">
        <v>0.8315508021390374</v>
      </c>
      <c r="R656" s="36" t="n">
        <v>0.01049836500872825</v>
      </c>
      <c r="S656" s="36" t="n">
        <v>0.2271831518601828</v>
      </c>
      <c r="T656" s="36" t="n">
        <v>0.2925747712048306</v>
      </c>
      <c r="U656" s="31" t="n">
        <v>238000</v>
      </c>
      <c r="V656" s="31" t="n">
        <v>78000</v>
      </c>
      <c r="W656" s="36" t="n">
        <v>-0.1365546218487395</v>
      </c>
      <c r="X656" s="36" t="n">
        <v>1.634615384615385</v>
      </c>
      <c r="Y656" s="31" t="n">
        <v>11179416</v>
      </c>
      <c r="Z656" s="31" t="n">
        <v>2297369988000</v>
      </c>
      <c r="AA656" s="31" t="n">
        <v>16575424500</v>
      </c>
      <c r="AB656" s="31" t="n">
        <v>23024135755</v>
      </c>
      <c r="AC656" s="36" t="n">
        <v>0.007214956487888097</v>
      </c>
      <c r="AD656" s="29" t="inlineStr">
        <is>
          <t>yfinance_download</t>
        </is>
      </c>
      <c r="AE656" s="29" t="inlineStr">
        <is>
          <t>064760.KQ</t>
        </is>
      </c>
    </row>
    <row r="657" ht="24" customHeight="1">
      <c r="A657" s="24" t="inlineStr">
        <is>
          <t>2026-02-19</t>
        </is>
      </c>
      <c r="B657" s="30" t="n">
        <v>215000</v>
      </c>
      <c r="C657" s="30" t="n">
        <v>225000</v>
      </c>
      <c r="D657" s="30" t="n">
        <v>209000</v>
      </c>
      <c r="E657" s="30" t="n">
        <v>216000</v>
      </c>
      <c r="F657" s="30" t="n">
        <v>216000</v>
      </c>
      <c r="G657" s="30" t="n">
        <v>104839</v>
      </c>
      <c r="H657" s="35" t="n">
        <v>0.05109489051094895</v>
      </c>
      <c r="I657" s="35" t="n">
        <v>-0.09243697478991597</v>
      </c>
      <c r="J657" s="30" t="n">
        <v>205470</v>
      </c>
      <c r="K657" s="30" t="n">
        <v>168450</v>
      </c>
      <c r="L657" s="30" t="n">
        <v>159862.5</v>
      </c>
      <c r="M657" s="35" t="n">
        <v>1.034836214400313</v>
      </c>
      <c r="N657" s="35" t="n">
        <v>0.7278278836699282</v>
      </c>
      <c r="O657" s="35" t="n">
        <v>0.2420931569867739</v>
      </c>
      <c r="P657" s="35" t="n">
        <v>0.381074168797954</v>
      </c>
      <c r="Q657" s="35" t="n">
        <v>0.9512195121951219</v>
      </c>
      <c r="R657" s="35" t="n">
        <v>0.05124835742444156</v>
      </c>
      <c r="S657" s="35" t="n">
        <v>0.282279608192342</v>
      </c>
      <c r="T657" s="35" t="n">
        <v>0.3511611541168191</v>
      </c>
      <c r="U657" s="30" t="n">
        <v>238000</v>
      </c>
      <c r="V657" s="30" t="n">
        <v>78000</v>
      </c>
      <c r="W657" s="35" t="n">
        <v>-0.09243697478991597</v>
      </c>
      <c r="X657" s="35" t="n">
        <v>1.769230769230769</v>
      </c>
      <c r="Y657" s="30" t="n">
        <v>11179416</v>
      </c>
      <c r="Z657" s="30" t="n">
        <v>2414753856000</v>
      </c>
      <c r="AA657" s="30" t="n">
        <v>22645224000</v>
      </c>
      <c r="AB657" s="30" t="n">
        <v>23345379525</v>
      </c>
      <c r="AC657" s="35" t="n">
        <v>0.009377860167293176</v>
      </c>
      <c r="AD657" s="24" t="inlineStr">
        <is>
          <t>yfinance_download</t>
        </is>
      </c>
      <c r="AE657" s="24" t="inlineStr">
        <is>
          <t>064760.KQ</t>
        </is>
      </c>
    </row>
    <row r="658" ht="24" customHeight="1">
      <c r="A658" s="29" t="inlineStr">
        <is>
          <t>2026-02-20</t>
        </is>
      </c>
      <c r="B658" s="31" t="n">
        <v>217000</v>
      </c>
      <c r="C658" s="31" t="n">
        <v>224500</v>
      </c>
      <c r="D658" s="31" t="n">
        <v>213000</v>
      </c>
      <c r="E658" s="31" t="n">
        <v>213500</v>
      </c>
      <c r="F658" s="31" t="n">
        <v>213500</v>
      </c>
      <c r="G658" s="31" t="n">
        <v>79667</v>
      </c>
      <c r="H658" s="36" t="n">
        <v>-0.01157407407407407</v>
      </c>
      <c r="I658" s="36" t="n">
        <v>-0.1029411764705882</v>
      </c>
      <c r="J658" s="31" t="n">
        <v>207775</v>
      </c>
      <c r="K658" s="31" t="n">
        <v>169421.6666666667</v>
      </c>
      <c r="L658" s="31" t="n">
        <v>160727.5</v>
      </c>
      <c r="M658" s="36" t="n">
        <v>1.022179700058941</v>
      </c>
      <c r="N658" s="36" t="n">
        <v>0.7281945522532391</v>
      </c>
      <c r="O658" s="36" t="n">
        <v>0.2753882915173238</v>
      </c>
      <c r="P658" s="36" t="n">
        <v>0.3756443298969072</v>
      </c>
      <c r="Q658" s="36" t="n">
        <v>0.9462169553327255</v>
      </c>
      <c r="R658" s="36" t="n">
        <v>0.02755384430273122</v>
      </c>
      <c r="S658" s="36" t="n">
        <v>0.2601693998209595</v>
      </c>
      <c r="T658" s="36" t="n">
        <v>0.3283352257703256</v>
      </c>
      <c r="U658" s="31" t="n">
        <v>238000</v>
      </c>
      <c r="V658" s="31" t="n">
        <v>78000</v>
      </c>
      <c r="W658" s="36" t="n">
        <v>-0.1029411764705882</v>
      </c>
      <c r="X658" s="36" t="n">
        <v>1.737179487179487</v>
      </c>
      <c r="Y658" s="31" t="n">
        <v>11179416</v>
      </c>
      <c r="Z658" s="31" t="n">
        <v>2386805316000</v>
      </c>
      <c r="AA658" s="31" t="n">
        <v>17008904500</v>
      </c>
      <c r="AB658" s="31" t="n">
        <v>23316313520</v>
      </c>
      <c r="AC658" s="36" t="n">
        <v>0.007126221977963787</v>
      </c>
      <c r="AD658" s="29" t="inlineStr">
        <is>
          <t>yfinance_download</t>
        </is>
      </c>
      <c r="AE658" s="29" t="inlineStr">
        <is>
          <t>064760.KQ</t>
        </is>
      </c>
    </row>
    <row r="659" ht="24" customHeight="1">
      <c r="A659" s="24" t="inlineStr">
        <is>
          <t>2026-02-23</t>
        </is>
      </c>
      <c r="B659" s="30" t="n">
        <v>222500</v>
      </c>
      <c r="C659" s="30" t="n">
        <v>228000</v>
      </c>
      <c r="D659" s="30" t="n">
        <v>207500</v>
      </c>
      <c r="E659" s="30" t="n">
        <v>212000</v>
      </c>
      <c r="F659" s="30" t="n">
        <v>212000</v>
      </c>
      <c r="G659" s="30" t="n">
        <v>94946</v>
      </c>
      <c r="H659" s="35" t="n">
        <v>-0.007025761124121788</v>
      </c>
      <c r="I659" s="35" t="n">
        <v>-0.1092436974789915</v>
      </c>
      <c r="J659" s="30" t="n">
        <v>209860</v>
      </c>
      <c r="K659" s="30" t="n">
        <v>170593.3333333333</v>
      </c>
      <c r="L659" s="30" t="n">
        <v>161591.6666666667</v>
      </c>
      <c r="M659" s="35" t="n">
        <v>1.024845066197702</v>
      </c>
      <c r="N659" s="35" t="n">
        <v>0.7023955872306562</v>
      </c>
      <c r="O659" s="35" t="n">
        <v>0.2448620082207869</v>
      </c>
      <c r="P659" s="35" t="n">
        <v>0.4961185603387439</v>
      </c>
      <c r="Q659" s="35" t="n">
        <v>0.9575253924284395</v>
      </c>
      <c r="R659" s="35" t="n">
        <v>0.0101972743733918</v>
      </c>
      <c r="S659" s="35" t="n">
        <v>0.2427214818867482</v>
      </c>
      <c r="T659" s="35" t="n">
        <v>0.311948842246403</v>
      </c>
      <c r="U659" s="30" t="n">
        <v>238000</v>
      </c>
      <c r="V659" s="30" t="n">
        <v>78000</v>
      </c>
      <c r="W659" s="35" t="n">
        <v>-0.1092436974789915</v>
      </c>
      <c r="X659" s="35" t="n">
        <v>1.717948717948718</v>
      </c>
      <c r="Y659" s="30" t="n">
        <v>11179416</v>
      </c>
      <c r="Z659" s="30" t="n">
        <v>2370036192000</v>
      </c>
      <c r="AA659" s="30" t="n">
        <v>20128552000</v>
      </c>
      <c r="AB659" s="30" t="n">
        <v>23727329745</v>
      </c>
      <c r="AC659" s="35" t="n">
        <v>0.008492930221041958</v>
      </c>
      <c r="AD659" s="24" t="inlineStr">
        <is>
          <t>yfinance_download</t>
        </is>
      </c>
      <c r="AE659" s="24" t="inlineStr">
        <is>
          <t>064760.KQ</t>
        </is>
      </c>
    </row>
    <row r="660" ht="24" customHeight="1">
      <c r="A660" s="29" t="inlineStr">
        <is>
          <t>2026-02-24</t>
        </is>
      </c>
      <c r="B660" s="31" t="n">
        <v>208500</v>
      </c>
      <c r="C660" s="31" t="n">
        <v>224000</v>
      </c>
      <c r="D660" s="31" t="n">
        <v>208500</v>
      </c>
      <c r="E660" s="31" t="n">
        <v>219500</v>
      </c>
      <c r="F660" s="31" t="n">
        <v>219500</v>
      </c>
      <c r="G660" s="31" t="n">
        <v>65877</v>
      </c>
      <c r="H660" s="36" t="n">
        <v>0.03537735849056611</v>
      </c>
      <c r="I660" s="36" t="n">
        <v>-0.07773109243697474</v>
      </c>
      <c r="J660" s="31" t="n">
        <v>212160</v>
      </c>
      <c r="K660" s="31" t="n">
        <v>171833.3333333333</v>
      </c>
      <c r="L660" s="31" t="n">
        <v>162510.8333333333</v>
      </c>
      <c r="M660" s="36" t="n">
        <v>1.027777824724406</v>
      </c>
      <c r="N660" s="36" t="n">
        <v>0.703909507485223</v>
      </c>
      <c r="O660" s="36" t="n">
        <v>0.2651296829971181</v>
      </c>
      <c r="P660" s="36" t="n">
        <v>0.5127498277050311</v>
      </c>
      <c r="Q660" s="36" t="n">
        <v>1.01007326007326</v>
      </c>
      <c r="R660" s="36" t="n">
        <v>0.03459653092006043</v>
      </c>
      <c r="S660" s="36" t="n">
        <v>0.2774005819592629</v>
      </c>
      <c r="T660" s="36" t="n">
        <v>0.3506791854901981</v>
      </c>
      <c r="U660" s="31" t="n">
        <v>238000</v>
      </c>
      <c r="V660" s="31" t="n">
        <v>78000</v>
      </c>
      <c r="W660" s="36" t="n">
        <v>-0.07773109243697474</v>
      </c>
      <c r="X660" s="36" t="n">
        <v>1.814102564102564</v>
      </c>
      <c r="Y660" s="31" t="n">
        <v>11179416</v>
      </c>
      <c r="Z660" s="31" t="n">
        <v>2453881812000</v>
      </c>
      <c r="AA660" s="31" t="n">
        <v>14460001500</v>
      </c>
      <c r="AB660" s="31" t="n">
        <v>23682861245</v>
      </c>
      <c r="AC660" s="36" t="n">
        <v>0.005892704949882892</v>
      </c>
      <c r="AD660" s="29" t="inlineStr">
        <is>
          <t>yfinance_download</t>
        </is>
      </c>
      <c r="AE660" s="29" t="inlineStr">
        <is>
          <t>064760.KQ</t>
        </is>
      </c>
    </row>
    <row r="661" ht="24" customHeight="1">
      <c r="A661" s="24" t="inlineStr">
        <is>
          <t>2026-02-25</t>
        </is>
      </c>
      <c r="B661" s="30" t="n">
        <v>225000</v>
      </c>
      <c r="C661" s="30" t="n">
        <v>225500</v>
      </c>
      <c r="D661" s="30" t="n">
        <v>210500</v>
      </c>
      <c r="E661" s="30" t="n">
        <v>215000</v>
      </c>
      <c r="F661" s="30" t="n">
        <v>215000</v>
      </c>
      <c r="G661" s="30" t="n">
        <v>77719</v>
      </c>
      <c r="H661" s="35" t="n">
        <v>-0.02050113895216399</v>
      </c>
      <c r="I661" s="35" t="n">
        <v>-0.09663865546218486</v>
      </c>
      <c r="J661" s="30" t="n">
        <v>213845</v>
      </c>
      <c r="K661" s="30" t="n">
        <v>173005</v>
      </c>
      <c r="L661" s="30" t="n">
        <v>163380</v>
      </c>
      <c r="M661" s="35" t="n">
        <v>1.027737738154156</v>
      </c>
      <c r="N661" s="35" t="n">
        <v>0.7059916309392908</v>
      </c>
      <c r="O661" s="35" t="n">
        <v>0.1858797573083288</v>
      </c>
      <c r="P661" s="35" t="n">
        <v>0.4858327574291639</v>
      </c>
      <c r="Q661" s="35" t="n">
        <v>0.9421860885275519</v>
      </c>
      <c r="R661" s="35" t="n">
        <v>0.005401108279361244</v>
      </c>
      <c r="S661" s="35" t="n">
        <v>0.2427386491719892</v>
      </c>
      <c r="T661" s="35" t="n">
        <v>0.3159505447423185</v>
      </c>
      <c r="U661" s="30" t="n">
        <v>238000</v>
      </c>
      <c r="V661" s="30" t="n">
        <v>78000</v>
      </c>
      <c r="W661" s="35" t="n">
        <v>-0.09663865546218486</v>
      </c>
      <c r="X661" s="35" t="n">
        <v>1.756410256410256</v>
      </c>
      <c r="Y661" s="30" t="n">
        <v>11179416</v>
      </c>
      <c r="Z661" s="30" t="n">
        <v>2403574440000</v>
      </c>
      <c r="AA661" s="30" t="n">
        <v>16709585000</v>
      </c>
      <c r="AB661" s="30" t="n">
        <v>23373512580</v>
      </c>
      <c r="AC661" s="35" t="n">
        <v>0.006951973162104354</v>
      </c>
      <c r="AD661" s="24" t="inlineStr">
        <is>
          <t>yfinance_download</t>
        </is>
      </c>
      <c r="AE661" s="24" t="inlineStr">
        <is>
          <t>064760.KQ</t>
        </is>
      </c>
    </row>
    <row r="662" ht="24" customHeight="1">
      <c r="A662" s="29" t="inlineStr">
        <is>
          <t>2026-02-26</t>
        </is>
      </c>
      <c r="B662" s="31" t="n">
        <v>221000</v>
      </c>
      <c r="C662" s="31" t="n">
        <v>242000</v>
      </c>
      <c r="D662" s="31" t="n">
        <v>217500</v>
      </c>
      <c r="E662" s="31" t="n">
        <v>236500</v>
      </c>
      <c r="F662" s="31" t="n">
        <v>236500</v>
      </c>
      <c r="G662" s="31" t="n">
        <v>150412</v>
      </c>
      <c r="H662" s="36" t="n">
        <v>0.1000000000000001</v>
      </c>
      <c r="I662" s="36" t="n">
        <v>-0.006302521008403339</v>
      </c>
      <c r="J662" s="31" t="n">
        <v>215675</v>
      </c>
      <c r="K662" s="31" t="n">
        <v>174560</v>
      </c>
      <c r="L662" s="31" t="n">
        <v>164426.6666666667</v>
      </c>
      <c r="M662" s="36" t="n">
        <v>1.024694922419892</v>
      </c>
      <c r="N662" s="36" t="n">
        <v>0.7298317051908285</v>
      </c>
      <c r="O662" s="36" t="n">
        <v>0.1830915457728863</v>
      </c>
      <c r="P662" s="36" t="n">
        <v>0.651536312849162</v>
      </c>
      <c r="Q662" s="36" t="n">
        <v>1.132551848512173</v>
      </c>
      <c r="R662" s="36" t="n">
        <v>0.09655732004172934</v>
      </c>
      <c r="S662" s="36" t="n">
        <v>0.3548350137488543</v>
      </c>
      <c r="T662" s="36" t="n">
        <v>0.4383311709373987</v>
      </c>
      <c r="U662" s="31" t="n">
        <v>238000</v>
      </c>
      <c r="V662" s="31" t="n">
        <v>78000</v>
      </c>
      <c r="W662" s="36" t="n">
        <v>-0.006302521008403339</v>
      </c>
      <c r="X662" s="36" t="n">
        <v>2.032051282051282</v>
      </c>
      <c r="Y662" s="31" t="n">
        <v>11179416</v>
      </c>
      <c r="Z662" s="31" t="n">
        <v>2643931884000</v>
      </c>
      <c r="AA662" s="31" t="n">
        <v>35572438000</v>
      </c>
      <c r="AB662" s="31" t="n">
        <v>23277382325</v>
      </c>
      <c r="AC662" s="36" t="n">
        <v>0.01345437006727364</v>
      </c>
      <c r="AD662" s="29" t="inlineStr">
        <is>
          <t>yfinance_download</t>
        </is>
      </c>
      <c r="AE662" s="29" t="inlineStr">
        <is>
          <t>064760.KQ</t>
        </is>
      </c>
    </row>
    <row r="663" ht="24" customHeight="1">
      <c r="A663" s="24" t="inlineStr">
        <is>
          <t>2026-02-27</t>
        </is>
      </c>
      <c r="B663" s="30" t="n">
        <v>225000</v>
      </c>
      <c r="C663" s="30" t="n">
        <v>231500</v>
      </c>
      <c r="D663" s="30" t="n">
        <v>218000</v>
      </c>
      <c r="E663" s="30" t="n">
        <v>224500</v>
      </c>
      <c r="F663" s="30" t="n">
        <v>224500</v>
      </c>
      <c r="G663" s="30" t="n">
        <v>98598</v>
      </c>
      <c r="H663" s="35" t="n">
        <v>-0.05073995771670192</v>
      </c>
      <c r="I663" s="35" t="n">
        <v>-0.05672268907563027</v>
      </c>
      <c r="J663" s="30" t="n">
        <v>216900</v>
      </c>
      <c r="K663" s="30" t="n">
        <v>175898.3333333333</v>
      </c>
      <c r="L663" s="30" t="n">
        <v>165377.5</v>
      </c>
      <c r="M663" s="35" t="n">
        <v>1.04716619198011</v>
      </c>
      <c r="N663" s="35" t="n">
        <v>0.7401720868383397</v>
      </c>
      <c r="O663" s="35" t="n">
        <v>0.1225000000000001</v>
      </c>
      <c r="P663" s="35" t="n">
        <v>0.5568654646324549</v>
      </c>
      <c r="Q663" s="35" t="n">
        <v>1.033514492753623</v>
      </c>
      <c r="R663" s="35" t="n">
        <v>0.03503918856615962</v>
      </c>
      <c r="S663" s="35" t="n">
        <v>0.2763054415903126</v>
      </c>
      <c r="T663" s="35" t="n">
        <v>0.3575002645462653</v>
      </c>
      <c r="U663" s="30" t="n">
        <v>238000</v>
      </c>
      <c r="V663" s="30" t="n">
        <v>78000</v>
      </c>
      <c r="W663" s="35" t="n">
        <v>-0.05672268907563027</v>
      </c>
      <c r="X663" s="35" t="n">
        <v>1.878205128205128</v>
      </c>
      <c r="Y663" s="30" t="n">
        <v>11179416</v>
      </c>
      <c r="Z663" s="30" t="n">
        <v>2509778892000</v>
      </c>
      <c r="AA663" s="30" t="n">
        <v>22135251000</v>
      </c>
      <c r="AB663" s="30" t="n">
        <v>23243654875</v>
      </c>
      <c r="AC663" s="35" t="n">
        <v>0.008819602025722989</v>
      </c>
      <c r="AD663" s="24" t="inlineStr">
        <is>
          <t>yfinance_download</t>
        </is>
      </c>
      <c r="AE663" s="24" t="inlineStr">
        <is>
          <t>064760.KQ</t>
        </is>
      </c>
    </row>
    <row r="664" ht="24" customHeight="1">
      <c r="A664" s="29" t="inlineStr">
        <is>
          <t>2026-03-03</t>
        </is>
      </c>
      <c r="B664" s="31" t="n">
        <v>219000</v>
      </c>
      <c r="C664" s="31" t="n">
        <v>238000</v>
      </c>
      <c r="D664" s="31" t="n">
        <v>212000</v>
      </c>
      <c r="E664" s="31" t="n">
        <v>217000</v>
      </c>
      <c r="F664" s="31" t="n">
        <v>217000</v>
      </c>
      <c r="G664" s="31" t="n">
        <v>108692</v>
      </c>
      <c r="H664" s="36" t="n">
        <v>-0.03340757238307346</v>
      </c>
      <c r="I664" s="36" t="n">
        <v>-0.08823529411764708</v>
      </c>
      <c r="J664" s="31" t="n">
        <v>216350</v>
      </c>
      <c r="K664" s="31" t="n">
        <v>177106.6666666667</v>
      </c>
      <c r="L664" s="31" t="n">
        <v>166273.3333333333</v>
      </c>
      <c r="M664" s="36" t="n">
        <v>0.9314396682270117</v>
      </c>
      <c r="N664" s="36" t="n">
        <v>0.7450371582369981</v>
      </c>
      <c r="O664" s="36" t="n">
        <v>-0.04824561403508776</v>
      </c>
      <c r="P664" s="36" t="n">
        <v>0.5017301038062283</v>
      </c>
      <c r="Q664" s="36" t="n">
        <v>0.9817351598173516</v>
      </c>
      <c r="R664" s="36" t="n">
        <v>0.003004391033048393</v>
      </c>
      <c r="S664" s="36" t="n">
        <v>0.2252503199578408</v>
      </c>
      <c r="T664" s="36" t="n">
        <v>0.3050799887735054</v>
      </c>
      <c r="U664" s="31" t="n">
        <v>238000</v>
      </c>
      <c r="V664" s="31" t="n">
        <v>78000</v>
      </c>
      <c r="W664" s="36" t="n">
        <v>-0.08823529411764708</v>
      </c>
      <c r="X664" s="36" t="n">
        <v>1.782051282051282</v>
      </c>
      <c r="Y664" s="31" t="n">
        <v>11179416</v>
      </c>
      <c r="Z664" s="31" t="n">
        <v>2425933272000</v>
      </c>
      <c r="AA664" s="31" t="n">
        <v>23586164000</v>
      </c>
      <c r="AB664" s="31" t="n">
        <v>22265228075</v>
      </c>
      <c r="AC664" s="36" t="n">
        <v>0.009722511444247177</v>
      </c>
      <c r="AD664" s="29" t="inlineStr">
        <is>
          <t>yfinance_download</t>
        </is>
      </c>
      <c r="AE664" s="29" t="inlineStr">
        <is>
          <t>064760.KQ</t>
        </is>
      </c>
    </row>
    <row r="665" ht="24" customHeight="1">
      <c r="A665" s="24" t="inlineStr">
        <is>
          <t>2026-03-04</t>
        </is>
      </c>
      <c r="B665" s="30" t="n">
        <v>216500</v>
      </c>
      <c r="C665" s="30" t="n">
        <v>221500</v>
      </c>
      <c r="D665" s="30" t="n">
        <v>189500</v>
      </c>
      <c r="E665" s="30" t="n">
        <v>199500</v>
      </c>
      <c r="F665" s="30" t="n">
        <v>199500</v>
      </c>
      <c r="G665" s="30" t="n">
        <v>127687</v>
      </c>
      <c r="H665" s="35" t="n">
        <v>-0.08064516129032262</v>
      </c>
      <c r="I665" s="35" t="n">
        <v>-0.1617647058823529</v>
      </c>
      <c r="J665" s="30" t="n">
        <v>215250</v>
      </c>
      <c r="K665" s="30" t="n">
        <v>177980</v>
      </c>
      <c r="L665" s="30" t="n">
        <v>167078.3333333333</v>
      </c>
      <c r="M665" s="35" t="n">
        <v>0.9696004553643277</v>
      </c>
      <c r="N665" s="35" t="n">
        <v>0.7664329039992555</v>
      </c>
      <c r="O665" s="35" t="n">
        <v>-0.09932279909706543</v>
      </c>
      <c r="P665" s="35" t="n">
        <v>0.3562202583276683</v>
      </c>
      <c r="Q665" s="35" t="n">
        <v>0.9387755102040816</v>
      </c>
      <c r="R665" s="35" t="n">
        <v>-0.07317073170731703</v>
      </c>
      <c r="S665" s="35" t="n">
        <v>0.1209124620743904</v>
      </c>
      <c r="T665" s="35" t="n">
        <v>0.1940506947838838</v>
      </c>
      <c r="U665" s="30" t="n">
        <v>238000</v>
      </c>
      <c r="V665" s="30" t="n">
        <v>78000</v>
      </c>
      <c r="W665" s="35" t="n">
        <v>-0.1617647058823529</v>
      </c>
      <c r="X665" s="35" t="n">
        <v>1.557692307692307</v>
      </c>
      <c r="Y665" s="30" t="n">
        <v>11179416</v>
      </c>
      <c r="Z665" s="30" t="n">
        <v>2230293492000</v>
      </c>
      <c r="AA665" s="30" t="n">
        <v>25473556500</v>
      </c>
      <c r="AB665" s="30" t="n">
        <v>21334637575</v>
      </c>
      <c r="AC665" s="35" t="n">
        <v>0.01142161629909827</v>
      </c>
      <c r="AD665" s="24" t="inlineStr">
        <is>
          <t>yfinance_download</t>
        </is>
      </c>
      <c r="AE665" s="24" t="inlineStr">
        <is>
          <t>064760.KQ</t>
        </is>
      </c>
    </row>
    <row r="666" ht="24" customHeight="1">
      <c r="A666" s="29" t="inlineStr">
        <is>
          <t>2026-03-05</t>
        </is>
      </c>
      <c r="B666" s="31" t="n">
        <v>216000</v>
      </c>
      <c r="C666" s="31" t="n">
        <v>258000</v>
      </c>
      <c r="D666" s="31" t="n">
        <v>210000</v>
      </c>
      <c r="E666" s="31" t="n">
        <v>245000</v>
      </c>
      <c r="F666" s="31" t="n">
        <v>245000</v>
      </c>
      <c r="G666" s="31" t="n">
        <v>231652</v>
      </c>
      <c r="H666" s="36" t="n">
        <v>0.2280701754385965</v>
      </c>
      <c r="I666" s="36" t="n">
        <v>0</v>
      </c>
      <c r="J666" s="31" t="n">
        <v>215600</v>
      </c>
      <c r="K666" s="31" t="n">
        <v>179568.3333333333</v>
      </c>
      <c r="L666" s="31" t="n">
        <v>168268.3333333333</v>
      </c>
      <c r="M666" s="36" t="n">
        <v>1.246889942856413</v>
      </c>
      <c r="N666" s="36" t="n">
        <v>0.8910127292490436</v>
      </c>
      <c r="O666" s="36" t="n">
        <v>0.02941176470588225</v>
      </c>
      <c r="P666" s="36" t="n">
        <v>0.6366065464261856</v>
      </c>
      <c r="Q666" s="36" t="n">
        <v>1.397260273972603</v>
      </c>
      <c r="R666" s="36" t="n">
        <v>0.1363636363636365</v>
      </c>
      <c r="S666" s="36" t="n">
        <v>0.3643831039251537</v>
      </c>
      <c r="T666" s="36" t="n">
        <v>0.4560077653747485</v>
      </c>
      <c r="U666" s="31" t="n">
        <v>245000</v>
      </c>
      <c r="V666" s="31" t="n">
        <v>78000</v>
      </c>
      <c r="W666" s="36" t="n">
        <v>0</v>
      </c>
      <c r="X666" s="36" t="n">
        <v>2.141025641025641</v>
      </c>
      <c r="Y666" s="31" t="n">
        <v>11179416</v>
      </c>
      <c r="Z666" s="31" t="n">
        <v>2738956920000</v>
      </c>
      <c r="AA666" s="31" t="n">
        <v>56754740000</v>
      </c>
      <c r="AB666" s="31" t="n">
        <v>22295566075</v>
      </c>
      <c r="AC666" s="36" t="n">
        <v>0.02072129706954281</v>
      </c>
      <c r="AD666" s="29" t="inlineStr">
        <is>
          <t>yfinance_download</t>
        </is>
      </c>
      <c r="AE666" s="29" t="inlineStr">
        <is>
          <t>064760.KQ</t>
        </is>
      </c>
    </row>
    <row r="667" ht="24" customHeight="1">
      <c r="A667" s="24" t="inlineStr">
        <is>
          <t>2026-03-06</t>
        </is>
      </c>
      <c r="B667" s="30" t="n">
        <v>250000</v>
      </c>
      <c r="C667" s="30" t="n">
        <v>261500</v>
      </c>
      <c r="D667" s="30" t="n">
        <v>241500</v>
      </c>
      <c r="E667" s="30" t="n">
        <v>260000</v>
      </c>
      <c r="F667" s="30" t="n">
        <v>260000</v>
      </c>
      <c r="G667" s="30" t="n">
        <v>163419</v>
      </c>
      <c r="H667" s="35" t="n">
        <v>0.06122448979591844</v>
      </c>
      <c r="I667" s="35" t="n">
        <v>0</v>
      </c>
      <c r="J667" s="30" t="n">
        <v>218250</v>
      </c>
      <c r="K667" s="30" t="n">
        <v>181411.6666666667</v>
      </c>
      <c r="L667" s="30" t="n">
        <v>169552.5</v>
      </c>
      <c r="M667" s="35" t="n">
        <v>1.154778254386679</v>
      </c>
      <c r="N667" s="35" t="n">
        <v>0.8968569003525428</v>
      </c>
      <c r="O667" s="35" t="n">
        <v>0.2560386473429952</v>
      </c>
      <c r="P667" s="35" t="n">
        <v>0.7402945113788488</v>
      </c>
      <c r="Q667" s="35" t="n">
        <v>1.455146364494806</v>
      </c>
      <c r="R667" s="35" t="n">
        <v>0.1912943871706758</v>
      </c>
      <c r="S667" s="35" t="n">
        <v>0.4332044061848284</v>
      </c>
      <c r="T667" s="35" t="n">
        <v>0.5334483419589802</v>
      </c>
      <c r="U667" s="30" t="n">
        <v>260000</v>
      </c>
      <c r="V667" s="30" t="n">
        <v>78000</v>
      </c>
      <c r="W667" s="35" t="n">
        <v>0</v>
      </c>
      <c r="X667" s="35" t="n">
        <v>2.333333333333333</v>
      </c>
      <c r="Y667" s="30" t="n">
        <v>11179416</v>
      </c>
      <c r="Z667" s="30" t="n">
        <v>2906648160000</v>
      </c>
      <c r="AA667" s="30" t="n">
        <v>42488940000</v>
      </c>
      <c r="AB667" s="30" t="n">
        <v>22949816275</v>
      </c>
      <c r="AC667" s="35" t="n">
        <v>0.01461784765858968</v>
      </c>
      <c r="AD667" s="24" t="inlineStr">
        <is>
          <t>yfinance_download</t>
        </is>
      </c>
      <c r="AE667" s="24" t="inlineStr">
        <is>
          <t>064760.KQ</t>
        </is>
      </c>
    </row>
    <row r="668" ht="24" customHeight="1">
      <c r="A668" s="29" t="inlineStr">
        <is>
          <t>2026-03-09</t>
        </is>
      </c>
      <c r="B668" s="31" t="n">
        <v>240000</v>
      </c>
      <c r="C668" s="31" t="n">
        <v>262000</v>
      </c>
      <c r="D668" s="31" t="n">
        <v>215500</v>
      </c>
      <c r="E668" s="31" t="n">
        <v>226000</v>
      </c>
      <c r="F668" s="31" t="n">
        <v>226000</v>
      </c>
      <c r="G668" s="31" t="n">
        <v>137962</v>
      </c>
      <c r="H668" s="36" t="n">
        <v>-0.1307692307692307</v>
      </c>
      <c r="I668" s="36" t="n">
        <v>-0.1307692307692307</v>
      </c>
      <c r="J668" s="31" t="n">
        <v>218475</v>
      </c>
      <c r="K668" s="31" t="n">
        <v>182771.6666666667</v>
      </c>
      <c r="L668" s="31" t="n">
        <v>170541.6666666667</v>
      </c>
      <c r="M668" s="36" t="n">
        <v>1.241836515545403</v>
      </c>
      <c r="N668" s="36" t="n">
        <v>0.938565161279968</v>
      </c>
      <c r="O668" s="36" t="n">
        <v>0.02031602708803604</v>
      </c>
      <c r="P668" s="36" t="n">
        <v>0.5650969529085872</v>
      </c>
      <c r="Q668" s="36" t="n">
        <v>1.106244175209692</v>
      </c>
      <c r="R668" s="36" t="n">
        <v>0.03444330014875852</v>
      </c>
      <c r="S668" s="36" t="n">
        <v>0.2365155065974851</v>
      </c>
      <c r="T668" s="36" t="n">
        <v>0.3251893476667482</v>
      </c>
      <c r="U668" s="31" t="n">
        <v>260000</v>
      </c>
      <c r="V668" s="31" t="n">
        <v>78000</v>
      </c>
      <c r="W668" s="36" t="n">
        <v>-0.1307692307692307</v>
      </c>
      <c r="X668" s="36" t="n">
        <v>1.897435897435897</v>
      </c>
      <c r="Y668" s="31" t="n">
        <v>11179416</v>
      </c>
      <c r="Z668" s="31" t="n">
        <v>2526548016000</v>
      </c>
      <c r="AA668" s="31" t="n">
        <v>31179412000</v>
      </c>
      <c r="AB668" s="31" t="n">
        <v>23661759800</v>
      </c>
      <c r="AC668" s="36" t="n">
        <v>0.01234071618767921</v>
      </c>
      <c r="AD668" s="29" t="inlineStr">
        <is>
          <t>yfinance_download</t>
        </is>
      </c>
      <c r="AE668" s="29" t="inlineStr">
        <is>
          <t>064760.KQ</t>
        </is>
      </c>
    </row>
    <row r="669" ht="24" customHeight="1">
      <c r="A669" s="24" t="inlineStr">
        <is>
          <t>2026-03-10</t>
        </is>
      </c>
      <c r="B669" s="30" t="n">
        <v>244500</v>
      </c>
      <c r="C669" s="30" t="n">
        <v>245000</v>
      </c>
      <c r="D669" s="30" t="n">
        <v>215000</v>
      </c>
      <c r="E669" s="30" t="n">
        <v>218500</v>
      </c>
      <c r="F669" s="30" t="n">
        <v>218500</v>
      </c>
      <c r="G669" s="30" t="n">
        <v>144311</v>
      </c>
      <c r="H669" s="35" t="n">
        <v>-0.0331858407079646</v>
      </c>
      <c r="I669" s="35" t="n">
        <v>-0.1596153846153846</v>
      </c>
      <c r="J669" s="30" t="n">
        <v>218950</v>
      </c>
      <c r="K669" s="30" t="n">
        <v>183963.3333333333</v>
      </c>
      <c r="L669" s="30" t="n">
        <v>171459.1666666667</v>
      </c>
      <c r="M669" s="35" t="n">
        <v>1.229565520790406</v>
      </c>
      <c r="N669" s="35" t="n">
        <v>0.9423626578764035</v>
      </c>
      <c r="O669" s="35" t="n">
        <v>0.04545454545454541</v>
      </c>
      <c r="P669" s="35" t="n">
        <v>0.4863945578231292</v>
      </c>
      <c r="Q669" s="35" t="n">
        <v>1.015682656826568</v>
      </c>
      <c r="R669" s="35" t="n">
        <v>-0.002055263758849013</v>
      </c>
      <c r="S669" s="35" t="n">
        <v>0.1877366866585732</v>
      </c>
      <c r="T669" s="35" t="n">
        <v>0.2743558962046357</v>
      </c>
      <c r="U669" s="30" t="n">
        <v>260000</v>
      </c>
      <c r="V669" s="30" t="n">
        <v>78000</v>
      </c>
      <c r="W669" s="35" t="n">
        <v>-0.1596153846153846</v>
      </c>
      <c r="X669" s="35" t="n">
        <v>1.801282051282051</v>
      </c>
      <c r="Y669" s="30" t="n">
        <v>11179416</v>
      </c>
      <c r="Z669" s="30" t="n">
        <v>2442702396000</v>
      </c>
      <c r="AA669" s="30" t="n">
        <v>31531953500</v>
      </c>
      <c r="AB669" s="30" t="n">
        <v>24062293575</v>
      </c>
      <c r="AC669" s="35" t="n">
        <v>0.01290863494121697</v>
      </c>
      <c r="AD669" s="24" t="inlineStr">
        <is>
          <t>yfinance_download</t>
        </is>
      </c>
      <c r="AE669" s="24" t="inlineStr">
        <is>
          <t>064760.KQ</t>
        </is>
      </c>
    </row>
    <row r="670" ht="24" customHeight="1">
      <c r="A670" s="29" t="inlineStr">
        <is>
          <t>2026-03-11</t>
        </is>
      </c>
      <c r="B670" s="31" t="n">
        <v>220500</v>
      </c>
      <c r="C670" s="31" t="n">
        <v>229500</v>
      </c>
      <c r="D670" s="31" t="n">
        <v>210500</v>
      </c>
      <c r="E670" s="31" t="n">
        <v>220000</v>
      </c>
      <c r="F670" s="31" t="n">
        <v>220000</v>
      </c>
      <c r="G670" s="31" t="n">
        <v>130433</v>
      </c>
      <c r="H670" s="36" t="n">
        <v>0.006864988558352492</v>
      </c>
      <c r="I670" s="36" t="n">
        <v>-0.1538461538461539</v>
      </c>
      <c r="J670" s="31" t="n">
        <v>219725</v>
      </c>
      <c r="K670" s="31" t="n">
        <v>185160</v>
      </c>
      <c r="L670" s="31" t="n">
        <v>172380</v>
      </c>
      <c r="M670" s="36" t="n">
        <v>1.22557946234485</v>
      </c>
      <c r="N670" s="36" t="n">
        <v>0.9423673204347218</v>
      </c>
      <c r="O670" s="36" t="n">
        <v>0.07579462102689494</v>
      </c>
      <c r="P670" s="36" t="n">
        <v>0.4844804318488529</v>
      </c>
      <c r="Q670" s="36" t="n">
        <v>1.009132420091324</v>
      </c>
      <c r="R670" s="36" t="n">
        <v>0.001251564455569509</v>
      </c>
      <c r="S670" s="36" t="n">
        <v>0.1881615899762368</v>
      </c>
      <c r="T670" s="36" t="n">
        <v>0.2762501450284256</v>
      </c>
      <c r="U670" s="31" t="n">
        <v>260000</v>
      </c>
      <c r="V670" s="31" t="n">
        <v>78000</v>
      </c>
      <c r="W670" s="36" t="n">
        <v>-0.1538461538461539</v>
      </c>
      <c r="X670" s="36" t="n">
        <v>1.820512820512821</v>
      </c>
      <c r="Y670" s="31" t="n">
        <v>11179416</v>
      </c>
      <c r="Z670" s="31" t="n">
        <v>2459471520000</v>
      </c>
      <c r="AA670" s="31" t="n">
        <v>28695260000</v>
      </c>
      <c r="AB670" s="31" t="n">
        <v>24318962750</v>
      </c>
      <c r="AC670" s="36" t="n">
        <v>0.01166724630338472</v>
      </c>
      <c r="AD670" s="29" t="inlineStr">
        <is>
          <t>yfinance_download</t>
        </is>
      </c>
      <c r="AE670" s="29" t="inlineStr">
        <is>
          <t>064760.KQ</t>
        </is>
      </c>
    </row>
    <row r="671" ht="24" customHeight="1">
      <c r="A671" s="24" t="inlineStr">
        <is>
          <t>2026-03-12</t>
        </is>
      </c>
      <c r="B671" s="30" t="n">
        <v>217000</v>
      </c>
      <c r="C671" s="30" t="n">
        <v>226000</v>
      </c>
      <c r="D671" s="30" t="n">
        <v>214500</v>
      </c>
      <c r="E671" s="30" t="n">
        <v>223500</v>
      </c>
      <c r="F671" s="30" t="n">
        <v>223500</v>
      </c>
      <c r="G671" s="30" t="n">
        <v>117468</v>
      </c>
      <c r="H671" s="35" t="n">
        <v>0.01590909090909087</v>
      </c>
      <c r="I671" s="35" t="n">
        <v>-0.1403846153846153</v>
      </c>
      <c r="J671" s="30" t="n">
        <v>220425</v>
      </c>
      <c r="K671" s="30" t="n">
        <v>186435</v>
      </c>
      <c r="L671" s="30" t="n">
        <v>173307.5</v>
      </c>
      <c r="M671" s="35" t="n">
        <v>1.224282577739156</v>
      </c>
      <c r="N671" s="35" t="n">
        <v>0.9418677939610376</v>
      </c>
      <c r="O671" s="35" t="n">
        <v>0.06682577565632464</v>
      </c>
      <c r="P671" s="35" t="n">
        <v>0.5204081632653061</v>
      </c>
      <c r="Q671" s="35" t="n">
        <v>0.9919786096256684</v>
      </c>
      <c r="R671" s="35" t="n">
        <v>0.01395032323919709</v>
      </c>
      <c r="S671" s="35" t="n">
        <v>0.1988092364631104</v>
      </c>
      <c r="T671" s="35" t="n">
        <v>0.2896152792002655</v>
      </c>
      <c r="U671" s="30" t="n">
        <v>260000</v>
      </c>
      <c r="V671" s="30" t="n">
        <v>78000</v>
      </c>
      <c r="W671" s="35" t="n">
        <v>-0.1403846153846153</v>
      </c>
      <c r="X671" s="35" t="n">
        <v>1.865384615384615</v>
      </c>
      <c r="Y671" s="30" t="n">
        <v>11179416</v>
      </c>
      <c r="Z671" s="30" t="n">
        <v>2498599476000</v>
      </c>
      <c r="AA671" s="30" t="n">
        <v>26254098000</v>
      </c>
      <c r="AB671" s="30" t="n">
        <v>24742036375</v>
      </c>
      <c r="AC671" s="35" t="n">
        <v>0.01050752561672273</v>
      </c>
      <c r="AD671" s="24" t="inlineStr">
        <is>
          <t>yfinance_download</t>
        </is>
      </c>
      <c r="AE671" s="24" t="inlineStr">
        <is>
          <t>064760.KQ</t>
        </is>
      </c>
    </row>
    <row r="672" ht="24" customHeight="1">
      <c r="A672" s="29" t="inlineStr">
        <is>
          <t>2026-03-13</t>
        </is>
      </c>
      <c r="B672" s="31" t="n">
        <v>216000</v>
      </c>
      <c r="C672" s="31" t="n">
        <v>240000</v>
      </c>
      <c r="D672" s="31" t="n">
        <v>213500</v>
      </c>
      <c r="E672" s="31" t="n">
        <v>232500</v>
      </c>
      <c r="F672" s="31" t="n">
        <v>232500</v>
      </c>
      <c r="G672" s="31" t="n">
        <v>112023</v>
      </c>
      <c r="H672" s="36" t="n">
        <v>0.04026845637583887</v>
      </c>
      <c r="I672" s="36" t="n">
        <v>-0.1057692307692307</v>
      </c>
      <c r="J672" s="31" t="n">
        <v>221050</v>
      </c>
      <c r="K672" s="31" t="n">
        <v>187858.3333333333</v>
      </c>
      <c r="L672" s="31" t="n">
        <v>174277.5</v>
      </c>
      <c r="M672" s="36" t="n">
        <v>1.220060116702321</v>
      </c>
      <c r="N672" s="36" t="n">
        <v>0.9439208771568147</v>
      </c>
      <c r="O672" s="36" t="n">
        <v>0.05681818181818188</v>
      </c>
      <c r="P672" s="36" t="n">
        <v>0.5805574439157035</v>
      </c>
      <c r="Q672" s="36" t="n">
        <v>1.002583979328165</v>
      </c>
      <c r="R672" s="36" t="n">
        <v>0.05179823569328201</v>
      </c>
      <c r="S672" s="36" t="n">
        <v>0.2376347424921261</v>
      </c>
      <c r="T672" s="36" t="n">
        <v>0.3340792701295348</v>
      </c>
      <c r="U672" s="31" t="n">
        <v>260000</v>
      </c>
      <c r="V672" s="31" t="n">
        <v>78000</v>
      </c>
      <c r="W672" s="36" t="n">
        <v>-0.1057692307692307</v>
      </c>
      <c r="X672" s="36" t="n">
        <v>1.980769230769231</v>
      </c>
      <c r="Y672" s="31" t="n">
        <v>11179416</v>
      </c>
      <c r="Z672" s="31" t="n">
        <v>2599214220000</v>
      </c>
      <c r="AA672" s="31" t="n">
        <v>26045347500</v>
      </c>
      <c r="AB672" s="31" t="n">
        <v>25302947750</v>
      </c>
      <c r="AC672" s="36" t="n">
        <v>0.01002046976335794</v>
      </c>
      <c r="AD672" s="29" t="inlineStr">
        <is>
          <t>yfinance_download</t>
        </is>
      </c>
      <c r="AE672" s="29" t="inlineStr">
        <is>
          <t>064760.KQ</t>
        </is>
      </c>
    </row>
    <row r="673" ht="24" customHeight="1">
      <c r="A673" s="24" t="inlineStr">
        <is>
          <t>2026-03-16</t>
        </is>
      </c>
      <c r="B673" s="30" t="n">
        <v>231000</v>
      </c>
      <c r="C673" s="30" t="n">
        <v>245000</v>
      </c>
      <c r="D673" s="30" t="n">
        <v>230500</v>
      </c>
      <c r="E673" s="30" t="n">
        <v>242500</v>
      </c>
      <c r="F673" s="30" t="n">
        <v>242500</v>
      </c>
      <c r="G673" s="30" t="n">
        <v>86817</v>
      </c>
      <c r="H673" s="35" t="n">
        <v>0.043010752688172</v>
      </c>
      <c r="I673" s="35" t="n">
        <v>-0.06730769230769229</v>
      </c>
      <c r="J673" s="30" t="n">
        <v>222750</v>
      </c>
      <c r="K673" s="30" t="n">
        <v>189460</v>
      </c>
      <c r="L673" s="30" t="n">
        <v>175298.3333333333</v>
      </c>
      <c r="M673" s="35" t="n">
        <v>1.207082093244261</v>
      </c>
      <c r="N673" s="35" t="n">
        <v>0.9459445834062009</v>
      </c>
      <c r="O673" s="35" t="n">
        <v>0.1630695443645085</v>
      </c>
      <c r="P673" s="35" t="n">
        <v>0.6564207650273224</v>
      </c>
      <c r="Q673" s="35" t="n">
        <v>1.020833333333333</v>
      </c>
      <c r="R673" s="35" t="n">
        <v>0.08866442199775526</v>
      </c>
      <c r="S673" s="35" t="n">
        <v>0.2799535522009924</v>
      </c>
      <c r="T673" s="35" t="n">
        <v>0.3833559931164965</v>
      </c>
      <c r="U673" s="30" t="n">
        <v>260000</v>
      </c>
      <c r="V673" s="30" t="n">
        <v>78000</v>
      </c>
      <c r="W673" s="35" t="n">
        <v>-0.06730769230769229</v>
      </c>
      <c r="X673" s="35" t="n">
        <v>2.108974358974359</v>
      </c>
      <c r="Y673" s="30" t="n">
        <v>11179416</v>
      </c>
      <c r="Z673" s="30" t="n">
        <v>2711008380000</v>
      </c>
      <c r="AA673" s="30" t="n">
        <v>21053122500</v>
      </c>
      <c r="AB673" s="30" t="n">
        <v>25582923725</v>
      </c>
      <c r="AC673" s="35" t="n">
        <v>0.007765790270260987</v>
      </c>
      <c r="AD673" s="24" t="inlineStr">
        <is>
          <t>yfinance_download</t>
        </is>
      </c>
      <c r="AE673" s="24" t="inlineStr">
        <is>
          <t>064760.KQ</t>
        </is>
      </c>
    </row>
    <row r="674" ht="24" customHeight="1">
      <c r="A674" s="29" t="inlineStr">
        <is>
          <t>2026-03-17</t>
        </is>
      </c>
      <c r="B674" s="31" t="n">
        <v>250000</v>
      </c>
      <c r="C674" s="31" t="n">
        <v>250500</v>
      </c>
      <c r="D674" s="31" t="n">
        <v>229000</v>
      </c>
      <c r="E674" s="31" t="n">
        <v>230500</v>
      </c>
      <c r="F674" s="31" t="n">
        <v>230500</v>
      </c>
      <c r="G674" s="31" t="n">
        <v>76999</v>
      </c>
      <c r="H674" s="36" t="n">
        <v>-0.04948453608247427</v>
      </c>
      <c r="I674" s="36" t="n">
        <v>-0.1134615384615385</v>
      </c>
      <c r="J674" s="31" t="n">
        <v>223925</v>
      </c>
      <c r="K674" s="31" t="n">
        <v>190876.6666666667</v>
      </c>
      <c r="L674" s="31" t="n">
        <v>176076.6666666667</v>
      </c>
      <c r="M674" s="36" t="n">
        <v>1.224381572282087</v>
      </c>
      <c r="N674" s="36" t="n">
        <v>0.9532749663440062</v>
      </c>
      <c r="O674" s="36" t="n">
        <v>0.1135265700483092</v>
      </c>
      <c r="P674" s="36" t="n">
        <v>0.5841924398625429</v>
      </c>
      <c r="Q674" s="36" t="n">
        <v>0.6812545587162655</v>
      </c>
      <c r="R674" s="36" t="n">
        <v>0.02936250976889587</v>
      </c>
      <c r="S674" s="36" t="n">
        <v>0.2075860503291829</v>
      </c>
      <c r="T674" s="36" t="n">
        <v>0.3090888438748274</v>
      </c>
      <c r="U674" s="31" t="n">
        <v>260000</v>
      </c>
      <c r="V674" s="31" t="n">
        <v>78000</v>
      </c>
      <c r="W674" s="36" t="n">
        <v>-0.1134615384615385</v>
      </c>
      <c r="X674" s="36" t="n">
        <v>1.955128205128205</v>
      </c>
      <c r="Y674" s="31" t="n">
        <v>11179416</v>
      </c>
      <c r="Z674" s="31" t="n">
        <v>2576855388000</v>
      </c>
      <c r="AA674" s="31" t="n">
        <v>17748269500</v>
      </c>
      <c r="AB674" s="31" t="n">
        <v>25970794450</v>
      </c>
      <c r="AC674" s="36" t="n">
        <v>0.006887569082320579</v>
      </c>
      <c r="AD674" s="29" t="inlineStr">
        <is>
          <t>yfinance_download</t>
        </is>
      </c>
      <c r="AE674" s="29" t="inlineStr">
        <is>
          <t>064760.KQ</t>
        </is>
      </c>
    </row>
    <row r="675" ht="24" customHeight="1">
      <c r="A675" s="24" t="inlineStr">
        <is>
          <t>2026-03-18</t>
        </is>
      </c>
      <c r="B675" s="30" t="n">
        <v>235000</v>
      </c>
      <c r="C675" s="30" t="n">
        <v>239500</v>
      </c>
      <c r="D675" s="30" t="n">
        <v>229000</v>
      </c>
      <c r="E675" s="30" t="n">
        <v>236000</v>
      </c>
      <c r="F675" s="30" t="n">
        <v>236000</v>
      </c>
      <c r="G675" s="30" t="n">
        <v>61797</v>
      </c>
      <c r="H675" s="35" t="n">
        <v>0.02386117136659438</v>
      </c>
      <c r="I675" s="35" t="n">
        <v>-0.09230769230769231</v>
      </c>
      <c r="J675" s="30" t="n">
        <v>224675</v>
      </c>
      <c r="K675" s="30" t="n">
        <v>192363.3333333333</v>
      </c>
      <c r="L675" s="30" t="n">
        <v>176869.1666666667</v>
      </c>
      <c r="M675" s="35" t="n">
        <v>1.205871770801835</v>
      </c>
      <c r="N675" s="35" t="n">
        <v>0.9537325800349061</v>
      </c>
      <c r="O675" s="35" t="n">
        <v>0.0678733031674208</v>
      </c>
      <c r="P675" s="35" t="n">
        <v>0.6076294277929155</v>
      </c>
      <c r="Q675" s="35" t="n">
        <v>0.6749467707594039</v>
      </c>
      <c r="R675" s="35" t="n">
        <v>0.05040614220540784</v>
      </c>
      <c r="S675" s="35" t="n">
        <v>0.2268450328371656</v>
      </c>
      <c r="T675" s="35" t="n">
        <v>0.3343196242043318</v>
      </c>
      <c r="U675" s="30" t="n">
        <v>260000</v>
      </c>
      <c r="V675" s="30" t="n">
        <v>78000</v>
      </c>
      <c r="W675" s="35" t="n">
        <v>-0.09230769230769231</v>
      </c>
      <c r="X675" s="35" t="n">
        <v>2.025641025641026</v>
      </c>
      <c r="Y675" s="30" t="n">
        <v>11179416</v>
      </c>
      <c r="Z675" s="30" t="n">
        <v>2638342176000</v>
      </c>
      <c r="AA675" s="30" t="n">
        <v>14584092000</v>
      </c>
      <c r="AB675" s="30" t="n">
        <v>25531516800</v>
      </c>
      <c r="AC675" s="35" t="n">
        <v>0.005527748497774839</v>
      </c>
      <c r="AD675" s="24" t="inlineStr">
        <is>
          <t>yfinance_download</t>
        </is>
      </c>
      <c r="AE675" s="24" t="inlineStr">
        <is>
          <t>064760.KQ</t>
        </is>
      </c>
    </row>
    <row r="676" ht="24" customHeight="1">
      <c r="A676" s="29" t="inlineStr">
        <is>
          <t>2026-03-19</t>
        </is>
      </c>
      <c r="B676" s="31" t="n">
        <v>227500</v>
      </c>
      <c r="C676" s="31" t="n">
        <v>245000</v>
      </c>
      <c r="D676" s="31" t="n">
        <v>223500</v>
      </c>
      <c r="E676" s="31" t="n">
        <v>242500</v>
      </c>
      <c r="F676" s="31" t="n">
        <v>242500</v>
      </c>
      <c r="G676" s="31" t="n">
        <v>76212</v>
      </c>
      <c r="H676" s="36" t="n">
        <v>0.02754237288135597</v>
      </c>
      <c r="I676" s="36" t="n">
        <v>-0.06730769230769229</v>
      </c>
      <c r="J676" s="31" t="n">
        <v>226525</v>
      </c>
      <c r="K676" s="31" t="n">
        <v>194096.6666666667</v>
      </c>
      <c r="L676" s="31" t="n">
        <v>177675</v>
      </c>
      <c r="M676" s="36" t="n">
        <v>1.173586083850636</v>
      </c>
      <c r="N676" s="36" t="n">
        <v>0.944318464847523</v>
      </c>
      <c r="O676" s="36" t="n">
        <v>0.1800486618004866</v>
      </c>
      <c r="P676" s="36" t="n">
        <v>0.7509025270758123</v>
      </c>
      <c r="Q676" s="36" t="n">
        <v>0.6632373113854595</v>
      </c>
      <c r="R676" s="36" t="n">
        <v>0.07052201743736886</v>
      </c>
      <c r="S676" s="36" t="n">
        <v>0.2493774579676793</v>
      </c>
      <c r="T676" s="36" t="n">
        <v>0.3648515548051217</v>
      </c>
      <c r="U676" s="31" t="n">
        <v>260000</v>
      </c>
      <c r="V676" s="31" t="n">
        <v>78000</v>
      </c>
      <c r="W676" s="36" t="n">
        <v>-0.06730769230769229</v>
      </c>
      <c r="X676" s="36" t="n">
        <v>2.108974358974359</v>
      </c>
      <c r="Y676" s="31" t="n">
        <v>11179416</v>
      </c>
      <c r="Z676" s="31" t="n">
        <v>2711008380000</v>
      </c>
      <c r="AA676" s="31" t="n">
        <v>18481410000</v>
      </c>
      <c r="AB676" s="31" t="n">
        <v>25626816075</v>
      </c>
      <c r="AC676" s="36" t="n">
        <v>0.006817171845112482</v>
      </c>
      <c r="AD676" s="29" t="inlineStr">
        <is>
          <t>yfinance_download</t>
        </is>
      </c>
      <c r="AE676" s="29" t="inlineStr">
        <is>
          <t>064760.KQ</t>
        </is>
      </c>
    </row>
    <row r="677" ht="24" customHeight="1">
      <c r="A677" s="24" t="inlineStr">
        <is>
          <t>2026-03-20</t>
        </is>
      </c>
      <c r="B677" s="30" t="n">
        <v>242500</v>
      </c>
      <c r="C677" s="30" t="n">
        <v>256500</v>
      </c>
      <c r="D677" s="30" t="n">
        <v>236000</v>
      </c>
      <c r="E677" s="30" t="n">
        <v>253000</v>
      </c>
      <c r="F677" s="30" t="n">
        <v>253000</v>
      </c>
      <c r="G677" s="30" t="n">
        <v>95264</v>
      </c>
      <c r="H677" s="35" t="n">
        <v>0.04329896907216502</v>
      </c>
      <c r="I677" s="35" t="n">
        <v>-0.02692307692307694</v>
      </c>
      <c r="J677" s="30" t="n">
        <v>228375</v>
      </c>
      <c r="K677" s="30" t="n">
        <v>195880</v>
      </c>
      <c r="L677" s="30" t="n">
        <v>178541.6666666667</v>
      </c>
      <c r="M677" s="35" t="n">
        <v>1.170357244946507</v>
      </c>
      <c r="N677" s="35" t="n">
        <v>0.9424642925161502</v>
      </c>
      <c r="O677" s="35" t="n">
        <v>0.1712962962962963</v>
      </c>
      <c r="P677" s="35" t="n">
        <v>0.7328767123287672</v>
      </c>
      <c r="Q677" s="35" t="n">
        <v>0.6979865771812082</v>
      </c>
      <c r="R677" s="35" t="n">
        <v>0.1078270388615217</v>
      </c>
      <c r="S677" s="35" t="n">
        <v>0.2916071063916683</v>
      </c>
      <c r="T677" s="35" t="n">
        <v>0.4170361726954492</v>
      </c>
      <c r="U677" s="30" t="n">
        <v>260000</v>
      </c>
      <c r="V677" s="30" t="n">
        <v>78000</v>
      </c>
      <c r="W677" s="35" t="n">
        <v>-0.02692307692307694</v>
      </c>
      <c r="X677" s="35" t="n">
        <v>2.243589743589744</v>
      </c>
      <c r="Y677" s="30" t="n">
        <v>11179416</v>
      </c>
      <c r="Z677" s="30" t="n">
        <v>2828392248000</v>
      </c>
      <c r="AA677" s="30" t="n">
        <v>24101792000</v>
      </c>
      <c r="AB677" s="30" t="n">
        <v>25699644475</v>
      </c>
      <c r="AC677" s="35" t="n">
        <v>0.008521375356279792</v>
      </c>
      <c r="AD677" s="24" t="inlineStr">
        <is>
          <t>yfinance_download</t>
        </is>
      </c>
      <c r="AE677" s="24" t="inlineStr">
        <is>
          <t>064760.KQ</t>
        </is>
      </c>
    </row>
    <row r="678" ht="24" customHeight="1">
      <c r="A678" s="29" t="inlineStr">
        <is>
          <t>2026-03-23</t>
        </is>
      </c>
      <c r="B678" s="31" t="n">
        <v>242000</v>
      </c>
      <c r="C678" s="31" t="n">
        <v>251500</v>
      </c>
      <c r="D678" s="31" t="n">
        <v>232000</v>
      </c>
      <c r="E678" s="31" t="n">
        <v>235000</v>
      </c>
      <c r="F678" s="31" t="n">
        <v>235000</v>
      </c>
      <c r="G678" s="31" t="n">
        <v>74922</v>
      </c>
      <c r="H678" s="36" t="n">
        <v>-0.07114624505928857</v>
      </c>
      <c r="I678" s="36" t="n">
        <v>-0.09615384615384615</v>
      </c>
      <c r="J678" s="31" t="n">
        <v>229450</v>
      </c>
      <c r="K678" s="31" t="n">
        <v>197473.3333333333</v>
      </c>
      <c r="L678" s="31" t="n">
        <v>179182.5</v>
      </c>
      <c r="M678" s="36" t="n">
        <v>1.203820200960853</v>
      </c>
      <c r="N678" s="36" t="n">
        <v>0.9505249441813014</v>
      </c>
      <c r="O678" s="36" t="n">
        <v>0.1007025761124121</v>
      </c>
      <c r="P678" s="36" t="n">
        <v>0.6857962697274032</v>
      </c>
      <c r="Q678" s="36" t="n">
        <v>0.4864010120177102</v>
      </c>
      <c r="R678" s="36" t="n">
        <v>0.0241882763129222</v>
      </c>
      <c r="S678" s="36" t="n">
        <v>0.1900340974308767</v>
      </c>
      <c r="T678" s="36" t="n">
        <v>0.3115120059157563</v>
      </c>
      <c r="U678" s="31" t="n">
        <v>260000</v>
      </c>
      <c r="V678" s="31" t="n">
        <v>78000</v>
      </c>
      <c r="W678" s="36" t="n">
        <v>-0.09615384615384615</v>
      </c>
      <c r="X678" s="36" t="n">
        <v>2.012820512820513</v>
      </c>
      <c r="Y678" s="31" t="n">
        <v>11179416</v>
      </c>
      <c r="Z678" s="31" t="n">
        <v>2627162760000</v>
      </c>
      <c r="AA678" s="31" t="n">
        <v>17606670000</v>
      </c>
      <c r="AB678" s="31" t="n">
        <v>25729532750</v>
      </c>
      <c r="AC678" s="36" t="n">
        <v>0.006701781202166553</v>
      </c>
      <c r="AD678" s="29" t="inlineStr">
        <is>
          <t>yfinance_download</t>
        </is>
      </c>
      <c r="AE678" s="29" t="inlineStr">
        <is>
          <t>064760.KQ</t>
        </is>
      </c>
    </row>
    <row r="679" ht="24" customHeight="1">
      <c r="A679" s="24" t="inlineStr">
        <is>
          <t>2026-03-24</t>
        </is>
      </c>
      <c r="B679" s="30" t="n">
        <v>243000</v>
      </c>
      <c r="C679" s="30" t="n">
        <v>246000</v>
      </c>
      <c r="D679" s="30" t="n">
        <v>221500</v>
      </c>
      <c r="E679" s="30" t="n">
        <v>230000</v>
      </c>
      <c r="F679" s="30" t="n">
        <v>230000</v>
      </c>
      <c r="G679" s="30" t="n">
        <v>79358</v>
      </c>
      <c r="H679" s="35" t="n">
        <v>-0.02127659574468088</v>
      </c>
      <c r="I679" s="35" t="n">
        <v>-0.1153846153846154</v>
      </c>
      <c r="J679" s="30" t="n">
        <v>230350</v>
      </c>
      <c r="K679" s="30" t="n">
        <v>198960</v>
      </c>
      <c r="L679" s="30" t="n">
        <v>179771.6666666667</v>
      </c>
      <c r="M679" s="35" t="n">
        <v>1.207147503055708</v>
      </c>
      <c r="N679" s="35" t="n">
        <v>0.9527490709310757</v>
      </c>
      <c r="O679" s="35" t="n">
        <v>0.08490566037735858</v>
      </c>
      <c r="P679" s="35" t="n">
        <v>0.6335227272727273</v>
      </c>
      <c r="Q679" s="35" t="n">
        <v>0.4438166980539862</v>
      </c>
      <c r="R679" s="35" t="n">
        <v>-0.001519426958975445</v>
      </c>
      <c r="S679" s="35" t="n">
        <v>0.1560112585444311</v>
      </c>
      <c r="T679" s="35" t="n">
        <v>0.2794007212853342</v>
      </c>
      <c r="U679" s="30" t="n">
        <v>260000</v>
      </c>
      <c r="V679" s="30" t="n">
        <v>78000</v>
      </c>
      <c r="W679" s="35" t="n">
        <v>-0.1153846153846154</v>
      </c>
      <c r="X679" s="35" t="n">
        <v>1.948717948717949</v>
      </c>
      <c r="Y679" s="30" t="n">
        <v>11179416</v>
      </c>
      <c r="Z679" s="30" t="n">
        <v>2571265680000</v>
      </c>
      <c r="AA679" s="30" t="n">
        <v>18252340000</v>
      </c>
      <c r="AB679" s="30" t="n">
        <v>25635722150</v>
      </c>
      <c r="AC679" s="35" t="n">
        <v>0.00709858189372325</v>
      </c>
      <c r="AD679" s="24" t="inlineStr">
        <is>
          <t>yfinance_download</t>
        </is>
      </c>
      <c r="AE679" s="24" t="inlineStr">
        <is>
          <t>064760.KQ</t>
        </is>
      </c>
    </row>
    <row r="680" ht="24" customHeight="1">
      <c r="A680" s="29" t="inlineStr">
        <is>
          <t>2026-03-25</t>
        </is>
      </c>
      <c r="B680" s="31" t="n">
        <v>235500</v>
      </c>
      <c r="C680" s="31" t="n">
        <v>248500</v>
      </c>
      <c r="D680" s="31" t="n">
        <v>233000</v>
      </c>
      <c r="E680" s="31" t="n">
        <v>240000</v>
      </c>
      <c r="F680" s="31" t="n">
        <v>240000</v>
      </c>
      <c r="G680" s="31" t="n">
        <v>67152</v>
      </c>
      <c r="H680" s="36" t="n">
        <v>0.04347826086956519</v>
      </c>
      <c r="I680" s="36" t="n">
        <v>-0.07692307692307687</v>
      </c>
      <c r="J680" s="31" t="n">
        <v>231375</v>
      </c>
      <c r="K680" s="31" t="n">
        <v>200520</v>
      </c>
      <c r="L680" s="31" t="n">
        <v>180424.1666666667</v>
      </c>
      <c r="M680" s="36" t="n">
        <v>1.210037784943456</v>
      </c>
      <c r="N680" s="36" t="n">
        <v>0.9532746982205187</v>
      </c>
      <c r="O680" s="36" t="n">
        <v>0.09339407744874717</v>
      </c>
      <c r="P680" s="36" t="n">
        <v>0.639344262295082</v>
      </c>
      <c r="Q680" s="36" t="n">
        <v>0.484230055658627</v>
      </c>
      <c r="R680" s="36" t="n">
        <v>0.03727714748784439</v>
      </c>
      <c r="S680" s="36" t="n">
        <v>0.1968880909634949</v>
      </c>
      <c r="T680" s="36" t="n">
        <v>0.3301987446249348</v>
      </c>
      <c r="U680" s="31" t="n">
        <v>260000</v>
      </c>
      <c r="V680" s="31" t="n">
        <v>78000</v>
      </c>
      <c r="W680" s="36" t="n">
        <v>-0.07692307692307687</v>
      </c>
      <c r="X680" s="36" t="n">
        <v>2.076923076923077</v>
      </c>
      <c r="Y680" s="31" t="n">
        <v>11179416</v>
      </c>
      <c r="Z680" s="31" t="n">
        <v>2683059840000</v>
      </c>
      <c r="AA680" s="31" t="n">
        <v>16116480000</v>
      </c>
      <c r="AB680" s="31" t="n">
        <v>25718546075</v>
      </c>
      <c r="AC680" s="36" t="n">
        <v>0.006006753841166658</v>
      </c>
      <c r="AD680" s="29" t="inlineStr">
        <is>
          <t>yfinance_download</t>
        </is>
      </c>
      <c r="AE680" s="29" t="inlineStr">
        <is>
          <t>064760.KQ</t>
        </is>
      </c>
    </row>
    <row r="681" ht="24" customHeight="1">
      <c r="A681" s="24" t="inlineStr">
        <is>
          <t>2026-03-26</t>
        </is>
      </c>
      <c r="B681" s="30" t="n">
        <v>236000</v>
      </c>
      <c r="C681" s="30" t="n">
        <v>258000</v>
      </c>
      <c r="D681" s="30" t="n">
        <v>234000</v>
      </c>
      <c r="E681" s="30" t="n">
        <v>244500</v>
      </c>
      <c r="F681" s="30" t="n">
        <v>244500</v>
      </c>
      <c r="G681" s="30" t="n">
        <v>99186</v>
      </c>
      <c r="H681" s="35" t="n">
        <v>0.01875000000000004</v>
      </c>
      <c r="I681" s="35" t="n">
        <v>-0.05961538461538463</v>
      </c>
      <c r="J681" s="30" t="n">
        <v>232850</v>
      </c>
      <c r="K681" s="30" t="n">
        <v>202165</v>
      </c>
      <c r="L681" s="30" t="n">
        <v>181121.6666666667</v>
      </c>
      <c r="M681" s="35" t="n">
        <v>1.206170090801167</v>
      </c>
      <c r="N681" s="35" t="n">
        <v>0.9529807684300886</v>
      </c>
      <c r="O681" s="35" t="n">
        <v>0.1372093023255814</v>
      </c>
      <c r="P681" s="35" t="n">
        <v>0.676954732510288</v>
      </c>
      <c r="Q681" s="35" t="n">
        <v>0.5205223880597014</v>
      </c>
      <c r="R681" s="35" t="n">
        <v>0.05003220957698096</v>
      </c>
      <c r="S681" s="35" t="n">
        <v>0.2094081567036827</v>
      </c>
      <c r="T681" s="35" t="n">
        <v>0.3499213236038392</v>
      </c>
      <c r="U681" s="30" t="n">
        <v>260000</v>
      </c>
      <c r="V681" s="30" t="n">
        <v>78000</v>
      </c>
      <c r="W681" s="35" t="n">
        <v>-0.05961538461538463</v>
      </c>
      <c r="X681" s="35" t="n">
        <v>2.134615384615385</v>
      </c>
      <c r="Y681" s="30" t="n">
        <v>11179416</v>
      </c>
      <c r="Z681" s="30" t="n">
        <v>2733367212000</v>
      </c>
      <c r="AA681" s="30" t="n">
        <v>24250977000</v>
      </c>
      <c r="AB681" s="30" t="n">
        <v>26095615675</v>
      </c>
      <c r="AC681" s="35" t="n">
        <v>0.008872198690879738</v>
      </c>
      <c r="AD681" s="24" t="inlineStr">
        <is>
          <t>yfinance_download</t>
        </is>
      </c>
      <c r="AE681" s="24" t="inlineStr">
        <is>
          <t>064760.KQ</t>
        </is>
      </c>
    </row>
    <row r="682" ht="24" customHeight="1">
      <c r="A682" s="29" t="inlineStr">
        <is>
          <t>2026-03-27</t>
        </is>
      </c>
      <c r="B682" s="31" t="n">
        <v>236000</v>
      </c>
      <c r="C682" s="31" t="n">
        <v>245500</v>
      </c>
      <c r="D682" s="31" t="n">
        <v>227000</v>
      </c>
      <c r="E682" s="31" t="n">
        <v>239000</v>
      </c>
      <c r="F682" s="31" t="n">
        <v>239000</v>
      </c>
      <c r="G682" s="31" t="n">
        <v>54113</v>
      </c>
      <c r="H682" s="36" t="n">
        <v>-0.02249488752556239</v>
      </c>
      <c r="I682" s="36" t="n">
        <v>-0.08076923076923082</v>
      </c>
      <c r="J682" s="31" t="n">
        <v>232975</v>
      </c>
      <c r="K682" s="31" t="n">
        <v>203763.3333333333</v>
      </c>
      <c r="L682" s="31" t="n">
        <v>181734.1666666667</v>
      </c>
      <c r="M682" s="36" t="n">
        <v>1.161242124246131</v>
      </c>
      <c r="N682" s="36" t="n">
        <v>0.9535305990512317</v>
      </c>
      <c r="O682" s="36" t="n">
        <v>0.01057082452431279</v>
      </c>
      <c r="P682" s="36" t="n">
        <v>0.6701607267645004</v>
      </c>
      <c r="Q682" s="36" t="n">
        <v>0.4441087613293051</v>
      </c>
      <c r="R682" s="36" t="n">
        <v>0.02586114389955996</v>
      </c>
      <c r="S682" s="36" t="n">
        <v>0.1729293788545534</v>
      </c>
      <c r="T682" s="36" t="n">
        <v>0.3151076893447848</v>
      </c>
      <c r="U682" s="31" t="n">
        <v>260000</v>
      </c>
      <c r="V682" s="31" t="n">
        <v>78000</v>
      </c>
      <c r="W682" s="36" t="n">
        <v>-0.08076923076923082</v>
      </c>
      <c r="X682" s="36" t="n">
        <v>2.064102564102564</v>
      </c>
      <c r="Y682" s="31" t="n">
        <v>11179416</v>
      </c>
      <c r="Z682" s="31" t="n">
        <v>2671880424000</v>
      </c>
      <c r="AA682" s="31" t="n">
        <v>12933007000</v>
      </c>
      <c r="AB682" s="31" t="n">
        <v>24963644125</v>
      </c>
      <c r="AC682" s="36" t="n">
        <v>0.004840413846304673</v>
      </c>
      <c r="AD682" s="29" t="inlineStr">
        <is>
          <t>yfinance_download</t>
        </is>
      </c>
      <c r="AE682" s="29" t="inlineStr">
        <is>
          <t>064760.KQ</t>
        </is>
      </c>
    </row>
    <row r="683" ht="24" customHeight="1">
      <c r="A683" s="24" t="inlineStr">
        <is>
          <t>2026-03-30</t>
        </is>
      </c>
      <c r="B683" s="30" t="n">
        <v>230000</v>
      </c>
      <c r="C683" s="30" t="n">
        <v>236000</v>
      </c>
      <c r="D683" s="30" t="n">
        <v>216500</v>
      </c>
      <c r="E683" s="30" t="n">
        <v>231000</v>
      </c>
      <c r="F683" s="30" t="n">
        <v>231000</v>
      </c>
      <c r="G683" s="30" t="n">
        <v>51073</v>
      </c>
      <c r="H683" s="35" t="n">
        <v>-0.03347280334728031</v>
      </c>
      <c r="I683" s="35" t="n">
        <v>-0.1115384615384616</v>
      </c>
      <c r="J683" s="30" t="n">
        <v>233300</v>
      </c>
      <c r="K683" s="30" t="n">
        <v>205180</v>
      </c>
      <c r="L683" s="30" t="n">
        <v>182311.6666666667</v>
      </c>
      <c r="M683" s="35" t="n">
        <v>1.152234891998084</v>
      </c>
      <c r="N683" s="35" t="n">
        <v>0.9574884758570472</v>
      </c>
      <c r="O683" s="35" t="n">
        <v>0.02895322939866363</v>
      </c>
      <c r="P683" s="35" t="n">
        <v>0.5821917808219179</v>
      </c>
      <c r="Q683" s="35" t="n">
        <v>0.4285714285714286</v>
      </c>
      <c r="R683" s="35" t="n">
        <v>-0.009858551221603062</v>
      </c>
      <c r="S683" s="35" t="n">
        <v>0.1258407252168827</v>
      </c>
      <c r="T683" s="35" t="n">
        <v>0.2670609853090404</v>
      </c>
      <c r="U683" s="30" t="n">
        <v>260000</v>
      </c>
      <c r="V683" s="30" t="n">
        <v>78000</v>
      </c>
      <c r="W683" s="35" t="n">
        <v>-0.1115384615384616</v>
      </c>
      <c r="X683" s="35" t="n">
        <v>1.961538461538462</v>
      </c>
      <c r="Y683" s="30" t="n">
        <v>11179416</v>
      </c>
      <c r="Z683" s="30" t="n">
        <v>2582445096000</v>
      </c>
      <c r="AA683" s="30" t="n">
        <v>11797863000</v>
      </c>
      <c r="AB683" s="30" t="n">
        <v>24446774725</v>
      </c>
      <c r="AC683" s="35" t="n">
        <v>0.004568485509439849</v>
      </c>
      <c r="AD683" s="24" t="inlineStr">
        <is>
          <t>yfinance_download</t>
        </is>
      </c>
      <c r="AE683" s="24" t="inlineStr">
        <is>
          <t>064760.KQ</t>
        </is>
      </c>
    </row>
    <row r="684" ht="24" customHeight="1">
      <c r="A684" s="29" t="inlineStr">
        <is>
          <t>2026-03-31</t>
        </is>
      </c>
      <c r="B684" s="31" t="n">
        <v>225000</v>
      </c>
      <c r="C684" s="31" t="n">
        <v>236500</v>
      </c>
      <c r="D684" s="31" t="n">
        <v>219500</v>
      </c>
      <c r="E684" s="31" t="n">
        <v>228500</v>
      </c>
      <c r="F684" s="31" t="n">
        <v>228500</v>
      </c>
      <c r="G684" s="31" t="n">
        <v>80170</v>
      </c>
      <c r="H684" s="36" t="n">
        <v>-0.01082251082251084</v>
      </c>
      <c r="I684" s="36" t="n">
        <v>-0.1211538461538462</v>
      </c>
      <c r="J684" s="31" t="n">
        <v>233875</v>
      </c>
      <c r="K684" s="31" t="n">
        <v>206623.3333333333</v>
      </c>
      <c r="L684" s="31" t="n">
        <v>182908.3333333333</v>
      </c>
      <c r="M684" s="36" t="n">
        <v>1.145325045445936</v>
      </c>
      <c r="N684" s="36" t="n">
        <v>0.9552514502769273</v>
      </c>
      <c r="O684" s="36" t="n">
        <v>0.05299539170506917</v>
      </c>
      <c r="P684" s="36" t="n">
        <v>0.6102889358703312</v>
      </c>
      <c r="Q684" s="36" t="n">
        <v>0.4563416188655194</v>
      </c>
      <c r="R684" s="36" t="n">
        <v>-0.0229823623730625</v>
      </c>
      <c r="S684" s="36" t="n">
        <v>0.1058770387339281</v>
      </c>
      <c r="T684" s="36" t="n">
        <v>0.2492596473643445</v>
      </c>
      <c r="U684" s="31" t="n">
        <v>260000</v>
      </c>
      <c r="V684" s="31" t="n">
        <v>78000</v>
      </c>
      <c r="W684" s="36" t="n">
        <v>-0.1211538461538462</v>
      </c>
      <c r="X684" s="36" t="n">
        <v>1.929487179487179</v>
      </c>
      <c r="Y684" s="31" t="n">
        <v>11179416</v>
      </c>
      <c r="Z684" s="31" t="n">
        <v>2554496556000</v>
      </c>
      <c r="AA684" s="31" t="n">
        <v>18318845000</v>
      </c>
      <c r="AB684" s="31" t="n">
        <v>24183408775</v>
      </c>
      <c r="AC684" s="36" t="n">
        <v>0.007171215383701617</v>
      </c>
      <c r="AD684" s="29" t="inlineStr">
        <is>
          <t>yfinance_download</t>
        </is>
      </c>
      <c r="AE684" s="29" t="inlineStr">
        <is>
          <t>064760.KQ</t>
        </is>
      </c>
    </row>
    <row r="685" ht="24" customHeight="1">
      <c r="A685" s="24" t="inlineStr">
        <is>
          <t>2026-04-01</t>
        </is>
      </c>
      <c r="B685" s="30" t="n">
        <v>239500</v>
      </c>
      <c r="C685" s="30" t="n">
        <v>241000</v>
      </c>
      <c r="D685" s="30" t="n">
        <v>229000</v>
      </c>
      <c r="E685" s="30" t="n">
        <v>232500</v>
      </c>
      <c r="F685" s="30" t="n">
        <v>232500</v>
      </c>
      <c r="G685" s="30" t="n">
        <v>83201</v>
      </c>
      <c r="H685" s="35" t="n">
        <v>0.01750547045951856</v>
      </c>
      <c r="I685" s="35" t="n">
        <v>-0.1057692307692307</v>
      </c>
      <c r="J685" s="30" t="n">
        <v>235525</v>
      </c>
      <c r="K685" s="30" t="n">
        <v>208128.3333333333</v>
      </c>
      <c r="L685" s="30" t="n">
        <v>183459.1666666667</v>
      </c>
      <c r="M685" s="35" t="n">
        <v>1.100136917709857</v>
      </c>
      <c r="N685" s="35" t="n">
        <v>0.9552493074534503</v>
      </c>
      <c r="O685" s="35" t="n">
        <v>0.1654135338345866</v>
      </c>
      <c r="P685" s="35" t="n">
        <v>0.6350210970464134</v>
      </c>
      <c r="Q685" s="35" t="n">
        <v>0.3972355769230769</v>
      </c>
      <c r="R685" s="35" t="n">
        <v>-0.01284364717121322</v>
      </c>
      <c r="S685" s="35" t="n">
        <v>0.1170992256380277</v>
      </c>
      <c r="T685" s="35" t="n">
        <v>0.2673119813219109</v>
      </c>
      <c r="U685" s="30" t="n">
        <v>260000</v>
      </c>
      <c r="V685" s="30" t="n">
        <v>78000</v>
      </c>
      <c r="W685" s="35" t="n">
        <v>-0.1057692307692307</v>
      </c>
      <c r="X685" s="35" t="n">
        <v>1.980769230769231</v>
      </c>
      <c r="Y685" s="30" t="n">
        <v>11179416</v>
      </c>
      <c r="Z685" s="30" t="n">
        <v>2599214220000</v>
      </c>
      <c r="AA685" s="30" t="n">
        <v>19344232500</v>
      </c>
      <c r="AB685" s="30" t="n">
        <v>23876942575</v>
      </c>
      <c r="AC685" s="35" t="n">
        <v>0.007442338669569144</v>
      </c>
      <c r="AD685" s="24" t="inlineStr">
        <is>
          <t>yfinance_download</t>
        </is>
      </c>
      <c r="AE685" s="24" t="inlineStr">
        <is>
          <t>064760.KQ</t>
        </is>
      </c>
    </row>
    <row r="686" ht="24" customHeight="1">
      <c r="A686" s="29" t="inlineStr">
        <is>
          <t>2026-04-02</t>
        </is>
      </c>
      <c r="B686" s="31" t="n">
        <v>232500</v>
      </c>
      <c r="C686" s="31" t="n">
        <v>233500</v>
      </c>
      <c r="D686" s="31" t="n">
        <v>210500</v>
      </c>
      <c r="E686" s="31" t="n">
        <v>215500</v>
      </c>
      <c r="F686" s="31" t="n">
        <v>215500</v>
      </c>
      <c r="G686" s="31" t="n">
        <v>67645</v>
      </c>
      <c r="H686" s="36" t="n">
        <v>-0.07311827956989247</v>
      </c>
      <c r="I686" s="36" t="n">
        <v>-0.1711538461538461</v>
      </c>
      <c r="J686" s="31" t="n">
        <v>234050</v>
      </c>
      <c r="K686" s="31" t="n">
        <v>209285</v>
      </c>
      <c r="L686" s="31" t="n">
        <v>183796.6666666667</v>
      </c>
      <c r="M686" s="36" t="n">
        <v>0.780963286347514</v>
      </c>
      <c r="N686" s="36" t="n">
        <v>0.9695185671021365</v>
      </c>
      <c r="O686" s="36" t="n">
        <v>-0.1204081632653061</v>
      </c>
      <c r="P686" s="36" t="n">
        <v>0.4750171115674195</v>
      </c>
      <c r="Q686" s="36" t="n">
        <v>0.2314285714285715</v>
      </c>
      <c r="R686" s="36" t="n">
        <v>-0.07925656910916468</v>
      </c>
      <c r="S686" s="36" t="n">
        <v>0.02969634708650881</v>
      </c>
      <c r="T686" s="36" t="n">
        <v>0.1724913400678287</v>
      </c>
      <c r="U686" s="31" t="n">
        <v>260000</v>
      </c>
      <c r="V686" s="31" t="n">
        <v>78000</v>
      </c>
      <c r="W686" s="36" t="n">
        <v>-0.1711538461538461</v>
      </c>
      <c r="X686" s="36" t="n">
        <v>1.762820512820513</v>
      </c>
      <c r="Y686" s="31" t="n">
        <v>11179416</v>
      </c>
      <c r="Z686" s="31" t="n">
        <v>2409164148000</v>
      </c>
      <c r="AA686" s="31" t="n">
        <v>14577497500</v>
      </c>
      <c r="AB686" s="31" t="n">
        <v>21768080450</v>
      </c>
      <c r="AC686" s="36" t="n">
        <v>0.006050852745796382</v>
      </c>
      <c r="AD686" s="29" t="inlineStr">
        <is>
          <t>yfinance_download</t>
        </is>
      </c>
      <c r="AE686" s="29" t="inlineStr">
        <is>
          <t>064760.KQ</t>
        </is>
      </c>
    </row>
    <row r="687" ht="24" customHeight="1">
      <c r="A687" s="24" t="inlineStr">
        <is>
          <t>2026-04-03</t>
        </is>
      </c>
      <c r="B687" s="30" t="n">
        <v>220000</v>
      </c>
      <c r="C687" s="30" t="n">
        <v>220500</v>
      </c>
      <c r="D687" s="30" t="n">
        <v>206000</v>
      </c>
      <c r="E687" s="30" t="n">
        <v>212500</v>
      </c>
      <c r="F687" s="30" t="n">
        <v>212500</v>
      </c>
      <c r="G687" s="30" t="n">
        <v>81701</v>
      </c>
      <c r="H687" s="35" t="n">
        <v>-0.0139211136890951</v>
      </c>
      <c r="I687" s="35" t="n">
        <v>-0.1826923076923077</v>
      </c>
      <c r="J687" s="30" t="n">
        <v>231675</v>
      </c>
      <c r="K687" s="30" t="n">
        <v>210241.6666666667</v>
      </c>
      <c r="L687" s="30" t="n">
        <v>184072.5</v>
      </c>
      <c r="M687" s="35" t="n">
        <v>0.7407037959207249</v>
      </c>
      <c r="N687" s="35" t="n">
        <v>0.9641215255076317</v>
      </c>
      <c r="O687" s="35" t="n">
        <v>-0.1826923076923077</v>
      </c>
      <c r="P687" s="35" t="n">
        <v>0.3700838168923275</v>
      </c>
      <c r="Q687" s="35" t="n">
        <v>0.1845039018952062</v>
      </c>
      <c r="R687" s="35" t="n">
        <v>-0.08276680694939031</v>
      </c>
      <c r="S687" s="35" t="n">
        <v>0.01074160688097026</v>
      </c>
      <c r="T687" s="35" t="n">
        <v>0.1544364312974507</v>
      </c>
      <c r="U687" s="30" t="n">
        <v>260000</v>
      </c>
      <c r="V687" s="30" t="n">
        <v>78000</v>
      </c>
      <c r="W687" s="35" t="n">
        <v>-0.1826923076923077</v>
      </c>
      <c r="X687" s="35" t="n">
        <v>1.724358974358974</v>
      </c>
      <c r="Y687" s="30" t="n">
        <v>11179416</v>
      </c>
      <c r="Z687" s="30" t="n">
        <v>2375625900000</v>
      </c>
      <c r="AA687" s="30" t="n">
        <v>17361462500</v>
      </c>
      <c r="AB687" s="30" t="n">
        <v>20511706575</v>
      </c>
      <c r="AC687" s="35" t="n">
        <v>0.007308163503352948</v>
      </c>
      <c r="AD687" s="24" t="inlineStr">
        <is>
          <t>yfinance_download</t>
        </is>
      </c>
      <c r="AE687" s="24" t="inlineStr">
        <is>
          <t>064760.KQ</t>
        </is>
      </c>
    </row>
    <row r="688" ht="24" customHeight="1">
      <c r="A688" s="29" t="inlineStr">
        <is>
          <t>2026-04-06</t>
        </is>
      </c>
      <c r="B688" s="31" t="n">
        <v>214500</v>
      </c>
      <c r="C688" s="31" t="n">
        <v>216500</v>
      </c>
      <c r="D688" s="31" t="n">
        <v>205500</v>
      </c>
      <c r="E688" s="31" t="n">
        <v>210500</v>
      </c>
      <c r="F688" s="31" t="n">
        <v>210500</v>
      </c>
      <c r="G688" s="31" t="n">
        <v>83896</v>
      </c>
      <c r="H688" s="36" t="n">
        <v>-0.009411764705882342</v>
      </c>
      <c r="I688" s="36" t="n">
        <v>-0.1903846153846154</v>
      </c>
      <c r="J688" s="31" t="n">
        <v>230900</v>
      </c>
      <c r="K688" s="31" t="n">
        <v>211053.3333333333</v>
      </c>
      <c r="L688" s="31" t="n">
        <v>184247.5</v>
      </c>
      <c r="M688" s="36" t="n">
        <v>0.5848816304876536</v>
      </c>
      <c r="N688" s="36" t="n">
        <v>0.9617186915431567</v>
      </c>
      <c r="O688" s="36" t="n">
        <v>-0.06858407079646023</v>
      </c>
      <c r="P688" s="36" t="n">
        <v>0.3009888751545118</v>
      </c>
      <c r="Q688" s="36" t="n">
        <v>0.1108179419525066</v>
      </c>
      <c r="R688" s="36" t="n">
        <v>-0.08834993503681243</v>
      </c>
      <c r="S688" s="36" t="n">
        <v>-0.002621770168677817</v>
      </c>
      <c r="T688" s="36" t="n">
        <v>0.1424849726590591</v>
      </c>
      <c r="U688" s="31" t="n">
        <v>260000</v>
      </c>
      <c r="V688" s="31" t="n">
        <v>78000</v>
      </c>
      <c r="W688" s="36" t="n">
        <v>-0.1903846153846154</v>
      </c>
      <c r="X688" s="36" t="n">
        <v>1.698717948717949</v>
      </c>
      <c r="Y688" s="31" t="n">
        <v>11179416</v>
      </c>
      <c r="Z688" s="31" t="n">
        <v>2353267068000</v>
      </c>
      <c r="AA688" s="31" t="n">
        <v>17660108000</v>
      </c>
      <c r="AB688" s="31" t="n">
        <v>19835741375</v>
      </c>
      <c r="AC688" s="36" t="n">
        <v>0.007504506496582648</v>
      </c>
      <c r="AD688" s="29" t="inlineStr">
        <is>
          <t>yfinance_download</t>
        </is>
      </c>
      <c r="AE688" s="29" t="inlineStr">
        <is>
          <t>064760.KQ</t>
        </is>
      </c>
    </row>
    <row r="689" ht="24" customHeight="1">
      <c r="A689" s="24" t="inlineStr">
        <is>
          <t>2026-04-07</t>
        </is>
      </c>
      <c r="B689" s="30" t="n">
        <v>218500</v>
      </c>
      <c r="C689" s="30" t="n">
        <v>230000</v>
      </c>
      <c r="D689" s="30" t="n">
        <v>214500</v>
      </c>
      <c r="E689" s="30" t="n">
        <v>222500</v>
      </c>
      <c r="F689" s="30" t="n">
        <v>222500</v>
      </c>
      <c r="G689" s="30" t="n">
        <v>77964</v>
      </c>
      <c r="H689" s="35" t="n">
        <v>0.05700712589073631</v>
      </c>
      <c r="I689" s="35" t="n">
        <v>-0.1442307692307693</v>
      </c>
      <c r="J689" s="30" t="n">
        <v>231100</v>
      </c>
      <c r="K689" s="30" t="n">
        <v>211971.6666666667</v>
      </c>
      <c r="L689" s="30" t="n">
        <v>184546.6666666667</v>
      </c>
      <c r="M689" s="35" t="n">
        <v>0.6100062450252828</v>
      </c>
      <c r="N689" s="35" t="n">
        <v>0.9656361228946037</v>
      </c>
      <c r="O689" s="35" t="n">
        <v>0.01830663615560635</v>
      </c>
      <c r="P689" s="35" t="n">
        <v>0.3291517323775388</v>
      </c>
      <c r="Q689" s="35" t="n">
        <v>0.192390139335477</v>
      </c>
      <c r="R689" s="35" t="n">
        <v>-0.03721332756382523</v>
      </c>
      <c r="S689" s="35" t="n">
        <v>0.04966858778295857</v>
      </c>
      <c r="T689" s="35" t="n">
        <v>0.2056571057004553</v>
      </c>
      <c r="U689" s="30" t="n">
        <v>260000</v>
      </c>
      <c r="V689" s="30" t="n">
        <v>78000</v>
      </c>
      <c r="W689" s="35" t="n">
        <v>-0.1442307692307693</v>
      </c>
      <c r="X689" s="35" t="n">
        <v>1.852564102564103</v>
      </c>
      <c r="Y689" s="30" t="n">
        <v>11179416</v>
      </c>
      <c r="Z689" s="30" t="n">
        <v>2487420060000</v>
      </c>
      <c r="AA689" s="30" t="n">
        <v>17346990000</v>
      </c>
      <c r="AB689" s="30" t="n">
        <v>19126493200</v>
      </c>
      <c r="AC689" s="35" t="n">
        <v>0.006973888439252999</v>
      </c>
      <c r="AD689" s="24" t="inlineStr">
        <is>
          <t>yfinance_download</t>
        </is>
      </c>
      <c r="AE689" s="24" t="inlineStr">
        <is>
          <t>064760.KQ</t>
        </is>
      </c>
    </row>
    <row r="690" ht="24" customHeight="1">
      <c r="A690" s="29" t="inlineStr">
        <is>
          <t>2026-04-08</t>
        </is>
      </c>
      <c r="B690" s="31" t="n">
        <v>240000</v>
      </c>
      <c r="C690" s="31" t="n">
        <v>246000</v>
      </c>
      <c r="D690" s="31" t="n">
        <v>231000</v>
      </c>
      <c r="E690" s="31" t="n">
        <v>242500</v>
      </c>
      <c r="F690" s="31" t="n">
        <v>242500</v>
      </c>
      <c r="G690" s="31" t="n">
        <v>99247</v>
      </c>
      <c r="H690" s="36" t="n">
        <v>0.0898876404494382</v>
      </c>
      <c r="I690" s="36" t="n">
        <v>-0.06730769230769229</v>
      </c>
      <c r="J690" s="31" t="n">
        <v>232225</v>
      </c>
      <c r="K690" s="31" t="n">
        <v>213355</v>
      </c>
      <c r="L690" s="31" t="n">
        <v>185036.6666666667</v>
      </c>
      <c r="M690" s="36" t="n">
        <v>0.6859395736205325</v>
      </c>
      <c r="N690" s="36" t="n">
        <v>0.9738918502008475</v>
      </c>
      <c r="O690" s="36" t="n">
        <v>0.1022727272727273</v>
      </c>
      <c r="P690" s="36" t="n">
        <v>0.5203761755485894</v>
      </c>
      <c r="Q690" s="36" t="n">
        <v>0.3200870985302122</v>
      </c>
      <c r="R690" s="36" t="n">
        <v>0.04424588222628922</v>
      </c>
      <c r="S690" s="36" t="n">
        <v>0.1366033137259497</v>
      </c>
      <c r="T690" s="36" t="n">
        <v>0.3105510619516854</v>
      </c>
      <c r="U690" s="31" t="n">
        <v>260000</v>
      </c>
      <c r="V690" s="31" t="n">
        <v>78000</v>
      </c>
      <c r="W690" s="36" t="n">
        <v>-0.06730769230769229</v>
      </c>
      <c r="X690" s="36" t="n">
        <v>2.108974358974359</v>
      </c>
      <c r="Y690" s="31" t="n">
        <v>11179416</v>
      </c>
      <c r="Z690" s="31" t="n">
        <v>2711008380000</v>
      </c>
      <c r="AA690" s="31" t="n">
        <v>24067397500</v>
      </c>
      <c r="AB690" s="31" t="n">
        <v>18895100075</v>
      </c>
      <c r="AC690" s="36" t="n">
        <v>0.008877655147639198</v>
      </c>
      <c r="AD690" s="29" t="inlineStr">
        <is>
          <t>yfinance_download</t>
        </is>
      </c>
      <c r="AE690" s="29" t="inlineStr">
        <is>
          <t>064760.KQ</t>
        </is>
      </c>
    </row>
    <row r="691" ht="24" customHeight="1">
      <c r="A691" s="24" t="inlineStr">
        <is>
          <t>2026-04-09</t>
        </is>
      </c>
      <c r="B691" s="30" t="n">
        <v>237500</v>
      </c>
      <c r="C691" s="30" t="n">
        <v>248000</v>
      </c>
      <c r="D691" s="30" t="n">
        <v>235000</v>
      </c>
      <c r="E691" s="30" t="n">
        <v>248000</v>
      </c>
      <c r="F691" s="30" t="n">
        <v>248000</v>
      </c>
      <c r="G691" s="30" t="n">
        <v>70160</v>
      </c>
      <c r="H691" s="35" t="n">
        <v>0.02268041237113394</v>
      </c>
      <c r="I691" s="35" t="n">
        <v>-0.0461538461538461</v>
      </c>
      <c r="J691" s="30" t="n">
        <v>233450</v>
      </c>
      <c r="K691" s="30" t="n">
        <v>214975</v>
      </c>
      <c r="L691" s="30" t="n">
        <v>185586.6666666667</v>
      </c>
      <c r="M691" s="35" t="n">
        <v>0.6876861553866184</v>
      </c>
      <c r="N691" s="35" t="n">
        <v>0.9652535773901748</v>
      </c>
      <c r="O691" s="35" t="n">
        <v>0.109619686800895</v>
      </c>
      <c r="P691" s="35" t="n">
        <v>0.6445623342175066</v>
      </c>
      <c r="Q691" s="35" t="n">
        <v>0.3626373626373627</v>
      </c>
      <c r="R691" s="35" t="n">
        <v>0.06232597986720934</v>
      </c>
      <c r="S691" s="35" t="n">
        <v>0.1536225142458425</v>
      </c>
      <c r="T691" s="35" t="n">
        <v>0.3363028953229399</v>
      </c>
      <c r="U691" s="30" t="n">
        <v>260000</v>
      </c>
      <c r="V691" s="30" t="n">
        <v>78000</v>
      </c>
      <c r="W691" s="35" t="n">
        <v>-0.0461538461538461</v>
      </c>
      <c r="X691" s="35" t="n">
        <v>2.179487179487179</v>
      </c>
      <c r="Y691" s="30" t="n">
        <v>11179416</v>
      </c>
      <c r="Z691" s="30" t="n">
        <v>2772495168000</v>
      </c>
      <c r="AA691" s="30" t="n">
        <v>17399680000</v>
      </c>
      <c r="AB691" s="30" t="n">
        <v>18452379175</v>
      </c>
      <c r="AC691" s="35" t="n">
        <v>0.006275819774485537</v>
      </c>
      <c r="AD691" s="24" t="inlineStr">
        <is>
          <t>yfinance_download</t>
        </is>
      </c>
      <c r="AE691" s="24" t="inlineStr">
        <is>
          <t>064760.KQ</t>
        </is>
      </c>
    </row>
    <row r="692" ht="24" customHeight="1">
      <c r="A692" s="29" t="inlineStr">
        <is>
          <t>2026-04-10</t>
        </is>
      </c>
      <c r="B692" s="31" t="n">
        <v>248500</v>
      </c>
      <c r="C692" s="31" t="n">
        <v>254000</v>
      </c>
      <c r="D692" s="31" t="n">
        <v>240000</v>
      </c>
      <c r="E692" s="31" t="n">
        <v>241000</v>
      </c>
      <c r="F692" s="31" t="n">
        <v>241000</v>
      </c>
      <c r="G692" s="31" t="n">
        <v>62051</v>
      </c>
      <c r="H692" s="36" t="n">
        <v>-0.02822580645161288</v>
      </c>
      <c r="I692" s="36" t="n">
        <v>-0.07307692307692304</v>
      </c>
      <c r="J692" s="31" t="n">
        <v>233875</v>
      </c>
      <c r="K692" s="31" t="n">
        <v>216346.6666666667</v>
      </c>
      <c r="L692" s="31" t="n">
        <v>186090.8333333333</v>
      </c>
      <c r="M692" s="36" t="n">
        <v>0.685534026974459</v>
      </c>
      <c r="N692" s="36" t="n">
        <v>0.9643080052070728</v>
      </c>
      <c r="O692" s="36" t="n">
        <v>0.03655913978494629</v>
      </c>
      <c r="P692" s="36" t="n">
        <v>0.5185885318210459</v>
      </c>
      <c r="Q692" s="36" t="n">
        <v>0.335180055401662</v>
      </c>
      <c r="R692" s="36" t="n">
        <v>0.03046499198289676</v>
      </c>
      <c r="S692" s="36" t="n">
        <v>0.1139529150745717</v>
      </c>
      <c r="T692" s="36" t="n">
        <v>0.2950664773923128</v>
      </c>
      <c r="U692" s="31" t="n">
        <v>260000</v>
      </c>
      <c r="V692" s="31" t="n">
        <v>78000</v>
      </c>
      <c r="W692" s="36" t="n">
        <v>-0.07307692307692304</v>
      </c>
      <c r="X692" s="36" t="n">
        <v>2.08974358974359</v>
      </c>
      <c r="Y692" s="31" t="n">
        <v>11179416</v>
      </c>
      <c r="Z692" s="31" t="n">
        <v>2694239256000</v>
      </c>
      <c r="AA692" s="31" t="n">
        <v>14954291000</v>
      </c>
      <c r="AB692" s="31" t="n">
        <v>17897826350</v>
      </c>
      <c r="AC692" s="36" t="n">
        <v>0.005550468825920782</v>
      </c>
      <c r="AD692" s="29" t="inlineStr">
        <is>
          <t>yfinance_download</t>
        </is>
      </c>
      <c r="AE692" s="29" t="inlineStr">
        <is>
          <t>064760.KQ</t>
        </is>
      </c>
    </row>
    <row r="693" ht="24" customHeight="1">
      <c r="A693" s="24" t="inlineStr">
        <is>
          <t>2026-04-13</t>
        </is>
      </c>
      <c r="B693" s="30" t="n">
        <v>235500</v>
      </c>
      <c r="C693" s="30" t="n">
        <v>247000</v>
      </c>
      <c r="D693" s="30" t="n">
        <v>231000</v>
      </c>
      <c r="E693" s="30" t="n">
        <v>243500</v>
      </c>
      <c r="F693" s="30" t="n">
        <v>243500</v>
      </c>
      <c r="G693" s="30" t="n">
        <v>43472</v>
      </c>
      <c r="H693" s="35" t="n">
        <v>0.01037344398340245</v>
      </c>
      <c r="I693" s="35" t="n">
        <v>-0.06346153846153846</v>
      </c>
      <c r="J693" s="30" t="n">
        <v>233925</v>
      </c>
      <c r="K693" s="30" t="n">
        <v>217788.3333333333</v>
      </c>
      <c r="L693" s="30" t="n">
        <v>186596.6666666667</v>
      </c>
      <c r="M693" s="35" t="n">
        <v>0.6696746649042127</v>
      </c>
      <c r="N693" s="35" t="n">
        <v>0.9634573362158626</v>
      </c>
      <c r="O693" s="35" t="n">
        <v>0.004123711340206171</v>
      </c>
      <c r="P693" s="35" t="n">
        <v>0.5509554140127388</v>
      </c>
      <c r="Q693" s="35" t="n">
        <v>0.3320568927789935</v>
      </c>
      <c r="R693" s="35" t="n">
        <v>0.04093192262477285</v>
      </c>
      <c r="S693" s="35" t="n">
        <v>0.1180580533086406</v>
      </c>
      <c r="T693" s="35" t="n">
        <v>0.3049536433305347</v>
      </c>
      <c r="U693" s="30" t="n">
        <v>260000</v>
      </c>
      <c r="V693" s="30" t="n">
        <v>78000</v>
      </c>
      <c r="W693" s="35" t="n">
        <v>-0.06346153846153846</v>
      </c>
      <c r="X693" s="35" t="n">
        <v>2.121794871794872</v>
      </c>
      <c r="Y693" s="30" t="n">
        <v>11179416</v>
      </c>
      <c r="Z693" s="30" t="n">
        <v>2722187796000</v>
      </c>
      <c r="AA693" s="30" t="n">
        <v>10585432000</v>
      </c>
      <c r="AB693" s="30" t="n">
        <v>17374441825</v>
      </c>
      <c r="AC693" s="35" t="n">
        <v>0.003888575217166979</v>
      </c>
      <c r="AD693" s="24" t="inlineStr">
        <is>
          <t>yfinance_download</t>
        </is>
      </c>
      <c r="AE693" s="24" t="inlineStr">
        <is>
          <t>064760.KQ</t>
        </is>
      </c>
    </row>
    <row r="694" ht="24" customHeight="1">
      <c r="A694" s="29" t="inlineStr">
        <is>
          <t>2026-04-14</t>
        </is>
      </c>
      <c r="B694" s="31" t="n">
        <v>254500</v>
      </c>
      <c r="C694" s="31" t="n">
        <v>274000</v>
      </c>
      <c r="D694" s="31" t="n">
        <v>250000</v>
      </c>
      <c r="E694" s="31" t="n">
        <v>262000</v>
      </c>
      <c r="F694" s="31" t="n">
        <v>262000</v>
      </c>
      <c r="G694" s="31" t="n">
        <v>136449</v>
      </c>
      <c r="H694" s="36" t="n">
        <v>0.07597535934291577</v>
      </c>
      <c r="I694" s="36" t="n">
        <v>0</v>
      </c>
      <c r="J694" s="31" t="n">
        <v>235500</v>
      </c>
      <c r="K694" s="31" t="n">
        <v>219390</v>
      </c>
      <c r="L694" s="31" t="n">
        <v>187280</v>
      </c>
      <c r="M694" s="36" t="n">
        <v>0.6918167416595129</v>
      </c>
      <c r="N694" s="36" t="n">
        <v>0.9683239603506425</v>
      </c>
      <c r="O694" s="36" t="n">
        <v>0.1366594360086768</v>
      </c>
      <c r="P694" s="36" t="n">
        <v>0.5792646172393008</v>
      </c>
      <c r="Q694" s="36" t="n">
        <v>0.4555555555555555</v>
      </c>
      <c r="R694" s="36" t="n">
        <v>0.1125265392781316</v>
      </c>
      <c r="S694" s="36" t="n">
        <v>0.1942203382104928</v>
      </c>
      <c r="T694" s="36" t="n">
        <v>0.3989747970952584</v>
      </c>
      <c r="U694" s="31" t="n">
        <v>262000</v>
      </c>
      <c r="V694" s="31" t="n">
        <v>78000</v>
      </c>
      <c r="W694" s="36" t="n">
        <v>0</v>
      </c>
      <c r="X694" s="36" t="n">
        <v>2.358974358974359</v>
      </c>
      <c r="Y694" s="31" t="n">
        <v>11179416</v>
      </c>
      <c r="Z694" s="31" t="n">
        <v>2929006992000</v>
      </c>
      <c r="AA694" s="31" t="n">
        <v>35749638000</v>
      </c>
      <c r="AB694" s="31" t="n">
        <v>18274510250</v>
      </c>
      <c r="AC694" s="36" t="n">
        <v>0.01220537817002248</v>
      </c>
      <c r="AD694" s="29" t="inlineStr">
        <is>
          <t>yfinance_download</t>
        </is>
      </c>
      <c r="AE694" s="29" t="inlineStr">
        <is>
          <t>064760.KQ</t>
        </is>
      </c>
    </row>
    <row r="695" ht="24" customHeight="1">
      <c r="A695" s="24" t="inlineStr">
        <is>
          <t>2026-04-15</t>
        </is>
      </c>
      <c r="B695" s="30" t="n">
        <v>275000</v>
      </c>
      <c r="C695" s="30" t="n">
        <v>284500</v>
      </c>
      <c r="D695" s="30" t="n">
        <v>266000</v>
      </c>
      <c r="E695" s="30" t="n">
        <v>271500</v>
      </c>
      <c r="F695" s="30" t="n">
        <v>271500</v>
      </c>
      <c r="G695" s="30" t="n">
        <v>108204</v>
      </c>
      <c r="H695" s="35" t="n">
        <v>0.03625954198473291</v>
      </c>
      <c r="I695" s="35" t="n">
        <v>0</v>
      </c>
      <c r="J695" s="30" t="n">
        <v>237275</v>
      </c>
      <c r="K695" s="30" t="n">
        <v>221161.6666666667</v>
      </c>
      <c r="L695" s="30" t="n">
        <v>188054.1666666667</v>
      </c>
      <c r="M695" s="35" t="n">
        <v>0.6971271245921138</v>
      </c>
      <c r="N695" s="35" t="n">
        <v>0.9694393264816367</v>
      </c>
      <c r="O695" s="35" t="n">
        <v>0.1504237288135593</v>
      </c>
      <c r="P695" s="35" t="n">
        <v>0.6434624697336562</v>
      </c>
      <c r="Q695" s="35" t="n">
        <v>0.5201567749160134</v>
      </c>
      <c r="R695" s="35" t="n">
        <v>0.1442419133916342</v>
      </c>
      <c r="S695" s="35" t="n">
        <v>0.2276087628205612</v>
      </c>
      <c r="T695" s="35" t="n">
        <v>0.443732967008619</v>
      </c>
      <c r="U695" s="30" t="n">
        <v>271500</v>
      </c>
      <c r="V695" s="30" t="n">
        <v>78000</v>
      </c>
      <c r="W695" s="35" t="n">
        <v>0</v>
      </c>
      <c r="X695" s="35" t="n">
        <v>2.480769230769231</v>
      </c>
      <c r="Y695" s="30" t="n">
        <v>11179416</v>
      </c>
      <c r="Z695" s="30" t="n">
        <v>3035211444000</v>
      </c>
      <c r="AA695" s="30" t="n">
        <v>29377386000</v>
      </c>
      <c r="AB695" s="30" t="n">
        <v>19014174950</v>
      </c>
      <c r="AC695" s="35" t="n">
        <v>0.009678859790171508</v>
      </c>
      <c r="AD695" s="24" t="inlineStr">
        <is>
          <t>yfinance_download</t>
        </is>
      </c>
      <c r="AE695" s="24" t="inlineStr">
        <is>
          <t>064760.KQ</t>
        </is>
      </c>
    </row>
    <row r="696" ht="24" customHeight="1">
      <c r="A696" s="29" t="inlineStr">
        <is>
          <t>2026-04-16</t>
        </is>
      </c>
      <c r="B696" s="31" t="n">
        <v>277500</v>
      </c>
      <c r="C696" s="31" t="n">
        <v>312000</v>
      </c>
      <c r="D696" s="31" t="n">
        <v>273500</v>
      </c>
      <c r="E696" s="31" t="n">
        <v>304000</v>
      </c>
      <c r="F696" s="31" t="n">
        <v>304000</v>
      </c>
      <c r="G696" s="31" t="n">
        <v>199295</v>
      </c>
      <c r="H696" s="36" t="n">
        <v>0.1197053406998159</v>
      </c>
      <c r="I696" s="36" t="n">
        <v>0</v>
      </c>
      <c r="J696" s="31" t="n">
        <v>240350</v>
      </c>
      <c r="K696" s="31" t="n">
        <v>223413.3333333333</v>
      </c>
      <c r="L696" s="31" t="n">
        <v>189130.8333333333</v>
      </c>
      <c r="M696" s="36" t="n">
        <v>0.800578032445017</v>
      </c>
      <c r="N696" s="36" t="n">
        <v>0.9948859549154988</v>
      </c>
      <c r="O696" s="36" t="n">
        <v>0.2536082474226804</v>
      </c>
      <c r="P696" s="36" t="n">
        <v>0.7998815867377147</v>
      </c>
      <c r="Q696" s="36" t="n">
        <v>0.7391304347826086</v>
      </c>
      <c r="R696" s="36" t="n">
        <v>0.2648221343873518</v>
      </c>
      <c r="S696" s="36" t="n">
        <v>0.360706612556696</v>
      </c>
      <c r="T696" s="36" t="n">
        <v>0.6073529346968809</v>
      </c>
      <c r="U696" s="31" t="n">
        <v>304000</v>
      </c>
      <c r="V696" s="31" t="n">
        <v>78000</v>
      </c>
      <c r="W696" s="36" t="n">
        <v>0</v>
      </c>
      <c r="X696" s="36" t="n">
        <v>2.897435897435897</v>
      </c>
      <c r="Y696" s="31" t="n">
        <v>11179416</v>
      </c>
      <c r="Z696" s="31" t="n">
        <v>3398542464000</v>
      </c>
      <c r="AA696" s="31" t="n">
        <v>60585680000</v>
      </c>
      <c r="AB696" s="31" t="n">
        <v>21119388450</v>
      </c>
      <c r="AC696" s="36" t="n">
        <v>0.01782695983403784</v>
      </c>
      <c r="AD696" s="29" t="inlineStr">
        <is>
          <t>yfinance_download</t>
        </is>
      </c>
      <c r="AE696" s="29" t="inlineStr">
        <is>
          <t>064760.KQ</t>
        </is>
      </c>
    </row>
    <row r="697" ht="24" customHeight="1">
      <c r="A697" s="24" t="inlineStr">
        <is>
          <t>2026-04-17</t>
        </is>
      </c>
      <c r="B697" s="30" t="n">
        <v>301500</v>
      </c>
      <c r="C697" s="30" t="n">
        <v>310000</v>
      </c>
      <c r="D697" s="30" t="n">
        <v>298000</v>
      </c>
      <c r="E697" s="30" t="n">
        <v>305500</v>
      </c>
      <c r="F697" s="30" t="n">
        <v>305500</v>
      </c>
      <c r="G697" s="30" t="n">
        <v>59342</v>
      </c>
      <c r="H697" s="35" t="n">
        <v>0.004934210526315708</v>
      </c>
      <c r="I697" s="35" t="n">
        <v>0</v>
      </c>
      <c r="J697" s="30" t="n">
        <v>242975</v>
      </c>
      <c r="K697" s="30" t="n">
        <v>225606.6666666667</v>
      </c>
      <c r="L697" s="30" t="n">
        <v>190216.6666666667</v>
      </c>
      <c r="M697" s="35" t="n">
        <v>0.7925778715032573</v>
      </c>
      <c r="N697" s="35" t="n">
        <v>0.9942772659076859</v>
      </c>
      <c r="O697" s="35" t="n">
        <v>0.2075098814229248</v>
      </c>
      <c r="P697" s="35" t="n">
        <v>0.7567567567567568</v>
      </c>
      <c r="Q697" s="35" t="n">
        <v>0.7437214611872147</v>
      </c>
      <c r="R697" s="35" t="n">
        <v>0.2573310011318037</v>
      </c>
      <c r="S697" s="35" t="n">
        <v>0.3541266511036909</v>
      </c>
      <c r="T697" s="35" t="n">
        <v>0.6060632611933761</v>
      </c>
      <c r="U697" s="30" t="n">
        <v>305500</v>
      </c>
      <c r="V697" s="30" t="n">
        <v>78000</v>
      </c>
      <c r="W697" s="35" t="n">
        <v>0</v>
      </c>
      <c r="X697" s="35" t="n">
        <v>2.916666666666667</v>
      </c>
      <c r="Y697" s="30" t="n">
        <v>11179416</v>
      </c>
      <c r="Z697" s="30" t="n">
        <v>3415311588000</v>
      </c>
      <c r="AA697" s="30" t="n">
        <v>18128981000</v>
      </c>
      <c r="AB697" s="30" t="n">
        <v>20820747900</v>
      </c>
      <c r="AC697" s="35" t="n">
        <v>0.005308148475734332</v>
      </c>
      <c r="AD697" s="24" t="inlineStr">
        <is>
          <t>yfinance_download</t>
        </is>
      </c>
      <c r="AE697" s="24" t="inlineStr">
        <is>
          <t>064760.KQ</t>
        </is>
      </c>
    </row>
    <row r="698" ht="24" customHeight="1">
      <c r="A698" s="29" t="inlineStr">
        <is>
          <t>2026-04-20</t>
        </is>
      </c>
      <c r="B698" s="31" t="n">
        <v>302000</v>
      </c>
      <c r="C698" s="31" t="n">
        <v>302000</v>
      </c>
      <c r="D698" s="31" t="n">
        <v>275500</v>
      </c>
      <c r="E698" s="31" t="n">
        <v>280000</v>
      </c>
      <c r="F698" s="31" t="n">
        <v>280000</v>
      </c>
      <c r="G698" s="31" t="n">
        <v>113156</v>
      </c>
      <c r="H698" s="36" t="n">
        <v>-0.08346972176759415</v>
      </c>
      <c r="I698" s="36" t="n">
        <v>-0.08346972176759415</v>
      </c>
      <c r="J698" s="31" t="n">
        <v>245225</v>
      </c>
      <c r="K698" s="31" t="n">
        <v>227483.3333333333</v>
      </c>
      <c r="L698" s="31" t="n">
        <v>191133.3333333333</v>
      </c>
      <c r="M698" s="36" t="n">
        <v>0.8104484406614398</v>
      </c>
      <c r="N698" s="36" t="n">
        <v>1.008307041446882</v>
      </c>
      <c r="O698" s="36" t="n">
        <v>0.1914893617021276</v>
      </c>
      <c r="P698" s="36" t="n">
        <v>0.6726403823178018</v>
      </c>
      <c r="Q698" s="36" t="n">
        <v>0.6470588235294117</v>
      </c>
      <c r="R698" s="36" t="n">
        <v>0.1418085431746356</v>
      </c>
      <c r="S698" s="36" t="n">
        <v>0.2308594036193128</v>
      </c>
      <c r="T698" s="36" t="n">
        <v>0.4649459365190094</v>
      </c>
      <c r="U698" s="31" t="n">
        <v>305500</v>
      </c>
      <c r="V698" s="31" t="n">
        <v>78000</v>
      </c>
      <c r="W698" s="36" t="n">
        <v>-0.08346972176759415</v>
      </c>
      <c r="X698" s="36" t="n">
        <v>2.58974358974359</v>
      </c>
      <c r="Y698" s="31" t="n">
        <v>11179416</v>
      </c>
      <c r="Z698" s="31" t="n">
        <v>3130236480000</v>
      </c>
      <c r="AA698" s="31" t="n">
        <v>31683680000</v>
      </c>
      <c r="AB698" s="31" t="n">
        <v>21524598400</v>
      </c>
      <c r="AC698" s="36" t="n">
        <v>0.01012181673890658</v>
      </c>
      <c r="AD698" s="29" t="inlineStr">
        <is>
          <t>yfinance_download</t>
        </is>
      </c>
      <c r="AE698" s="29" t="inlineStr">
        <is>
          <t>064760.KQ</t>
        </is>
      </c>
    </row>
    <row r="699" ht="24" customHeight="1">
      <c r="A699" s="24" t="inlineStr">
        <is>
          <t>2026-04-21</t>
        </is>
      </c>
      <c r="B699" s="30" t="n">
        <v>281000</v>
      </c>
      <c r="C699" s="30" t="n">
        <v>282500</v>
      </c>
      <c r="D699" s="30" t="n">
        <v>275500</v>
      </c>
      <c r="E699" s="30" t="n">
        <v>280000</v>
      </c>
      <c r="F699" s="30" t="n">
        <v>280000</v>
      </c>
      <c r="G699" s="30" t="n">
        <v>69876</v>
      </c>
      <c r="H699" s="35" t="n">
        <v>0</v>
      </c>
      <c r="I699" s="35" t="n">
        <v>-0.08346972176759415</v>
      </c>
      <c r="J699" s="30" t="n">
        <v>247725</v>
      </c>
      <c r="K699" s="30" t="n">
        <v>229311.6666666667</v>
      </c>
      <c r="L699" s="30" t="n">
        <v>192015.8333333333</v>
      </c>
      <c r="M699" s="35" t="n">
        <v>0.803037195023701</v>
      </c>
      <c r="N699" s="35" t="n">
        <v>1.008434952099588</v>
      </c>
      <c r="O699" s="35" t="n">
        <v>0.2173913043478262</v>
      </c>
      <c r="P699" s="35" t="n">
        <v>0.644157369348209</v>
      </c>
      <c r="Q699" s="35" t="n">
        <v>0.6082711085582999</v>
      </c>
      <c r="R699" s="35" t="n">
        <v>0.130285598950449</v>
      </c>
      <c r="S699" s="35" t="n">
        <v>0.2210455929702662</v>
      </c>
      <c r="T699" s="35" t="n">
        <v>0.4582130813865175</v>
      </c>
      <c r="U699" s="30" t="n">
        <v>305500</v>
      </c>
      <c r="V699" s="30" t="n">
        <v>78000</v>
      </c>
      <c r="W699" s="35" t="n">
        <v>-0.08346972176759415</v>
      </c>
      <c r="X699" s="35" t="n">
        <v>2.58974358974359</v>
      </c>
      <c r="Y699" s="30" t="n">
        <v>11179416</v>
      </c>
      <c r="Z699" s="30" t="n">
        <v>3130236480000</v>
      </c>
      <c r="AA699" s="30" t="n">
        <v>19565280000</v>
      </c>
      <c r="AB699" s="30" t="n">
        <v>21590245400</v>
      </c>
      <c r="AC699" s="35" t="n">
        <v>0.006250415943015271</v>
      </c>
      <c r="AD699" s="24" t="inlineStr">
        <is>
          <t>yfinance_download</t>
        </is>
      </c>
      <c r="AE699" s="24" t="inlineStr">
        <is>
          <t>064760.KQ</t>
        </is>
      </c>
    </row>
    <row r="700" ht="24" customHeight="1">
      <c r="A700" s="29" t="inlineStr">
        <is>
          <t>2026-04-22</t>
        </is>
      </c>
      <c r="B700" s="31" t="n">
        <v>277500</v>
      </c>
      <c r="C700" s="31" t="n">
        <v>285000</v>
      </c>
      <c r="D700" s="31" t="n">
        <v>271500</v>
      </c>
      <c r="E700" s="31" t="n">
        <v>285000</v>
      </c>
      <c r="F700" s="31" t="n">
        <v>285000</v>
      </c>
      <c r="G700" s="31" t="n">
        <v>67992</v>
      </c>
      <c r="H700" s="36" t="n">
        <v>0.01785714285714279</v>
      </c>
      <c r="I700" s="36" t="n">
        <v>-0.06710310965630117</v>
      </c>
      <c r="J700" s="31" t="n">
        <v>249975</v>
      </c>
      <c r="K700" s="31" t="n">
        <v>231170</v>
      </c>
      <c r="L700" s="31" t="n">
        <v>192950</v>
      </c>
      <c r="M700" s="36" t="n">
        <v>0.7944316354515345</v>
      </c>
      <c r="N700" s="36" t="n">
        <v>1.008403050356713</v>
      </c>
      <c r="O700" s="36" t="n">
        <v>0.1875</v>
      </c>
      <c r="P700" s="36" t="n">
        <v>0.6426512968299711</v>
      </c>
      <c r="Q700" s="36" t="n">
        <v>0.6483516483516483</v>
      </c>
      <c r="R700" s="36" t="n">
        <v>0.1401140114011401</v>
      </c>
      <c r="S700" s="36" t="n">
        <v>0.2328589349829131</v>
      </c>
      <c r="T700" s="36" t="n">
        <v>0.4770665975641357</v>
      </c>
      <c r="U700" s="31" t="n">
        <v>305500</v>
      </c>
      <c r="V700" s="31" t="n">
        <v>82200</v>
      </c>
      <c r="W700" s="36" t="n">
        <v>-0.06710310965630117</v>
      </c>
      <c r="X700" s="36" t="n">
        <v>2.467153284671533</v>
      </c>
      <c r="Y700" s="31" t="n">
        <v>11179416</v>
      </c>
      <c r="Z700" s="31" t="n">
        <v>3186133560000</v>
      </c>
      <c r="AA700" s="31" t="n">
        <v>19377720000</v>
      </c>
      <c r="AB700" s="31" t="n">
        <v>21753307400</v>
      </c>
      <c r="AC700" s="36" t="n">
        <v>0.006081891934247729</v>
      </c>
      <c r="AD700" s="29" t="inlineStr">
        <is>
          <t>yfinance_download</t>
        </is>
      </c>
      <c r="AE700" s="29" t="inlineStr">
        <is>
          <t>064760.KQ</t>
        </is>
      </c>
    </row>
    <row r="701" ht="24" customHeight="1">
      <c r="A701" s="24" t="inlineStr">
        <is>
          <t>2026-04-23</t>
        </is>
      </c>
      <c r="B701" s="30" t="n">
        <v>286000</v>
      </c>
      <c r="C701" s="30" t="n">
        <v>299500</v>
      </c>
      <c r="D701" s="30" t="n">
        <v>281500</v>
      </c>
      <c r="E701" s="30" t="n">
        <v>297500</v>
      </c>
      <c r="F701" s="30" t="n">
        <v>297500</v>
      </c>
      <c r="G701" s="30" t="n">
        <v>94818</v>
      </c>
      <c r="H701" s="35" t="n">
        <v>0.04385964912280693</v>
      </c>
      <c r="I701" s="35" t="n">
        <v>-0.02618657937806879</v>
      </c>
      <c r="J701" s="30" t="n">
        <v>252625</v>
      </c>
      <c r="K701" s="30" t="n">
        <v>233106.6666666667</v>
      </c>
      <c r="L701" s="30" t="n">
        <v>194014.1666666667</v>
      </c>
      <c r="M701" s="35" t="n">
        <v>0.8031358470380277</v>
      </c>
      <c r="N701" s="35" t="n">
        <v>1.008244240558546</v>
      </c>
      <c r="O701" s="35" t="n">
        <v>0.2167689161554192</v>
      </c>
      <c r="P701" s="35" t="n">
        <v>0.640926640926641</v>
      </c>
      <c r="Q701" s="35" t="n">
        <v>0.7520612485276796</v>
      </c>
      <c r="R701" s="35" t="n">
        <v>0.177634834240475</v>
      </c>
      <c r="S701" s="35" t="n">
        <v>0.2762397757821884</v>
      </c>
      <c r="T701" s="35" t="n">
        <v>0.533393180051285</v>
      </c>
      <c r="U701" s="30" t="n">
        <v>305500</v>
      </c>
      <c r="V701" s="30" t="n">
        <v>82200</v>
      </c>
      <c r="W701" s="35" t="n">
        <v>-0.02618657937806879</v>
      </c>
      <c r="X701" s="35" t="n">
        <v>2.619221411192214</v>
      </c>
      <c r="Y701" s="30" t="n">
        <v>11179416</v>
      </c>
      <c r="Z701" s="30" t="n">
        <v>3325876260000</v>
      </c>
      <c r="AA701" s="30" t="n">
        <v>28208355000</v>
      </c>
      <c r="AB701" s="30" t="n">
        <v>21951176300</v>
      </c>
      <c r="AC701" s="35" t="n">
        <v>0.008481480606858176</v>
      </c>
      <c r="AD701" s="24" t="inlineStr">
        <is>
          <t>yfinance_download</t>
        </is>
      </c>
      <c r="AE701" s="24" t="inlineStr">
        <is>
          <t>064760.KQ</t>
        </is>
      </c>
    </row>
    <row r="702" ht="24" customHeight="1">
      <c r="A702" s="29" t="inlineStr">
        <is>
          <t>2026-04-24</t>
        </is>
      </c>
      <c r="B702" s="31" t="n">
        <v>300000</v>
      </c>
      <c r="C702" s="31" t="n">
        <v>312500</v>
      </c>
      <c r="D702" s="31" t="n">
        <v>295000</v>
      </c>
      <c r="E702" s="31" t="n">
        <v>308000</v>
      </c>
      <c r="F702" s="31" t="n">
        <v>308000</v>
      </c>
      <c r="G702" s="31" t="n">
        <v>62604</v>
      </c>
      <c r="H702" s="36" t="n">
        <v>0.03529411764705892</v>
      </c>
      <c r="I702" s="36" t="n">
        <v>0</v>
      </c>
      <c r="J702" s="31" t="n">
        <v>256075</v>
      </c>
      <c r="K702" s="31" t="n">
        <v>234908.3333333333</v>
      </c>
      <c r="L702" s="31" t="n">
        <v>195173.3333333333</v>
      </c>
      <c r="M702" s="36" t="n">
        <v>0.7972926081934434</v>
      </c>
      <c r="N702" s="36" t="n">
        <v>0.9912006570013239</v>
      </c>
      <c r="O702" s="36" t="n">
        <v>0.2887029288702929</v>
      </c>
      <c r="P702" s="36" t="n">
        <v>0.5407703851925962</v>
      </c>
      <c r="Q702" s="36" t="n">
        <v>0.8235642391947897</v>
      </c>
      <c r="R702" s="36" t="n">
        <v>0.2027726252074586</v>
      </c>
      <c r="S702" s="36" t="n">
        <v>0.3111497392599949</v>
      </c>
      <c r="T702" s="36" t="n">
        <v>0.5780844377647218</v>
      </c>
      <c r="U702" s="31" t="n">
        <v>308000</v>
      </c>
      <c r="V702" s="31" t="n">
        <v>82200</v>
      </c>
      <c r="W702" s="36" t="n">
        <v>0</v>
      </c>
      <c r="X702" s="36" t="n">
        <v>2.746958637469586</v>
      </c>
      <c r="Y702" s="31" t="n">
        <v>11179416</v>
      </c>
      <c r="Z702" s="31" t="n">
        <v>3443260128000</v>
      </c>
      <c r="AA702" s="31" t="n">
        <v>19282032000</v>
      </c>
      <c r="AB702" s="31" t="n">
        <v>22268627550</v>
      </c>
      <c r="AC702" s="36" t="n">
        <v>0.005599934737199152</v>
      </c>
      <c r="AD702" s="29" t="inlineStr">
        <is>
          <t>yfinance_download</t>
        </is>
      </c>
      <c r="AE702" s="29" t="inlineStr">
        <is>
          <t>064760.KQ</t>
        </is>
      </c>
    </row>
    <row r="703" ht="24" customHeight="1">
      <c r="A703" s="24" t="inlineStr">
        <is>
          <t>2026-04-27</t>
        </is>
      </c>
      <c r="B703" s="30" t="n">
        <v>305000</v>
      </c>
      <c r="C703" s="30" t="n">
        <v>307500</v>
      </c>
      <c r="D703" s="30" t="n">
        <v>295000</v>
      </c>
      <c r="E703" s="30" t="n">
        <v>304000</v>
      </c>
      <c r="F703" s="30" t="n">
        <v>304000</v>
      </c>
      <c r="G703" s="30" t="n">
        <v>61652</v>
      </c>
      <c r="H703" s="35" t="n">
        <v>-0.01298701298701299</v>
      </c>
      <c r="I703" s="35" t="n">
        <v>-0.01298701298701299</v>
      </c>
      <c r="J703" s="30" t="n">
        <v>259725</v>
      </c>
      <c r="K703" s="30" t="n">
        <v>236641.6666666667</v>
      </c>
      <c r="L703" s="30" t="n">
        <v>196302.5</v>
      </c>
      <c r="M703" s="35" t="n">
        <v>0.784344283406299</v>
      </c>
      <c r="N703" s="35" t="n">
        <v>0.9920857588565933</v>
      </c>
      <c r="O703" s="35" t="n">
        <v>0.3160173160173161</v>
      </c>
      <c r="P703" s="35" t="n">
        <v>0.52</v>
      </c>
      <c r="Q703" s="35" t="n">
        <v>0.804154302670623</v>
      </c>
      <c r="R703" s="35" t="n">
        <v>0.1704687650399461</v>
      </c>
      <c r="S703" s="35" t="n">
        <v>0.284642743951826</v>
      </c>
      <c r="T703" s="35" t="n">
        <v>0.5486303027215649</v>
      </c>
      <c r="U703" s="30" t="n">
        <v>308000</v>
      </c>
      <c r="V703" s="30" t="n">
        <v>82200</v>
      </c>
      <c r="W703" s="35" t="n">
        <v>-0.01298701298701299</v>
      </c>
      <c r="X703" s="35" t="n">
        <v>2.698296836982968</v>
      </c>
      <c r="Y703" s="30" t="n">
        <v>11179416</v>
      </c>
      <c r="Z703" s="30" t="n">
        <v>3398542464000</v>
      </c>
      <c r="AA703" s="30" t="n">
        <v>18742208000</v>
      </c>
      <c r="AB703" s="30" t="n">
        <v>22615844800</v>
      </c>
      <c r="AC703" s="35" t="n">
        <v>0.005514778231707274</v>
      </c>
      <c r="AD703" s="24" t="inlineStr">
        <is>
          <t>yfinance_download</t>
        </is>
      </c>
      <c r="AE703" s="24" t="inlineStr">
        <is>
          <t>064760.KQ</t>
        </is>
      </c>
    </row>
    <row r="704" ht="24" customHeight="1">
      <c r="A704" s="29" t="inlineStr">
        <is>
          <t>2026-04-28</t>
        </is>
      </c>
      <c r="B704" s="31" t="n">
        <v>303000</v>
      </c>
      <c r="C704" s="31" t="n">
        <v>326500</v>
      </c>
      <c r="D704" s="31" t="n">
        <v>298500</v>
      </c>
      <c r="E704" s="31" t="n">
        <v>316000</v>
      </c>
      <c r="F704" s="31" t="n">
        <v>316000</v>
      </c>
      <c r="G704" s="31" t="n">
        <v>92112</v>
      </c>
      <c r="H704" s="36" t="n">
        <v>0.03947368421052633</v>
      </c>
      <c r="I704" s="36" t="n">
        <v>0</v>
      </c>
      <c r="J704" s="31" t="n">
        <v>264100</v>
      </c>
      <c r="K704" s="31" t="n">
        <v>238108.3333333333</v>
      </c>
      <c r="L704" s="31" t="n">
        <v>197552.5</v>
      </c>
      <c r="M704" s="36" t="n">
        <v>0.7827258259405286</v>
      </c>
      <c r="N704" s="36" t="n">
        <v>0.9560756609652121</v>
      </c>
      <c r="O704" s="36" t="n">
        <v>0.3829321663019694</v>
      </c>
      <c r="P704" s="36" t="n">
        <v>0.3859649122807018</v>
      </c>
      <c r="Q704" s="36" t="n">
        <v>0.9036144578313252</v>
      </c>
      <c r="R704" s="36" t="n">
        <v>0.1965164710336993</v>
      </c>
      <c r="S704" s="36" t="n">
        <v>0.3271270080145592</v>
      </c>
      <c r="T704" s="36" t="n">
        <v>0.5995747965730629</v>
      </c>
      <c r="U704" s="31" t="n">
        <v>316000</v>
      </c>
      <c r="V704" s="31" t="n">
        <v>82200</v>
      </c>
      <c r="W704" s="36" t="n">
        <v>0</v>
      </c>
      <c r="X704" s="36" t="n">
        <v>2.844282238442823</v>
      </c>
      <c r="Y704" s="31" t="n">
        <v>11179416</v>
      </c>
      <c r="Z704" s="31" t="n">
        <v>3532695456000</v>
      </c>
      <c r="AA704" s="31" t="n">
        <v>29107392000</v>
      </c>
      <c r="AB704" s="31" t="n">
        <v>23155272150</v>
      </c>
      <c r="AC704" s="36" t="n">
        <v>0.008239428607004159</v>
      </c>
      <c r="AD704" s="29" t="inlineStr">
        <is>
          <t>yfinance_download</t>
        </is>
      </c>
      <c r="AE704" s="29" t="inlineStr">
        <is>
          <t>064760.KQ</t>
        </is>
      </c>
    </row>
    <row r="705" ht="24" customHeight="1">
      <c r="A705" s="24" t="inlineStr">
        <is>
          <t>2026-04-29</t>
        </is>
      </c>
      <c r="B705" s="30" t="n">
        <v>312000</v>
      </c>
      <c r="C705" s="30" t="n">
        <v>327500</v>
      </c>
      <c r="D705" s="30" t="n">
        <v>306000</v>
      </c>
      <c r="E705" s="30" t="n">
        <v>316000</v>
      </c>
      <c r="F705" s="30" t="n">
        <v>316000</v>
      </c>
      <c r="G705" s="30" t="n">
        <v>93553</v>
      </c>
      <c r="H705" s="35" t="n">
        <v>0</v>
      </c>
      <c r="I705" s="35" t="n">
        <v>0</v>
      </c>
      <c r="J705" s="30" t="n">
        <v>268275</v>
      </c>
      <c r="K705" s="30" t="n">
        <v>239683.3333333333</v>
      </c>
      <c r="L705" s="30" t="n">
        <v>198840</v>
      </c>
      <c r="M705" s="35" t="n">
        <v>0.7851820798527034</v>
      </c>
      <c r="N705" s="35" t="n">
        <v>0.9533083235300837</v>
      </c>
      <c r="O705" s="35" t="n">
        <v>0.3591397849462366</v>
      </c>
      <c r="P705" s="35" t="n">
        <v>0.4266365688487586</v>
      </c>
      <c r="Q705" s="35" t="n">
        <v>0.9566563467492259</v>
      </c>
      <c r="R705" s="35" t="n">
        <v>0.1778958158605908</v>
      </c>
      <c r="S705" s="35" t="n">
        <v>0.3184062304429456</v>
      </c>
      <c r="T705" s="35" t="n">
        <v>0.5892174612753973</v>
      </c>
      <c r="U705" s="30" t="n">
        <v>316000</v>
      </c>
      <c r="V705" s="30" t="n">
        <v>82300</v>
      </c>
      <c r="W705" s="35" t="n">
        <v>0</v>
      </c>
      <c r="X705" s="35" t="n">
        <v>2.839611178614824</v>
      </c>
      <c r="Y705" s="30" t="n">
        <v>11179416</v>
      </c>
      <c r="Z705" s="30" t="n">
        <v>3532695456000</v>
      </c>
      <c r="AA705" s="30" t="n">
        <v>29562748000</v>
      </c>
      <c r="AB705" s="30" t="n">
        <v>23666197925</v>
      </c>
      <c r="AC705" s="35" t="n">
        <v>0.008368326216682518</v>
      </c>
      <c r="AD705" s="24" t="inlineStr">
        <is>
          <t>yfinance_download</t>
        </is>
      </c>
      <c r="AE705" s="24" t="inlineStr">
        <is>
          <t>064760.KQ</t>
        </is>
      </c>
    </row>
    <row r="706" ht="24" customHeight="1">
      <c r="A706" s="29" t="inlineStr">
        <is>
          <t>2026-04-30</t>
        </is>
      </c>
      <c r="B706" s="31" t="n">
        <v>318000</v>
      </c>
      <c r="C706" s="31" t="n">
        <v>318000</v>
      </c>
      <c r="D706" s="31" t="n">
        <v>293000</v>
      </c>
      <c r="E706" s="31" t="n">
        <v>294000</v>
      </c>
      <c r="F706" s="31" t="n">
        <v>294000</v>
      </c>
      <c r="G706" s="31" t="n">
        <v>63537</v>
      </c>
      <c r="H706" s="36" t="n">
        <v>-0.069620253164557</v>
      </c>
      <c r="I706" s="36" t="n">
        <v>-0.069620253164557</v>
      </c>
      <c r="J706" s="31" t="n">
        <v>272200</v>
      </c>
      <c r="K706" s="31" t="n">
        <v>240616.6666666667</v>
      </c>
      <c r="L706" s="31" t="n">
        <v>199903.3333333333</v>
      </c>
      <c r="M706" s="36" t="n">
        <v>0.7799611082365652</v>
      </c>
      <c r="N706" s="36" t="n">
        <v>0.9559154057189547</v>
      </c>
      <c r="O706" s="36" t="n">
        <v>0.3642691415313226</v>
      </c>
      <c r="P706" s="36" t="n">
        <v>0.2352941176470589</v>
      </c>
      <c r="Q706" s="36" t="n">
        <v>0.7668269230769231</v>
      </c>
      <c r="R706" s="36" t="n">
        <v>0.08008817046289485</v>
      </c>
      <c r="S706" s="36" t="n">
        <v>0.221860497333241</v>
      </c>
      <c r="T706" s="36" t="n">
        <v>0.4707108435743943</v>
      </c>
      <c r="U706" s="31" t="n">
        <v>316000</v>
      </c>
      <c r="V706" s="31" t="n">
        <v>82300</v>
      </c>
      <c r="W706" s="36" t="n">
        <v>-0.069620253164557</v>
      </c>
      <c r="X706" s="36" t="n">
        <v>2.572296476306197</v>
      </c>
      <c r="Y706" s="31" t="n">
        <v>11179416</v>
      </c>
      <c r="Z706" s="31" t="n">
        <v>3286748304000</v>
      </c>
      <c r="AA706" s="31" t="n">
        <v>18679878000</v>
      </c>
      <c r="AB706" s="31" t="n">
        <v>23871316950</v>
      </c>
      <c r="AC706" s="36" t="n">
        <v>0.005683391690585626</v>
      </c>
      <c r="AD706" s="29" t="inlineStr">
        <is>
          <t>yfinance_download</t>
        </is>
      </c>
      <c r="AE706" s="29" t="inlineStr">
        <is>
          <t>064760.KQ</t>
        </is>
      </c>
    </row>
    <row r="707" ht="24" customHeight="1">
      <c r="A707" s="24" t="inlineStr">
        <is>
          <t>2026-05-04</t>
        </is>
      </c>
      <c r="B707" s="30" t="n">
        <v>300000</v>
      </c>
      <c r="C707" s="30" t="n">
        <v>303000</v>
      </c>
      <c r="D707" s="30" t="n">
        <v>295000</v>
      </c>
      <c r="E707" s="30" t="n">
        <v>298500</v>
      </c>
      <c r="F707" s="30" t="n">
        <v>298500</v>
      </c>
      <c r="G707" s="30" t="n">
        <v>56366</v>
      </c>
      <c r="H707" s="35" t="n">
        <v>0.01530612244897966</v>
      </c>
      <c r="I707" s="35" t="n">
        <v>-0.055379746835443</v>
      </c>
      <c r="J707" s="30" t="n">
        <v>276500</v>
      </c>
      <c r="K707" s="30" t="n">
        <v>242141.6666666667</v>
      </c>
      <c r="L707" s="30" t="n">
        <v>201070.8333333333</v>
      </c>
      <c r="M707" s="35" t="n">
        <v>0.7715552866258174</v>
      </c>
      <c r="N707" s="35" t="n">
        <v>0.9133675828493479</v>
      </c>
      <c r="O707" s="35" t="n">
        <v>0.4047058823529412</v>
      </c>
      <c r="P707" s="35" t="n">
        <v>0.4420289855072463</v>
      </c>
      <c r="Q707" s="35" t="n">
        <v>0.884469696969697</v>
      </c>
      <c r="R707" s="35" t="n">
        <v>0.07956600361663657</v>
      </c>
      <c r="S707" s="35" t="n">
        <v>0.2327494235468217</v>
      </c>
      <c r="T707" s="35" t="n">
        <v>0.4845514640363056</v>
      </c>
      <c r="U707" s="30" t="n">
        <v>316000</v>
      </c>
      <c r="V707" s="30" t="n">
        <v>82300</v>
      </c>
      <c r="W707" s="35" t="n">
        <v>-0.055379746835443</v>
      </c>
      <c r="X707" s="35" t="n">
        <v>2.626974483596598</v>
      </c>
      <c r="Y707" s="30" t="n">
        <v>11179416</v>
      </c>
      <c r="Z707" s="30" t="n">
        <v>3337055676000</v>
      </c>
      <c r="AA707" s="30" t="n">
        <v>16825251000</v>
      </c>
      <c r="AB707" s="30" t="n">
        <v>23844506375</v>
      </c>
      <c r="AC707" s="35" t="n">
        <v>0.005041944945961399</v>
      </c>
      <c r="AD707" s="24" t="inlineStr">
        <is>
          <t>yfinance_download</t>
        </is>
      </c>
      <c r="AE707" s="24" t="inlineStr">
        <is>
          <t>064760.KQ</t>
        </is>
      </c>
    </row>
    <row r="708" ht="24" customHeight="1">
      <c r="A708" s="29" t="inlineStr">
        <is>
          <t>2026-05-06</t>
        </is>
      </c>
      <c r="B708" s="31" t="n">
        <v>311000</v>
      </c>
      <c r="C708" s="31" t="n">
        <v>311000</v>
      </c>
      <c r="D708" s="31" t="n">
        <v>288000</v>
      </c>
      <c r="E708" s="31" t="n">
        <v>299500</v>
      </c>
      <c r="F708" s="31" t="n">
        <v>299500</v>
      </c>
      <c r="G708" s="31" t="n">
        <v>84411</v>
      </c>
      <c r="H708" s="36" t="n">
        <v>0.003350083752093891</v>
      </c>
      <c r="I708" s="36" t="n">
        <v>-0.05221518987341767</v>
      </c>
      <c r="J708" s="31" t="n">
        <v>280950</v>
      </c>
      <c r="K708" s="31" t="n">
        <v>243441.6666666667</v>
      </c>
      <c r="L708" s="31" t="n">
        <v>202236.6666666667</v>
      </c>
      <c r="M708" s="36" t="n">
        <v>0.7668032134348958</v>
      </c>
      <c r="N708" s="36" t="n">
        <v>0.9041036703491728</v>
      </c>
      <c r="O708" s="36" t="n">
        <v>0.4228028503562946</v>
      </c>
      <c r="P708" s="36" t="n">
        <v>0.3521444695259595</v>
      </c>
      <c r="Q708" s="36" t="n">
        <v>0.8765664160401003</v>
      </c>
      <c r="R708" s="36" t="n">
        <v>0.06602598327104459</v>
      </c>
      <c r="S708" s="36" t="n">
        <v>0.2302741929962688</v>
      </c>
      <c r="T708" s="36" t="n">
        <v>0.4809381747457599</v>
      </c>
      <c r="U708" s="31" t="n">
        <v>316000</v>
      </c>
      <c r="V708" s="31" t="n">
        <v>82300</v>
      </c>
      <c r="W708" s="36" t="n">
        <v>-0.05221518987341767</v>
      </c>
      <c r="X708" s="36" t="n">
        <v>2.639125151883353</v>
      </c>
      <c r="Y708" s="31" t="n">
        <v>11179416</v>
      </c>
      <c r="Z708" s="31" t="n">
        <v>3348235092000</v>
      </c>
      <c r="AA708" s="31" t="n">
        <v>25281094500</v>
      </c>
      <c r="AB708" s="31" t="n">
        <v>24225555700</v>
      </c>
      <c r="AC708" s="36" t="n">
        <v>0.007550573303650209</v>
      </c>
      <c r="AD708" s="29" t="inlineStr">
        <is>
          <t>yfinance_download</t>
        </is>
      </c>
      <c r="AE708" s="29" t="inlineStr">
        <is>
          <t>064760.KQ</t>
        </is>
      </c>
    </row>
    <row r="709" ht="24" customHeight="1">
      <c r="A709" s="24" t="inlineStr">
        <is>
          <t>2026-05-07</t>
        </is>
      </c>
      <c r="B709" s="30" t="n">
        <v>298000</v>
      </c>
      <c r="C709" s="30" t="n">
        <v>302500</v>
      </c>
      <c r="D709" s="30" t="n">
        <v>290500</v>
      </c>
      <c r="E709" s="30" t="n">
        <v>296000</v>
      </c>
      <c r="F709" s="30" t="n">
        <v>296000</v>
      </c>
      <c r="G709" s="30" t="n">
        <v>59980</v>
      </c>
      <c r="H709" s="35" t="n">
        <v>-0.01168614357262099</v>
      </c>
      <c r="I709" s="35" t="n">
        <v>-0.06329113924050633</v>
      </c>
      <c r="J709" s="30" t="n">
        <v>284625</v>
      </c>
      <c r="K709" s="30" t="n">
        <v>244891.6666666667</v>
      </c>
      <c r="L709" s="30" t="n">
        <v>203430.8333333333</v>
      </c>
      <c r="M709" s="35" t="n">
        <v>0.7602464822389977</v>
      </c>
      <c r="N709" s="35" t="n">
        <v>0.8953890962589173</v>
      </c>
      <c r="O709" s="35" t="n">
        <v>0.3303370786516855</v>
      </c>
      <c r="P709" s="35" t="n">
        <v>0.4162679425837321</v>
      </c>
      <c r="Q709" s="35" t="n">
        <v>0.9384413883431566</v>
      </c>
      <c r="R709" s="35" t="n">
        <v>0.03996486605182259</v>
      </c>
      <c r="S709" s="35" t="n">
        <v>0.2086977234831728</v>
      </c>
      <c r="T709" s="35" t="n">
        <v>0.4550400013108469</v>
      </c>
      <c r="U709" s="30" t="n">
        <v>316000</v>
      </c>
      <c r="V709" s="30" t="n">
        <v>84800</v>
      </c>
      <c r="W709" s="35" t="n">
        <v>-0.06329113924050633</v>
      </c>
      <c r="X709" s="35" t="n">
        <v>2.490566037735849</v>
      </c>
      <c r="Y709" s="30" t="n">
        <v>11179416</v>
      </c>
      <c r="Z709" s="30" t="n">
        <v>3309107136000</v>
      </c>
      <c r="AA709" s="30" t="n">
        <v>17754080000</v>
      </c>
      <c r="AB709" s="30" t="n">
        <v>24245910200</v>
      </c>
      <c r="AC709" s="35" t="n">
        <v>0.00536521764643162</v>
      </c>
      <c r="AD709" s="24" t="inlineStr">
        <is>
          <t>yfinance_download</t>
        </is>
      </c>
      <c r="AE709" s="24" t="inlineStr">
        <is>
          <t>064760.KQ</t>
        </is>
      </c>
    </row>
    <row r="710" ht="24" customHeight="1">
      <c r="A710" s="29" t="inlineStr">
        <is>
          <t>2026-05-08</t>
        </is>
      </c>
      <c r="B710" s="31" t="n">
        <v>290000</v>
      </c>
      <c r="C710" s="31" t="n">
        <v>301500</v>
      </c>
      <c r="D710" s="31" t="n">
        <v>288500</v>
      </c>
      <c r="E710" s="31" t="n">
        <v>299000</v>
      </c>
      <c r="F710" s="31" t="n">
        <v>299000</v>
      </c>
      <c r="G710" s="31" t="n">
        <v>33731</v>
      </c>
      <c r="H710" s="36" t="n">
        <v>0.01013513513513509</v>
      </c>
      <c r="I710" s="36" t="n">
        <v>-0.05379746835443033</v>
      </c>
      <c r="J710" s="31" t="n">
        <v>287450</v>
      </c>
      <c r="K710" s="31" t="n">
        <v>246466.6666666667</v>
      </c>
      <c r="L710" s="31" t="n">
        <v>204536.6666666667</v>
      </c>
      <c r="M710" s="36" t="n">
        <v>0.7075572874955417</v>
      </c>
      <c r="N710" s="36" t="n">
        <v>0.8933777788852312</v>
      </c>
      <c r="O710" s="36" t="n">
        <v>0.2329896907216495</v>
      </c>
      <c r="P710" s="36" t="n">
        <v>0.4621026894865525</v>
      </c>
      <c r="Q710" s="36" t="n">
        <v>0.7979555021046303</v>
      </c>
      <c r="R710" s="36" t="n">
        <v>0.04018090102626548</v>
      </c>
      <c r="S710" s="36" t="n">
        <v>0.2131457938869354</v>
      </c>
      <c r="T710" s="36" t="n">
        <v>0.4618405827805936</v>
      </c>
      <c r="U710" s="31" t="n">
        <v>316000</v>
      </c>
      <c r="V710" s="31" t="n">
        <v>84800</v>
      </c>
      <c r="W710" s="36" t="n">
        <v>-0.05379746835443033</v>
      </c>
      <c r="X710" s="36" t="n">
        <v>2.525943396226415</v>
      </c>
      <c r="Y710" s="31" t="n">
        <v>11179416</v>
      </c>
      <c r="Z710" s="31" t="n">
        <v>3342645384000</v>
      </c>
      <c r="AA710" s="31" t="n">
        <v>10085569000</v>
      </c>
      <c r="AB710" s="31" t="n">
        <v>23546818775</v>
      </c>
      <c r="AC710" s="36" t="n">
        <v>0.003017241687759003</v>
      </c>
      <c r="AD710" s="29" t="inlineStr">
        <is>
          <t>yfinance_download</t>
        </is>
      </c>
      <c r="AE710" s="29" t="inlineStr">
        <is>
          <t>064760.KQ</t>
        </is>
      </c>
    </row>
    <row r="711" ht="24" customHeight="1">
      <c r="A711" s="24" t="inlineStr">
        <is>
          <t>2026-05-11</t>
        </is>
      </c>
      <c r="B711" s="30" t="n">
        <v>302000</v>
      </c>
      <c r="C711" s="30" t="n">
        <v>319000</v>
      </c>
      <c r="D711" s="30" t="n">
        <v>299500</v>
      </c>
      <c r="E711" s="30" t="n">
        <v>316000</v>
      </c>
      <c r="F711" s="30" t="n">
        <v>316000</v>
      </c>
      <c r="G711" s="30" t="n">
        <v>100921</v>
      </c>
      <c r="H711" s="35" t="n">
        <v>0.05685618729096986</v>
      </c>
      <c r="I711" s="35" t="n">
        <v>0</v>
      </c>
      <c r="J711" s="30" t="n">
        <v>290850</v>
      </c>
      <c r="K711" s="30" t="n">
        <v>248241.6666666667</v>
      </c>
      <c r="L711" s="30" t="n">
        <v>205740</v>
      </c>
      <c r="M711" s="35" t="n">
        <v>0.7249311432038965</v>
      </c>
      <c r="N711" s="35" t="n">
        <v>0.8984015738819129</v>
      </c>
      <c r="O711" s="35" t="n">
        <v>0.2741935483870968</v>
      </c>
      <c r="P711" s="35" t="n">
        <v>0.5083532219570406</v>
      </c>
      <c r="Q711" s="35" t="n">
        <v>0.8414918414918415</v>
      </c>
      <c r="R711" s="35" t="n">
        <v>0.08647068935877611</v>
      </c>
      <c r="S711" s="35" t="n">
        <v>0.2729531034945787</v>
      </c>
      <c r="T711" s="35" t="n">
        <v>0.5359191212209584</v>
      </c>
      <c r="U711" s="30" t="n">
        <v>316000</v>
      </c>
      <c r="V711" s="30" t="n">
        <v>84800</v>
      </c>
      <c r="W711" s="35" t="n">
        <v>0</v>
      </c>
      <c r="X711" s="35" t="n">
        <v>2.726415094339623</v>
      </c>
      <c r="Y711" s="30" t="n">
        <v>11179416</v>
      </c>
      <c r="Z711" s="30" t="n">
        <v>3532695456000</v>
      </c>
      <c r="AA711" s="30" t="n">
        <v>31891036000</v>
      </c>
      <c r="AB711" s="30" t="n">
        <v>24271386575</v>
      </c>
      <c r="AC711" s="35" t="n">
        <v>0.009027394633136471</v>
      </c>
      <c r="AD711" s="24" t="inlineStr">
        <is>
          <t>yfinance_download</t>
        </is>
      </c>
      <c r="AE711" s="24" t="inlineStr">
        <is>
          <t>064760.KQ</t>
        </is>
      </c>
    </row>
    <row r="712" ht="24" customHeight="1">
      <c r="A712" s="29" t="inlineStr">
        <is>
          <t>2026-05-12</t>
        </is>
      </c>
      <c r="B712" s="31" t="n">
        <v>316500</v>
      </c>
      <c r="C712" s="31" t="n">
        <v>326000</v>
      </c>
      <c r="D712" s="31" t="n">
        <v>290500</v>
      </c>
      <c r="E712" s="31" t="n">
        <v>308000</v>
      </c>
      <c r="F712" s="31" t="n">
        <v>308000</v>
      </c>
      <c r="G712" s="31" t="n">
        <v>70647</v>
      </c>
      <c r="H712" s="36" t="n">
        <v>-0.02531645569620256</v>
      </c>
      <c r="I712" s="36" t="n">
        <v>-0.02531645569620256</v>
      </c>
      <c r="J712" s="31" t="n">
        <v>294200</v>
      </c>
      <c r="K712" s="31" t="n">
        <v>249708.3333333333</v>
      </c>
      <c r="L712" s="31" t="n">
        <v>206945</v>
      </c>
      <c r="M712" s="36" t="n">
        <v>0.7227981409197503</v>
      </c>
      <c r="N712" s="36" t="n">
        <v>0.8967417646516737</v>
      </c>
      <c r="O712" s="36" t="n">
        <v>0.2780082987551866</v>
      </c>
      <c r="P712" s="36" t="n">
        <v>0.3999999999999999</v>
      </c>
      <c r="Q712" s="36" t="n">
        <v>0.8849449204406366</v>
      </c>
      <c r="R712" s="36" t="n">
        <v>0.04690686607749828</v>
      </c>
      <c r="S712" s="36" t="n">
        <v>0.2334390121808776</v>
      </c>
      <c r="T712" s="36" t="n">
        <v>0.4883181521660345</v>
      </c>
      <c r="U712" s="31" t="n">
        <v>316000</v>
      </c>
      <c r="V712" s="31" t="n">
        <v>84800</v>
      </c>
      <c r="W712" s="36" t="n">
        <v>-0.02531645569620256</v>
      </c>
      <c r="X712" s="36" t="n">
        <v>2.632075471698113</v>
      </c>
      <c r="Y712" s="31" t="n">
        <v>11179416</v>
      </c>
      <c r="Z712" s="31" t="n">
        <v>3443260128000</v>
      </c>
      <c r="AA712" s="31" t="n">
        <v>21759276000</v>
      </c>
      <c r="AB712" s="31" t="n">
        <v>24611635825</v>
      </c>
      <c r="AC712" s="36" t="n">
        <v>0.006319381978450395</v>
      </c>
      <c r="AD712" s="29" t="inlineStr">
        <is>
          <t>yfinance_download</t>
        </is>
      </c>
      <c r="AE712" s="29" t="inlineStr">
        <is>
          <t>064760.KQ</t>
        </is>
      </c>
    </row>
    <row r="713" ht="24" customHeight="1">
      <c r="A713" s="24" t="inlineStr">
        <is>
          <t>2026-05-13</t>
        </is>
      </c>
      <c r="B713" s="30" t="n">
        <v>303000</v>
      </c>
      <c r="C713" s="30" t="n">
        <v>339000</v>
      </c>
      <c r="D713" s="30" t="n">
        <v>300000</v>
      </c>
      <c r="E713" s="30" t="n">
        <v>335000</v>
      </c>
      <c r="F713" s="30" t="n">
        <v>335000</v>
      </c>
      <c r="G713" s="30" t="n">
        <v>91027</v>
      </c>
      <c r="H713" s="35" t="n">
        <v>0.08766233766233755</v>
      </c>
      <c r="I713" s="35" t="n">
        <v>0</v>
      </c>
      <c r="J713" s="30" t="n">
        <v>298775</v>
      </c>
      <c r="K713" s="30" t="n">
        <v>251816.6666666667</v>
      </c>
      <c r="L713" s="30" t="n">
        <v>208320</v>
      </c>
      <c r="M713" s="35" t="n">
        <v>0.7692030821452935</v>
      </c>
      <c r="N713" s="35" t="n">
        <v>0.9029718003593815</v>
      </c>
      <c r="O713" s="35" t="n">
        <v>0.375770020533881</v>
      </c>
      <c r="P713" s="35" t="n">
        <v>0.6067146282973621</v>
      </c>
      <c r="Q713" s="35" t="n">
        <v>0.9705882352941178</v>
      </c>
      <c r="R713" s="35" t="n">
        <v>0.1212450840933814</v>
      </c>
      <c r="S713" s="35" t="n">
        <v>0.330332914157125</v>
      </c>
      <c r="T713" s="35" t="n">
        <v>0.6081029185867897</v>
      </c>
      <c r="U713" s="30" t="n">
        <v>335000</v>
      </c>
      <c r="V713" s="30" t="n">
        <v>84800</v>
      </c>
      <c r="W713" s="35" t="n">
        <v>0</v>
      </c>
      <c r="X713" s="35" t="n">
        <v>2.950471698113208</v>
      </c>
      <c r="Y713" s="30" t="n">
        <v>11179416</v>
      </c>
      <c r="Z713" s="30" t="n">
        <v>3745104360000</v>
      </c>
      <c r="AA713" s="30" t="n">
        <v>30494045000</v>
      </c>
      <c r="AB713" s="30" t="n">
        <v>25607066475</v>
      </c>
      <c r="AC713" s="35" t="n">
        <v>0.008142375236774444</v>
      </c>
      <c r="AD713" s="24" t="inlineStr">
        <is>
          <t>yfinance_download</t>
        </is>
      </c>
      <c r="AE713" s="24" t="inlineStr">
        <is>
          <t>064760.KQ</t>
        </is>
      </c>
    </row>
    <row r="714" ht="24" customHeight="1">
      <c r="A714" s="29" t="inlineStr">
        <is>
          <t>2026-05-14</t>
        </is>
      </c>
      <c r="B714" s="31" t="n">
        <v>339000</v>
      </c>
      <c r="C714" s="31" t="n">
        <v>348500</v>
      </c>
      <c r="D714" s="31" t="n">
        <v>325000</v>
      </c>
      <c r="E714" s="31" t="n">
        <v>348500</v>
      </c>
      <c r="F714" s="31" t="n">
        <v>348500</v>
      </c>
      <c r="G714" s="31" t="n">
        <v>84091</v>
      </c>
      <c r="H714" s="36" t="n">
        <v>0.04029850746268648</v>
      </c>
      <c r="I714" s="36" t="n">
        <v>0</v>
      </c>
      <c r="J714" s="31" t="n">
        <v>303100</v>
      </c>
      <c r="K714" s="31" t="n">
        <v>254175</v>
      </c>
      <c r="L714" s="31" t="n">
        <v>209900</v>
      </c>
      <c r="M714" s="36" t="n">
        <v>0.7430128856382352</v>
      </c>
      <c r="N714" s="36" t="n">
        <v>0.904470107862214</v>
      </c>
      <c r="O714" s="36" t="n">
        <v>0.3301526717557253</v>
      </c>
      <c r="P714" s="36" t="n">
        <v>0.6835748792270531</v>
      </c>
      <c r="Q714" s="36" t="n">
        <v>1.193203272498427</v>
      </c>
      <c r="R714" s="36" t="n">
        <v>0.1497855493236555</v>
      </c>
      <c r="S714" s="36" t="n">
        <v>0.3711025868004327</v>
      </c>
      <c r="T714" s="36" t="n">
        <v>0.6603144354454502</v>
      </c>
      <c r="U714" s="31" t="n">
        <v>348500</v>
      </c>
      <c r="V714" s="31" t="n">
        <v>84800</v>
      </c>
      <c r="W714" s="36" t="n">
        <v>0</v>
      </c>
      <c r="X714" s="36" t="n">
        <v>3.109669811320755</v>
      </c>
      <c r="Y714" s="31" t="n">
        <v>11179416</v>
      </c>
      <c r="Z714" s="31" t="n">
        <v>3896026476000</v>
      </c>
      <c r="AA714" s="31" t="n">
        <v>29305713500</v>
      </c>
      <c r="AB714" s="31" t="n">
        <v>25284870250</v>
      </c>
      <c r="AC714" s="36" t="n">
        <v>0.007521949268190753</v>
      </c>
      <c r="AD714" s="29" t="inlineStr">
        <is>
          <t>yfinance_download</t>
        </is>
      </c>
      <c r="AE714" s="29" t="inlineStr">
        <is>
          <t>064760.KQ</t>
        </is>
      </c>
    </row>
    <row r="715" ht="24" customHeight="1">
      <c r="A715" s="24" t="inlineStr">
        <is>
          <t>2026-05-15</t>
        </is>
      </c>
      <c r="B715" s="30" t="n">
        <v>348000</v>
      </c>
      <c r="C715" s="30" t="n">
        <v>348000</v>
      </c>
      <c r="D715" s="30" t="n">
        <v>300500</v>
      </c>
      <c r="E715" s="30" t="n">
        <v>305000</v>
      </c>
      <c r="F715" s="30" t="n">
        <v>305000</v>
      </c>
      <c r="G715" s="30" t="n">
        <v>112679</v>
      </c>
      <c r="H715" s="35" t="n">
        <v>-0.1248206599713056</v>
      </c>
      <c r="I715" s="35" t="n">
        <v>-0.1248206599713056</v>
      </c>
      <c r="J715" s="30" t="n">
        <v>304775</v>
      </c>
      <c r="K715" s="30" t="n">
        <v>255575</v>
      </c>
      <c r="L715" s="30" t="n">
        <v>211089.1666666667</v>
      </c>
      <c r="M715" s="35" t="n">
        <v>0.8887347933293567</v>
      </c>
      <c r="N715" s="35" t="n">
        <v>0.9377242400057846</v>
      </c>
      <c r="O715" s="35" t="n">
        <v>0.1233885819521179</v>
      </c>
      <c r="P715" s="35" t="n">
        <v>0.3800904977375565</v>
      </c>
      <c r="Q715" s="35" t="n">
        <v>0.8792359827479976</v>
      </c>
      <c r="R715" s="35" t="n">
        <v>0.0007382495283405621</v>
      </c>
      <c r="S715" s="35" t="n">
        <v>0.1933874596498093</v>
      </c>
      <c r="T715" s="35" t="n">
        <v>0.4448870343101454</v>
      </c>
      <c r="U715" s="30" t="n">
        <v>348500</v>
      </c>
      <c r="V715" s="30" t="n">
        <v>84800</v>
      </c>
      <c r="W715" s="35" t="n">
        <v>-0.1248206599713056</v>
      </c>
      <c r="X715" s="35" t="n">
        <v>2.596698113207547</v>
      </c>
      <c r="Y715" s="30" t="n">
        <v>11179416</v>
      </c>
      <c r="Z715" s="30" t="n">
        <v>3409721880000</v>
      </c>
      <c r="AA715" s="30" t="n">
        <v>34367095000</v>
      </c>
      <c r="AB715" s="30" t="n">
        <v>25534355700</v>
      </c>
      <c r="AC715" s="35" t="n">
        <v>0.01007914903604983</v>
      </c>
      <c r="AD715" s="24" t="inlineStr">
        <is>
          <t>yfinance_download</t>
        </is>
      </c>
      <c r="AE715" s="24" t="inlineStr">
        <is>
          <t>064760.KQ</t>
        </is>
      </c>
    </row>
    <row r="716" ht="24" customHeight="1">
      <c r="A716" s="29" t="inlineStr">
        <is>
          <t>2026-05-18</t>
        </is>
      </c>
      <c r="B716" s="31" t="n">
        <v>304500</v>
      </c>
      <c r="C716" s="31" t="n">
        <v>304500</v>
      </c>
      <c r="D716" s="31" t="n">
        <v>276500</v>
      </c>
      <c r="E716" s="31" t="n">
        <v>293000</v>
      </c>
      <c r="F716" s="31" t="n">
        <v>293000</v>
      </c>
      <c r="G716" s="31" t="n">
        <v>61061</v>
      </c>
      <c r="H716" s="36" t="n">
        <v>-0.03934426229508192</v>
      </c>
      <c r="I716" s="36" t="n">
        <v>-0.1592539454806313</v>
      </c>
      <c r="J716" s="31" t="n">
        <v>304225</v>
      </c>
      <c r="K716" s="31" t="n">
        <v>257033.3333333333</v>
      </c>
      <c r="L716" s="31" t="n">
        <v>212245</v>
      </c>
      <c r="M716" s="36" t="n">
        <v>0.7965716220057999</v>
      </c>
      <c r="N716" s="36" t="n">
        <v>0.9289792701713261</v>
      </c>
      <c r="O716" s="36" t="n">
        <v>-0.03618421052631582</v>
      </c>
      <c r="P716" s="36" t="n">
        <v>0.4257907542579076</v>
      </c>
      <c r="Q716" s="36" t="n">
        <v>0.898898250162022</v>
      </c>
      <c r="R716" s="36" t="n">
        <v>-0.03689703344564055</v>
      </c>
      <c r="S716" s="36" t="n">
        <v>0.1399299701724808</v>
      </c>
      <c r="T716" s="36" t="n">
        <v>0.3804801055384108</v>
      </c>
      <c r="U716" s="31" t="n">
        <v>348500</v>
      </c>
      <c r="V716" s="31" t="n">
        <v>85000</v>
      </c>
      <c r="W716" s="36" t="n">
        <v>-0.1592539454806313</v>
      </c>
      <c r="X716" s="36" t="n">
        <v>2.447058823529412</v>
      </c>
      <c r="Y716" s="31" t="n">
        <v>11179416</v>
      </c>
      <c r="Z716" s="31" t="n">
        <v>3275568888000</v>
      </c>
      <c r="AA716" s="31" t="n">
        <v>17890873000</v>
      </c>
      <c r="AB716" s="31" t="n">
        <v>23399615350</v>
      </c>
      <c r="AC716" s="36" t="n">
        <v>0.005461913216218093</v>
      </c>
      <c r="AD716" s="29" t="inlineStr">
        <is>
          <t>yfinance_download</t>
        </is>
      </c>
      <c r="AE716" s="29" t="inlineStr">
        <is>
          <t>064760.KQ</t>
        </is>
      </c>
    </row>
    <row r="717" ht="24" customHeight="1">
      <c r="A717" s="24" t="inlineStr">
        <is>
          <t>2026-05-19</t>
        </is>
      </c>
      <c r="B717" s="30" t="n">
        <v>290000</v>
      </c>
      <c r="C717" s="30" t="n">
        <v>296000</v>
      </c>
      <c r="D717" s="30" t="n">
        <v>271000</v>
      </c>
      <c r="E717" s="30" t="n">
        <v>277000</v>
      </c>
      <c r="F717" s="30" t="n">
        <v>277000</v>
      </c>
      <c r="G717" s="30" t="n">
        <v>78754</v>
      </c>
      <c r="H717" s="35" t="n">
        <v>-0.05460750853242324</v>
      </c>
      <c r="I717" s="35" t="n">
        <v>-0.2051649928263989</v>
      </c>
      <c r="J717" s="30" t="n">
        <v>302800</v>
      </c>
      <c r="K717" s="30" t="n">
        <v>258050</v>
      </c>
      <c r="L717" s="30" t="n">
        <v>213250</v>
      </c>
      <c r="M717" s="35" t="n">
        <v>0.8188028183059585</v>
      </c>
      <c r="N717" s="35" t="n">
        <v>0.9330787201986498</v>
      </c>
      <c r="O717" s="35" t="n">
        <v>-0.09328968903436985</v>
      </c>
      <c r="P717" s="35" t="n">
        <v>0.2824074074074074</v>
      </c>
      <c r="Q717" s="35" t="n">
        <v>0.7710997442455243</v>
      </c>
      <c r="R717" s="35" t="n">
        <v>-0.08520475561426688</v>
      </c>
      <c r="S717" s="35" t="n">
        <v>0.07343538074016664</v>
      </c>
      <c r="T717" s="35" t="n">
        <v>0.2989449003517</v>
      </c>
      <c r="U717" s="30" t="n">
        <v>348500</v>
      </c>
      <c r="V717" s="30" t="n">
        <v>85000</v>
      </c>
      <c r="W717" s="35" t="n">
        <v>-0.2051649928263989</v>
      </c>
      <c r="X717" s="35" t="n">
        <v>2.258823529411765</v>
      </c>
      <c r="Y717" s="30" t="n">
        <v>11179416</v>
      </c>
      <c r="Z717" s="30" t="n">
        <v>3096698232000</v>
      </c>
      <c r="AA717" s="30" t="n">
        <v>21814858000</v>
      </c>
      <c r="AB717" s="30" t="n">
        <v>23583909200</v>
      </c>
      <c r="AC717" s="35" t="n">
        <v>0.007044554026793528</v>
      </c>
      <c r="AD717" s="24" t="inlineStr">
        <is>
          <t>yfinance_download</t>
        </is>
      </c>
      <c r="AE717" s="24" t="inlineStr">
        <is>
          <t>064760.KQ</t>
        </is>
      </c>
    </row>
    <row r="718" ht="24" customHeight="1">
      <c r="A718" s="29" t="inlineStr">
        <is>
          <t>2026-05-20</t>
        </is>
      </c>
      <c r="B718" s="31" t="n">
        <v>282500</v>
      </c>
      <c r="C718" s="31" t="n">
        <v>292000</v>
      </c>
      <c r="D718" s="31" t="n">
        <v>265000</v>
      </c>
      <c r="E718" s="31" t="n">
        <v>274500</v>
      </c>
      <c r="F718" s="31" t="n">
        <v>274500</v>
      </c>
      <c r="G718" s="31" t="n">
        <v>45429</v>
      </c>
      <c r="H718" s="36" t="n">
        <v>-0.009025270758122761</v>
      </c>
      <c r="I718" s="36" t="n">
        <v>-0.212338593974175</v>
      </c>
      <c r="J718" s="31" t="n">
        <v>302525</v>
      </c>
      <c r="K718" s="31" t="n">
        <v>259066.6666666667</v>
      </c>
      <c r="L718" s="31" t="n">
        <v>214244.1666666667</v>
      </c>
      <c r="M718" s="36" t="n">
        <v>0.7632309413365697</v>
      </c>
      <c r="N718" s="36" t="n">
        <v>0.9328904204207071</v>
      </c>
      <c r="O718" s="36" t="n">
        <v>-0.01964285714285718</v>
      </c>
      <c r="P718" s="36" t="n">
        <v>0.2857142857142858</v>
      </c>
      <c r="Q718" s="36" t="n">
        <v>0.7686855670103092</v>
      </c>
      <c r="R718" s="36" t="n">
        <v>-0.09263697215106192</v>
      </c>
      <c r="S718" s="36" t="n">
        <v>0.05957282552753473</v>
      </c>
      <c r="T718" s="36" t="n">
        <v>0.281248419832512</v>
      </c>
      <c r="U718" s="31" t="n">
        <v>348500</v>
      </c>
      <c r="V718" s="31" t="n">
        <v>85000</v>
      </c>
      <c r="W718" s="36" t="n">
        <v>-0.212338593974175</v>
      </c>
      <c r="X718" s="36" t="n">
        <v>2.229411764705882</v>
      </c>
      <c r="Y718" s="31" t="n">
        <v>11179416</v>
      </c>
      <c r="Z718" s="31" t="n">
        <v>3068749692000</v>
      </c>
      <c r="AA718" s="31" t="n">
        <v>12470260500</v>
      </c>
      <c r="AB718" s="31" t="n">
        <v>22623238225</v>
      </c>
      <c r="AC718" s="36" t="n">
        <v>0.004063629084023709</v>
      </c>
      <c r="AD718" s="29" t="inlineStr">
        <is>
          <t>yfinance_download</t>
        </is>
      </c>
      <c r="AE718" s="29" t="inlineStr">
        <is>
          <t>064760.KQ</t>
        </is>
      </c>
    </row>
  </sheetData>
  <autoFilter ref="A18:AE718"/>
  <mergeCells count="4">
    <mergeCell ref="A2:L2"/>
    <mergeCell ref="A17:F17"/>
    <mergeCell ref="A1:L1"/>
    <mergeCell ref="A4:F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K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 ht="24" customHeight="1">
      <c r="A1" s="22" t="inlineStr">
        <is>
          <t>정규화 재무제표</t>
        </is>
      </c>
    </row>
    <row r="2" ht="24" customHeight="1">
      <c r="A2" s="25" t="inlineStr">
        <is>
          <t>연도</t>
        </is>
      </c>
      <c r="B2" s="25" t="inlineStr">
        <is>
          <t>매출액</t>
        </is>
      </c>
      <c r="C2" s="25" t="inlineStr">
        <is>
          <t>영업이익</t>
        </is>
      </c>
      <c r="D2" s="25" t="inlineStr">
        <is>
          <t>순이익</t>
        </is>
      </c>
      <c r="E2" s="25" t="inlineStr">
        <is>
          <t>자산총계</t>
        </is>
      </c>
      <c r="F2" s="25" t="inlineStr">
        <is>
          <t>부채총계</t>
        </is>
      </c>
      <c r="G2" s="25" t="inlineStr">
        <is>
          <t>자본총계</t>
        </is>
      </c>
      <c r="H2" s="25" t="inlineStr">
        <is>
          <t>현금성자산</t>
        </is>
      </c>
      <c r="I2" s="25" t="inlineStr">
        <is>
          <t>영업현금흐름</t>
        </is>
      </c>
      <c r="J2" s="25" t="inlineStr">
        <is>
          <t>CAPEX</t>
        </is>
      </c>
      <c r="K2" s="25" t="inlineStr">
        <is>
          <t>FCF</t>
        </is>
      </c>
      <c r="L2" s="25" t="inlineStr">
        <is>
          <t>투자현금흐름</t>
        </is>
      </c>
      <c r="M2" s="25" t="inlineStr">
        <is>
          <t>원천계정수</t>
        </is>
      </c>
      <c r="N2" s="25" t="inlineStr">
        <is>
          <t>매출 원천계정</t>
        </is>
      </c>
      <c r="O2" s="25" t="inlineStr">
        <is>
          <t>영업이익 원천계정</t>
        </is>
      </c>
      <c r="P2" s="25" t="inlineStr">
        <is>
          <t>순이익 원천계정</t>
        </is>
      </c>
      <c r="Q2" s="25" t="inlineStr">
        <is>
          <t>자산 원천계정</t>
        </is>
      </c>
      <c r="R2" s="25" t="inlineStr">
        <is>
          <t>부채 원천계정</t>
        </is>
      </c>
      <c r="S2" s="25" t="inlineStr">
        <is>
          <t>자본 원천계정</t>
        </is>
      </c>
      <c r="T2" s="25" t="inlineStr">
        <is>
          <t>영업현금흐름 원천계정</t>
        </is>
      </c>
      <c r="U2" s="25" t="inlineStr">
        <is>
          <t>CAPEX 원천계정</t>
        </is>
      </c>
      <c r="V2" s="25" t="inlineStr">
        <is>
          <t>현금 원천계정</t>
        </is>
      </c>
      <c r="W2" s="25" t="inlineStr">
        <is>
          <t>영업이익률</t>
        </is>
      </c>
      <c r="X2" s="25" t="inlineStr">
        <is>
          <t>순이익률</t>
        </is>
      </c>
      <c r="Y2" s="25" t="inlineStr">
        <is>
          <t>ROE</t>
        </is>
      </c>
      <c r="Z2" s="25" t="inlineStr">
        <is>
          <t>ROA</t>
        </is>
      </c>
      <c r="AA2" s="25" t="inlineStr">
        <is>
          <t>부채/자본</t>
        </is>
      </c>
      <c r="AB2" s="25" t="inlineStr">
        <is>
          <t>부채/자산</t>
        </is>
      </c>
      <c r="AC2" s="25" t="inlineStr">
        <is>
          <t>자본비율</t>
        </is>
      </c>
      <c r="AD2" s="25" t="inlineStr">
        <is>
          <t>현금/자산</t>
        </is>
      </c>
      <c r="AE2" s="25" t="inlineStr">
        <is>
          <t>CFO margin</t>
        </is>
      </c>
      <c r="AF2" s="25" t="inlineStr">
        <is>
          <t>CAPEX/매출</t>
        </is>
      </c>
      <c r="AG2" s="25" t="inlineStr">
        <is>
          <t>FCF margin</t>
        </is>
      </c>
      <c r="AH2" s="25" t="inlineStr">
        <is>
          <t>FCF 전환율</t>
        </is>
      </c>
      <c r="AI2" s="25" t="inlineStr">
        <is>
          <t>매출성장률</t>
        </is>
      </c>
      <c r="AJ2" s="25" t="inlineStr">
        <is>
          <t>영업이익성장률</t>
        </is>
      </c>
      <c r="AK2" s="25" t="inlineStr">
        <is>
          <t>자산성장률</t>
        </is>
      </c>
    </row>
    <row r="3" ht="24" customHeight="1">
      <c r="A3" s="30" t="n">
        <v>2021</v>
      </c>
      <c r="B3" s="30" t="n">
        <v>270766567696</v>
      </c>
      <c r="C3" s="30" t="n">
        <v>103400361685</v>
      </c>
      <c r="D3" s="30" t="n">
        <v>81890628054</v>
      </c>
      <c r="E3" s="30" t="n">
        <v>389705970637</v>
      </c>
      <c r="F3" s="30" t="n">
        <v>50193523554</v>
      </c>
      <c r="G3" s="30" t="n">
        <v>339512447083</v>
      </c>
      <c r="H3" s="30" t="n">
        <v>53718532398</v>
      </c>
      <c r="I3" s="30" t="n">
        <v>78650104268</v>
      </c>
      <c r="J3" s="30" t="n">
        <v>13578370128</v>
      </c>
      <c r="K3" s="30" t="n">
        <v>65071734140</v>
      </c>
      <c r="L3" s="30" t="n">
        <v>-63738558950</v>
      </c>
      <c r="M3" s="30" t="n">
        <v>96</v>
      </c>
      <c r="N3" s="24" t="inlineStr">
        <is>
          <t>수익(매출액)</t>
        </is>
      </c>
      <c r="O3" s="24" t="inlineStr">
        <is>
          <t>영업이익(손실)</t>
        </is>
      </c>
      <c r="P3" s="24" t="inlineStr">
        <is>
          <t>당기순이익(손실)</t>
        </is>
      </c>
      <c r="Q3" s="24" t="inlineStr">
        <is>
          <t>자산총계</t>
        </is>
      </c>
      <c r="R3" s="24" t="inlineStr">
        <is>
          <t>부채총계</t>
        </is>
      </c>
      <c r="S3" s="24" t="inlineStr">
        <is>
          <t>자본총계</t>
        </is>
      </c>
      <c r="T3" s="24" t="inlineStr">
        <is>
          <t>영업활동현금흐름</t>
        </is>
      </c>
      <c r="U3" s="24" t="inlineStr">
        <is>
          <t>유형자산의 취득</t>
        </is>
      </c>
      <c r="V3" s="24" t="inlineStr">
        <is>
          <t>현금및현금성자산</t>
        </is>
      </c>
      <c r="W3" s="35" t="n">
        <v>0.3818800916407507</v>
      </c>
      <c r="X3" s="35" t="n">
        <v>0.3024399531700743</v>
      </c>
      <c r="Y3" s="35" t="n">
        <v>0.2412006651231268</v>
      </c>
      <c r="Z3" s="35" t="n">
        <v>0.2101343941950501</v>
      </c>
      <c r="AA3" s="35" t="n">
        <v>0.1478400099473504</v>
      </c>
      <c r="AB3" s="35" t="n">
        <v>0.1287984463567632</v>
      </c>
      <c r="AC3" s="35" t="n">
        <v>0.8712015536432367</v>
      </c>
      <c r="AD3" s="35" t="n">
        <v>0.1378437500205438</v>
      </c>
      <c r="AE3" s="35" t="n">
        <v>0.2904719919347779</v>
      </c>
      <c r="AF3" s="35" t="n">
        <v>0.05014788289241438</v>
      </c>
      <c r="AG3" s="35" t="n">
        <v>0.2403241090423635</v>
      </c>
      <c r="AH3" s="35" t="n">
        <v>0.6293182449229263</v>
      </c>
      <c r="AI3" s="24" t="inlineStr">
        <is>
          <t>해당 없음</t>
        </is>
      </c>
      <c r="AJ3" s="24" t="inlineStr">
        <is>
          <t>해당 없음</t>
        </is>
      </c>
      <c r="AK3" s="24" t="inlineStr">
        <is>
          <t>해당 없음</t>
        </is>
      </c>
    </row>
    <row r="4" ht="24" customHeight="1">
      <c r="A4" s="31" t="n">
        <v>2022</v>
      </c>
      <c r="B4" s="31" t="n">
        <v>319562836196</v>
      </c>
      <c r="C4" s="29" t="inlineStr">
        <is>
          <t>해당 없음</t>
        </is>
      </c>
      <c r="D4" s="31" t="n">
        <v>94056447998</v>
      </c>
      <c r="E4" s="31" t="n">
        <v>480543059263</v>
      </c>
      <c r="F4" s="31" t="n">
        <v>63669414182</v>
      </c>
      <c r="G4" s="31" t="n">
        <v>416873645081</v>
      </c>
      <c r="H4" s="29" t="inlineStr">
        <is>
          <t>해당 없음</t>
        </is>
      </c>
      <c r="I4" s="31" t="n">
        <v>87311102557</v>
      </c>
      <c r="J4" s="31" t="n">
        <v>35525133026</v>
      </c>
      <c r="K4" s="31" t="n">
        <v>51785969531</v>
      </c>
      <c r="L4" s="31" t="n">
        <v>-96045963737</v>
      </c>
      <c r="M4" s="31" t="n">
        <v>109</v>
      </c>
      <c r="N4" s="29" t="inlineStr">
        <is>
          <t>Ⅰ. 매출액</t>
        </is>
      </c>
      <c r="O4" s="29" t="inlineStr">
        <is>
          <t>해당 없음</t>
        </is>
      </c>
      <c r="P4" s="29" t="inlineStr">
        <is>
          <t>Ⅵ. 당기순이익</t>
        </is>
      </c>
      <c r="Q4" s="29" t="inlineStr">
        <is>
          <t>자산총계</t>
        </is>
      </c>
      <c r="R4" s="29" t="inlineStr">
        <is>
          <t>부채총계</t>
        </is>
      </c>
      <c r="S4" s="29" t="inlineStr">
        <is>
          <t>자본총계</t>
        </is>
      </c>
      <c r="T4" s="29" t="inlineStr">
        <is>
          <t>I. 영업활동으로 인한 현금흐름</t>
        </is>
      </c>
      <c r="U4" s="29" t="inlineStr">
        <is>
          <t>(4) 유형자산의 취득</t>
        </is>
      </c>
      <c r="V4" s="29" t="inlineStr">
        <is>
          <t>해당 없음</t>
        </is>
      </c>
      <c r="W4" s="29" t="inlineStr">
        <is>
          <t>해당 없음</t>
        </is>
      </c>
      <c r="X4" s="36" t="n">
        <v>0.2943284930050865</v>
      </c>
      <c r="Y4" s="36" t="n">
        <v>0.2256233971800364</v>
      </c>
      <c r="Z4" s="36" t="n">
        <v>0.1957294901777431</v>
      </c>
      <c r="AA4" s="36" t="n">
        <v>0.1527307253247655</v>
      </c>
      <c r="AB4" s="36" t="n">
        <v>0.1324947118779503</v>
      </c>
      <c r="AC4" s="36" t="n">
        <v>0.8675052881220496</v>
      </c>
      <c r="AD4" s="29" t="inlineStr">
        <is>
          <t>해당 없음</t>
        </is>
      </c>
      <c r="AE4" s="36" t="n">
        <v>0.2732204520285607</v>
      </c>
      <c r="AF4" s="36" t="n">
        <v>0.1111679112905704</v>
      </c>
      <c r="AG4" s="36" t="n">
        <v>0.1620525407379903</v>
      </c>
      <c r="AH4" s="29" t="inlineStr">
        <is>
          <t>해당 없음</t>
        </is>
      </c>
      <c r="AI4" s="36" t="n">
        <v>0.1802152640749408</v>
      </c>
      <c r="AJ4" s="29" t="inlineStr">
        <is>
          <t>해당 없음</t>
        </is>
      </c>
      <c r="AK4" s="36" t="n">
        <v>0.2330913444244151</v>
      </c>
    </row>
    <row r="5" ht="24" customHeight="1">
      <c r="A5" s="30" t="n">
        <v>2023</v>
      </c>
      <c r="B5" s="30" t="n">
        <v>226652881531</v>
      </c>
      <c r="C5" s="24" t="inlineStr">
        <is>
          <t>해당 없음</t>
        </is>
      </c>
      <c r="D5" s="30" t="n">
        <v>61244566663</v>
      </c>
      <c r="E5" s="30" t="n">
        <v>495503750976</v>
      </c>
      <c r="F5" s="30" t="n">
        <v>37233039232</v>
      </c>
      <c r="G5" s="30" t="n">
        <v>458270711744</v>
      </c>
      <c r="H5" s="24" t="inlineStr">
        <is>
          <t>해당 없음</t>
        </is>
      </c>
      <c r="I5" s="30" t="n">
        <v>20979642673</v>
      </c>
      <c r="J5" s="30" t="n">
        <v>509749324</v>
      </c>
      <c r="K5" s="30" t="n">
        <v>20469893349</v>
      </c>
      <c r="L5" s="30" t="n">
        <v>-33572720459</v>
      </c>
      <c r="M5" s="30" t="n">
        <v>104</v>
      </c>
      <c r="N5" s="24" t="inlineStr">
        <is>
          <t>Ⅰ. 매출액</t>
        </is>
      </c>
      <c r="O5" s="24" t="inlineStr">
        <is>
          <t>해당 없음</t>
        </is>
      </c>
      <c r="P5" s="24" t="inlineStr">
        <is>
          <t>Ⅵ. 당기순이익</t>
        </is>
      </c>
      <c r="Q5" s="24" t="inlineStr">
        <is>
          <t>자산총계</t>
        </is>
      </c>
      <c r="R5" s="24" t="inlineStr">
        <is>
          <t>부채총계</t>
        </is>
      </c>
      <c r="S5" s="24" t="inlineStr">
        <is>
          <t>자본총계</t>
        </is>
      </c>
      <c r="T5" s="24" t="inlineStr">
        <is>
          <t>I. 영업활동으로 인한 현금흐름</t>
        </is>
      </c>
      <c r="U5" s="24" t="inlineStr">
        <is>
          <t>(5) 무형자산의 취득</t>
        </is>
      </c>
      <c r="V5" s="24" t="inlineStr">
        <is>
          <t>해당 없음</t>
        </is>
      </c>
      <c r="W5" s="24" t="inlineStr">
        <is>
          <t>해당 없음</t>
        </is>
      </c>
      <c r="X5" s="35" t="n">
        <v>0.2702130511172142</v>
      </c>
      <c r="Y5" s="35" t="n">
        <v>0.1336427685503335</v>
      </c>
      <c r="Z5" s="35" t="n">
        <v>0.1236006115844044</v>
      </c>
      <c r="AA5" s="35" t="n">
        <v>0.08124682262653343</v>
      </c>
      <c r="AB5" s="35" t="n">
        <v>0.07514179087173732</v>
      </c>
      <c r="AC5" s="35" t="n">
        <v>0.9248582091282627</v>
      </c>
      <c r="AD5" s="24" t="inlineStr">
        <is>
          <t>해당 없음</t>
        </is>
      </c>
      <c r="AE5" s="35" t="n">
        <v>0.09256287646239587</v>
      </c>
      <c r="AF5" s="35" t="n">
        <v>0.002249030855274082</v>
      </c>
      <c r="AG5" s="35" t="n">
        <v>0.09031384560712179</v>
      </c>
      <c r="AH5" s="24" t="inlineStr">
        <is>
          <t>해당 없음</t>
        </is>
      </c>
      <c r="AI5" s="35" t="n">
        <v>-0.290740800059788</v>
      </c>
      <c r="AJ5" s="24" t="inlineStr">
        <is>
          <t>해당 없음</t>
        </is>
      </c>
      <c r="AK5" s="35" t="n">
        <v>0.03113288481566023</v>
      </c>
    </row>
    <row r="6" ht="24" customHeight="1">
      <c r="A6" s="31" t="n">
        <v>2024</v>
      </c>
      <c r="B6" s="31" t="n">
        <v>275724843444</v>
      </c>
      <c r="C6" s="29" t="inlineStr">
        <is>
          <t>해당 없음</t>
        </is>
      </c>
      <c r="D6" s="31" t="n">
        <v>71994036570</v>
      </c>
      <c r="E6" s="31" t="n">
        <v>563519610069</v>
      </c>
      <c r="F6" s="31" t="n">
        <v>47264861755</v>
      </c>
      <c r="G6" s="31" t="n">
        <v>516254748314</v>
      </c>
      <c r="H6" s="29" t="inlineStr">
        <is>
          <t>해당 없음</t>
        </is>
      </c>
      <c r="I6" s="31" t="n">
        <v>74417172514</v>
      </c>
      <c r="J6" s="31" t="n">
        <v>433979393</v>
      </c>
      <c r="K6" s="31" t="n">
        <v>73983193121</v>
      </c>
      <c r="L6" s="31" t="n">
        <v>-72043319977</v>
      </c>
      <c r="M6" s="31" t="n">
        <v>104</v>
      </c>
      <c r="N6" s="29" t="inlineStr">
        <is>
          <t>Ⅰ. 매출액</t>
        </is>
      </c>
      <c r="O6" s="29" t="inlineStr">
        <is>
          <t>해당 없음</t>
        </is>
      </c>
      <c r="P6" s="29" t="inlineStr">
        <is>
          <t>Ⅵ. 당기순이익</t>
        </is>
      </c>
      <c r="Q6" s="29" t="inlineStr">
        <is>
          <t>자산총계</t>
        </is>
      </c>
      <c r="R6" s="29" t="inlineStr">
        <is>
          <t>부채총계</t>
        </is>
      </c>
      <c r="S6" s="29" t="inlineStr">
        <is>
          <t>자본총계</t>
        </is>
      </c>
      <c r="T6" s="29" t="inlineStr">
        <is>
          <t>I. 영업활동으로 인한 현금흐름</t>
        </is>
      </c>
      <c r="U6" s="29" t="inlineStr">
        <is>
          <t>(5) 무형자산의 취득</t>
        </is>
      </c>
      <c r="V6" s="29" t="inlineStr">
        <is>
          <t>해당 없음</t>
        </is>
      </c>
      <c r="W6" s="29" t="inlineStr">
        <is>
          <t>해당 없음</t>
        </is>
      </c>
      <c r="X6" s="36" t="n">
        <v>0.2611082689203596</v>
      </c>
      <c r="Y6" s="36" t="n">
        <v>0.1394544782495856</v>
      </c>
      <c r="Z6" s="36" t="n">
        <v>0.1277578193972428</v>
      </c>
      <c r="AA6" s="36" t="n">
        <v>0.09155336955129029</v>
      </c>
      <c r="AB6" s="36" t="n">
        <v>0.08387438681896565</v>
      </c>
      <c r="AC6" s="36" t="n">
        <v>0.9161256131810344</v>
      </c>
      <c r="AD6" s="29" t="inlineStr">
        <is>
          <t>해당 없음</t>
        </is>
      </c>
      <c r="AE6" s="36" t="n">
        <v>0.2698965083612939</v>
      </c>
      <c r="AF6" s="36" t="n">
        <v>0.001573958253377852</v>
      </c>
      <c r="AG6" s="36" t="n">
        <v>0.2683225501079161</v>
      </c>
      <c r="AH6" s="29" t="inlineStr">
        <is>
          <t>해당 없음</t>
        </is>
      </c>
      <c r="AI6" s="36" t="n">
        <v>0.2165071168807897</v>
      </c>
      <c r="AJ6" s="29" t="inlineStr">
        <is>
          <t>해당 없음</t>
        </is>
      </c>
      <c r="AK6" s="36" t="n">
        <v>0.1372660831709716</v>
      </c>
    </row>
    <row r="7" ht="24" customHeight="1">
      <c r="A7" s="30" t="n">
        <v>2025</v>
      </c>
      <c r="B7" s="30" t="n">
        <v>301334302844</v>
      </c>
      <c r="C7" s="30" t="n">
        <v>83887319363</v>
      </c>
      <c r="D7" s="30" t="n">
        <v>69902724552</v>
      </c>
      <c r="E7" s="30" t="n">
        <v>567616557963</v>
      </c>
      <c r="F7" s="30" t="n">
        <v>48313763573</v>
      </c>
      <c r="G7" s="30" t="n">
        <v>519302794390</v>
      </c>
      <c r="H7" s="30" t="n">
        <v>7957313966</v>
      </c>
      <c r="I7" s="30" t="n">
        <v>54111434312</v>
      </c>
      <c r="J7" s="30" t="n">
        <v>81937721</v>
      </c>
      <c r="K7" s="30" t="n">
        <v>54029496591</v>
      </c>
      <c r="L7" s="30" t="n">
        <v>4361225849</v>
      </c>
      <c r="M7" s="30" t="n">
        <v>135</v>
      </c>
      <c r="N7" s="24" t="inlineStr">
        <is>
          <t>매출액</t>
        </is>
      </c>
      <c r="O7" s="24" t="inlineStr">
        <is>
          <t>영업이익</t>
        </is>
      </c>
      <c r="P7" s="24" t="inlineStr">
        <is>
          <t>당기순이익</t>
        </is>
      </c>
      <c r="Q7" s="24" t="inlineStr">
        <is>
          <t>자산총계</t>
        </is>
      </c>
      <c r="R7" s="24" t="inlineStr">
        <is>
          <t>부채총계</t>
        </is>
      </c>
      <c r="S7" s="24" t="inlineStr">
        <is>
          <t>자본총계</t>
        </is>
      </c>
      <c r="T7" s="24" t="inlineStr">
        <is>
          <t>영업활동으로 인한 현금흐름</t>
        </is>
      </c>
      <c r="U7" s="24" t="inlineStr">
        <is>
          <t>무형자산의 취득</t>
        </is>
      </c>
      <c r="V7" s="24" t="inlineStr">
        <is>
          <t>현금및현금성자산의 증가(감소)</t>
        </is>
      </c>
      <c r="W7" s="35" t="n">
        <v>0.2783862260992843</v>
      </c>
      <c r="X7" s="35" t="n">
        <v>0.2319773218390887</v>
      </c>
      <c r="Y7" s="35" t="n">
        <v>0.1346087972318951</v>
      </c>
      <c r="Z7" s="35" t="n">
        <v>0.1231513132789135</v>
      </c>
      <c r="AA7" s="35" t="n">
        <v>0.09303582436861688</v>
      </c>
      <c r="AB7" s="35" t="n">
        <v>0.08511690311921684</v>
      </c>
      <c r="AC7" s="35" t="n">
        <v>0.9148830968807832</v>
      </c>
      <c r="AD7" s="35" t="n">
        <v>0.01401881931449698</v>
      </c>
      <c r="AE7" s="35" t="n">
        <v>0.1795727661978575</v>
      </c>
      <c r="AF7" s="35" t="n">
        <v>0.0002719163408436077</v>
      </c>
      <c r="AG7" s="35" t="n">
        <v>0.1793008498570139</v>
      </c>
      <c r="AH7" s="35" t="n">
        <v>0.6440722745854086</v>
      </c>
      <c r="AI7" s="35" t="n">
        <v>0.09288049303109425</v>
      </c>
      <c r="AJ7" s="24" t="inlineStr">
        <is>
          <t>해당 없음</t>
        </is>
      </c>
      <c r="AK7" s="35" t="n">
        <v>0.007270284513254843</v>
      </c>
    </row>
  </sheetData>
  <autoFilter ref="A2:AK7"/>
  <mergeCells count="1">
    <mergeCell ref="A1:F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수익성·안정성·현금흐름 핵심비율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영업이익성장률</t>
        </is>
      </c>
      <c r="D2" s="25" t="inlineStr">
        <is>
          <t>영업이익률</t>
        </is>
      </c>
      <c r="E2" s="25" t="inlineStr">
        <is>
          <t>순이익률</t>
        </is>
      </c>
      <c r="F2" s="25" t="inlineStr">
        <is>
          <t>ROE</t>
        </is>
      </c>
      <c r="G2" s="25" t="inlineStr">
        <is>
          <t>ROA</t>
        </is>
      </c>
      <c r="H2" s="25" t="inlineStr">
        <is>
          <t>부채/자본</t>
        </is>
      </c>
      <c r="I2" s="25" t="inlineStr">
        <is>
          <t>자본비율</t>
        </is>
      </c>
      <c r="J2" s="25" t="inlineStr">
        <is>
          <t>CFO margin</t>
        </is>
      </c>
      <c r="K2" s="25" t="inlineStr">
        <is>
          <t>FCF margin</t>
        </is>
      </c>
      <c r="L2" s="25" t="inlineStr">
        <is>
          <t>FCF 전환율</t>
        </is>
      </c>
    </row>
    <row r="3" ht="24" customHeight="1">
      <c r="A3" s="30" t="n">
        <v>2021</v>
      </c>
      <c r="B3" s="24" t="inlineStr">
        <is>
          <t>해당 없음</t>
        </is>
      </c>
      <c r="C3" s="24" t="inlineStr">
        <is>
          <t>해당 없음</t>
        </is>
      </c>
      <c r="D3" s="35" t="n">
        <v>0.3818800916407507</v>
      </c>
      <c r="E3" s="35" t="n">
        <v>0.3024399531700743</v>
      </c>
      <c r="F3" s="35" t="n">
        <v>0.2412006651231268</v>
      </c>
      <c r="G3" s="35" t="n">
        <v>0.2101343941950501</v>
      </c>
      <c r="H3" s="35" t="n">
        <v>0.1478400099473504</v>
      </c>
      <c r="I3" s="35" t="n">
        <v>0.8712015536432367</v>
      </c>
      <c r="J3" s="35" t="n">
        <v>0.2904719919347779</v>
      </c>
      <c r="K3" s="35" t="n">
        <v>0.2403241090423635</v>
      </c>
      <c r="L3" s="35" t="n">
        <v>0.6293182449229263</v>
      </c>
    </row>
    <row r="4" ht="24" customHeight="1">
      <c r="A4" s="31" t="n">
        <v>2022</v>
      </c>
      <c r="B4" s="36" t="n">
        <v>0.1802152640749408</v>
      </c>
      <c r="C4" s="29" t="inlineStr">
        <is>
          <t>해당 없음</t>
        </is>
      </c>
      <c r="D4" s="29" t="inlineStr">
        <is>
          <t>해당 없음</t>
        </is>
      </c>
      <c r="E4" s="36" t="n">
        <v>0.2943284930050865</v>
      </c>
      <c r="F4" s="36" t="n">
        <v>0.2256233971800364</v>
      </c>
      <c r="G4" s="36" t="n">
        <v>0.1957294901777431</v>
      </c>
      <c r="H4" s="36" t="n">
        <v>0.1527307253247655</v>
      </c>
      <c r="I4" s="36" t="n">
        <v>0.8675052881220496</v>
      </c>
      <c r="J4" s="36" t="n">
        <v>0.2732204520285607</v>
      </c>
      <c r="K4" s="36" t="n">
        <v>0.1620525407379903</v>
      </c>
      <c r="L4" s="29" t="inlineStr">
        <is>
          <t>해당 없음</t>
        </is>
      </c>
    </row>
    <row r="5" ht="24" customHeight="1">
      <c r="A5" s="30" t="n">
        <v>2023</v>
      </c>
      <c r="B5" s="35" t="n">
        <v>-0.290740800059788</v>
      </c>
      <c r="C5" s="24" t="inlineStr">
        <is>
          <t>해당 없음</t>
        </is>
      </c>
      <c r="D5" s="24" t="inlineStr">
        <is>
          <t>해당 없음</t>
        </is>
      </c>
      <c r="E5" s="35" t="n">
        <v>0.2702130511172142</v>
      </c>
      <c r="F5" s="35" t="n">
        <v>0.1336427685503335</v>
      </c>
      <c r="G5" s="35" t="n">
        <v>0.1236006115844044</v>
      </c>
      <c r="H5" s="35" t="n">
        <v>0.08124682262653343</v>
      </c>
      <c r="I5" s="35" t="n">
        <v>0.9248582091282627</v>
      </c>
      <c r="J5" s="35" t="n">
        <v>0.09256287646239587</v>
      </c>
      <c r="K5" s="35" t="n">
        <v>0.09031384560712179</v>
      </c>
      <c r="L5" s="24" t="inlineStr">
        <is>
          <t>해당 없음</t>
        </is>
      </c>
    </row>
    <row r="6" ht="24" customHeight="1">
      <c r="A6" s="31" t="n">
        <v>2024</v>
      </c>
      <c r="B6" s="36" t="n">
        <v>0.2165071168807897</v>
      </c>
      <c r="C6" s="29" t="inlineStr">
        <is>
          <t>해당 없음</t>
        </is>
      </c>
      <c r="D6" s="29" t="inlineStr">
        <is>
          <t>해당 없음</t>
        </is>
      </c>
      <c r="E6" s="36" t="n">
        <v>0.2611082689203596</v>
      </c>
      <c r="F6" s="36" t="n">
        <v>0.1394544782495856</v>
      </c>
      <c r="G6" s="36" t="n">
        <v>0.1277578193972428</v>
      </c>
      <c r="H6" s="36" t="n">
        <v>0.09155336955129029</v>
      </c>
      <c r="I6" s="36" t="n">
        <v>0.9161256131810344</v>
      </c>
      <c r="J6" s="36" t="n">
        <v>0.2698965083612939</v>
      </c>
      <c r="K6" s="36" t="n">
        <v>0.2683225501079161</v>
      </c>
      <c r="L6" s="29" t="inlineStr">
        <is>
          <t>해당 없음</t>
        </is>
      </c>
    </row>
    <row r="7" ht="24" customHeight="1">
      <c r="A7" s="30" t="n">
        <v>2025</v>
      </c>
      <c r="B7" s="35" t="n">
        <v>0.09288049303109425</v>
      </c>
      <c r="C7" s="24" t="inlineStr">
        <is>
          <t>해당 없음</t>
        </is>
      </c>
      <c r="D7" s="35" t="n">
        <v>0.2783862260992843</v>
      </c>
      <c r="E7" s="35" t="n">
        <v>0.2319773218390887</v>
      </c>
      <c r="F7" s="35" t="n">
        <v>0.1346087972318951</v>
      </c>
      <c r="G7" s="35" t="n">
        <v>0.1231513132789135</v>
      </c>
      <c r="H7" s="35" t="n">
        <v>0.09303582436861688</v>
      </c>
      <c r="I7" s="35" t="n">
        <v>0.9148830968807832</v>
      </c>
      <c r="J7" s="35" t="n">
        <v>0.1795727661978575</v>
      </c>
      <c r="K7" s="35" t="n">
        <v>0.1793008498570139</v>
      </c>
      <c r="L7" s="35" t="n">
        <v>0.6440722745854086</v>
      </c>
    </row>
  </sheetData>
  <autoFilter ref="A2:L7"/>
  <mergeCells count="1">
    <mergeCell ref="A1:F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8" customWidth="1" min="2" max="2"/>
    <col width="4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WACC 산정</t>
        </is>
      </c>
    </row>
    <row r="2" ht="28" customHeight="1">
      <c r="A2" s="17" t="inlineStr">
        <is>
          <t>노란 셀은 사용자가 시나리오별로 조정 가능한 입력값입니다.</t>
        </is>
      </c>
    </row>
    <row r="3" ht="24" customHeight="1"/>
    <row r="4" ht="24" customHeight="1">
      <c r="A4" s="37" t="inlineStr">
        <is>
          <t>무위험수익률</t>
        </is>
      </c>
      <c r="B4" s="38" t="n">
        <v>0.035</v>
      </c>
      <c r="C4" s="26" t="inlineStr">
        <is>
          <t>valuation_assumptions.json 또는 기본값</t>
        </is>
      </c>
    </row>
    <row r="5" ht="24" customHeight="1">
      <c r="A5" s="37" t="inlineStr">
        <is>
          <t>Beta</t>
        </is>
      </c>
      <c r="B5" s="38" t="n">
        <v>1.8</v>
      </c>
      <c r="C5" s="26" t="inlineStr">
        <is>
          <t>주가 변동성 proxy 또는 사용자 가정</t>
        </is>
      </c>
    </row>
    <row r="6" ht="24" customHeight="1">
      <c r="A6" s="37" t="inlineStr">
        <is>
          <t>시장위험프리미엄</t>
        </is>
      </c>
      <c r="B6" s="39" t="n">
        <v>0.06</v>
      </c>
      <c r="C6" s="26" t="inlineStr">
        <is>
          <t>사용자 조정 가능</t>
        </is>
      </c>
    </row>
    <row r="7" ht="24" customHeight="1">
      <c r="A7" s="37" t="inlineStr">
        <is>
          <t>자기자본비용</t>
        </is>
      </c>
      <c r="B7" s="40">
        <f>B4+B5*B6</f>
        <v/>
      </c>
      <c r="C7" s="26" t="inlineStr">
        <is>
          <t>공식: Rf + Beta × MRP</t>
        </is>
      </c>
    </row>
    <row r="8" ht="24" customHeight="1">
      <c r="A8" s="37" t="inlineStr">
        <is>
          <t>세전 차입비용</t>
        </is>
      </c>
      <c r="B8" s="39" t="n">
        <v>0.055</v>
      </c>
      <c r="C8" s="26" t="inlineStr">
        <is>
          <t>사용자 조정 가능</t>
        </is>
      </c>
    </row>
    <row r="9" ht="24" customHeight="1">
      <c r="A9" s="37" t="inlineStr">
        <is>
          <t>법인세율</t>
        </is>
      </c>
      <c r="B9" s="38" t="n">
        <v>0.24</v>
      </c>
      <c r="C9" s="26" t="inlineStr">
        <is>
          <t>사용자 조정 가능</t>
        </is>
      </c>
    </row>
    <row r="10" ht="24" customHeight="1">
      <c r="A10" s="37" t="inlineStr">
        <is>
          <t>세후 차입비용</t>
        </is>
      </c>
      <c r="B10" s="40">
        <f>B8*(1-B9)</f>
        <v/>
      </c>
      <c r="C10" s="26" t="inlineStr">
        <is>
          <t>공식</t>
        </is>
      </c>
    </row>
    <row r="11" ht="24" customHeight="1">
      <c r="A11" s="37" t="inlineStr">
        <is>
          <t>자기자본 비중</t>
        </is>
      </c>
      <c r="B11" s="38" t="n">
        <v>0.9845002309829081</v>
      </c>
      <c r="C11" s="26" t="inlineStr">
        <is>
          <t>시장가치/장부가치 기반</t>
        </is>
      </c>
    </row>
    <row r="12" ht="24" customHeight="1">
      <c r="A12" s="37" t="inlineStr">
        <is>
          <t>부채 비중</t>
        </is>
      </c>
      <c r="B12" s="38" t="n">
        <v>0.01549976901709197</v>
      </c>
      <c r="C12" s="26" t="inlineStr">
        <is>
          <t>부채 proxy 기반</t>
        </is>
      </c>
    </row>
    <row r="13" ht="24" customHeight="1">
      <c r="A13" s="37" t="inlineStr">
        <is>
          <t>WACC</t>
        </is>
      </c>
      <c r="B13" s="41">
        <f>B11*B7+B12*B10</f>
        <v/>
      </c>
      <c r="C13" s="26" t="inlineStr">
        <is>
          <t>공식: E/V×Ke + D/V×Kd(1-T)</t>
        </is>
      </c>
    </row>
    <row r="14" ht="24" customHeight="1">
      <c r="A14" s="37" t="inlineStr">
        <is>
          <t>사용한 시가총액</t>
        </is>
      </c>
      <c r="B14" s="27" t="n">
        <v>3068749692000</v>
      </c>
      <c r="C14" s="26" t="inlineStr">
        <is>
          <t>발행주식 수 intake 가능 시 반영</t>
        </is>
      </c>
    </row>
    <row r="15" ht="24" customHeight="1">
      <c r="A15" s="37" t="inlineStr">
        <is>
          <t>부채 proxy</t>
        </is>
      </c>
      <c r="B15" s="27" t="n">
        <v>48313763573</v>
      </c>
      <c r="C15" s="26" t="inlineStr">
        <is>
          <t>상세 차입금 데이터 전까지 부채총계 보수 proxy</t>
        </is>
      </c>
    </row>
  </sheetData>
  <mergeCells count="2">
    <mergeCell ref="A2:F2"/>
    <mergeCell ref="A1:F1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FCF 추정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매출액</t>
        </is>
      </c>
      <c r="D2" s="25" t="inlineStr">
        <is>
          <t>영업이익률</t>
        </is>
      </c>
      <c r="E2" s="25" t="inlineStr">
        <is>
          <t>ebit</t>
        </is>
      </c>
      <c r="F2" s="25" t="inlineStr">
        <is>
          <t>nopat</t>
        </is>
      </c>
      <c r="G2" s="25" t="inlineStr">
        <is>
          <t>FCF margin</t>
        </is>
      </c>
      <c r="H2" s="25" t="inlineStr">
        <is>
          <t>FCF</t>
        </is>
      </c>
      <c r="I2" s="25" t="inlineStr">
        <is>
          <t>할인계수</t>
        </is>
      </c>
      <c r="J2" s="25" t="inlineStr">
        <is>
          <t>FCF 현재가치</t>
        </is>
      </c>
    </row>
    <row r="3" ht="24" customHeight="1">
      <c r="A3" s="30" t="n">
        <v>2026</v>
      </c>
      <c r="B3" s="35" t="n">
        <v>0.007972482627225597</v>
      </c>
      <c r="C3" s="30" t="n">
        <v>303736685338.4109</v>
      </c>
      <c r="D3" s="35" t="n">
        <v>0.2783862260992843</v>
      </c>
      <c r="E3" s="30" t="n">
        <v>84556109559.26605</v>
      </c>
      <c r="F3" s="30" t="n">
        <v>64262643265.0422</v>
      </c>
      <c r="G3" s="35" t="n">
        <v>0.1793124151906839</v>
      </c>
      <c r="H3" s="30" t="n">
        <v>54463758630.04325</v>
      </c>
      <c r="I3" s="35" t="n">
        <v>0.8760929299131912</v>
      </c>
      <c r="J3" s="30" t="n">
        <v>47715313872.27944</v>
      </c>
    </row>
    <row r="4" ht="24" customHeight="1">
      <c r="A4" s="31" t="n">
        <v>2027</v>
      </c>
      <c r="B4" s="36" t="n">
        <v>0.009729361970419199</v>
      </c>
      <c r="C4" s="31" t="n">
        <v>306691849493.7637</v>
      </c>
      <c r="D4" s="36" t="n">
        <v>0.2783862260992843</v>
      </c>
      <c r="E4" s="31" t="n">
        <v>85378786555.97858</v>
      </c>
      <c r="F4" s="31" t="n">
        <v>64887877782.54372</v>
      </c>
      <c r="G4" s="36" t="n">
        <v>0.1793124151906839</v>
      </c>
      <c r="H4" s="31" t="n">
        <v>54993656252.02448</v>
      </c>
      <c r="I4" s="36" t="n">
        <v>0.7675388218438797</v>
      </c>
      <c r="J4" s="31" t="n">
        <v>42209766128.56618</v>
      </c>
    </row>
    <row r="5" ht="24" customHeight="1">
      <c r="A5" s="30" t="n">
        <v>2028</v>
      </c>
      <c r="B5" s="35" t="n">
        <v>0.0114862413136128</v>
      </c>
      <c r="C5" s="30" t="n">
        <v>310214586085.9672</v>
      </c>
      <c r="D5" s="35" t="n">
        <v>0.2783862260992843</v>
      </c>
      <c r="E5" s="30" t="n">
        <v>86359467901.42397</v>
      </c>
      <c r="F5" s="30" t="n">
        <v>65633195605.08221</v>
      </c>
      <c r="G5" s="35" t="n">
        <v>0.1793124151906839</v>
      </c>
      <c r="H5" s="30" t="n">
        <v>55625326658.4531</v>
      </c>
      <c r="I5" s="35" t="n">
        <v>0.6724353352513235</v>
      </c>
      <c r="J5" s="30" t="n">
        <v>37404435180.04129</v>
      </c>
    </row>
    <row r="6" ht="24" customHeight="1">
      <c r="A6" s="31" t="n">
        <v>2029</v>
      </c>
      <c r="B6" s="36" t="n">
        <v>0.0132431206568064</v>
      </c>
      <c r="C6" s="31" t="n">
        <v>314322795279.0049</v>
      </c>
      <c r="D6" s="36" t="n">
        <v>0.2783862260992843</v>
      </c>
      <c r="E6" s="31" t="n">
        <v>87503136754.70013</v>
      </c>
      <c r="F6" s="31" t="n">
        <v>66502383933.57211</v>
      </c>
      <c r="G6" s="36" t="n">
        <v>0.1793124151906839</v>
      </c>
      <c r="H6" s="31" t="n">
        <v>56361979570.96527</v>
      </c>
      <c r="I6" s="36" t="n">
        <v>0.589115843037491</v>
      </c>
      <c r="J6" s="31" t="n">
        <v>33203735110.21105</v>
      </c>
    </row>
    <row r="7" ht="24" customHeight="1">
      <c r="A7" s="30" t="n">
        <v>2030</v>
      </c>
      <c r="B7" s="35" t="n">
        <v>0.015</v>
      </c>
      <c r="C7" s="30" t="n">
        <v>319037637208.19</v>
      </c>
      <c r="D7" s="35" t="n">
        <v>0.2783862260992843</v>
      </c>
      <c r="E7" s="30" t="n">
        <v>88815683806.02063</v>
      </c>
      <c r="F7" s="30" t="n">
        <v>67499919692.57568</v>
      </c>
      <c r="G7" s="35" t="n">
        <v>0.1793124151906839</v>
      </c>
      <c r="H7" s="30" t="n">
        <v>57207409264.52975</v>
      </c>
      <c r="I7" s="35" t="n">
        <v>0.5161202249849952</v>
      </c>
      <c r="J7" s="30" t="n">
        <v>29525900940.41779</v>
      </c>
    </row>
  </sheetData>
  <autoFilter ref="A2:J7"/>
  <mergeCells count="1">
    <mergeCell ref="A1:F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DCF 가치평가</t>
        </is>
      </c>
    </row>
    <row r="2" ht="28" customHeight="1">
      <c r="A2" s="17" t="inlineStr">
        <is>
          <t>명시적 FCF + Terminal Value + 현금 - 부채 proxy</t>
        </is>
      </c>
    </row>
    <row r="3" ht="24" customHeight="1"/>
    <row r="4" ht="24" customHeight="1">
      <c r="A4" s="22" t="inlineStr">
        <is>
          <t>DCF 결과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기준연도</t>
        </is>
      </c>
      <c r="B6" s="30" t="n">
        <v>2025</v>
      </c>
      <c r="C6" s="24" t="inlineStr">
        <is>
          <t>최근 정규화 재무제표 연도</t>
        </is>
      </c>
    </row>
    <row r="7" ht="24" customHeight="1">
      <c r="A7" s="29" t="inlineStr">
        <is>
          <t>기준 매출액</t>
        </is>
      </c>
      <c r="B7" s="31" t="n">
        <v>301334302844</v>
      </c>
      <c r="C7" s="29" t="inlineStr">
        <is>
          <t>DART 기반</t>
        </is>
      </c>
    </row>
    <row r="8" ht="24" customHeight="1">
      <c r="A8" s="24" t="inlineStr">
        <is>
          <t>매출 CAGR</t>
        </is>
      </c>
      <c r="B8" s="30" t="n">
        <v>0.02710154694072875</v>
      </c>
      <c r="C8" s="24" t="inlineStr">
        <is>
          <t>과거 재무제표 기반</t>
        </is>
      </c>
    </row>
    <row r="9" ht="24" customHeight="1">
      <c r="A9" s="29" t="inlineStr">
        <is>
          <t>추정 매출성장률</t>
        </is>
      </c>
      <c r="B9" s="31" t="n">
        <v>0.006215603284031997</v>
      </c>
      <c r="C9" s="29" t="inlineStr">
        <is>
          <t>최근 추세를 보수적으로 bounded</t>
        </is>
      </c>
    </row>
    <row r="10" ht="24" customHeight="1">
      <c r="A10" s="24" t="inlineStr">
        <is>
          <t>추정 FCF margin</t>
        </is>
      </c>
      <c r="B10" s="30" t="n">
        <v>0.1793124151906839</v>
      </c>
      <c r="C10" s="24" t="inlineStr">
        <is>
          <t>최근 3년 평균 기반</t>
        </is>
      </c>
    </row>
    <row r="11" ht="24" customHeight="1">
      <c r="A11" s="29" t="inlineStr">
        <is>
          <t>WACC</t>
        </is>
      </c>
      <c r="B11" s="31" t="n">
        <v>0.1414314233754703</v>
      </c>
      <c r="C11" s="29" t="inlineStr">
        <is>
          <t>07_WACC 참조</t>
        </is>
      </c>
    </row>
    <row r="12" ht="24" customHeight="1">
      <c r="A12" s="24" t="inlineStr">
        <is>
          <t>영구성장률</t>
        </is>
      </c>
      <c r="B12" s="30" t="n">
        <v>0.015</v>
      </c>
      <c r="C12" s="24" t="inlineStr">
        <is>
          <t>valuation_assumptions.json</t>
        </is>
      </c>
    </row>
    <row r="13" ht="24" customHeight="1">
      <c r="A13" s="29" t="inlineStr">
        <is>
          <t>FCF 현재가치</t>
        </is>
      </c>
      <c r="B13" s="31" t="n">
        <v>190059151231.5157</v>
      </c>
      <c r="C13" s="29" t="inlineStr">
        <is>
          <t>명시적 기간 FCF 할인</t>
        </is>
      </c>
    </row>
    <row r="14" ht="24" customHeight="1">
      <c r="A14" s="24" t="inlineStr">
        <is>
          <t>Terminal Value</t>
        </is>
      </c>
      <c r="B14" s="30" t="n">
        <v>459264942632.6345</v>
      </c>
      <c r="C14" s="24" t="inlineStr">
        <is>
          <t>Gordon Growth</t>
        </is>
      </c>
    </row>
    <row r="15" ht="24" customHeight="1">
      <c r="A15" s="29" t="inlineStr">
        <is>
          <t>Terminal 현재가치</t>
        </is>
      </c>
      <c r="B15" s="31" t="n">
        <v>237035925519.2762</v>
      </c>
      <c r="C15" s="29" t="inlineStr">
        <is>
          <t>Terminal Value 할인</t>
        </is>
      </c>
    </row>
    <row r="16" ht="24" customHeight="1">
      <c r="A16" s="24" t="inlineStr">
        <is>
          <t>기업가치(EV)</t>
        </is>
      </c>
      <c r="B16" s="30" t="n">
        <v>427095076750.7919</v>
      </c>
      <c r="C16" s="24" t="inlineStr">
        <is>
          <t>PV FCF + PV Terminal</t>
        </is>
      </c>
    </row>
    <row r="17" ht="24" customHeight="1">
      <c r="A17" s="29" t="inlineStr">
        <is>
          <t>지분가치</t>
        </is>
      </c>
      <c r="B17" s="31" t="n">
        <v>386738627143.7919</v>
      </c>
      <c r="C17" s="29" t="inlineStr">
        <is>
          <t>EV + 현금 - 부채 proxy</t>
        </is>
      </c>
    </row>
    <row r="18" ht="24" customHeight="1">
      <c r="A18" s="24" t="inlineStr">
        <is>
          <t>발행주식 수</t>
        </is>
      </c>
      <c r="B18" s="30" t="n">
        <v>11179416</v>
      </c>
      <c r="C18" s="24" t="inlineStr">
        <is>
          <t>DART stockTotqySttus 또는 해당 없음</t>
        </is>
      </c>
    </row>
    <row r="19" ht="24" customHeight="1">
      <c r="A19" s="29" t="inlineStr">
        <is>
          <t>현재가</t>
        </is>
      </c>
      <c r="B19" s="31" t="n">
        <v>274500</v>
      </c>
      <c r="C19" s="29" t="inlineStr">
        <is>
          <t>주가 intake</t>
        </is>
      </c>
    </row>
    <row r="20" ht="24" customHeight="1">
      <c r="A20" s="24" t="inlineStr">
        <is>
          <t>DCF 내재주가</t>
        </is>
      </c>
      <c r="B20" s="30" t="n">
        <v>34593.8130528278</v>
      </c>
      <c r="C20" s="24" t="inlineStr">
        <is>
          <t>지분가치 / 발행주식 수</t>
        </is>
      </c>
    </row>
    <row r="21" ht="24" customHeight="1">
      <c r="A21" s="29" t="inlineStr">
        <is>
          <t>현재가 대비 괴리율</t>
        </is>
      </c>
      <c r="B21" s="31" t="n">
        <v>-0.8739751801354179</v>
      </c>
      <c r="C21" s="29" t="inlineStr">
        <is>
          <t>내재주가 / 현재가 - 1</t>
        </is>
      </c>
    </row>
  </sheetData>
  <autoFilter ref="A5:C21"/>
  <mergeCells count="3">
    <mergeCell ref="A2:E2"/>
    <mergeCell ref="A1:E1"/>
    <mergeCell ref="A4:F4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22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0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 ht="24" customHeight="1">
      <c r="A1" s="22" t="inlineStr">
        <is>
          <t>피어 비교 / 상대가치</t>
        </is>
      </c>
    </row>
    <row r="2" ht="24" customHeight="1">
      <c r="A2" s="25" t="inlineStr">
        <is>
          <t>기업코드</t>
        </is>
      </c>
      <c r="B2" s="25" t="inlineStr">
        <is>
          <t>기업명</t>
        </is>
      </c>
      <c r="C2" s="25" t="inlineStr">
        <is>
          <t>종목코드</t>
        </is>
      </c>
      <c r="D2" s="25" t="inlineStr">
        <is>
          <t>시장</t>
        </is>
      </c>
      <c r="E2" s="25" t="inlineStr">
        <is>
          <t>분석대상</t>
        </is>
      </c>
      <c r="F2" s="25" t="inlineStr">
        <is>
          <t>최근연도</t>
        </is>
      </c>
      <c r="G2" s="25" t="inlineStr">
        <is>
          <t>latest_close</t>
        </is>
      </c>
      <c r="H2" s="25" t="inlineStr">
        <is>
          <t>발행주식 수</t>
        </is>
      </c>
      <c r="I2" s="25" t="inlineStr">
        <is>
          <t>시가총액</t>
        </is>
      </c>
      <c r="J2" s="25" t="inlineStr">
        <is>
          <t>매출액</t>
        </is>
      </c>
      <c r="K2" s="25" t="inlineStr">
        <is>
          <t>영업이익</t>
        </is>
      </c>
      <c r="L2" s="25" t="inlineStr">
        <is>
          <t>순이익</t>
        </is>
      </c>
      <c r="M2" s="25" t="inlineStr">
        <is>
          <t>자산총계</t>
        </is>
      </c>
      <c r="N2" s="25" t="inlineStr">
        <is>
          <t>부채총계</t>
        </is>
      </c>
      <c r="O2" s="25" t="inlineStr">
        <is>
          <t>자본총계</t>
        </is>
      </c>
      <c r="P2" s="25" t="inlineStr">
        <is>
          <t>FCF</t>
        </is>
      </c>
      <c r="Q2" s="25" t="inlineStr">
        <is>
          <t>FCF margin</t>
        </is>
      </c>
      <c r="R2" s="25" t="inlineStr">
        <is>
          <t>1년 수익률</t>
        </is>
      </c>
      <c r="S2" s="25" t="inlineStr">
        <is>
          <t>연환산 변동성</t>
        </is>
      </c>
      <c r="T2" s="25" t="inlineStr">
        <is>
          <t>MDD</t>
        </is>
      </c>
      <c r="U2" s="25" t="inlineStr">
        <is>
          <t>52주 고가</t>
        </is>
      </c>
      <c r="V2" s="25" t="inlineStr">
        <is>
          <t>52주 저가</t>
        </is>
      </c>
      <c r="W2" s="25" t="inlineStr">
        <is>
          <t>data_status</t>
        </is>
      </c>
      <c r="X2" s="25" t="inlineStr">
        <is>
          <t>diagnostics</t>
        </is>
      </c>
      <c r="Y2" s="25" t="inlineStr">
        <is>
          <t>EV proxy</t>
        </is>
      </c>
      <c r="Z2" s="25" t="inlineStr">
        <is>
          <t>P/S</t>
        </is>
      </c>
      <c r="AA2" s="25" t="inlineStr">
        <is>
          <t>PER</t>
        </is>
      </c>
      <c r="AB2" s="25" t="inlineStr">
        <is>
          <t>PBR</t>
        </is>
      </c>
      <c r="AC2" s="25" t="inlineStr">
        <is>
          <t>EV/Sales</t>
        </is>
      </c>
      <c r="AD2" s="25" t="inlineStr">
        <is>
          <t>EV/EBIT</t>
        </is>
      </c>
      <c r="AE2" s="25" t="inlineStr">
        <is>
          <t>P/FCF</t>
        </is>
      </c>
      <c r="AF2" s="25" t="inlineStr">
        <is>
          <t>영업이익률</t>
        </is>
      </c>
      <c r="AG2" s="25" t="inlineStr">
        <is>
          <t>ROE</t>
        </is>
      </c>
      <c r="AH2" s="25" t="inlineStr">
        <is>
          <t>부채/자본</t>
        </is>
      </c>
      <c r="AI2" s="25" t="inlineStr">
        <is>
          <t>psr_data_quality</t>
        </is>
      </c>
    </row>
    <row r="3" ht="24" customHeight="1">
      <c r="A3" s="24" t="inlineStr">
        <is>
          <t>nepes</t>
        </is>
      </c>
      <c r="B3" s="24" t="inlineStr">
        <is>
          <t>네패스</t>
        </is>
      </c>
      <c r="C3" s="24" t="inlineStr">
        <is>
          <t>033640</t>
        </is>
      </c>
      <c r="D3" s="24" t="inlineStr">
        <is>
          <t>KOSDAQ</t>
        </is>
      </c>
      <c r="E3" s="24" t="b">
        <v>0</v>
      </c>
      <c r="F3" s="24" t="inlineStr">
        <is>
          <t>2025</t>
        </is>
      </c>
      <c r="G3" s="24" t="inlineStr">
        <is>
          <t>28000.0</t>
        </is>
      </c>
      <c r="H3" s="24" t="inlineStr">
        <is>
          <t>23059202.0</t>
        </is>
      </c>
      <c r="I3" s="30" t="n">
        <v>645657656000</v>
      </c>
      <c r="J3" s="24" t="inlineStr">
        <is>
          <t>521439287008.0</t>
        </is>
      </c>
      <c r="K3" s="24" t="inlineStr">
        <is>
          <t>23761125843.0</t>
        </is>
      </c>
      <c r="L3" s="24" t="inlineStr">
        <is>
          <t>20158821632.0</t>
        </is>
      </c>
      <c r="M3" s="24" t="inlineStr">
        <is>
          <t>696198458357.0</t>
        </is>
      </c>
      <c r="N3" s="24" t="inlineStr">
        <is>
          <t>450773427582.0</t>
        </is>
      </c>
      <c r="O3" s="24" t="inlineStr">
        <is>
          <t>245425030775.0</t>
        </is>
      </c>
      <c r="P3" s="24" t="inlineStr">
        <is>
          <t>103117228706.0</t>
        </is>
      </c>
      <c r="Q3" s="24" t="inlineStr">
        <is>
          <t>0.19775500480158098</t>
        </is>
      </c>
      <c r="R3" s="24" t="inlineStr">
        <is>
          <t>2.5989717223650386</t>
        </is>
      </c>
      <c r="S3" s="24" t="inlineStr">
        <is>
          <t>0.6268154753295615</t>
        </is>
      </c>
      <c r="T3" s="24" t="inlineStr">
        <is>
          <t>-0.7436559139784946</t>
        </is>
      </c>
      <c r="U3" s="24" t="inlineStr">
        <is>
          <t>34800.0</t>
        </is>
      </c>
      <c r="V3" s="24" t="inlineStr">
        <is>
          <t>6890.0</t>
        </is>
      </c>
      <c r="W3" s="24" t="inlineStr">
        <is>
          <t>OK</t>
        </is>
      </c>
      <c r="X3" s="24" t="inlineStr">
        <is>
          <t>yfinance price rows for 033640.KQ: 728 | price provider selected: yfinance, rows=728 | DART corp_code resolved from cache for 네패스/033640.</t>
        </is>
      </c>
      <c r="Y3" s="30" t="n">
        <v>1096431083582</v>
      </c>
      <c r="Z3" s="42" t="n">
        <v>1.238222113459768</v>
      </c>
      <c r="AA3" s="42" t="n">
        <v>32.02854153811683</v>
      </c>
      <c r="AB3" s="42" t="n">
        <v>2.630773454366699</v>
      </c>
      <c r="AC3" s="42" t="n">
        <v>2.102701332447124</v>
      </c>
      <c r="AD3" s="42" t="n">
        <v>46.14390289528336</v>
      </c>
      <c r="AE3" s="42" t="n">
        <v>6.261394571035748</v>
      </c>
      <c r="AF3" s="35" t="n">
        <v>0.0455683459896942</v>
      </c>
      <c r="AG3" s="35" t="n">
        <v>0.0821384093070814</v>
      </c>
      <c r="AH3" s="35" t="n">
        <v>1.836705189191801</v>
      </c>
      <c r="AI3" s="24" t="inlineStr">
        <is>
          <t>OK</t>
        </is>
      </c>
    </row>
    <row r="4" ht="24" customHeight="1">
      <c r="A4" s="29" t="inlineStr">
        <is>
          <t>hanmi</t>
        </is>
      </c>
      <c r="B4" s="29" t="inlineStr">
        <is>
          <t>한미반도체</t>
        </is>
      </c>
      <c r="C4" s="29" t="inlineStr">
        <is>
          <t>042700</t>
        </is>
      </c>
      <c r="D4" s="29" t="inlineStr">
        <is>
          <t>KOSPI</t>
        </is>
      </c>
      <c r="E4" s="29" t="b">
        <v>0</v>
      </c>
      <c r="F4" s="29" t="inlineStr">
        <is>
          <t>2025</t>
        </is>
      </c>
      <c r="G4" s="29" t="inlineStr">
        <is>
          <t>288500.0</t>
        </is>
      </c>
      <c r="H4" s="29" t="inlineStr">
        <is>
          <t>95312200.0</t>
        </is>
      </c>
      <c r="I4" s="31" t="n">
        <v>27497569700000</v>
      </c>
      <c r="J4" s="29" t="inlineStr">
        <is>
          <t>576684619527.0</t>
        </is>
      </c>
      <c r="K4" s="29" t="inlineStr">
        <is>
          <t>251390142142.0</t>
        </is>
      </c>
      <c r="L4" s="29" t="inlineStr">
        <is>
          <t>214007548411.0</t>
        </is>
      </c>
      <c r="M4" s="29" t="inlineStr">
        <is>
          <t>813331626120.0</t>
        </is>
      </c>
      <c r="N4" s="29" t="inlineStr">
        <is>
          <t>123004106583.0</t>
        </is>
      </c>
      <c r="O4" s="29" t="inlineStr">
        <is>
          <t>690327519537.0</t>
        </is>
      </c>
      <c r="P4" s="29" t="inlineStr">
        <is>
          <t>209512898063.0</t>
        </is>
      </c>
      <c r="Q4" s="29" t="inlineStr">
        <is>
          <t>0.36330585378684743</t>
        </is>
      </c>
      <c r="R4" s="29" t="inlineStr">
        <is>
          <t>2.5225885225885225</t>
        </is>
      </c>
      <c r="S4" s="29" t="inlineStr">
        <is>
          <t>0.7591998521181753</t>
        </is>
      </c>
      <c r="T4" s="29" t="inlineStr">
        <is>
          <t>-0.6814814814814815</t>
        </is>
      </c>
      <c r="U4" s="29" t="inlineStr">
        <is>
          <t>409500.0</t>
        </is>
      </c>
      <c r="V4" s="29" t="inlineStr">
        <is>
          <t>77400.0</t>
        </is>
      </c>
      <c r="W4" s="29" t="inlineStr">
        <is>
          <t>OK</t>
        </is>
      </c>
      <c r="X4" s="29" t="inlineStr">
        <is>
          <t>yfinance price rows for 042700.KS: 728 | price provider selected: yfinance, rows=728 | DART corp_code resolved from cache for 한미반도체/042700.</t>
        </is>
      </c>
      <c r="Y4" s="31" t="n">
        <v>27620573806583</v>
      </c>
      <c r="Z4" s="43" t="n">
        <v>47.68216243144071</v>
      </c>
      <c r="AA4" s="43" t="n">
        <v>128.4887841768605</v>
      </c>
      <c r="AB4" s="43" t="n">
        <v>39.83264308866394</v>
      </c>
      <c r="AC4" s="43" t="n">
        <v>47.89545771003491</v>
      </c>
      <c r="AD4" s="43" t="n">
        <v>109.8713480617759</v>
      </c>
      <c r="AE4" s="43" t="n">
        <v>131.2452357550395</v>
      </c>
      <c r="AF4" s="36" t="n">
        <v>0.4359230914606178</v>
      </c>
      <c r="AG4" s="36" t="n">
        <v>0.3100087166661616</v>
      </c>
      <c r="AH4" s="36" t="n">
        <v>0.1781822440824876</v>
      </c>
      <c r="AI4" s="29" t="inlineStr">
        <is>
          <t>OK</t>
        </is>
      </c>
    </row>
    <row r="5" ht="24" customHeight="1">
      <c r="A5" s="24" t="inlineStr">
        <is>
          <t>hansol</t>
        </is>
      </c>
      <c r="B5" s="24" t="inlineStr">
        <is>
          <t>한솔케미칼</t>
        </is>
      </c>
      <c r="C5" s="24" t="inlineStr">
        <is>
          <t>014680</t>
        </is>
      </c>
      <c r="D5" s="24" t="inlineStr">
        <is>
          <t>KOSPI</t>
        </is>
      </c>
      <c r="E5" s="24" t="b">
        <v>0</v>
      </c>
      <c r="F5" s="24" t="inlineStr">
        <is>
          <t>2025</t>
        </is>
      </c>
      <c r="G5" s="24" t="inlineStr">
        <is>
          <t>267500.0</t>
        </is>
      </c>
      <c r="H5" s="24" t="inlineStr">
        <is>
          <t>11335195.0</t>
        </is>
      </c>
      <c r="I5" s="30" t="n">
        <v>3032164662500</v>
      </c>
      <c r="J5" s="24" t="inlineStr">
        <is>
          <t>883968714104.0</t>
        </is>
      </c>
      <c r="K5" s="24" t="inlineStr">
        <is>
          <t>156233146521.0</t>
        </is>
      </c>
      <c r="L5" s="24" t="inlineStr">
        <is>
          <t>148134823618.0</t>
        </is>
      </c>
      <c r="M5" s="24" t="inlineStr">
        <is>
          <t>1600348080121.0</t>
        </is>
      </c>
      <c r="N5" s="24" t="inlineStr">
        <is>
          <t>423081692446.0</t>
        </is>
      </c>
      <c r="O5" s="24" t="inlineStr">
        <is>
          <t>1177266387675.0</t>
        </is>
      </c>
      <c r="P5" s="24" t="inlineStr">
        <is>
          <t>200066983741.0</t>
        </is>
      </c>
      <c r="Q5" s="24" t="inlineStr">
        <is>
          <t>0.226328127397348</t>
        </is>
      </c>
      <c r="R5" s="24" t="inlineStr">
        <is>
          <t>1.1146245059288535</t>
        </is>
      </c>
      <c r="S5" s="24" t="inlineStr">
        <is>
          <t>0.48590112835229815</t>
        </is>
      </c>
      <c r="T5" s="24" t="inlineStr">
        <is>
          <t>-0.6348547717842323</t>
        </is>
      </c>
      <c r="U5" s="24" t="inlineStr">
        <is>
          <t>338000.0</t>
        </is>
      </c>
      <c r="V5" s="24" t="inlineStr">
        <is>
          <t>112100.0</t>
        </is>
      </c>
      <c r="W5" s="24" t="inlineStr">
        <is>
          <t>OK</t>
        </is>
      </c>
      <c r="X5" s="24" t="inlineStr">
        <is>
          <t>yfinance price rows for 014680.KS: 728 | price provider selected: yfinance, rows=728 | DART corp_code resolved from cache for 한솔케미칼/014680.</t>
        </is>
      </c>
      <c r="Y5" s="30" t="n">
        <v>3455246354946</v>
      </c>
      <c r="Z5" s="42" t="n">
        <v>3.430171921382347</v>
      </c>
      <c r="AA5" s="42" t="n">
        <v>20.46895246130066</v>
      </c>
      <c r="AB5" s="42" t="n">
        <v>2.575597752763727</v>
      </c>
      <c r="AC5" s="42" t="n">
        <v>3.908788059822088</v>
      </c>
      <c r="AD5" s="42" t="n">
        <v>22.11596214943776</v>
      </c>
      <c r="AE5" s="42" t="n">
        <v>15.15574736921779</v>
      </c>
      <c r="AF5" s="35" t="n">
        <v>0.1767405837200467</v>
      </c>
      <c r="AG5" s="35" t="n">
        <v>0.1258294852964872</v>
      </c>
      <c r="AH5" s="35" t="n">
        <v>0.3593763458086576</v>
      </c>
      <c r="AI5" s="24" t="inlineStr">
        <is>
          <t>OK</t>
        </is>
      </c>
    </row>
    <row r="6" ht="24" customHeight="1">
      <c r="A6" s="29" t="inlineStr">
        <is>
          <t>duksan</t>
        </is>
      </c>
      <c r="B6" s="29" t="inlineStr">
        <is>
          <t>덕산테코피아</t>
        </is>
      </c>
      <c r="C6" s="29" t="inlineStr">
        <is>
          <t>317330</t>
        </is>
      </c>
      <c r="D6" s="29" t="inlineStr">
        <is>
          <t>KOSDAQ</t>
        </is>
      </c>
      <c r="E6" s="29" t="b">
        <v>0</v>
      </c>
      <c r="F6" s="29" t="inlineStr">
        <is>
          <t>2025</t>
        </is>
      </c>
      <c r="G6" s="29" t="inlineStr">
        <is>
          <t>20150.0</t>
        </is>
      </c>
      <c r="H6" s="29" t="inlineStr">
        <is>
          <t>20476584.0</t>
        </is>
      </c>
      <c r="I6" s="31" t="n">
        <v>412603167600</v>
      </c>
      <c r="J6" s="29" t="inlineStr">
        <is>
          <t>112078954483.0</t>
        </is>
      </c>
      <c r="K6" s="29" t="inlineStr">
        <is>
          <t>-43026410473.0</t>
        </is>
      </c>
      <c r="L6" s="29" t="inlineStr">
        <is>
          <t>-105550462258.0</t>
        </is>
      </c>
      <c r="M6" s="29" t="inlineStr">
        <is>
          <t>646705781509.0</t>
        </is>
      </c>
      <c r="N6" s="29" t="inlineStr">
        <is>
          <t>540230144773.0</t>
        </is>
      </c>
      <c r="O6" s="29" t="inlineStr">
        <is>
          <t>106475636736.0</t>
        </is>
      </c>
      <c r="P6" s="29" t="inlineStr">
        <is>
          <t>-21599848348.0</t>
        </is>
      </c>
      <c r="Q6" s="29" t="inlineStr">
        <is>
          <t>-0.19271993076341767</t>
        </is>
      </c>
      <c r="R6" s="29" t="inlineStr">
        <is>
          <t>0.008004002001000599</t>
        </is>
      </c>
      <c r="S6" s="29" t="inlineStr">
        <is>
          <t>0.7380712286658945</t>
        </is>
      </c>
      <c r="T6" s="29" t="inlineStr">
        <is>
          <t>-0.7666123778501629</t>
        </is>
      </c>
      <c r="U6" s="29" t="inlineStr">
        <is>
          <t>31250.0</t>
        </is>
      </c>
      <c r="V6" s="29" t="inlineStr">
        <is>
          <t>14330.0</t>
        </is>
      </c>
      <c r="W6" s="29" t="inlineStr">
        <is>
          <t>OK</t>
        </is>
      </c>
      <c r="X6" s="29" t="inlineStr">
        <is>
          <t>yfinance price rows for 317330.KQ: 728 | price provider selected: yfinance, rows=728 | DART corp_code resolved from cache for 덕산테코피아/317330.</t>
        </is>
      </c>
      <c r="Y6" s="31" t="n">
        <v>952833312373</v>
      </c>
      <c r="Z6" s="43" t="n">
        <v>3.681361674930534</v>
      </c>
      <c r="AA6" s="43" t="n">
        <v>-3.909060735247775</v>
      </c>
      <c r="AB6" s="43" t="n">
        <v>3.875094624914289</v>
      </c>
      <c r="AC6" s="43" t="n">
        <v>8.5014471875496</v>
      </c>
      <c r="AD6" s="43" t="n">
        <v>-22.14531265560541</v>
      </c>
      <c r="AE6" s="43" t="n">
        <v>-19.10213261465811</v>
      </c>
      <c r="AF6" s="36" t="n">
        <v>-0.3838937530375178</v>
      </c>
      <c r="AG6" s="36" t="n">
        <v>-0.9913109279609765</v>
      </c>
      <c r="AH6" s="36" t="n">
        <v>5.073744204155064</v>
      </c>
      <c r="AI6" s="29" t="inlineStr">
        <is>
          <t>OK</t>
        </is>
      </c>
    </row>
    <row r="7" ht="24" customHeight="1">
      <c r="A7" s="24" t="inlineStr">
        <is>
          <t>ltc</t>
        </is>
      </c>
      <c r="B7" s="24" t="inlineStr">
        <is>
          <t>엘티씨</t>
        </is>
      </c>
      <c r="C7" s="24" t="inlineStr">
        <is>
          <t>170920</t>
        </is>
      </c>
      <c r="D7" s="24" t="inlineStr">
        <is>
          <t>KOSDAQ</t>
        </is>
      </c>
      <c r="E7" s="24" t="b">
        <v>0</v>
      </c>
      <c r="F7" s="24" t="inlineStr">
        <is>
          <t>2025</t>
        </is>
      </c>
      <c r="G7" s="24" t="inlineStr">
        <is>
          <t>41200.0</t>
        </is>
      </c>
      <c r="H7" s="24" t="inlineStr">
        <is>
          <t>10564126.0</t>
        </is>
      </c>
      <c r="I7" s="30" t="n">
        <v>435241991200</v>
      </c>
      <c r="J7" s="24" t="inlineStr">
        <is>
          <t>310384726014.0</t>
        </is>
      </c>
      <c r="K7" s="24" t="inlineStr">
        <is>
          <t>29629435023.0</t>
        </is>
      </c>
      <c r="L7" s="24" t="inlineStr">
        <is>
          <t>18189648458.0</t>
        </is>
      </c>
      <c r="M7" s="24" t="inlineStr">
        <is>
          <t>383387868522.0</t>
        </is>
      </c>
      <c r="N7" s="24" t="inlineStr">
        <is>
          <t>159648759353.0</t>
        </is>
      </c>
      <c r="O7" s="24" t="inlineStr">
        <is>
          <t>223739109169.0</t>
        </is>
      </c>
      <c r="P7" s="24" t="inlineStr">
        <is>
          <t>24709885929.0</t>
        </is>
      </c>
      <c r="Q7" s="24" t="inlineStr">
        <is>
          <t>0.07961050869457234</t>
        </is>
      </c>
      <c r="R7" s="24" t="inlineStr">
        <is>
          <t>2.623570800351803</t>
        </is>
      </c>
      <c r="S7" s="24" t="inlineStr">
        <is>
          <t>0.6758224215958685</t>
        </is>
      </c>
      <c r="T7" s="24" t="inlineStr">
        <is>
          <t>-0.5848765432098766</t>
        </is>
      </c>
      <c r="U7" s="24" t="inlineStr">
        <is>
          <t>49650.0</t>
        </is>
      </c>
      <c r="V7" s="24" t="inlineStr">
        <is>
          <t>9260.0</t>
        </is>
      </c>
      <c r="W7" s="24" t="inlineStr">
        <is>
          <t>OK</t>
        </is>
      </c>
      <c r="X7" s="24" t="inlineStr">
        <is>
          <t>yfinance price rows for 170920.KQ: 727 | price provider selected: yfinance, rows=727 | DART corp_code resolved from cache for 엘티씨/170920.</t>
        </is>
      </c>
      <c r="Y7" s="30" t="n">
        <v>594890750553</v>
      </c>
      <c r="Z7" s="42" t="n">
        <v>1.402266138509561</v>
      </c>
      <c r="AA7" s="42" t="n">
        <v>23.92800455737098</v>
      </c>
      <c r="AB7" s="42" t="n">
        <v>1.945310289365828</v>
      </c>
      <c r="AC7" s="42" t="n">
        <v>1.916623792003757</v>
      </c>
      <c r="AD7" s="42" t="n">
        <v>20.07769470093551</v>
      </c>
      <c r="AE7" s="42" t="n">
        <v>17.61408338551622</v>
      </c>
      <c r="AF7" s="35" t="n">
        <v>0.09546035142742029</v>
      </c>
      <c r="AG7" s="35" t="n">
        <v>0.08129847537857388</v>
      </c>
      <c r="AH7" s="35" t="n">
        <v>0.7135487396278595</v>
      </c>
      <c r="AI7" s="24" t="inlineStr">
        <is>
          <t>OK</t>
        </is>
      </c>
    </row>
  </sheetData>
  <autoFilter ref="A2:AI7"/>
  <mergeCells count="1">
    <mergeCell ref="A1:F1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ML 보조판단 요인</t>
        </is>
      </c>
    </row>
    <row r="2" ht="24" customHeight="1">
      <c r="A2" s="25" t="inlineStr">
        <is>
          <t>요인</t>
        </is>
      </c>
      <c r="B2" s="25" t="inlineStr">
        <is>
          <t>요인 코드</t>
        </is>
      </c>
      <c r="C2" s="25" t="inlineStr">
        <is>
          <t>점수</t>
        </is>
      </c>
      <c r="D2" s="25" t="inlineStr">
        <is>
          <t>해석</t>
        </is>
      </c>
    </row>
    <row r="3" ht="24" customHeight="1">
      <c r="A3" s="24" t="inlineStr">
        <is>
          <t>영업이익률 peer percentile</t>
        </is>
      </c>
      <c r="B3" s="24" t="inlineStr">
        <is>
          <t>operating_margin_percentile</t>
        </is>
      </c>
      <c r="C3" s="30" t="n">
        <v>80</v>
      </c>
      <c r="D3" s="24" t="inlineStr">
        <is>
          <t>높을수록 우수</t>
        </is>
      </c>
    </row>
    <row r="4" ht="24" customHeight="1">
      <c r="A4" s="29" t="inlineStr">
        <is>
          <t>ROE peer percentile</t>
        </is>
      </c>
      <c r="B4" s="29" t="inlineStr">
        <is>
          <t>roe_percentile</t>
        </is>
      </c>
      <c r="C4" s="31" t="n">
        <v>80</v>
      </c>
      <c r="D4" s="29" t="inlineStr">
        <is>
          <t>높을수록 우수</t>
        </is>
      </c>
    </row>
    <row r="5" ht="24" customHeight="1">
      <c r="A5" s="24" t="inlineStr">
        <is>
          <t>FCF margin peer percentile</t>
        </is>
      </c>
      <c r="B5" s="24" t="inlineStr">
        <is>
          <t>fcf_margin_percentile</t>
        </is>
      </c>
      <c r="C5" s="30" t="n">
        <v>40</v>
      </c>
      <c r="D5" s="24" t="inlineStr">
        <is>
          <t>높을수록 우수</t>
        </is>
      </c>
    </row>
    <row r="6" ht="24" customHeight="1">
      <c r="A6" s="29" t="inlineStr">
        <is>
          <t>부채비율 안정성</t>
        </is>
      </c>
      <c r="B6" s="29" t="inlineStr">
        <is>
          <t>debt_ratio_inverse_percentile</t>
        </is>
      </c>
      <c r="C6" s="31" t="n">
        <v>100</v>
      </c>
      <c r="D6" s="29" t="inlineStr">
        <is>
          <t>낮을수록 우수</t>
        </is>
      </c>
    </row>
    <row r="7" ht="24" customHeight="1">
      <c r="A7" s="24" t="inlineStr">
        <is>
          <t>PSR 상대 매력도</t>
        </is>
      </c>
      <c r="B7" s="24" t="inlineStr">
        <is>
          <t>psr_inverse_percentile</t>
        </is>
      </c>
      <c r="C7" s="30" t="n">
        <v>100</v>
      </c>
      <c r="D7" s="24" t="inlineStr">
        <is>
          <t>낮은 PSR일수록 상대가치 부담이 낮음</t>
        </is>
      </c>
    </row>
    <row r="8" ht="24" customHeight="1">
      <c r="A8" s="29" t="inlineStr">
        <is>
          <t>변동성 안정성</t>
        </is>
      </c>
      <c r="B8" s="29" t="inlineStr">
        <is>
          <t>volatility_inverse_score</t>
        </is>
      </c>
      <c r="C8" s="31" t="n">
        <v>18.9554976534734</v>
      </c>
      <c r="D8" s="29" t="inlineStr">
        <is>
          <t>낮을수록 우수</t>
        </is>
      </c>
    </row>
    <row r="9" ht="24" customHeight="1">
      <c r="A9" s="24" t="inlineStr">
        <is>
          <t>MDD 방어력</t>
        </is>
      </c>
      <c r="B9" s="24" t="inlineStr">
        <is>
          <t>mdd_resilience_score</t>
        </is>
      </c>
      <c r="C9" s="30" t="n">
        <v>6.075085324232091</v>
      </c>
      <c r="D9" s="24" t="inlineStr">
        <is>
          <t>낙폭이 작을수록 우수</t>
        </is>
      </c>
    </row>
    <row r="10" ht="24" customHeight="1">
      <c r="A10" s="29" t="inlineStr">
        <is>
          <t>208개 반도체 valuation proxy percentile</t>
        </is>
      </c>
      <c r="B10" s="29" t="inlineStr">
        <is>
          <t>reference_208_valuation_proxy_percentile</t>
        </is>
      </c>
      <c r="C10" s="31" t="n">
        <v>48.56</v>
      </c>
      <c r="D10" s="29" t="inlineStr">
        <is>
          <t>높을수록 universe 내 가치평가 proxy 우호</t>
        </is>
      </c>
    </row>
    <row r="11" ht="24" customHeight="1">
      <c r="A11" s="24" t="inlineStr">
        <is>
          <t>208개 반도체 credit risk inverse percentile</t>
        </is>
      </c>
      <c r="B11" s="24" t="inlineStr">
        <is>
          <t>reference_208_credit_risk_inverse_percentile</t>
        </is>
      </c>
      <c r="C11" s="30" t="n">
        <v>100</v>
      </c>
      <c r="D11" s="24" t="inlineStr">
        <is>
          <t>낮은 신용위험 proxy일수록 우수</t>
        </is>
      </c>
    </row>
    <row r="12" ht="24" customHeight="1">
      <c r="A12" s="29" t="inlineStr">
        <is>
          <t>208개 universe confidence</t>
        </is>
      </c>
      <c r="B12" s="29" t="inlineStr">
        <is>
          <t>reference_208_confidence_score</t>
        </is>
      </c>
      <c r="C12" s="31" t="n">
        <v>72.47988114778158</v>
      </c>
      <c r="D12" s="29" t="inlineStr">
        <is>
          <t>높을수록 보조판단 신뢰도 우수</t>
        </is>
      </c>
    </row>
    <row r="13" ht="24" customHeight="1"/>
    <row r="14" ht="24" customHeight="1"/>
    <row r="15" ht="24" customHeight="1">
      <c r="A15" s="22" t="inlineStr">
        <is>
          <t>ML 보조판단 요약</t>
        </is>
      </c>
    </row>
    <row r="16" ht="24" customHeight="1">
      <c r="A16" s="25" t="inlineStr">
        <is>
          <t>항목</t>
        </is>
      </c>
      <c r="B16" s="25" t="inlineStr">
        <is>
          <t>값</t>
        </is>
      </c>
    </row>
    <row r="17" ht="24" customHeight="1">
      <c r="A17" s="24" t="inlineStr">
        <is>
          <t>방법</t>
        </is>
      </c>
      <c r="B17" s="24" t="inlineStr">
        <is>
          <t>실시간 DART·주가 기반 PSR/Peer + 208개 반도체 reference universe 보조판단</t>
        </is>
      </c>
    </row>
    <row r="18" ht="24" customHeight="1">
      <c r="A18" s="29" t="inlineStr">
        <is>
          <t>종합점수</t>
        </is>
      </c>
      <c r="B18" s="31" t="n">
        <v>67.86</v>
      </c>
    </row>
    <row r="19" ht="24" customHeight="1">
      <c r="A19" s="24" t="inlineStr">
        <is>
          <t>라벨</t>
        </is>
      </c>
      <c r="B19" s="24" t="inlineStr">
        <is>
          <t>가치평가 보조근거 중립</t>
        </is>
      </c>
    </row>
    <row r="20" ht="24" customHeight="1">
      <c r="A20" s="29" t="inlineStr">
        <is>
          <t>클러스터</t>
        </is>
      </c>
      <c r="B20" s="29" t="inlineStr">
        <is>
          <t>소재</t>
        </is>
      </c>
    </row>
    <row r="21" ht="24" customHeight="1">
      <c r="A21" s="24" t="inlineStr">
        <is>
          <t>주의</t>
        </is>
      </c>
      <c r="B21" s="24" t="inlineStr">
        <is>
          <t>미래수익률 예측모델이 아니라 대시보드/Chair용 설명가능 보조 가치평가 점수입니다.</t>
        </is>
      </c>
    </row>
  </sheetData>
  <autoFilter ref="A16:B21"/>
  <mergeCells count="2">
    <mergeCell ref="A1:F1"/>
    <mergeCell ref="A15:F15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WACC × 영구성장률 민감도</t>
        </is>
      </c>
    </row>
    <row r="2" ht="24" customHeight="1">
      <c r="A2" s="25" t="inlineStr">
        <is>
          <t>WACC</t>
        </is>
      </c>
      <c r="B2" s="25" t="inlineStr">
        <is>
          <t>영구성장률</t>
        </is>
      </c>
      <c r="C2" s="25" t="inlineStr">
        <is>
          <t>기업가치(EV)</t>
        </is>
      </c>
    </row>
    <row r="3" ht="24" customHeight="1">
      <c r="A3" s="35" t="n">
        <v>0.1264314233754703</v>
      </c>
      <c r="B3" s="35" t="n">
        <v>0.004999999999999999</v>
      </c>
      <c r="C3" s="30" t="n">
        <v>451133059397.2284</v>
      </c>
    </row>
    <row r="4" ht="24" customHeight="1">
      <c r="A4" s="36" t="n">
        <v>0.1264314233754703</v>
      </c>
      <c r="B4" s="36" t="n">
        <v>0.009999999999999998</v>
      </c>
      <c r="C4" s="31" t="n">
        <v>463699201410.1434</v>
      </c>
    </row>
    <row r="5" ht="24" customHeight="1">
      <c r="A5" s="35" t="n">
        <v>0.1264314233754703</v>
      </c>
      <c r="B5" s="35" t="n">
        <v>0.015</v>
      </c>
      <c r="C5" s="30" t="n">
        <v>477393045253.6788</v>
      </c>
    </row>
    <row r="6" ht="24" customHeight="1">
      <c r="A6" s="36" t="n">
        <v>0.1264314233754703</v>
      </c>
      <c r="B6" s="36" t="n">
        <v>0.02</v>
      </c>
      <c r="C6" s="31" t="n">
        <v>492373524510.8201</v>
      </c>
    </row>
    <row r="7" ht="24" customHeight="1">
      <c r="A7" s="35" t="n">
        <v>0.1264314233754703</v>
      </c>
      <c r="B7" s="35" t="n">
        <v>0.025</v>
      </c>
      <c r="C7" s="30" t="n">
        <v>508830910899.7567</v>
      </c>
    </row>
    <row r="8" ht="24" customHeight="1">
      <c r="A8" s="36" t="n">
        <v>0.1364314233754703</v>
      </c>
      <c r="B8" s="36" t="n">
        <v>0.004999999999999999</v>
      </c>
      <c r="C8" s="31" t="n">
        <v>420841698010.498</v>
      </c>
    </row>
    <row r="9" ht="24" customHeight="1">
      <c r="A9" s="35" t="n">
        <v>0.1364314233754703</v>
      </c>
      <c r="B9" s="35" t="n">
        <v>0.009999999999999998</v>
      </c>
      <c r="C9" s="30" t="n">
        <v>431162064283.4305</v>
      </c>
    </row>
    <row r="10" ht="24" customHeight="1">
      <c r="A10" s="36" t="n">
        <v>0.1364314233754703</v>
      </c>
      <c r="B10" s="36" t="n">
        <v>0.015</v>
      </c>
      <c r="C10" s="31" t="n">
        <v>442332323111.8527</v>
      </c>
    </row>
    <row r="11" ht="24" customHeight="1">
      <c r="A11" s="35" t="n">
        <v>0.1364314233754703</v>
      </c>
      <c r="B11" s="35" t="n">
        <v>0.02</v>
      </c>
      <c r="C11" s="30" t="n">
        <v>454461967173.6239</v>
      </c>
    </row>
    <row r="12" ht="24" customHeight="1">
      <c r="A12" s="36" t="n">
        <v>0.1364314233754703</v>
      </c>
      <c r="B12" s="36" t="n">
        <v>0.025</v>
      </c>
      <c r="C12" s="31" t="n">
        <v>467680141175.5448</v>
      </c>
    </row>
    <row r="13" ht="24" customHeight="1">
      <c r="A13" s="35" t="n">
        <v>0.1414314233754703</v>
      </c>
      <c r="B13" s="35" t="n">
        <v>0.004999999999999999</v>
      </c>
      <c r="C13" s="30" t="n">
        <v>407556921986.6879</v>
      </c>
    </row>
    <row r="14" ht="24" customHeight="1">
      <c r="A14" s="36" t="n">
        <v>0.1414314233754703</v>
      </c>
      <c r="B14" s="36" t="n">
        <v>0.009999999999999998</v>
      </c>
      <c r="C14" s="31" t="n">
        <v>416954357750.2001</v>
      </c>
    </row>
    <row r="15" ht="24" customHeight="1">
      <c r="A15" s="35" t="n">
        <v>0.1414314233754703</v>
      </c>
      <c r="B15" s="35" t="n">
        <v>0.015</v>
      </c>
      <c r="C15" s="30" t="n">
        <v>427095076750.7919</v>
      </c>
    </row>
    <row r="16" ht="24" customHeight="1">
      <c r="A16" s="36" t="n">
        <v>0.1414314233754703</v>
      </c>
      <c r="B16" s="36" t="n">
        <v>0.02</v>
      </c>
      <c r="C16" s="31" t="n">
        <v>438070894173.0861</v>
      </c>
    </row>
    <row r="17" ht="24" customHeight="1">
      <c r="A17" s="35" t="n">
        <v>0.1414314233754703</v>
      </c>
      <c r="B17" s="35" t="n">
        <v>0.025</v>
      </c>
      <c r="C17" s="30" t="n">
        <v>449989396748.9319</v>
      </c>
    </row>
    <row r="18" ht="24" customHeight="1">
      <c r="A18" s="36" t="n">
        <v>0.1464314233754703</v>
      </c>
      <c r="B18" s="36" t="n">
        <v>0.004999999999999999</v>
      </c>
      <c r="C18" s="31" t="n">
        <v>395332242625.2498</v>
      </c>
    </row>
    <row r="19" ht="24" customHeight="1">
      <c r="A19" s="35" t="n">
        <v>0.1464314233754703</v>
      </c>
      <c r="B19" s="35" t="n">
        <v>0.009999999999999998</v>
      </c>
      <c r="C19" s="30" t="n">
        <v>403913869678.6085</v>
      </c>
    </row>
    <row r="20" ht="24" customHeight="1">
      <c r="A20" s="36" t="n">
        <v>0.1464314233754703</v>
      </c>
      <c r="B20" s="36" t="n">
        <v>0.015</v>
      </c>
      <c r="C20" s="31" t="n">
        <v>413148432448.0206</v>
      </c>
    </row>
    <row r="21" ht="24" customHeight="1">
      <c r="A21" s="35" t="n">
        <v>0.1464314233754703</v>
      </c>
      <c r="B21" s="35" t="n">
        <v>0.02</v>
      </c>
      <c r="C21" s="30" t="n">
        <v>423113396135.4061</v>
      </c>
    </row>
    <row r="22" ht="24" customHeight="1">
      <c r="A22" s="36" t="n">
        <v>0.1464314233754703</v>
      </c>
      <c r="B22" s="36" t="n">
        <v>0.025</v>
      </c>
      <c r="C22" s="31" t="n">
        <v>433898984617.4606</v>
      </c>
    </row>
    <row r="23" ht="24" customHeight="1">
      <c r="A23" s="35" t="n">
        <v>0.1564314233754703</v>
      </c>
      <c r="B23" s="35" t="n">
        <v>0.004999999999999999</v>
      </c>
      <c r="C23" s="30" t="n">
        <v>373629662339.6036</v>
      </c>
    </row>
    <row r="24" ht="24" customHeight="1">
      <c r="A24" s="36" t="n">
        <v>0.1564314233754703</v>
      </c>
      <c r="B24" s="36" t="n">
        <v>0.009999999999999998</v>
      </c>
      <c r="C24" s="31" t="n">
        <v>380842272509.1941</v>
      </c>
    </row>
    <row r="25" ht="24" customHeight="1">
      <c r="A25" s="35" t="n">
        <v>0.1564314233754703</v>
      </c>
      <c r="B25" s="35" t="n">
        <v>0.015</v>
      </c>
      <c r="C25" s="30" t="n">
        <v>388564854932.2944</v>
      </c>
    </row>
    <row r="26" ht="24" customHeight="1">
      <c r="A26" s="36" t="n">
        <v>0.1564314233754703</v>
      </c>
      <c r="B26" s="36" t="n">
        <v>0.02</v>
      </c>
      <c r="C26" s="31" t="n">
        <v>396853478684.5867</v>
      </c>
    </row>
    <row r="27" ht="24" customHeight="1">
      <c r="A27" s="35" t="n">
        <v>0.1564314233754703</v>
      </c>
      <c r="B27" s="35" t="n">
        <v>0.025</v>
      </c>
      <c r="C27" s="30" t="n">
        <v>405772744907.2579</v>
      </c>
    </row>
  </sheetData>
  <autoFilter ref="A2:C27"/>
  <mergeCells count="1">
    <mergeCell ref="A1:F1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검증 체크</t>
        </is>
      </c>
    </row>
    <row r="2" ht="24" customHeight="1">
      <c r="A2" s="25" t="inlineStr">
        <is>
          <t>중요도</t>
        </is>
      </c>
      <c r="B2" s="25" t="inlineStr">
        <is>
          <t>코드</t>
        </is>
      </c>
      <c r="C2" s="25" t="inlineStr">
        <is>
          <t>메시지</t>
        </is>
      </c>
    </row>
    <row r="3" ht="24" customHeight="1">
      <c r="A3" s="24" t="inlineStr">
        <is>
          <t>INFO</t>
        </is>
      </c>
      <c r="B3" s="24" t="inlineStr">
        <is>
          <t>NO_MAJOR_WARNINGS</t>
        </is>
      </c>
      <c r="C3" s="24" t="inlineStr">
        <is>
          <t>주요 validation warning 없음</t>
        </is>
      </c>
    </row>
  </sheetData>
  <autoFilter ref="A2:C3"/>
  <mergeCells count="1">
    <mergeCell ref="A1:F1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0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대시보드 JSON 내보내기</t>
        </is>
      </c>
    </row>
    <row r="2" ht="24" customHeight="1">
      <c r="A2" s="25" t="inlineStr">
        <is>
          <t>구분</t>
        </is>
      </c>
      <c r="B2" s="25" t="inlineStr">
        <is>
          <t>항목</t>
        </is>
      </c>
      <c r="C2" s="25" t="inlineStr">
        <is>
          <t>값</t>
        </is>
      </c>
      <c r="D2" s="25" t="inlineStr">
        <is>
          <t>설명</t>
        </is>
      </c>
    </row>
    <row r="3" ht="24" customHeight="1">
      <c r="A3" s="24" t="inlineStr">
        <is>
          <t>agent</t>
        </is>
      </c>
      <c r="B3" s="24" t="inlineStr">
        <is>
          <t>값</t>
        </is>
      </c>
      <c r="C3" s="24" t="inlineStr">
        <is>
          <t>valuation</t>
        </is>
      </c>
      <c r="D3" s="24" t="inlineStr">
        <is>
          <t>대시보드 기본값</t>
        </is>
      </c>
    </row>
    <row r="4" ht="24" customHeight="1">
      <c r="A4" s="29" t="inlineStr">
        <is>
          <t>기업코드</t>
        </is>
      </c>
      <c r="B4" s="29" t="inlineStr">
        <is>
          <t>값</t>
        </is>
      </c>
      <c r="C4" s="29" t="inlineStr">
        <is>
          <t>tck</t>
        </is>
      </c>
      <c r="D4" s="29" t="inlineStr">
        <is>
          <t>대시보드 기본값</t>
        </is>
      </c>
    </row>
    <row r="5" ht="24" customHeight="1">
      <c r="A5" s="24" t="inlineStr">
        <is>
          <t>기업명</t>
        </is>
      </c>
      <c r="B5" s="24" t="inlineStr">
        <is>
          <t>값</t>
        </is>
      </c>
      <c r="C5" s="24" t="inlineStr">
        <is>
          <t>티씨케이</t>
        </is>
      </c>
      <c r="D5" s="24" t="inlineStr">
        <is>
          <t>대시보드 기본값</t>
        </is>
      </c>
    </row>
    <row r="6" ht="24" customHeight="1">
      <c r="A6" s="29" t="inlineStr">
        <is>
          <t>상태</t>
        </is>
      </c>
      <c r="B6" s="29" t="inlineStr">
        <is>
          <t>값</t>
        </is>
      </c>
      <c r="C6" s="29" t="inlineStr">
        <is>
          <t>PASS</t>
        </is>
      </c>
      <c r="D6" s="29" t="inlineStr">
        <is>
          <t>대시보드 기본값</t>
        </is>
      </c>
    </row>
    <row r="7" ht="24" customHeight="1">
      <c r="A7" s="24" t="inlineStr">
        <is>
          <t>korean_label</t>
        </is>
      </c>
      <c r="B7" s="24" t="inlineStr">
        <is>
          <t>값</t>
        </is>
      </c>
      <c r="C7" s="24" t="inlineStr">
        <is>
          <t>독립 가치평가 에이전트</t>
        </is>
      </c>
      <c r="D7" s="24" t="inlineStr">
        <is>
          <t>대시보드 기본값</t>
        </is>
      </c>
    </row>
    <row r="8" ht="24" customHeight="1">
      <c r="A8" s="29" t="inlineStr">
        <is>
          <t>요약 카드</t>
        </is>
      </c>
      <c r="B8" s="29" t="inlineStr">
        <is>
          <t>상위 블록</t>
        </is>
      </c>
      <c r="C8" s="29" t="inlineStr">
        <is>
          <t>31개 항목</t>
        </is>
      </c>
      <c r="D8" s="29" t="inlineStr">
        <is>
          <t>대시보드에서 객체로 사용</t>
        </is>
      </c>
    </row>
    <row r="9" ht="24" customHeight="1">
      <c r="A9" s="24" t="inlineStr">
        <is>
          <t>요약 카드</t>
        </is>
      </c>
      <c r="B9" s="24" t="inlineStr">
        <is>
          <t>WACC</t>
        </is>
      </c>
      <c r="C9" s="24" t="inlineStr">
        <is>
          <t>WACC</t>
        </is>
      </c>
      <c r="D9" s="24" t="inlineStr">
        <is>
          <t>JSON 상세는 dashboard_payload 파일 참조</t>
        </is>
      </c>
    </row>
    <row r="10" ht="24" customHeight="1">
      <c r="A10" s="29" t="inlineStr">
        <is>
          <t>요약 카드</t>
        </is>
      </c>
      <c r="B10" s="29" t="inlineStr">
        <is>
          <t>기업가치(EV)</t>
        </is>
      </c>
      <c r="C10" s="29" t="inlineStr">
        <is>
          <t>DCF 기업가치</t>
        </is>
      </c>
      <c r="D10" s="29" t="inlineStr">
        <is>
          <t>JSON 상세는 dashboard_payload 파일 참조</t>
        </is>
      </c>
    </row>
    <row r="11" ht="24" customHeight="1">
      <c r="A11" s="24" t="inlineStr">
        <is>
          <t>요약 카드</t>
        </is>
      </c>
      <c r="B11" s="24" t="inlineStr">
        <is>
          <t>equity_value</t>
        </is>
      </c>
      <c r="C11" s="24" t="inlineStr">
        <is>
          <t>DCF 지분가치</t>
        </is>
      </c>
      <c r="D11" s="24" t="inlineStr">
        <is>
          <t>JSON 상세는 dashboard_payload 파일 참조</t>
        </is>
      </c>
    </row>
    <row r="12" ht="24" customHeight="1">
      <c r="A12" s="29" t="inlineStr">
        <is>
          <t>요약 카드</t>
        </is>
      </c>
      <c r="B12" s="29" t="inlineStr">
        <is>
          <t>latest_close</t>
        </is>
      </c>
      <c r="C12" s="29" t="inlineStr">
        <is>
          <t>현재가</t>
        </is>
      </c>
      <c r="D12" s="29" t="inlineStr">
        <is>
          <t>JSON 상세는 dashboard_payload 파일 참조</t>
        </is>
      </c>
    </row>
    <row r="13" ht="24" customHeight="1">
      <c r="A13" s="24" t="inlineStr">
        <is>
          <t>요약 카드</t>
        </is>
      </c>
      <c r="B13" s="24" t="inlineStr">
        <is>
          <t>implied_price</t>
        </is>
      </c>
      <c r="C13" s="24" t="inlineStr">
        <is>
          <t>DCF 내재주가</t>
        </is>
      </c>
      <c r="D13" s="24" t="inlineStr">
        <is>
          <t>JSON 상세는 dashboard_payload 파일 참조</t>
        </is>
      </c>
    </row>
    <row r="14" ht="24" customHeight="1">
      <c r="A14" s="29" t="inlineStr">
        <is>
          <t>요약 카드</t>
        </is>
      </c>
      <c r="B14" s="29" t="inlineStr">
        <is>
          <t>현재가 대비</t>
        </is>
      </c>
      <c r="C14" s="29" t="inlineStr">
        <is>
          <t>현재가 대비 괴리율</t>
        </is>
      </c>
      <c r="D14" s="29" t="inlineStr">
        <is>
          <t>JSON 상세는 dashboard_payload 파일 참조</t>
        </is>
      </c>
    </row>
    <row r="15" ht="24" customHeight="1">
      <c r="A15" s="24" t="inlineStr">
        <is>
          <t>요약 카드</t>
        </is>
      </c>
      <c r="B15" s="24" t="inlineStr">
        <is>
          <t>분석대상 P/S</t>
        </is>
      </c>
      <c r="C15" s="24" t="inlineStr">
        <is>
          <t>P/S</t>
        </is>
      </c>
      <c r="D15" s="24" t="inlineStr">
        <is>
          <t>JSON 상세는 dashboard_payload 파일 참조</t>
        </is>
      </c>
    </row>
    <row r="16" ht="24" customHeight="1">
      <c r="A16" s="29" t="inlineStr">
        <is>
          <t>요약 카드</t>
        </is>
      </c>
      <c r="B16" s="29" t="inlineStr">
        <is>
          <t>Peer P/S 중앙값</t>
        </is>
      </c>
      <c r="C16" s="29" t="inlineStr">
        <is>
          <t>비교기업 P/S 중앙값</t>
        </is>
      </c>
      <c r="D16" s="29" t="inlineStr">
        <is>
          <t>JSON 상세는 dashboard_payload 파일 참조</t>
        </is>
      </c>
    </row>
    <row r="17" ht="24" customHeight="1">
      <c r="A17" s="24" t="inlineStr">
        <is>
          <t>요약 카드</t>
        </is>
      </c>
      <c r="B17" s="24" t="inlineStr">
        <is>
          <t>psr_gap</t>
        </is>
      </c>
      <c r="C17" s="24" t="inlineStr">
        <is>
          <t>P/S 중앙값 대비</t>
        </is>
      </c>
      <c r="D17" s="24" t="inlineStr">
        <is>
          <t>JSON 상세는 dashboard_payload 파일 참조</t>
        </is>
      </c>
    </row>
    <row r="18" ht="24" customHeight="1">
      <c r="A18" s="29" t="inlineStr">
        <is>
          <t>요약 카드</t>
        </is>
      </c>
      <c r="B18" s="29" t="inlineStr">
        <is>
          <t>reference_rows</t>
        </is>
      </c>
      <c r="C18" s="29" t="inlineStr">
        <is>
          <t>208개 반도체 비교군</t>
        </is>
      </c>
      <c r="D18" s="29" t="inlineStr">
        <is>
          <t>JSON 상세는 dashboard_payload 파일 참조</t>
        </is>
      </c>
    </row>
    <row r="19" ht="24" customHeight="1">
      <c r="A19" s="24" t="inlineStr">
        <is>
          <t>요약 카드</t>
        </is>
      </c>
      <c r="B19" s="24" t="inlineStr">
        <is>
          <t>reference_peer_group</t>
        </is>
      </c>
      <c r="C19" s="24" t="inlineStr">
        <is>
          <t>기준 비교군 그룹</t>
        </is>
      </c>
      <c r="D19" s="24" t="inlineStr">
        <is>
          <t>JSON 상세는 dashboard_payload 파일 참조</t>
        </is>
      </c>
    </row>
    <row r="20" ht="24" customHeight="1">
      <c r="A20" s="29" t="inlineStr">
        <is>
          <t>요약 카드</t>
        </is>
      </c>
      <c r="B20" s="29" t="inlineStr">
        <is>
          <t>1년 수익률</t>
        </is>
      </c>
      <c r="C20" s="29" t="inlineStr">
        <is>
          <t>1년 수익률</t>
        </is>
      </c>
      <c r="D20" s="29" t="inlineStr">
        <is>
          <t>JSON 상세는 dashboard_payload 파일 참조</t>
        </is>
      </c>
    </row>
    <row r="21" ht="24" customHeight="1">
      <c r="A21" s="24" t="inlineStr">
        <is>
          <t>요약 카드</t>
        </is>
      </c>
      <c r="B21" s="24" t="inlineStr">
        <is>
          <t>MDD</t>
        </is>
      </c>
      <c r="C21" s="24" t="inlineStr">
        <is>
          <t>MDD</t>
        </is>
      </c>
      <c r="D21" s="24" t="inlineStr">
        <is>
          <t>JSON 상세는 dashboard_payload 파일 참조</t>
        </is>
      </c>
    </row>
    <row r="22" ht="24" customHeight="1">
      <c r="A22" s="29" t="inlineStr">
        <is>
          <t>요약 카드</t>
        </is>
      </c>
      <c r="B22" s="29" t="inlineStr">
        <is>
          <t>volatility</t>
        </is>
      </c>
      <c r="C22" s="29" t="inlineStr">
        <is>
          <t>연환산 변동성</t>
        </is>
      </c>
      <c r="D22" s="29" t="inlineStr">
        <is>
          <t>JSON 상세는 dashboard_payload 파일 참조</t>
        </is>
      </c>
    </row>
    <row r="23" ht="24" customHeight="1">
      <c r="A23" s="24" t="inlineStr">
        <is>
          <t>요약 카드</t>
        </is>
      </c>
      <c r="B23" s="24" t="inlineStr">
        <is>
          <t>시가총액</t>
        </is>
      </c>
      <c r="C23" s="24" t="inlineStr">
        <is>
          <t>시가총액</t>
        </is>
      </c>
      <c r="D23" s="24" t="inlineStr">
        <is>
          <t>JSON 상세는 dashboard_payload 파일 참조</t>
        </is>
      </c>
    </row>
    <row r="24" ht="24" customHeight="1">
      <c r="A24" s="29" t="inlineStr">
        <is>
          <t>요약 카드</t>
        </is>
      </c>
      <c r="B24" s="29" t="inlineStr">
        <is>
          <t>발행주식 수</t>
        </is>
      </c>
      <c r="C24" s="29" t="inlineStr">
        <is>
          <t>발행주식 수</t>
        </is>
      </c>
      <c r="D24" s="29" t="inlineStr">
        <is>
          <t>JSON 상세는 dashboard_payload 파일 참조</t>
        </is>
      </c>
    </row>
    <row r="25" ht="24" customHeight="1">
      <c r="A25" s="24" t="inlineStr">
        <is>
          <t>요약 카드</t>
        </is>
      </c>
      <c r="B25" s="24" t="inlineStr">
        <is>
          <t>20일 평균 거래대금</t>
        </is>
      </c>
      <c r="C25" s="24" t="inlineStr">
        <is>
          <t>20일 평균 거래대금</t>
        </is>
      </c>
      <c r="D25" s="24" t="inlineStr">
        <is>
          <t>JSON 상세는 dashboard_payload 파일 참조</t>
        </is>
      </c>
    </row>
    <row r="26" ht="24" customHeight="1">
      <c r="A26" s="29" t="inlineStr">
        <is>
          <t>요약 카드</t>
        </is>
      </c>
      <c r="B26" s="29" t="inlineStr">
        <is>
          <t>최근 거래회전율</t>
        </is>
      </c>
      <c r="C26" s="29" t="inlineStr">
        <is>
          <t>최근 거래회전율</t>
        </is>
      </c>
      <c r="D26" s="29" t="inlineStr">
        <is>
          <t>JSON 상세는 dashboard_payload 파일 참조</t>
        </is>
      </c>
    </row>
    <row r="27" ht="24" customHeight="1">
      <c r="A27" s="24" t="inlineStr">
        <is>
          <t>latest_financials</t>
        </is>
      </c>
      <c r="B27" s="24" t="inlineStr">
        <is>
          <t>상위 블록</t>
        </is>
      </c>
      <c r="C27" s="24" t="inlineStr">
        <is>
          <t>37개 항목</t>
        </is>
      </c>
      <c r="D27" s="24" t="inlineStr">
        <is>
          <t>대시보드에서 객체로 사용</t>
        </is>
      </c>
    </row>
    <row r="28" ht="24" customHeight="1">
      <c r="A28" s="29" t="inlineStr">
        <is>
          <t>latest_financials</t>
        </is>
      </c>
      <c r="B28" s="29" t="inlineStr">
        <is>
          <t>연도</t>
        </is>
      </c>
      <c r="C28" s="31" t="n">
        <v>2025</v>
      </c>
      <c r="D28" s="29" t="inlineStr">
        <is>
          <t>JSON 상세는 dashboard_payload 파일 참조</t>
        </is>
      </c>
    </row>
    <row r="29" ht="24" customHeight="1">
      <c r="A29" s="24" t="inlineStr">
        <is>
          <t>latest_financials</t>
        </is>
      </c>
      <c r="B29" s="24" t="inlineStr">
        <is>
          <t>매출액</t>
        </is>
      </c>
      <c r="C29" s="30" t="n">
        <v>301334302844</v>
      </c>
      <c r="D29" s="24" t="inlineStr">
        <is>
          <t>JSON 상세는 dashboard_payload 파일 참조</t>
        </is>
      </c>
    </row>
    <row r="30" ht="24" customHeight="1">
      <c r="A30" s="29" t="inlineStr">
        <is>
          <t>latest_financials</t>
        </is>
      </c>
      <c r="B30" s="29" t="inlineStr">
        <is>
          <t>영업이익</t>
        </is>
      </c>
      <c r="C30" s="31" t="n">
        <v>83887319363</v>
      </c>
      <c r="D30" s="29" t="inlineStr">
        <is>
          <t>JSON 상세는 dashboard_payload 파일 참조</t>
        </is>
      </c>
    </row>
    <row r="31" ht="24" customHeight="1">
      <c r="A31" s="24" t="inlineStr">
        <is>
          <t>latest_financials</t>
        </is>
      </c>
      <c r="B31" s="24" t="inlineStr">
        <is>
          <t>순이익</t>
        </is>
      </c>
      <c r="C31" s="30" t="n">
        <v>69902724552</v>
      </c>
      <c r="D31" s="24" t="inlineStr">
        <is>
          <t>JSON 상세는 dashboard_payload 파일 참조</t>
        </is>
      </c>
    </row>
    <row r="32" ht="24" customHeight="1">
      <c r="A32" s="29" t="inlineStr">
        <is>
          <t>latest_financials</t>
        </is>
      </c>
      <c r="B32" s="29" t="inlineStr">
        <is>
          <t>자산총계</t>
        </is>
      </c>
      <c r="C32" s="31" t="n">
        <v>567616557963</v>
      </c>
      <c r="D32" s="29" t="inlineStr">
        <is>
          <t>JSON 상세는 dashboard_payload 파일 참조</t>
        </is>
      </c>
    </row>
    <row r="33" ht="24" customHeight="1">
      <c r="A33" s="24" t="inlineStr">
        <is>
          <t>latest_financials</t>
        </is>
      </c>
      <c r="B33" s="24" t="inlineStr">
        <is>
          <t>부채총계</t>
        </is>
      </c>
      <c r="C33" s="30" t="n">
        <v>48313763573</v>
      </c>
      <c r="D33" s="24" t="inlineStr">
        <is>
          <t>JSON 상세는 dashboard_payload 파일 참조</t>
        </is>
      </c>
    </row>
    <row r="34" ht="24" customHeight="1">
      <c r="A34" s="29" t="inlineStr">
        <is>
          <t>latest_financials</t>
        </is>
      </c>
      <c r="B34" s="29" t="inlineStr">
        <is>
          <t>자본총계</t>
        </is>
      </c>
      <c r="C34" s="31" t="n">
        <v>519302794390</v>
      </c>
      <c r="D34" s="29" t="inlineStr">
        <is>
          <t>JSON 상세는 dashboard_payload 파일 참조</t>
        </is>
      </c>
    </row>
    <row r="35" ht="24" customHeight="1">
      <c r="A35" s="24" t="inlineStr">
        <is>
          <t>latest_financials</t>
        </is>
      </c>
      <c r="B35" s="24" t="inlineStr">
        <is>
          <t>현금성자산</t>
        </is>
      </c>
      <c r="C35" s="30" t="n">
        <v>7957313966</v>
      </c>
      <c r="D35" s="24" t="inlineStr">
        <is>
          <t>JSON 상세는 dashboard_payload 파일 참조</t>
        </is>
      </c>
    </row>
    <row r="36" ht="24" customHeight="1">
      <c r="A36" s="29" t="inlineStr">
        <is>
          <t>latest_financials</t>
        </is>
      </c>
      <c r="B36" s="29" t="inlineStr">
        <is>
          <t>영업현금흐름</t>
        </is>
      </c>
      <c r="C36" s="31" t="n">
        <v>54111434312</v>
      </c>
      <c r="D36" s="29" t="inlineStr">
        <is>
          <t>JSON 상세는 dashboard_payload 파일 참조</t>
        </is>
      </c>
    </row>
    <row r="37" ht="24" customHeight="1">
      <c r="A37" s="24" t="inlineStr">
        <is>
          <t>latest_financials</t>
        </is>
      </c>
      <c r="B37" s="24" t="inlineStr">
        <is>
          <t>CAPEX</t>
        </is>
      </c>
      <c r="C37" s="30" t="n">
        <v>81937721</v>
      </c>
      <c r="D37" s="24" t="inlineStr">
        <is>
          <t>JSON 상세는 dashboard_payload 파일 참조</t>
        </is>
      </c>
    </row>
    <row r="38" ht="24" customHeight="1">
      <c r="A38" s="29" t="inlineStr">
        <is>
          <t>latest_financials</t>
        </is>
      </c>
      <c r="B38" s="29" t="inlineStr">
        <is>
          <t>FCF</t>
        </is>
      </c>
      <c r="C38" s="31" t="n">
        <v>54029496591</v>
      </c>
      <c r="D38" s="29" t="inlineStr">
        <is>
          <t>JSON 상세는 dashboard_payload 파일 참조</t>
        </is>
      </c>
    </row>
    <row r="39" ht="24" customHeight="1">
      <c r="A39" s="24" t="inlineStr">
        <is>
          <t>latest_financials</t>
        </is>
      </c>
      <c r="B39" s="24" t="inlineStr">
        <is>
          <t>투자현금흐름</t>
        </is>
      </c>
      <c r="C39" s="30" t="n">
        <v>4361225849</v>
      </c>
      <c r="D39" s="24" t="inlineStr">
        <is>
          <t>JSON 상세는 dashboard_payload 파일 참조</t>
        </is>
      </c>
    </row>
    <row r="40" ht="24" customHeight="1">
      <c r="A40" s="29" t="inlineStr">
        <is>
          <t>latest_financials</t>
        </is>
      </c>
      <c r="B40" s="29" t="inlineStr">
        <is>
          <t>원천계정수</t>
        </is>
      </c>
      <c r="C40" s="31" t="n">
        <v>135</v>
      </c>
      <c r="D40" s="29" t="inlineStr">
        <is>
          <t>JSON 상세는 dashboard_payload 파일 참조</t>
        </is>
      </c>
    </row>
    <row r="41" ht="24" customHeight="1">
      <c r="A41" s="24" t="inlineStr">
        <is>
          <t>latest_financials</t>
        </is>
      </c>
      <c r="B41" s="24" t="inlineStr">
        <is>
          <t>매출 원천계정</t>
        </is>
      </c>
      <c r="C41" s="24" t="inlineStr">
        <is>
          <t>매출액</t>
        </is>
      </c>
      <c r="D41" s="24" t="inlineStr">
        <is>
          <t>JSON 상세는 dashboard_payload 파일 참조</t>
        </is>
      </c>
    </row>
    <row r="42" ht="24" customHeight="1">
      <c r="A42" s="29" t="inlineStr">
        <is>
          <t>latest_financials</t>
        </is>
      </c>
      <c r="B42" s="29" t="inlineStr">
        <is>
          <t>영업이익 원천계정</t>
        </is>
      </c>
      <c r="C42" s="29" t="inlineStr">
        <is>
          <t>영업이익</t>
        </is>
      </c>
      <c r="D42" s="29" t="inlineStr">
        <is>
          <t>JSON 상세는 dashboard_payload 파일 참조</t>
        </is>
      </c>
    </row>
    <row r="43" ht="24" customHeight="1">
      <c r="A43" s="24" t="inlineStr">
        <is>
          <t>latest_financials</t>
        </is>
      </c>
      <c r="B43" s="24" t="inlineStr">
        <is>
          <t>순이익 원천계정</t>
        </is>
      </c>
      <c r="C43" s="24" t="inlineStr">
        <is>
          <t>당기순이익</t>
        </is>
      </c>
      <c r="D43" s="24" t="inlineStr">
        <is>
          <t>JSON 상세는 dashboard_payload 파일 참조</t>
        </is>
      </c>
    </row>
    <row r="44" ht="24" customHeight="1">
      <c r="A44" s="29" t="inlineStr">
        <is>
          <t>latest_financials</t>
        </is>
      </c>
      <c r="B44" s="29" t="inlineStr">
        <is>
          <t>자산 원천계정</t>
        </is>
      </c>
      <c r="C44" s="29" t="inlineStr">
        <is>
          <t>자산총계</t>
        </is>
      </c>
      <c r="D44" s="29" t="inlineStr">
        <is>
          <t>JSON 상세는 dashboard_payload 파일 참조</t>
        </is>
      </c>
    </row>
    <row r="45" ht="24" customHeight="1">
      <c r="A45" s="24" t="inlineStr">
        <is>
          <t>latest_financials</t>
        </is>
      </c>
      <c r="B45" s="24" t="inlineStr">
        <is>
          <t>부채 원천계정</t>
        </is>
      </c>
      <c r="C45" s="24" t="inlineStr">
        <is>
          <t>부채총계</t>
        </is>
      </c>
      <c r="D45" s="24" t="inlineStr">
        <is>
          <t>JSON 상세는 dashboard_payload 파일 참조</t>
        </is>
      </c>
    </row>
    <row r="46" ht="24" customHeight="1">
      <c r="A46" s="29" t="inlineStr">
        <is>
          <t>주가 요약</t>
        </is>
      </c>
      <c r="B46" s="29" t="inlineStr">
        <is>
          <t>상위 블록</t>
        </is>
      </c>
      <c r="C46" s="29" t="inlineStr">
        <is>
          <t>19개 항목</t>
        </is>
      </c>
      <c r="D46" s="29" t="inlineStr">
        <is>
          <t>대시보드에서 객체로 사용</t>
        </is>
      </c>
    </row>
    <row r="47" ht="24" customHeight="1">
      <c r="A47" s="24" t="inlineStr">
        <is>
          <t>주가 요약</t>
        </is>
      </c>
      <c r="B47" s="24" t="inlineStr">
        <is>
          <t>latest_close</t>
        </is>
      </c>
      <c r="C47" s="30" t="n">
        <v>274500</v>
      </c>
      <c r="D47" s="24" t="inlineStr">
        <is>
          <t>JSON 상세는 dashboard_payload 파일 참조</t>
        </is>
      </c>
    </row>
    <row r="48" ht="24" customHeight="1">
      <c r="A48" s="29" t="inlineStr">
        <is>
          <t>주가 요약</t>
        </is>
      </c>
      <c r="B48" s="29" t="inlineStr">
        <is>
          <t>first_close</t>
        </is>
      </c>
      <c r="C48" s="31" t="n">
        <v>172900</v>
      </c>
      <c r="D48" s="29" t="inlineStr">
        <is>
          <t>JSON 상세는 dashboard_payload 파일 참조</t>
        </is>
      </c>
    </row>
    <row r="49" ht="24" customHeight="1">
      <c r="A49" s="24" t="inlineStr">
        <is>
          <t>주가 요약</t>
        </is>
      </c>
      <c r="B49" s="24" t="inlineStr">
        <is>
          <t>return_total</t>
        </is>
      </c>
      <c r="C49" s="30" t="n">
        <v>0.587622903412377</v>
      </c>
      <c r="D49" s="24" t="inlineStr">
        <is>
          <t>JSON 상세는 dashboard_payload 파일 참조</t>
        </is>
      </c>
    </row>
    <row r="50" ht="24" customHeight="1">
      <c r="A50" s="29" t="inlineStr">
        <is>
          <t>주가 요약</t>
        </is>
      </c>
      <c r="B50" s="29" t="inlineStr">
        <is>
          <t>1년 수익률</t>
        </is>
      </c>
      <c r="C50" s="31" t="n">
        <v>1.877358490566038</v>
      </c>
      <c r="D50" s="29" t="inlineStr">
        <is>
          <t>JSON 상세는 dashboard_payload 파일 참조</t>
        </is>
      </c>
    </row>
    <row r="51" ht="24" customHeight="1">
      <c r="A51" s="24" t="inlineStr">
        <is>
          <t>주가 요약</t>
        </is>
      </c>
      <c r="B51" s="24" t="inlineStr">
        <is>
          <t>연환산 변동성</t>
        </is>
      </c>
      <c r="C51" s="30" t="n">
        <v>0.5065281396657912</v>
      </c>
      <c r="D51" s="24" t="inlineStr">
        <is>
          <t>JSON 상세는 dashboard_payload 파일 참조</t>
        </is>
      </c>
    </row>
    <row r="52" ht="24" customHeight="1">
      <c r="A52" s="29" t="inlineStr">
        <is>
          <t>주가 요약</t>
        </is>
      </c>
      <c r="B52" s="29" t="inlineStr">
        <is>
          <t>MDD</t>
        </is>
      </c>
      <c r="C52" s="31" t="n">
        <v>-0.6708922476840565</v>
      </c>
      <c r="D52" s="29" t="inlineStr">
        <is>
          <t>JSON 상세는 dashboard_payload 파일 참조</t>
        </is>
      </c>
    </row>
    <row r="53" ht="24" customHeight="1">
      <c r="A53" s="24" t="inlineStr">
        <is>
          <t>주가 요약</t>
        </is>
      </c>
      <c r="B53" s="24" t="inlineStr">
        <is>
          <t>52주 고가</t>
        </is>
      </c>
      <c r="C53" s="30" t="n">
        <v>348500</v>
      </c>
      <c r="D53" s="24" t="inlineStr">
        <is>
          <t>JSON 상세는 dashboard_payload 파일 참조</t>
        </is>
      </c>
    </row>
    <row r="54" ht="24" customHeight="1">
      <c r="A54" s="29" t="inlineStr">
        <is>
          <t>주가 요약</t>
        </is>
      </c>
      <c r="B54" s="29" t="inlineStr">
        <is>
          <t>52주 저가</t>
        </is>
      </c>
      <c r="C54" s="31" t="n">
        <v>85000</v>
      </c>
      <c r="D54" s="29" t="inlineStr">
        <is>
          <t>JSON 상세는 dashboard_payload 파일 참조</t>
        </is>
      </c>
    </row>
    <row r="55" ht="24" customHeight="1">
      <c r="A55" s="24" t="inlineStr">
        <is>
          <t>주가 요약</t>
        </is>
      </c>
      <c r="B55" s="24" t="inlineStr">
        <is>
          <t>발행주식 수</t>
        </is>
      </c>
      <c r="C55" s="30" t="n">
        <v>11179416</v>
      </c>
      <c r="D55" s="24" t="inlineStr">
        <is>
          <t>JSON 상세는 dashboard_payload 파일 참조</t>
        </is>
      </c>
    </row>
    <row r="56" ht="24" customHeight="1">
      <c r="A56" s="29" t="inlineStr">
        <is>
          <t>주가 요약</t>
        </is>
      </c>
      <c r="B56" s="29" t="inlineStr">
        <is>
          <t>시가총액</t>
        </is>
      </c>
      <c r="C56" s="31" t="n">
        <v>3068749692000</v>
      </c>
      <c r="D56" s="29" t="inlineStr">
        <is>
          <t>JSON 상세는 dashboard_payload 파일 참조</t>
        </is>
      </c>
    </row>
    <row r="57" ht="24" customHeight="1">
      <c r="A57" s="24" t="inlineStr">
        <is>
          <t>주가 요약</t>
        </is>
      </c>
      <c r="B57" s="24" t="inlineStr">
        <is>
          <t>최근 거래량</t>
        </is>
      </c>
      <c r="C57" s="30" t="n">
        <v>45429</v>
      </c>
      <c r="D57" s="24" t="inlineStr">
        <is>
          <t>JSON 상세는 dashboard_payload 파일 참조</t>
        </is>
      </c>
    </row>
    <row r="58" ht="24" customHeight="1">
      <c r="A58" s="29" t="inlineStr">
        <is>
          <t>주가 요약</t>
        </is>
      </c>
      <c r="B58" s="29" t="inlineStr">
        <is>
          <t>최근 거래대금</t>
        </is>
      </c>
      <c r="C58" s="31" t="n">
        <v>12470260500</v>
      </c>
      <c r="D58" s="29" t="inlineStr">
        <is>
          <t>JSON 상세는 dashboard_payload 파일 참조</t>
        </is>
      </c>
    </row>
    <row r="59" ht="24" customHeight="1">
      <c r="A59" s="24" t="inlineStr">
        <is>
          <t>주가 요약</t>
        </is>
      </c>
      <c r="B59" s="24" t="inlineStr">
        <is>
          <t>20일 평균 거래대금</t>
        </is>
      </c>
      <c r="C59" s="30" t="n">
        <v>22623238225</v>
      </c>
      <c r="D59" s="24" t="inlineStr">
        <is>
          <t>JSON 상세는 dashboard_payload 파일 참조</t>
        </is>
      </c>
    </row>
    <row r="60" ht="24" customHeight="1">
      <c r="A60" s="29" t="inlineStr">
        <is>
          <t>주가 요약</t>
        </is>
      </c>
      <c r="B60" s="29" t="inlineStr">
        <is>
          <t>20일 평균 거래량</t>
        </is>
      </c>
      <c r="C60" s="31" t="n">
        <v>74262.05</v>
      </c>
      <c r="D60" s="29" t="inlineStr">
        <is>
          <t>JSON 상세는 dashboard_payload 파일 참조</t>
        </is>
      </c>
    </row>
    <row r="61" ht="24" customHeight="1">
      <c r="A61" s="24" t="inlineStr">
        <is>
          <t>주가 요약</t>
        </is>
      </c>
      <c r="B61" s="24" t="inlineStr">
        <is>
          <t>최근 거래회전율</t>
        </is>
      </c>
      <c r="C61" s="30" t="n">
        <v>0.004063629084023709</v>
      </c>
      <c r="D61" s="24" t="inlineStr">
        <is>
          <t>JSON 상세는 dashboard_payload 파일 참조</t>
        </is>
      </c>
    </row>
    <row r="62" ht="24" customHeight="1">
      <c r="A62" s="29" t="inlineStr">
        <is>
          <t>주가 요약</t>
        </is>
      </c>
      <c r="B62" s="29" t="inlineStr">
        <is>
          <t>20일 평균 거래회전율</t>
        </is>
      </c>
      <c r="C62" s="31" t="n">
        <v>0.006642748601536968</v>
      </c>
      <c r="D62" s="29" t="inlineStr">
        <is>
          <t>JSON 상세는 dashboard_payload 파일 참조</t>
        </is>
      </c>
    </row>
    <row r="63" ht="24" customHeight="1">
      <c r="A63" s="24" t="inlineStr">
        <is>
          <t>주가 요약</t>
        </is>
      </c>
      <c r="B63" s="24" t="inlineStr">
        <is>
          <t>price_rows</t>
        </is>
      </c>
      <c r="C63" s="30" t="n">
        <v>1220</v>
      </c>
      <c r="D63" s="24" t="inlineStr">
        <is>
          <t>JSON 상세는 dashboard_payload 파일 참조</t>
        </is>
      </c>
    </row>
    <row r="64" ht="24" customHeight="1">
      <c r="A64" s="29" t="inlineStr">
        <is>
          <t>주가 요약</t>
        </is>
      </c>
      <c r="B64" s="29" t="inlineStr">
        <is>
          <t>price_start</t>
        </is>
      </c>
      <c r="C64" s="29" t="inlineStr">
        <is>
          <t>2021-05-20</t>
        </is>
      </c>
      <c r="D64" s="29" t="inlineStr">
        <is>
          <t>JSON 상세는 dashboard_payload 파일 참조</t>
        </is>
      </c>
    </row>
    <row r="65" ht="24" customHeight="1">
      <c r="A65" s="24" t="inlineStr">
        <is>
          <t>WACC</t>
        </is>
      </c>
      <c r="B65" s="24" t="inlineStr">
        <is>
          <t>상위 블록</t>
        </is>
      </c>
      <c r="C65" s="24" t="inlineStr">
        <is>
          <t>14개 항목</t>
        </is>
      </c>
      <c r="D65" s="24" t="inlineStr">
        <is>
          <t>대시보드에서 객체로 사용</t>
        </is>
      </c>
    </row>
    <row r="66" ht="24" customHeight="1">
      <c r="A66" s="29" t="inlineStr">
        <is>
          <t>WACC</t>
        </is>
      </c>
      <c r="B66" s="29" t="inlineStr">
        <is>
          <t>risk_free_rate</t>
        </is>
      </c>
      <c r="C66" s="31" t="n">
        <v>0.035</v>
      </c>
      <c r="D66" s="29" t="inlineStr">
        <is>
          <t>JSON 상세는 dashboard_payload 파일 참조</t>
        </is>
      </c>
    </row>
    <row r="67" ht="24" customHeight="1">
      <c r="A67" s="24" t="inlineStr">
        <is>
          <t>WACC</t>
        </is>
      </c>
      <c r="B67" s="24" t="inlineStr">
        <is>
          <t>market_risk_premium</t>
        </is>
      </c>
      <c r="C67" s="30" t="n">
        <v>0.06</v>
      </c>
      <c r="D67" s="24" t="inlineStr">
        <is>
          <t>JSON 상세는 dashboard_payload 파일 참조</t>
        </is>
      </c>
    </row>
    <row r="68" ht="24" customHeight="1">
      <c r="A68" s="29" t="inlineStr">
        <is>
          <t>WACC</t>
        </is>
      </c>
      <c r="B68" s="29" t="inlineStr">
        <is>
          <t>beta</t>
        </is>
      </c>
      <c r="C68" s="31" t="n">
        <v>1.8</v>
      </c>
      <c r="D68" s="29" t="inlineStr">
        <is>
          <t>JSON 상세는 dashboard_payload 파일 참조</t>
        </is>
      </c>
    </row>
    <row r="69" ht="24" customHeight="1">
      <c r="A69" s="24" t="inlineStr">
        <is>
          <t>WACC</t>
        </is>
      </c>
      <c r="B69" s="24" t="inlineStr">
        <is>
          <t>cost_of_equity</t>
        </is>
      </c>
      <c r="C69" s="30" t="n">
        <v>0.143</v>
      </c>
      <c r="D69" s="24" t="inlineStr">
        <is>
          <t>JSON 상세는 dashboard_payload 파일 참조</t>
        </is>
      </c>
    </row>
    <row r="70" ht="24" customHeight="1">
      <c r="A70" s="29" t="inlineStr">
        <is>
          <t>WACC</t>
        </is>
      </c>
      <c r="B70" s="29" t="inlineStr">
        <is>
          <t>pre_tax_cost_of_debt</t>
        </is>
      </c>
      <c r="C70" s="31" t="n">
        <v>0.055</v>
      </c>
      <c r="D70" s="29" t="inlineStr">
        <is>
          <t>JSON 상세는 dashboard_payload 파일 참조</t>
        </is>
      </c>
    </row>
    <row r="71" ht="24" customHeight="1">
      <c r="A71" s="24" t="inlineStr">
        <is>
          <t>WACC</t>
        </is>
      </c>
      <c r="B71" s="24" t="inlineStr">
        <is>
          <t>tax_rate</t>
        </is>
      </c>
      <c r="C71" s="30" t="n">
        <v>0.24</v>
      </c>
      <c r="D71" s="24" t="inlineStr">
        <is>
          <t>JSON 상세는 dashboard_payload 파일 참조</t>
        </is>
      </c>
    </row>
    <row r="72" ht="24" customHeight="1">
      <c r="A72" s="29" t="inlineStr">
        <is>
          <t>WACC</t>
        </is>
      </c>
      <c r="B72" s="29" t="inlineStr">
        <is>
          <t>after_tax_cost_of_debt</t>
        </is>
      </c>
      <c r="C72" s="31" t="n">
        <v>0.0418</v>
      </c>
      <c r="D72" s="29" t="inlineStr">
        <is>
          <t>JSON 상세는 dashboard_payload 파일 참조</t>
        </is>
      </c>
    </row>
    <row r="73" ht="24" customHeight="1">
      <c r="A73" s="24" t="inlineStr">
        <is>
          <t>WACC</t>
        </is>
      </c>
      <c r="B73" s="24" t="inlineStr">
        <is>
          <t>debt_weight</t>
        </is>
      </c>
      <c r="C73" s="30" t="n">
        <v>0.01549976901709197</v>
      </c>
      <c r="D73" s="24" t="inlineStr">
        <is>
          <t>JSON 상세는 dashboard_payload 파일 참조</t>
        </is>
      </c>
    </row>
    <row r="74" ht="24" customHeight="1">
      <c r="A74" s="29" t="inlineStr">
        <is>
          <t>WACC</t>
        </is>
      </c>
      <c r="B74" s="29" t="inlineStr">
        <is>
          <t>equity_weight</t>
        </is>
      </c>
      <c r="C74" s="31" t="n">
        <v>0.9845002309829081</v>
      </c>
      <c r="D74" s="29" t="inlineStr">
        <is>
          <t>JSON 상세는 dashboard_payload 파일 참조</t>
        </is>
      </c>
    </row>
    <row r="75" ht="24" customHeight="1">
      <c r="A75" s="24" t="inlineStr">
        <is>
          <t>WACC</t>
        </is>
      </c>
      <c r="B75" s="24" t="inlineStr">
        <is>
          <t>book_equity</t>
        </is>
      </c>
      <c r="C75" s="30" t="n">
        <v>519302794390</v>
      </c>
      <c r="D75" s="24" t="inlineStr">
        <is>
          <t>JSON 상세는 dashboard_payload 파일 참조</t>
        </is>
      </c>
    </row>
    <row r="76" ht="24" customHeight="1">
      <c r="A76" s="29" t="inlineStr">
        <is>
          <t>WACC</t>
        </is>
      </c>
      <c r="B76" s="29" t="inlineStr">
        <is>
          <t>market_cap_used_for_equity_weight</t>
        </is>
      </c>
      <c r="C76" s="31" t="n">
        <v>3068749692000</v>
      </c>
      <c r="D76" s="29" t="inlineStr">
        <is>
          <t>JSON 상세는 dashboard_payload 파일 참조</t>
        </is>
      </c>
    </row>
    <row r="77" ht="24" customHeight="1">
      <c r="A77" s="24" t="inlineStr">
        <is>
          <t>WACC</t>
        </is>
      </c>
      <c r="B77" s="24" t="inlineStr">
        <is>
          <t>debt_proxy_liabilities</t>
        </is>
      </c>
      <c r="C77" s="30" t="n">
        <v>48313763573</v>
      </c>
      <c r="D77" s="24" t="inlineStr">
        <is>
          <t>JSON 상세는 dashboard_payload 파일 참조</t>
        </is>
      </c>
    </row>
    <row r="78" ht="24" customHeight="1">
      <c r="A78" s="29" t="inlineStr">
        <is>
          <t>WACC</t>
        </is>
      </c>
      <c r="B78" s="29" t="inlineStr">
        <is>
          <t>WACC</t>
        </is>
      </c>
      <c r="C78" s="31" t="n">
        <v>0.1414314233754703</v>
      </c>
      <c r="D78" s="29" t="inlineStr">
        <is>
          <t>JSON 상세는 dashboard_payload 파일 참조</t>
        </is>
      </c>
    </row>
    <row r="79" ht="24" customHeight="1">
      <c r="A79" s="24" t="inlineStr">
        <is>
          <t>WACC</t>
        </is>
      </c>
      <c r="B79" s="24" t="inlineStr">
        <is>
          <t>weighting_note</t>
        </is>
      </c>
      <c r="C79" s="24" t="inlineStr">
        <is>
          <t>Uses market cap when share-count intake is available; otherwise uses book equity.</t>
        </is>
      </c>
      <c r="D79" s="24" t="inlineStr">
        <is>
          <t>JSON 상세는 dashboard_payload 파일 참조</t>
        </is>
      </c>
    </row>
    <row r="80" ht="24" customHeight="1">
      <c r="A80" s="29" t="inlineStr">
        <is>
          <t>dcf</t>
        </is>
      </c>
      <c r="B80" s="29" t="inlineStr">
        <is>
          <t>상위 블록</t>
        </is>
      </c>
      <c r="C80" s="29" t="inlineStr">
        <is>
          <t>23개 항목</t>
        </is>
      </c>
      <c r="D80" s="29" t="inlineStr">
        <is>
          <t>대시보드에서 객체로 사용</t>
        </is>
      </c>
    </row>
    <row r="81" ht="24" customHeight="1">
      <c r="A81" s="24" t="inlineStr">
        <is>
          <t>dcf</t>
        </is>
      </c>
      <c r="B81" s="24" t="inlineStr">
        <is>
          <t>상태</t>
        </is>
      </c>
      <c r="C81" s="24" t="inlineStr">
        <is>
          <t>OK</t>
        </is>
      </c>
      <c r="D81" s="24" t="inlineStr">
        <is>
          <t>JSON 상세는 dashboard_payload 파일 참조</t>
        </is>
      </c>
    </row>
    <row r="82" ht="24" customHeight="1">
      <c r="A82" s="29" t="inlineStr">
        <is>
          <t>dcf</t>
        </is>
      </c>
      <c r="B82" s="29" t="inlineStr">
        <is>
          <t>base_year</t>
        </is>
      </c>
      <c r="C82" s="31" t="n">
        <v>2025</v>
      </c>
      <c r="D82" s="29" t="inlineStr">
        <is>
          <t>JSON 상세는 dashboard_payload 파일 참조</t>
        </is>
      </c>
    </row>
    <row r="83" ht="24" customHeight="1">
      <c r="A83" s="24" t="inlineStr">
        <is>
          <t>dcf</t>
        </is>
      </c>
      <c r="B83" s="24" t="inlineStr">
        <is>
          <t>base_revenue</t>
        </is>
      </c>
      <c r="C83" s="30" t="n">
        <v>301334302844</v>
      </c>
      <c r="D83" s="24" t="inlineStr">
        <is>
          <t>JSON 상세는 dashboard_payload 파일 참조</t>
        </is>
      </c>
    </row>
    <row r="84" ht="24" customHeight="1">
      <c r="A84" s="29" t="inlineStr">
        <is>
          <t>dcf</t>
        </is>
      </c>
      <c r="B84" s="29" t="inlineStr">
        <is>
          <t>historical_revenue_cagr</t>
        </is>
      </c>
      <c r="C84" s="31" t="n">
        <v>0.02710154694072875</v>
      </c>
      <c r="D84" s="29" t="inlineStr">
        <is>
          <t>JSON 상세는 dashboard_payload 파일 참조</t>
        </is>
      </c>
    </row>
    <row r="85" ht="24" customHeight="1">
      <c r="A85" s="24" t="inlineStr">
        <is>
          <t>dcf</t>
        </is>
      </c>
      <c r="B85" s="24" t="inlineStr">
        <is>
          <t>assumed_revenue_growth</t>
        </is>
      </c>
      <c r="C85" s="30" t="n">
        <v>0.006215603284031997</v>
      </c>
      <c r="D85" s="24" t="inlineStr">
        <is>
          <t>JSON 상세는 dashboard_payload 파일 참조</t>
        </is>
      </c>
    </row>
    <row r="86" ht="24" customHeight="1">
      <c r="A86" s="29" t="inlineStr">
        <is>
          <t>dcf</t>
        </is>
      </c>
      <c r="B86" s="29" t="inlineStr">
        <is>
          <t>assumed_op_margin</t>
        </is>
      </c>
      <c r="C86" s="31" t="n">
        <v>0.2783862260992843</v>
      </c>
      <c r="D86" s="29" t="inlineStr">
        <is>
          <t>JSON 상세는 dashboard_payload 파일 참조</t>
        </is>
      </c>
    </row>
    <row r="87" ht="24" customHeight="1">
      <c r="A87" s="24" t="inlineStr">
        <is>
          <t>dcf</t>
        </is>
      </c>
      <c r="B87" s="24" t="inlineStr">
        <is>
          <t>assumed_fcf_margin</t>
        </is>
      </c>
      <c r="C87" s="30" t="n">
        <v>0.1793124151906839</v>
      </c>
      <c r="D87" s="24" t="inlineStr">
        <is>
          <t>JSON 상세는 dashboard_payload 파일 참조</t>
        </is>
      </c>
    </row>
    <row r="88" ht="24" customHeight="1">
      <c r="A88" s="29" t="inlineStr">
        <is>
          <t>dcf</t>
        </is>
      </c>
      <c r="B88" s="29" t="inlineStr">
        <is>
          <t>WACC</t>
        </is>
      </c>
      <c r="C88" s="31" t="n">
        <v>0.1414314233754703</v>
      </c>
      <c r="D88" s="29" t="inlineStr">
        <is>
          <t>JSON 상세는 dashboard_payload 파일 참조</t>
        </is>
      </c>
    </row>
    <row r="89" ht="24" customHeight="1">
      <c r="A89" s="24" t="inlineStr">
        <is>
          <t>dcf</t>
        </is>
      </c>
      <c r="B89" s="24" t="inlineStr">
        <is>
          <t>terminal_growth_rate</t>
        </is>
      </c>
      <c r="C89" s="30" t="n">
        <v>0.015</v>
      </c>
      <c r="D89" s="24" t="inlineStr">
        <is>
          <t>JSON 상세는 dashboard_payload 파일 참조</t>
        </is>
      </c>
    </row>
    <row r="90" ht="24" customHeight="1">
      <c r="A90" s="29" t="inlineStr">
        <is>
          <t>dcf</t>
        </is>
      </c>
      <c r="B90" s="29" t="inlineStr">
        <is>
          <t>projection_years</t>
        </is>
      </c>
      <c r="C90" s="31" t="n">
        <v>5</v>
      </c>
      <c r="D90" s="29" t="inlineStr">
        <is>
          <t>JSON 상세는 dashboard_payload 파일 참조</t>
        </is>
      </c>
    </row>
    <row r="91" ht="24" customHeight="1">
      <c r="A91" s="24" t="inlineStr">
        <is>
          <t>dcf</t>
        </is>
      </c>
      <c r="B91" s="24" t="inlineStr">
        <is>
          <t>FCF 현재가치</t>
        </is>
      </c>
      <c r="C91" s="30" t="n">
        <v>190059151231.5157</v>
      </c>
      <c r="D91" s="24" t="inlineStr">
        <is>
          <t>JSON 상세는 dashboard_payload 파일 참조</t>
        </is>
      </c>
    </row>
    <row r="92" ht="24" customHeight="1">
      <c r="A92" s="29" t="inlineStr">
        <is>
          <t>dcf</t>
        </is>
      </c>
      <c r="B92" s="29" t="inlineStr">
        <is>
          <t>terminal_value</t>
        </is>
      </c>
      <c r="C92" s="31" t="n">
        <v>459264942632.6345</v>
      </c>
      <c r="D92" s="29" t="inlineStr">
        <is>
          <t>JSON 상세는 dashboard_payload 파일 참조</t>
        </is>
      </c>
    </row>
    <row r="93" ht="24" customHeight="1">
      <c r="A93" s="24" t="inlineStr">
        <is>
          <t>dcf</t>
        </is>
      </c>
      <c r="B93" s="24" t="inlineStr">
        <is>
          <t>Terminal 현재가치</t>
        </is>
      </c>
      <c r="C93" s="30" t="n">
        <v>237035925519.2762</v>
      </c>
      <c r="D93" s="24" t="inlineStr">
        <is>
          <t>JSON 상세는 dashboard_payload 파일 참조</t>
        </is>
      </c>
    </row>
    <row r="94" ht="24" customHeight="1">
      <c r="A94" s="29" t="inlineStr">
        <is>
          <t>dcf</t>
        </is>
      </c>
      <c r="B94" s="29" t="inlineStr">
        <is>
          <t>기업가치(EV)</t>
        </is>
      </c>
      <c r="C94" s="31" t="n">
        <v>427095076750.7919</v>
      </c>
      <c r="D94" s="29" t="inlineStr">
        <is>
          <t>JSON 상세는 dashboard_payload 파일 참조</t>
        </is>
      </c>
    </row>
    <row r="95" ht="24" customHeight="1">
      <c r="A95" s="24" t="inlineStr">
        <is>
          <t>dcf</t>
        </is>
      </c>
      <c r="B95" s="24" t="inlineStr">
        <is>
          <t>현금성자산</t>
        </is>
      </c>
      <c r="C95" s="30" t="n">
        <v>7957313966</v>
      </c>
      <c r="D95" s="24" t="inlineStr">
        <is>
          <t>JSON 상세는 dashboard_payload 파일 참조</t>
        </is>
      </c>
    </row>
    <row r="96" ht="24" customHeight="1">
      <c r="A96" s="29" t="inlineStr">
        <is>
          <t>dcf</t>
        </is>
      </c>
      <c r="B96" s="29" t="inlineStr">
        <is>
          <t>debt_proxy_liabilities</t>
        </is>
      </c>
      <c r="C96" s="31" t="n">
        <v>48313763573</v>
      </c>
      <c r="D96" s="29" t="inlineStr">
        <is>
          <t>JSON 상세는 dashboard_payload 파일 참조</t>
        </is>
      </c>
    </row>
    <row r="97" ht="24" customHeight="1">
      <c r="A97" s="24" t="inlineStr">
        <is>
          <t>dcf</t>
        </is>
      </c>
      <c r="B97" s="24" t="inlineStr">
        <is>
          <t>equity_value</t>
        </is>
      </c>
      <c r="C97" s="30" t="n">
        <v>386738627143.7919</v>
      </c>
      <c r="D97" s="24" t="inlineStr">
        <is>
          <t>JSON 상세는 dashboard_payload 파일 참조</t>
        </is>
      </c>
    </row>
    <row r="98" ht="24" customHeight="1">
      <c r="A98" s="29" t="inlineStr">
        <is>
          <t>dcf</t>
        </is>
      </c>
      <c r="B98" s="29" t="inlineStr">
        <is>
          <t>발행주식 수</t>
        </is>
      </c>
      <c r="C98" s="31" t="n">
        <v>11179416</v>
      </c>
      <c r="D98" s="29" t="inlineStr">
        <is>
          <t>JSON 상세는 dashboard_payload 파일 참조</t>
        </is>
      </c>
    </row>
    <row r="99" ht="24" customHeight="1">
      <c r="A99" s="24" t="inlineStr">
        <is>
          <t>chart_series</t>
        </is>
      </c>
      <c r="B99" s="24" t="inlineStr">
        <is>
          <t>상위 블록</t>
        </is>
      </c>
      <c r="C99" s="24" t="inlineStr">
        <is>
          <t>5개 항목</t>
        </is>
      </c>
      <c r="D99" s="24" t="inlineStr">
        <is>
          <t>대시보드에서 객체로 사용</t>
        </is>
      </c>
    </row>
    <row r="100" ht="24" customHeight="1">
      <c r="A100" s="29" t="inlineStr">
        <is>
          <t>chart_series</t>
        </is>
      </c>
      <c r="B100" s="29" t="inlineStr">
        <is>
          <t>historical_financials</t>
        </is>
      </c>
      <c r="C100" s="29" t="inlineStr">
        <is>
          <t>5개 행</t>
        </is>
      </c>
      <c r="D100" s="29" t="inlineStr">
        <is>
          <t>JSON 상세는 dashboard_payload 파일 참조</t>
        </is>
      </c>
    </row>
    <row r="101" ht="24" customHeight="1">
      <c r="A101" s="24" t="inlineStr">
        <is>
          <t>chart_series</t>
        </is>
      </c>
      <c r="B101" s="24" t="inlineStr">
        <is>
          <t>price_history</t>
        </is>
      </c>
      <c r="C101" s="24" t="inlineStr">
        <is>
          <t>260개 행</t>
        </is>
      </c>
      <c r="D101" s="24" t="inlineStr">
        <is>
          <t>JSON 상세는 dashboard_payload 파일 참조</t>
        </is>
      </c>
    </row>
    <row r="102" ht="24" customHeight="1">
      <c r="A102" s="29" t="inlineStr">
        <is>
          <t>chart_series</t>
        </is>
      </c>
      <c r="B102" s="29" t="inlineStr">
        <is>
          <t>fcf_projection</t>
        </is>
      </c>
      <c r="C102" s="29" t="inlineStr">
        <is>
          <t>5개 행</t>
        </is>
      </c>
      <c r="D102" s="29" t="inlineStr">
        <is>
          <t>JSON 상세는 dashboard_payload 파일 참조</t>
        </is>
      </c>
    </row>
    <row r="103" ht="24" customHeight="1">
      <c r="A103" s="24" t="inlineStr">
        <is>
          <t>chart_series</t>
        </is>
      </c>
      <c r="B103" s="24" t="inlineStr">
        <is>
          <t>peer_multiples</t>
        </is>
      </c>
      <c r="C103" s="24" t="inlineStr">
        <is>
          <t>5개 행</t>
        </is>
      </c>
      <c r="D103" s="24" t="inlineStr">
        <is>
          <t>JSON 상세는 dashboard_payload 파일 참조</t>
        </is>
      </c>
    </row>
    <row r="104" ht="24" customHeight="1">
      <c r="A104" s="29" t="inlineStr">
        <is>
          <t>chart_series</t>
        </is>
      </c>
      <c r="B104" s="29" t="inlineStr">
        <is>
          <t>reference_universe_focus</t>
        </is>
      </c>
      <c r="C104" s="29" t="inlineStr">
        <is>
          <t>40개 행</t>
        </is>
      </c>
      <c r="D104" s="29" t="inlineStr">
        <is>
          <t>JSON 상세는 dashboard_payload 파일 참조</t>
        </is>
      </c>
    </row>
    <row r="105" ht="24" customHeight="1">
      <c r="A105" s="24" t="inlineStr">
        <is>
          <t>peer_comps</t>
        </is>
      </c>
      <c r="B105" s="24" t="inlineStr">
        <is>
          <t>상위 블록</t>
        </is>
      </c>
      <c r="C105" s="24" t="inlineStr">
        <is>
          <t>23개 항목</t>
        </is>
      </c>
      <c r="D105" s="24" t="inlineStr">
        <is>
          <t>대시보드에서 객체로 사용</t>
        </is>
      </c>
    </row>
    <row r="106" ht="24" customHeight="1">
      <c r="A106" s="29" t="inlineStr">
        <is>
          <t>peer_comps</t>
        </is>
      </c>
      <c r="B106" s="29" t="inlineStr">
        <is>
          <t>peer_rows</t>
        </is>
      </c>
      <c r="C106" s="29" t="inlineStr">
        <is>
          <t>5개 행</t>
        </is>
      </c>
      <c r="D106" s="29" t="inlineStr">
        <is>
          <t>JSON 상세는 dashboard_payload 파일 참조</t>
        </is>
      </c>
    </row>
    <row r="107" ht="24" customHeight="1">
      <c r="A107" s="24" t="inlineStr">
        <is>
          <t>peer_comps</t>
        </is>
      </c>
      <c r="B107" s="24" t="inlineStr">
        <is>
          <t>target_row</t>
        </is>
      </c>
      <c r="C107" s="24" t="inlineStr">
        <is>
          <t>35개 항목</t>
        </is>
      </c>
      <c r="D107" s="24" t="inlineStr">
        <is>
          <t>JSON 상세는 dashboard_payload 파일 참조</t>
        </is>
      </c>
    </row>
    <row r="108" ht="24" customHeight="1">
      <c r="A108" s="29" t="inlineStr">
        <is>
          <t>peer_comps</t>
        </is>
      </c>
      <c r="B108" s="29" t="inlineStr">
        <is>
          <t>target_company_key</t>
        </is>
      </c>
      <c r="C108" s="29" t="inlineStr">
        <is>
          <t>nepes</t>
        </is>
      </c>
      <c r="D108" s="29" t="inlineStr">
        <is>
          <t>JSON 상세는 dashboard_payload 파일 참조</t>
        </is>
      </c>
    </row>
    <row r="109" ht="24" customHeight="1">
      <c r="A109" s="24" t="inlineStr">
        <is>
          <t>peer_comps</t>
        </is>
      </c>
      <c r="B109" s="24" t="inlineStr">
        <is>
          <t>분석대상 P/S</t>
        </is>
      </c>
      <c r="C109" s="30" t="n">
        <v>1.238222113459768</v>
      </c>
      <c r="D109" s="24" t="inlineStr">
        <is>
          <t>JSON 상세는 dashboard_payload 파일 참조</t>
        </is>
      </c>
    </row>
    <row r="110" ht="24" customHeight="1">
      <c r="A110" s="29" t="inlineStr">
        <is>
          <t>peer_comps</t>
        </is>
      </c>
      <c r="B110" s="29" t="inlineStr">
        <is>
          <t>target_per</t>
        </is>
      </c>
      <c r="C110" s="31" t="n">
        <v>32.02854153811683</v>
      </c>
      <c r="D110" s="29" t="inlineStr">
        <is>
          <t>JSON 상세는 dashboard_payload 파일 참조</t>
        </is>
      </c>
    </row>
    <row r="111" ht="24" customHeight="1">
      <c r="A111" s="24" t="inlineStr">
        <is>
          <t>peer_comps</t>
        </is>
      </c>
      <c r="B111" s="24" t="inlineStr">
        <is>
          <t>target_pbr</t>
        </is>
      </c>
      <c r="C111" s="30" t="n">
        <v>2.630773454366699</v>
      </c>
      <c r="D111" s="24" t="inlineStr">
        <is>
          <t>JSON 상세는 dashboard_payload 파일 참조</t>
        </is>
      </c>
    </row>
    <row r="112" ht="24" customHeight="1">
      <c r="A112" s="29" t="inlineStr">
        <is>
          <t>peer_comps</t>
        </is>
      </c>
      <c r="B112" s="29" t="inlineStr">
        <is>
          <t>target_ev_sales</t>
        </is>
      </c>
      <c r="C112" s="31" t="n">
        <v>2.102701332447124</v>
      </c>
      <c r="D112" s="29" t="inlineStr">
        <is>
          <t>JSON 상세는 dashboard_payload 파일 참조</t>
        </is>
      </c>
    </row>
    <row r="113" ht="24" customHeight="1">
      <c r="A113" s="24" t="inlineStr">
        <is>
          <t>peer_comps</t>
        </is>
      </c>
      <c r="B113" s="24" t="inlineStr">
        <is>
          <t>target_market_cap</t>
        </is>
      </c>
      <c r="C113" s="30" t="n">
        <v>645657656000</v>
      </c>
      <c r="D113" s="24" t="inlineStr">
        <is>
          <t>JSON 상세는 dashboard_payload 파일 참조</t>
        </is>
      </c>
    </row>
    <row r="114" ht="24" customHeight="1">
      <c r="A114" s="29" t="inlineStr">
        <is>
          <t>peer_comps</t>
        </is>
      </c>
      <c r="B114" s="29" t="inlineStr">
        <is>
          <t>target_revenue</t>
        </is>
      </c>
      <c r="C114" s="31" t="n">
        <v>521439287008</v>
      </c>
      <c r="D114" s="29" t="inlineStr">
        <is>
          <t>JSON 상세는 dashboard_payload 파일 참조</t>
        </is>
      </c>
    </row>
    <row r="115" ht="24" customHeight="1">
      <c r="A115" s="24" t="inlineStr">
        <is>
          <t>peer_comps</t>
        </is>
      </c>
      <c r="B115" s="24" t="inlineStr">
        <is>
          <t>Peer P/S 중앙값</t>
        </is>
      </c>
      <c r="C115" s="30" t="n">
        <v>3.430171921382347</v>
      </c>
      <c r="D115" s="24" t="inlineStr">
        <is>
          <t>JSON 상세는 dashboard_payload 파일 참조</t>
        </is>
      </c>
    </row>
    <row r="116" ht="24" customHeight="1">
      <c r="A116" s="29" t="inlineStr">
        <is>
          <t>peer_comps</t>
        </is>
      </c>
      <c r="B116" s="29" t="inlineStr">
        <is>
          <t>median_per</t>
        </is>
      </c>
      <c r="C116" s="31" t="n">
        <v>23.92800455737098</v>
      </c>
      <c r="D116" s="29" t="inlineStr">
        <is>
          <t>JSON 상세는 dashboard_payload 파일 참조</t>
        </is>
      </c>
    </row>
    <row r="117" ht="24" customHeight="1">
      <c r="A117" s="24" t="inlineStr">
        <is>
          <t>peer_comps</t>
        </is>
      </c>
      <c r="B117" s="24" t="inlineStr">
        <is>
          <t>median_pbr</t>
        </is>
      </c>
      <c r="C117" s="30" t="n">
        <v>2.630773454366699</v>
      </c>
      <c r="D117" s="24" t="inlineStr">
        <is>
          <t>JSON 상세는 dashboard_payload 파일 참조</t>
        </is>
      </c>
    </row>
    <row r="118" ht="24" customHeight="1">
      <c r="A118" s="29" t="inlineStr">
        <is>
          <t>peer_comps</t>
        </is>
      </c>
      <c r="B118" s="29" t="inlineStr">
        <is>
          <t>median_ev_sales</t>
        </is>
      </c>
      <c r="C118" s="31" t="n">
        <v>3.908788059822088</v>
      </c>
      <c r="D118" s="29" t="inlineStr">
        <is>
          <t>JSON 상세는 dashboard_payload 파일 참조</t>
        </is>
      </c>
    </row>
    <row r="119" ht="24" customHeight="1">
      <c r="A119" s="24" t="inlineStr">
        <is>
          <t>peer_comps</t>
        </is>
      </c>
      <c r="B119" s="24" t="inlineStr">
        <is>
          <t>median_ev_ebit</t>
        </is>
      </c>
      <c r="C119" s="30" t="n">
        <v>22.11596214943776</v>
      </c>
      <c r="D119" s="24" t="inlineStr">
        <is>
          <t>JSON 상세는 dashboard_payload 파일 참조</t>
        </is>
      </c>
    </row>
    <row r="120" ht="24" customHeight="1">
      <c r="A120" s="29" t="inlineStr">
        <is>
          <t>peer_comps</t>
        </is>
      </c>
      <c r="B120" s="29" t="inlineStr">
        <is>
          <t>median_p_fcf</t>
        </is>
      </c>
      <c r="C120" s="31" t="n">
        <v>15.15574736921779</v>
      </c>
      <c r="D120" s="29" t="inlineStr">
        <is>
          <t>JSON 상세는 dashboard_payload 파일 참조</t>
        </is>
      </c>
    </row>
    <row r="121" ht="24" customHeight="1">
      <c r="A121" s="24" t="inlineStr">
        <is>
          <t>peer_comps</t>
        </is>
      </c>
      <c r="B121" s="24" t="inlineStr">
        <is>
          <t>median_op_margin</t>
        </is>
      </c>
      <c r="C121" s="30" t="n">
        <v>0.09546035142742029</v>
      </c>
      <c r="D121" s="24" t="inlineStr">
        <is>
          <t>JSON 상세는 dashboard_payload 파일 참조</t>
        </is>
      </c>
    </row>
    <row r="122" ht="24" customHeight="1">
      <c r="A122" s="29" t="inlineStr">
        <is>
          <t>peer_comps</t>
        </is>
      </c>
      <c r="B122" s="29" t="inlineStr">
        <is>
          <t>median_roe</t>
        </is>
      </c>
      <c r="C122" s="31" t="n">
        <v>0.0821384093070814</v>
      </c>
      <c r="D122" s="29" t="inlineStr">
        <is>
          <t>JSON 상세는 dashboard_payload 파일 참조</t>
        </is>
      </c>
    </row>
    <row r="123" ht="24" customHeight="1">
      <c r="A123" s="24" t="inlineStr">
        <is>
          <t>peer_comps</t>
        </is>
      </c>
      <c r="B123" s="24" t="inlineStr">
        <is>
          <t>P/S 중앙값 대비</t>
        </is>
      </c>
      <c r="C123" s="30" t="n">
        <v>-0.6390203926103014</v>
      </c>
      <c r="D123" s="24" t="inlineStr">
        <is>
          <t>JSON 상세는 dashboard_payload 파일 참조</t>
        </is>
      </c>
    </row>
    <row r="124" ht="24" customHeight="1">
      <c r="A124" s="29" t="inlineStr">
        <is>
          <t>reference_universe_summary</t>
        </is>
      </c>
      <c r="B124" s="29" t="inlineStr">
        <is>
          <t>상위 블록</t>
        </is>
      </c>
      <c r="C124" s="29" t="inlineStr">
        <is>
          <t>14개 항목</t>
        </is>
      </c>
      <c r="D124" s="29" t="inlineStr">
        <is>
          <t>대시보드에서 객체로 사용</t>
        </is>
      </c>
    </row>
    <row r="125" ht="24" customHeight="1">
      <c r="A125" s="24" t="inlineStr">
        <is>
          <t>reference_universe_summary</t>
        </is>
      </c>
      <c r="B125" s="24" t="inlineStr">
        <is>
          <t>상태</t>
        </is>
      </c>
      <c r="C125" s="24" t="inlineStr">
        <is>
          <t>OK</t>
        </is>
      </c>
      <c r="D125" s="24" t="inlineStr">
        <is>
          <t>JSON 상세는 dashboard_payload 파일 참조</t>
        </is>
      </c>
    </row>
    <row r="126" ht="24" customHeight="1">
      <c r="A126" s="29" t="inlineStr">
        <is>
          <t>reference_universe_summary</t>
        </is>
      </c>
      <c r="B126" s="29" t="inlineStr">
        <is>
          <t>created_at</t>
        </is>
      </c>
      <c r="C126" s="29" t="inlineStr">
        <is>
          <t>2026-05-20T13:41:36</t>
        </is>
      </c>
      <c r="D126" s="29" t="inlineStr">
        <is>
          <t>JSON 상세는 dashboard_payload 파일 참조</t>
        </is>
      </c>
    </row>
    <row r="127" ht="24" customHeight="1">
      <c r="A127" s="24" t="inlineStr">
        <is>
          <t>reference_universe_summary</t>
        </is>
      </c>
      <c r="B127" s="24" t="inlineStr">
        <is>
          <t>reference_universe_rows</t>
        </is>
      </c>
      <c r="C127" s="30" t="n">
        <v>208</v>
      </c>
      <c r="D127" s="24" t="inlineStr">
        <is>
          <t>JSON 상세는 dashboard_payload 파일 참조</t>
        </is>
      </c>
    </row>
    <row r="128" ht="24" customHeight="1">
      <c r="A128" s="29" t="inlineStr">
        <is>
          <t>reference_universe_summary</t>
        </is>
      </c>
      <c r="B128" s="29" t="inlineStr">
        <is>
          <t>focus_rows</t>
        </is>
      </c>
      <c r="C128" s="31" t="n">
        <v>40</v>
      </c>
      <c r="D128" s="29" t="inlineStr">
        <is>
          <t>JSON 상세는 dashboard_payload 파일 참조</t>
        </is>
      </c>
    </row>
    <row r="129" ht="24" customHeight="1">
      <c r="A129" s="24" t="inlineStr">
        <is>
          <t>reference_universe_summary</t>
        </is>
      </c>
      <c r="B129" s="24" t="inlineStr">
        <is>
          <t>focal_5_rows</t>
        </is>
      </c>
      <c r="C129" s="30" t="n">
        <v>5</v>
      </c>
      <c r="D129" s="24" t="inlineStr">
        <is>
          <t>JSON 상세는 dashboard_payload 파일 참조</t>
        </is>
      </c>
    </row>
    <row r="130" ht="24" customHeight="1">
      <c r="A130" s="29" t="inlineStr">
        <is>
          <t>reference_universe_summary</t>
        </is>
      </c>
      <c r="B130" s="29" t="inlineStr">
        <is>
          <t>target_company</t>
        </is>
      </c>
      <c r="C130" s="29" t="inlineStr">
        <is>
          <t>티씨케이</t>
        </is>
      </c>
      <c r="D130" s="29" t="inlineStr">
        <is>
          <t>JSON 상세는 dashboard_payload 파일 참조</t>
        </is>
      </c>
    </row>
    <row r="131" ht="24" customHeight="1">
      <c r="A131" s="24" t="inlineStr">
        <is>
          <t>reference_universe_summary</t>
        </is>
      </c>
      <c r="B131" s="24" t="inlineStr">
        <is>
          <t>target_peer_group</t>
        </is>
      </c>
      <c r="C131" s="24" t="inlineStr">
        <is>
          <t>소재</t>
        </is>
      </c>
      <c r="D131" s="24" t="inlineStr">
        <is>
          <t>JSON 상세는 dashboard_payload 파일 참조</t>
        </is>
      </c>
    </row>
    <row r="132" ht="24" customHeight="1">
      <c r="A132" s="29" t="inlineStr">
        <is>
          <t>reference_universe_summary</t>
        </is>
      </c>
      <c r="B132" s="29" t="inlineStr">
        <is>
          <t>target_peer_group_size</t>
        </is>
      </c>
      <c r="C132" s="31" t="n">
        <v>26</v>
      </c>
      <c r="D132" s="29" t="inlineStr">
        <is>
          <t>JSON 상세는 dashboard_payload 파일 참조</t>
        </is>
      </c>
    </row>
    <row r="133" ht="24" customHeight="1">
      <c r="A133" s="24" t="inlineStr">
        <is>
          <t>reference_universe_summary</t>
        </is>
      </c>
      <c r="B133" s="24" t="inlineStr">
        <is>
          <t>attractive_rows</t>
        </is>
      </c>
      <c r="C133" s="30" t="n">
        <v>43</v>
      </c>
      <c r="D133" s="24" t="inlineStr">
        <is>
          <t>JSON 상세는 dashboard_payload 파일 참조</t>
        </is>
      </c>
    </row>
    <row r="134" ht="24" customHeight="1">
      <c r="A134" s="29" t="inlineStr">
        <is>
          <t>reference_universe_summary</t>
        </is>
      </c>
      <c r="B134" s="29" t="inlineStr">
        <is>
          <t>high_risk_rows</t>
        </is>
      </c>
      <c r="C134" s="31" t="n">
        <v>67</v>
      </c>
      <c r="D134" s="29" t="inlineStr">
        <is>
          <t>JSON 상세는 dashboard_payload 파일 참조</t>
        </is>
      </c>
    </row>
    <row r="135" ht="24" customHeight="1">
      <c r="A135" s="24" t="inlineStr">
        <is>
          <t>reference_universe_summary</t>
        </is>
      </c>
      <c r="B135" s="24" t="inlineStr">
        <is>
          <t>target_reference_row</t>
        </is>
      </c>
      <c r="C135" s="24" t="inlineStr">
        <is>
          <t>32개 항목</t>
        </is>
      </c>
      <c r="D135" s="24" t="inlineStr">
        <is>
          <t>JSON 상세는 dashboard_payload 파일 참조</t>
        </is>
      </c>
    </row>
    <row r="136" ht="24" customHeight="1">
      <c r="A136" s="29" t="inlineStr">
        <is>
          <t>reference_universe_summary</t>
        </is>
      </c>
      <c r="B136" s="29" t="inlineStr">
        <is>
          <t>비고</t>
        </is>
      </c>
      <c r="C136" s="29" t="inlineStr">
        <is>
          <t>Valuation Agent는 live DCF/PSR 산출과 별도로 208개 반도체 universe의 proxy score를 활용해 상대 위치를 보조 판단합니다.</t>
        </is>
      </c>
      <c r="D136" s="29" t="inlineStr">
        <is>
          <t>JSON 상세는 dashboard_payload 파일 참조</t>
        </is>
      </c>
    </row>
    <row r="137" ht="24" customHeight="1">
      <c r="A137" s="24" t="inlineStr">
        <is>
          <t>reference_universe_summary</t>
        </is>
      </c>
      <c r="B137" s="24" t="inlineStr">
        <is>
          <t>source_path</t>
        </is>
      </c>
      <c r="C137" s="24" t="inlineStr">
        <is>
          <t>data/반도체/_sector_common/ml_universe/valuation_credit_ml_overlay_candidate.csv</t>
        </is>
      </c>
      <c r="D137" s="24" t="inlineStr">
        <is>
          <t>JSON 상세는 dashboard_payload 파일 참조</t>
        </is>
      </c>
    </row>
    <row r="138" ht="24" customHeight="1">
      <c r="A138" s="29" t="inlineStr">
        <is>
          <t>reference_universe_summary</t>
        </is>
      </c>
      <c r="B138" s="29" t="inlineStr">
        <is>
          <t>exported_at</t>
        </is>
      </c>
      <c r="C138" s="29" t="inlineStr">
        <is>
          <t>2026-05-20T13:41:36</t>
        </is>
      </c>
      <c r="D138" s="29" t="inlineStr">
        <is>
          <t>JSON 상세는 dashboard_payload 파일 참조</t>
        </is>
      </c>
    </row>
    <row r="139" ht="24" customHeight="1">
      <c r="A139" s="24" t="inlineStr">
        <is>
          <t>reference_universe_focus_rows</t>
        </is>
      </c>
      <c r="B139" s="24" t="inlineStr">
        <is>
          <t>목록</t>
        </is>
      </c>
      <c r="C139" s="24" t="inlineStr">
        <is>
          <t>40개 행</t>
        </is>
      </c>
      <c r="D139" s="24" t="inlineStr">
        <is>
          <t>대시보드 표/차트 원천</t>
        </is>
      </c>
    </row>
    <row r="140" ht="24" customHeight="1">
      <c r="A140" s="29" t="inlineStr">
        <is>
          <t>ml_overlay</t>
        </is>
      </c>
      <c r="B140" s="29" t="inlineStr">
        <is>
          <t>상위 블록</t>
        </is>
      </c>
      <c r="C140" s="29" t="inlineStr">
        <is>
          <t>12개 항목</t>
        </is>
      </c>
      <c r="D140" s="29" t="inlineStr">
        <is>
          <t>대시보드에서 객체로 사용</t>
        </is>
      </c>
    </row>
    <row r="141" ht="24" customHeight="1">
      <c r="A141" s="24" t="inlineStr">
        <is>
          <t>ml_overlay</t>
        </is>
      </c>
      <c r="B141" s="24" t="inlineStr">
        <is>
          <t>산출 방식</t>
        </is>
      </c>
      <c r="C141" s="24" t="inlineStr">
        <is>
          <t>deterministic_live_peer_psr_plus_208_reference_universe_overlay</t>
        </is>
      </c>
      <c r="D141" s="24" t="inlineStr">
        <is>
          <t>JSON 상세는 dashboard_payload 파일 참조</t>
        </is>
      </c>
    </row>
    <row r="142" ht="24" customHeight="1">
      <c r="A142" s="29" t="inlineStr">
        <is>
          <t>ml_overlay</t>
        </is>
      </c>
      <c r="B142" s="29" t="inlineStr">
        <is>
          <t>가치평가 방법</t>
        </is>
      </c>
      <c r="C142" s="29" t="inlineStr">
        <is>
          <t>실시간 DART·주가 기반 PSR/Peer + 208개 반도체 reference universe 보조판단</t>
        </is>
      </c>
      <c r="D142" s="29" t="inlineStr">
        <is>
          <t>JSON 상세는 dashboard_payload 파일 참조</t>
        </is>
      </c>
    </row>
    <row r="143" ht="24" customHeight="1">
      <c r="A143" s="24" t="inlineStr">
        <is>
          <t>ml_overlay</t>
        </is>
      </c>
      <c r="B143" s="24" t="inlineStr">
        <is>
          <t>종합 점수</t>
        </is>
      </c>
      <c r="C143" s="30" t="n">
        <v>67.86</v>
      </c>
      <c r="D143" s="24" t="inlineStr">
        <is>
          <t>JSON 상세는 dashboard_payload 파일 참조</t>
        </is>
      </c>
    </row>
    <row r="144" ht="24" customHeight="1">
      <c r="A144" s="29" t="inlineStr">
        <is>
          <t>ml_overlay</t>
        </is>
      </c>
      <c r="B144" s="29" t="inlineStr">
        <is>
          <t>라벨</t>
        </is>
      </c>
      <c r="C144" s="29" t="inlineStr">
        <is>
          <t>VALUATION_NEUTRAL</t>
        </is>
      </c>
      <c r="D144" s="29" t="inlineStr">
        <is>
          <t>JSON 상세는 dashboard_payload 파일 참조</t>
        </is>
      </c>
    </row>
    <row r="145" ht="24" customHeight="1">
      <c r="A145" s="24" t="inlineStr">
        <is>
          <t>ml_overlay</t>
        </is>
      </c>
      <c r="B145" s="24" t="inlineStr">
        <is>
          <t>한글 라벨</t>
        </is>
      </c>
      <c r="C145" s="24" t="inlineStr">
        <is>
          <t>가치평가 보조근거 중립</t>
        </is>
      </c>
      <c r="D145" s="24" t="inlineStr">
        <is>
          <t>JSON 상세는 dashboard_payload 파일 참조</t>
        </is>
      </c>
    </row>
    <row r="146" ht="24" customHeight="1">
      <c r="A146" s="29" t="inlineStr">
        <is>
          <t>ml_overlay</t>
        </is>
      </c>
      <c r="B146" s="29" t="inlineStr">
        <is>
          <t>factors</t>
        </is>
      </c>
      <c r="C146" s="29" t="inlineStr">
        <is>
          <t>10개 행</t>
        </is>
      </c>
      <c r="D146" s="29" t="inlineStr">
        <is>
          <t>JSON 상세는 dashboard_payload 파일 참조</t>
        </is>
      </c>
    </row>
    <row r="147" ht="24" customHeight="1">
      <c r="A147" s="24" t="inlineStr">
        <is>
          <t>ml_overlay</t>
        </is>
      </c>
      <c r="B147" s="24" t="inlineStr">
        <is>
          <t>kmeans_peer_cluster</t>
        </is>
      </c>
      <c r="C147" s="24" t="inlineStr">
        <is>
          <t>소재</t>
        </is>
      </c>
      <c r="D147" s="24" t="inlineStr">
        <is>
          <t>JSON 상세는 dashboard_payload 파일 참조</t>
        </is>
      </c>
    </row>
    <row r="148" ht="24" customHeight="1">
      <c r="A148" s="29" t="inlineStr">
        <is>
          <t>ml_overlay</t>
        </is>
      </c>
      <c r="B148" s="29" t="inlineStr">
        <is>
          <t>reference_cluster</t>
        </is>
      </c>
      <c r="C148" s="29" t="inlineStr">
        <is>
          <t>6개 항목</t>
        </is>
      </c>
      <c r="D148" s="29" t="inlineStr">
        <is>
          <t>JSON 상세는 dashboard_payload 파일 참조</t>
        </is>
      </c>
    </row>
    <row r="149" ht="24" customHeight="1">
      <c r="A149" s="24" t="inlineStr">
        <is>
          <t>ml_overlay</t>
        </is>
      </c>
      <c r="B149" s="24" t="inlineStr">
        <is>
          <t>reference_universe_summary</t>
        </is>
      </c>
      <c r="C149" s="24" t="inlineStr">
        <is>
          <t>4개 항목</t>
        </is>
      </c>
      <c r="D149" s="24" t="inlineStr">
        <is>
          <t>JSON 상세는 dashboard_payload 파일 참조</t>
        </is>
      </c>
    </row>
    <row r="150" ht="24" customHeight="1">
      <c r="A150" s="29" t="inlineStr">
        <is>
          <t>ml_overlay</t>
        </is>
      </c>
      <c r="B150" s="29" t="inlineStr">
        <is>
          <t>psr_overlay</t>
        </is>
      </c>
      <c r="C150" s="29" t="inlineStr">
        <is>
          <t>5개 항목</t>
        </is>
      </c>
      <c r="D150" s="29" t="inlineStr">
        <is>
          <t>JSON 상세는 dashboard_payload 파일 참조</t>
        </is>
      </c>
    </row>
    <row r="151" ht="24" customHeight="1">
      <c r="A151" s="24" t="inlineStr">
        <is>
          <t>ml_overlay</t>
        </is>
      </c>
      <c r="B151" s="24" t="inlineStr">
        <is>
          <t>비고</t>
        </is>
      </c>
      <c r="C151" s="24" t="inlineStr">
        <is>
          <t>This overlay is a deterministic decision-quality helper, not a realized-return predictor.</t>
        </is>
      </c>
      <c r="D151" s="24" t="inlineStr">
        <is>
          <t>JSON 상세는 dashboard_payload 파일 참조</t>
        </is>
      </c>
    </row>
    <row r="152" ht="24" customHeight="1">
      <c r="A152" s="29" t="inlineStr">
        <is>
          <t>ml_overlay</t>
        </is>
      </c>
      <c r="B152" s="29" t="inlineStr">
        <is>
          <t>note_kr</t>
        </is>
      </c>
      <c r="C152" s="29" t="inlineStr">
        <is>
          <t>미래수익률 예측모델이 아니라 대시보드/Chair용 설명가능 보조 가치평가 점수입니다.</t>
        </is>
      </c>
      <c r="D152" s="29" t="inlineStr">
        <is>
          <t>JSON 상세는 dashboard_payload 파일 참조</t>
        </is>
      </c>
    </row>
    <row r="153" ht="24" customHeight="1">
      <c r="A153" s="24" t="inlineStr">
        <is>
          <t>valuation_scorecard</t>
        </is>
      </c>
      <c r="B153" s="24" t="inlineStr">
        <is>
          <t>상위 블록</t>
        </is>
      </c>
      <c r="C153" s="24" t="inlineStr">
        <is>
          <t>8개 항목</t>
        </is>
      </c>
      <c r="D153" s="24" t="inlineStr">
        <is>
          <t>대시보드에서 객체로 사용</t>
        </is>
      </c>
    </row>
    <row r="154" ht="24" customHeight="1">
      <c r="A154" s="29" t="inlineStr">
        <is>
          <t>valuation_scorecard</t>
        </is>
      </c>
      <c r="B154" s="29" t="inlineStr">
        <is>
          <t>산출 방식</t>
        </is>
      </c>
      <c r="C154" s="29" t="inlineStr">
        <is>
          <t>DCF_25_PSR_15_QUALITY_15_REFERENCE_10_ADVANCED_20_LIQUIDITY_10_VALIDATION_5</t>
        </is>
      </c>
      <c r="D154" s="29" t="inlineStr">
        <is>
          <t>JSON 상세는 dashboard_payload 파일 참조</t>
        </is>
      </c>
    </row>
    <row r="155" ht="24" customHeight="1">
      <c r="A155" s="24" t="inlineStr">
        <is>
          <t>valuation_scorecard</t>
        </is>
      </c>
      <c r="B155" s="24" t="inlineStr">
        <is>
          <t>가치평가 방법</t>
        </is>
      </c>
      <c r="C155" s="24" t="inlineStr">
        <is>
          <t>DCF 25% + Peer P/S 15% + 품질 ML 15% + 208개 Universe 10% + 가치범위표/역산 DCF/오너 이익 20% + 유동성/리스크 10% + 검증 5%</t>
        </is>
      </c>
      <c r="D155" s="24" t="inlineStr">
        <is>
          <t>JSON 상세는 dashboard_payload 파일 참조</t>
        </is>
      </c>
    </row>
    <row r="156" ht="24" customHeight="1">
      <c r="A156" s="29" t="inlineStr">
        <is>
          <t>valuation_scorecard</t>
        </is>
      </c>
      <c r="B156" s="29" t="inlineStr">
        <is>
          <t>점수</t>
        </is>
      </c>
      <c r="C156" s="31" t="n">
        <v>47.34</v>
      </c>
      <c r="D156" s="29" t="inlineStr">
        <is>
          <t>JSON 상세는 dashboard_payload 파일 참조</t>
        </is>
      </c>
    </row>
    <row r="157" ht="24" customHeight="1">
      <c r="A157" s="24" t="inlineStr">
        <is>
          <t>valuation_scorecard</t>
        </is>
      </c>
      <c r="B157" s="24" t="inlineStr">
        <is>
          <t>라벨</t>
        </is>
      </c>
      <c r="C157" s="24" t="inlineStr">
        <is>
          <t>VALUATION_NEUTRAL</t>
        </is>
      </c>
      <c r="D157" s="24" t="inlineStr">
        <is>
          <t>JSON 상세는 dashboard_payload 파일 참조</t>
        </is>
      </c>
    </row>
    <row r="158" ht="24" customHeight="1">
      <c r="A158" s="29" t="inlineStr">
        <is>
          <t>valuation_scorecard</t>
        </is>
      </c>
      <c r="B158" s="29" t="inlineStr">
        <is>
          <t>한글 라벨</t>
        </is>
      </c>
      <c r="C158" s="29" t="inlineStr">
        <is>
          <t>중립</t>
        </is>
      </c>
      <c r="D158" s="29" t="inlineStr">
        <is>
          <t>JSON 상세는 dashboard_payload 파일 참조</t>
        </is>
      </c>
    </row>
    <row r="159" ht="24" customHeight="1">
      <c r="A159" s="24" t="inlineStr">
        <is>
          <t>valuation_scorecard</t>
        </is>
      </c>
      <c r="B159" s="24" t="inlineStr">
        <is>
          <t>종합 해석</t>
        </is>
      </c>
      <c r="C159" s="24" t="inlineStr">
        <is>
          <t>현 가격과 내재가치·상대가치가 크게 벌어지지 않은 구간입니다.</t>
        </is>
      </c>
      <c r="D159" s="24" t="inlineStr">
        <is>
          <t>JSON 상세는 dashboard_payload 파일 참조</t>
        </is>
      </c>
    </row>
    <row r="160" ht="24" customHeight="1">
      <c r="A160" s="29" t="inlineStr">
        <is>
          <t>valuation_scorecard</t>
        </is>
      </c>
      <c r="B160" s="29" t="inlineStr">
        <is>
          <t>factors</t>
        </is>
      </c>
      <c r="C160" s="29" t="inlineStr">
        <is>
          <t>7개 행</t>
        </is>
      </c>
      <c r="D160" s="29" t="inlineStr">
        <is>
          <t>JSON 상세는 dashboard_payload 파일 참조</t>
        </is>
      </c>
    </row>
    <row r="161" ht="24" customHeight="1">
      <c r="A161" s="24" t="inlineStr">
        <is>
          <t>valuation_scorecard</t>
        </is>
      </c>
      <c r="B161" s="24" t="inlineStr">
        <is>
          <t>dashboard_note_kr</t>
        </is>
      </c>
      <c r="C161" s="24" t="inlineStr">
        <is>
          <t>Chair 최종 가중합을 대체하지 않는 보조 밸류에이션 스코어입니다. DCF 단일값보다 다중 방법 검증을 우선합니다. 대시보드/엑셀 다운로드/투자자 요약에서 사용합니다.</t>
        </is>
      </c>
      <c r="D161" s="24" t="inlineStr">
        <is>
          <t>JSON 상세는 dashboard_payload 파일 참조</t>
        </is>
      </c>
    </row>
    <row r="162" ht="24" customHeight="1">
      <c r="A162" s="29" t="inlineStr">
        <is>
          <t>종합 가치평가</t>
        </is>
      </c>
      <c r="B162" s="29" t="inlineStr">
        <is>
          <t>상위 블록</t>
        </is>
      </c>
      <c r="C162" s="29" t="inlineStr">
        <is>
          <t>12개 항목</t>
        </is>
      </c>
      <c r="D162" s="29" t="inlineStr">
        <is>
          <t>대시보드에서 객체로 사용</t>
        </is>
      </c>
    </row>
    <row r="163" ht="24" customHeight="1">
      <c r="A163" s="24" t="inlineStr">
        <is>
          <t>종합 가치평가</t>
        </is>
      </c>
      <c r="B163" s="24" t="inlineStr">
        <is>
          <t>가치평가 방법</t>
        </is>
      </c>
      <c r="C163" s="24" t="inlineStr">
        <is>
          <t>DCF + 피어 멀티플 가치범위표 + 역산 DCF + 오너 이익/EPV + 시장내재 배수 + 데이터 커버리지</t>
        </is>
      </c>
      <c r="D163" s="24" t="inlineStr">
        <is>
          <t>JSON 상세는 dashboard_payload 파일 참조</t>
        </is>
      </c>
    </row>
    <row r="164" ht="24" customHeight="1">
      <c r="A164" s="29" t="inlineStr">
        <is>
          <t>종합 가치평가</t>
        </is>
      </c>
      <c r="B164" s="29" t="inlineStr">
        <is>
          <t>종합 가치평가 점수</t>
        </is>
      </c>
      <c r="C164" s="31" t="n">
        <v>38</v>
      </c>
      <c r="D164" s="29" t="inlineStr">
        <is>
          <t>JSON 상세는 dashboard_payload 파일 참조</t>
        </is>
      </c>
    </row>
    <row r="165" ht="24" customHeight="1">
      <c r="A165" s="24" t="inlineStr">
        <is>
          <t>종합 가치평가</t>
        </is>
      </c>
      <c r="B165" s="24" t="inlineStr">
        <is>
          <t>신뢰도 등급</t>
        </is>
      </c>
      <c r="C165" s="24" t="inlineStr">
        <is>
          <t>낮음</t>
        </is>
      </c>
      <c r="D165" s="24" t="inlineStr">
        <is>
          <t>JSON 상세는 dashboard_payload 파일 참조</t>
        </is>
      </c>
    </row>
    <row r="166" ht="24" customHeight="1">
      <c r="A166" s="29" t="inlineStr">
        <is>
          <t>종합 가치평가</t>
        </is>
      </c>
      <c r="B166" s="29" t="inlineStr">
        <is>
          <t>가치범위표</t>
        </is>
      </c>
      <c r="C166" s="29" t="inlineStr">
        <is>
          <t>7개 항목</t>
        </is>
      </c>
      <c r="D166" s="29" t="inlineStr">
        <is>
          <t>JSON 상세는 dashboard_payload 파일 참조</t>
        </is>
      </c>
    </row>
    <row r="167" ht="24" customHeight="1">
      <c r="A167" s="24" t="inlineStr">
        <is>
          <t>종합 가치평가</t>
        </is>
      </c>
      <c r="B167" s="24" t="inlineStr">
        <is>
          <t>가치평가 방법</t>
        </is>
      </c>
      <c r="C167" s="24" t="inlineStr">
        <is>
          <t>7개 행</t>
        </is>
      </c>
      <c r="D167" s="24" t="inlineStr">
        <is>
          <t>JSON 상세는 dashboard_payload 파일 참조</t>
        </is>
      </c>
    </row>
    <row r="168" ht="24" customHeight="1">
      <c r="A168" s="29" t="inlineStr">
        <is>
          <t>종합 가치평가</t>
        </is>
      </c>
      <c r="B168" s="29" t="inlineStr">
        <is>
          <t>역산 DCF</t>
        </is>
      </c>
      <c r="C168" s="29" t="inlineStr">
        <is>
          <t>9개 항목</t>
        </is>
      </c>
      <c r="D168" s="29" t="inlineStr">
        <is>
          <t>JSON 상세는 dashboard_payload 파일 참조</t>
        </is>
      </c>
    </row>
    <row r="169" ht="24" customHeight="1">
      <c r="A169" s="24" t="inlineStr">
        <is>
          <t>종합 가치평가</t>
        </is>
      </c>
      <c r="B169" s="24" t="inlineStr">
        <is>
          <t>오너 이익</t>
        </is>
      </c>
      <c r="C169" s="24" t="inlineStr">
        <is>
          <t>11개 항목</t>
        </is>
      </c>
      <c r="D169" s="24" t="inlineStr">
        <is>
          <t>JSON 상세는 dashboard_payload 파일 참조</t>
        </is>
      </c>
    </row>
    <row r="170" ht="24" customHeight="1">
      <c r="A170" s="29" t="inlineStr">
        <is>
          <t>종합 가치평가</t>
        </is>
      </c>
      <c r="B170" s="29" t="inlineStr">
        <is>
          <t>시장내재 배수</t>
        </is>
      </c>
      <c r="C170" s="29" t="inlineStr">
        <is>
          <t>14개 항목</t>
        </is>
      </c>
      <c r="D170" s="29" t="inlineStr">
        <is>
          <t>JSON 상세는 dashboard_payload 파일 참조</t>
        </is>
      </c>
    </row>
    <row r="171" ht="24" customHeight="1">
      <c r="A171" s="24" t="inlineStr">
        <is>
          <t>종합 가치평가</t>
        </is>
      </c>
      <c r="B171" s="24" t="inlineStr">
        <is>
          <t>품질 진단</t>
        </is>
      </c>
      <c r="C171" s="24" t="inlineStr">
        <is>
          <t>8개 행</t>
        </is>
      </c>
      <c r="D171" s="24" t="inlineStr">
        <is>
          <t>JSON 상세는 dashboard_payload 파일 참조</t>
        </is>
      </c>
    </row>
    <row r="172" ht="24" customHeight="1">
      <c r="A172" s="29" t="inlineStr">
        <is>
          <t>종합 가치평가</t>
        </is>
      </c>
      <c r="B172" s="29" t="inlineStr">
        <is>
          <t>source_completion_plan</t>
        </is>
      </c>
      <c r="C172" s="29" t="inlineStr">
        <is>
          <t>6개 행</t>
        </is>
      </c>
      <c r="D172" s="29" t="inlineStr">
        <is>
          <t>JSON 상세는 dashboard_payload 파일 참조</t>
        </is>
      </c>
    </row>
    <row r="173" ht="24" customHeight="1">
      <c r="A173" s="24" t="inlineStr">
        <is>
          <t>종합 가치평가</t>
        </is>
      </c>
      <c r="B173" s="24" t="inlineStr">
        <is>
          <t>market_snapshot</t>
        </is>
      </c>
      <c r="C173" s="24" t="inlineStr">
        <is>
          <t>32개 항목</t>
        </is>
      </c>
      <c r="D173" s="24" t="inlineStr">
        <is>
          <t>JSON 상세는 dashboard_payload 파일 참조</t>
        </is>
      </c>
    </row>
    <row r="174" ht="24" customHeight="1">
      <c r="A174" s="29" t="inlineStr">
        <is>
          <t>종합 가치평가</t>
        </is>
      </c>
      <c r="B174" s="29" t="inlineStr">
        <is>
          <t>dashboard_note_kr</t>
        </is>
      </c>
      <c r="C174" s="29" t="inlineStr">
        <is>
          <t>투자은행식 valuation pack에서 자주 쓰는 DCF·Comps·역산 DCF·오너 이익·시장내재배수 교차검증을 제공합니다.</t>
        </is>
      </c>
      <c r="D174" s="29" t="inlineStr">
        <is>
          <t>JSON 상세는 dashboard_payload 파일 참조</t>
        </is>
      </c>
    </row>
    <row r="175" ht="24" customHeight="1">
      <c r="A175" s="24" t="inlineStr">
        <is>
          <t>시장내재 배수</t>
        </is>
      </c>
      <c r="B175" s="24" t="inlineStr">
        <is>
          <t>상위 블록</t>
        </is>
      </c>
      <c r="C175" s="24" t="inlineStr">
        <is>
          <t>14개 항목</t>
        </is>
      </c>
      <c r="D175" s="24" t="inlineStr">
        <is>
          <t>대시보드에서 객체로 사용</t>
        </is>
      </c>
    </row>
    <row r="176" ht="24" customHeight="1">
      <c r="A176" s="29" t="inlineStr">
        <is>
          <t>시장내재 배수</t>
        </is>
      </c>
      <c r="B176" s="29" t="inlineStr">
        <is>
          <t>latest_close</t>
        </is>
      </c>
      <c r="C176" s="31" t="n">
        <v>274500</v>
      </c>
      <c r="D176" s="29" t="inlineStr">
        <is>
          <t>JSON 상세는 dashboard_payload 파일 참조</t>
        </is>
      </c>
    </row>
    <row r="177" ht="24" customHeight="1">
      <c r="A177" s="24" t="inlineStr">
        <is>
          <t>시장내재 배수</t>
        </is>
      </c>
      <c r="B177" s="24" t="inlineStr">
        <is>
          <t>시가총액</t>
        </is>
      </c>
      <c r="C177" s="30" t="n">
        <v>3068749692000</v>
      </c>
      <c r="D177" s="24" t="inlineStr">
        <is>
          <t>JSON 상세는 dashboard_payload 파일 참조</t>
        </is>
      </c>
    </row>
    <row r="178" ht="24" customHeight="1">
      <c r="A178" s="29" t="inlineStr">
        <is>
          <t>시장내재 배수</t>
        </is>
      </c>
      <c r="B178" s="29" t="inlineStr">
        <is>
          <t>EV proxy</t>
        </is>
      </c>
      <c r="C178" s="31" t="n">
        <v>3109106141607</v>
      </c>
      <c r="D178" s="29" t="inlineStr">
        <is>
          <t>JSON 상세는 dashboard_payload 파일 참조</t>
        </is>
      </c>
    </row>
    <row r="179" ht="24" customHeight="1">
      <c r="A179" s="24" t="inlineStr">
        <is>
          <t>시장내재 배수</t>
        </is>
      </c>
      <c r="B179" s="24" t="inlineStr">
        <is>
          <t>psr_market</t>
        </is>
      </c>
      <c r="C179" s="30" t="n">
        <v>10.18387107951889</v>
      </c>
      <c r="D179" s="24" t="inlineStr">
        <is>
          <t>JSON 상세는 dashboard_payload 파일 참조</t>
        </is>
      </c>
    </row>
    <row r="180" ht="24" customHeight="1">
      <c r="A180" s="29" t="inlineStr">
        <is>
          <t>시장내재 배수</t>
        </is>
      </c>
      <c r="B180" s="29" t="inlineStr">
        <is>
          <t>pbr_market</t>
        </is>
      </c>
      <c r="C180" s="31" t="n">
        <v>5.909364873733661</v>
      </c>
      <c r="D180" s="29" t="inlineStr">
        <is>
          <t>JSON 상세는 dashboard_payload 파일 참조</t>
        </is>
      </c>
    </row>
    <row r="181" ht="24" customHeight="1">
      <c r="A181" s="24" t="inlineStr">
        <is>
          <t>시장내재 배수</t>
        </is>
      </c>
      <c r="B181" s="24" t="inlineStr">
        <is>
          <t>per_market</t>
        </is>
      </c>
      <c r="C181" s="30" t="n">
        <v>43.90028731594267</v>
      </c>
      <c r="D181" s="24" t="inlineStr">
        <is>
          <t>JSON 상세는 dashboard_payload 파일 참조</t>
        </is>
      </c>
    </row>
    <row r="182" ht="24" customHeight="1">
      <c r="A182" s="29" t="inlineStr">
        <is>
          <t>시장내재 배수</t>
        </is>
      </c>
      <c r="B182" s="29" t="inlineStr">
        <is>
          <t>p_fcf_market</t>
        </is>
      </c>
      <c r="C182" s="31" t="n">
        <v>56.79767322709387</v>
      </c>
      <c r="D182" s="29" t="inlineStr">
        <is>
          <t>JSON 상세는 dashboard_payload 파일 참조</t>
        </is>
      </c>
    </row>
    <row r="183" ht="24" customHeight="1">
      <c r="A183" s="24" t="inlineStr">
        <is>
          <t>시장내재 배수</t>
        </is>
      </c>
      <c r="B183" s="24" t="inlineStr">
        <is>
          <t>ev_sales_market</t>
        </is>
      </c>
      <c r="C183" s="30" t="n">
        <v>10.31779691944523</v>
      </c>
      <c r="D183" s="24" t="inlineStr">
        <is>
          <t>JSON 상세는 dashboard_payload 파일 참조</t>
        </is>
      </c>
    </row>
    <row r="184" ht="24" customHeight="1">
      <c r="A184" s="29" t="inlineStr">
        <is>
          <t>시장내재 배수</t>
        </is>
      </c>
      <c r="B184" s="29" t="inlineStr">
        <is>
          <t>ev_ebit_market</t>
        </is>
      </c>
      <c r="C184" s="31" t="n">
        <v>37.06288584753999</v>
      </c>
      <c r="D184" s="29" t="inlineStr">
        <is>
          <t>JSON 상세는 dashboard_payload 파일 참조</t>
        </is>
      </c>
    </row>
    <row r="185" ht="24" customHeight="1">
      <c r="A185" s="24" t="inlineStr">
        <is>
          <t>시장내재 배수</t>
        </is>
      </c>
      <c r="B185" s="24" t="inlineStr">
        <is>
          <t>eps_derived</t>
        </is>
      </c>
      <c r="C185" s="30" t="n">
        <v>6252.806457153039</v>
      </c>
      <c r="D185" s="24" t="inlineStr">
        <is>
          <t>JSON 상세는 dashboard_payload 파일 참조</t>
        </is>
      </c>
    </row>
    <row r="186" ht="24" customHeight="1">
      <c r="A186" s="29" t="inlineStr">
        <is>
          <t>시장내재 배수</t>
        </is>
      </c>
      <c r="B186" s="29" t="inlineStr">
        <is>
          <t>bps_derived</t>
        </is>
      </c>
      <c r="C186" s="31" t="n">
        <v>46451.69250254217</v>
      </c>
      <c r="D186" s="29" t="inlineStr">
        <is>
          <t>JSON 상세는 dashboard_payload 파일 참조</t>
        </is>
      </c>
    </row>
    <row r="187" ht="24" customHeight="1">
      <c r="A187" s="24" t="inlineStr">
        <is>
          <t>시장내재 배수</t>
        </is>
      </c>
      <c r="B187" s="24" t="inlineStr">
        <is>
          <t>fcf_yield_market</t>
        </is>
      </c>
      <c r="C187" s="30" t="n">
        <v>0.01760635503503295</v>
      </c>
      <c r="D187" s="24" t="inlineStr">
        <is>
          <t>JSON 상세는 dashboard_payload 파일 참조</t>
        </is>
      </c>
    </row>
    <row r="188" ht="24" customHeight="1">
      <c r="A188" s="29" t="inlineStr">
        <is>
          <t>시장내재 배수</t>
        </is>
      </c>
      <c r="B188" s="29" t="inlineStr">
        <is>
          <t>sales_yield_market</t>
        </is>
      </c>
      <c r="C188" s="31" t="n">
        <v>0.09819448736061984</v>
      </c>
      <c r="D188" s="29" t="inlineStr">
        <is>
          <t>JSON 상세는 dashboard_payload 파일 참조</t>
        </is>
      </c>
    </row>
    <row r="189" ht="24" customHeight="1">
      <c r="A189" s="24" t="inlineStr">
        <is>
          <t>시장내재 배수</t>
        </is>
      </c>
      <c r="B189" s="24" t="inlineStr">
        <is>
          <t>source_kr</t>
        </is>
      </c>
      <c r="C189" s="24" t="inlineStr">
        <is>
          <t>DART 정규화 재무제표 + Valuation Agent 주가/발행주식 수 intake로 자동 산출</t>
        </is>
      </c>
      <c r="D189" s="24" t="inlineStr">
        <is>
          <t>JSON 상세는 dashboard_payload 파일 참조</t>
        </is>
      </c>
    </row>
    <row r="190" ht="24" customHeight="1">
      <c r="A190" s="29" t="inlineStr">
        <is>
          <t>품질 진단</t>
        </is>
      </c>
      <c r="B190" s="29" t="inlineStr">
        <is>
          <t>목록</t>
        </is>
      </c>
      <c r="C190" s="29" t="inlineStr">
        <is>
          <t>8개 행</t>
        </is>
      </c>
      <c r="D190" s="29" t="inlineStr">
        <is>
          <t>대시보드 표/차트 원천</t>
        </is>
      </c>
    </row>
    <row r="191" ht="24" customHeight="1">
      <c r="A191" s="24" t="inlineStr">
        <is>
          <t>검증 결과</t>
        </is>
      </c>
      <c r="B191" s="24" t="inlineStr">
        <is>
          <t>상위 블록</t>
        </is>
      </c>
      <c r="C191" s="24" t="inlineStr">
        <is>
          <t>4개 항목</t>
        </is>
      </c>
      <c r="D191" s="24" t="inlineStr">
        <is>
          <t>대시보드에서 객체로 사용</t>
        </is>
      </c>
    </row>
    <row r="192" ht="24" customHeight="1">
      <c r="A192" s="29" t="inlineStr">
        <is>
          <t>검증 결과</t>
        </is>
      </c>
      <c r="B192" s="29" t="inlineStr">
        <is>
          <t>상태</t>
        </is>
      </c>
      <c r="C192" s="29" t="inlineStr">
        <is>
          <t>PASS</t>
        </is>
      </c>
      <c r="D192" s="29" t="inlineStr">
        <is>
          <t>JSON 상세는 dashboard_payload 파일 참조</t>
        </is>
      </c>
    </row>
    <row r="193" ht="24" customHeight="1">
      <c r="A193" s="24" t="inlineStr">
        <is>
          <t>검증 결과</t>
        </is>
      </c>
      <c r="B193" s="24" t="inlineStr">
        <is>
          <t>issues</t>
        </is>
      </c>
      <c r="C193" s="24" t="inlineStr">
        <is>
          <t>1개 행</t>
        </is>
      </c>
      <c r="D193" s="24" t="inlineStr">
        <is>
          <t>JSON 상세는 dashboard_payload 파일 참조</t>
        </is>
      </c>
    </row>
    <row r="194" ht="24" customHeight="1">
      <c r="A194" s="29" t="inlineStr">
        <is>
          <t>검증 결과</t>
        </is>
      </c>
      <c r="B194" s="29" t="inlineStr">
        <is>
          <t>audit_trail</t>
        </is>
      </c>
      <c r="C194" s="29" t="inlineStr">
        <is>
          <t>6개 행</t>
        </is>
      </c>
      <c r="D194" s="29" t="inlineStr">
        <is>
          <t>JSON 상세는 dashboard_payload 파일 참조</t>
        </is>
      </c>
    </row>
    <row r="195" ht="24" customHeight="1">
      <c r="A195" s="24" t="inlineStr">
        <is>
          <t>검증 결과</t>
        </is>
      </c>
      <c r="B195" s="24" t="inlineStr">
        <is>
          <t>principle</t>
        </is>
      </c>
      <c r="C195" s="24" t="inlineStr">
        <is>
          <t>valuation_agent 자체 데이터/모델 일관성 검증; 기존 web-auditor 의존 없음</t>
        </is>
      </c>
      <c r="D195" s="24" t="inlineStr">
        <is>
          <t>JSON 상세는 dashboard_payload 파일 참조</t>
        </is>
      </c>
    </row>
    <row r="196" ht="24" customHeight="1">
      <c r="A196" s="29" t="inlineStr">
        <is>
          <t>display_labels_kr</t>
        </is>
      </c>
      <c r="B196" s="29" t="inlineStr">
        <is>
          <t>상위 블록</t>
        </is>
      </c>
      <c r="C196" s="29" t="inlineStr">
        <is>
          <t>8개 항목</t>
        </is>
      </c>
      <c r="D196" s="29" t="inlineStr">
        <is>
          <t>대시보드에서 객체로 사용</t>
        </is>
      </c>
    </row>
    <row r="197" ht="24" customHeight="1">
      <c r="A197" s="24" t="inlineStr">
        <is>
          <t>display_labels_kr</t>
        </is>
      </c>
      <c r="B197" s="24" t="inlineStr">
        <is>
          <t>summary_cards</t>
        </is>
      </c>
      <c r="C197" s="24" t="inlineStr">
        <is>
          <t>핵심 요약 카드</t>
        </is>
      </c>
      <c r="D197" s="24" t="inlineStr">
        <is>
          <t>JSON 상세는 dashboard_payload 파일 참조</t>
        </is>
      </c>
    </row>
    <row r="198" ht="24" customHeight="1">
      <c r="A198" s="29" t="inlineStr">
        <is>
          <t>display_labels_kr</t>
        </is>
      </c>
      <c r="B198" s="29" t="inlineStr">
        <is>
          <t>price_history</t>
        </is>
      </c>
      <c r="C198" s="29" t="inlineStr">
        <is>
          <t>주가 차트</t>
        </is>
      </c>
      <c r="D198" s="29" t="inlineStr">
        <is>
          <t>JSON 상세는 dashboard_payload 파일 참조</t>
        </is>
      </c>
    </row>
    <row r="199" ht="24" customHeight="1">
      <c r="A199" s="24" t="inlineStr">
        <is>
          <t>display_labels_kr</t>
        </is>
      </c>
      <c r="B199" s="24" t="inlineStr">
        <is>
          <t>historical_financials</t>
        </is>
      </c>
      <c r="C199" s="24" t="inlineStr">
        <is>
          <t>재무 추이</t>
        </is>
      </c>
      <c r="D199" s="24" t="inlineStr">
        <is>
          <t>JSON 상세는 dashboard_payload 파일 참조</t>
        </is>
      </c>
    </row>
    <row r="200" ht="24" customHeight="1">
      <c r="A200" s="29" t="inlineStr">
        <is>
          <t>display_labels_kr</t>
        </is>
      </c>
      <c r="B200" s="29" t="inlineStr">
        <is>
          <t>fcf_projection</t>
        </is>
      </c>
      <c r="C200" s="29" t="inlineStr">
        <is>
          <t>FCF 추정</t>
        </is>
      </c>
      <c r="D200" s="29" t="inlineStr">
        <is>
          <t>JSON 상세는 dashboard_payload 파일 참조</t>
        </is>
      </c>
    </row>
    <row r="201" ht="24" customHeight="1">
      <c r="A201" s="24" t="inlineStr">
        <is>
          <t>display_labels_kr</t>
        </is>
      </c>
      <c r="B201" s="24" t="inlineStr">
        <is>
          <t>peer_multiples</t>
        </is>
      </c>
      <c r="C201" s="24" t="inlineStr">
        <is>
          <t>비교기업 멀티플 비교</t>
        </is>
      </c>
      <c r="D201" s="24" t="inlineStr">
        <is>
          <t>JSON 상세는 dashboard_payload 파일 참조</t>
        </is>
      </c>
    </row>
    <row r="202" ht="24" customHeight="1">
      <c r="A202" s="29" t="inlineStr">
        <is>
          <t>display_labels_kr</t>
        </is>
      </c>
      <c r="B202" s="29" t="inlineStr">
        <is>
          <t>reference_universe_focus</t>
        </is>
      </c>
      <c r="C202" s="29" t="inlineStr">
        <is>
          <t>208개 반도체 비교군 상대위치</t>
        </is>
      </c>
      <c r="D202" s="29" t="inlineStr">
        <is>
          <t>JSON 상세는 dashboard_payload 파일 참조</t>
        </is>
      </c>
    </row>
    <row r="203" ht="24" customHeight="1">
      <c r="A203" s="24" t="inlineStr">
        <is>
          <t>display_labels_kr</t>
        </is>
      </c>
      <c r="B203" s="24" t="inlineStr">
        <is>
          <t>advanced_valuation</t>
        </is>
      </c>
      <c r="C203" s="24" t="inlineStr">
        <is>
          <t>종합 가치평가</t>
        </is>
      </c>
      <c r="D203" s="24" t="inlineStr">
        <is>
          <t>JSON 상세는 dashboard_payload 파일 참조</t>
        </is>
      </c>
    </row>
    <row r="204" ht="24" customHeight="1">
      <c r="A204" s="29" t="inlineStr">
        <is>
          <t>display_labels_kr</t>
        </is>
      </c>
      <c r="B204" s="29" t="inlineStr">
        <is>
          <t>download_workbook</t>
        </is>
      </c>
      <c r="C204" s="29" t="inlineStr">
        <is>
          <t>엑셀 다운로드</t>
        </is>
      </c>
      <c r="D204" s="29" t="inlineStr">
        <is>
          <t>JSON 상세는 dashboard_payload 파일 참조</t>
        </is>
      </c>
    </row>
    <row r="205" ht="24" customHeight="1">
      <c r="A205" s="24" t="inlineStr">
        <is>
          <t>dashboard_usage_note</t>
        </is>
      </c>
      <c r="B205" s="24" t="inlineStr">
        <is>
          <t>값</t>
        </is>
      </c>
      <c r="C205" s="24" t="inlineStr">
        <is>
          <t>Streamlit/React 대시보드에서 한국어 카드, 주가 차트, DCF·P/S·P/B·PER·가치범위표, 208개 기준 비교군 표/산점도, 검증 배지, 엑셀 다운로드 버튼에 바로 연결할 수 있습니다.</t>
        </is>
      </c>
      <c r="D205" s="24" t="inlineStr">
        <is>
          <t>대시보드 기본값</t>
        </is>
      </c>
    </row>
  </sheetData>
  <autoFilter ref="A2:D205"/>
  <mergeCells count="1">
    <mergeCell ref="A1:F1"/>
  </mergeCells>
  <pageMargins left="0.75" right="0.75" top="1" bottom="1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감사 추적</t>
        </is>
      </c>
    </row>
    <row r="2" ht="24" customHeight="1">
      <c r="A2" s="25" t="inlineStr">
        <is>
          <t>단계</t>
        </is>
      </c>
      <c r="B2" s="25" t="inlineStr">
        <is>
          <t>상태</t>
        </is>
      </c>
      <c r="C2" s="25" t="inlineStr">
        <is>
          <t>rows</t>
        </is>
      </c>
      <c r="D2" s="25" t="inlineStr">
        <is>
          <t>발행주식 수</t>
        </is>
      </c>
      <c r="E2" s="25" t="inlineStr">
        <is>
          <t>시가총액</t>
        </is>
      </c>
      <c r="F2" s="25" t="inlineStr">
        <is>
          <t>20일 평균 거래대금</t>
        </is>
      </c>
    </row>
    <row r="3" ht="24" customHeight="1">
      <c r="A3" s="24" t="inlineStr">
        <is>
          <t>normalized_financials</t>
        </is>
      </c>
      <c r="B3" s="24" t="inlineStr">
        <is>
          <t>OK</t>
        </is>
      </c>
      <c r="C3" s="30" t="n">
        <v>5</v>
      </c>
      <c r="D3" s="24" t="inlineStr">
        <is>
          <t>해당 없음</t>
        </is>
      </c>
      <c r="E3" s="24" t="inlineStr">
        <is>
          <t>해당 없음</t>
        </is>
      </c>
      <c r="F3" s="24" t="inlineStr">
        <is>
          <t>해당 없음</t>
        </is>
      </c>
    </row>
    <row r="4" ht="24" customHeight="1">
      <c r="A4" s="29" t="inlineStr">
        <is>
          <t>price_history</t>
        </is>
      </c>
      <c r="B4" s="29" t="inlineStr">
        <is>
          <t>OK</t>
        </is>
      </c>
      <c r="C4" s="31" t="n">
        <v>1220</v>
      </c>
      <c r="D4" s="29" t="inlineStr">
        <is>
          <t>해당 없음</t>
        </is>
      </c>
      <c r="E4" s="29" t="inlineStr">
        <is>
          <t>해당 없음</t>
        </is>
      </c>
      <c r="F4" s="29" t="inlineStr">
        <is>
          <t>해당 없음</t>
        </is>
      </c>
    </row>
    <row r="5" ht="24" customHeight="1">
      <c r="A5" s="24" t="inlineStr">
        <is>
          <t>share_count</t>
        </is>
      </c>
      <c r="B5" s="24" t="inlineStr">
        <is>
          <t>OK</t>
        </is>
      </c>
      <c r="C5" s="24" t="inlineStr">
        <is>
          <t>해당 없음</t>
        </is>
      </c>
      <c r="D5" s="30" t="n">
        <v>11179416</v>
      </c>
      <c r="E5" s="24" t="inlineStr">
        <is>
          <t>해당 없음</t>
        </is>
      </c>
      <c r="F5" s="24" t="inlineStr">
        <is>
          <t>해당 없음</t>
        </is>
      </c>
    </row>
    <row r="6" ht="24" customHeight="1">
      <c r="A6" s="29" t="inlineStr">
        <is>
          <t>reference_universe</t>
        </is>
      </c>
      <c r="B6" s="29" t="inlineStr">
        <is>
          <t>OK</t>
        </is>
      </c>
      <c r="C6" s="31" t="n">
        <v>208</v>
      </c>
      <c r="D6" s="29" t="inlineStr">
        <is>
          <t>해당 없음</t>
        </is>
      </c>
      <c r="E6" s="29" t="inlineStr">
        <is>
          <t>해당 없음</t>
        </is>
      </c>
      <c r="F6" s="29" t="inlineStr">
        <is>
          <t>해당 없음</t>
        </is>
      </c>
    </row>
    <row r="7" ht="24" customHeight="1">
      <c r="A7" s="24" t="inlineStr">
        <is>
          <t>market_cap</t>
        </is>
      </c>
      <c r="B7" s="24" t="inlineStr">
        <is>
          <t>OK</t>
        </is>
      </c>
      <c r="C7" s="24" t="inlineStr">
        <is>
          <t>해당 없음</t>
        </is>
      </c>
      <c r="D7" s="24" t="inlineStr">
        <is>
          <t>해당 없음</t>
        </is>
      </c>
      <c r="E7" s="30" t="n">
        <v>3068749692000</v>
      </c>
      <c r="F7" s="24" t="inlineStr">
        <is>
          <t>해당 없음</t>
        </is>
      </c>
    </row>
    <row r="8" ht="24" customHeight="1">
      <c r="A8" s="29" t="inlineStr">
        <is>
          <t>liquidity_proxy</t>
        </is>
      </c>
      <c r="B8" s="29" t="inlineStr">
        <is>
          <t>OK</t>
        </is>
      </c>
      <c r="C8" s="29" t="inlineStr">
        <is>
          <t>해당 없음</t>
        </is>
      </c>
      <c r="D8" s="29" t="inlineStr">
        <is>
          <t>해당 없음</t>
        </is>
      </c>
      <c r="E8" s="29" t="inlineStr">
        <is>
          <t>해당 없음</t>
        </is>
      </c>
      <c r="F8" s="31" t="n">
        <v>22623238225</v>
      </c>
    </row>
  </sheetData>
  <autoFilter ref="A2:F8"/>
  <mergeCells count="1">
    <mergeCell ref="A1:F1"/>
  </mergeCells>
  <pageMargins left="0.75" right="0.75" top="1" bottom="1" header="0.5" footer="0.5"/>
  <pageSetup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업로드 파이낸셜 모델링 파일에서 추출한 설계 archetype</t>
        </is>
      </c>
    </row>
    <row r="2" ht="24" customHeight="1">
      <c r="A2" s="25" t="inlineStr">
        <is>
          <t>모델 유형</t>
        </is>
      </c>
      <c r="B2" s="25" t="inlineStr">
        <is>
          <t>설명</t>
        </is>
      </c>
      <c r="C2" s="25" t="inlineStr">
        <is>
          <t>참조 파일 패턴</t>
        </is>
      </c>
      <c r="D2" s="25" t="inlineStr">
        <is>
          <t>관찰된 시트</t>
        </is>
      </c>
      <c r="E2" s="25" t="inlineStr">
        <is>
          <t>권장 시트</t>
        </is>
      </c>
      <c r="F2" s="25" t="inlineStr">
        <is>
          <t>필요 데이터</t>
        </is>
      </c>
      <c r="G2" s="25" t="inlineStr">
        <is>
          <t>키워드</t>
        </is>
      </c>
    </row>
    <row r="3" ht="24" customHeight="1">
      <c r="A3" s="24" t="inlineStr">
        <is>
          <t>DCF_CORE</t>
        </is>
      </c>
      <c r="B3" s="24" t="inlineStr">
        <is>
          <t>DCF 핵심 모델: 가정, 정규화 재무제표, WACC, FCF 추정, DCF, 검증체크.</t>
        </is>
      </c>
      <c r="C3" s="24" t="inlineStr">
        <is>
          <t>파이낸셜 모델링 플레이북 / DCF, Value, Valuation, FCF, WACC 실습형 파일</t>
        </is>
      </c>
      <c r="D3" s="24" t="inlineStr">
        <is>
          <t>DCF | Summary | Sales | COGS | SG&amp;A | CAPEX Dep. | WC | Debt | FCF | WACC | Value</t>
        </is>
      </c>
      <c r="E3" s="24" t="inlineStr">
        <is>
          <t>01_ReadMe | 02_Assumptions | 03_Raw_Financials | 04_Normalized_FS | 05_Key_Ratios | 06_WACC | 07_FCF_Projection | 08_DCF | 09_Sensitivity | 10_Checks</t>
        </is>
      </c>
      <c r="F3" s="24" t="inlineStr">
        <is>
          <t>financial_statements | price_history | capital_structure | macro_assumptions | shares_outstanding</t>
        </is>
      </c>
      <c r="G3" s="24" t="inlineStr">
        <is>
          <t>dcf | wacc | fcf | valuation | value | capex | debt</t>
        </is>
      </c>
    </row>
    <row r="4" ht="24" customHeight="1">
      <c r="A4" s="29" t="inlineStr">
        <is>
          <t>THREE_STATEMENT_MODEL</t>
        </is>
      </c>
      <c r="B4" s="29" t="inlineStr">
        <is>
          <t>Three-statement style model: PL/BS/CF raw data normalization and operating driver projection.</t>
        </is>
      </c>
      <c r="C4" s="29" t="inlineStr">
        <is>
          <t>재무모델링/재무기획 자료 중 FS, BS, PL, CF, Raw data, Normalized 형태</t>
        </is>
      </c>
      <c r="D4" s="29" t="inlineStr">
        <is>
          <t>FS | BS | PL | CF | Raw data | Input | Output | Check</t>
        </is>
      </c>
      <c r="E4" s="29" t="inlineStr">
        <is>
          <t>01_ReadMe | 02_Source_Map | 03_Raw_Financials | 04_Normalized_FS | 05_Ratio_Drivers | 06_Projection | 07_Checks</t>
        </is>
      </c>
      <c r="F4" s="29" t="inlineStr">
        <is>
          <t>financial_statements | account_mapping | historical_ratios | projection_drivers</t>
        </is>
      </c>
      <c r="G4" s="29" t="inlineStr">
        <is>
          <t>fs | bs | pl | cf | raw | normalized | projection</t>
        </is>
      </c>
    </row>
    <row r="5" ht="24" customHeight="1">
      <c r="A5" s="24" t="inlineStr">
        <is>
          <t>PEER_COMPS</t>
        </is>
      </c>
      <c r="B5" s="24" t="inlineStr">
        <is>
          <t>Comparable-company workbook for peer multiples and relative valuation.</t>
        </is>
      </c>
      <c r="C5" s="24" t="inlineStr">
        <is>
          <t>Peer Analysis, 시장/산업 비교, valuation multiple 관련 시트</t>
        </is>
      </c>
      <c r="D5" s="24" t="inlineStr">
        <is>
          <t>Peer Analysis | Comps | Market | Industry | Output</t>
        </is>
      </c>
      <c r="E5" s="24" t="inlineStr">
        <is>
          <t>01_ReadMe | 02_Peer_Universe | 03_Peer_Raw_Data | 04_Peer_Multiples | 05_Relative_Value | 06_Checks</t>
        </is>
      </c>
      <c r="F5" s="24" t="inlineStr">
        <is>
          <t>peer_financials | peer_prices | market_cap | revenue | net_income | equity</t>
        </is>
      </c>
      <c r="G5" s="24" t="inlineStr">
        <is>
          <t>peer | comps | multiple | per | pbr | psr | ev</t>
        </is>
      </c>
    </row>
    <row r="6" ht="24" customHeight="1">
      <c r="A6" s="29" t="inlineStr">
        <is>
          <t>SCENARIO_SENSITIVITY</t>
        </is>
      </c>
      <c r="B6" s="29" t="inlineStr">
        <is>
          <t>Scenario workbook: base/bull/bear assumptions and DCF sensitivity table.</t>
        </is>
      </c>
      <c r="C6" s="29" t="inlineStr">
        <is>
          <t>Scenario, Sensitivity, 가정별 변화 보기, Check 관련 시트</t>
        </is>
      </c>
      <c r="D6" s="29" t="inlineStr">
        <is>
          <t>Scenario | Sensitivity | Input | Check | Output</t>
        </is>
      </c>
      <c r="E6" s="29" t="inlineStr">
        <is>
          <t>01_ReadMe | 02_Assumptions | 03_Scenario_Setup | 04_DCF_Base | 05_Sensitivity | 06_Checks</t>
        </is>
      </c>
      <c r="F6" s="29" t="inlineStr">
        <is>
          <t>base_assumptions | wacc_range | terminal_growth_range | growth_scenarios</t>
        </is>
      </c>
      <c r="G6" s="29" t="inlineStr">
        <is>
          <t>scenario | sensitivity | case | bear | bull | check</t>
        </is>
      </c>
    </row>
    <row r="7" ht="24" customHeight="1">
      <c r="A7" s="24" t="inlineStr">
        <is>
          <t>MANUFACTURING_DRIVER_MODEL</t>
        </is>
      </c>
      <c r="B7" s="24" t="inlineStr">
        <is>
          <t>Manufacturing-style driver model inferred from sheets such as Sales, COGS, CAPEX, SG&amp;A, WC, TAX, DEBT and Backdata.</t>
        </is>
      </c>
      <c r="C7" s="24" t="inlineStr">
        <is>
          <t>제조업/DCF Valuation_after_22ver/DCF+CoCo Valuation+reporting 등 driver-based workbook</t>
        </is>
      </c>
      <c r="D7" s="24" t="inlineStr">
        <is>
          <t>DCF Results | Output☞ | Report | CoCo | DCF | FCST BS | FCST IS | FCST CF | WP☞ | Assumption | Sales | COGS | CAPEX | Payroll | SG&amp;A | DEBT | TAX | WC | WACC | Backdata☞</t>
        </is>
      </c>
      <c r="E7" s="24" t="inlineStr">
        <is>
          <t>01_ReadMe | 02_Assumptions | 03_Raw_Financials | 04_Driver_Input | 05_Revenue_COGS_SGA | 06_CAPEX_WC_Tax | 07_Forecast_FS | 08_WACC | 09_DCF | 10_CoCo | 11_Report</t>
        </is>
      </c>
      <c r="F7" s="24" t="inlineStr">
        <is>
          <t>historical_fs | sales_driver | margin_driver | capex_driver | working_capital_driver | tax_assumption | debt_assumption</t>
        </is>
      </c>
      <c r="G7" s="24" t="inlineStr">
        <is>
          <t>manufacturing | driver | sales | cogs | capex | wc | tax | coco</t>
        </is>
      </c>
    </row>
    <row r="8" ht="24" customHeight="1">
      <c r="A8" s="29" t="inlineStr">
        <is>
          <t>FPNA_BUDGET_FORECAST</t>
        </is>
      </c>
      <c r="B8" s="29" t="inlineStr">
        <is>
          <t>FP&amp;A budget/forecast model inferred from Legend, Scenario, Input, Inventory, Cost, Working Capital and Financial Statement sheets.</t>
        </is>
      </c>
      <c r="C8" s="29" t="inlineStr">
        <is>
          <t>FP&amp;A / Budget &amp; Forecast xlsm examples</t>
        </is>
      </c>
      <c r="D8" s="29" t="inlineStr">
        <is>
          <t>Legend | Scenario | Input | Inventory | Cost | Working capital | Dep &amp; Tax | Debt &amp; Equity | Financial Statement | Valuation | Check | Actual</t>
        </is>
      </c>
      <c r="E8" s="29" t="inlineStr">
        <is>
          <t>01_ReadMe | 02_Scenario | 03_Input | 04_Actual | 05_Budget_Forecast | 06_Working_Capital | 07_Debt_Equity | 08_Financial_Statement | 09_Valuation | 10_Check</t>
        </is>
      </c>
      <c r="F8" s="29" t="inlineStr">
        <is>
          <t>actual_fs | budget_assumptions | scenario_assumptions | inventory_driver | cost_driver | debt_equity_driver</t>
        </is>
      </c>
      <c r="G8" s="29" t="inlineStr">
        <is>
          <t>fp&amp;a | budget | forecast | scenario | inventory | cost | working capital</t>
        </is>
      </c>
    </row>
    <row r="9" ht="24" customHeight="1">
      <c r="A9" s="24" t="inlineStr">
        <is>
          <t>M_AND_A_DEAL_STRUCTURING</t>
        </is>
      </c>
      <c r="B9" s="24" t="inlineStr">
        <is>
          <t>M&amp;A/deal structuring workbook pattern for merger, secondary sale, rights offering and CB issuance outputs.</t>
        </is>
      </c>
      <c r="C9" s="24" t="inlineStr">
        <is>
          <t>M&amp;A modeling pack / deal structuring exercise</t>
        </is>
      </c>
      <c r="D9" s="24" t="inlineStr">
        <is>
          <t>합병 | 구주매각 | 유상증자 | CB발행 | Peer Analysis | FS (dart) | Peer data (CapIQ) | 참고) Peer List (네이버증권)</t>
        </is>
      </c>
      <c r="E9" s="24" t="inlineStr">
        <is>
          <t>01_ReadMe | 02_Deal_Assumptions | 03_Target_FS | 04_Peer_Comps | 05_Merger | 06_Equity_Issuance | 07_CB_Issuance | 08_Value_Impact | 09_Checks</t>
        </is>
      </c>
      <c r="F9" s="24" t="inlineStr">
        <is>
          <t>target_fs | peer_multiples | deal_assumptions | share_price | capital_structure</t>
        </is>
      </c>
      <c r="G9" s="24" t="inlineStr">
        <is>
          <t>m&amp;a | deal | merger | cb | issuance | peer analysis</t>
        </is>
      </c>
    </row>
    <row r="10" ht="24" customHeight="1">
      <c r="A10" s="29" t="inlineStr">
        <is>
          <t>LBO_CREDIT_CASE</t>
        </is>
      </c>
      <c r="B10" s="29" t="inlineStr">
        <is>
          <t>LBO/debt capacity style model inferred from assumptions, covenants, FCFF, debt and country/rate sheets.</t>
        </is>
      </c>
      <c r="C10" s="29" t="inlineStr">
        <is>
          <t>part10 LBO modeling pack</t>
        </is>
      </c>
      <c r="D10" s="29" t="inlineStr">
        <is>
          <t>Assumptions | Covenants | FCFF (Hold Co) | FCFF(Op) | 추정PL | Sales | PL | BS | Summary | 채권수익률</t>
        </is>
      </c>
      <c r="E10" s="29" t="inlineStr">
        <is>
          <t>01_ReadMe | 02_Assumptions | 03_FCFF | 04_Debt_Schedule | 05_Covenants | 06_Returns | 07_Credit_Checks</t>
        </is>
      </c>
      <c r="F10" s="29" t="inlineStr">
        <is>
          <t>fcff | debt_assumption | interest_rate | covenant_threshold | exit_multiple</t>
        </is>
      </c>
      <c r="G10" s="29" t="inlineStr">
        <is>
          <t>lbo | covenant | debt | fcff | exit | credit</t>
        </is>
      </c>
    </row>
    <row r="11" ht="24" customHeight="1">
      <c r="A11" s="24" t="inlineStr">
        <is>
          <t>RISK_DASHBOARD_EXPORT</t>
        </is>
      </c>
      <c r="B11" s="24" t="inlineStr">
        <is>
          <t>Dashboard/export workbook for investor-facing outputs, risk checks and downloadable payloads.</t>
        </is>
      </c>
      <c r="C11" s="24" t="inlineStr">
        <is>
          <t>ChatGPT로 완성하는 파이낸셜 모델링 및 재무기획 / 수업개요, 엑셀함수, 데이터베이스 스키마, Dashboard/Output</t>
        </is>
      </c>
      <c r="D11" s="24" t="inlineStr">
        <is>
          <t>수업개요 | 엑셀함수소개 | Sheet1 | Dashboard | Output</t>
        </is>
      </c>
      <c r="E11" s="24" t="inlineStr">
        <is>
          <t>01_ReadMe | 02_Raw_Data | 03_Normalized | 04_Output | 05_Dashboard_Export | 06_Checks</t>
        </is>
      </c>
      <c r="F11" s="24" t="inlineStr">
        <is>
          <t>valuation_metrics | risk_flags | chart_series | dashboard_payload | validation_status</t>
        </is>
      </c>
      <c r="G11" s="24" t="inlineStr">
        <is>
          <t>dashboard | output | export | risk | schema | check</t>
        </is>
      </c>
    </row>
  </sheetData>
  <autoFilter ref="A2:G11"/>
  <mergeCells count="1">
    <mergeCell ref="A1:F1"/>
  </mergeCells>
  <pageMargins left="0.75" right="0.75" top="1" bottom="1" header="0.5" footer="0.5"/>
  <pageSetup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4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티씨케이 투자자용 요약</t>
        </is>
      </c>
    </row>
    <row r="2" ht="28" customHeight="1">
      <c r="A2" s="17" t="inlineStr">
        <is>
          <t>Valuation Agent 단독 산출: 재무 원천·주가·DCF·Peer·ML 보조판단을 한 장으로 요약</t>
        </is>
      </c>
    </row>
    <row r="3" ht="24" customHeight="1"/>
    <row r="4" ht="24" customHeight="1">
      <c r="A4" s="22" t="inlineStr">
        <is>
          <t>투자자 핵심 요약</t>
        </is>
      </c>
    </row>
    <row r="5" ht="24" customHeight="1">
      <c r="A5" s="25" t="inlineStr">
        <is>
          <t>구분</t>
        </is>
      </c>
      <c r="B5" s="25" t="inlineStr">
        <is>
          <t>핵심값</t>
        </is>
      </c>
      <c r="C5" s="25" t="inlineStr">
        <is>
          <t>해석</t>
        </is>
      </c>
    </row>
    <row r="6" ht="24" customHeight="1">
      <c r="A6" s="24" t="inlineStr">
        <is>
          <t>데이터 상태</t>
        </is>
      </c>
      <c r="B6" s="24" t="inlineStr">
        <is>
          <t>PASS</t>
        </is>
      </c>
      <c r="C6" s="24" t="inlineStr">
        <is>
          <t>PASS이면 workbook/dashboard용 주요 입력값이 준비된 상태</t>
        </is>
      </c>
    </row>
    <row r="7" ht="24" customHeight="1">
      <c r="A7" s="29" t="inlineStr">
        <is>
          <t>현재가</t>
        </is>
      </c>
      <c r="B7" s="31" t="n">
        <v>274500</v>
      </c>
      <c r="C7" s="29" t="inlineStr">
        <is>
          <t>주가 intake 기준 최근 종가</t>
        </is>
      </c>
    </row>
    <row r="8" ht="24" customHeight="1">
      <c r="A8" s="24" t="inlineStr">
        <is>
          <t>시가총액</t>
        </is>
      </c>
      <c r="B8" s="30" t="n">
        <v>3068749692000</v>
      </c>
      <c r="C8" s="24" t="inlineStr">
        <is>
          <t>현재가 × 발행주식 수</t>
        </is>
      </c>
    </row>
    <row r="9" ht="24" customHeight="1">
      <c r="A9" s="29" t="inlineStr">
        <is>
          <t>최근 매출액</t>
        </is>
      </c>
      <c r="B9" s="31" t="n">
        <v>301334302844</v>
      </c>
      <c r="C9" s="29" t="inlineStr">
        <is>
          <t>DART 기반 정규화 재무제표</t>
        </is>
      </c>
    </row>
    <row r="10" ht="24" customHeight="1">
      <c r="A10" s="24" t="inlineStr">
        <is>
          <t>최근 영업이익률</t>
        </is>
      </c>
      <c r="B10" s="30" t="n">
        <v>0.2783862260992843</v>
      </c>
      <c r="C10" s="24" t="inlineStr">
        <is>
          <t>영업이익 / 매출액</t>
        </is>
      </c>
    </row>
    <row r="11" ht="24" customHeight="1">
      <c r="A11" s="29" t="inlineStr">
        <is>
          <t>최근 FCF margin</t>
        </is>
      </c>
      <c r="B11" s="31" t="n">
        <v>0.1793008498570139</v>
      </c>
      <c r="C11" s="29" t="inlineStr">
        <is>
          <t>FCF / 매출액</t>
        </is>
      </c>
    </row>
    <row r="12" ht="24" customHeight="1">
      <c r="A12" s="24" t="inlineStr">
        <is>
          <t>WACC</t>
        </is>
      </c>
      <c r="B12" s="30" t="n">
        <v>0.1414314233754703</v>
      </c>
      <c r="C12" s="24" t="inlineStr">
        <is>
          <t>DCF 할인율</t>
        </is>
      </c>
    </row>
    <row r="13" ht="24" customHeight="1">
      <c r="A13" s="29" t="inlineStr">
        <is>
          <t>DCF 기업가치</t>
        </is>
      </c>
      <c r="B13" s="31" t="n">
        <v>427095076750.7919</v>
      </c>
      <c r="C13" s="29" t="inlineStr">
        <is>
          <t>명시기간 FCF + Terminal Value 현재가치</t>
        </is>
      </c>
    </row>
    <row r="14" ht="24" customHeight="1">
      <c r="A14" s="24" t="inlineStr">
        <is>
          <t>DCF 내재주가</t>
        </is>
      </c>
      <c r="B14" s="30" t="n">
        <v>34593.8130528278</v>
      </c>
      <c r="C14" s="24" t="inlineStr">
        <is>
          <t>지분가치 / 발행주식 수</t>
        </is>
      </c>
    </row>
    <row r="15" ht="24" customHeight="1">
      <c r="A15" s="29" t="inlineStr">
        <is>
          <t>현재가 대비 괴리율</t>
        </is>
      </c>
      <c r="B15" s="31" t="n">
        <v>-0.8739751801354179</v>
      </c>
      <c r="C15" s="29" t="inlineStr">
        <is>
          <t>내재주가 / 현재가 - 1</t>
        </is>
      </c>
    </row>
    <row r="16" ht="24" customHeight="1">
      <c r="A16" s="24" t="inlineStr">
        <is>
          <t>P/S</t>
        </is>
      </c>
      <c r="B16" s="30" t="n">
        <v>1.238222113459768</v>
      </c>
      <c r="C16" s="24" t="inlineStr">
        <is>
          <t>피어 대비 저PSR 구간: 상대 저평가 가능성</t>
        </is>
      </c>
    </row>
    <row r="17" ht="24" customHeight="1">
      <c r="A17" s="29" t="inlineStr">
        <is>
          <t>Peer P/S 중앙값</t>
        </is>
      </c>
      <c r="B17" s="31" t="n">
        <v>3.430171921382347</v>
      </c>
      <c r="C17" s="29" t="inlineStr">
        <is>
          <t>5개 live peer 기준 상대가치 비교</t>
        </is>
      </c>
    </row>
    <row r="18" ht="24" customHeight="1">
      <c r="A18" s="24" t="inlineStr">
        <is>
          <t>208개 Universe</t>
        </is>
      </c>
      <c r="B18" s="30" t="n">
        <v>208</v>
      </c>
      <c r="C18" s="24" t="inlineStr">
        <is>
          <t>소재</t>
        </is>
      </c>
    </row>
    <row r="19" ht="24" customHeight="1">
      <c r="A19" s="29" t="inlineStr">
        <is>
          <t>1년 수익률</t>
        </is>
      </c>
      <c r="B19" s="31" t="n">
        <v>1.877358490566038</v>
      </c>
      <c r="C19" s="29" t="inlineStr">
        <is>
          <t>최근 약 1년 주가 변화</t>
        </is>
      </c>
    </row>
    <row r="20" ht="24" customHeight="1">
      <c r="A20" s="24" t="inlineStr">
        <is>
          <t>MDD</t>
        </is>
      </c>
      <c r="B20" s="30" t="n">
        <v>-0.6708922476840565</v>
      </c>
      <c r="C20" s="24" t="inlineStr">
        <is>
          <t>수집 기간 중 최대 낙폭</t>
        </is>
      </c>
    </row>
    <row r="21" ht="24" customHeight="1">
      <c r="A21" s="29" t="inlineStr">
        <is>
          <t>20일 평균 거래대금</t>
        </is>
      </c>
      <c r="B21" s="31" t="n">
        <v>22623238225</v>
      </c>
      <c r="C21" s="29" t="inlineStr">
        <is>
          <t>거래 유동성 proxy</t>
        </is>
      </c>
    </row>
    <row r="22" ht="24" customHeight="1">
      <c r="A22" s="22" t="inlineStr">
        <is>
          <t>활용 체크포인트</t>
        </is>
      </c>
      <c r="B22" s="32" t="n"/>
      <c r="C22" s="32" t="n"/>
      <c r="D22" s="32" t="n"/>
      <c r="E22" s="32" t="n"/>
      <c r="F22" s="33" t="n"/>
    </row>
    <row r="23" ht="24" customHeight="1">
      <c r="A23" s="25" t="inlineStr">
        <is>
          <t>체크포인트</t>
        </is>
      </c>
      <c r="B23" s="34" t="inlineStr">
        <is>
          <t>내용</t>
        </is>
      </c>
      <c r="C23" s="29" t="inlineStr">
        <is>
          <t>반도체 5개 focal universe</t>
        </is>
      </c>
    </row>
    <row r="24" ht="24" customHeight="1">
      <c r="A24" s="24" t="inlineStr">
        <is>
          <t>가중합 반영</t>
        </is>
      </c>
      <c r="B24" s="24" t="inlineStr">
        <is>
          <t>기존 Chair 5개 에이전트 가중합에는 미반영. 보조 가치평가·다운로드 산출물로 사용</t>
        </is>
      </c>
    </row>
    <row r="25" ht="24" customHeight="1">
      <c r="A25" s="29" t="inlineStr">
        <is>
          <t>Finance와 중복 방지</t>
        </is>
      </c>
      <c r="B25" s="29" t="inlineStr">
        <is>
          <t>finance_agent 산출물을 읽지 않고 valuation/intake 산출물만 사용</t>
        </is>
      </c>
    </row>
    <row r="26" ht="24" customHeight="1">
      <c r="A26" s="24" t="inlineStr">
        <is>
          <t>대시보드 연결</t>
        </is>
      </c>
      <c r="B26" s="24" t="inlineStr">
        <is>
          <t>dashboard_payload.json과 workbook 시트를 그대로 Streamlit/React 다운로드 영역에 연결 가능</t>
        </is>
      </c>
    </row>
    <row r="27" ht="24" customHeight="1">
      <c r="A27" s="29" t="inlineStr">
        <is>
          <t>PSR/208개 Universe</t>
        </is>
      </c>
      <c r="B27" s="29" t="inlineStr">
        <is>
          <t>P/S와 208개 반도체 reference universe를 함께 보여줘 단순 DCF보다 비교 설명력을 강화</t>
        </is>
      </c>
    </row>
    <row r="28" ht="24" customHeight="1">
      <c r="A28" s="24" t="inlineStr">
        <is>
          <t>해석 주의</t>
        </is>
      </c>
      <c r="B28" s="24" t="inlineStr">
        <is>
          <t>DCF는 가정 민감도가 크므로 WACC·성장률·FCF margin 민감도 시트와 함께 확인</t>
        </is>
      </c>
    </row>
  </sheetData>
  <autoFilter ref="A23:B28"/>
  <mergeCells count="4">
    <mergeCell ref="A1:J1"/>
    <mergeCell ref="A22:F22"/>
    <mergeCell ref="A4:F4"/>
    <mergeCell ref="A2:J2"/>
  </mergeCells>
  <pageMargins left="0.75" right="0.75" top="1" bottom="1" header="0.5" footer="0.5"/>
  <pageSetup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AH2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30" customHeight="1">
      <c r="A1" s="16" t="inlineStr">
        <is>
          <t>208개 반도체 Reference Universe</t>
        </is>
      </c>
    </row>
    <row r="2" ht="28" customHeight="1">
      <c r="A2" s="17" t="inlineStr">
        <is>
          <t>Tech의 대규모 반도체 universe와 같은 축을 Valuation Agent가 자체 intake로 복제해 PSR/ML 보조판단에 활용</t>
        </is>
      </c>
    </row>
    <row r="3" ht="24" customHeight="1"/>
    <row r="4" ht="24" customHeight="1">
      <c r="A4" s="22" t="inlineStr">
        <is>
          <t>Universe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</row>
    <row r="6" ht="24" customHeight="1">
      <c r="A6" s="24" t="inlineStr">
        <is>
          <t>status</t>
        </is>
      </c>
      <c r="B6" s="24" t="inlineStr">
        <is>
          <t>OK</t>
        </is>
      </c>
    </row>
    <row r="7" ht="24" customHeight="1">
      <c r="A7" s="29" t="inlineStr">
        <is>
          <t>created_at</t>
        </is>
      </c>
      <c r="B7" s="29" t="inlineStr">
        <is>
          <t>2026-05-20T13:41:36</t>
        </is>
      </c>
    </row>
    <row r="8" ht="24" customHeight="1">
      <c r="A8" s="24" t="inlineStr">
        <is>
          <t>reference_universe_rows</t>
        </is>
      </c>
      <c r="B8" s="30" t="n">
        <v>208</v>
      </c>
    </row>
    <row r="9" ht="24" customHeight="1">
      <c r="A9" s="29" t="inlineStr">
        <is>
          <t>focus_rows</t>
        </is>
      </c>
      <c r="B9" s="31" t="n">
        <v>40</v>
      </c>
    </row>
    <row r="10" ht="24" customHeight="1">
      <c r="A10" s="24" t="inlineStr">
        <is>
          <t>focal_5_rows</t>
        </is>
      </c>
      <c r="B10" s="30" t="n">
        <v>5</v>
      </c>
    </row>
    <row r="11" ht="24" customHeight="1">
      <c r="A11" s="29" t="inlineStr">
        <is>
          <t>target_company</t>
        </is>
      </c>
      <c r="B11" s="29" t="inlineStr">
        <is>
          <t>티씨케이</t>
        </is>
      </c>
    </row>
    <row r="12" ht="24" customHeight="1">
      <c r="A12" s="24" t="inlineStr">
        <is>
          <t>target_peer_group</t>
        </is>
      </c>
      <c r="B12" s="24" t="inlineStr">
        <is>
          <t>소재</t>
        </is>
      </c>
    </row>
    <row r="13" ht="24" customHeight="1">
      <c r="A13" s="29" t="inlineStr">
        <is>
          <t>target_peer_group_size</t>
        </is>
      </c>
      <c r="B13" s="31" t="n">
        <v>26</v>
      </c>
    </row>
    <row r="14" ht="24" customHeight="1">
      <c r="A14" s="24" t="inlineStr">
        <is>
          <t>attractive_rows</t>
        </is>
      </c>
      <c r="B14" s="30" t="n">
        <v>43</v>
      </c>
    </row>
    <row r="15" ht="24" customHeight="1">
      <c r="A15" s="29" t="inlineStr">
        <is>
          <t>high_risk_rows</t>
        </is>
      </c>
      <c r="B15" s="31" t="n">
        <v>67</v>
      </c>
    </row>
    <row r="16" ht="24" customHeight="1">
      <c r="A16" s="24" t="inlineStr">
        <is>
          <t>note</t>
        </is>
      </c>
      <c r="B16" s="24" t="inlineStr">
        <is>
          <t>Valuation Agent는 live DCF/PSR 산출과 별도로 208개 반도체 universe의 proxy score를 활용해 상대 위치를 보조 판단합니다.</t>
        </is>
      </c>
    </row>
    <row r="17" ht="24" customHeight="1">
      <c r="A17" s="29" t="inlineStr">
        <is>
          <t>source_path</t>
        </is>
      </c>
      <c r="B17" s="29" t="inlineStr">
        <is>
          <t>data/반도체/_sector_common/ml_universe/valuation_credit_ml_overlay_candidate.csv</t>
        </is>
      </c>
    </row>
    <row r="18" ht="24" customHeight="1">
      <c r="A18" s="24" t="inlineStr">
        <is>
          <t>exported_at</t>
        </is>
      </c>
      <c r="B18" s="24" t="inlineStr">
        <is>
          <t>2026-05-20T13:41:36</t>
        </is>
      </c>
    </row>
    <row r="19" ht="24" customHeight="1"/>
    <row r="20" ht="24" customHeight="1"/>
    <row r="21" ht="24" customHeight="1">
      <c r="A21" s="22" t="inlineStr">
        <is>
          <t>Target 중심 비교군</t>
        </is>
      </c>
    </row>
    <row r="22" ht="24" customHeight="1">
      <c r="A22" s="25" t="inlineStr">
        <is>
          <t>Universe 순번</t>
        </is>
      </c>
      <c r="B22" s="25" t="inlineStr">
        <is>
          <t>기업코드</t>
        </is>
      </c>
      <c r="C22" s="25" t="inlineStr">
        <is>
          <t>기업명</t>
        </is>
      </c>
      <c r="D22" s="25" t="inlineStr">
        <is>
          <t>종목코드</t>
        </is>
      </c>
      <c r="E22" s="25" t="inlineStr">
        <is>
          <t>시장</t>
        </is>
      </c>
      <c r="F22" s="25" t="inlineStr">
        <is>
          <t>피어 그룹</t>
        </is>
      </c>
      <c r="G22" s="25" t="inlineStr">
        <is>
          <t>반도체 세부군</t>
        </is>
      </c>
      <c r="H22" s="25" t="inlineStr">
        <is>
          <t>5개 핵심기업</t>
        </is>
      </c>
      <c r="I22" s="25" t="inlineStr">
        <is>
          <t>market_data_available</t>
        </is>
      </c>
      <c r="J22" s="25" t="inlineStr">
        <is>
          <t>데이터 품질</t>
        </is>
      </c>
      <c r="K22" s="25" t="inlineStr">
        <is>
          <t>데이터 품질 해석</t>
        </is>
      </c>
      <c r="L22" s="25" t="inlineStr">
        <is>
          <t>수동검토 우선순위</t>
        </is>
      </c>
      <c r="M22" s="25" t="inlineStr">
        <is>
          <t>수동검토 우선순위 해석</t>
        </is>
      </c>
      <c r="N22" s="25" t="inlineStr">
        <is>
          <t>Valuation Proxy 점수</t>
        </is>
      </c>
      <c r="O22" s="25" t="inlineStr">
        <is>
          <t>Valuation Proxy 라벨</t>
        </is>
      </c>
      <c r="P22" s="25" t="inlineStr">
        <is>
          <t>가치 라벨</t>
        </is>
      </c>
      <c r="Q22" s="25" t="inlineStr">
        <is>
          <t>valuation_pred_label</t>
        </is>
      </c>
      <c r="R22" s="25" t="inlineStr">
        <is>
          <t>Valuation 신뢰도</t>
        </is>
      </c>
      <c r="S22" s="25" t="inlineStr">
        <is>
          <t>valuation_confidence_bucket</t>
        </is>
      </c>
      <c r="T22" s="25" t="inlineStr">
        <is>
          <t>valuation_confidence_bucket_kr</t>
        </is>
      </c>
      <c r="U22" s="25" t="inlineStr">
        <is>
          <t>Credit Risk 점수</t>
        </is>
      </c>
      <c r="V22" s="25" t="inlineStr">
        <is>
          <t>Credit Risk 라벨</t>
        </is>
      </c>
      <c r="W22" s="25" t="inlineStr">
        <is>
          <t>신용위험 라벨</t>
        </is>
      </c>
      <c r="X22" s="25" t="inlineStr">
        <is>
          <t>credit_pred_label</t>
        </is>
      </c>
      <c r="Y22" s="25" t="inlineStr">
        <is>
          <t>Credit 신뢰도</t>
        </is>
      </c>
      <c r="Z22" s="25" t="inlineStr">
        <is>
          <t>credit_confidence_bucket</t>
        </is>
      </c>
      <c r="AA22" s="25" t="inlineStr">
        <is>
          <t>credit_confidence_bucket_kr</t>
        </is>
      </c>
      <c r="AB22" s="25" t="inlineStr">
        <is>
          <t>Credit 이상치 점수</t>
        </is>
      </c>
      <c r="AC22" s="25" t="inlineStr">
        <is>
          <t>credit_anomaly_flag_top15pct</t>
        </is>
      </c>
      <c r="AD22" s="25" t="inlineStr">
        <is>
          <t>auditor_requires_human_review</t>
        </is>
      </c>
      <c r="AE22" s="25" t="inlineStr">
        <is>
          <t>출처 유형</t>
        </is>
      </c>
      <c r="AF22" s="25" t="inlineStr">
        <is>
          <t>출처 설명</t>
        </is>
      </c>
      <c r="AG22" s="25" t="inlineStr">
        <is>
          <t>포함 사유</t>
        </is>
      </c>
      <c r="AH22" s="25" t="inlineStr">
        <is>
          <t>분석대상</t>
        </is>
      </c>
    </row>
    <row r="23" ht="24" customHeight="1">
      <c r="A23" s="24" t="inlineStr">
        <is>
          <t>145</t>
        </is>
      </c>
      <c r="B23" s="24" t="inlineStr">
        <is>
          <t>해당 없음</t>
        </is>
      </c>
      <c r="C23" s="24" t="inlineStr">
        <is>
          <t>티씨케이</t>
        </is>
      </c>
      <c r="D23" s="24" t="inlineStr">
        <is>
          <t>064760</t>
        </is>
      </c>
      <c r="E23" s="24" t="inlineStr">
        <is>
          <t>KOSDAQ GLOBAL</t>
        </is>
      </c>
      <c r="F23" s="24" t="inlineStr">
        <is>
          <t>소재</t>
        </is>
      </c>
      <c r="G23" s="24" t="inlineStr">
        <is>
          <t>소재</t>
        </is>
      </c>
      <c r="H23" s="24" t="inlineStr">
        <is>
          <t>False</t>
        </is>
      </c>
      <c r="I23" s="24" t="inlineStr">
        <is>
          <t>True</t>
        </is>
      </c>
      <c r="J23" s="24" t="inlineStr">
        <is>
          <t>OK</t>
        </is>
      </c>
      <c r="K23" s="24" t="inlineStr">
        <is>
          <t>데이터 사용 가능</t>
        </is>
      </c>
      <c r="L23" s="24" t="inlineStr">
        <is>
          <t>LOW</t>
        </is>
      </c>
      <c r="M23" s="24" t="inlineStr">
        <is>
          <t>LOW</t>
        </is>
      </c>
      <c r="N23" s="24" t="inlineStr">
        <is>
          <t>0.4956410256410256</t>
        </is>
      </c>
      <c r="O23" s="24" t="inlineStr">
        <is>
          <t>FAIR</t>
        </is>
      </c>
      <c r="P23" s="24" t="inlineStr">
        <is>
          <t>FAIR</t>
        </is>
      </c>
      <c r="Q23" s="24" t="inlineStr">
        <is>
          <t>FAIR</t>
        </is>
      </c>
      <c r="R23" s="24" t="inlineStr">
        <is>
          <t>0.6535546916238612</t>
        </is>
      </c>
      <c r="S23" s="24" t="inlineStr">
        <is>
          <t>MEDIUM</t>
        </is>
      </c>
      <c r="T23" s="24" t="inlineStr">
        <is>
          <t>MEDIUM</t>
        </is>
      </c>
      <c r="U23" s="24" t="inlineStr">
        <is>
          <t>0.0</t>
        </is>
      </c>
      <c r="V23" s="24" t="inlineStr">
        <is>
          <t>LOW_RISK</t>
        </is>
      </c>
      <c r="W23" s="24" t="inlineStr">
        <is>
          <t>저위험</t>
        </is>
      </c>
      <c r="X23" s="24" t="inlineStr">
        <is>
          <t>LOW_RISK</t>
        </is>
      </c>
      <c r="Y23" s="24" t="inlineStr">
        <is>
          <t>0.7960429313317705</t>
        </is>
      </c>
      <c r="Z23" s="24" t="inlineStr">
        <is>
          <t>HIGH</t>
        </is>
      </c>
      <c r="AA23" s="24" t="inlineStr">
        <is>
          <t>HIGH</t>
        </is>
      </c>
      <c r="AB23" s="24" t="inlineStr">
        <is>
          <t>0.151556576218825</t>
        </is>
      </c>
      <c r="AC23" s="24" t="inlineStr">
        <is>
          <t>False</t>
        </is>
      </c>
      <c r="AD23" s="24" t="inlineStr">
        <is>
          <t>False</t>
        </is>
      </c>
      <c r="AE23" s="24" t="inlineStr">
        <is>
          <t>valuation_credit_ml_overlay_candidate.csv</t>
        </is>
      </c>
      <c r="AF23" s="24" t="inlineStr">
        <is>
          <t>208개 반도체 reference universe. Valuation Agent가 자체 intake 폴더로 복제해 Peer/ML/대시보드 비교에 사용.</t>
        </is>
      </c>
      <c r="AG23" s="24" t="inlineStr">
        <is>
          <t>TARGET</t>
        </is>
      </c>
      <c r="AH23" s="24" t="inlineStr">
        <is>
          <t>True</t>
        </is>
      </c>
    </row>
    <row r="24" ht="24" customHeight="1">
      <c r="A24" s="29" t="inlineStr">
        <is>
          <t>139</t>
        </is>
      </c>
      <c r="B24" s="29" t="inlineStr">
        <is>
          <t>해당 없음</t>
        </is>
      </c>
      <c r="C24" s="29" t="inlineStr">
        <is>
          <t>월덱스</t>
        </is>
      </c>
      <c r="D24" s="29" t="inlineStr">
        <is>
          <t>101160</t>
        </is>
      </c>
      <c r="E24" s="29" t="inlineStr">
        <is>
          <t>KOSDAQ</t>
        </is>
      </c>
      <c r="F24" s="29" t="inlineStr">
        <is>
          <t>소재</t>
        </is>
      </c>
      <c r="G24" s="29" t="inlineStr">
        <is>
          <t>소재</t>
        </is>
      </c>
      <c r="H24" s="29" t="inlineStr">
        <is>
          <t>False</t>
        </is>
      </c>
      <c r="I24" s="29" t="inlineStr">
        <is>
          <t>True</t>
        </is>
      </c>
      <c r="J24" s="29" t="inlineStr">
        <is>
          <t>OK</t>
        </is>
      </c>
      <c r="K24" s="29" t="inlineStr">
        <is>
          <t>데이터 사용 가능</t>
        </is>
      </c>
      <c r="L24" s="29" t="inlineStr">
        <is>
          <t>LOW</t>
        </is>
      </c>
      <c r="M24" s="29" t="inlineStr">
        <is>
          <t>LOW</t>
        </is>
      </c>
      <c r="N24" s="29" t="inlineStr">
        <is>
          <t>0.745897435897436</t>
        </is>
      </c>
      <c r="O24" s="29" t="inlineStr">
        <is>
          <t>ATTRACTIVE</t>
        </is>
      </c>
      <c r="P24" s="29" t="inlineStr">
        <is>
          <t>가치 매력</t>
        </is>
      </c>
      <c r="Q24" s="29" t="inlineStr">
        <is>
          <t>ATTRACTIVE</t>
        </is>
      </c>
      <c r="R24" s="29" t="inlineStr">
        <is>
          <t>0.9476922450763601</t>
        </is>
      </c>
      <c r="S24" s="29" t="inlineStr">
        <is>
          <t>HIGH</t>
        </is>
      </c>
      <c r="T24" s="29" t="inlineStr">
        <is>
          <t>HIGH</t>
        </is>
      </c>
      <c r="U24" s="29" t="inlineStr">
        <is>
          <t>0.0</t>
        </is>
      </c>
      <c r="V24" s="29" t="inlineStr">
        <is>
          <t>LOW_RISK</t>
        </is>
      </c>
      <c r="W24" s="29" t="inlineStr">
        <is>
          <t>저위험</t>
        </is>
      </c>
      <c r="X24" s="29" t="inlineStr">
        <is>
          <t>LOW_RISK</t>
        </is>
      </c>
      <c r="Y24" s="29" t="inlineStr">
        <is>
          <t>0.9681016473230849</t>
        </is>
      </c>
      <c r="Z24" s="29" t="inlineStr">
        <is>
          <t>HIGH</t>
        </is>
      </c>
      <c r="AA24" s="29" t="inlineStr">
        <is>
          <t>HIGH</t>
        </is>
      </c>
      <c r="AB24" s="29" t="inlineStr">
        <is>
          <t>0.15527064195126172</t>
        </is>
      </c>
      <c r="AC24" s="29" t="inlineStr">
        <is>
          <t>False</t>
        </is>
      </c>
      <c r="AD24" s="29" t="inlineStr">
        <is>
          <t>False</t>
        </is>
      </c>
      <c r="AE24" s="29" t="inlineStr">
        <is>
          <t>valuation_credit_ml_overlay_candidate.csv</t>
        </is>
      </c>
      <c r="AF24" s="29" t="inlineStr">
        <is>
          <t>208개 반도체 reference universe. Valuation Agent가 자체 intake 폴더로 복제해 Peer/ML/대시보드 비교에 사용.</t>
        </is>
      </c>
      <c r="AG24" s="29" t="inlineStr">
        <is>
          <t>SAME_PEER_GROUP</t>
        </is>
      </c>
      <c r="AH24" s="29" t="inlineStr">
        <is>
          <t>False</t>
        </is>
      </c>
    </row>
    <row r="25" ht="24" customHeight="1">
      <c r="A25" s="24" t="inlineStr">
        <is>
          <t>147</t>
        </is>
      </c>
      <c r="B25" s="24" t="inlineStr">
        <is>
          <t>해당 없음</t>
        </is>
      </c>
      <c r="C25" s="24" t="inlineStr">
        <is>
          <t>퓨릿</t>
        </is>
      </c>
      <c r="D25" s="24" t="inlineStr">
        <is>
          <t>445180</t>
        </is>
      </c>
      <c r="E25" s="24" t="inlineStr">
        <is>
          <t>KOSDAQ</t>
        </is>
      </c>
      <c r="F25" s="24" t="inlineStr">
        <is>
          <t>소재</t>
        </is>
      </c>
      <c r="G25" s="24" t="inlineStr">
        <is>
          <t>소재</t>
        </is>
      </c>
      <c r="H25" s="24" t="inlineStr">
        <is>
          <t>False</t>
        </is>
      </c>
      <c r="I25" s="24" t="inlineStr">
        <is>
          <t>True</t>
        </is>
      </c>
      <c r="J25" s="24" t="inlineStr">
        <is>
          <t>OK_LIMITED_HISTORY_OR_GROWTH_NA</t>
        </is>
      </c>
      <c r="K25" s="24" t="inlineStr">
        <is>
          <t>데이터 사용 가능</t>
        </is>
      </c>
      <c r="L25" s="24" t="inlineStr">
        <is>
          <t>LOW</t>
        </is>
      </c>
      <c r="M25" s="24" t="inlineStr">
        <is>
          <t>LOW</t>
        </is>
      </c>
      <c r="N25" s="24" t="inlineStr">
        <is>
          <t>0.7448717948717948</t>
        </is>
      </c>
      <c r="O25" s="24" t="inlineStr">
        <is>
          <t>ATTRACTIVE</t>
        </is>
      </c>
      <c r="P25" s="24" t="inlineStr">
        <is>
          <t>가치 매력</t>
        </is>
      </c>
      <c r="Q25" s="24" t="inlineStr">
        <is>
          <t>ATTRACTIVE</t>
        </is>
      </c>
      <c r="R25" s="24" t="inlineStr">
        <is>
          <t>0.8817607106455689</t>
        </is>
      </c>
      <c r="S25" s="24" t="inlineStr">
        <is>
          <t>HIGH</t>
        </is>
      </c>
      <c r="T25" s="24" t="inlineStr">
        <is>
          <t>HIGH</t>
        </is>
      </c>
      <c r="U25" s="24" t="inlineStr">
        <is>
          <t>0.0714285714285714</t>
        </is>
      </c>
      <c r="V25" s="24" t="inlineStr">
        <is>
          <t>LOW_RISK</t>
        </is>
      </c>
      <c r="W25" s="24" t="inlineStr">
        <is>
          <t>저위험</t>
        </is>
      </c>
      <c r="X25" s="24" t="inlineStr">
        <is>
          <t>LOW_RISK</t>
        </is>
      </c>
      <c r="Y25" s="24" t="inlineStr">
        <is>
          <t>0.9587686707140917</t>
        </is>
      </c>
      <c r="Z25" s="24" t="inlineStr">
        <is>
          <t>HIGH</t>
        </is>
      </c>
      <c r="AA25" s="24" t="inlineStr">
        <is>
          <t>HIGH</t>
        </is>
      </c>
      <c r="AB25" s="24" t="inlineStr">
        <is>
          <t>0.09055441585311619</t>
        </is>
      </c>
      <c r="AC25" s="24" t="inlineStr">
        <is>
          <t>False</t>
        </is>
      </c>
      <c r="AD25" s="24" t="inlineStr">
        <is>
          <t>True</t>
        </is>
      </c>
      <c r="AE25" s="24" t="inlineStr">
        <is>
          <t>valuation_credit_ml_overlay_candidate.csv</t>
        </is>
      </c>
      <c r="AF25" s="24" t="inlineStr">
        <is>
          <t>208개 반도체 reference universe. Valuation Agent가 자체 intake 폴더로 복제해 Peer/ML/대시보드 비교에 사용.</t>
        </is>
      </c>
      <c r="AG25" s="24" t="inlineStr">
        <is>
          <t>SAME_PEER_GROUP</t>
        </is>
      </c>
      <c r="AH25" s="24" t="inlineStr">
        <is>
          <t>False</t>
        </is>
      </c>
    </row>
    <row r="26" ht="24" customHeight="1">
      <c r="A26" s="29" t="inlineStr">
        <is>
          <t>141</t>
        </is>
      </c>
      <c r="B26" s="29" t="inlineStr">
        <is>
          <t>해당 없음</t>
        </is>
      </c>
      <c r="C26" s="29" t="inlineStr">
        <is>
          <t>이엔에프테크놀로지</t>
        </is>
      </c>
      <c r="D26" s="29" t="inlineStr">
        <is>
          <t>102710</t>
        </is>
      </c>
      <c r="E26" s="29" t="inlineStr">
        <is>
          <t>KOSDAQ</t>
        </is>
      </c>
      <c r="F26" s="29" t="inlineStr">
        <is>
          <t>소재</t>
        </is>
      </c>
      <c r="G26" s="29" t="inlineStr">
        <is>
          <t>소재</t>
        </is>
      </c>
      <c r="H26" s="29" t="inlineStr">
        <is>
          <t>False</t>
        </is>
      </c>
      <c r="I26" s="29" t="inlineStr">
        <is>
          <t>True</t>
        </is>
      </c>
      <c r="J26" s="29" t="inlineStr">
        <is>
          <t>OK</t>
        </is>
      </c>
      <c r="K26" s="29" t="inlineStr">
        <is>
          <t>데이터 사용 가능</t>
        </is>
      </c>
      <c r="L26" s="29" t="inlineStr">
        <is>
          <t>LOW</t>
        </is>
      </c>
      <c r="M26" s="29" t="inlineStr">
        <is>
          <t>LOW</t>
        </is>
      </c>
      <c r="N26" s="29" t="inlineStr">
        <is>
          <t>0.7061538461538462</t>
        </is>
      </c>
      <c r="O26" s="29" t="inlineStr">
        <is>
          <t>ATTRACTIVE</t>
        </is>
      </c>
      <c r="P26" s="29" t="inlineStr">
        <is>
          <t>가치 매력</t>
        </is>
      </c>
      <c r="Q26" s="29" t="inlineStr">
        <is>
          <t>ATTRACTIVE</t>
        </is>
      </c>
      <c r="R26" s="29" t="inlineStr">
        <is>
          <t>0.9371627732042065</t>
        </is>
      </c>
      <c r="S26" s="29" t="inlineStr">
        <is>
          <t>HIGH</t>
        </is>
      </c>
      <c r="T26" s="29" t="inlineStr">
        <is>
          <t>HIGH</t>
        </is>
      </c>
      <c r="U26" s="29" t="inlineStr">
        <is>
          <t>0.0</t>
        </is>
      </c>
      <c r="V26" s="29" t="inlineStr">
        <is>
          <t>LOW_RISK</t>
        </is>
      </c>
      <c r="W26" s="29" t="inlineStr">
        <is>
          <t>저위험</t>
        </is>
      </c>
      <c r="X26" s="29" t="inlineStr">
        <is>
          <t>LOW_RISK</t>
        </is>
      </c>
      <c r="Y26" s="29" t="inlineStr">
        <is>
          <t>0.8730332003988217</t>
        </is>
      </c>
      <c r="Z26" s="29" t="inlineStr">
        <is>
          <t>HIGH</t>
        </is>
      </c>
      <c r="AA26" s="29" t="inlineStr">
        <is>
          <t>HIGH</t>
        </is>
      </c>
      <c r="AB26" s="29" t="inlineStr">
        <is>
          <t>0.01762692878431683</t>
        </is>
      </c>
      <c r="AC26" s="29" t="inlineStr">
        <is>
          <t>False</t>
        </is>
      </c>
      <c r="AD26" s="29" t="inlineStr">
        <is>
          <t>False</t>
        </is>
      </c>
      <c r="AE26" s="29" t="inlineStr">
        <is>
          <t>valuation_credit_ml_overlay_candidate.csv</t>
        </is>
      </c>
      <c r="AF26" s="29" t="inlineStr">
        <is>
          <t>208개 반도체 reference universe. Valuation Agent가 자체 intake 폴더로 복제해 Peer/ML/대시보드 비교에 사용.</t>
        </is>
      </c>
      <c r="AG26" s="29" t="inlineStr">
        <is>
          <t>SAME_PEER_GROUP</t>
        </is>
      </c>
      <c r="AH26" s="29" t="inlineStr">
        <is>
          <t>False</t>
        </is>
      </c>
    </row>
    <row r="27" ht="24" customHeight="1">
      <c r="A27" s="24" t="inlineStr">
        <is>
          <t>138</t>
        </is>
      </c>
      <c r="B27" s="24" t="inlineStr">
        <is>
          <t>해당 없음</t>
        </is>
      </c>
      <c r="C27" s="24" t="inlineStr">
        <is>
          <t>원익머트리얼즈</t>
        </is>
      </c>
      <c r="D27" s="24" t="inlineStr">
        <is>
          <t>104830</t>
        </is>
      </c>
      <c r="E27" s="24" t="inlineStr">
        <is>
          <t>KOSDAQ</t>
        </is>
      </c>
      <c r="F27" s="24" t="inlineStr">
        <is>
          <t>소재</t>
        </is>
      </c>
      <c r="G27" s="24" t="inlineStr">
        <is>
          <t>소재</t>
        </is>
      </c>
      <c r="H27" s="24" t="inlineStr">
        <is>
          <t>False</t>
        </is>
      </c>
      <c r="I27" s="24" t="inlineStr">
        <is>
          <t>True</t>
        </is>
      </c>
      <c r="J27" s="24" t="inlineStr">
        <is>
          <t>OK</t>
        </is>
      </c>
      <c r="K27" s="24" t="inlineStr">
        <is>
          <t>데이터 사용 가능</t>
        </is>
      </c>
      <c r="L27" s="24" t="inlineStr">
        <is>
          <t>LOW</t>
        </is>
      </c>
      <c r="M27" s="24" t="inlineStr">
        <is>
          <t>LOW</t>
        </is>
      </c>
      <c r="N27" s="24" t="inlineStr">
        <is>
          <t>0.6682051282051282</t>
        </is>
      </c>
      <c r="O27" s="24" t="inlineStr">
        <is>
          <t>FAIR</t>
        </is>
      </c>
      <c r="P27" s="24" t="inlineStr">
        <is>
          <t>FAIR</t>
        </is>
      </c>
      <c r="Q27" s="24" t="inlineStr">
        <is>
          <t>FAIR</t>
        </is>
      </c>
      <c r="R27" s="24" t="inlineStr">
        <is>
          <t>0.9160049727267536</t>
        </is>
      </c>
      <c r="S27" s="24" t="inlineStr">
        <is>
          <t>HIGH</t>
        </is>
      </c>
      <c r="T27" s="24" t="inlineStr">
        <is>
          <t>HIGH</t>
        </is>
      </c>
      <c r="U27" s="24" t="inlineStr">
        <is>
          <t>0.0714285714285714</t>
        </is>
      </c>
      <c r="V27" s="24" t="inlineStr">
        <is>
          <t>LOW_RISK</t>
        </is>
      </c>
      <c r="W27" s="24" t="inlineStr">
        <is>
          <t>저위험</t>
        </is>
      </c>
      <c r="X27" s="24" t="inlineStr">
        <is>
          <t>LOW_RISK</t>
        </is>
      </c>
      <c r="Y27" s="24" t="inlineStr">
        <is>
          <t>0.9269592012859288</t>
        </is>
      </c>
      <c r="Z27" s="24" t="inlineStr">
        <is>
          <t>HIGH</t>
        </is>
      </c>
      <c r="AA27" s="24" t="inlineStr">
        <is>
          <t>HIGH</t>
        </is>
      </c>
      <c r="AB27" s="24" t="inlineStr">
        <is>
          <t>0.08809933839296093</t>
        </is>
      </c>
      <c r="AC27" s="24" t="inlineStr">
        <is>
          <t>False</t>
        </is>
      </c>
      <c r="AD27" s="24" t="inlineStr">
        <is>
          <t>False</t>
        </is>
      </c>
      <c r="AE27" s="24" t="inlineStr">
        <is>
          <t>valuation_credit_ml_overlay_candidate.csv</t>
        </is>
      </c>
      <c r="AF27" s="24" t="inlineStr">
        <is>
          <t>208개 반도체 reference universe. Valuation Agent가 자체 intake 폴더로 복제해 Peer/ML/대시보드 비교에 사용.</t>
        </is>
      </c>
      <c r="AG27" s="24" t="inlineStr">
        <is>
          <t>SAME_PEER_GROUP</t>
        </is>
      </c>
      <c r="AH27" s="24" t="inlineStr">
        <is>
          <t>False</t>
        </is>
      </c>
    </row>
    <row r="28" ht="24" customHeight="1">
      <c r="A28" s="29" t="inlineStr">
        <is>
          <t>130</t>
        </is>
      </c>
      <c r="B28" s="29" t="inlineStr">
        <is>
          <t>해당 없음</t>
        </is>
      </c>
      <c r="C28" s="29" t="inlineStr">
        <is>
          <t>솔브레인홀딩스</t>
        </is>
      </c>
      <c r="D28" s="29" t="inlineStr">
        <is>
          <t>036830</t>
        </is>
      </c>
      <c r="E28" s="29" t="inlineStr">
        <is>
          <t>KOSDAQ GLOBAL</t>
        </is>
      </c>
      <c r="F28" s="29" t="inlineStr">
        <is>
          <t>소재</t>
        </is>
      </c>
      <c r="G28" s="29" t="inlineStr">
        <is>
          <t>소재</t>
        </is>
      </c>
      <c r="H28" s="29" t="inlineStr">
        <is>
          <t>False</t>
        </is>
      </c>
      <c r="I28" s="29" t="inlineStr">
        <is>
          <t>True</t>
        </is>
      </c>
      <c r="J28" s="29" t="inlineStr">
        <is>
          <t>OK</t>
        </is>
      </c>
      <c r="K28" s="29" t="inlineStr">
        <is>
          <t>데이터 사용 가능</t>
        </is>
      </c>
      <c r="L28" s="29" t="inlineStr">
        <is>
          <t>LOW</t>
        </is>
      </c>
      <c r="M28" s="29" t="inlineStr">
        <is>
          <t>LOW</t>
        </is>
      </c>
      <c r="N28" s="29" t="inlineStr">
        <is>
          <t>0.6666666666666667</t>
        </is>
      </c>
      <c r="O28" s="29" t="inlineStr">
        <is>
          <t>ATTRACTIVE</t>
        </is>
      </c>
      <c r="P28" s="29" t="inlineStr">
        <is>
          <t>가치 매력</t>
        </is>
      </c>
      <c r="Q28" s="29" t="inlineStr">
        <is>
          <t>ATTRACTIVE</t>
        </is>
      </c>
      <c r="R28" s="29" t="inlineStr">
        <is>
          <t>0.5229115612060397</t>
        </is>
      </c>
      <c r="S28" s="29" t="inlineStr">
        <is>
          <t>MEDIUM</t>
        </is>
      </c>
      <c r="T28" s="29" t="inlineStr">
        <is>
          <t>MEDIUM</t>
        </is>
      </c>
      <c r="U28" s="29" t="inlineStr">
        <is>
          <t>0.0</t>
        </is>
      </c>
      <c r="V28" s="29" t="inlineStr">
        <is>
          <t>LOW_RISK</t>
        </is>
      </c>
      <c r="W28" s="29" t="inlineStr">
        <is>
          <t>저위험</t>
        </is>
      </c>
      <c r="X28" s="29" t="inlineStr">
        <is>
          <t>LOW_RISK</t>
        </is>
      </c>
      <c r="Y28" s="29" t="inlineStr">
        <is>
          <t>0.8942479649490351</t>
        </is>
      </c>
      <c r="Z28" s="29" t="inlineStr">
        <is>
          <t>HIGH</t>
        </is>
      </c>
      <c r="AA28" s="29" t="inlineStr">
        <is>
          <t>HIGH</t>
        </is>
      </c>
      <c r="AB28" s="29" t="inlineStr">
        <is>
          <t>0.13058276838656327</t>
        </is>
      </c>
      <c r="AC28" s="29" t="inlineStr">
        <is>
          <t>False</t>
        </is>
      </c>
      <c r="AD28" s="29" t="inlineStr">
        <is>
          <t>False</t>
        </is>
      </c>
      <c r="AE28" s="29" t="inlineStr">
        <is>
          <t>valuation_credit_ml_overlay_candidate.csv</t>
        </is>
      </c>
      <c r="AF28" s="29" t="inlineStr">
        <is>
          <t>208개 반도체 reference universe. Valuation Agent가 자체 intake 폴더로 복제해 Peer/ML/대시보드 비교에 사용.</t>
        </is>
      </c>
      <c r="AG28" s="29" t="inlineStr">
        <is>
          <t>SAME_PEER_GROUP</t>
        </is>
      </c>
      <c r="AH28" s="29" t="inlineStr">
        <is>
          <t>False</t>
        </is>
      </c>
    </row>
    <row r="29" ht="24" customHeight="1">
      <c r="A29" s="24" t="inlineStr">
        <is>
          <t>148</t>
        </is>
      </c>
      <c r="B29" s="24" t="inlineStr">
        <is>
          <t>hansol</t>
        </is>
      </c>
      <c r="C29" s="24" t="inlineStr">
        <is>
          <t>한솔케미칼</t>
        </is>
      </c>
      <c r="D29" s="24" t="inlineStr">
        <is>
          <t>014680</t>
        </is>
      </c>
      <c r="E29" s="24" t="inlineStr">
        <is>
          <t>KOSPI</t>
        </is>
      </c>
      <c r="F29" s="24" t="inlineStr">
        <is>
          <t>소재</t>
        </is>
      </c>
      <c r="G29" s="24" t="inlineStr">
        <is>
          <t>소재</t>
        </is>
      </c>
      <c r="H29" s="24" t="inlineStr">
        <is>
          <t>True</t>
        </is>
      </c>
      <c r="I29" s="24" t="inlineStr">
        <is>
          <t>True</t>
        </is>
      </c>
      <c r="J29" s="24" t="inlineStr">
        <is>
          <t>OK</t>
        </is>
      </c>
      <c r="K29" s="24" t="inlineStr">
        <is>
          <t>데이터 사용 가능</t>
        </is>
      </c>
      <c r="L29" s="24" t="inlineStr">
        <is>
          <t>LOW</t>
        </is>
      </c>
      <c r="M29" s="24" t="inlineStr">
        <is>
          <t>LOW</t>
        </is>
      </c>
      <c r="N29" s="24" t="inlineStr">
        <is>
          <t>0.6330769230769231</t>
        </is>
      </c>
      <c r="O29" s="24" t="inlineStr">
        <is>
          <t>ATTRACTIVE</t>
        </is>
      </c>
      <c r="P29" s="24" t="inlineStr">
        <is>
          <t>가치 매력</t>
        </is>
      </c>
      <c r="Q29" s="24" t="inlineStr">
        <is>
          <t>ATTRACTIVE</t>
        </is>
      </c>
      <c r="R29" s="24" t="inlineStr">
        <is>
          <t>0.8364696976606926</t>
        </is>
      </c>
      <c r="S29" s="24" t="inlineStr">
        <is>
          <t>HIGH</t>
        </is>
      </c>
      <c r="T29" s="24" t="inlineStr">
        <is>
          <t>HIGH</t>
        </is>
      </c>
      <c r="U29" s="24" t="inlineStr">
        <is>
          <t>0.0</t>
        </is>
      </c>
      <c r="V29" s="24" t="inlineStr">
        <is>
          <t>LOW_RISK</t>
        </is>
      </c>
      <c r="W29" s="24" t="inlineStr">
        <is>
          <t>저위험</t>
        </is>
      </c>
      <c r="X29" s="24" t="inlineStr">
        <is>
          <t>LOW_RISK</t>
        </is>
      </c>
      <c r="Y29" s="24" t="inlineStr">
        <is>
          <t>0.9711543901439185</t>
        </is>
      </c>
      <c r="Z29" s="24" t="inlineStr">
        <is>
          <t>HIGH</t>
        </is>
      </c>
      <c r="AA29" s="24" t="inlineStr">
        <is>
          <t>HIGH</t>
        </is>
      </c>
      <c r="AB29" s="24" t="inlineStr">
        <is>
          <t>0.058190310497948615</t>
        </is>
      </c>
      <c r="AC29" s="24" t="inlineStr">
        <is>
          <t>False</t>
        </is>
      </c>
      <c r="AD29" s="24" t="inlineStr">
        <is>
          <t>False</t>
        </is>
      </c>
      <c r="AE29" s="24" t="inlineStr">
        <is>
          <t>valuation_credit_ml_overlay_candidate.csv</t>
        </is>
      </c>
      <c r="AF29" s="24" t="inlineStr">
        <is>
          <t>208개 반도체 reference universe. Valuation Agent가 자체 intake 폴더로 복제해 Peer/ML/대시보드 비교에 사용.</t>
        </is>
      </c>
      <c r="AG29" s="24" t="inlineStr">
        <is>
          <t>SAME_PEER_GROUP</t>
        </is>
      </c>
      <c r="AH29" s="24" t="inlineStr">
        <is>
          <t>False</t>
        </is>
      </c>
    </row>
    <row r="30" ht="24" customHeight="1">
      <c r="A30" s="29" t="inlineStr">
        <is>
          <t>140</t>
        </is>
      </c>
      <c r="B30" s="29" t="inlineStr">
        <is>
          <t>해당 없음</t>
        </is>
      </c>
      <c r="C30" s="29" t="inlineStr">
        <is>
          <t>이녹스첨단소재</t>
        </is>
      </c>
      <c r="D30" s="29" t="inlineStr">
        <is>
          <t>272290</t>
        </is>
      </c>
      <c r="E30" s="29" t="inlineStr">
        <is>
          <t>KOSDAQ GLOBAL</t>
        </is>
      </c>
      <c r="F30" s="29" t="inlineStr">
        <is>
          <t>소재</t>
        </is>
      </c>
      <c r="G30" s="29" t="inlineStr">
        <is>
          <t>소재</t>
        </is>
      </c>
      <c r="H30" s="29" t="inlineStr">
        <is>
          <t>False</t>
        </is>
      </c>
      <c r="I30" s="29" t="inlineStr">
        <is>
          <t>True</t>
        </is>
      </c>
      <c r="J30" s="29" t="inlineStr">
        <is>
          <t>OK</t>
        </is>
      </c>
      <c r="K30" s="29" t="inlineStr">
        <is>
          <t>데이터 사용 가능</t>
        </is>
      </c>
      <c r="L30" s="29" t="inlineStr">
        <is>
          <t>LOW</t>
        </is>
      </c>
      <c r="M30" s="29" t="inlineStr">
        <is>
          <t>LOW</t>
        </is>
      </c>
      <c r="N30" s="29" t="inlineStr">
        <is>
          <t>0.6312820512820514</t>
        </is>
      </c>
      <c r="O30" s="29" t="inlineStr">
        <is>
          <t>FAIR</t>
        </is>
      </c>
      <c r="P30" s="29" t="inlineStr">
        <is>
          <t>FAIR</t>
        </is>
      </c>
      <c r="Q30" s="29" t="inlineStr">
        <is>
          <t>FAIR</t>
        </is>
      </c>
      <c r="R30" s="29" t="inlineStr">
        <is>
          <t>0.900184891106931</t>
        </is>
      </c>
      <c r="S30" s="29" t="inlineStr">
        <is>
          <t>HIGH</t>
        </is>
      </c>
      <c r="T30" s="29" t="inlineStr">
        <is>
          <t>HIGH</t>
        </is>
      </c>
      <c r="U30" s="29" t="inlineStr">
        <is>
          <t>0.0714285714285714</t>
        </is>
      </c>
      <c r="V30" s="29" t="inlineStr">
        <is>
          <t>LOW_RISK</t>
        </is>
      </c>
      <c r="W30" s="29" t="inlineStr">
        <is>
          <t>저위험</t>
        </is>
      </c>
      <c r="X30" s="29" t="inlineStr">
        <is>
          <t>LOW_RISK</t>
        </is>
      </c>
      <c r="Y30" s="29" t="inlineStr">
        <is>
          <t>0.7417939360948919</t>
        </is>
      </c>
      <c r="Z30" s="29" t="inlineStr">
        <is>
          <t>HIGH</t>
        </is>
      </c>
      <c r="AA30" s="29" t="inlineStr">
        <is>
          <t>HIGH</t>
        </is>
      </c>
      <c r="AB30" s="29" t="inlineStr">
        <is>
          <t>0.06763542968359648</t>
        </is>
      </c>
      <c r="AC30" s="29" t="inlineStr">
        <is>
          <t>False</t>
        </is>
      </c>
      <c r="AD30" s="29" t="inlineStr">
        <is>
          <t>False</t>
        </is>
      </c>
      <c r="AE30" s="29" t="inlineStr">
        <is>
          <t>valuation_credit_ml_overlay_candidate.csv</t>
        </is>
      </c>
      <c r="AF30" s="29" t="inlineStr">
        <is>
          <t>208개 반도체 reference universe. Valuation Agent가 자체 intake 폴더로 복제해 Peer/ML/대시보드 비교에 사용.</t>
        </is>
      </c>
      <c r="AG30" s="29" t="inlineStr">
        <is>
          <t>SAME_PEER_GROUP</t>
        </is>
      </c>
      <c r="AH30" s="29" t="inlineStr">
        <is>
          <t>False</t>
        </is>
      </c>
    </row>
    <row r="31" ht="24" customHeight="1">
      <c r="A31" s="24" t="inlineStr">
        <is>
          <t>133</t>
        </is>
      </c>
      <c r="B31" s="24" t="inlineStr">
        <is>
          <t>ltc</t>
        </is>
      </c>
      <c r="C31" s="24" t="inlineStr">
        <is>
          <t>엘티씨</t>
        </is>
      </c>
      <c r="D31" s="24" t="inlineStr">
        <is>
          <t>170920</t>
        </is>
      </c>
      <c r="E31" s="24" t="inlineStr">
        <is>
          <t>KOSDAQ</t>
        </is>
      </c>
      <c r="F31" s="24" t="inlineStr">
        <is>
          <t>소재</t>
        </is>
      </c>
      <c r="G31" s="24" t="inlineStr">
        <is>
          <t>소재</t>
        </is>
      </c>
      <c r="H31" s="24" t="inlineStr">
        <is>
          <t>True</t>
        </is>
      </c>
      <c r="I31" s="24" t="inlineStr">
        <is>
          <t>True</t>
        </is>
      </c>
      <c r="J31" s="24" t="inlineStr">
        <is>
          <t>OK</t>
        </is>
      </c>
      <c r="K31" s="24" t="inlineStr">
        <is>
          <t>데이터 사용 가능</t>
        </is>
      </c>
      <c r="L31" s="24" t="inlineStr">
        <is>
          <t>LOW</t>
        </is>
      </c>
      <c r="M31" s="24" t="inlineStr">
        <is>
          <t>LOW</t>
        </is>
      </c>
      <c r="N31" s="24" t="inlineStr">
        <is>
          <t>0.5838461538461538</t>
        </is>
      </c>
      <c r="O31" s="24" t="inlineStr">
        <is>
          <t>FAIR</t>
        </is>
      </c>
      <c r="P31" s="24" t="inlineStr">
        <is>
          <t>FAIR</t>
        </is>
      </c>
      <c r="Q31" s="24" t="inlineStr">
        <is>
          <t>ATTRACTIVE</t>
        </is>
      </c>
      <c r="R31" s="24" t="inlineStr">
        <is>
          <t>0.6353016273848794</t>
        </is>
      </c>
      <c r="S31" s="24" t="inlineStr">
        <is>
          <t>MEDIUM</t>
        </is>
      </c>
      <c r="T31" s="24" t="inlineStr">
        <is>
          <t>MEDIUM</t>
        </is>
      </c>
      <c r="U31" s="24" t="inlineStr">
        <is>
          <t>0.0</t>
        </is>
      </c>
      <c r="V31" s="24" t="inlineStr">
        <is>
          <t>LOW_RISK</t>
        </is>
      </c>
      <c r="W31" s="24" t="inlineStr">
        <is>
          <t>저위험</t>
        </is>
      </c>
      <c r="X31" s="24" t="inlineStr">
        <is>
          <t>LOW_RISK</t>
        </is>
      </c>
      <c r="Y31" s="24" t="inlineStr">
        <is>
          <t>0.9205018564538214</t>
        </is>
      </c>
      <c r="Z31" s="24" t="inlineStr">
        <is>
          <t>HIGH</t>
        </is>
      </c>
      <c r="AA31" s="24" t="inlineStr">
        <is>
          <t>HIGH</t>
        </is>
      </c>
      <c r="AB31" s="24" t="inlineStr">
        <is>
          <t>0.0038993876391341673</t>
        </is>
      </c>
      <c r="AC31" s="24" t="inlineStr">
        <is>
          <t>False</t>
        </is>
      </c>
      <c r="AD31" s="24" t="inlineStr">
        <is>
          <t>False</t>
        </is>
      </c>
      <c r="AE31" s="24" t="inlineStr">
        <is>
          <t>valuation_credit_ml_overlay_candidate.csv</t>
        </is>
      </c>
      <c r="AF31" s="24" t="inlineStr">
        <is>
          <t>208개 반도체 reference universe. Valuation Agent가 자체 intake 폴더로 복제해 Peer/ML/대시보드 비교에 사용.</t>
        </is>
      </c>
      <c r="AG31" s="24" t="inlineStr">
        <is>
          <t>SAME_PEER_GROUP</t>
        </is>
      </c>
      <c r="AH31" s="24" t="inlineStr">
        <is>
          <t>False</t>
        </is>
      </c>
    </row>
    <row r="32" ht="24" customHeight="1">
      <c r="A32" s="29" t="inlineStr">
        <is>
          <t>146</t>
        </is>
      </c>
      <c r="B32" s="29" t="inlineStr">
        <is>
          <t>해당 없음</t>
        </is>
      </c>
      <c r="C32" s="29" t="inlineStr">
        <is>
          <t>티이엠씨</t>
        </is>
      </c>
      <c r="D32" s="29" t="inlineStr">
        <is>
          <t>425040</t>
        </is>
      </c>
      <c r="E32" s="29" t="inlineStr">
        <is>
          <t>KOSDAQ</t>
        </is>
      </c>
      <c r="F32" s="29" t="inlineStr">
        <is>
          <t>소재</t>
        </is>
      </c>
      <c r="G32" s="29" t="inlineStr">
        <is>
          <t>소재</t>
        </is>
      </c>
      <c r="H32" s="29" t="inlineStr">
        <is>
          <t>False</t>
        </is>
      </c>
      <c r="I32" s="29" t="inlineStr">
        <is>
          <t>True</t>
        </is>
      </c>
      <c r="J32" s="29" t="inlineStr">
        <is>
          <t>OK</t>
        </is>
      </c>
      <c r="K32" s="29" t="inlineStr">
        <is>
          <t>데이터 사용 가능</t>
        </is>
      </c>
      <c r="L32" s="29" t="inlineStr">
        <is>
          <t>LOW</t>
        </is>
      </c>
      <c r="M32" s="29" t="inlineStr">
        <is>
          <t>LOW</t>
        </is>
      </c>
      <c r="N32" s="29" t="inlineStr">
        <is>
          <t>0.5666666666666668</t>
        </is>
      </c>
      <c r="O32" s="29" t="inlineStr">
        <is>
          <t>FAIR</t>
        </is>
      </c>
      <c r="P32" s="29" t="inlineStr">
        <is>
          <t>FAIR</t>
        </is>
      </c>
      <c r="Q32" s="29" t="inlineStr">
        <is>
          <t>FAIR</t>
        </is>
      </c>
      <c r="R32" s="29" t="inlineStr">
        <is>
          <t>0.8720430887980049</t>
        </is>
      </c>
      <c r="S32" s="29" t="inlineStr">
        <is>
          <t>HIGH</t>
        </is>
      </c>
      <c r="T32" s="29" t="inlineStr">
        <is>
          <t>HIGH</t>
        </is>
      </c>
      <c r="U32" s="29" t="inlineStr">
        <is>
          <t>0.0714285714285714</t>
        </is>
      </c>
      <c r="V32" s="29" t="inlineStr">
        <is>
          <t>LOW_RISK</t>
        </is>
      </c>
      <c r="W32" s="29" t="inlineStr">
        <is>
          <t>저위험</t>
        </is>
      </c>
      <c r="X32" s="29" t="inlineStr">
        <is>
          <t>LOW_RISK</t>
        </is>
      </c>
      <c r="Y32" s="29" t="inlineStr">
        <is>
          <t>0.7252297088077002</t>
        </is>
      </c>
      <c r="Z32" s="29" t="inlineStr">
        <is>
          <t>HIGH</t>
        </is>
      </c>
      <c r="AA32" s="29" t="inlineStr">
        <is>
          <t>HIGH</t>
        </is>
      </c>
      <c r="AB32" s="29" t="inlineStr">
        <is>
          <t>0.006424650558916757</t>
        </is>
      </c>
      <c r="AC32" s="29" t="inlineStr">
        <is>
          <t>False</t>
        </is>
      </c>
      <c r="AD32" s="29" t="inlineStr">
        <is>
          <t>False</t>
        </is>
      </c>
      <c r="AE32" s="29" t="inlineStr">
        <is>
          <t>valuation_credit_ml_overlay_candidate.csv</t>
        </is>
      </c>
      <c r="AF32" s="29" t="inlineStr">
        <is>
          <t>208개 반도체 reference universe. Valuation Agent가 자체 intake 폴더로 복제해 Peer/ML/대시보드 비교에 사용.</t>
        </is>
      </c>
      <c r="AG32" s="29" t="inlineStr">
        <is>
          <t>SAME_PEER_GROUP</t>
        </is>
      </c>
      <c r="AH32" s="29" t="inlineStr">
        <is>
          <t>False</t>
        </is>
      </c>
    </row>
    <row r="33" ht="24" customHeight="1">
      <c r="A33" s="24" t="inlineStr">
        <is>
          <t>131</t>
        </is>
      </c>
      <c r="B33" s="24" t="inlineStr">
        <is>
          <t>해당 없음</t>
        </is>
      </c>
      <c r="C33" s="24" t="inlineStr">
        <is>
          <t>에스앤에스텍</t>
        </is>
      </c>
      <c r="D33" s="24" t="inlineStr">
        <is>
          <t>101490</t>
        </is>
      </c>
      <c r="E33" s="24" t="inlineStr">
        <is>
          <t>KOSDAQ</t>
        </is>
      </c>
      <c r="F33" s="24" t="inlineStr">
        <is>
          <t>소재</t>
        </is>
      </c>
      <c r="G33" s="24" t="inlineStr">
        <is>
          <t>소재</t>
        </is>
      </c>
      <c r="H33" s="24" t="inlineStr">
        <is>
          <t>False</t>
        </is>
      </c>
      <c r="I33" s="24" t="inlineStr">
        <is>
          <t>True</t>
        </is>
      </c>
      <c r="J33" s="24" t="inlineStr">
        <is>
          <t>OK</t>
        </is>
      </c>
      <c r="K33" s="24" t="inlineStr">
        <is>
          <t>데이터 사용 가능</t>
        </is>
      </c>
      <c r="L33" s="24" t="inlineStr">
        <is>
          <t>LOW</t>
        </is>
      </c>
      <c r="M33" s="24" t="inlineStr">
        <is>
          <t>LOW</t>
        </is>
      </c>
      <c r="N33" s="24" t="inlineStr">
        <is>
          <t>0.5653846153846155</t>
        </is>
      </c>
      <c r="O33" s="24" t="inlineStr">
        <is>
          <t>FAIR</t>
        </is>
      </c>
      <c r="P33" s="24" t="inlineStr">
        <is>
          <t>FAIR</t>
        </is>
      </c>
      <c r="Q33" s="24" t="inlineStr">
        <is>
          <t>FAIR</t>
        </is>
      </c>
      <c r="R33" s="24" t="inlineStr">
        <is>
          <t>0.7907123507381016</t>
        </is>
      </c>
      <c r="S33" s="24" t="inlineStr">
        <is>
          <t>HIGH</t>
        </is>
      </c>
      <c r="T33" s="24" t="inlineStr">
        <is>
          <t>HIGH</t>
        </is>
      </c>
      <c r="U33" s="24" t="inlineStr">
        <is>
          <t>0.0714285714285714</t>
        </is>
      </c>
      <c r="V33" s="24" t="inlineStr">
        <is>
          <t>LOW_RISK</t>
        </is>
      </c>
      <c r="W33" s="24" t="inlineStr">
        <is>
          <t>저위험</t>
        </is>
      </c>
      <c r="X33" s="24" t="inlineStr">
        <is>
          <t>LOW_RISK</t>
        </is>
      </c>
      <c r="Y33" s="24" t="inlineStr">
        <is>
          <t>0.877704032267338</t>
        </is>
      </c>
      <c r="Z33" s="24" t="inlineStr">
        <is>
          <t>HIGH</t>
        </is>
      </c>
      <c r="AA33" s="24" t="inlineStr">
        <is>
          <t>HIGH</t>
        </is>
      </c>
      <c r="AB33" s="24" t="inlineStr">
        <is>
          <t>0.05130595484789171</t>
        </is>
      </c>
      <c r="AC33" s="24" t="inlineStr">
        <is>
          <t>False</t>
        </is>
      </c>
      <c r="AD33" s="24" t="inlineStr">
        <is>
          <t>False</t>
        </is>
      </c>
      <c r="AE33" s="24" t="inlineStr">
        <is>
          <t>valuation_credit_ml_overlay_candidate.csv</t>
        </is>
      </c>
      <c r="AF33" s="24" t="inlineStr">
        <is>
          <t>208개 반도체 reference universe. Valuation Agent가 자체 intake 폴더로 복제해 Peer/ML/대시보드 비교에 사용.</t>
        </is>
      </c>
      <c r="AG33" s="24" t="inlineStr">
        <is>
          <t>SAME_PEER_GROUP</t>
        </is>
      </c>
      <c r="AH33" s="24" t="inlineStr">
        <is>
          <t>False</t>
        </is>
      </c>
    </row>
    <row r="34" ht="24" customHeight="1">
      <c r="A34" s="29" t="inlineStr">
        <is>
          <t>142</t>
        </is>
      </c>
      <c r="B34" s="29" t="inlineStr">
        <is>
          <t>해당 없음</t>
        </is>
      </c>
      <c r="C34" s="29" t="inlineStr">
        <is>
          <t>제이아이테크</t>
        </is>
      </c>
      <c r="D34" s="29" t="inlineStr">
        <is>
          <t>417500</t>
        </is>
      </c>
      <c r="E34" s="29" t="inlineStr">
        <is>
          <t>KOSDAQ</t>
        </is>
      </c>
      <c r="F34" s="29" t="inlineStr">
        <is>
          <t>소재</t>
        </is>
      </c>
      <c r="G34" s="29" t="inlineStr">
        <is>
          <t>소재</t>
        </is>
      </c>
      <c r="H34" s="29" t="inlineStr">
        <is>
          <t>False</t>
        </is>
      </c>
      <c r="I34" s="29" t="inlineStr">
        <is>
          <t>True</t>
        </is>
      </c>
      <c r="J34" s="29" t="inlineStr">
        <is>
          <t>OK</t>
        </is>
      </c>
      <c r="K34" s="29" t="inlineStr">
        <is>
          <t>데이터 사용 가능</t>
        </is>
      </c>
      <c r="L34" s="29" t="inlineStr">
        <is>
          <t>LOW</t>
        </is>
      </c>
      <c r="M34" s="29" t="inlineStr">
        <is>
          <t>LOW</t>
        </is>
      </c>
      <c r="N34" s="29" t="inlineStr">
        <is>
          <t>0.5264102564102564</t>
        </is>
      </c>
      <c r="O34" s="29" t="inlineStr">
        <is>
          <t>FAIR</t>
        </is>
      </c>
      <c r="P34" s="29" t="inlineStr">
        <is>
          <t>FAIR</t>
        </is>
      </c>
      <c r="Q34" s="29" t="inlineStr">
        <is>
          <t>FAIR</t>
        </is>
      </c>
      <c r="R34" s="29" t="inlineStr">
        <is>
          <t>0.8525733569966568</t>
        </is>
      </c>
      <c r="S34" s="29" t="inlineStr">
        <is>
          <t>HIGH</t>
        </is>
      </c>
      <c r="T34" s="29" t="inlineStr">
        <is>
          <t>HIGH</t>
        </is>
      </c>
      <c r="U34" s="29" t="inlineStr">
        <is>
          <t>0.0714285714285714</t>
        </is>
      </c>
      <c r="V34" s="29" t="inlineStr">
        <is>
          <t>LOW_RISK</t>
        </is>
      </c>
      <c r="W34" s="29" t="inlineStr">
        <is>
          <t>저위험</t>
        </is>
      </c>
      <c r="X34" s="29" t="inlineStr">
        <is>
          <t>LOW_RISK</t>
        </is>
      </c>
      <c r="Y34" s="29" t="inlineStr">
        <is>
          <t>0.7562204122456074</t>
        </is>
      </c>
      <c r="Z34" s="29" t="inlineStr">
        <is>
          <t>HIGH</t>
        </is>
      </c>
      <c r="AA34" s="29" t="inlineStr">
        <is>
          <t>HIGH</t>
        </is>
      </c>
      <c r="AB34" s="29" t="inlineStr">
        <is>
          <t>0.026961826720125225</t>
        </is>
      </c>
      <c r="AC34" s="29" t="inlineStr">
        <is>
          <t>False</t>
        </is>
      </c>
      <c r="AD34" s="29" t="inlineStr">
        <is>
          <t>False</t>
        </is>
      </c>
      <c r="AE34" s="29" t="inlineStr">
        <is>
          <t>valuation_credit_ml_overlay_candidate.csv</t>
        </is>
      </c>
      <c r="AF34" s="29" t="inlineStr">
        <is>
          <t>208개 반도체 reference universe. Valuation Agent가 자체 intake 폴더로 복제해 Peer/ML/대시보드 비교에 사용.</t>
        </is>
      </c>
      <c r="AG34" s="29" t="inlineStr">
        <is>
          <t>SAME_PEER_GROUP</t>
        </is>
      </c>
      <c r="AH34" s="29" t="inlineStr">
        <is>
          <t>False</t>
        </is>
      </c>
    </row>
    <row r="35" ht="24" customHeight="1">
      <c r="A35" s="24" t="inlineStr">
        <is>
          <t>137</t>
        </is>
      </c>
      <c r="B35" s="24" t="inlineStr">
        <is>
          <t>해당 없음</t>
        </is>
      </c>
      <c r="C35" s="24" t="inlineStr">
        <is>
          <t>원익QnC</t>
        </is>
      </c>
      <c r="D35" s="24" t="inlineStr">
        <is>
          <t>074600</t>
        </is>
      </c>
      <c r="E35" s="24" t="inlineStr">
        <is>
          <t>KOSDAQ GLOBAL</t>
        </is>
      </c>
      <c r="F35" s="24" t="inlineStr">
        <is>
          <t>소재</t>
        </is>
      </c>
      <c r="G35" s="24" t="inlineStr">
        <is>
          <t>소재</t>
        </is>
      </c>
      <c r="H35" s="24" t="inlineStr">
        <is>
          <t>False</t>
        </is>
      </c>
      <c r="I35" s="24" t="inlineStr">
        <is>
          <t>True</t>
        </is>
      </c>
      <c r="J35" s="24" t="inlineStr">
        <is>
          <t>OK</t>
        </is>
      </c>
      <c r="K35" s="24" t="inlineStr">
        <is>
          <t>데이터 사용 가능</t>
        </is>
      </c>
      <c r="L35" s="24" t="inlineStr">
        <is>
          <t>LOW</t>
        </is>
      </c>
      <c r="M35" s="24" t="inlineStr">
        <is>
          <t>LOW</t>
        </is>
      </c>
      <c r="N35" s="24" t="inlineStr">
        <is>
          <t>0.5156410256410257</t>
        </is>
      </c>
      <c r="O35" s="24" t="inlineStr">
        <is>
          <t>FAIR</t>
        </is>
      </c>
      <c r="P35" s="24" t="inlineStr">
        <is>
          <t>FAIR</t>
        </is>
      </c>
      <c r="Q35" s="24" t="inlineStr">
        <is>
          <t>ATTRACTIVE</t>
        </is>
      </c>
      <c r="R35" s="24" t="inlineStr">
        <is>
          <t>0.4211836082778998</t>
        </is>
      </c>
      <c r="S35" s="24" t="inlineStr">
        <is>
          <t>LOW</t>
        </is>
      </c>
      <c r="T35" s="24" t="inlineStr">
        <is>
          <t>LOW</t>
        </is>
      </c>
      <c r="U35" s="24" t="inlineStr">
        <is>
          <t>0.2857142857142857</t>
        </is>
      </c>
      <c r="V35" s="24" t="inlineStr">
        <is>
          <t>MEDIUM_RISK</t>
        </is>
      </c>
      <c r="W35" s="24" t="inlineStr">
        <is>
          <t>중위험</t>
        </is>
      </c>
      <c r="X35" s="24" t="inlineStr">
        <is>
          <t>MEDIUM_RISK</t>
        </is>
      </c>
      <c r="Y35" s="24" t="inlineStr">
        <is>
          <t>0.6182675579184692</t>
        </is>
      </c>
      <c r="Z35" s="24" t="inlineStr">
        <is>
          <t>MEDIUM</t>
        </is>
      </c>
      <c r="AA35" s="24" t="inlineStr">
        <is>
          <t>MEDIUM</t>
        </is>
      </c>
      <c r="AB35" s="24" t="inlineStr">
        <is>
          <t>0.07153695388648715</t>
        </is>
      </c>
      <c r="AC35" s="24" t="inlineStr">
        <is>
          <t>False</t>
        </is>
      </c>
      <c r="AD35" s="24" t="inlineStr">
        <is>
          <t>True</t>
        </is>
      </c>
      <c r="AE35" s="24" t="inlineStr">
        <is>
          <t>valuation_credit_ml_overlay_candidate.csv</t>
        </is>
      </c>
      <c r="AF35" s="24" t="inlineStr">
        <is>
          <t>208개 반도체 reference universe. Valuation Agent가 자체 intake 폴더로 복제해 Peer/ML/대시보드 비교에 사용.</t>
        </is>
      </c>
      <c r="AG35" s="24" t="inlineStr">
        <is>
          <t>SAME_PEER_GROUP</t>
        </is>
      </c>
      <c r="AH35" s="24" t="inlineStr">
        <is>
          <t>False</t>
        </is>
      </c>
    </row>
    <row r="36" ht="24" customHeight="1">
      <c r="A36" s="29" t="inlineStr">
        <is>
          <t>134</t>
        </is>
      </c>
      <c r="B36" s="29" t="inlineStr">
        <is>
          <t>해당 없음</t>
        </is>
      </c>
      <c r="C36" s="29" t="inlineStr">
        <is>
          <t>엠케이전자</t>
        </is>
      </c>
      <c r="D36" s="29" t="inlineStr">
        <is>
          <t>033160</t>
        </is>
      </c>
      <c r="E36" s="29" t="inlineStr">
        <is>
          <t>KOSDAQ</t>
        </is>
      </c>
      <c r="F36" s="29" t="inlineStr">
        <is>
          <t>소재</t>
        </is>
      </c>
      <c r="G36" s="29" t="inlineStr">
        <is>
          <t>소재</t>
        </is>
      </c>
      <c r="H36" s="29" t="inlineStr">
        <is>
          <t>False</t>
        </is>
      </c>
      <c r="I36" s="29" t="inlineStr">
        <is>
          <t>True</t>
        </is>
      </c>
      <c r="J36" s="29" t="inlineStr">
        <is>
          <t>OK</t>
        </is>
      </c>
      <c r="K36" s="29" t="inlineStr">
        <is>
          <t>데이터 사용 가능</t>
        </is>
      </c>
      <c r="L36" s="29" t="inlineStr">
        <is>
          <t>LOW</t>
        </is>
      </c>
      <c r="M36" s="29" t="inlineStr">
        <is>
          <t>LOW</t>
        </is>
      </c>
      <c r="N36" s="29" t="inlineStr">
        <is>
          <t>0.5105128205128205</t>
        </is>
      </c>
      <c r="O36" s="29" t="inlineStr">
        <is>
          <t>FAIR</t>
        </is>
      </c>
      <c r="P36" s="29" t="inlineStr">
        <is>
          <t>FAIR</t>
        </is>
      </c>
      <c r="Q36" s="29" t="inlineStr">
        <is>
          <t>FAIR</t>
        </is>
      </c>
      <c r="R36" s="29" t="inlineStr">
        <is>
          <t>0.801168459079624</t>
        </is>
      </c>
      <c r="S36" s="29" t="inlineStr">
        <is>
          <t>HIGH</t>
        </is>
      </c>
      <c r="T36" s="29" t="inlineStr">
        <is>
          <t>HIGH</t>
        </is>
      </c>
      <c r="U36" s="29" t="inlineStr">
        <is>
          <t>0.5714285714285714</t>
        </is>
      </c>
      <c r="V36" s="29" t="inlineStr">
        <is>
          <t>HIGH_RISK</t>
        </is>
      </c>
      <c r="W36" s="29" t="inlineStr">
        <is>
          <t>고위험</t>
        </is>
      </c>
      <c r="X36" s="29" t="inlineStr">
        <is>
          <t>HIGH_RISK</t>
        </is>
      </c>
      <c r="Y36" s="29" t="inlineStr">
        <is>
          <t>0.6458821552404778</t>
        </is>
      </c>
      <c r="Z36" s="29" t="inlineStr">
        <is>
          <t>MEDIUM</t>
        </is>
      </c>
      <c r="AA36" s="29" t="inlineStr">
        <is>
          <t>MEDIUM</t>
        </is>
      </c>
      <c r="AB36" s="29" t="inlineStr">
        <is>
          <t>0.06935231891152775</t>
        </is>
      </c>
      <c r="AC36" s="29" t="inlineStr">
        <is>
          <t>False</t>
        </is>
      </c>
      <c r="AD36" s="29" t="inlineStr">
        <is>
          <t>False</t>
        </is>
      </c>
      <c r="AE36" s="29" t="inlineStr">
        <is>
          <t>valuation_credit_ml_overlay_candidate.csv</t>
        </is>
      </c>
      <c r="AF36" s="29" t="inlineStr">
        <is>
          <t>208개 반도체 reference universe. Valuation Agent가 자체 intake 폴더로 복제해 Peer/ML/대시보드 비교에 사용.</t>
        </is>
      </c>
      <c r="AG36" s="29" t="inlineStr">
        <is>
          <t>SAME_PEER_GROUP</t>
        </is>
      </c>
      <c r="AH36" s="29" t="inlineStr">
        <is>
          <t>False</t>
        </is>
      </c>
    </row>
    <row r="37" ht="24" customHeight="1">
      <c r="A37" s="24" t="inlineStr">
        <is>
          <t>136</t>
        </is>
      </c>
      <c r="B37" s="24" t="inlineStr">
        <is>
          <t>해당 없음</t>
        </is>
      </c>
      <c r="C37" s="24" t="inlineStr">
        <is>
          <t>와이엠티</t>
        </is>
      </c>
      <c r="D37" s="24" t="inlineStr">
        <is>
          <t>251370</t>
        </is>
      </c>
      <c r="E37" s="24" t="inlineStr">
        <is>
          <t>KOSDAQ</t>
        </is>
      </c>
      <c r="F37" s="24" t="inlineStr">
        <is>
          <t>소재</t>
        </is>
      </c>
      <c r="G37" s="24" t="inlineStr">
        <is>
          <t>소재</t>
        </is>
      </c>
      <c r="H37" s="24" t="inlineStr">
        <is>
          <t>False</t>
        </is>
      </c>
      <c r="I37" s="24" t="inlineStr">
        <is>
          <t>True</t>
        </is>
      </c>
      <c r="J37" s="24" t="inlineStr">
        <is>
          <t>OK</t>
        </is>
      </c>
      <c r="K37" s="24" t="inlineStr">
        <is>
          <t>데이터 사용 가능</t>
        </is>
      </c>
      <c r="L37" s="24" t="inlineStr">
        <is>
          <t>LOW</t>
        </is>
      </c>
      <c r="M37" s="24" t="inlineStr">
        <is>
          <t>LOW</t>
        </is>
      </c>
      <c r="N37" s="24" t="inlineStr">
        <is>
          <t>0.4989743589743589</t>
        </is>
      </c>
      <c r="O37" s="24" t="inlineStr">
        <is>
          <t>FAIR</t>
        </is>
      </c>
      <c r="P37" s="24" t="inlineStr">
        <is>
          <t>FAIR</t>
        </is>
      </c>
      <c r="Q37" s="24" t="inlineStr">
        <is>
          <t>FAIR</t>
        </is>
      </c>
      <c r="R37" s="24" t="inlineStr">
        <is>
          <t>0.730943868859095</t>
        </is>
      </c>
      <c r="S37" s="24" t="inlineStr">
        <is>
          <t>HIGH</t>
        </is>
      </c>
      <c r="T37" s="24" t="inlineStr">
        <is>
          <t>HIGH</t>
        </is>
      </c>
      <c r="U37" s="24" t="inlineStr">
        <is>
          <t>0.2142857142857142</t>
        </is>
      </c>
      <c r="V37" s="24" t="inlineStr">
        <is>
          <t>MEDIUM_RISK</t>
        </is>
      </c>
      <c r="W37" s="24" t="inlineStr">
        <is>
          <t>중위험</t>
        </is>
      </c>
      <c r="X37" s="24" t="inlineStr">
        <is>
          <t>MEDIUM_RISK</t>
        </is>
      </c>
      <c r="Y37" s="24" t="inlineStr">
        <is>
          <t>0.4510396871808976</t>
        </is>
      </c>
      <c r="Z37" s="24" t="inlineStr">
        <is>
          <t>LOW</t>
        </is>
      </c>
      <c r="AA37" s="24" t="inlineStr">
        <is>
          <t>LOW</t>
        </is>
      </c>
      <c r="AB37" s="24" t="inlineStr">
        <is>
          <t>0.021802364937517606</t>
        </is>
      </c>
      <c r="AC37" s="24" t="inlineStr">
        <is>
          <t>False</t>
        </is>
      </c>
      <c r="AD37" s="24" t="inlineStr">
        <is>
          <t>True</t>
        </is>
      </c>
      <c r="AE37" s="24" t="inlineStr">
        <is>
          <t>valuation_credit_ml_overlay_candidate.csv</t>
        </is>
      </c>
      <c r="AF37" s="24" t="inlineStr">
        <is>
          <t>208개 반도체 reference universe. Valuation Agent가 자체 intake 폴더로 복제해 Peer/ML/대시보드 비교에 사용.</t>
        </is>
      </c>
      <c r="AG37" s="24" t="inlineStr">
        <is>
          <t>SAME_PEER_GROUP</t>
        </is>
      </c>
      <c r="AH37" s="24" t="inlineStr">
        <is>
          <t>False</t>
        </is>
      </c>
    </row>
    <row r="38" ht="24" customHeight="1">
      <c r="A38" s="29" t="inlineStr">
        <is>
          <t>126</t>
        </is>
      </c>
      <c r="B38" s="29" t="inlineStr">
        <is>
          <t>해당 없음</t>
        </is>
      </c>
      <c r="C38" s="29" t="inlineStr">
        <is>
          <t>동진쎄미켐</t>
        </is>
      </c>
      <c r="D38" s="29" t="inlineStr">
        <is>
          <t>005290</t>
        </is>
      </c>
      <c r="E38" s="29" t="inlineStr">
        <is>
          <t>KOSDAQ</t>
        </is>
      </c>
      <c r="F38" s="29" t="inlineStr">
        <is>
          <t>소재</t>
        </is>
      </c>
      <c r="G38" s="29" t="inlineStr">
        <is>
          <t>소재</t>
        </is>
      </c>
      <c r="H38" s="29" t="inlineStr">
        <is>
          <t>False</t>
        </is>
      </c>
      <c r="I38" s="29" t="inlineStr">
        <is>
          <t>True</t>
        </is>
      </c>
      <c r="J38" s="29" t="inlineStr">
        <is>
          <t>OK</t>
        </is>
      </c>
      <c r="K38" s="29" t="inlineStr">
        <is>
          <t>데이터 사용 가능</t>
        </is>
      </c>
      <c r="L38" s="29" t="inlineStr">
        <is>
          <t>LOW</t>
        </is>
      </c>
      <c r="M38" s="29" t="inlineStr">
        <is>
          <t>LOW</t>
        </is>
      </c>
      <c r="N38" s="29" t="inlineStr">
        <is>
          <t>0.4702564102564102</t>
        </is>
      </c>
      <c r="O38" s="29" t="inlineStr">
        <is>
          <t>FAIR</t>
        </is>
      </c>
      <c r="P38" s="29" t="inlineStr">
        <is>
          <t>FAIR</t>
        </is>
      </c>
      <c r="Q38" s="29" t="inlineStr">
        <is>
          <t>ATTRACTIVE</t>
        </is>
      </c>
      <c r="R38" s="29" t="inlineStr">
        <is>
          <t>0.48929755601795294</t>
        </is>
      </c>
      <c r="S38" s="29" t="inlineStr">
        <is>
          <t>LOW</t>
        </is>
      </c>
      <c r="T38" s="29" t="inlineStr">
        <is>
          <t>LOW</t>
        </is>
      </c>
      <c r="U38" s="29" t="inlineStr">
        <is>
          <t>0.0</t>
        </is>
      </c>
      <c r="V38" s="29" t="inlineStr">
        <is>
          <t>LOW_RISK</t>
        </is>
      </c>
      <c r="W38" s="29" t="inlineStr">
        <is>
          <t>저위험</t>
        </is>
      </c>
      <c r="X38" s="29" t="inlineStr">
        <is>
          <t>LOW_RISK</t>
        </is>
      </c>
      <c r="Y38" s="29" t="inlineStr">
        <is>
          <t>0.9474461757717627</t>
        </is>
      </c>
      <c r="Z38" s="29" t="inlineStr">
        <is>
          <t>HIGH</t>
        </is>
      </c>
      <c r="AA38" s="29" t="inlineStr">
        <is>
          <t>HIGH</t>
        </is>
      </c>
      <c r="AB38" s="29" t="inlineStr">
        <is>
          <t>0.021813937556984325</t>
        </is>
      </c>
      <c r="AC38" s="29" t="inlineStr">
        <is>
          <t>False</t>
        </is>
      </c>
      <c r="AD38" s="29" t="inlineStr">
        <is>
          <t>True</t>
        </is>
      </c>
      <c r="AE38" s="29" t="inlineStr">
        <is>
          <t>valuation_credit_ml_overlay_candidate.csv</t>
        </is>
      </c>
      <c r="AF38" s="29" t="inlineStr">
        <is>
          <t>208개 반도체 reference universe. Valuation Agent가 자체 intake 폴더로 복제해 Peer/ML/대시보드 비교에 사용.</t>
        </is>
      </c>
      <c r="AG38" s="29" t="inlineStr">
        <is>
          <t>SAME_PEER_GROUP</t>
        </is>
      </c>
      <c r="AH38" s="29" t="inlineStr">
        <is>
          <t>False</t>
        </is>
      </c>
    </row>
    <row r="39" ht="24" customHeight="1">
      <c r="A39" s="24" t="inlineStr">
        <is>
          <t>144</t>
        </is>
      </c>
      <c r="B39" s="24" t="inlineStr">
        <is>
          <t>해당 없음</t>
        </is>
      </c>
      <c r="C39" s="24" t="inlineStr">
        <is>
          <t>켐트로닉스</t>
        </is>
      </c>
      <c r="D39" s="24" t="inlineStr">
        <is>
          <t>089010</t>
        </is>
      </c>
      <c r="E39" s="24" t="inlineStr">
        <is>
          <t>KOSDAQ</t>
        </is>
      </c>
      <c r="F39" s="24" t="inlineStr">
        <is>
          <t>소재</t>
        </is>
      </c>
      <c r="G39" s="24" t="inlineStr">
        <is>
          <t>소재</t>
        </is>
      </c>
      <c r="H39" s="24" t="inlineStr">
        <is>
          <t>False</t>
        </is>
      </c>
      <c r="I39" s="24" t="inlineStr">
        <is>
          <t>True</t>
        </is>
      </c>
      <c r="J39" s="24" t="inlineStr">
        <is>
          <t>OK</t>
        </is>
      </c>
      <c r="K39" s="24" t="inlineStr">
        <is>
          <t>데이터 사용 가능</t>
        </is>
      </c>
      <c r="L39" s="24" t="inlineStr">
        <is>
          <t>LOW</t>
        </is>
      </c>
      <c r="M39" s="24" t="inlineStr">
        <is>
          <t>LOW</t>
        </is>
      </c>
      <c r="N39" s="24" t="inlineStr">
        <is>
          <t>0.4412820512820513</t>
        </is>
      </c>
      <c r="O39" s="24" t="inlineStr">
        <is>
          <t>FAIR</t>
        </is>
      </c>
      <c r="P39" s="24" t="inlineStr">
        <is>
          <t>FAIR</t>
        </is>
      </c>
      <c r="Q39" s="24" t="inlineStr">
        <is>
          <t>FAIR</t>
        </is>
      </c>
      <c r="R39" s="24" t="inlineStr">
        <is>
          <t>0.7697961799623572</t>
        </is>
      </c>
      <c r="S39" s="24" t="inlineStr">
        <is>
          <t>HIGH</t>
        </is>
      </c>
      <c r="T39" s="24" t="inlineStr">
        <is>
          <t>HIGH</t>
        </is>
      </c>
      <c r="U39" s="24" t="inlineStr">
        <is>
          <t>0.3571428571428571</t>
        </is>
      </c>
      <c r="V39" s="24" t="inlineStr">
        <is>
          <t>MEDIUM_RISK</t>
        </is>
      </c>
      <c r="W39" s="24" t="inlineStr">
        <is>
          <t>중위험</t>
        </is>
      </c>
      <c r="X39" s="24" t="inlineStr">
        <is>
          <t>MEDIUM_RISK</t>
        </is>
      </c>
      <c r="Y39" s="24" t="inlineStr">
        <is>
          <t>0.46850853772952833</t>
        </is>
      </c>
      <c r="Z39" s="24" t="inlineStr">
        <is>
          <t>LOW</t>
        </is>
      </c>
      <c r="AA39" s="24" t="inlineStr">
        <is>
          <t>LOW</t>
        </is>
      </c>
      <c r="AB39" s="24" t="inlineStr">
        <is>
          <t>0.08001716573230905</t>
        </is>
      </c>
      <c r="AC39" s="24" t="inlineStr">
        <is>
          <t>False</t>
        </is>
      </c>
      <c r="AD39" s="24" t="inlineStr">
        <is>
          <t>True</t>
        </is>
      </c>
      <c r="AE39" s="24" t="inlineStr">
        <is>
          <t>valuation_credit_ml_overlay_candidate.csv</t>
        </is>
      </c>
      <c r="AF39" s="24" t="inlineStr">
        <is>
          <t>208개 반도체 reference universe. Valuation Agent가 자체 intake 폴더로 복제해 Peer/ML/대시보드 비교에 사용.</t>
        </is>
      </c>
      <c r="AG39" s="24" t="inlineStr">
        <is>
          <t>SAME_PEER_GROUP</t>
        </is>
      </c>
      <c r="AH39" s="24" t="inlineStr">
        <is>
          <t>False</t>
        </is>
      </c>
    </row>
    <row r="40" ht="24" customHeight="1">
      <c r="A40" s="29" t="inlineStr">
        <is>
          <t>129</t>
        </is>
      </c>
      <c r="B40" s="29" t="inlineStr">
        <is>
          <t>해당 없음</t>
        </is>
      </c>
      <c r="C40" s="29" t="inlineStr">
        <is>
          <t>솔브레인</t>
        </is>
      </c>
      <c r="D40" s="29" t="inlineStr">
        <is>
          <t>357780</t>
        </is>
      </c>
      <c r="E40" s="29" t="inlineStr">
        <is>
          <t>KOSDAQ GLOBAL</t>
        </is>
      </c>
      <c r="F40" s="29" t="inlineStr">
        <is>
          <t>소재</t>
        </is>
      </c>
      <c r="G40" s="29" t="inlineStr">
        <is>
          <t>소재</t>
        </is>
      </c>
      <c r="H40" s="29" t="inlineStr">
        <is>
          <t>False</t>
        </is>
      </c>
      <c r="I40" s="29" t="inlineStr">
        <is>
          <t>True</t>
        </is>
      </c>
      <c r="J40" s="29" t="inlineStr">
        <is>
          <t>OK</t>
        </is>
      </c>
      <c r="K40" s="29" t="inlineStr">
        <is>
          <t>데이터 사용 가능</t>
        </is>
      </c>
      <c r="L40" s="29" t="inlineStr">
        <is>
          <t>LOW</t>
        </is>
      </c>
      <c r="M40" s="29" t="inlineStr">
        <is>
          <t>LOW</t>
        </is>
      </c>
      <c r="N40" s="29" t="inlineStr">
        <is>
          <t>0.4330769230769231</t>
        </is>
      </c>
      <c r="O40" s="29" t="inlineStr">
        <is>
          <t>FAIR</t>
        </is>
      </c>
      <c r="P40" s="29" t="inlineStr">
        <is>
          <t>FAIR</t>
        </is>
      </c>
      <c r="Q40" s="29" t="inlineStr">
        <is>
          <t>FAIR</t>
        </is>
      </c>
      <c r="R40" s="29" t="inlineStr">
        <is>
          <t>0.6367158518654258</t>
        </is>
      </c>
      <c r="S40" s="29" t="inlineStr">
        <is>
          <t>MEDIUM</t>
        </is>
      </c>
      <c r="T40" s="29" t="inlineStr">
        <is>
          <t>MEDIUM</t>
        </is>
      </c>
      <c r="U40" s="29" t="inlineStr">
        <is>
          <t>0.0</t>
        </is>
      </c>
      <c r="V40" s="29" t="inlineStr">
        <is>
          <t>LOW_RISK</t>
        </is>
      </c>
      <c r="W40" s="29" t="inlineStr">
        <is>
          <t>저위험</t>
        </is>
      </c>
      <c r="X40" s="29" t="inlineStr">
        <is>
          <t>LOW_RISK</t>
        </is>
      </c>
      <c r="Y40" s="29" t="inlineStr">
        <is>
          <t>0.9460528189989016</t>
        </is>
      </c>
      <c r="Z40" s="29" t="inlineStr">
        <is>
          <t>HIGH</t>
        </is>
      </c>
      <c r="AA40" s="29" t="inlineStr">
        <is>
          <t>HIGH</t>
        </is>
      </c>
      <c r="AB40" s="29" t="inlineStr">
        <is>
          <t>0.0320761550307272</t>
        </is>
      </c>
      <c r="AC40" s="29" t="inlineStr">
        <is>
          <t>False</t>
        </is>
      </c>
      <c r="AD40" s="29" t="inlineStr">
        <is>
          <t>False</t>
        </is>
      </c>
      <c r="AE40" s="29" t="inlineStr">
        <is>
          <t>valuation_credit_ml_overlay_candidate.csv</t>
        </is>
      </c>
      <c r="AF40" s="29" t="inlineStr">
        <is>
          <t>208개 반도체 reference universe. Valuation Agent가 자체 intake 폴더로 복제해 Peer/ML/대시보드 비교에 사용.</t>
        </is>
      </c>
      <c r="AG40" s="29" t="inlineStr">
        <is>
          <t>SAME_PEER_GROUP</t>
        </is>
      </c>
      <c r="AH40" s="29" t="inlineStr">
        <is>
          <t>False</t>
        </is>
      </c>
    </row>
    <row r="41" ht="24" customHeight="1">
      <c r="A41" s="24" t="inlineStr">
        <is>
          <t>127</t>
        </is>
      </c>
      <c r="B41" s="24" t="inlineStr">
        <is>
          <t>해당 없음</t>
        </is>
      </c>
      <c r="C41" s="24" t="inlineStr">
        <is>
          <t>디엔에프</t>
        </is>
      </c>
      <c r="D41" s="24" t="inlineStr">
        <is>
          <t>092070</t>
        </is>
      </c>
      <c r="E41" s="24" t="inlineStr">
        <is>
          <t>KOSDAQ</t>
        </is>
      </c>
      <c r="F41" s="24" t="inlineStr">
        <is>
          <t>소재</t>
        </is>
      </c>
      <c r="G41" s="24" t="inlineStr">
        <is>
          <t>소재</t>
        </is>
      </c>
      <c r="H41" s="24" t="inlineStr">
        <is>
          <t>False</t>
        </is>
      </c>
      <c r="I41" s="24" t="inlineStr">
        <is>
          <t>True</t>
        </is>
      </c>
      <c r="J41" s="24" t="inlineStr">
        <is>
          <t>OK</t>
        </is>
      </c>
      <c r="K41" s="24" t="inlineStr">
        <is>
          <t>데이터 사용 가능</t>
        </is>
      </c>
      <c r="L41" s="24" t="inlineStr">
        <is>
          <t>LOW</t>
        </is>
      </c>
      <c r="M41" s="24" t="inlineStr">
        <is>
          <t>LOW</t>
        </is>
      </c>
      <c r="N41" s="24" t="inlineStr">
        <is>
          <t>0.4041025641025642</t>
        </is>
      </c>
      <c r="O41" s="24" t="inlineStr">
        <is>
          <t>EXPENSIVE</t>
        </is>
      </c>
      <c r="P41" s="24" t="inlineStr">
        <is>
          <t>EXPENSIVE</t>
        </is>
      </c>
      <c r="Q41" s="24" t="inlineStr">
        <is>
          <t>EXPENSIVE</t>
        </is>
      </c>
      <c r="R41" s="24" t="inlineStr">
        <is>
          <t>0.6833535693717029</t>
        </is>
      </c>
      <c r="S41" s="24" t="inlineStr">
        <is>
          <t>MEDIUM</t>
        </is>
      </c>
      <c r="T41" s="24" t="inlineStr">
        <is>
          <t>MEDIUM</t>
        </is>
      </c>
      <c r="U41" s="24" t="inlineStr">
        <is>
          <t>0.1428571428571428</t>
        </is>
      </c>
      <c r="V41" s="24" t="inlineStr">
        <is>
          <t>LOW_RISK</t>
        </is>
      </c>
      <c r="W41" s="24" t="inlineStr">
        <is>
          <t>저위험</t>
        </is>
      </c>
      <c r="X41" s="24" t="inlineStr">
        <is>
          <t>LOW_RISK</t>
        </is>
      </c>
      <c r="Y41" s="24" t="inlineStr">
        <is>
          <t>0.5929893794662974</t>
        </is>
      </c>
      <c r="Z41" s="24" t="inlineStr">
        <is>
          <t>MEDIUM</t>
        </is>
      </c>
      <c r="AA41" s="24" t="inlineStr">
        <is>
          <t>MEDIUM</t>
        </is>
      </c>
      <c r="AB41" s="24" t="inlineStr">
        <is>
          <t>0.12453521172683771</t>
        </is>
      </c>
      <c r="AC41" s="24" t="inlineStr">
        <is>
          <t>False</t>
        </is>
      </c>
      <c r="AD41" s="24" t="inlineStr">
        <is>
          <t>False</t>
        </is>
      </c>
      <c r="AE41" s="24" t="inlineStr">
        <is>
          <t>valuation_credit_ml_overlay_candidate.csv</t>
        </is>
      </c>
      <c r="AF41" s="24" t="inlineStr">
        <is>
          <t>208개 반도체 reference universe. Valuation Agent가 자체 intake 폴더로 복제해 Peer/ML/대시보드 비교에 사용.</t>
        </is>
      </c>
      <c r="AG41" s="24" t="inlineStr">
        <is>
          <t>SAME_PEER_GROUP</t>
        </is>
      </c>
      <c r="AH41" s="24" t="inlineStr">
        <is>
          <t>False</t>
        </is>
      </c>
    </row>
    <row r="42" ht="24" customHeight="1">
      <c r="A42" s="29" t="inlineStr">
        <is>
          <t>135</t>
        </is>
      </c>
      <c r="B42" s="29" t="inlineStr">
        <is>
          <t>해당 없음</t>
        </is>
      </c>
      <c r="C42" s="29" t="inlineStr">
        <is>
          <t>와이씨켐</t>
        </is>
      </c>
      <c r="D42" s="29" t="inlineStr">
        <is>
          <t>112290</t>
        </is>
      </c>
      <c r="E42" s="29" t="inlineStr">
        <is>
          <t>KOSDAQ</t>
        </is>
      </c>
      <c r="F42" s="29" t="inlineStr">
        <is>
          <t>소재</t>
        </is>
      </c>
      <c r="G42" s="29" t="inlineStr">
        <is>
          <t>소재</t>
        </is>
      </c>
      <c r="H42" s="29" t="inlineStr">
        <is>
          <t>False</t>
        </is>
      </c>
      <c r="I42" s="29" t="inlineStr">
        <is>
          <t>True</t>
        </is>
      </c>
      <c r="J42" s="29" t="inlineStr">
        <is>
          <t>OK</t>
        </is>
      </c>
      <c r="K42" s="29" t="inlineStr">
        <is>
          <t>데이터 사용 가능</t>
        </is>
      </c>
      <c r="L42" s="29" t="inlineStr">
        <is>
          <t>LOW</t>
        </is>
      </c>
      <c r="M42" s="29" t="inlineStr">
        <is>
          <t>LOW</t>
        </is>
      </c>
      <c r="N42" s="29" t="inlineStr">
        <is>
          <t>0.3835897435897436</t>
        </is>
      </c>
      <c r="O42" s="29" t="inlineStr">
        <is>
          <t>EXPENSIVE</t>
        </is>
      </c>
      <c r="P42" s="29" t="inlineStr">
        <is>
          <t>EXPENSIVE</t>
        </is>
      </c>
      <c r="Q42" s="29" t="inlineStr">
        <is>
          <t>EXPENSIVE</t>
        </is>
      </c>
      <c r="R42" s="29" t="inlineStr">
        <is>
          <t>0.7576999610053956</t>
        </is>
      </c>
      <c r="S42" s="29" t="inlineStr">
        <is>
          <t>HIGH</t>
        </is>
      </c>
      <c r="T42" s="29" t="inlineStr">
        <is>
          <t>HIGH</t>
        </is>
      </c>
      <c r="U42" s="29" t="inlineStr">
        <is>
          <t>0.5</t>
        </is>
      </c>
      <c r="V42" s="29" t="inlineStr">
        <is>
          <t>HIGH_RISK</t>
        </is>
      </c>
      <c r="W42" s="29" t="inlineStr">
        <is>
          <t>고위험</t>
        </is>
      </c>
      <c r="X42" s="29" t="inlineStr">
        <is>
          <t>HIGH_RISK</t>
        </is>
      </c>
      <c r="Y42" s="29" t="inlineStr">
        <is>
          <t>0.5943318096005836</t>
        </is>
      </c>
      <c r="Z42" s="29" t="inlineStr">
        <is>
          <t>MEDIUM</t>
        </is>
      </c>
      <c r="AA42" s="29" t="inlineStr">
        <is>
          <t>MEDIUM</t>
        </is>
      </c>
      <c r="AB42" s="29" t="inlineStr">
        <is>
          <t>0.09923299749910795</t>
        </is>
      </c>
      <c r="AC42" s="29" t="inlineStr">
        <is>
          <t>False</t>
        </is>
      </c>
      <c r="AD42" s="29" t="inlineStr">
        <is>
          <t>False</t>
        </is>
      </c>
      <c r="AE42" s="29" t="inlineStr">
        <is>
          <t>valuation_credit_ml_overlay_candidate.csv</t>
        </is>
      </c>
      <c r="AF42" s="29" t="inlineStr">
        <is>
          <t>208개 반도체 reference universe. Valuation Agent가 자체 intake 폴더로 복제해 Peer/ML/대시보드 비교에 사용.</t>
        </is>
      </c>
      <c r="AG42" s="29" t="inlineStr">
        <is>
          <t>SAME_PEER_GROUP</t>
        </is>
      </c>
      <c r="AH42" s="29" t="inlineStr">
        <is>
          <t>False</t>
        </is>
      </c>
    </row>
    <row r="43" ht="24" customHeight="1">
      <c r="A43" s="24" t="inlineStr">
        <is>
          <t>149</t>
        </is>
      </c>
      <c r="B43" s="24" t="inlineStr">
        <is>
          <t>해당 없음</t>
        </is>
      </c>
      <c r="C43" s="24" t="inlineStr">
        <is>
          <t>후성</t>
        </is>
      </c>
      <c r="D43" s="24" t="inlineStr">
        <is>
          <t>093370</t>
        </is>
      </c>
      <c r="E43" s="24" t="inlineStr">
        <is>
          <t>KOSPI</t>
        </is>
      </c>
      <c r="F43" s="24" t="inlineStr">
        <is>
          <t>소재</t>
        </is>
      </c>
      <c r="G43" s="24" t="inlineStr">
        <is>
          <t>소재</t>
        </is>
      </c>
      <c r="H43" s="24" t="inlineStr">
        <is>
          <t>False</t>
        </is>
      </c>
      <c r="I43" s="24" t="inlineStr">
        <is>
          <t>True</t>
        </is>
      </c>
      <c r="J43" s="24" t="inlineStr">
        <is>
          <t>OK</t>
        </is>
      </c>
      <c r="K43" s="24" t="inlineStr">
        <is>
          <t>데이터 사용 가능</t>
        </is>
      </c>
      <c r="L43" s="24" t="inlineStr">
        <is>
          <t>LOW</t>
        </is>
      </c>
      <c r="M43" s="24" t="inlineStr">
        <is>
          <t>LOW</t>
        </is>
      </c>
      <c r="N43" s="24" t="inlineStr">
        <is>
          <t>0.3387179487179487</t>
        </is>
      </c>
      <c r="O43" s="24" t="inlineStr">
        <is>
          <t>EXPENSIVE</t>
        </is>
      </c>
      <c r="P43" s="24" t="inlineStr">
        <is>
          <t>EXPENSIVE</t>
        </is>
      </c>
      <c r="Q43" s="24" t="inlineStr">
        <is>
          <t>EXPENSIVE</t>
        </is>
      </c>
      <c r="R43" s="24" t="inlineStr">
        <is>
          <t>0.7388215177779633</t>
        </is>
      </c>
      <c r="S43" s="24" t="inlineStr">
        <is>
          <t>HIGH</t>
        </is>
      </c>
      <c r="T43" s="24" t="inlineStr">
        <is>
          <t>HIGH</t>
        </is>
      </c>
      <c r="U43" s="24" t="inlineStr">
        <is>
          <t>0.1428571428571428</t>
        </is>
      </c>
      <c r="V43" s="24" t="inlineStr">
        <is>
          <t>LOW_RISK</t>
        </is>
      </c>
      <c r="W43" s="24" t="inlineStr">
        <is>
          <t>저위험</t>
        </is>
      </c>
      <c r="X43" s="24" t="inlineStr">
        <is>
          <t>LOW_RISK</t>
        </is>
      </c>
      <c r="Y43" s="24" t="inlineStr">
        <is>
          <t>0.6020102100460379</t>
        </is>
      </c>
      <c r="Z43" s="24" t="inlineStr">
        <is>
          <t>MEDIUM</t>
        </is>
      </c>
      <c r="AA43" s="24" t="inlineStr">
        <is>
          <t>MEDIUM</t>
        </is>
      </c>
      <c r="AB43" s="24" t="inlineStr">
        <is>
          <t>0.03702349009826696</t>
        </is>
      </c>
      <c r="AC43" s="24" t="inlineStr">
        <is>
          <t>False</t>
        </is>
      </c>
      <c r="AD43" s="24" t="inlineStr">
        <is>
          <t>False</t>
        </is>
      </c>
      <c r="AE43" s="24" t="inlineStr">
        <is>
          <t>valuation_credit_ml_overlay_candidate.csv</t>
        </is>
      </c>
      <c r="AF43" s="24" t="inlineStr">
        <is>
          <t>208개 반도체 reference universe. Valuation Agent가 자체 intake 폴더로 복제해 Peer/ML/대시보드 비교에 사용.</t>
        </is>
      </c>
      <c r="AG43" s="24" t="inlineStr">
        <is>
          <t>SAME_PEER_GROUP</t>
        </is>
      </c>
      <c r="AH43" s="24" t="inlineStr">
        <is>
          <t>False</t>
        </is>
      </c>
    </row>
    <row r="44" ht="24" customHeight="1">
      <c r="A44" s="29" t="inlineStr">
        <is>
          <t>125</t>
        </is>
      </c>
      <c r="B44" s="29" t="inlineStr">
        <is>
          <t>duksan</t>
        </is>
      </c>
      <c r="C44" s="29" t="inlineStr">
        <is>
          <t>덕산테코피아</t>
        </is>
      </c>
      <c r="D44" s="29" t="inlineStr">
        <is>
          <t>317330</t>
        </is>
      </c>
      <c r="E44" s="29" t="inlineStr">
        <is>
          <t>KOSDAQ</t>
        </is>
      </c>
      <c r="F44" s="29" t="inlineStr">
        <is>
          <t>소재</t>
        </is>
      </c>
      <c r="G44" s="29" t="inlineStr">
        <is>
          <t>소재</t>
        </is>
      </c>
      <c r="H44" s="29" t="inlineStr">
        <is>
          <t>True</t>
        </is>
      </c>
      <c r="I44" s="29" t="inlineStr">
        <is>
          <t>True</t>
        </is>
      </c>
      <c r="J44" s="29" t="inlineStr">
        <is>
          <t>OK</t>
        </is>
      </c>
      <c r="K44" s="29" t="inlineStr">
        <is>
          <t>데이터 사용 가능</t>
        </is>
      </c>
      <c r="L44" s="29" t="inlineStr">
        <is>
          <t>LOW</t>
        </is>
      </c>
      <c r="M44" s="29" t="inlineStr">
        <is>
          <t>LOW</t>
        </is>
      </c>
      <c r="N44" s="29" t="inlineStr">
        <is>
          <t>0.251025641025641</t>
        </is>
      </c>
      <c r="O44" s="29" t="inlineStr">
        <is>
          <t>EXPENSIVE</t>
        </is>
      </c>
      <c r="P44" s="29" t="inlineStr">
        <is>
          <t>EXPENSIVE</t>
        </is>
      </c>
      <c r="Q44" s="29" t="inlineStr">
        <is>
          <t>EXPENSIVE</t>
        </is>
      </c>
      <c r="R44" s="29" t="inlineStr">
        <is>
          <t>0.9683283970250778</t>
        </is>
      </c>
      <c r="S44" s="29" t="inlineStr">
        <is>
          <t>HIGH</t>
        </is>
      </c>
      <c r="T44" s="29" t="inlineStr">
        <is>
          <t>HIGH</t>
        </is>
      </c>
      <c r="U44" s="29" t="inlineStr">
        <is>
          <t>0.7142857142857143</t>
        </is>
      </c>
      <c r="V44" s="29" t="inlineStr">
        <is>
          <t>HIGH_RISK</t>
        </is>
      </c>
      <c r="W44" s="29" t="inlineStr">
        <is>
          <t>고위험</t>
        </is>
      </c>
      <c r="X44" s="29" t="inlineStr">
        <is>
          <t>HIGH_RISK</t>
        </is>
      </c>
      <c r="Y44" s="29" t="inlineStr">
        <is>
          <t>0.9663044353705786</t>
        </is>
      </c>
      <c r="Z44" s="29" t="inlineStr">
        <is>
          <t>HIGH</t>
        </is>
      </c>
      <c r="AA44" s="29" t="inlineStr">
        <is>
          <t>HIGH</t>
        </is>
      </c>
      <c r="AB44" s="29" t="inlineStr">
        <is>
          <t>0.3843555232614074</t>
        </is>
      </c>
      <c r="AC44" s="29" t="inlineStr">
        <is>
          <t>True</t>
        </is>
      </c>
      <c r="AD44" s="29" t="inlineStr">
        <is>
          <t>True</t>
        </is>
      </c>
      <c r="AE44" s="29" t="inlineStr">
        <is>
          <t>valuation_credit_ml_overlay_candidate.csv</t>
        </is>
      </c>
      <c r="AF44" s="29" t="inlineStr">
        <is>
          <t>208개 반도체 reference universe. Valuation Agent가 자체 intake 폴더로 복제해 Peer/ML/대시보드 비교에 사용.</t>
        </is>
      </c>
      <c r="AG44" s="29" t="inlineStr">
        <is>
          <t>FOCAL_5</t>
        </is>
      </c>
      <c r="AH44" s="29" t="inlineStr">
        <is>
          <t>False</t>
        </is>
      </c>
    </row>
    <row r="45" ht="24" customHeight="1">
      <c r="A45" s="24" t="inlineStr">
        <is>
          <t>157</t>
        </is>
      </c>
      <c r="B45" s="24" t="inlineStr">
        <is>
          <t>nepes</t>
        </is>
      </c>
      <c r="C45" s="24" t="inlineStr">
        <is>
          <t>네패스</t>
        </is>
      </c>
      <c r="D45" s="24" t="inlineStr">
        <is>
          <t>033640</t>
        </is>
      </c>
      <c r="E45" s="24" t="inlineStr">
        <is>
          <t>KOSDAQ</t>
        </is>
      </c>
      <c r="F45" s="24" t="inlineStr">
        <is>
          <t>후공정/패키징/테스트</t>
        </is>
      </c>
      <c r="G45" s="24" t="inlineStr">
        <is>
          <t>후공정/패키징/테스트</t>
        </is>
      </c>
      <c r="H45" s="24" t="inlineStr">
        <is>
          <t>True</t>
        </is>
      </c>
      <c r="I45" s="24" t="inlineStr">
        <is>
          <t>True</t>
        </is>
      </c>
      <c r="J45" s="24" t="inlineStr">
        <is>
          <t>OK</t>
        </is>
      </c>
      <c r="K45" s="24" t="inlineStr">
        <is>
          <t>데이터 사용 가능</t>
        </is>
      </c>
      <c r="L45" s="24" t="inlineStr">
        <is>
          <t>LOW</t>
        </is>
      </c>
      <c r="M45" s="24" t="inlineStr">
        <is>
          <t>LOW</t>
        </is>
      </c>
      <c r="N45" s="24" t="inlineStr">
        <is>
          <t>0.6385185185185186</t>
        </is>
      </c>
      <c r="O45" s="24" t="inlineStr">
        <is>
          <t>ATTRACTIVE</t>
        </is>
      </c>
      <c r="P45" s="24" t="inlineStr">
        <is>
          <t>가치 매력</t>
        </is>
      </c>
      <c r="Q45" s="24" t="inlineStr">
        <is>
          <t>ATTRACTIVE</t>
        </is>
      </c>
      <c r="R45" s="24" t="inlineStr">
        <is>
          <t>0.8763685947958789</t>
        </is>
      </c>
      <c r="S45" s="24" t="inlineStr">
        <is>
          <t>HIGH</t>
        </is>
      </c>
      <c r="T45" s="24" t="inlineStr">
        <is>
          <t>HIGH</t>
        </is>
      </c>
      <c r="U45" s="24" t="inlineStr">
        <is>
          <t>0.2857142857142857</t>
        </is>
      </c>
      <c r="V45" s="24" t="inlineStr">
        <is>
          <t>MEDIUM_RISK</t>
        </is>
      </c>
      <c r="W45" s="24" t="inlineStr">
        <is>
          <t>중위험</t>
        </is>
      </c>
      <c r="X45" s="24" t="inlineStr">
        <is>
          <t>MEDIUM_RISK</t>
        </is>
      </c>
      <c r="Y45" s="24" t="inlineStr">
        <is>
          <t>0.5963458259503356</t>
        </is>
      </c>
      <c r="Z45" s="24" t="inlineStr">
        <is>
          <t>MEDIUM</t>
        </is>
      </c>
      <c r="AA45" s="24" t="inlineStr">
        <is>
          <t>MEDIUM</t>
        </is>
      </c>
      <c r="AB45" s="24" t="inlineStr">
        <is>
          <t>0.07896643996759804</t>
        </is>
      </c>
      <c r="AC45" s="24" t="inlineStr">
        <is>
          <t>False</t>
        </is>
      </c>
      <c r="AD45" s="24" t="inlineStr">
        <is>
          <t>False</t>
        </is>
      </c>
      <c r="AE45" s="24" t="inlineStr">
        <is>
          <t>valuation_credit_ml_overlay_candidate.csv</t>
        </is>
      </c>
      <c r="AF45" s="24" t="inlineStr">
        <is>
          <t>208개 반도체 reference universe. Valuation Agent가 자체 intake 폴더로 복제해 Peer/ML/대시보드 비교에 사용.</t>
        </is>
      </c>
      <c r="AG45" s="24" t="inlineStr">
        <is>
          <t>FOCAL_5</t>
        </is>
      </c>
      <c r="AH45" s="24" t="inlineStr">
        <is>
          <t>False</t>
        </is>
      </c>
    </row>
    <row r="46" ht="24" customHeight="1">
      <c r="A46" s="29" t="inlineStr">
        <is>
          <t>192</t>
        </is>
      </c>
      <c r="B46" s="29" t="inlineStr">
        <is>
          <t>hanmi</t>
        </is>
      </c>
      <c r="C46" s="29" t="inlineStr">
        <is>
          <t>한미반도체</t>
        </is>
      </c>
      <c r="D46" s="29" t="inlineStr">
        <is>
          <t>042700</t>
        </is>
      </c>
      <c r="E46" s="29" t="inlineStr">
        <is>
          <t>KOSPI</t>
        </is>
      </c>
      <c r="F46" s="29" t="inlineStr">
        <is>
          <t>후공정/패키징/테스트</t>
        </is>
      </c>
      <c r="G46" s="29" t="inlineStr">
        <is>
          <t>후공정/패키징/테스트</t>
        </is>
      </c>
      <c r="H46" s="29" t="inlineStr">
        <is>
          <t>True</t>
        </is>
      </c>
      <c r="I46" s="29" t="inlineStr">
        <is>
          <t>True</t>
        </is>
      </c>
      <c r="J46" s="29" t="inlineStr">
        <is>
          <t>OK</t>
        </is>
      </c>
      <c r="K46" s="29" t="inlineStr">
        <is>
          <t>데이터 사용 가능</t>
        </is>
      </c>
      <c r="L46" s="29" t="inlineStr">
        <is>
          <t>LOW</t>
        </is>
      </c>
      <c r="M46" s="29" t="inlineStr">
        <is>
          <t>LOW</t>
        </is>
      </c>
      <c r="N46" s="29" t="inlineStr">
        <is>
          <t>0.4712592592592592</t>
        </is>
      </c>
      <c r="O46" s="29" t="inlineStr">
        <is>
          <t>FAIR</t>
        </is>
      </c>
      <c r="P46" s="29" t="inlineStr">
        <is>
          <t>FAIR</t>
        </is>
      </c>
      <c r="Q46" s="29" t="inlineStr">
        <is>
          <t>FAIR</t>
        </is>
      </c>
      <c r="R46" s="29" t="inlineStr">
        <is>
          <t>0.618072727307107</t>
        </is>
      </c>
      <c r="S46" s="29" t="inlineStr">
        <is>
          <t>MEDIUM</t>
        </is>
      </c>
      <c r="T46" s="29" t="inlineStr">
        <is>
          <t>MEDIUM</t>
        </is>
      </c>
      <c r="U46" s="29" t="inlineStr">
        <is>
          <t>0.0</t>
        </is>
      </c>
      <c r="V46" s="29" t="inlineStr">
        <is>
          <t>LOW_RISK</t>
        </is>
      </c>
      <c r="W46" s="29" t="inlineStr">
        <is>
          <t>저위험</t>
        </is>
      </c>
      <c r="X46" s="29" t="inlineStr">
        <is>
          <t>LOW_RISK</t>
        </is>
      </c>
      <c r="Y46" s="29" t="inlineStr">
        <is>
          <t>0.9350232170644448</t>
        </is>
      </c>
      <c r="Z46" s="29" t="inlineStr">
        <is>
          <t>HIGH</t>
        </is>
      </c>
      <c r="AA46" s="29" t="inlineStr">
        <is>
          <t>HIGH</t>
        </is>
      </c>
      <c r="AB46" s="29" t="inlineStr">
        <is>
          <t>0.2707179947680644</t>
        </is>
      </c>
      <c r="AC46" s="29" t="inlineStr">
        <is>
          <t>True</t>
        </is>
      </c>
      <c r="AD46" s="29" t="inlineStr">
        <is>
          <t>True</t>
        </is>
      </c>
      <c r="AE46" s="29" t="inlineStr">
        <is>
          <t>valuation_credit_ml_overlay_candidate.csv</t>
        </is>
      </c>
      <c r="AF46" s="29" t="inlineStr">
        <is>
          <t>208개 반도체 reference universe. Valuation Agent가 자체 intake 폴더로 복제해 Peer/ML/대시보드 비교에 사용.</t>
        </is>
      </c>
      <c r="AG46" s="29" t="inlineStr">
        <is>
          <t>FOCAL_5</t>
        </is>
      </c>
      <c r="AH46" s="29" t="inlineStr">
        <is>
          <t>False</t>
        </is>
      </c>
    </row>
    <row r="47" ht="24" customHeight="1">
      <c r="A47" s="24" t="inlineStr">
        <is>
          <t>99</t>
        </is>
      </c>
      <c r="B47" s="24" t="inlineStr">
        <is>
          <t>해당 없음</t>
        </is>
      </c>
      <c r="C47" s="24" t="inlineStr">
        <is>
          <t>엔투텍</t>
        </is>
      </c>
      <c r="D47" s="24" t="inlineStr">
        <is>
          <t>227950</t>
        </is>
      </c>
      <c r="E47" s="24" t="inlineStr">
        <is>
          <t>KOSDAQ</t>
        </is>
      </c>
      <c r="F47" s="24" t="inlineStr">
        <is>
          <t>장비</t>
        </is>
      </c>
      <c r="G47" s="24" t="inlineStr">
        <is>
          <t>장비</t>
        </is>
      </c>
      <c r="H47" s="24" t="inlineStr">
        <is>
          <t>False</t>
        </is>
      </c>
      <c r="I47" s="24" t="inlineStr">
        <is>
          <t>True</t>
        </is>
      </c>
      <c r="J47" s="24" t="inlineStr">
        <is>
          <t>OK</t>
        </is>
      </c>
      <c r="K47" s="24" t="inlineStr">
        <is>
          <t>데이터 사용 가능</t>
        </is>
      </c>
      <c r="L47" s="24" t="inlineStr">
        <is>
          <t>LOW</t>
        </is>
      </c>
      <c r="M47" s="24" t="inlineStr">
        <is>
          <t>LOW</t>
        </is>
      </c>
      <c r="N47" s="24" t="inlineStr">
        <is>
          <t>0.8128666666666667</t>
        </is>
      </c>
      <c r="O47" s="24" t="inlineStr">
        <is>
          <t>ATTRACTIVE</t>
        </is>
      </c>
      <c r="P47" s="24" t="inlineStr">
        <is>
          <t>가치 매력</t>
        </is>
      </c>
      <c r="Q47" s="24" t="inlineStr">
        <is>
          <t>ATTRACTIVE</t>
        </is>
      </c>
      <c r="R47" s="24" t="inlineStr">
        <is>
          <t>0.8347222629406851</t>
        </is>
      </c>
      <c r="S47" s="24" t="inlineStr">
        <is>
          <t>HIGH</t>
        </is>
      </c>
      <c r="T47" s="24" t="inlineStr">
        <is>
          <t>HIGH</t>
        </is>
      </c>
      <c r="U47" s="24" t="inlineStr">
        <is>
          <t>0.2142857142857142</t>
        </is>
      </c>
      <c r="V47" s="24" t="inlineStr">
        <is>
          <t>MEDIUM_RISK</t>
        </is>
      </c>
      <c r="W47" s="24" t="inlineStr">
        <is>
          <t>중위험</t>
        </is>
      </c>
      <c r="X47" s="24" t="inlineStr">
        <is>
          <t>MEDIUM_RISK</t>
        </is>
      </c>
      <c r="Y47" s="24" t="inlineStr">
        <is>
          <t>0.5142933547274794</t>
        </is>
      </c>
      <c r="Z47" s="24" t="inlineStr">
        <is>
          <t>MEDIUM</t>
        </is>
      </c>
      <c r="AA47" s="24" t="inlineStr">
        <is>
          <t>MEDIUM</t>
        </is>
      </c>
      <c r="AB47" s="24" t="inlineStr">
        <is>
          <t>0.21193857896314997</t>
        </is>
      </c>
      <c r="AC47" s="24" t="inlineStr">
        <is>
          <t>False</t>
        </is>
      </c>
      <c r="AD47" s="24" t="inlineStr">
        <is>
          <t>False</t>
        </is>
      </c>
      <c r="AE47" s="24" t="inlineStr">
        <is>
          <t>valuation_credit_ml_overlay_candidate.csv</t>
        </is>
      </c>
      <c r="AF47" s="24" t="inlineStr">
        <is>
          <t>208개 반도체 reference universe. Valuation Agent가 자체 intake 폴더로 복제해 Peer/ML/대시보드 비교에 사용.</t>
        </is>
      </c>
      <c r="AG47" s="24" t="inlineStr">
        <is>
          <t>TOP_REFERENCE</t>
        </is>
      </c>
      <c r="AH47" s="24" t="inlineStr">
        <is>
          <t>False</t>
        </is>
      </c>
    </row>
    <row r="48" ht="24" customHeight="1">
      <c r="A48" s="29" t="inlineStr">
        <is>
          <t>62</t>
        </is>
      </c>
      <c r="B48" s="29" t="inlineStr">
        <is>
          <t>해당 없음</t>
        </is>
      </c>
      <c r="C48" s="29" t="inlineStr">
        <is>
          <t>에스에이엠티</t>
        </is>
      </c>
      <c r="D48" s="29" t="inlineStr">
        <is>
          <t>031330</t>
        </is>
      </c>
      <c r="E48" s="29" t="inlineStr">
        <is>
          <t>KOSDAQ</t>
        </is>
      </c>
      <c r="F48" s="29" t="inlineStr">
        <is>
          <t>팹리스/설계</t>
        </is>
      </c>
      <c r="G48" s="29" t="inlineStr">
        <is>
          <t>팹리스/설계</t>
        </is>
      </c>
      <c r="H48" s="29" t="inlineStr">
        <is>
          <t>False</t>
        </is>
      </c>
      <c r="I48" s="29" t="inlineStr">
        <is>
          <t>True</t>
        </is>
      </c>
      <c r="J48" s="29" t="inlineStr">
        <is>
          <t>OK</t>
        </is>
      </c>
      <c r="K48" s="29" t="inlineStr">
        <is>
          <t>데이터 사용 가능</t>
        </is>
      </c>
      <c r="L48" s="29" t="inlineStr">
        <is>
          <t>LOW</t>
        </is>
      </c>
      <c r="M48" s="29" t="inlineStr">
        <is>
          <t>LOW</t>
        </is>
      </c>
      <c r="N48" s="29" t="inlineStr">
        <is>
          <t>0.7838383838383839</t>
        </is>
      </c>
      <c r="O48" s="29" t="inlineStr">
        <is>
          <t>FAIR</t>
        </is>
      </c>
      <c r="P48" s="29" t="inlineStr">
        <is>
          <t>FAIR</t>
        </is>
      </c>
      <c r="Q48" s="29" t="inlineStr">
        <is>
          <t>FAIR</t>
        </is>
      </c>
      <c r="R48" s="29" t="inlineStr">
        <is>
          <t>0.8575928985222669</t>
        </is>
      </c>
      <c r="S48" s="29" t="inlineStr">
        <is>
          <t>HIGH</t>
        </is>
      </c>
      <c r="T48" s="29" t="inlineStr">
        <is>
          <t>HIGH</t>
        </is>
      </c>
      <c r="U48" s="29" t="inlineStr">
        <is>
          <t>0.5</t>
        </is>
      </c>
      <c r="V48" s="29" t="inlineStr">
        <is>
          <t>HIGH_RISK</t>
        </is>
      </c>
      <c r="W48" s="29" t="inlineStr">
        <is>
          <t>고위험</t>
        </is>
      </c>
      <c r="X48" s="29" t="inlineStr">
        <is>
          <t>HIGH_RISK</t>
        </is>
      </c>
      <c r="Y48" s="29" t="inlineStr">
        <is>
          <t>0.5021487096911619</t>
        </is>
      </c>
      <c r="Z48" s="29" t="inlineStr">
        <is>
          <t>MEDIUM</t>
        </is>
      </c>
      <c r="AA48" s="29" t="inlineStr">
        <is>
          <t>MEDIUM</t>
        </is>
      </c>
      <c r="AB48" s="29" t="inlineStr">
        <is>
          <t>0.11372149345925425</t>
        </is>
      </c>
      <c r="AC48" s="29" t="inlineStr">
        <is>
          <t>False</t>
        </is>
      </c>
      <c r="AD48" s="29" t="inlineStr">
        <is>
          <t>False</t>
        </is>
      </c>
      <c r="AE48" s="29" t="inlineStr">
        <is>
          <t>valuation_credit_ml_overlay_candidate.csv</t>
        </is>
      </c>
      <c r="AF48" s="29" t="inlineStr">
        <is>
          <t>208개 반도체 reference universe. Valuation Agent가 자체 intake 폴더로 복제해 Peer/ML/대시보드 비교에 사용.</t>
        </is>
      </c>
      <c r="AG48" s="29" t="inlineStr">
        <is>
          <t>TOP_REFERENCE</t>
        </is>
      </c>
      <c r="AH48" s="29" t="inlineStr">
        <is>
          <t>False</t>
        </is>
      </c>
    </row>
    <row r="49" ht="24" customHeight="1">
      <c r="A49" s="24" t="inlineStr">
        <is>
          <t>168</t>
        </is>
      </c>
      <c r="B49" s="24" t="inlineStr">
        <is>
          <t>해당 없음</t>
        </is>
      </c>
      <c r="C49" s="24" t="inlineStr">
        <is>
          <t>성우테크론</t>
        </is>
      </c>
      <c r="D49" s="24" t="inlineStr">
        <is>
          <t>045300</t>
        </is>
      </c>
      <c r="E49" s="24" t="inlineStr">
        <is>
          <t>KOSDAQ</t>
        </is>
      </c>
      <c r="F49" s="24" t="inlineStr">
        <is>
          <t>후공정/패키징/테스트</t>
        </is>
      </c>
      <c r="G49" s="24" t="inlineStr">
        <is>
          <t>후공정/패키징/테스트</t>
        </is>
      </c>
      <c r="H49" s="24" t="inlineStr">
        <is>
          <t>False</t>
        </is>
      </c>
      <c r="I49" s="24" t="inlineStr">
        <is>
          <t>True</t>
        </is>
      </c>
      <c r="J49" s="24" t="inlineStr">
        <is>
          <t>OK</t>
        </is>
      </c>
      <c r="K49" s="24" t="inlineStr">
        <is>
          <t>데이터 사용 가능</t>
        </is>
      </c>
      <c r="L49" s="24" t="inlineStr">
        <is>
          <t>LOW</t>
        </is>
      </c>
      <c r="M49" s="24" t="inlineStr">
        <is>
          <t>LOW</t>
        </is>
      </c>
      <c r="N49" s="24" t="inlineStr">
        <is>
          <t>0.7764444444444445</t>
        </is>
      </c>
      <c r="O49" s="24" t="inlineStr">
        <is>
          <t>ATTRACTIVE</t>
        </is>
      </c>
      <c r="P49" s="24" t="inlineStr">
        <is>
          <t>가치 매력</t>
        </is>
      </c>
      <c r="Q49" s="24" t="inlineStr">
        <is>
          <t>ATTRACTIVE</t>
        </is>
      </c>
      <c r="R49" s="24" t="inlineStr">
        <is>
          <t>0.9526864248076319</t>
        </is>
      </c>
      <c r="S49" s="24" t="inlineStr">
        <is>
          <t>HIGH</t>
        </is>
      </c>
      <c r="T49" s="24" t="inlineStr">
        <is>
          <t>HIGH</t>
        </is>
      </c>
      <c r="U49" s="24" t="inlineStr">
        <is>
          <t>0.0714285714285714</t>
        </is>
      </c>
      <c r="V49" s="24" t="inlineStr">
        <is>
          <t>LOW_RISK</t>
        </is>
      </c>
      <c r="W49" s="24" t="inlineStr">
        <is>
          <t>저위험</t>
        </is>
      </c>
      <c r="X49" s="24" t="inlineStr">
        <is>
          <t>LOW_RISK</t>
        </is>
      </c>
      <c r="Y49" s="24" t="inlineStr">
        <is>
          <t>0.869939352370702</t>
        </is>
      </c>
      <c r="Z49" s="24" t="inlineStr">
        <is>
          <t>HIGH</t>
        </is>
      </c>
      <c r="AA49" s="24" t="inlineStr">
        <is>
          <t>HIGH</t>
        </is>
      </c>
      <c r="AB49" s="24" t="inlineStr">
        <is>
          <t>0.10286671144812394</t>
        </is>
      </c>
      <c r="AC49" s="24" t="inlineStr">
        <is>
          <t>False</t>
        </is>
      </c>
      <c r="AD49" s="24" t="inlineStr">
        <is>
          <t>False</t>
        </is>
      </c>
      <c r="AE49" s="24" t="inlineStr">
        <is>
          <t>valuation_credit_ml_overlay_candidate.csv</t>
        </is>
      </c>
      <c r="AF49" s="24" t="inlineStr">
        <is>
          <t>208개 반도체 reference universe. Valuation Agent가 자체 intake 폴더로 복제해 Peer/ML/대시보드 비교에 사용.</t>
        </is>
      </c>
      <c r="AG49" s="24" t="inlineStr">
        <is>
          <t>TOP_REFERENCE</t>
        </is>
      </c>
      <c r="AH49" s="24" t="inlineStr">
        <is>
          <t>False</t>
        </is>
      </c>
    </row>
    <row r="50" ht="24" customHeight="1">
      <c r="A50" s="29" t="inlineStr">
        <is>
          <t>165</t>
        </is>
      </c>
      <c r="B50" s="29" t="inlineStr">
        <is>
          <t>해당 없음</t>
        </is>
      </c>
      <c r="C50" s="29" t="inlineStr">
        <is>
          <t>미래산업</t>
        </is>
      </c>
      <c r="D50" s="29" t="inlineStr">
        <is>
          <t>025560</t>
        </is>
      </c>
      <c r="E50" s="29" t="inlineStr">
        <is>
          <t>KOSPI</t>
        </is>
      </c>
      <c r="F50" s="29" t="inlineStr">
        <is>
          <t>후공정/패키징/테스트</t>
        </is>
      </c>
      <c r="G50" s="29" t="inlineStr">
        <is>
          <t>후공정/패키징/테스트</t>
        </is>
      </c>
      <c r="H50" s="29" t="inlineStr">
        <is>
          <t>False</t>
        </is>
      </c>
      <c r="I50" s="29" t="inlineStr">
        <is>
          <t>True</t>
        </is>
      </c>
      <c r="J50" s="29" t="inlineStr">
        <is>
          <t>OK</t>
        </is>
      </c>
      <c r="K50" s="29" t="inlineStr">
        <is>
          <t>데이터 사용 가능</t>
        </is>
      </c>
      <c r="L50" s="29" t="inlineStr">
        <is>
          <t>LOW</t>
        </is>
      </c>
      <c r="M50" s="29" t="inlineStr">
        <is>
          <t>LOW</t>
        </is>
      </c>
      <c r="N50" s="29" t="inlineStr">
        <is>
          <t>0.7748148148148148</t>
        </is>
      </c>
      <c r="O50" s="29" t="inlineStr">
        <is>
          <t>FAIR</t>
        </is>
      </c>
      <c r="P50" s="29" t="inlineStr">
        <is>
          <t>FAIR</t>
        </is>
      </c>
      <c r="Q50" s="29" t="inlineStr">
        <is>
          <t>FAIR</t>
        </is>
      </c>
      <c r="R50" s="29" t="inlineStr">
        <is>
          <t>0.883291104654336</t>
        </is>
      </c>
      <c r="S50" s="29" t="inlineStr">
        <is>
          <t>HIGH</t>
        </is>
      </c>
      <c r="T50" s="29" t="inlineStr">
        <is>
          <t>HIGH</t>
        </is>
      </c>
      <c r="U50" s="29" t="inlineStr">
        <is>
          <t>0.2857142857142857</t>
        </is>
      </c>
      <c r="V50" s="29" t="inlineStr">
        <is>
          <t>MEDIUM_RISK</t>
        </is>
      </c>
      <c r="W50" s="29" t="inlineStr">
        <is>
          <t>중위험</t>
        </is>
      </c>
      <c r="X50" s="29" t="inlineStr">
        <is>
          <t>MEDIUM_RISK</t>
        </is>
      </c>
      <c r="Y50" s="29" t="inlineStr">
        <is>
          <t>0.695536763680257</t>
        </is>
      </c>
      <c r="Z50" s="29" t="inlineStr">
        <is>
          <t>MEDIUM</t>
        </is>
      </c>
      <c r="AA50" s="29" t="inlineStr">
        <is>
          <t>MEDIUM</t>
        </is>
      </c>
      <c r="AB50" s="29" t="inlineStr">
        <is>
          <t>0.08100242357773374</t>
        </is>
      </c>
      <c r="AC50" s="29" t="inlineStr">
        <is>
          <t>False</t>
        </is>
      </c>
      <c r="AD50" s="29" t="inlineStr">
        <is>
          <t>False</t>
        </is>
      </c>
      <c r="AE50" s="29" t="inlineStr">
        <is>
          <t>valuation_credit_ml_overlay_candidate.csv</t>
        </is>
      </c>
      <c r="AF50" s="29" t="inlineStr">
        <is>
          <t>208개 반도체 reference universe. Valuation Agent가 자체 intake 폴더로 복제해 Peer/ML/대시보드 비교에 사용.</t>
        </is>
      </c>
      <c r="AG50" s="29" t="inlineStr">
        <is>
          <t>TOP_REFERENCE</t>
        </is>
      </c>
      <c r="AH50" s="29" t="inlineStr">
        <is>
          <t>False</t>
        </is>
      </c>
    </row>
    <row r="51" ht="24" customHeight="1">
      <c r="A51" s="24" t="inlineStr">
        <is>
          <t>10</t>
        </is>
      </c>
      <c r="B51" s="24" t="inlineStr">
        <is>
          <t>해당 없음</t>
        </is>
      </c>
      <c r="C51" s="24" t="inlineStr">
        <is>
          <t>미코</t>
        </is>
      </c>
      <c r="D51" s="24" t="inlineStr">
        <is>
          <t>059090</t>
        </is>
      </c>
      <c r="E51" s="24" t="inlineStr">
        <is>
          <t>KOSDAQ</t>
        </is>
      </c>
      <c r="F51" s="24" t="inlineStr">
        <is>
          <t>IDM/제조/메모리</t>
        </is>
      </c>
      <c r="G51" s="24" t="inlineStr">
        <is>
          <t>IDM/제조/메모리</t>
        </is>
      </c>
      <c r="H51" s="24" t="inlineStr">
        <is>
          <t>False</t>
        </is>
      </c>
      <c r="I51" s="24" t="inlineStr">
        <is>
          <t>True</t>
        </is>
      </c>
      <c r="J51" s="24" t="inlineStr">
        <is>
          <t>OK</t>
        </is>
      </c>
      <c r="K51" s="24" t="inlineStr">
        <is>
          <t>데이터 사용 가능</t>
        </is>
      </c>
      <c r="L51" s="24" t="inlineStr">
        <is>
          <t>LOW</t>
        </is>
      </c>
      <c r="M51" s="24" t="inlineStr">
        <is>
          <t>LOW</t>
        </is>
      </c>
      <c r="N51" s="24" t="inlineStr">
        <is>
          <t>0.7733333333333334</t>
        </is>
      </c>
      <c r="O51" s="24" t="inlineStr">
        <is>
          <t>FAIR</t>
        </is>
      </c>
      <c r="P51" s="24" t="inlineStr">
        <is>
          <t>FAIR</t>
        </is>
      </c>
      <c r="Q51" s="24" t="inlineStr">
        <is>
          <t>FAIR</t>
        </is>
      </c>
      <c r="R51" s="24" t="inlineStr">
        <is>
          <t>0.9066669659525092</t>
        </is>
      </c>
      <c r="S51" s="24" t="inlineStr">
        <is>
          <t>HIGH</t>
        </is>
      </c>
      <c r="T51" s="24" t="inlineStr">
        <is>
          <t>HIGH</t>
        </is>
      </c>
      <c r="U51" s="24" t="inlineStr">
        <is>
          <t>0.2142857142857142</t>
        </is>
      </c>
      <c r="V51" s="24" t="inlineStr">
        <is>
          <t>MEDIUM_RISK</t>
        </is>
      </c>
      <c r="W51" s="24" t="inlineStr">
        <is>
          <t>중위험</t>
        </is>
      </c>
      <c r="X51" s="24" t="inlineStr">
        <is>
          <t>MEDIUM_RISK</t>
        </is>
      </c>
      <c r="Y51" s="24" t="inlineStr">
        <is>
          <t>0.6769145960065608</t>
        </is>
      </c>
      <c r="Z51" s="24" t="inlineStr">
        <is>
          <t>MEDIUM</t>
        </is>
      </c>
      <c r="AA51" s="24" t="inlineStr">
        <is>
          <t>MEDIUM</t>
        </is>
      </c>
      <c r="AB51" s="24" t="inlineStr">
        <is>
          <t>0.10646038380774528</t>
        </is>
      </c>
      <c r="AC51" s="24" t="inlineStr">
        <is>
          <t>False</t>
        </is>
      </c>
      <c r="AD51" s="24" t="inlineStr">
        <is>
          <t>False</t>
        </is>
      </c>
      <c r="AE51" s="24" t="inlineStr">
        <is>
          <t>valuation_credit_ml_overlay_candidate.csv</t>
        </is>
      </c>
      <c r="AF51" s="24" t="inlineStr">
        <is>
          <t>208개 반도체 reference universe. Valuation Agent가 자체 intake 폴더로 복제해 Peer/ML/대시보드 비교에 사용.</t>
        </is>
      </c>
      <c r="AG51" s="24" t="inlineStr">
        <is>
          <t>TOP_REFERENCE</t>
        </is>
      </c>
      <c r="AH51" s="24" t="inlineStr">
        <is>
          <t>False</t>
        </is>
      </c>
    </row>
    <row r="52" ht="24" customHeight="1">
      <c r="A52" s="29" t="inlineStr">
        <is>
          <t>163</t>
        </is>
      </c>
      <c r="B52" s="29" t="inlineStr">
        <is>
          <t>해당 없음</t>
        </is>
      </c>
      <c r="C52" s="29" t="inlineStr">
        <is>
          <t>링크제니시스</t>
        </is>
      </c>
      <c r="D52" s="29" t="inlineStr">
        <is>
          <t>219420</t>
        </is>
      </c>
      <c r="E52" s="29" t="inlineStr">
        <is>
          <t>KOSDAQ</t>
        </is>
      </c>
      <c r="F52" s="29" t="inlineStr">
        <is>
          <t>후공정/패키징/테스트</t>
        </is>
      </c>
      <c r="G52" s="29" t="inlineStr">
        <is>
          <t>후공정/패키징/테스트</t>
        </is>
      </c>
      <c r="H52" s="29" t="inlineStr">
        <is>
          <t>False</t>
        </is>
      </c>
      <c r="I52" s="29" t="inlineStr">
        <is>
          <t>True</t>
        </is>
      </c>
      <c r="J52" s="29" t="inlineStr">
        <is>
          <t>OK</t>
        </is>
      </c>
      <c r="K52" s="29" t="inlineStr">
        <is>
          <t>데이터 사용 가능</t>
        </is>
      </c>
      <c r="L52" s="29" t="inlineStr">
        <is>
          <t>LOW</t>
        </is>
      </c>
      <c r="M52" s="29" t="inlineStr">
        <is>
          <t>LOW</t>
        </is>
      </c>
      <c r="N52" s="29" t="inlineStr">
        <is>
          <t>0.7522962962962964</t>
        </is>
      </c>
      <c r="O52" s="29" t="inlineStr">
        <is>
          <t>ATTRACTIVE</t>
        </is>
      </c>
      <c r="P52" s="29" t="inlineStr">
        <is>
          <t>가치 매력</t>
        </is>
      </c>
      <c r="Q52" s="29" t="inlineStr">
        <is>
          <t>ATTRACTIVE</t>
        </is>
      </c>
      <c r="R52" s="29" t="inlineStr">
        <is>
          <t>0.8724992666433111</t>
        </is>
      </c>
      <c r="S52" s="29" t="inlineStr">
        <is>
          <t>HIGH</t>
        </is>
      </c>
      <c r="T52" s="29" t="inlineStr">
        <is>
          <t>HIGH</t>
        </is>
      </c>
      <c r="U52" s="29" t="inlineStr">
        <is>
          <t>0.0714285714285714</t>
        </is>
      </c>
      <c r="V52" s="29" t="inlineStr">
        <is>
          <t>LOW_RISK</t>
        </is>
      </c>
      <c r="W52" s="29" t="inlineStr">
        <is>
          <t>저위험</t>
        </is>
      </c>
      <c r="X52" s="29" t="inlineStr">
        <is>
          <t>LOW_RISK</t>
        </is>
      </c>
      <c r="Y52" s="29" t="inlineStr">
        <is>
          <t>0.8663667518810074</t>
        </is>
      </c>
      <c r="Z52" s="29" t="inlineStr">
        <is>
          <t>HIGH</t>
        </is>
      </c>
      <c r="AA52" s="29" t="inlineStr">
        <is>
          <t>HIGH</t>
        </is>
      </c>
      <c r="AB52" s="29" t="inlineStr">
        <is>
          <t>0.1247344063934745</t>
        </is>
      </c>
      <c r="AC52" s="29" t="inlineStr">
        <is>
          <t>False</t>
        </is>
      </c>
      <c r="AD52" s="29" t="inlineStr">
        <is>
          <t>False</t>
        </is>
      </c>
      <c r="AE52" s="29" t="inlineStr">
        <is>
          <t>valuation_credit_ml_overlay_candidate.csv</t>
        </is>
      </c>
      <c r="AF52" s="29" t="inlineStr">
        <is>
          <t>208개 반도체 reference universe. Valuation Agent가 자체 intake 폴더로 복제해 Peer/ML/대시보드 비교에 사용.</t>
        </is>
      </c>
      <c r="AG52" s="29" t="inlineStr">
        <is>
          <t>TOP_REFERENCE</t>
        </is>
      </c>
      <c r="AH52" s="29" t="inlineStr">
        <is>
          <t>False</t>
        </is>
      </c>
    </row>
    <row r="53" ht="24" customHeight="1">
      <c r="A53" s="24" t="inlineStr">
        <is>
          <t>22</t>
        </is>
      </c>
      <c r="B53" s="24" t="inlineStr">
        <is>
          <t>해당 없음</t>
        </is>
      </c>
      <c r="C53" s="24" t="inlineStr">
        <is>
          <t>엘디티</t>
        </is>
      </c>
      <c r="D53" s="24" t="inlineStr">
        <is>
          <t>096870</t>
        </is>
      </c>
      <c r="E53" s="24" t="inlineStr">
        <is>
          <t>KOSDAQ</t>
        </is>
      </c>
      <c r="F53" s="24" t="inlineStr">
        <is>
          <t>IDM/제조/메모리</t>
        </is>
      </c>
      <c r="G53" s="24" t="inlineStr">
        <is>
          <t>IDM/제조/메모리</t>
        </is>
      </c>
      <c r="H53" s="24" t="inlineStr">
        <is>
          <t>False</t>
        </is>
      </c>
      <c r="I53" s="24" t="inlineStr">
        <is>
          <t>True</t>
        </is>
      </c>
      <c r="J53" s="24" t="inlineStr">
        <is>
          <t>OK</t>
        </is>
      </c>
      <c r="K53" s="24" t="inlineStr">
        <is>
          <t>데이터 사용 가능</t>
        </is>
      </c>
      <c r="L53" s="24" t="inlineStr">
        <is>
          <t>LOW</t>
        </is>
      </c>
      <c r="M53" s="24" t="inlineStr">
        <is>
          <t>LOW</t>
        </is>
      </c>
      <c r="N53" s="24" t="inlineStr">
        <is>
          <t>0.7518333333333332</t>
        </is>
      </c>
      <c r="O53" s="24" t="inlineStr">
        <is>
          <t>ATTRACTIVE</t>
        </is>
      </c>
      <c r="P53" s="24" t="inlineStr">
        <is>
          <t>가치 매력</t>
        </is>
      </c>
      <c r="Q53" s="24" t="inlineStr">
        <is>
          <t>ATTRACTIVE</t>
        </is>
      </c>
      <c r="R53" s="24" t="inlineStr">
        <is>
          <t>0.8817908899004964</t>
        </is>
      </c>
      <c r="S53" s="24" t="inlineStr">
        <is>
          <t>HIGH</t>
        </is>
      </c>
      <c r="T53" s="24" t="inlineStr">
        <is>
          <t>HIGH</t>
        </is>
      </c>
      <c r="U53" s="24" t="inlineStr">
        <is>
          <t>0.0714285714285714</t>
        </is>
      </c>
      <c r="V53" s="24" t="inlineStr">
        <is>
          <t>LOW_RISK</t>
        </is>
      </c>
      <c r="W53" s="24" t="inlineStr">
        <is>
          <t>저위험</t>
        </is>
      </c>
      <c r="X53" s="24" t="inlineStr">
        <is>
          <t>LOW_RISK</t>
        </is>
      </c>
      <c r="Y53" s="24" t="inlineStr">
        <is>
          <t>0.8068970516192283</t>
        </is>
      </c>
      <c r="Z53" s="24" t="inlineStr">
        <is>
          <t>HIGH</t>
        </is>
      </c>
      <c r="AA53" s="24" t="inlineStr">
        <is>
          <t>HIGH</t>
        </is>
      </c>
      <c r="AB53" s="24" t="inlineStr">
        <is>
          <t>0.2312715560027526</t>
        </is>
      </c>
      <c r="AC53" s="24" t="inlineStr">
        <is>
          <t>False</t>
        </is>
      </c>
      <c r="AD53" s="24" t="inlineStr">
        <is>
          <t>False</t>
        </is>
      </c>
      <c r="AE53" s="24" t="inlineStr">
        <is>
          <t>valuation_credit_ml_overlay_candidate.csv</t>
        </is>
      </c>
      <c r="AF53" s="24" t="inlineStr">
        <is>
          <t>208개 반도체 reference universe. Valuation Agent가 자체 intake 폴더로 복제해 Peer/ML/대시보드 비교에 사용.</t>
        </is>
      </c>
      <c r="AG53" s="24" t="inlineStr">
        <is>
          <t>TOP_REFERENCE</t>
        </is>
      </c>
      <c r="AH53" s="24" t="inlineStr">
        <is>
          <t>False</t>
        </is>
      </c>
    </row>
    <row r="54" ht="24" customHeight="1">
      <c r="A54" s="29" t="inlineStr">
        <is>
          <t>65</t>
        </is>
      </c>
      <c r="B54" s="29" t="inlineStr">
        <is>
          <t>해당 없음</t>
        </is>
      </c>
      <c r="C54" s="29" t="inlineStr">
        <is>
          <t>유니트론텍</t>
        </is>
      </c>
      <c r="D54" s="29" t="inlineStr">
        <is>
          <t>142210</t>
        </is>
      </c>
      <c r="E54" s="29" t="inlineStr">
        <is>
          <t>KOSDAQ</t>
        </is>
      </c>
      <c r="F54" s="29" t="inlineStr">
        <is>
          <t>팹리스/설계</t>
        </is>
      </c>
      <c r="G54" s="29" t="inlineStr">
        <is>
          <t>팹리스/설계</t>
        </is>
      </c>
      <c r="H54" s="29" t="inlineStr">
        <is>
          <t>False</t>
        </is>
      </c>
      <c r="I54" s="29" t="inlineStr">
        <is>
          <t>True</t>
        </is>
      </c>
      <c r="J54" s="29" t="inlineStr">
        <is>
          <t>OK</t>
        </is>
      </c>
      <c r="K54" s="29" t="inlineStr">
        <is>
          <t>데이터 사용 가능</t>
        </is>
      </c>
      <c r="L54" s="29" t="inlineStr">
        <is>
          <t>LOW</t>
        </is>
      </c>
      <c r="M54" s="29" t="inlineStr">
        <is>
          <t>LOW</t>
        </is>
      </c>
      <c r="N54" s="29" t="inlineStr">
        <is>
          <t>0.7478787878787879</t>
        </is>
      </c>
      <c r="O54" s="29" t="inlineStr">
        <is>
          <t>FAIR</t>
        </is>
      </c>
      <c r="P54" s="29" t="inlineStr">
        <is>
          <t>FAIR</t>
        </is>
      </c>
      <c r="Q54" s="29" t="inlineStr">
        <is>
          <t>FAIR</t>
        </is>
      </c>
      <c r="R54" s="29" t="inlineStr">
        <is>
          <t>0.8593164302034415</t>
        </is>
      </c>
      <c r="S54" s="29" t="inlineStr">
        <is>
          <t>HIGH</t>
        </is>
      </c>
      <c r="T54" s="29" t="inlineStr">
        <is>
          <t>HIGH</t>
        </is>
      </c>
      <c r="U54" s="29" t="inlineStr">
        <is>
          <t>0.3571428571428571</t>
        </is>
      </c>
      <c r="V54" s="29" t="inlineStr">
        <is>
          <t>MEDIUM_RISK</t>
        </is>
      </c>
      <c r="W54" s="29" t="inlineStr">
        <is>
          <t>중위험</t>
        </is>
      </c>
      <c r="X54" s="29" t="inlineStr">
        <is>
          <t>MEDIUM_RISK</t>
        </is>
      </c>
      <c r="Y54" s="29" t="inlineStr">
        <is>
          <t>0.6687746551665015</t>
        </is>
      </c>
      <c r="Z54" s="29" t="inlineStr">
        <is>
          <t>MEDIUM</t>
        </is>
      </c>
      <c r="AA54" s="29" t="inlineStr">
        <is>
          <t>MEDIUM</t>
        </is>
      </c>
      <c r="AB54" s="29" t="inlineStr">
        <is>
          <t>0.05354194050015521</t>
        </is>
      </c>
      <c r="AC54" s="29" t="inlineStr">
        <is>
          <t>False</t>
        </is>
      </c>
      <c r="AD54" s="29" t="inlineStr">
        <is>
          <t>False</t>
        </is>
      </c>
      <c r="AE54" s="29" t="inlineStr">
        <is>
          <t>valuation_credit_ml_overlay_candidate.csv</t>
        </is>
      </c>
      <c r="AF54" s="29" t="inlineStr">
        <is>
          <t>208개 반도체 reference universe. Valuation Agent가 자체 intake 폴더로 복제해 Peer/ML/대시보드 비교에 사용.</t>
        </is>
      </c>
      <c r="AG54" s="29" t="inlineStr">
        <is>
          <t>TOP_REFERENCE</t>
        </is>
      </c>
      <c r="AH54" s="29" t="inlineStr">
        <is>
          <t>False</t>
        </is>
      </c>
    </row>
    <row r="55" ht="24" customHeight="1">
      <c r="A55" s="24" t="inlineStr">
        <is>
          <t>9</t>
        </is>
      </c>
      <c r="B55" s="24" t="inlineStr">
        <is>
          <t>해당 없음</t>
        </is>
      </c>
      <c r="C55" s="24" t="inlineStr">
        <is>
          <t>메카로</t>
        </is>
      </c>
      <c r="D55" s="24" t="inlineStr">
        <is>
          <t>241770</t>
        </is>
      </c>
      <c r="E55" s="24" t="inlineStr">
        <is>
          <t>KOSDAQ</t>
        </is>
      </c>
      <c r="F55" s="24" t="inlineStr">
        <is>
          <t>IDM/제조/메모리</t>
        </is>
      </c>
      <c r="G55" s="24" t="inlineStr">
        <is>
          <t>IDM/제조/메모리</t>
        </is>
      </c>
      <c r="H55" s="24" t="inlineStr">
        <is>
          <t>False</t>
        </is>
      </c>
      <c r="I55" s="24" t="inlineStr">
        <is>
          <t>True</t>
        </is>
      </c>
      <c r="J55" s="24" t="inlineStr">
        <is>
          <t>OK</t>
        </is>
      </c>
      <c r="K55" s="24" t="inlineStr">
        <is>
          <t>데이터 사용 가능</t>
        </is>
      </c>
      <c r="L55" s="24" t="inlineStr">
        <is>
          <t>LOW</t>
        </is>
      </c>
      <c r="M55" s="24" t="inlineStr">
        <is>
          <t>LOW</t>
        </is>
      </c>
      <c r="N55" s="24" t="inlineStr">
        <is>
          <t>0.7476666666666667</t>
        </is>
      </c>
      <c r="O55" s="24" t="inlineStr">
        <is>
          <t>ATTRACTIVE</t>
        </is>
      </c>
      <c r="P55" s="24" t="inlineStr">
        <is>
          <t>가치 매력</t>
        </is>
      </c>
      <c r="Q55" s="24" t="inlineStr">
        <is>
          <t>ATTRACTIVE</t>
        </is>
      </c>
      <c r="R55" s="24" t="inlineStr">
        <is>
          <t>0.9154158498128573</t>
        </is>
      </c>
      <c r="S55" s="24" t="inlineStr">
        <is>
          <t>HIGH</t>
        </is>
      </c>
      <c r="T55" s="24" t="inlineStr">
        <is>
          <t>HIGH</t>
        </is>
      </c>
      <c r="U55" s="24" t="inlineStr">
        <is>
          <t>0.0</t>
        </is>
      </c>
      <c r="V55" s="24" t="inlineStr">
        <is>
          <t>LOW_RISK</t>
        </is>
      </c>
      <c r="W55" s="24" t="inlineStr">
        <is>
          <t>저위험</t>
        </is>
      </c>
      <c r="X55" s="24" t="inlineStr">
        <is>
          <t>LOW_RISK</t>
        </is>
      </c>
      <c r="Y55" s="24" t="inlineStr">
        <is>
          <t>0.9196609311939408</t>
        </is>
      </c>
      <c r="Z55" s="24" t="inlineStr">
        <is>
          <t>HIGH</t>
        </is>
      </c>
      <c r="AA55" s="24" t="inlineStr">
        <is>
          <t>HIGH</t>
        </is>
      </c>
      <c r="AB55" s="24" t="inlineStr">
        <is>
          <t>0.12775877727770685</t>
        </is>
      </c>
      <c r="AC55" s="24" t="inlineStr">
        <is>
          <t>False</t>
        </is>
      </c>
      <c r="AD55" s="24" t="inlineStr">
        <is>
          <t>False</t>
        </is>
      </c>
      <c r="AE55" s="24" t="inlineStr">
        <is>
          <t>valuation_credit_ml_overlay_candidate.csv</t>
        </is>
      </c>
      <c r="AF55" s="24" t="inlineStr">
        <is>
          <t>208개 반도체 reference universe. Valuation Agent가 자체 intake 폴더로 복제해 Peer/ML/대시보드 비교에 사용.</t>
        </is>
      </c>
      <c r="AG55" s="24" t="inlineStr">
        <is>
          <t>TOP_REFERENCE</t>
        </is>
      </c>
      <c r="AH55" s="24" t="inlineStr">
        <is>
          <t>False</t>
        </is>
      </c>
    </row>
    <row r="56" ht="24" customHeight="1">
      <c r="A56" s="29" t="inlineStr">
        <is>
          <t>60</t>
        </is>
      </c>
      <c r="B56" s="29" t="inlineStr">
        <is>
          <t>해당 없음</t>
        </is>
      </c>
      <c r="C56" s="29" t="inlineStr">
        <is>
          <t>앤씨앤</t>
        </is>
      </c>
      <c r="D56" s="29" t="inlineStr">
        <is>
          <t>092600</t>
        </is>
      </c>
      <c r="E56" s="29" t="inlineStr">
        <is>
          <t>KOSDAQ</t>
        </is>
      </c>
      <c r="F56" s="29" t="inlineStr">
        <is>
          <t>팹리스/설계</t>
        </is>
      </c>
      <c r="G56" s="29" t="inlineStr">
        <is>
          <t>팹리스/설계</t>
        </is>
      </c>
      <c r="H56" s="29" t="inlineStr">
        <is>
          <t>False</t>
        </is>
      </c>
      <c r="I56" s="29" t="inlineStr">
        <is>
          <t>True</t>
        </is>
      </c>
      <c r="J56" s="29" t="inlineStr">
        <is>
          <t>OK</t>
        </is>
      </c>
      <c r="K56" s="29" t="inlineStr">
        <is>
          <t>데이터 사용 가능</t>
        </is>
      </c>
      <c r="L56" s="29" t="inlineStr">
        <is>
          <t>LOW</t>
        </is>
      </c>
      <c r="M56" s="29" t="inlineStr">
        <is>
          <t>LOW</t>
        </is>
      </c>
      <c r="N56" s="29" t="inlineStr">
        <is>
          <t>0.7450505050505051</t>
        </is>
      </c>
      <c r="O56" s="29" t="inlineStr">
        <is>
          <t>FAIR</t>
        </is>
      </c>
      <c r="P56" s="29" t="inlineStr">
        <is>
          <t>FAIR</t>
        </is>
      </c>
      <c r="Q56" s="29" t="inlineStr">
        <is>
          <t>FAIR</t>
        </is>
      </c>
      <c r="R56" s="29" t="inlineStr">
        <is>
          <t>0.8450252323777523</t>
        </is>
      </c>
      <c r="S56" s="29" t="inlineStr">
        <is>
          <t>HIGH</t>
        </is>
      </c>
      <c r="T56" s="29" t="inlineStr">
        <is>
          <t>HIGH</t>
        </is>
      </c>
      <c r="U56" s="29" t="inlineStr">
        <is>
          <t>0.5</t>
        </is>
      </c>
      <c r="V56" s="29" t="inlineStr">
        <is>
          <t>HIGH_RISK</t>
        </is>
      </c>
      <c r="W56" s="29" t="inlineStr">
        <is>
          <t>고위험</t>
        </is>
      </c>
      <c r="X56" s="29" t="inlineStr">
        <is>
          <t>HIGH_RISK</t>
        </is>
      </c>
      <c r="Y56" s="29" t="inlineStr">
        <is>
          <t>0.6852720703017778</t>
        </is>
      </c>
      <c r="Z56" s="29" t="inlineStr">
        <is>
          <t>MEDIUM</t>
        </is>
      </c>
      <c r="AA56" s="29" t="inlineStr">
        <is>
          <t>MEDIUM</t>
        </is>
      </c>
      <c r="AB56" s="29" t="inlineStr">
        <is>
          <t>0.05126917274476802</t>
        </is>
      </c>
      <c r="AC56" s="29" t="inlineStr">
        <is>
          <t>False</t>
        </is>
      </c>
      <c r="AD56" s="29" t="inlineStr">
        <is>
          <t>False</t>
        </is>
      </c>
      <c r="AE56" s="29" t="inlineStr">
        <is>
          <t>valuation_credit_ml_overlay_candidate.csv</t>
        </is>
      </c>
      <c r="AF56" s="29" t="inlineStr">
        <is>
          <t>208개 반도체 reference universe. Valuation Agent가 자체 intake 폴더로 복제해 Peer/ML/대시보드 비교에 사용.</t>
        </is>
      </c>
      <c r="AG56" s="29" t="inlineStr">
        <is>
          <t>TOP_REFERENCE</t>
        </is>
      </c>
      <c r="AH56" s="29" t="inlineStr">
        <is>
          <t>False</t>
        </is>
      </c>
    </row>
    <row r="57" ht="24" customHeight="1">
      <c r="A57" s="24" t="inlineStr">
        <is>
          <t>47</t>
        </is>
      </c>
      <c r="B57" s="24" t="inlineStr">
        <is>
          <t>해당 없음</t>
        </is>
      </c>
      <c r="C57" s="24" t="inlineStr">
        <is>
          <t>마이크로컨텍솔</t>
        </is>
      </c>
      <c r="D57" s="24" t="inlineStr">
        <is>
          <t>098120</t>
        </is>
      </c>
      <c r="E57" s="24" t="inlineStr">
        <is>
          <t>KOSDAQ</t>
        </is>
      </c>
      <c r="F57" s="24" t="inlineStr">
        <is>
          <t>팹리스/설계</t>
        </is>
      </c>
      <c r="G57" s="24" t="inlineStr">
        <is>
          <t>팹리스/설계</t>
        </is>
      </c>
      <c r="H57" s="24" t="inlineStr">
        <is>
          <t>False</t>
        </is>
      </c>
      <c r="I57" s="24" t="inlineStr">
        <is>
          <t>True</t>
        </is>
      </c>
      <c r="J57" s="24" t="inlineStr">
        <is>
          <t>OK</t>
        </is>
      </c>
      <c r="K57" s="24" t="inlineStr">
        <is>
          <t>데이터 사용 가능</t>
        </is>
      </c>
      <c r="L57" s="24" t="inlineStr">
        <is>
          <t>LOW</t>
        </is>
      </c>
      <c r="M57" s="24" t="inlineStr">
        <is>
          <t>LOW</t>
        </is>
      </c>
      <c r="N57" s="24" t="inlineStr">
        <is>
          <t>0.7383838383838384</t>
        </is>
      </c>
      <c r="O57" s="24" t="inlineStr">
        <is>
          <t>ATTRACTIVE</t>
        </is>
      </c>
      <c r="P57" s="24" t="inlineStr">
        <is>
          <t>가치 매력</t>
        </is>
      </c>
      <c r="Q57" s="24" t="inlineStr">
        <is>
          <t>ATTRACTIVE</t>
        </is>
      </c>
      <c r="R57" s="24" t="inlineStr">
        <is>
          <t>0.8262966149459129</t>
        </is>
      </c>
      <c r="S57" s="24" t="inlineStr">
        <is>
          <t>HIGH</t>
        </is>
      </c>
      <c r="T57" s="24" t="inlineStr">
        <is>
          <t>HIGH</t>
        </is>
      </c>
      <c r="U57" s="24" t="inlineStr">
        <is>
          <t>0.1428571428571428</t>
        </is>
      </c>
      <c r="V57" s="24" t="inlineStr">
        <is>
          <t>LOW_RISK</t>
        </is>
      </c>
      <c r="W57" s="24" t="inlineStr">
        <is>
          <t>저위험</t>
        </is>
      </c>
      <c r="X57" s="24" t="inlineStr">
        <is>
          <t>LOW_RISK</t>
        </is>
      </c>
      <c r="Y57" s="24" t="inlineStr">
        <is>
          <t>0.7491981695245683</t>
        </is>
      </c>
      <c r="Z57" s="24" t="inlineStr">
        <is>
          <t>HIGH</t>
        </is>
      </c>
      <c r="AA57" s="24" t="inlineStr">
        <is>
          <t>HIGH</t>
        </is>
      </c>
      <c r="AB57" s="24" t="inlineStr">
        <is>
          <t>0.08427857084894262</t>
        </is>
      </c>
      <c r="AC57" s="24" t="inlineStr">
        <is>
          <t>False</t>
        </is>
      </c>
      <c r="AD57" s="24" t="inlineStr">
        <is>
          <t>False</t>
        </is>
      </c>
      <c r="AE57" s="24" t="inlineStr">
        <is>
          <t>valuation_credit_ml_overlay_candidate.csv</t>
        </is>
      </c>
      <c r="AF57" s="24" t="inlineStr">
        <is>
          <t>208개 반도체 reference universe. Valuation Agent가 자체 intake 폴더로 복제해 Peer/ML/대시보드 비교에 사용.</t>
        </is>
      </c>
      <c r="AG57" s="24" t="inlineStr">
        <is>
          <t>TOP_REFERENCE</t>
        </is>
      </c>
      <c r="AH57" s="24" t="inlineStr">
        <is>
          <t>False</t>
        </is>
      </c>
    </row>
    <row r="58" ht="24" customHeight="1">
      <c r="A58" s="29" t="inlineStr">
        <is>
          <t>189</t>
        </is>
      </c>
      <c r="B58" s="29" t="inlineStr">
        <is>
          <t>해당 없음</t>
        </is>
      </c>
      <c r="C58" s="29" t="inlineStr">
        <is>
          <t>프로텍</t>
        </is>
      </c>
      <c r="D58" s="29" t="inlineStr">
        <is>
          <t>053610</t>
        </is>
      </c>
      <c r="E58" s="29" t="inlineStr">
        <is>
          <t>KOSDAQ</t>
        </is>
      </c>
      <c r="F58" s="29" t="inlineStr">
        <is>
          <t>후공정/패키징/테스트</t>
        </is>
      </c>
      <c r="G58" s="29" t="inlineStr">
        <is>
          <t>후공정/패키징/테스트</t>
        </is>
      </c>
      <c r="H58" s="29" t="inlineStr">
        <is>
          <t>False</t>
        </is>
      </c>
      <c r="I58" s="29" t="inlineStr">
        <is>
          <t>True</t>
        </is>
      </c>
      <c r="J58" s="29" t="inlineStr">
        <is>
          <t>OK</t>
        </is>
      </c>
      <c r="K58" s="29" t="inlineStr">
        <is>
          <t>데이터 사용 가능</t>
        </is>
      </c>
      <c r="L58" s="29" t="inlineStr">
        <is>
          <t>LOW</t>
        </is>
      </c>
      <c r="M58" s="29" t="inlineStr">
        <is>
          <t>LOW</t>
        </is>
      </c>
      <c r="N58" s="29" t="inlineStr">
        <is>
          <t>0.7342222222222222</t>
        </is>
      </c>
      <c r="O58" s="29" t="inlineStr">
        <is>
          <t>FAIR</t>
        </is>
      </c>
      <c r="P58" s="29" t="inlineStr">
        <is>
          <t>FAIR</t>
        </is>
      </c>
      <c r="Q58" s="29" t="inlineStr">
        <is>
          <t>FAIR</t>
        </is>
      </c>
      <c r="R58" s="29" t="inlineStr">
        <is>
          <t>0.8971257561900263</t>
        </is>
      </c>
      <c r="S58" s="29" t="inlineStr">
        <is>
          <t>HIGH</t>
        </is>
      </c>
      <c r="T58" s="29" t="inlineStr">
        <is>
          <t>HIGH</t>
        </is>
      </c>
      <c r="U58" s="29" t="inlineStr">
        <is>
          <t>0.0714285714285714</t>
        </is>
      </c>
      <c r="V58" s="29" t="inlineStr">
        <is>
          <t>LOW_RISK</t>
        </is>
      </c>
      <c r="W58" s="29" t="inlineStr">
        <is>
          <t>저위험</t>
        </is>
      </c>
      <c r="X58" s="29" t="inlineStr">
        <is>
          <t>LOW_RISK</t>
        </is>
      </c>
      <c r="Y58" s="29" t="inlineStr">
        <is>
          <t>0.9163768919768406</t>
        </is>
      </c>
      <c r="Z58" s="29" t="inlineStr">
        <is>
          <t>HIGH</t>
        </is>
      </c>
      <c r="AA58" s="29" t="inlineStr">
        <is>
          <t>HIGH</t>
        </is>
      </c>
      <c r="AB58" s="29" t="inlineStr">
        <is>
          <t>0.04594870251712977</t>
        </is>
      </c>
      <c r="AC58" s="29" t="inlineStr">
        <is>
          <t>False</t>
        </is>
      </c>
      <c r="AD58" s="29" t="inlineStr">
        <is>
          <t>False</t>
        </is>
      </c>
      <c r="AE58" s="29" t="inlineStr">
        <is>
          <t>valuation_credit_ml_overlay_candidate.csv</t>
        </is>
      </c>
      <c r="AF58" s="29" t="inlineStr">
        <is>
          <t>208개 반도체 reference universe. Valuation Agent가 자체 intake 폴더로 복제해 Peer/ML/대시보드 비교에 사용.</t>
        </is>
      </c>
      <c r="AG58" s="29" t="inlineStr">
        <is>
          <t>TOP_REFERENCE</t>
        </is>
      </c>
      <c r="AH58" s="29" t="inlineStr">
        <is>
          <t>False</t>
        </is>
      </c>
    </row>
    <row r="59" ht="24" customHeight="1">
      <c r="A59" s="24" t="inlineStr">
        <is>
          <t>55</t>
        </is>
      </c>
      <c r="B59" s="24" t="inlineStr">
        <is>
          <t>해당 없음</t>
        </is>
      </c>
      <c r="C59" s="24" t="inlineStr">
        <is>
          <t>아이앤씨</t>
        </is>
      </c>
      <c r="D59" s="24" t="inlineStr">
        <is>
          <t>052860</t>
        </is>
      </c>
      <c r="E59" s="24" t="inlineStr">
        <is>
          <t>KOSDAQ</t>
        </is>
      </c>
      <c r="F59" s="24" t="inlineStr">
        <is>
          <t>팹리스/설계</t>
        </is>
      </c>
      <c r="G59" s="24" t="inlineStr">
        <is>
          <t>팹리스/설계</t>
        </is>
      </c>
      <c r="H59" s="24" t="inlineStr">
        <is>
          <t>False</t>
        </is>
      </c>
      <c r="I59" s="24" t="inlineStr">
        <is>
          <t>True</t>
        </is>
      </c>
      <c r="J59" s="24" t="inlineStr">
        <is>
          <t>OK</t>
        </is>
      </c>
      <c r="K59" s="24" t="inlineStr">
        <is>
          <t>데이터 사용 가능</t>
        </is>
      </c>
      <c r="L59" s="24" t="inlineStr">
        <is>
          <t>LOW</t>
        </is>
      </c>
      <c r="M59" s="24" t="inlineStr">
        <is>
          <t>LOW</t>
        </is>
      </c>
      <c r="N59" s="24" t="inlineStr">
        <is>
          <t>0.7325252525252526</t>
        </is>
      </c>
      <c r="O59" s="24" t="inlineStr">
        <is>
          <t>ATTRACTIVE</t>
        </is>
      </c>
      <c r="P59" s="24" t="inlineStr">
        <is>
          <t>가치 매력</t>
        </is>
      </c>
      <c r="Q59" s="24" t="inlineStr">
        <is>
          <t>ATTRACTIVE</t>
        </is>
      </c>
      <c r="R59" s="24" t="inlineStr">
        <is>
          <t>0.9267130449922303</t>
        </is>
      </c>
      <c r="S59" s="24" t="inlineStr">
        <is>
          <t>HIGH</t>
        </is>
      </c>
      <c r="T59" s="24" t="inlineStr">
        <is>
          <t>HIGH</t>
        </is>
      </c>
      <c r="U59" s="24" t="inlineStr">
        <is>
          <t>0.0</t>
        </is>
      </c>
      <c r="V59" s="24" t="inlineStr">
        <is>
          <t>LOW_RISK</t>
        </is>
      </c>
      <c r="W59" s="24" t="inlineStr">
        <is>
          <t>저위험</t>
        </is>
      </c>
      <c r="X59" s="24" t="inlineStr">
        <is>
          <t>LOW_RISK</t>
        </is>
      </c>
      <c r="Y59" s="24" t="inlineStr">
        <is>
          <t>0.8920304728976969</t>
        </is>
      </c>
      <c r="Z59" s="24" t="inlineStr">
        <is>
          <t>HIGH</t>
        </is>
      </c>
      <c r="AA59" s="24" t="inlineStr">
        <is>
          <t>HIGH</t>
        </is>
      </c>
      <c r="AB59" s="24" t="inlineStr">
        <is>
          <t>0.022475117759514655</t>
        </is>
      </c>
      <c r="AC59" s="24" t="inlineStr">
        <is>
          <t>False</t>
        </is>
      </c>
      <c r="AD59" s="24" t="inlineStr">
        <is>
          <t>False</t>
        </is>
      </c>
      <c r="AE59" s="24" t="inlineStr">
        <is>
          <t>valuation_credit_ml_overlay_candidate.csv</t>
        </is>
      </c>
      <c r="AF59" s="24" t="inlineStr">
        <is>
          <t>208개 반도체 reference universe. Valuation Agent가 자체 intake 폴더로 복제해 Peer/ML/대시보드 비교에 사용.</t>
        </is>
      </c>
      <c r="AG59" s="24" t="inlineStr">
        <is>
          <t>TOP_REFERENCE</t>
        </is>
      </c>
      <c r="AH59" s="24" t="inlineStr">
        <is>
          <t>False</t>
        </is>
      </c>
    </row>
    <row r="60" ht="24" customHeight="1">
      <c r="A60" s="29" t="inlineStr">
        <is>
          <t>88</t>
        </is>
      </c>
      <c r="B60" s="29" t="inlineStr">
        <is>
          <t>해당 없음</t>
        </is>
      </c>
      <c r="C60" s="29" t="inlineStr">
        <is>
          <t>비아트론</t>
        </is>
      </c>
      <c r="D60" s="29" t="inlineStr">
        <is>
          <t>141000</t>
        </is>
      </c>
      <c r="E60" s="29" t="inlineStr">
        <is>
          <t>KOSDAQ</t>
        </is>
      </c>
      <c r="F60" s="29" t="inlineStr">
        <is>
          <t>장비</t>
        </is>
      </c>
      <c r="G60" s="29" t="inlineStr">
        <is>
          <t>장비</t>
        </is>
      </c>
      <c r="H60" s="29" t="inlineStr">
        <is>
          <t>False</t>
        </is>
      </c>
      <c r="I60" s="29" t="inlineStr">
        <is>
          <t>True</t>
        </is>
      </c>
      <c r="J60" s="29" t="inlineStr">
        <is>
          <t>OK</t>
        </is>
      </c>
      <c r="K60" s="29" t="inlineStr">
        <is>
          <t>데이터 사용 가능</t>
        </is>
      </c>
      <c r="L60" s="29" t="inlineStr">
        <is>
          <t>LOW</t>
        </is>
      </c>
      <c r="M60" s="29" t="inlineStr">
        <is>
          <t>LOW</t>
        </is>
      </c>
      <c r="N60" s="29" t="inlineStr">
        <is>
          <t>0.7105333333333335</t>
        </is>
      </c>
      <c r="O60" s="29" t="inlineStr">
        <is>
          <t>ATTRACTIVE</t>
        </is>
      </c>
      <c r="P60" s="29" t="inlineStr">
        <is>
          <t>가치 매력</t>
        </is>
      </c>
      <c r="Q60" s="29" t="inlineStr">
        <is>
          <t>ATTRACTIVE</t>
        </is>
      </c>
      <c r="R60" s="29" t="inlineStr">
        <is>
          <t>0.934708213344448</t>
        </is>
      </c>
      <c r="S60" s="29" t="inlineStr">
        <is>
          <t>HIGH</t>
        </is>
      </c>
      <c r="T60" s="29" t="inlineStr">
        <is>
          <t>HIGH</t>
        </is>
      </c>
      <c r="U60" s="29" t="inlineStr">
        <is>
          <t>0.0</t>
        </is>
      </c>
      <c r="V60" s="29" t="inlineStr">
        <is>
          <t>LOW_RISK</t>
        </is>
      </c>
      <c r="W60" s="29" t="inlineStr">
        <is>
          <t>저위험</t>
        </is>
      </c>
      <c r="X60" s="29" t="inlineStr">
        <is>
          <t>LOW_RISK</t>
        </is>
      </c>
      <c r="Y60" s="29" t="inlineStr">
        <is>
          <t>0.9411184099481913</t>
        </is>
      </c>
      <c r="Z60" s="29" t="inlineStr">
        <is>
          <t>HIGH</t>
        </is>
      </c>
      <c r="AA60" s="29" t="inlineStr">
        <is>
          <t>HIGH</t>
        </is>
      </c>
      <c r="AB60" s="29" t="inlineStr">
        <is>
          <t>0.11715633071246634</t>
        </is>
      </c>
      <c r="AC60" s="29" t="inlineStr">
        <is>
          <t>False</t>
        </is>
      </c>
      <c r="AD60" s="29" t="inlineStr">
        <is>
          <t>False</t>
        </is>
      </c>
      <c r="AE60" s="29" t="inlineStr">
        <is>
          <t>valuation_credit_ml_overlay_candidate.csv</t>
        </is>
      </c>
      <c r="AF60" s="29" t="inlineStr">
        <is>
          <t>208개 반도체 reference universe. Valuation Agent가 자체 intake 폴더로 복제해 Peer/ML/대시보드 비교에 사용.</t>
        </is>
      </c>
      <c r="AG60" s="29" t="inlineStr">
        <is>
          <t>TOP_REFERENCE</t>
        </is>
      </c>
      <c r="AH60" s="29" t="inlineStr">
        <is>
          <t>False</t>
        </is>
      </c>
    </row>
    <row r="61" ht="24" customHeight="1">
      <c r="A61" s="24" t="inlineStr">
        <is>
          <t>203</t>
        </is>
      </c>
      <c r="B61" s="24" t="inlineStr">
        <is>
          <t>해당 없음</t>
        </is>
      </c>
      <c r="C61" s="24" t="inlineStr">
        <is>
          <t>인터플렉스</t>
        </is>
      </c>
      <c r="D61" s="24" t="inlineStr">
        <is>
          <t>051370</t>
        </is>
      </c>
      <c r="E61" s="24" t="inlineStr">
        <is>
          <t>KOSDAQ</t>
        </is>
      </c>
      <c r="F61" s="24" t="inlineStr">
        <is>
          <t>부품/기판</t>
        </is>
      </c>
      <c r="G61" s="24" t="inlineStr">
        <is>
          <t>부품/기판</t>
        </is>
      </c>
      <c r="H61" s="24" t="inlineStr">
        <is>
          <t>False</t>
        </is>
      </c>
      <c r="I61" s="24" t="inlineStr">
        <is>
          <t>True</t>
        </is>
      </c>
      <c r="J61" s="24" t="inlineStr">
        <is>
          <t>OK</t>
        </is>
      </c>
      <c r="K61" s="24" t="inlineStr">
        <is>
          <t>데이터 사용 가능</t>
        </is>
      </c>
      <c r="L61" s="24" t="inlineStr">
        <is>
          <t>LOW</t>
        </is>
      </c>
      <c r="M61" s="24" t="inlineStr">
        <is>
          <t>LOW</t>
        </is>
      </c>
      <c r="N61" s="24" t="inlineStr">
        <is>
          <t>0.709047619047619</t>
        </is>
      </c>
      <c r="O61" s="24" t="inlineStr">
        <is>
          <t>FAIR</t>
        </is>
      </c>
      <c r="P61" s="24" t="inlineStr">
        <is>
          <t>FAIR</t>
        </is>
      </c>
      <c r="Q61" s="24" t="inlineStr">
        <is>
          <t>FAIR</t>
        </is>
      </c>
      <c r="R61" s="24" t="inlineStr">
        <is>
          <t>0.904555257888918</t>
        </is>
      </c>
      <c r="S61" s="24" t="inlineStr">
        <is>
          <t>HIGH</t>
        </is>
      </c>
      <c r="T61" s="24" t="inlineStr">
        <is>
          <t>HIGH</t>
        </is>
      </c>
      <c r="U61" s="24" t="inlineStr">
        <is>
          <t>0.0714285714285714</t>
        </is>
      </c>
      <c r="V61" s="24" t="inlineStr">
        <is>
          <t>LOW_RISK</t>
        </is>
      </c>
      <c r="W61" s="24" t="inlineStr">
        <is>
          <t>저위험</t>
        </is>
      </c>
      <c r="X61" s="24" t="inlineStr">
        <is>
          <t>LOW_RISK</t>
        </is>
      </c>
      <c r="Y61" s="24" t="inlineStr">
        <is>
          <t>0.8421993774288782</t>
        </is>
      </c>
      <c r="Z61" s="24" t="inlineStr">
        <is>
          <t>HIGH</t>
        </is>
      </c>
      <c r="AA61" s="24" t="inlineStr">
        <is>
          <t>HIGH</t>
        </is>
      </c>
      <c r="AB61" s="24" t="inlineStr">
        <is>
          <t>0.04875174090091772</t>
        </is>
      </c>
      <c r="AC61" s="24" t="inlineStr">
        <is>
          <t>False</t>
        </is>
      </c>
      <c r="AD61" s="24" t="inlineStr">
        <is>
          <t>False</t>
        </is>
      </c>
      <c r="AE61" s="24" t="inlineStr">
        <is>
          <t>valuation_credit_ml_overlay_candidate.csv</t>
        </is>
      </c>
      <c r="AF61" s="24" t="inlineStr">
        <is>
          <t>208개 반도체 reference universe. Valuation Agent가 자체 intake 폴더로 복제해 Peer/ML/대시보드 비교에 사용.</t>
        </is>
      </c>
      <c r="AG61" s="24" t="inlineStr">
        <is>
          <t>TOP_REFERENCE</t>
        </is>
      </c>
      <c r="AH61" s="24" t="inlineStr">
        <is>
          <t>False</t>
        </is>
      </c>
    </row>
    <row r="62" ht="24" customHeight="1">
      <c r="A62" s="29" t="inlineStr">
        <is>
          <t>12</t>
        </is>
      </c>
      <c r="B62" s="29" t="inlineStr">
        <is>
          <t>해당 없음</t>
        </is>
      </c>
      <c r="C62" s="29" t="inlineStr">
        <is>
          <t>삼성전자</t>
        </is>
      </c>
      <c r="D62" s="29" t="inlineStr">
        <is>
          <t>005930</t>
        </is>
      </c>
      <c r="E62" s="29" t="inlineStr">
        <is>
          <t>KOSPI</t>
        </is>
      </c>
      <c r="F62" s="29" t="inlineStr">
        <is>
          <t>IDM/제조/메모리</t>
        </is>
      </c>
      <c r="G62" s="29" t="inlineStr">
        <is>
          <t>IDM/제조/메모리</t>
        </is>
      </c>
      <c r="H62" s="29" t="inlineStr">
        <is>
          <t>False</t>
        </is>
      </c>
      <c r="I62" s="29" t="inlineStr">
        <is>
          <t>True</t>
        </is>
      </c>
      <c r="J62" s="29" t="inlineStr">
        <is>
          <t>OK</t>
        </is>
      </c>
      <c r="K62" s="29" t="inlineStr">
        <is>
          <t>데이터 사용 가능</t>
        </is>
      </c>
      <c r="L62" s="29" t="inlineStr">
        <is>
          <t>LOW</t>
        </is>
      </c>
      <c r="M62" s="29" t="inlineStr">
        <is>
          <t>LOW</t>
        </is>
      </c>
      <c r="N62" s="29" t="inlineStr">
        <is>
          <t>0.7078333333333333</t>
        </is>
      </c>
      <c r="O62" s="29" t="inlineStr">
        <is>
          <t>ATTRACTIVE</t>
        </is>
      </c>
      <c r="P62" s="29" t="inlineStr">
        <is>
          <t>가치 매력</t>
        </is>
      </c>
      <c r="Q62" s="29" t="inlineStr">
        <is>
          <t>ATTRACTIVE</t>
        </is>
      </c>
      <c r="R62" s="29" t="inlineStr">
        <is>
          <t>0.9371541027950523</t>
        </is>
      </c>
      <c r="S62" s="29" t="inlineStr">
        <is>
          <t>HIGH</t>
        </is>
      </c>
      <c r="T62" s="29" t="inlineStr">
        <is>
          <t>HIGH</t>
        </is>
      </c>
      <c r="U62" s="29" t="inlineStr">
        <is>
          <t>0.0</t>
        </is>
      </c>
      <c r="V62" s="29" t="inlineStr">
        <is>
          <t>LOW_RISK</t>
        </is>
      </c>
      <c r="W62" s="29" t="inlineStr">
        <is>
          <t>저위험</t>
        </is>
      </c>
      <c r="X62" s="29" t="inlineStr">
        <is>
          <t>LOW_RISK</t>
        </is>
      </c>
      <c r="Y62" s="29" t="inlineStr">
        <is>
          <t>0.9760796731366836</t>
        </is>
      </c>
      <c r="Z62" s="29" t="inlineStr">
        <is>
          <t>HIGH</t>
        </is>
      </c>
      <c r="AA62" s="29" t="inlineStr">
        <is>
          <t>HIGH</t>
        </is>
      </c>
      <c r="AB62" s="29" t="inlineStr">
        <is>
          <t>0.4140062883705867</t>
        </is>
      </c>
      <c r="AC62" s="29" t="inlineStr">
        <is>
          <t>True</t>
        </is>
      </c>
      <c r="AD62" s="29" t="inlineStr">
        <is>
          <t>True</t>
        </is>
      </c>
      <c r="AE62" s="29" t="inlineStr">
        <is>
          <t>valuation_credit_ml_overlay_candidate.csv</t>
        </is>
      </c>
      <c r="AF62" s="29" t="inlineStr">
        <is>
          <t>208개 반도체 reference universe. Valuation Agent가 자체 intake 폴더로 복제해 Peer/ML/대시보드 비교에 사용.</t>
        </is>
      </c>
      <c r="AG62" s="29" t="inlineStr">
        <is>
          <t>TOP_REFERENCE</t>
        </is>
      </c>
      <c r="AH62" s="29" t="inlineStr">
        <is>
          <t>False</t>
        </is>
      </c>
    </row>
    <row r="63" ht="24" customHeight="1"/>
    <row r="64" ht="24" customHeight="1"/>
    <row r="65" ht="24" customHeight="1">
      <c r="A65" s="22" t="inlineStr">
        <is>
          <t>208개 전체 Universe</t>
        </is>
      </c>
    </row>
    <row r="66" ht="24" customHeight="1">
      <c r="A66" s="25" t="inlineStr">
        <is>
          <t>Universe 순번</t>
        </is>
      </c>
      <c r="B66" s="25" t="inlineStr">
        <is>
          <t>기업코드</t>
        </is>
      </c>
      <c r="C66" s="25" t="inlineStr">
        <is>
          <t>기업명</t>
        </is>
      </c>
      <c r="D66" s="25" t="inlineStr">
        <is>
          <t>종목코드</t>
        </is>
      </c>
      <c r="E66" s="25" t="inlineStr">
        <is>
          <t>시장</t>
        </is>
      </c>
      <c r="F66" s="25" t="inlineStr">
        <is>
          <t>피어 그룹</t>
        </is>
      </c>
      <c r="G66" s="25" t="inlineStr">
        <is>
          <t>반도체 세부군</t>
        </is>
      </c>
      <c r="H66" s="25" t="inlineStr">
        <is>
          <t>5개 핵심기업</t>
        </is>
      </c>
      <c r="I66" s="25" t="inlineStr">
        <is>
          <t>market_data_available</t>
        </is>
      </c>
      <c r="J66" s="25" t="inlineStr">
        <is>
          <t>데이터 품질</t>
        </is>
      </c>
      <c r="K66" s="25" t="inlineStr">
        <is>
          <t>데이터 품질 해석</t>
        </is>
      </c>
      <c r="L66" s="25" t="inlineStr">
        <is>
          <t>수동검토 우선순위</t>
        </is>
      </c>
      <c r="M66" s="25" t="inlineStr">
        <is>
          <t>수동검토 우선순위 해석</t>
        </is>
      </c>
      <c r="N66" s="25" t="inlineStr">
        <is>
          <t>Valuation Proxy 점수</t>
        </is>
      </c>
      <c r="O66" s="25" t="inlineStr">
        <is>
          <t>Valuation Proxy 라벨</t>
        </is>
      </c>
      <c r="P66" s="25" t="inlineStr">
        <is>
          <t>가치 라벨</t>
        </is>
      </c>
      <c r="Q66" s="25" t="inlineStr">
        <is>
          <t>valuation_pred_label</t>
        </is>
      </c>
      <c r="R66" s="25" t="inlineStr">
        <is>
          <t>Valuation 신뢰도</t>
        </is>
      </c>
      <c r="S66" s="25" t="inlineStr">
        <is>
          <t>valuation_confidence_bucket</t>
        </is>
      </c>
      <c r="T66" s="25" t="inlineStr">
        <is>
          <t>valuation_confidence_bucket_kr</t>
        </is>
      </c>
      <c r="U66" s="25" t="inlineStr">
        <is>
          <t>Credit Risk 점수</t>
        </is>
      </c>
      <c r="V66" s="25" t="inlineStr">
        <is>
          <t>Credit Risk 라벨</t>
        </is>
      </c>
      <c r="W66" s="25" t="inlineStr">
        <is>
          <t>신용위험 라벨</t>
        </is>
      </c>
      <c r="X66" s="25" t="inlineStr">
        <is>
          <t>credit_pred_label</t>
        </is>
      </c>
      <c r="Y66" s="25" t="inlineStr">
        <is>
          <t>Credit 신뢰도</t>
        </is>
      </c>
      <c r="Z66" s="25" t="inlineStr">
        <is>
          <t>credit_confidence_bucket</t>
        </is>
      </c>
      <c r="AA66" s="25" t="inlineStr">
        <is>
          <t>credit_confidence_bucket_kr</t>
        </is>
      </c>
      <c r="AB66" s="25" t="inlineStr">
        <is>
          <t>Credit 이상치 점수</t>
        </is>
      </c>
      <c r="AC66" s="25" t="inlineStr">
        <is>
          <t>credit_anomaly_flag_top15pct</t>
        </is>
      </c>
      <c r="AD66" s="25" t="inlineStr">
        <is>
          <t>auditor_requires_human_review</t>
        </is>
      </c>
      <c r="AE66" s="25" t="inlineStr">
        <is>
          <t>출처 유형</t>
        </is>
      </c>
      <c r="AF66" s="25" t="inlineStr">
        <is>
          <t>출처 설명</t>
        </is>
      </c>
    </row>
    <row r="67" ht="24" customHeight="1">
      <c r="A67" s="24" t="inlineStr">
        <is>
          <t>10</t>
        </is>
      </c>
      <c r="B67" s="24" t="inlineStr">
        <is>
          <t>해당 없음</t>
        </is>
      </c>
      <c r="C67" s="24" t="inlineStr">
        <is>
          <t>미코</t>
        </is>
      </c>
      <c r="D67" s="24" t="inlineStr">
        <is>
          <t>059090</t>
        </is>
      </c>
      <c r="E67" s="24" t="inlineStr">
        <is>
          <t>KOSDAQ</t>
        </is>
      </c>
      <c r="F67" s="24" t="inlineStr">
        <is>
          <t>IDM/제조/메모리</t>
        </is>
      </c>
      <c r="G67" s="24" t="inlineStr">
        <is>
          <t>IDM/제조/메모리</t>
        </is>
      </c>
      <c r="H67" s="24" t="inlineStr">
        <is>
          <t>False</t>
        </is>
      </c>
      <c r="I67" s="24" t="inlineStr">
        <is>
          <t>True</t>
        </is>
      </c>
      <c r="J67" s="24" t="inlineStr">
        <is>
          <t>OK</t>
        </is>
      </c>
      <c r="K67" s="24" t="inlineStr">
        <is>
          <t>데이터 사용 가능</t>
        </is>
      </c>
      <c r="L67" s="24" t="inlineStr">
        <is>
          <t>LOW</t>
        </is>
      </c>
      <c r="M67" s="24" t="inlineStr">
        <is>
          <t>LOW</t>
        </is>
      </c>
      <c r="N67" s="24" t="inlineStr">
        <is>
          <t>0.7733333333333334</t>
        </is>
      </c>
      <c r="O67" s="24" t="inlineStr">
        <is>
          <t>FAIR</t>
        </is>
      </c>
      <c r="P67" s="24" t="inlineStr">
        <is>
          <t>FAIR</t>
        </is>
      </c>
      <c r="Q67" s="24" t="inlineStr">
        <is>
          <t>FAIR</t>
        </is>
      </c>
      <c r="R67" s="24" t="inlineStr">
        <is>
          <t>0.9066669659525092</t>
        </is>
      </c>
      <c r="S67" s="24" t="inlineStr">
        <is>
          <t>HIGH</t>
        </is>
      </c>
      <c r="T67" s="24" t="inlineStr">
        <is>
          <t>HIGH</t>
        </is>
      </c>
      <c r="U67" s="24" t="inlineStr">
        <is>
          <t>0.2142857142857142</t>
        </is>
      </c>
      <c r="V67" s="24" t="inlineStr">
        <is>
          <t>MEDIUM_RISK</t>
        </is>
      </c>
      <c r="W67" s="24" t="inlineStr">
        <is>
          <t>중위험</t>
        </is>
      </c>
      <c r="X67" s="24" t="inlineStr">
        <is>
          <t>MEDIUM_RISK</t>
        </is>
      </c>
      <c r="Y67" s="24" t="inlineStr">
        <is>
          <t>0.6769145960065608</t>
        </is>
      </c>
      <c r="Z67" s="24" t="inlineStr">
        <is>
          <t>MEDIUM</t>
        </is>
      </c>
      <c r="AA67" s="24" t="inlineStr">
        <is>
          <t>MEDIUM</t>
        </is>
      </c>
      <c r="AB67" s="24" t="inlineStr">
        <is>
          <t>0.10646038380774528</t>
        </is>
      </c>
      <c r="AC67" s="24" t="inlineStr">
        <is>
          <t>False</t>
        </is>
      </c>
      <c r="AD67" s="24" t="inlineStr">
        <is>
          <t>False</t>
        </is>
      </c>
      <c r="AE67" s="24" t="inlineStr">
        <is>
          <t>valuation_credit_ml_overlay_candidate.csv</t>
        </is>
      </c>
      <c r="AF67" s="24" t="inlineStr">
        <is>
          <t>208개 반도체 reference universe. Valuation Agent가 자체 intake 폴더로 복제해 Peer/ML/대시보드 비교에 사용.</t>
        </is>
      </c>
    </row>
    <row r="68" ht="24" customHeight="1">
      <c r="A68" s="29" t="inlineStr">
        <is>
          <t>22</t>
        </is>
      </c>
      <c r="B68" s="29" t="inlineStr">
        <is>
          <t>해당 없음</t>
        </is>
      </c>
      <c r="C68" s="29" t="inlineStr">
        <is>
          <t>엘디티</t>
        </is>
      </c>
      <c r="D68" s="29" t="inlineStr">
        <is>
          <t>096870</t>
        </is>
      </c>
      <c r="E68" s="29" t="inlineStr">
        <is>
          <t>KOSDAQ</t>
        </is>
      </c>
      <c r="F68" s="29" t="inlineStr">
        <is>
          <t>IDM/제조/메모리</t>
        </is>
      </c>
      <c r="G68" s="29" t="inlineStr">
        <is>
          <t>IDM/제조/메모리</t>
        </is>
      </c>
      <c r="H68" s="29" t="inlineStr">
        <is>
          <t>False</t>
        </is>
      </c>
      <c r="I68" s="29" t="inlineStr">
        <is>
          <t>True</t>
        </is>
      </c>
      <c r="J68" s="29" t="inlineStr">
        <is>
          <t>OK</t>
        </is>
      </c>
      <c r="K68" s="29" t="inlineStr">
        <is>
          <t>데이터 사용 가능</t>
        </is>
      </c>
      <c r="L68" s="29" t="inlineStr">
        <is>
          <t>LOW</t>
        </is>
      </c>
      <c r="M68" s="29" t="inlineStr">
        <is>
          <t>LOW</t>
        </is>
      </c>
      <c r="N68" s="29" t="inlineStr">
        <is>
          <t>0.7518333333333332</t>
        </is>
      </c>
      <c r="O68" s="29" t="inlineStr">
        <is>
          <t>ATTRACTIVE</t>
        </is>
      </c>
      <c r="P68" s="29" t="inlineStr">
        <is>
          <t>가치 매력</t>
        </is>
      </c>
      <c r="Q68" s="29" t="inlineStr">
        <is>
          <t>ATTRACTIVE</t>
        </is>
      </c>
      <c r="R68" s="29" t="inlineStr">
        <is>
          <t>0.8817908899004964</t>
        </is>
      </c>
      <c r="S68" s="29" t="inlineStr">
        <is>
          <t>HIGH</t>
        </is>
      </c>
      <c r="T68" s="29" t="inlineStr">
        <is>
          <t>HIGH</t>
        </is>
      </c>
      <c r="U68" s="29" t="inlineStr">
        <is>
          <t>0.0714285714285714</t>
        </is>
      </c>
      <c r="V68" s="29" t="inlineStr">
        <is>
          <t>LOW_RISK</t>
        </is>
      </c>
      <c r="W68" s="29" t="inlineStr">
        <is>
          <t>저위험</t>
        </is>
      </c>
      <c r="X68" s="29" t="inlineStr">
        <is>
          <t>LOW_RISK</t>
        </is>
      </c>
      <c r="Y68" s="29" t="inlineStr">
        <is>
          <t>0.8068970516192283</t>
        </is>
      </c>
      <c r="Z68" s="29" t="inlineStr">
        <is>
          <t>HIGH</t>
        </is>
      </c>
      <c r="AA68" s="29" t="inlineStr">
        <is>
          <t>HIGH</t>
        </is>
      </c>
      <c r="AB68" s="29" t="inlineStr">
        <is>
          <t>0.2312715560027526</t>
        </is>
      </c>
      <c r="AC68" s="29" t="inlineStr">
        <is>
          <t>False</t>
        </is>
      </c>
      <c r="AD68" s="29" t="inlineStr">
        <is>
          <t>False</t>
        </is>
      </c>
      <c r="AE68" s="29" t="inlineStr">
        <is>
          <t>valuation_credit_ml_overlay_candidate.csv</t>
        </is>
      </c>
      <c r="AF68" s="29" t="inlineStr">
        <is>
          <t>208개 반도체 reference universe. Valuation Agent가 자체 intake 폴더로 복제해 Peer/ML/대시보드 비교에 사용.</t>
        </is>
      </c>
    </row>
    <row r="69" ht="24" customHeight="1">
      <c r="A69" s="24" t="inlineStr">
        <is>
          <t>9</t>
        </is>
      </c>
      <c r="B69" s="24" t="inlineStr">
        <is>
          <t>해당 없음</t>
        </is>
      </c>
      <c r="C69" s="24" t="inlineStr">
        <is>
          <t>메카로</t>
        </is>
      </c>
      <c r="D69" s="24" t="inlineStr">
        <is>
          <t>241770</t>
        </is>
      </c>
      <c r="E69" s="24" t="inlineStr">
        <is>
          <t>KOSDAQ</t>
        </is>
      </c>
      <c r="F69" s="24" t="inlineStr">
        <is>
          <t>IDM/제조/메모리</t>
        </is>
      </c>
      <c r="G69" s="24" t="inlineStr">
        <is>
          <t>IDM/제조/메모리</t>
        </is>
      </c>
      <c r="H69" s="24" t="inlineStr">
        <is>
          <t>False</t>
        </is>
      </c>
      <c r="I69" s="24" t="inlineStr">
        <is>
          <t>True</t>
        </is>
      </c>
      <c r="J69" s="24" t="inlineStr">
        <is>
          <t>OK</t>
        </is>
      </c>
      <c r="K69" s="24" t="inlineStr">
        <is>
          <t>데이터 사용 가능</t>
        </is>
      </c>
      <c r="L69" s="24" t="inlineStr">
        <is>
          <t>LOW</t>
        </is>
      </c>
      <c r="M69" s="24" t="inlineStr">
        <is>
          <t>LOW</t>
        </is>
      </c>
      <c r="N69" s="24" t="inlineStr">
        <is>
          <t>0.7476666666666667</t>
        </is>
      </c>
      <c r="O69" s="24" t="inlineStr">
        <is>
          <t>ATTRACTIVE</t>
        </is>
      </c>
      <c r="P69" s="24" t="inlineStr">
        <is>
          <t>가치 매력</t>
        </is>
      </c>
      <c r="Q69" s="24" t="inlineStr">
        <is>
          <t>ATTRACTIVE</t>
        </is>
      </c>
      <c r="R69" s="24" t="inlineStr">
        <is>
          <t>0.9154158498128573</t>
        </is>
      </c>
      <c r="S69" s="24" t="inlineStr">
        <is>
          <t>HIGH</t>
        </is>
      </c>
      <c r="T69" s="24" t="inlineStr">
        <is>
          <t>HIGH</t>
        </is>
      </c>
      <c r="U69" s="24" t="inlineStr">
        <is>
          <t>0.0</t>
        </is>
      </c>
      <c r="V69" s="24" t="inlineStr">
        <is>
          <t>LOW_RISK</t>
        </is>
      </c>
      <c r="W69" s="24" t="inlineStr">
        <is>
          <t>저위험</t>
        </is>
      </c>
      <c r="X69" s="24" t="inlineStr">
        <is>
          <t>LOW_RISK</t>
        </is>
      </c>
      <c r="Y69" s="24" t="inlineStr">
        <is>
          <t>0.9196609311939408</t>
        </is>
      </c>
      <c r="Z69" s="24" t="inlineStr">
        <is>
          <t>HIGH</t>
        </is>
      </c>
      <c r="AA69" s="24" t="inlineStr">
        <is>
          <t>HIGH</t>
        </is>
      </c>
      <c r="AB69" s="24" t="inlineStr">
        <is>
          <t>0.12775877727770685</t>
        </is>
      </c>
      <c r="AC69" s="24" t="inlineStr">
        <is>
          <t>False</t>
        </is>
      </c>
      <c r="AD69" s="24" t="inlineStr">
        <is>
          <t>False</t>
        </is>
      </c>
      <c r="AE69" s="24" t="inlineStr">
        <is>
          <t>valuation_credit_ml_overlay_candidate.csv</t>
        </is>
      </c>
      <c r="AF69" s="24" t="inlineStr">
        <is>
          <t>208개 반도체 reference universe. Valuation Agent가 자체 intake 폴더로 복제해 Peer/ML/대시보드 비교에 사용.</t>
        </is>
      </c>
    </row>
    <row r="70" ht="24" customHeight="1">
      <c r="A70" s="29" t="inlineStr">
        <is>
          <t>12</t>
        </is>
      </c>
      <c r="B70" s="29" t="inlineStr">
        <is>
          <t>해당 없음</t>
        </is>
      </c>
      <c r="C70" s="29" t="inlineStr">
        <is>
          <t>삼성전자</t>
        </is>
      </c>
      <c r="D70" s="29" t="inlineStr">
        <is>
          <t>005930</t>
        </is>
      </c>
      <c r="E70" s="29" t="inlineStr">
        <is>
          <t>KOSPI</t>
        </is>
      </c>
      <c r="F70" s="29" t="inlineStr">
        <is>
          <t>IDM/제조/메모리</t>
        </is>
      </c>
      <c r="G70" s="29" t="inlineStr">
        <is>
          <t>IDM/제조/메모리</t>
        </is>
      </c>
      <c r="H70" s="29" t="inlineStr">
        <is>
          <t>False</t>
        </is>
      </c>
      <c r="I70" s="29" t="inlineStr">
        <is>
          <t>True</t>
        </is>
      </c>
      <c r="J70" s="29" t="inlineStr">
        <is>
          <t>OK</t>
        </is>
      </c>
      <c r="K70" s="29" t="inlineStr">
        <is>
          <t>데이터 사용 가능</t>
        </is>
      </c>
      <c r="L70" s="29" t="inlineStr">
        <is>
          <t>LOW</t>
        </is>
      </c>
      <c r="M70" s="29" t="inlineStr">
        <is>
          <t>LOW</t>
        </is>
      </c>
      <c r="N70" s="29" t="inlineStr">
        <is>
          <t>0.7078333333333333</t>
        </is>
      </c>
      <c r="O70" s="29" t="inlineStr">
        <is>
          <t>ATTRACTIVE</t>
        </is>
      </c>
      <c r="P70" s="29" t="inlineStr">
        <is>
          <t>가치 매력</t>
        </is>
      </c>
      <c r="Q70" s="29" t="inlineStr">
        <is>
          <t>ATTRACTIVE</t>
        </is>
      </c>
      <c r="R70" s="29" t="inlineStr">
        <is>
          <t>0.9371541027950523</t>
        </is>
      </c>
      <c r="S70" s="29" t="inlineStr">
        <is>
          <t>HIGH</t>
        </is>
      </c>
      <c r="T70" s="29" t="inlineStr">
        <is>
          <t>HIGH</t>
        </is>
      </c>
      <c r="U70" s="29" t="inlineStr">
        <is>
          <t>0.0</t>
        </is>
      </c>
      <c r="V70" s="29" t="inlineStr">
        <is>
          <t>LOW_RISK</t>
        </is>
      </c>
      <c r="W70" s="29" t="inlineStr">
        <is>
          <t>저위험</t>
        </is>
      </c>
      <c r="X70" s="29" t="inlineStr">
        <is>
          <t>LOW_RISK</t>
        </is>
      </c>
      <c r="Y70" s="29" t="inlineStr">
        <is>
          <t>0.9760796731366836</t>
        </is>
      </c>
      <c r="Z70" s="29" t="inlineStr">
        <is>
          <t>HIGH</t>
        </is>
      </c>
      <c r="AA70" s="29" t="inlineStr">
        <is>
          <t>HIGH</t>
        </is>
      </c>
      <c r="AB70" s="29" t="inlineStr">
        <is>
          <t>0.4140062883705867</t>
        </is>
      </c>
      <c r="AC70" s="29" t="inlineStr">
        <is>
          <t>True</t>
        </is>
      </c>
      <c r="AD70" s="29" t="inlineStr">
        <is>
          <t>True</t>
        </is>
      </c>
      <c r="AE70" s="29" t="inlineStr">
        <is>
          <t>valuation_credit_ml_overlay_candidate.csv</t>
        </is>
      </c>
      <c r="AF70" s="29" t="inlineStr">
        <is>
          <t>208개 반도체 reference universe. Valuation Agent가 자체 intake 폴더로 복제해 Peer/ML/대시보드 비교에 사용.</t>
        </is>
      </c>
    </row>
    <row r="71" ht="24" customHeight="1">
      <c r="A71" s="24" t="inlineStr">
        <is>
          <t>4</t>
        </is>
      </c>
      <c r="B71" s="24" t="inlineStr">
        <is>
          <t>해당 없음</t>
        </is>
      </c>
      <c r="C71" s="24" t="inlineStr">
        <is>
          <t>SK하이닉스</t>
        </is>
      </c>
      <c r="D71" s="24" t="inlineStr">
        <is>
          <t>000660</t>
        </is>
      </c>
      <c r="E71" s="24" t="inlineStr">
        <is>
          <t>KOSPI</t>
        </is>
      </c>
      <c r="F71" s="24" t="inlineStr">
        <is>
          <t>IDM/제조/메모리</t>
        </is>
      </c>
      <c r="G71" s="24" t="inlineStr">
        <is>
          <t>IDM/제조/메모리</t>
        </is>
      </c>
      <c r="H71" s="24" t="inlineStr">
        <is>
          <t>False</t>
        </is>
      </c>
      <c r="I71" s="24" t="inlineStr">
        <is>
          <t>True</t>
        </is>
      </c>
      <c r="J71" s="24" t="inlineStr">
        <is>
          <t>OK</t>
        </is>
      </c>
      <c r="K71" s="24" t="inlineStr">
        <is>
          <t>데이터 사용 가능</t>
        </is>
      </c>
      <c r="L71" s="24" t="inlineStr">
        <is>
          <t>LOW</t>
        </is>
      </c>
      <c r="M71" s="24" t="inlineStr">
        <is>
          <t>LOW</t>
        </is>
      </c>
      <c r="N71" s="24" t="inlineStr">
        <is>
          <t>0.6933333333333334</t>
        </is>
      </c>
      <c r="O71" s="24" t="inlineStr">
        <is>
          <t>ATTRACTIVE</t>
        </is>
      </c>
      <c r="P71" s="24" t="inlineStr">
        <is>
          <t>가치 매력</t>
        </is>
      </c>
      <c r="Q71" s="24" t="inlineStr">
        <is>
          <t>ATTRACTIVE</t>
        </is>
      </c>
      <c r="R71" s="24" t="inlineStr">
        <is>
          <t>0.8582250965188642</t>
        </is>
      </c>
      <c r="S71" s="24" t="inlineStr">
        <is>
          <t>HIGH</t>
        </is>
      </c>
      <c r="T71" s="24" t="inlineStr">
        <is>
          <t>HIGH</t>
        </is>
      </c>
      <c r="U71" s="24" t="inlineStr">
        <is>
          <t>0.0</t>
        </is>
      </c>
      <c r="V71" s="24" t="inlineStr">
        <is>
          <t>LOW_RISK</t>
        </is>
      </c>
      <c r="W71" s="24" t="inlineStr">
        <is>
          <t>저위험</t>
        </is>
      </c>
      <c r="X71" s="24" t="inlineStr">
        <is>
          <t>LOW_RISK</t>
        </is>
      </c>
      <c r="Y71" s="24" t="inlineStr">
        <is>
          <t>0.9246810687108324</t>
        </is>
      </c>
      <c r="Z71" s="24" t="inlineStr">
        <is>
          <t>HIGH</t>
        </is>
      </c>
      <c r="AA71" s="24" t="inlineStr">
        <is>
          <t>HIGH</t>
        </is>
      </c>
      <c r="AB71" s="24" t="inlineStr">
        <is>
          <t>0.4530741670429333</t>
        </is>
      </c>
      <c r="AC71" s="24" t="inlineStr">
        <is>
          <t>True</t>
        </is>
      </c>
      <c r="AD71" s="24" t="inlineStr">
        <is>
          <t>True</t>
        </is>
      </c>
      <c r="AE71" s="24" t="inlineStr">
        <is>
          <t>valuation_credit_ml_overlay_candidate.csv</t>
        </is>
      </c>
      <c r="AF71" s="24" t="inlineStr">
        <is>
          <t>208개 반도체 reference universe. Valuation Agent가 자체 intake 폴더로 복제해 Peer/ML/대시보드 비교에 사용.</t>
        </is>
      </c>
    </row>
    <row r="72" ht="24" customHeight="1">
      <c r="A72" s="29" t="inlineStr">
        <is>
          <t>32</t>
        </is>
      </c>
      <c r="B72" s="29" t="inlineStr">
        <is>
          <t>해당 없음</t>
        </is>
      </c>
      <c r="C72" s="29" t="inlineStr">
        <is>
          <t>케이엔제이</t>
        </is>
      </c>
      <c r="D72" s="29" t="inlineStr">
        <is>
          <t>272110</t>
        </is>
      </c>
      <c r="E72" s="29" t="inlineStr">
        <is>
          <t>KOSDAQ</t>
        </is>
      </c>
      <c r="F72" s="29" t="inlineStr">
        <is>
          <t>IDM/제조/메모리</t>
        </is>
      </c>
      <c r="G72" s="29" t="inlineStr">
        <is>
          <t>IDM/제조/메모리</t>
        </is>
      </c>
      <c r="H72" s="29" t="inlineStr">
        <is>
          <t>False</t>
        </is>
      </c>
      <c r="I72" s="29" t="inlineStr">
        <is>
          <t>True</t>
        </is>
      </c>
      <c r="J72" s="29" t="inlineStr">
        <is>
          <t>OK</t>
        </is>
      </c>
      <c r="K72" s="29" t="inlineStr">
        <is>
          <t>데이터 사용 가능</t>
        </is>
      </c>
      <c r="L72" s="29" t="inlineStr">
        <is>
          <t>LOW</t>
        </is>
      </c>
      <c r="M72" s="29" t="inlineStr">
        <is>
          <t>LOW</t>
        </is>
      </c>
      <c r="N72" s="29" t="inlineStr">
        <is>
          <t>0.69</t>
        </is>
      </c>
      <c r="O72" s="29" t="inlineStr">
        <is>
          <t>FAIR</t>
        </is>
      </c>
      <c r="P72" s="29" t="inlineStr">
        <is>
          <t>FAIR</t>
        </is>
      </c>
      <c r="Q72" s="29" t="inlineStr">
        <is>
          <t>FAIR</t>
        </is>
      </c>
      <c r="R72" s="29" t="inlineStr">
        <is>
          <t>0.8941431334693103</t>
        </is>
      </c>
      <c r="S72" s="29" t="inlineStr">
        <is>
          <t>HIGH</t>
        </is>
      </c>
      <c r="T72" s="29" t="inlineStr">
        <is>
          <t>HIGH</t>
        </is>
      </c>
      <c r="U72" s="29" t="inlineStr">
        <is>
          <t>0.3571428571428571</t>
        </is>
      </c>
      <c r="V72" s="29" t="inlineStr">
        <is>
          <t>MEDIUM_RISK</t>
        </is>
      </c>
      <c r="W72" s="29" t="inlineStr">
        <is>
          <t>중위험</t>
        </is>
      </c>
      <c r="X72" s="29" t="inlineStr">
        <is>
          <t>MEDIUM_RISK</t>
        </is>
      </c>
      <c r="Y72" s="29" t="inlineStr">
        <is>
          <t>0.6916505304322266</t>
        </is>
      </c>
      <c r="Z72" s="29" t="inlineStr">
        <is>
          <t>MEDIUM</t>
        </is>
      </c>
      <c r="AA72" s="29" t="inlineStr">
        <is>
          <t>MEDIUM</t>
        </is>
      </c>
      <c r="AB72" s="29" t="inlineStr">
        <is>
          <t>0.08026450343217886</t>
        </is>
      </c>
      <c r="AC72" s="29" t="inlineStr">
        <is>
          <t>False</t>
        </is>
      </c>
      <c r="AD72" s="29" t="inlineStr">
        <is>
          <t>False</t>
        </is>
      </c>
      <c r="AE72" s="29" t="inlineStr">
        <is>
          <t>valuation_credit_ml_overlay_candidate.csv</t>
        </is>
      </c>
      <c r="AF72" s="29" t="inlineStr">
        <is>
          <t>208개 반도체 reference universe. Valuation Agent가 자체 intake 폴더로 복제해 Peer/ML/대시보드 비교에 사용.</t>
        </is>
      </c>
    </row>
    <row r="73" ht="24" customHeight="1">
      <c r="A73" s="24" t="inlineStr">
        <is>
          <t>40</t>
        </is>
      </c>
      <c r="B73" s="24" t="inlineStr">
        <is>
          <t>해당 없음</t>
        </is>
      </c>
      <c r="C73" s="24" t="inlineStr">
        <is>
          <t>한양디지텍</t>
        </is>
      </c>
      <c r="D73" s="24" t="inlineStr">
        <is>
          <t>078350</t>
        </is>
      </c>
      <c r="E73" s="24" t="inlineStr">
        <is>
          <t>KOSDAQ</t>
        </is>
      </c>
      <c r="F73" s="24" t="inlineStr">
        <is>
          <t>IDM/제조/메모리</t>
        </is>
      </c>
      <c r="G73" s="24" t="inlineStr">
        <is>
          <t>IDM/제조/메모리</t>
        </is>
      </c>
      <c r="H73" s="24" t="inlineStr">
        <is>
          <t>False</t>
        </is>
      </c>
      <c r="I73" s="24" t="inlineStr">
        <is>
          <t>True</t>
        </is>
      </c>
      <c r="J73" s="24" t="inlineStr">
        <is>
          <t>OK</t>
        </is>
      </c>
      <c r="K73" s="24" t="inlineStr">
        <is>
          <t>데이터 사용 가능</t>
        </is>
      </c>
      <c r="L73" s="24" t="inlineStr">
        <is>
          <t>LOW</t>
        </is>
      </c>
      <c r="M73" s="24" t="inlineStr">
        <is>
          <t>LOW</t>
        </is>
      </c>
      <c r="N73" s="24" t="inlineStr">
        <is>
          <t>0.6805000000000001</t>
        </is>
      </c>
      <c r="O73" s="24" t="inlineStr">
        <is>
          <t>ATTRACTIVE</t>
        </is>
      </c>
      <c r="P73" s="24" t="inlineStr">
        <is>
          <t>가치 매력</t>
        </is>
      </c>
      <c r="Q73" s="24" t="inlineStr">
        <is>
          <t>ATTRACTIVE</t>
        </is>
      </c>
      <c r="R73" s="24" t="inlineStr">
        <is>
          <t>0.8705426081647281</t>
        </is>
      </c>
      <c r="S73" s="24" t="inlineStr">
        <is>
          <t>HIGH</t>
        </is>
      </c>
      <c r="T73" s="24" t="inlineStr">
        <is>
          <t>HIGH</t>
        </is>
      </c>
      <c r="U73" s="24" t="inlineStr">
        <is>
          <t>0.0714285714285714</t>
        </is>
      </c>
      <c r="V73" s="24" t="inlineStr">
        <is>
          <t>LOW_RISK</t>
        </is>
      </c>
      <c r="W73" s="24" t="inlineStr">
        <is>
          <t>저위험</t>
        </is>
      </c>
      <c r="X73" s="24" t="inlineStr">
        <is>
          <t>LOW_RISK</t>
        </is>
      </c>
      <c r="Y73" s="24" t="inlineStr">
        <is>
          <t>0.7978732006060483</t>
        </is>
      </c>
      <c r="Z73" s="24" t="inlineStr">
        <is>
          <t>HIGH</t>
        </is>
      </c>
      <c r="AA73" s="24" t="inlineStr">
        <is>
          <t>HIGH</t>
        </is>
      </c>
      <c r="AB73" s="24" t="inlineStr">
        <is>
          <t>0.008155150389343335</t>
        </is>
      </c>
      <c r="AC73" s="24" t="inlineStr">
        <is>
          <t>False</t>
        </is>
      </c>
      <c r="AD73" s="24" t="inlineStr">
        <is>
          <t>False</t>
        </is>
      </c>
      <c r="AE73" s="24" t="inlineStr">
        <is>
          <t>valuation_credit_ml_overlay_candidate.csv</t>
        </is>
      </c>
      <c r="AF73" s="24" t="inlineStr">
        <is>
          <t>208개 반도체 reference universe. Valuation Agent가 자체 intake 폴더로 복제해 Peer/ML/대시보드 비교에 사용.</t>
        </is>
      </c>
    </row>
    <row r="74" ht="24" customHeight="1">
      <c r="A74" s="29" t="inlineStr">
        <is>
          <t>1</t>
        </is>
      </c>
      <c r="B74" s="29" t="inlineStr">
        <is>
          <t>해당 없음</t>
        </is>
      </c>
      <c r="C74" s="29" t="inlineStr">
        <is>
          <t>DB하이텍</t>
        </is>
      </c>
      <c r="D74" s="29" t="inlineStr">
        <is>
          <t>000990</t>
        </is>
      </c>
      <c r="E74" s="29" t="inlineStr">
        <is>
          <t>KOSPI</t>
        </is>
      </c>
      <c r="F74" s="29" t="inlineStr">
        <is>
          <t>IDM/제조/메모리</t>
        </is>
      </c>
      <c r="G74" s="29" t="inlineStr">
        <is>
          <t>IDM/제조/메모리</t>
        </is>
      </c>
      <c r="H74" s="29" t="inlineStr">
        <is>
          <t>False</t>
        </is>
      </c>
      <c r="I74" s="29" t="inlineStr">
        <is>
          <t>True</t>
        </is>
      </c>
      <c r="J74" s="29" t="inlineStr">
        <is>
          <t>OK</t>
        </is>
      </c>
      <c r="K74" s="29" t="inlineStr">
        <is>
          <t>데이터 사용 가능</t>
        </is>
      </c>
      <c r="L74" s="29" t="inlineStr">
        <is>
          <t>LOW</t>
        </is>
      </c>
      <c r="M74" s="29" t="inlineStr">
        <is>
          <t>LOW</t>
        </is>
      </c>
      <c r="N74" s="29" t="inlineStr">
        <is>
          <t>0.6653333333333333</t>
        </is>
      </c>
      <c r="O74" s="29" t="inlineStr">
        <is>
          <t>ATTRACTIVE</t>
        </is>
      </c>
      <c r="P74" s="29" t="inlineStr">
        <is>
          <t>가치 매력</t>
        </is>
      </c>
      <c r="Q74" s="29" t="inlineStr">
        <is>
          <t>ATTRACTIVE</t>
        </is>
      </c>
      <c r="R74" s="29" t="inlineStr">
        <is>
          <t>0.9104444876024207</t>
        </is>
      </c>
      <c r="S74" s="29" t="inlineStr">
        <is>
          <t>HIGH</t>
        </is>
      </c>
      <c r="T74" s="29" t="inlineStr">
        <is>
          <t>HIGH</t>
        </is>
      </c>
      <c r="U74" s="29" t="inlineStr">
        <is>
          <t>0.0</t>
        </is>
      </c>
      <c r="V74" s="29" t="inlineStr">
        <is>
          <t>LOW_RISK</t>
        </is>
      </c>
      <c r="W74" s="29" t="inlineStr">
        <is>
          <t>저위험</t>
        </is>
      </c>
      <c r="X74" s="29" t="inlineStr">
        <is>
          <t>LOW_RISK</t>
        </is>
      </c>
      <c r="Y74" s="29" t="inlineStr">
        <is>
          <t>0.9880726272379208</t>
        </is>
      </c>
      <c r="Z74" s="29" t="inlineStr">
        <is>
          <t>HIGH</t>
        </is>
      </c>
      <c r="AA74" s="29" t="inlineStr">
        <is>
          <t>HIGH</t>
        </is>
      </c>
      <c r="AB74" s="29" t="inlineStr">
        <is>
          <t>0.04988685023425709</t>
        </is>
      </c>
      <c r="AC74" s="29" t="inlineStr">
        <is>
          <t>False</t>
        </is>
      </c>
      <c r="AD74" s="29" t="inlineStr">
        <is>
          <t>False</t>
        </is>
      </c>
      <c r="AE74" s="29" t="inlineStr">
        <is>
          <t>valuation_credit_ml_overlay_candidate.csv</t>
        </is>
      </c>
      <c r="AF74" s="29" t="inlineStr">
        <is>
          <t>208개 반도체 reference universe. Valuation Agent가 자체 intake 폴더로 복제해 Peer/ML/대시보드 비교에 사용.</t>
        </is>
      </c>
    </row>
    <row r="75" ht="24" customHeight="1">
      <c r="A75" s="24" t="inlineStr">
        <is>
          <t>24</t>
        </is>
      </c>
      <c r="B75" s="24" t="inlineStr">
        <is>
          <t>해당 없음</t>
        </is>
      </c>
      <c r="C75" s="24" t="inlineStr">
        <is>
          <t>오디텍</t>
        </is>
      </c>
      <c r="D75" s="24" t="inlineStr">
        <is>
          <t>080520</t>
        </is>
      </c>
      <c r="E75" s="24" t="inlineStr">
        <is>
          <t>KOSDAQ</t>
        </is>
      </c>
      <c r="F75" s="24" t="inlineStr">
        <is>
          <t>IDM/제조/메모리</t>
        </is>
      </c>
      <c r="G75" s="24" t="inlineStr">
        <is>
          <t>IDM/제조/메모리</t>
        </is>
      </c>
      <c r="H75" s="24" t="inlineStr">
        <is>
          <t>False</t>
        </is>
      </c>
      <c r="I75" s="24" t="inlineStr">
        <is>
          <t>True</t>
        </is>
      </c>
      <c r="J75" s="24" t="inlineStr">
        <is>
          <t>OK</t>
        </is>
      </c>
      <c r="K75" s="24" t="inlineStr">
        <is>
          <t>데이터 사용 가능</t>
        </is>
      </c>
      <c r="L75" s="24" t="inlineStr">
        <is>
          <t>LOW</t>
        </is>
      </c>
      <c r="M75" s="24" t="inlineStr">
        <is>
          <t>LOW</t>
        </is>
      </c>
      <c r="N75" s="24" t="inlineStr">
        <is>
          <t>0.6083333333333334</t>
        </is>
      </c>
      <c r="O75" s="24" t="inlineStr">
        <is>
          <t>FAIR</t>
        </is>
      </c>
      <c r="P75" s="24" t="inlineStr">
        <is>
          <t>FAIR</t>
        </is>
      </c>
      <c r="Q75" s="24" t="inlineStr">
        <is>
          <t>FAIR</t>
        </is>
      </c>
      <c r="R75" s="24" t="inlineStr">
        <is>
          <t>0.8328575689014174</t>
        </is>
      </c>
      <c r="S75" s="24" t="inlineStr">
        <is>
          <t>HIGH</t>
        </is>
      </c>
      <c r="T75" s="24" t="inlineStr">
        <is>
          <t>HIGH</t>
        </is>
      </c>
      <c r="U75" s="24" t="inlineStr">
        <is>
          <t>0.4285714285714285</t>
        </is>
      </c>
      <c r="V75" s="24" t="inlineStr">
        <is>
          <t>HIGH_RISK</t>
        </is>
      </c>
      <c r="W75" s="24" t="inlineStr">
        <is>
          <t>고위험</t>
        </is>
      </c>
      <c r="X75" s="24" t="inlineStr">
        <is>
          <t>HIGH_RISK</t>
        </is>
      </c>
      <c r="Y75" s="24" t="inlineStr">
        <is>
          <t>0.5607063964580236</t>
        </is>
      </c>
      <c r="Z75" s="24" t="inlineStr">
        <is>
          <t>MEDIUM</t>
        </is>
      </c>
      <c r="AA75" s="24" t="inlineStr">
        <is>
          <t>MEDIUM</t>
        </is>
      </c>
      <c r="AB75" s="24" t="inlineStr">
        <is>
          <t>0.4397907707686155</t>
        </is>
      </c>
      <c r="AC75" s="24" t="inlineStr">
        <is>
          <t>True</t>
        </is>
      </c>
      <c r="AD75" s="24" t="inlineStr">
        <is>
          <t>True</t>
        </is>
      </c>
      <c r="AE75" s="24" t="inlineStr">
        <is>
          <t>valuation_credit_ml_overlay_candidate.csv</t>
        </is>
      </c>
      <c r="AF75" s="24" t="inlineStr">
        <is>
          <t>208개 반도체 reference universe. Valuation Agent가 자체 intake 폴더로 복제해 Peer/ML/대시보드 비교에 사용.</t>
        </is>
      </c>
    </row>
    <row r="76" ht="24" customHeight="1">
      <c r="A76" s="29" t="inlineStr">
        <is>
          <t>6</t>
        </is>
      </c>
      <c r="B76" s="29" t="inlineStr">
        <is>
          <t>해당 없음</t>
        </is>
      </c>
      <c r="C76" s="29" t="inlineStr">
        <is>
          <t>그린리소스</t>
        </is>
      </c>
      <c r="D76" s="29" t="inlineStr">
        <is>
          <t>402490</t>
        </is>
      </c>
      <c r="E76" s="29" t="inlineStr">
        <is>
          <t>KOSDAQ</t>
        </is>
      </c>
      <c r="F76" s="29" t="inlineStr">
        <is>
          <t>IDM/제조/메모리</t>
        </is>
      </c>
      <c r="G76" s="29" t="inlineStr">
        <is>
          <t>IDM/제조/메모리</t>
        </is>
      </c>
      <c r="H76" s="29" t="inlineStr">
        <is>
          <t>False</t>
        </is>
      </c>
      <c r="I76" s="29" t="inlineStr">
        <is>
          <t>True</t>
        </is>
      </c>
      <c r="J76" s="29" t="inlineStr">
        <is>
          <t>OK_LIMITED_HISTORY_OR_GROWTH_NA</t>
        </is>
      </c>
      <c r="K76" s="29" t="inlineStr">
        <is>
          <t>데이터 사용 가능</t>
        </is>
      </c>
      <c r="L76" s="29" t="inlineStr">
        <is>
          <t>LOW</t>
        </is>
      </c>
      <c r="M76" s="29" t="inlineStr">
        <is>
          <t>LOW</t>
        </is>
      </c>
      <c r="N76" s="29" t="inlineStr">
        <is>
          <t>0.6021666666666667</t>
        </is>
      </c>
      <c r="O76" s="29" t="inlineStr">
        <is>
          <t>FAIR</t>
        </is>
      </c>
      <c r="P76" s="29" t="inlineStr">
        <is>
          <t>FAIR</t>
        </is>
      </c>
      <c r="Q76" s="29" t="inlineStr">
        <is>
          <t>FAIR</t>
        </is>
      </c>
      <c r="R76" s="29" t="inlineStr">
        <is>
          <t>0.7869051998623771</t>
        </is>
      </c>
      <c r="S76" s="29" t="inlineStr">
        <is>
          <t>HIGH</t>
        </is>
      </c>
      <c r="T76" s="29" t="inlineStr">
        <is>
          <t>HIGH</t>
        </is>
      </c>
      <c r="U76" s="29" t="inlineStr">
        <is>
          <t>0.4285714285714285</t>
        </is>
      </c>
      <c r="V76" s="29" t="inlineStr">
        <is>
          <t>HIGH_RISK</t>
        </is>
      </c>
      <c r="W76" s="29" t="inlineStr">
        <is>
          <t>고위험</t>
        </is>
      </c>
      <c r="X76" s="29" t="inlineStr">
        <is>
          <t>HIGH_RISK</t>
        </is>
      </c>
      <c r="Y76" s="29" t="inlineStr">
        <is>
          <t>0.5860253292011965</t>
        </is>
      </c>
      <c r="Z76" s="29" t="inlineStr">
        <is>
          <t>MEDIUM</t>
        </is>
      </c>
      <c r="AA76" s="29" t="inlineStr">
        <is>
          <t>MEDIUM</t>
        </is>
      </c>
      <c r="AB76" s="29" t="inlineStr">
        <is>
          <t>0.04512954873345755</t>
        </is>
      </c>
      <c r="AC76" s="29" t="inlineStr">
        <is>
          <t>False</t>
        </is>
      </c>
      <c r="AD76" s="29" t="inlineStr">
        <is>
          <t>True</t>
        </is>
      </c>
      <c r="AE76" s="29" t="inlineStr">
        <is>
          <t>valuation_credit_ml_overlay_candidate.csv</t>
        </is>
      </c>
      <c r="AF76" s="29" t="inlineStr">
        <is>
          <t>208개 반도체 reference universe. Valuation Agent가 자체 intake 폴더로 복제해 Peer/ML/대시보드 비교에 사용.</t>
        </is>
      </c>
    </row>
    <row r="77" ht="24" customHeight="1">
      <c r="A77" s="24" t="inlineStr">
        <is>
          <t>8</t>
        </is>
      </c>
      <c r="B77" s="24" t="inlineStr">
        <is>
          <t>해당 없음</t>
        </is>
      </c>
      <c r="C77" s="24" t="inlineStr">
        <is>
          <t>루멘스</t>
        </is>
      </c>
      <c r="D77" s="24" t="inlineStr">
        <is>
          <t>038060</t>
        </is>
      </c>
      <c r="E77" s="24" t="inlineStr">
        <is>
          <t>KOSDAQ</t>
        </is>
      </c>
      <c r="F77" s="24" t="inlineStr">
        <is>
          <t>IDM/제조/메모리</t>
        </is>
      </c>
      <c r="G77" s="24" t="inlineStr">
        <is>
          <t>IDM/제조/메모리</t>
        </is>
      </c>
      <c r="H77" s="24" t="inlineStr">
        <is>
          <t>False</t>
        </is>
      </c>
      <c r="I77" s="24" t="inlineStr">
        <is>
          <t>True</t>
        </is>
      </c>
      <c r="J77" s="24" t="inlineStr">
        <is>
          <t>OK</t>
        </is>
      </c>
      <c r="K77" s="24" t="inlineStr">
        <is>
          <t>데이터 사용 가능</t>
        </is>
      </c>
      <c r="L77" s="24" t="inlineStr">
        <is>
          <t>LOW</t>
        </is>
      </c>
      <c r="M77" s="24" t="inlineStr">
        <is>
          <t>LOW</t>
        </is>
      </c>
      <c r="N77" s="24" t="inlineStr">
        <is>
          <t>0.5970000000000001</t>
        </is>
      </c>
      <c r="O77" s="24" t="inlineStr">
        <is>
          <t>FAIR</t>
        </is>
      </c>
      <c r="P77" s="24" t="inlineStr">
        <is>
          <t>FAIR</t>
        </is>
      </c>
      <c r="Q77" s="24" t="inlineStr">
        <is>
          <t>FAIR</t>
        </is>
      </c>
      <c r="R77" s="24" t="inlineStr">
        <is>
          <t>0.8437683700786414</t>
        </is>
      </c>
      <c r="S77" s="24" t="inlineStr">
        <is>
          <t>HIGH</t>
        </is>
      </c>
      <c r="T77" s="24" t="inlineStr">
        <is>
          <t>HIGH</t>
        </is>
      </c>
      <c r="U77" s="24" t="inlineStr">
        <is>
          <t>0.3571428571428571</t>
        </is>
      </c>
      <c r="V77" s="24" t="inlineStr">
        <is>
          <t>MEDIUM_RISK</t>
        </is>
      </c>
      <c r="W77" s="24" t="inlineStr">
        <is>
          <t>중위험</t>
        </is>
      </c>
      <c r="X77" s="24" t="inlineStr">
        <is>
          <t>MEDIUM_RISK</t>
        </is>
      </c>
      <c r="Y77" s="24" t="inlineStr">
        <is>
          <t>0.7365544810444915</t>
        </is>
      </c>
      <c r="Z77" s="24" t="inlineStr">
        <is>
          <t>HIGH</t>
        </is>
      </c>
      <c r="AA77" s="24" t="inlineStr">
        <is>
          <t>HIGH</t>
        </is>
      </c>
      <c r="AB77" s="24" t="inlineStr">
        <is>
          <t>0.0791711120821534</t>
        </is>
      </c>
      <c r="AC77" s="24" t="inlineStr">
        <is>
          <t>False</t>
        </is>
      </c>
      <c r="AD77" s="24" t="inlineStr">
        <is>
          <t>False</t>
        </is>
      </c>
      <c r="AE77" s="24" t="inlineStr">
        <is>
          <t>valuation_credit_ml_overlay_candidate.csv</t>
        </is>
      </c>
      <c r="AF77" s="24" t="inlineStr">
        <is>
          <t>208개 반도체 reference universe. Valuation Agent가 자체 intake 폴더로 복제해 Peer/ML/대시보드 비교에 사용.</t>
        </is>
      </c>
    </row>
    <row r="78" ht="24" customHeight="1">
      <c r="A78" s="29" t="inlineStr">
        <is>
          <t>37</t>
        </is>
      </c>
      <c r="B78" s="29" t="inlineStr">
        <is>
          <t>해당 없음</t>
        </is>
      </c>
      <c r="C78" s="29" t="inlineStr">
        <is>
          <t>피델릭스</t>
        </is>
      </c>
      <c r="D78" s="29" t="inlineStr">
        <is>
          <t>032580</t>
        </is>
      </c>
      <c r="E78" s="29" t="inlineStr">
        <is>
          <t>KOSDAQ</t>
        </is>
      </c>
      <c r="F78" s="29" t="inlineStr">
        <is>
          <t>IDM/제조/메모리</t>
        </is>
      </c>
      <c r="G78" s="29" t="inlineStr">
        <is>
          <t>IDM/제조/메모리</t>
        </is>
      </c>
      <c r="H78" s="29" t="inlineStr">
        <is>
          <t>False</t>
        </is>
      </c>
      <c r="I78" s="29" t="inlineStr">
        <is>
          <t>True</t>
        </is>
      </c>
      <c r="J78" s="29" t="inlineStr">
        <is>
          <t>OK</t>
        </is>
      </c>
      <c r="K78" s="29" t="inlineStr">
        <is>
          <t>데이터 사용 가능</t>
        </is>
      </c>
      <c r="L78" s="29" t="inlineStr">
        <is>
          <t>LOW</t>
        </is>
      </c>
      <c r="M78" s="29" t="inlineStr">
        <is>
          <t>LOW</t>
        </is>
      </c>
      <c r="N78" s="29" t="inlineStr">
        <is>
          <t>0.5873333333333334</t>
        </is>
      </c>
      <c r="O78" s="29" t="inlineStr">
        <is>
          <t>FAIR</t>
        </is>
      </c>
      <c r="P78" s="29" t="inlineStr">
        <is>
          <t>FAIR</t>
        </is>
      </c>
      <c r="Q78" s="29" t="inlineStr">
        <is>
          <t>FAIR</t>
        </is>
      </c>
      <c r="R78" s="29" t="inlineStr">
        <is>
          <t>0.8604826019551013</t>
        </is>
      </c>
      <c r="S78" s="29" t="inlineStr">
        <is>
          <t>HIGH</t>
        </is>
      </c>
      <c r="T78" s="29" t="inlineStr">
        <is>
          <t>HIGH</t>
        </is>
      </c>
      <c r="U78" s="29" t="inlineStr">
        <is>
          <t>0.5</t>
        </is>
      </c>
      <c r="V78" s="29" t="inlineStr">
        <is>
          <t>HIGH_RISK</t>
        </is>
      </c>
      <c r="W78" s="29" t="inlineStr">
        <is>
          <t>고위험</t>
        </is>
      </c>
      <c r="X78" s="29" t="inlineStr">
        <is>
          <t>HIGH_RISK</t>
        </is>
      </c>
      <c r="Y78" s="29" t="inlineStr">
        <is>
          <t>0.9138628953549666</t>
        </is>
      </c>
      <c r="Z78" s="29" t="inlineStr">
        <is>
          <t>HIGH</t>
        </is>
      </c>
      <c r="AA78" s="29" t="inlineStr">
        <is>
          <t>HIGH</t>
        </is>
      </c>
      <c r="AB78" s="29" t="inlineStr">
        <is>
          <t>0.0765288896391056</t>
        </is>
      </c>
      <c r="AC78" s="29" t="inlineStr">
        <is>
          <t>False</t>
        </is>
      </c>
      <c r="AD78" s="29" t="inlineStr">
        <is>
          <t>False</t>
        </is>
      </c>
      <c r="AE78" s="29" t="inlineStr">
        <is>
          <t>valuation_credit_ml_overlay_candidate.csv</t>
        </is>
      </c>
      <c r="AF78" s="29" t="inlineStr">
        <is>
          <t>208개 반도체 reference universe. Valuation Agent가 자체 intake 폴더로 복제해 Peer/ML/대시보드 비교에 사용.</t>
        </is>
      </c>
    </row>
    <row r="79" ht="24" customHeight="1">
      <c r="A79" s="24" t="inlineStr">
        <is>
          <t>21</t>
        </is>
      </c>
      <c r="B79" s="24" t="inlineStr">
        <is>
          <t>해당 없음</t>
        </is>
      </c>
      <c r="C79" s="24" t="inlineStr">
        <is>
          <t>엔시트론</t>
        </is>
      </c>
      <c r="D79" s="24" t="inlineStr">
        <is>
          <t>101400</t>
        </is>
      </c>
      <c r="E79" s="24" t="inlineStr">
        <is>
          <t>KOSDAQ</t>
        </is>
      </c>
      <c r="F79" s="24" t="inlineStr">
        <is>
          <t>IDM/제조/메모리</t>
        </is>
      </c>
      <c r="G79" s="24" t="inlineStr">
        <is>
          <t>IDM/제조/메모리</t>
        </is>
      </c>
      <c r="H79" s="24" t="inlineStr">
        <is>
          <t>False</t>
        </is>
      </c>
      <c r="I79" s="24" t="inlineStr">
        <is>
          <t>True</t>
        </is>
      </c>
      <c r="J79" s="24" t="inlineStr">
        <is>
          <t>OK</t>
        </is>
      </c>
      <c r="K79" s="24" t="inlineStr">
        <is>
          <t>데이터 사용 가능</t>
        </is>
      </c>
      <c r="L79" s="24" t="inlineStr">
        <is>
          <t>LOW</t>
        </is>
      </c>
      <c r="M79" s="24" t="inlineStr">
        <is>
          <t>LOW</t>
        </is>
      </c>
      <c r="N79" s="24" t="inlineStr">
        <is>
          <t>0.5773333333333333</t>
        </is>
      </c>
      <c r="O79" s="24" t="inlineStr">
        <is>
          <t>FAIR</t>
        </is>
      </c>
      <c r="P79" s="24" t="inlineStr">
        <is>
          <t>FAIR</t>
        </is>
      </c>
      <c r="Q79" s="24" t="inlineStr">
        <is>
          <t>FAIR</t>
        </is>
      </c>
      <c r="R79" s="24" t="inlineStr">
        <is>
          <t>0.8173941540342667</t>
        </is>
      </c>
      <c r="S79" s="24" t="inlineStr">
        <is>
          <t>HIGH</t>
        </is>
      </c>
      <c r="T79" s="24" t="inlineStr">
        <is>
          <t>HIGH</t>
        </is>
      </c>
      <c r="U79" s="24" t="inlineStr">
        <is>
          <t>0.3571428571428571</t>
        </is>
      </c>
      <c r="V79" s="24" t="inlineStr">
        <is>
          <t>MEDIUM_RISK</t>
        </is>
      </c>
      <c r="W79" s="24" t="inlineStr">
        <is>
          <t>중위험</t>
        </is>
      </c>
      <c r="X79" s="24" t="inlineStr">
        <is>
          <t>MEDIUM_RISK</t>
        </is>
      </c>
      <c r="Y79" s="24" t="inlineStr">
        <is>
          <t>0.7799614337035685</t>
        </is>
      </c>
      <c r="Z79" s="24" t="inlineStr">
        <is>
          <t>HIGH</t>
        </is>
      </c>
      <c r="AA79" s="24" t="inlineStr">
        <is>
          <t>HIGH</t>
        </is>
      </c>
      <c r="AB79" s="24" t="inlineStr">
        <is>
          <t>0.08202020185637905</t>
        </is>
      </c>
      <c r="AC79" s="24" t="inlineStr">
        <is>
          <t>False</t>
        </is>
      </c>
      <c r="AD79" s="24" t="inlineStr">
        <is>
          <t>False</t>
        </is>
      </c>
      <c r="AE79" s="24" t="inlineStr">
        <is>
          <t>valuation_credit_ml_overlay_candidate.csv</t>
        </is>
      </c>
      <c r="AF79" s="24" t="inlineStr">
        <is>
          <t>208개 반도체 reference universe. Valuation Agent가 자체 intake 폴더로 복제해 Peer/ML/대시보드 비교에 사용.</t>
        </is>
      </c>
    </row>
    <row r="80" ht="24" customHeight="1">
      <c r="A80" s="29" t="inlineStr">
        <is>
          <t>13</t>
        </is>
      </c>
      <c r="B80" s="29" t="inlineStr">
        <is>
          <t>해당 없음</t>
        </is>
      </c>
      <c r="C80" s="29" t="inlineStr">
        <is>
          <t>서울바이오시스</t>
        </is>
      </c>
      <c r="D80" s="29" t="inlineStr">
        <is>
          <t>092190</t>
        </is>
      </c>
      <c r="E80" s="29" t="inlineStr">
        <is>
          <t>KOSDAQ</t>
        </is>
      </c>
      <c r="F80" s="29" t="inlineStr">
        <is>
          <t>IDM/제조/메모리</t>
        </is>
      </c>
      <c r="G80" s="29" t="inlineStr">
        <is>
          <t>IDM/제조/메모리</t>
        </is>
      </c>
      <c r="H80" s="29" t="inlineStr">
        <is>
          <t>False</t>
        </is>
      </c>
      <c r="I80" s="29" t="inlineStr">
        <is>
          <t>True</t>
        </is>
      </c>
      <c r="J80" s="29" t="inlineStr">
        <is>
          <t>OK</t>
        </is>
      </c>
      <c r="K80" s="29" t="inlineStr">
        <is>
          <t>데이터 사용 가능</t>
        </is>
      </c>
      <c r="L80" s="29" t="inlineStr">
        <is>
          <t>LOW</t>
        </is>
      </c>
      <c r="M80" s="29" t="inlineStr">
        <is>
          <t>LOW</t>
        </is>
      </c>
      <c r="N80" s="29" t="inlineStr">
        <is>
          <t>0.5655</t>
        </is>
      </c>
      <c r="O80" s="29" t="inlineStr">
        <is>
          <t>FAIR</t>
        </is>
      </c>
      <c r="P80" s="29" t="inlineStr">
        <is>
          <t>FAIR</t>
        </is>
      </c>
      <c r="Q80" s="29" t="inlineStr">
        <is>
          <t>FAIR</t>
        </is>
      </c>
      <c r="R80" s="29" t="inlineStr">
        <is>
          <t>0.7336783523450653</t>
        </is>
      </c>
      <c r="S80" s="29" t="inlineStr">
        <is>
          <t>HIGH</t>
        </is>
      </c>
      <c r="T80" s="29" t="inlineStr">
        <is>
          <t>HIGH</t>
        </is>
      </c>
      <c r="U80" s="29" t="inlineStr">
        <is>
          <t>0.4285714285714285</t>
        </is>
      </c>
      <c r="V80" s="29" t="inlineStr">
        <is>
          <t>HIGH_RISK</t>
        </is>
      </c>
      <c r="W80" s="29" t="inlineStr">
        <is>
          <t>고위험</t>
        </is>
      </c>
      <c r="X80" s="29" t="inlineStr">
        <is>
          <t>MEDIUM_RISK</t>
        </is>
      </c>
      <c r="Y80" s="29" t="inlineStr">
        <is>
          <t>0.420701328500417</t>
        </is>
      </c>
      <c r="Z80" s="29" t="inlineStr">
        <is>
          <t>LOW</t>
        </is>
      </c>
      <c r="AA80" s="29" t="inlineStr">
        <is>
          <t>LOW</t>
        </is>
      </c>
      <c r="AB80" s="29" t="inlineStr">
        <is>
          <t>0.22867438374329632</t>
        </is>
      </c>
      <c r="AC80" s="29" t="inlineStr">
        <is>
          <t>False</t>
        </is>
      </c>
      <c r="AD80" s="29" t="inlineStr">
        <is>
          <t>True</t>
        </is>
      </c>
      <c r="AE80" s="29" t="inlineStr">
        <is>
          <t>valuation_credit_ml_overlay_candidate.csv</t>
        </is>
      </c>
      <c r="AF80" s="29" t="inlineStr">
        <is>
          <t>208개 반도체 reference universe. Valuation Agent가 자체 intake 폴더로 복제해 Peer/ML/대시보드 비교에 사용.</t>
        </is>
      </c>
    </row>
    <row r="81" ht="24" customHeight="1">
      <c r="A81" s="24" t="inlineStr">
        <is>
          <t>34</t>
        </is>
      </c>
      <c r="B81" s="24" t="inlineStr">
        <is>
          <t>해당 없음</t>
        </is>
      </c>
      <c r="C81" s="24" t="inlineStr">
        <is>
          <t>큐에스아이</t>
        </is>
      </c>
      <c r="D81" s="24" t="inlineStr">
        <is>
          <t>066310</t>
        </is>
      </c>
      <c r="E81" s="24" t="inlineStr">
        <is>
          <t>KOSDAQ</t>
        </is>
      </c>
      <c r="F81" s="24" t="inlineStr">
        <is>
          <t>IDM/제조/메모리</t>
        </is>
      </c>
      <c r="G81" s="24" t="inlineStr">
        <is>
          <t>IDM/제조/메모리</t>
        </is>
      </c>
      <c r="H81" s="24" t="inlineStr">
        <is>
          <t>False</t>
        </is>
      </c>
      <c r="I81" s="24" t="inlineStr">
        <is>
          <t>True</t>
        </is>
      </c>
      <c r="J81" s="24" t="inlineStr">
        <is>
          <t>OK</t>
        </is>
      </c>
      <c r="K81" s="24" t="inlineStr">
        <is>
          <t>데이터 사용 가능</t>
        </is>
      </c>
      <c r="L81" s="24" t="inlineStr">
        <is>
          <t>LOW</t>
        </is>
      </c>
      <c r="M81" s="24" t="inlineStr">
        <is>
          <t>LOW</t>
        </is>
      </c>
      <c r="N81" s="24" t="inlineStr">
        <is>
          <t>0.5423333333333333</t>
        </is>
      </c>
      <c r="O81" s="24" t="inlineStr">
        <is>
          <t>FAIR</t>
        </is>
      </c>
      <c r="P81" s="24" t="inlineStr">
        <is>
          <t>FAIR</t>
        </is>
      </c>
      <c r="Q81" s="24" t="inlineStr">
        <is>
          <t>FAIR</t>
        </is>
      </c>
      <c r="R81" s="24" t="inlineStr">
        <is>
          <t>0.5496283015517583</t>
        </is>
      </c>
      <c r="S81" s="24" t="inlineStr">
        <is>
          <t>MEDIUM</t>
        </is>
      </c>
      <c r="T81" s="24" t="inlineStr">
        <is>
          <t>MEDIUM</t>
        </is>
      </c>
      <c r="U81" s="24" t="inlineStr">
        <is>
          <t>0.0714285714285714</t>
        </is>
      </c>
      <c r="V81" s="24" t="inlineStr">
        <is>
          <t>LOW_RISK</t>
        </is>
      </c>
      <c r="W81" s="24" t="inlineStr">
        <is>
          <t>저위험</t>
        </is>
      </c>
      <c r="X81" s="24" t="inlineStr">
        <is>
          <t>LOW_RISK</t>
        </is>
      </c>
      <c r="Y81" s="24" t="inlineStr">
        <is>
          <t>0.8341403016587674</t>
        </is>
      </c>
      <c r="Z81" s="24" t="inlineStr">
        <is>
          <t>HIGH</t>
        </is>
      </c>
      <c r="AA81" s="24" t="inlineStr">
        <is>
          <t>HIGH</t>
        </is>
      </c>
      <c r="AB81" s="24" t="inlineStr">
        <is>
          <t>0.21446147407494193</t>
        </is>
      </c>
      <c r="AC81" s="24" t="inlineStr">
        <is>
          <t>False</t>
        </is>
      </c>
      <c r="AD81" s="24" t="inlineStr">
        <is>
          <t>False</t>
        </is>
      </c>
      <c r="AE81" s="24" t="inlineStr">
        <is>
          <t>valuation_credit_ml_overlay_candidate.csv</t>
        </is>
      </c>
      <c r="AF81" s="24" t="inlineStr">
        <is>
          <t>208개 반도체 reference universe. Valuation Agent가 자체 intake 폴더로 복제해 Peer/ML/대시보드 비교에 사용.</t>
        </is>
      </c>
    </row>
    <row r="82" ht="24" customHeight="1">
      <c r="A82" s="29" t="inlineStr">
        <is>
          <t>23</t>
        </is>
      </c>
      <c r="B82" s="29" t="inlineStr">
        <is>
          <t>해당 없음</t>
        </is>
      </c>
      <c r="C82" s="29" t="inlineStr">
        <is>
          <t>엘오티베큠</t>
        </is>
      </c>
      <c r="D82" s="29" t="inlineStr">
        <is>
          <t>083310</t>
        </is>
      </c>
      <c r="E82" s="29" t="inlineStr">
        <is>
          <t>KOSDAQ</t>
        </is>
      </c>
      <c r="F82" s="29" t="inlineStr">
        <is>
          <t>IDM/제조/메모리</t>
        </is>
      </c>
      <c r="G82" s="29" t="inlineStr">
        <is>
          <t>IDM/제조/메모리</t>
        </is>
      </c>
      <c r="H82" s="29" t="inlineStr">
        <is>
          <t>False</t>
        </is>
      </c>
      <c r="I82" s="29" t="inlineStr">
        <is>
          <t>True</t>
        </is>
      </c>
      <c r="J82" s="29" t="inlineStr">
        <is>
          <t>OK</t>
        </is>
      </c>
      <c r="K82" s="29" t="inlineStr">
        <is>
          <t>데이터 사용 가능</t>
        </is>
      </c>
      <c r="L82" s="29" t="inlineStr">
        <is>
          <t>LOW</t>
        </is>
      </c>
      <c r="M82" s="29" t="inlineStr">
        <is>
          <t>LOW</t>
        </is>
      </c>
      <c r="N82" s="29" t="inlineStr">
        <is>
          <t>0.538</t>
        </is>
      </c>
      <c r="O82" s="29" t="inlineStr">
        <is>
          <t>FAIR</t>
        </is>
      </c>
      <c r="P82" s="29" t="inlineStr">
        <is>
          <t>FAIR</t>
        </is>
      </c>
      <c r="Q82" s="29" t="inlineStr">
        <is>
          <t>FAIR</t>
        </is>
      </c>
      <c r="R82" s="29" t="inlineStr">
        <is>
          <t>0.860578291373445</t>
        </is>
      </c>
      <c r="S82" s="29" t="inlineStr">
        <is>
          <t>HIGH</t>
        </is>
      </c>
      <c r="T82" s="29" t="inlineStr">
        <is>
          <t>HIGH</t>
        </is>
      </c>
      <c r="U82" s="29" t="inlineStr">
        <is>
          <t>0.2142857142857142</t>
        </is>
      </c>
      <c r="V82" s="29" t="inlineStr">
        <is>
          <t>MEDIUM_RISK</t>
        </is>
      </c>
      <c r="W82" s="29" t="inlineStr">
        <is>
          <t>중위험</t>
        </is>
      </c>
      <c r="X82" s="29" t="inlineStr">
        <is>
          <t>MEDIUM_RISK</t>
        </is>
      </c>
      <c r="Y82" s="29" t="inlineStr">
        <is>
          <t>0.8356274138697954</t>
        </is>
      </c>
      <c r="Z82" s="29" t="inlineStr">
        <is>
          <t>HIGH</t>
        </is>
      </c>
      <c r="AA82" s="29" t="inlineStr">
        <is>
          <t>HIGH</t>
        </is>
      </c>
      <c r="AB82" s="29" t="inlineStr">
        <is>
          <t>0.04088276425948358</t>
        </is>
      </c>
      <c r="AC82" s="29" t="inlineStr">
        <is>
          <t>False</t>
        </is>
      </c>
      <c r="AD82" s="29" t="inlineStr">
        <is>
          <t>False</t>
        </is>
      </c>
      <c r="AE82" s="29" t="inlineStr">
        <is>
          <t>valuation_credit_ml_overlay_candidate.csv</t>
        </is>
      </c>
      <c r="AF82" s="29" t="inlineStr">
        <is>
          <t>208개 반도체 reference universe. Valuation Agent가 자체 intake 폴더로 복제해 Peer/ML/대시보드 비교에 사용.</t>
        </is>
      </c>
    </row>
    <row r="83" ht="24" customHeight="1">
      <c r="A83" s="24" t="inlineStr">
        <is>
          <t>11</t>
        </is>
      </c>
      <c r="B83" s="24" t="inlineStr">
        <is>
          <t>해당 없음</t>
        </is>
      </c>
      <c r="C83" s="24" t="inlineStr">
        <is>
          <t>비씨엔씨</t>
        </is>
      </c>
      <c r="D83" s="24" t="inlineStr">
        <is>
          <t>146320</t>
        </is>
      </c>
      <c r="E83" s="24" t="inlineStr">
        <is>
          <t>KOSDAQ</t>
        </is>
      </c>
      <c r="F83" s="24" t="inlineStr">
        <is>
          <t>IDM/제조/메모리</t>
        </is>
      </c>
      <c r="G83" s="24" t="inlineStr">
        <is>
          <t>IDM/제조/메모리</t>
        </is>
      </c>
      <c r="H83" s="24" t="inlineStr">
        <is>
          <t>False</t>
        </is>
      </c>
      <c r="I83" s="24" t="inlineStr">
        <is>
          <t>True</t>
        </is>
      </c>
      <c r="J83" s="24" t="inlineStr">
        <is>
          <t>KEY_ACCOUNT_PARTIAL_MISSING</t>
        </is>
      </c>
      <c r="K83" s="24" t="inlineStr">
        <is>
          <t>데이터 사용 가능</t>
        </is>
      </c>
      <c r="L83" s="24" t="inlineStr">
        <is>
          <t>MEDIUM</t>
        </is>
      </c>
      <c r="M83" s="24" t="inlineStr">
        <is>
          <t>MEDIUM</t>
        </is>
      </c>
      <c r="N83" s="24" t="inlineStr">
        <is>
          <t>0.5365833333333333</t>
        </is>
      </c>
      <c r="O83" s="24" t="inlineStr">
        <is>
          <t>FAIR</t>
        </is>
      </c>
      <c r="P83" s="24" t="inlineStr">
        <is>
          <t>FAIR</t>
        </is>
      </c>
      <c r="Q83" s="24" t="inlineStr">
        <is>
          <t>FAIR</t>
        </is>
      </c>
      <c r="R83" s="24" t="inlineStr">
        <is>
          <t>0.7033805368548921</t>
        </is>
      </c>
      <c r="S83" s="24" t="inlineStr">
        <is>
          <t>HIGH</t>
        </is>
      </c>
      <c r="T83" s="24" t="inlineStr">
        <is>
          <t>HIGH</t>
        </is>
      </c>
      <c r="U83" s="24" t="inlineStr">
        <is>
          <t>0.2857142857142857</t>
        </is>
      </c>
      <c r="V83" s="24" t="inlineStr">
        <is>
          <t>MEDIUM_RISK</t>
        </is>
      </c>
      <c r="W83" s="24" t="inlineStr">
        <is>
          <t>중위험</t>
        </is>
      </c>
      <c r="X83" s="24" t="inlineStr">
        <is>
          <t>MEDIUM_RISK</t>
        </is>
      </c>
      <c r="Y83" s="24" t="inlineStr">
        <is>
          <t>0.7333342608471988</t>
        </is>
      </c>
      <c r="Z83" s="24" t="inlineStr">
        <is>
          <t>HIGH</t>
        </is>
      </c>
      <c r="AA83" s="24" t="inlineStr">
        <is>
          <t>HIGH</t>
        </is>
      </c>
      <c r="AB83" s="24" t="inlineStr">
        <is>
          <t>0.031762409510830696</t>
        </is>
      </c>
      <c r="AC83" s="24" t="inlineStr">
        <is>
          <t>False</t>
        </is>
      </c>
      <c r="AD83" s="24" t="inlineStr">
        <is>
          <t>True</t>
        </is>
      </c>
      <c r="AE83" s="24" t="inlineStr">
        <is>
          <t>valuation_credit_ml_overlay_candidate.csv</t>
        </is>
      </c>
      <c r="AF83" s="24" t="inlineStr">
        <is>
          <t>208개 반도체 reference universe. Valuation Agent가 자체 intake 폴더로 복제해 Peer/ML/대시보드 비교에 사용.</t>
        </is>
      </c>
    </row>
    <row r="84" ht="24" customHeight="1">
      <c r="A84" s="29" t="inlineStr">
        <is>
          <t>36</t>
        </is>
      </c>
      <c r="B84" s="29" t="inlineStr">
        <is>
          <t>해당 없음</t>
        </is>
      </c>
      <c r="C84" s="29" t="inlineStr">
        <is>
          <t>티엘비</t>
        </is>
      </c>
      <c r="D84" s="29" t="inlineStr">
        <is>
          <t>356860</t>
        </is>
      </c>
      <c r="E84" s="29" t="inlineStr">
        <is>
          <t>KOSDAQ</t>
        </is>
      </c>
      <c r="F84" s="29" t="inlineStr">
        <is>
          <t>IDM/제조/메모리</t>
        </is>
      </c>
      <c r="G84" s="29" t="inlineStr">
        <is>
          <t>IDM/제조/메모리</t>
        </is>
      </c>
      <c r="H84" s="29" t="inlineStr">
        <is>
          <t>False</t>
        </is>
      </c>
      <c r="I84" s="29" t="inlineStr">
        <is>
          <t>True</t>
        </is>
      </c>
      <c r="J84" s="29" t="inlineStr">
        <is>
          <t>OK</t>
        </is>
      </c>
      <c r="K84" s="29" t="inlineStr">
        <is>
          <t>데이터 사용 가능</t>
        </is>
      </c>
      <c r="L84" s="29" t="inlineStr">
        <is>
          <t>LOW</t>
        </is>
      </c>
      <c r="M84" s="29" t="inlineStr">
        <is>
          <t>LOW</t>
        </is>
      </c>
      <c r="N84" s="29" t="inlineStr">
        <is>
          <t>0.5361666666666667</t>
        </is>
      </c>
      <c r="O84" s="29" t="inlineStr">
        <is>
          <t>FAIR</t>
        </is>
      </c>
      <c r="P84" s="29" t="inlineStr">
        <is>
          <t>FAIR</t>
        </is>
      </c>
      <c r="Q84" s="29" t="inlineStr">
        <is>
          <t>FAIR</t>
        </is>
      </c>
      <c r="R84" s="29" t="inlineStr">
        <is>
          <t>0.8509295904965918</t>
        </is>
      </c>
      <c r="S84" s="29" t="inlineStr">
        <is>
          <t>HIGH</t>
        </is>
      </c>
      <c r="T84" s="29" t="inlineStr">
        <is>
          <t>HIGH</t>
        </is>
      </c>
      <c r="U84" s="29" t="inlineStr">
        <is>
          <t>0.0714285714285714</t>
        </is>
      </c>
      <c r="V84" s="29" t="inlineStr">
        <is>
          <t>LOW_RISK</t>
        </is>
      </c>
      <c r="W84" s="29" t="inlineStr">
        <is>
          <t>저위험</t>
        </is>
      </c>
      <c r="X84" s="29" t="inlineStr">
        <is>
          <t>LOW_RISK</t>
        </is>
      </c>
      <c r="Y84" s="29" t="inlineStr">
        <is>
          <t>0.6625834729097503</t>
        </is>
      </c>
      <c r="Z84" s="29" t="inlineStr">
        <is>
          <t>MEDIUM</t>
        </is>
      </c>
      <c r="AA84" s="29" t="inlineStr">
        <is>
          <t>MEDIUM</t>
        </is>
      </c>
      <c r="AB84" s="29" t="inlineStr">
        <is>
          <t>0.01843936297746685</t>
        </is>
      </c>
      <c r="AC84" s="29" t="inlineStr">
        <is>
          <t>False</t>
        </is>
      </c>
      <c r="AD84" s="29" t="inlineStr">
        <is>
          <t>False</t>
        </is>
      </c>
      <c r="AE84" s="29" t="inlineStr">
        <is>
          <t>valuation_credit_ml_overlay_candidate.csv</t>
        </is>
      </c>
      <c r="AF84" s="29" t="inlineStr">
        <is>
          <t>208개 반도체 reference universe. Valuation Agent가 자체 intake 폴더로 복제해 Peer/ML/대시보드 비교에 사용.</t>
        </is>
      </c>
    </row>
    <row r="85" ht="24" customHeight="1">
      <c r="A85" s="24" t="inlineStr">
        <is>
          <t>38</t>
        </is>
      </c>
      <c r="B85" s="24" t="inlineStr">
        <is>
          <t>해당 없음</t>
        </is>
      </c>
      <c r="C85" s="24" t="inlineStr">
        <is>
          <t>하나머티리얼즈</t>
        </is>
      </c>
      <c r="D85" s="24" t="inlineStr">
        <is>
          <t>166090</t>
        </is>
      </c>
      <c r="E85" s="24" t="inlineStr">
        <is>
          <t>KOSDAQ GLOBAL</t>
        </is>
      </c>
      <c r="F85" s="24" t="inlineStr">
        <is>
          <t>IDM/제조/메모리</t>
        </is>
      </c>
      <c r="G85" s="24" t="inlineStr">
        <is>
          <t>IDM/제조/메모리</t>
        </is>
      </c>
      <c r="H85" s="24" t="inlineStr">
        <is>
          <t>False</t>
        </is>
      </c>
      <c r="I85" s="24" t="inlineStr">
        <is>
          <t>True</t>
        </is>
      </c>
      <c r="J85" s="24" t="inlineStr">
        <is>
          <t>OK</t>
        </is>
      </c>
      <c r="K85" s="24" t="inlineStr">
        <is>
          <t>데이터 사용 가능</t>
        </is>
      </c>
      <c r="L85" s="24" t="inlineStr">
        <is>
          <t>LOW</t>
        </is>
      </c>
      <c r="M85" s="24" t="inlineStr">
        <is>
          <t>LOW</t>
        </is>
      </c>
      <c r="N85" s="24" t="inlineStr">
        <is>
          <t>0.5321666666666667</t>
        </is>
      </c>
      <c r="O85" s="24" t="inlineStr">
        <is>
          <t>FAIR</t>
        </is>
      </c>
      <c r="P85" s="24" t="inlineStr">
        <is>
          <t>FAIR</t>
        </is>
      </c>
      <c r="Q85" s="24" t="inlineStr">
        <is>
          <t>ATTRACTIVE</t>
        </is>
      </c>
      <c r="R85" s="24" t="inlineStr">
        <is>
          <t>0.6425667923365267</t>
        </is>
      </c>
      <c r="S85" s="24" t="inlineStr">
        <is>
          <t>MEDIUM</t>
        </is>
      </c>
      <c r="T85" s="24" t="inlineStr">
        <is>
          <t>MEDIUM</t>
        </is>
      </c>
      <c r="U85" s="24" t="inlineStr">
        <is>
          <t>0.0</t>
        </is>
      </c>
      <c r="V85" s="24" t="inlineStr">
        <is>
          <t>LOW_RISK</t>
        </is>
      </c>
      <c r="W85" s="24" t="inlineStr">
        <is>
          <t>저위험</t>
        </is>
      </c>
      <c r="X85" s="24" t="inlineStr">
        <is>
          <t>LOW_RISK</t>
        </is>
      </c>
      <c r="Y85" s="24" t="inlineStr">
        <is>
          <t>0.9093779024453453</t>
        </is>
      </c>
      <c r="Z85" s="24" t="inlineStr">
        <is>
          <t>HIGH</t>
        </is>
      </c>
      <c r="AA85" s="24" t="inlineStr">
        <is>
          <t>HIGH</t>
        </is>
      </c>
      <c r="AB85" s="24" t="inlineStr">
        <is>
          <t>0.030620686282363033</t>
        </is>
      </c>
      <c r="AC85" s="24" t="inlineStr">
        <is>
          <t>False</t>
        </is>
      </c>
      <c r="AD85" s="24" t="inlineStr">
        <is>
          <t>False</t>
        </is>
      </c>
      <c r="AE85" s="24" t="inlineStr">
        <is>
          <t>valuation_credit_ml_overlay_candidate.csv</t>
        </is>
      </c>
      <c r="AF85" s="24" t="inlineStr">
        <is>
          <t>208개 반도체 reference universe. Valuation Agent가 자체 intake 폴더로 복제해 Peer/ML/대시보드 비교에 사용.</t>
        </is>
      </c>
    </row>
    <row r="86" ht="24" customHeight="1">
      <c r="A86" s="29" t="inlineStr">
        <is>
          <t>26</t>
        </is>
      </c>
      <c r="B86" s="29" t="inlineStr">
        <is>
          <t>해당 없음</t>
        </is>
      </c>
      <c r="C86" s="29" t="inlineStr">
        <is>
          <t>웰킵스하이텍</t>
        </is>
      </c>
      <c r="D86" s="29" t="inlineStr">
        <is>
          <t>043590</t>
        </is>
      </c>
      <c r="E86" s="29" t="inlineStr">
        <is>
          <t>KOSDAQ</t>
        </is>
      </c>
      <c r="F86" s="29" t="inlineStr">
        <is>
          <t>IDM/제조/메모리</t>
        </is>
      </c>
      <c r="G86" s="29" t="inlineStr">
        <is>
          <t>IDM/제조/메모리</t>
        </is>
      </c>
      <c r="H86" s="29" t="inlineStr">
        <is>
          <t>False</t>
        </is>
      </c>
      <c r="I86" s="29" t="inlineStr">
        <is>
          <t>True</t>
        </is>
      </c>
      <c r="J86" s="29" t="inlineStr">
        <is>
          <t>OK</t>
        </is>
      </c>
      <c r="K86" s="29" t="inlineStr">
        <is>
          <t>데이터 사용 가능</t>
        </is>
      </c>
      <c r="L86" s="29" t="inlineStr">
        <is>
          <t>LOW</t>
        </is>
      </c>
      <c r="M86" s="29" t="inlineStr">
        <is>
          <t>LOW</t>
        </is>
      </c>
      <c r="N86" s="29" t="inlineStr">
        <is>
          <t>0.5086666666666667</t>
        </is>
      </c>
      <c r="O86" s="29" t="inlineStr">
        <is>
          <t>FAIR</t>
        </is>
      </c>
      <c r="P86" s="29" t="inlineStr">
        <is>
          <t>FAIR</t>
        </is>
      </c>
      <c r="Q86" s="29" t="inlineStr">
        <is>
          <t>FAIR</t>
        </is>
      </c>
      <c r="R86" s="29" t="inlineStr">
        <is>
          <t>0.7753200487478359</t>
        </is>
      </c>
      <c r="S86" s="29" t="inlineStr">
        <is>
          <t>HIGH</t>
        </is>
      </c>
      <c r="T86" s="29" t="inlineStr">
        <is>
          <t>HIGH</t>
        </is>
      </c>
      <c r="U86" s="29" t="inlineStr">
        <is>
          <t>0.7142857142857143</t>
        </is>
      </c>
      <c r="V86" s="29" t="inlineStr">
        <is>
          <t>HIGH_RISK</t>
        </is>
      </c>
      <c r="W86" s="29" t="inlineStr">
        <is>
          <t>고위험</t>
        </is>
      </c>
      <c r="X86" s="29" t="inlineStr">
        <is>
          <t>HIGH_RISK</t>
        </is>
      </c>
      <c r="Y86" s="29" t="inlineStr">
        <is>
          <t>0.947839296487721</t>
        </is>
      </c>
      <c r="Z86" s="29" t="inlineStr">
        <is>
          <t>HIGH</t>
        </is>
      </c>
      <c r="AA86" s="29" t="inlineStr">
        <is>
          <t>HIGH</t>
        </is>
      </c>
      <c r="AB86" s="29" t="inlineStr">
        <is>
          <t>0.081041930024575</t>
        </is>
      </c>
      <c r="AC86" s="29" t="inlineStr">
        <is>
          <t>False</t>
        </is>
      </c>
      <c r="AD86" s="29" t="inlineStr">
        <is>
          <t>False</t>
        </is>
      </c>
      <c r="AE86" s="29" t="inlineStr">
        <is>
          <t>valuation_credit_ml_overlay_candidate.csv</t>
        </is>
      </c>
      <c r="AF86" s="29" t="inlineStr">
        <is>
          <t>208개 반도체 reference universe. Valuation Agent가 자체 intake 폴더로 복제해 Peer/ML/대시보드 비교에 사용.</t>
        </is>
      </c>
    </row>
    <row r="87" ht="24" customHeight="1">
      <c r="A87" s="24" t="inlineStr">
        <is>
          <t>35</t>
        </is>
      </c>
      <c r="B87" s="24" t="inlineStr">
        <is>
          <t>해당 없음</t>
        </is>
      </c>
      <c r="C87" s="24" t="inlineStr">
        <is>
          <t>테크엘</t>
        </is>
      </c>
      <c r="D87" s="24" t="inlineStr">
        <is>
          <t>064520</t>
        </is>
      </c>
      <c r="E87" s="24" t="inlineStr">
        <is>
          <t>KOSDAQ</t>
        </is>
      </c>
      <c r="F87" s="24" t="inlineStr">
        <is>
          <t>IDM/제조/메모리</t>
        </is>
      </c>
      <c r="G87" s="24" t="inlineStr">
        <is>
          <t>IDM/제조/메모리</t>
        </is>
      </c>
      <c r="H87" s="24" t="inlineStr">
        <is>
          <t>False</t>
        </is>
      </c>
      <c r="I87" s="24" t="inlineStr">
        <is>
          <t>True</t>
        </is>
      </c>
      <c r="J87" s="24" t="inlineStr">
        <is>
          <t>OK</t>
        </is>
      </c>
      <c r="K87" s="24" t="inlineStr">
        <is>
          <t>데이터 사용 가능</t>
        </is>
      </c>
      <c r="L87" s="24" t="inlineStr">
        <is>
          <t>LOW</t>
        </is>
      </c>
      <c r="M87" s="24" t="inlineStr">
        <is>
          <t>LOW</t>
        </is>
      </c>
      <c r="N87" s="24" t="inlineStr">
        <is>
          <t>0.4756666666666667</t>
        </is>
      </c>
      <c r="O87" s="24" t="inlineStr">
        <is>
          <t>FAIR</t>
        </is>
      </c>
      <c r="P87" s="24" t="inlineStr">
        <is>
          <t>FAIR</t>
        </is>
      </c>
      <c r="Q87" s="24" t="inlineStr">
        <is>
          <t>FAIR</t>
        </is>
      </c>
      <c r="R87" s="24" t="inlineStr">
        <is>
          <t>0.7806095936743286</t>
        </is>
      </c>
      <c r="S87" s="24" t="inlineStr">
        <is>
          <t>HIGH</t>
        </is>
      </c>
      <c r="T87" s="24" t="inlineStr">
        <is>
          <t>HIGH</t>
        </is>
      </c>
      <c r="U87" s="24" t="inlineStr">
        <is>
          <t>0.5</t>
        </is>
      </c>
      <c r="V87" s="24" t="inlineStr">
        <is>
          <t>HIGH_RISK</t>
        </is>
      </c>
      <c r="W87" s="24" t="inlineStr">
        <is>
          <t>고위험</t>
        </is>
      </c>
      <c r="X87" s="24" t="inlineStr">
        <is>
          <t>HIGH_RISK</t>
        </is>
      </c>
      <c r="Y87" s="24" t="inlineStr">
        <is>
          <t>0.8561648968032103</t>
        </is>
      </c>
      <c r="Z87" s="24" t="inlineStr">
        <is>
          <t>HIGH</t>
        </is>
      </c>
      <c r="AA87" s="24" t="inlineStr">
        <is>
          <t>HIGH</t>
        </is>
      </c>
      <c r="AB87" s="24" t="inlineStr">
        <is>
          <t>0.5330742789427354</t>
        </is>
      </c>
      <c r="AC87" s="24" t="inlineStr">
        <is>
          <t>True</t>
        </is>
      </c>
      <c r="AD87" s="24" t="inlineStr">
        <is>
          <t>True</t>
        </is>
      </c>
      <c r="AE87" s="24" t="inlineStr">
        <is>
          <t>valuation_credit_ml_overlay_candidate.csv</t>
        </is>
      </c>
      <c r="AF87" s="24" t="inlineStr">
        <is>
          <t>208개 반도체 reference universe. Valuation Agent가 자체 intake 폴더로 복제해 Peer/ML/대시보드 비교에 사용.</t>
        </is>
      </c>
    </row>
    <row r="88" ht="24" customHeight="1">
      <c r="A88" s="29" t="inlineStr">
        <is>
          <t>14</t>
        </is>
      </c>
      <c r="B88" s="29" t="inlineStr">
        <is>
          <t>해당 없음</t>
        </is>
      </c>
      <c r="C88" s="29" t="inlineStr">
        <is>
          <t>서울반도체</t>
        </is>
      </c>
      <c r="D88" s="29" t="inlineStr">
        <is>
          <t>046890</t>
        </is>
      </c>
      <c r="E88" s="29" t="inlineStr">
        <is>
          <t>KOSDAQ GLOBAL</t>
        </is>
      </c>
      <c r="F88" s="29" t="inlineStr">
        <is>
          <t>IDM/제조/메모리</t>
        </is>
      </c>
      <c r="G88" s="29" t="inlineStr">
        <is>
          <t>IDM/제조/메모리</t>
        </is>
      </c>
      <c r="H88" s="29" t="inlineStr">
        <is>
          <t>False</t>
        </is>
      </c>
      <c r="I88" s="29" t="inlineStr">
        <is>
          <t>True</t>
        </is>
      </c>
      <c r="J88" s="29" t="inlineStr">
        <is>
          <t>OK</t>
        </is>
      </c>
      <c r="K88" s="29" t="inlineStr">
        <is>
          <t>데이터 사용 가능</t>
        </is>
      </c>
      <c r="L88" s="29" t="inlineStr">
        <is>
          <t>LOW</t>
        </is>
      </c>
      <c r="M88" s="29" t="inlineStr">
        <is>
          <t>LOW</t>
        </is>
      </c>
      <c r="N88" s="29" t="inlineStr">
        <is>
          <t>0.4713333333333333</t>
        </is>
      </c>
      <c r="O88" s="29" t="inlineStr">
        <is>
          <t>FAIR</t>
        </is>
      </c>
      <c r="P88" s="29" t="inlineStr">
        <is>
          <t>FAIR</t>
        </is>
      </c>
      <c r="Q88" s="29" t="inlineStr">
        <is>
          <t>FAIR</t>
        </is>
      </c>
      <c r="R88" s="29" t="inlineStr">
        <is>
          <t>0.8223266790603506</t>
        </is>
      </c>
      <c r="S88" s="29" t="inlineStr">
        <is>
          <t>HIGH</t>
        </is>
      </c>
      <c r="T88" s="29" t="inlineStr">
        <is>
          <t>HIGH</t>
        </is>
      </c>
      <c r="U88" s="29" t="inlineStr">
        <is>
          <t>0.4285714285714285</t>
        </is>
      </c>
      <c r="V88" s="29" t="inlineStr">
        <is>
          <t>HIGH_RISK</t>
        </is>
      </c>
      <c r="W88" s="29" t="inlineStr">
        <is>
          <t>고위험</t>
        </is>
      </c>
      <c r="X88" s="29" t="inlineStr">
        <is>
          <t>HIGH_RISK</t>
        </is>
      </c>
      <c r="Y88" s="29" t="inlineStr">
        <is>
          <t>0.4638497062404094</t>
        </is>
      </c>
      <c r="Z88" s="29" t="inlineStr">
        <is>
          <t>LOW</t>
        </is>
      </c>
      <c r="AA88" s="29" t="inlineStr">
        <is>
          <t>LOW</t>
        </is>
      </c>
      <c r="AB88" s="29" t="inlineStr">
        <is>
          <t>0.03475805140959721</t>
        </is>
      </c>
      <c r="AC88" s="29" t="inlineStr">
        <is>
          <t>False</t>
        </is>
      </c>
      <c r="AD88" s="29" t="inlineStr">
        <is>
          <t>True</t>
        </is>
      </c>
      <c r="AE88" s="29" t="inlineStr">
        <is>
          <t>valuation_credit_ml_overlay_candidate.csv</t>
        </is>
      </c>
      <c r="AF88" s="29" t="inlineStr">
        <is>
          <t>208개 반도체 reference universe. Valuation Agent가 자체 intake 폴더로 복제해 Peer/ML/대시보드 비교에 사용.</t>
        </is>
      </c>
    </row>
    <row r="89" ht="24" customHeight="1">
      <c r="A89" s="24" t="inlineStr">
        <is>
          <t>2</t>
        </is>
      </c>
      <c r="B89" s="24" t="inlineStr">
        <is>
          <t>해당 없음</t>
        </is>
      </c>
      <c r="C89" s="24" t="inlineStr">
        <is>
          <t>HD현대에너지솔루션</t>
        </is>
      </c>
      <c r="D89" s="24" t="inlineStr">
        <is>
          <t>322000</t>
        </is>
      </c>
      <c r="E89" s="24" t="inlineStr">
        <is>
          <t>KOSPI</t>
        </is>
      </c>
      <c r="F89" s="24" t="inlineStr">
        <is>
          <t>IDM/제조/메모리</t>
        </is>
      </c>
      <c r="G89" s="24" t="inlineStr">
        <is>
          <t>IDM/제조/메모리</t>
        </is>
      </c>
      <c r="H89" s="24" t="inlineStr">
        <is>
          <t>False</t>
        </is>
      </c>
      <c r="I89" s="24" t="inlineStr">
        <is>
          <t>True</t>
        </is>
      </c>
      <c r="J89" s="24" t="inlineStr">
        <is>
          <t>OK</t>
        </is>
      </c>
      <c r="K89" s="24" t="inlineStr">
        <is>
          <t>데이터 사용 가능</t>
        </is>
      </c>
      <c r="L89" s="24" t="inlineStr">
        <is>
          <t>LOW</t>
        </is>
      </c>
      <c r="M89" s="24" t="inlineStr">
        <is>
          <t>LOW</t>
        </is>
      </c>
      <c r="N89" s="24" t="inlineStr">
        <is>
          <t>0.465</t>
        </is>
      </c>
      <c r="O89" s="24" t="inlineStr">
        <is>
          <t>FAIR</t>
        </is>
      </c>
      <c r="P89" s="24" t="inlineStr">
        <is>
          <t>FAIR</t>
        </is>
      </c>
      <c r="Q89" s="24" t="inlineStr">
        <is>
          <t>FAIR</t>
        </is>
      </c>
      <c r="R89" s="24" t="inlineStr">
        <is>
          <t>0.6226975287022534</t>
        </is>
      </c>
      <c r="S89" s="24" t="inlineStr">
        <is>
          <t>MEDIUM</t>
        </is>
      </c>
      <c r="T89" s="24" t="inlineStr">
        <is>
          <t>MEDIUM</t>
        </is>
      </c>
      <c r="U89" s="24" t="inlineStr">
        <is>
          <t>0.1428571428571428</t>
        </is>
      </c>
      <c r="V89" s="24" t="inlineStr">
        <is>
          <t>LOW_RISK</t>
        </is>
      </c>
      <c r="W89" s="24" t="inlineStr">
        <is>
          <t>저위험</t>
        </is>
      </c>
      <c r="X89" s="24" t="inlineStr">
        <is>
          <t>LOW_RISK</t>
        </is>
      </c>
      <c r="Y89" s="24" t="inlineStr">
        <is>
          <t>0.7991918320073205</t>
        </is>
      </c>
      <c r="Z89" s="24" t="inlineStr">
        <is>
          <t>HIGH</t>
        </is>
      </c>
      <c r="AA89" s="24" t="inlineStr">
        <is>
          <t>HIGH</t>
        </is>
      </c>
      <c r="AB89" s="24" t="inlineStr">
        <is>
          <t>0.09437249653360377</t>
        </is>
      </c>
      <c r="AC89" s="24" t="inlineStr">
        <is>
          <t>False</t>
        </is>
      </c>
      <c r="AD89" s="24" t="inlineStr">
        <is>
          <t>False</t>
        </is>
      </c>
      <c r="AE89" s="24" t="inlineStr">
        <is>
          <t>valuation_credit_ml_overlay_candidate.csv</t>
        </is>
      </c>
      <c r="AF89" s="24" t="inlineStr">
        <is>
          <t>208개 반도체 reference universe. Valuation Agent가 자체 intake 폴더로 복제해 Peer/ML/대시보드 비교에 사용.</t>
        </is>
      </c>
    </row>
    <row r="90" ht="24" customHeight="1">
      <c r="A90" s="29" t="inlineStr">
        <is>
          <t>25</t>
        </is>
      </c>
      <c r="B90" s="29" t="inlineStr">
        <is>
          <t>해당 없음</t>
        </is>
      </c>
      <c r="C90" s="29" t="inlineStr">
        <is>
          <t>와이투솔루션</t>
        </is>
      </c>
      <c r="D90" s="29" t="inlineStr">
        <is>
          <t>011690</t>
        </is>
      </c>
      <c r="E90" s="29" t="inlineStr">
        <is>
          <t>KOSPI</t>
        </is>
      </c>
      <c r="F90" s="29" t="inlineStr">
        <is>
          <t>IDM/제조/메모리</t>
        </is>
      </c>
      <c r="G90" s="29" t="inlineStr">
        <is>
          <t>IDM/제조/메모리</t>
        </is>
      </c>
      <c r="H90" s="29" t="inlineStr">
        <is>
          <t>False</t>
        </is>
      </c>
      <c r="I90" s="29" t="inlineStr">
        <is>
          <t>True</t>
        </is>
      </c>
      <c r="J90" s="29" t="inlineStr">
        <is>
          <t>OK</t>
        </is>
      </c>
      <c r="K90" s="29" t="inlineStr">
        <is>
          <t>데이터 사용 가능</t>
        </is>
      </c>
      <c r="L90" s="29" t="inlineStr">
        <is>
          <t>LOW</t>
        </is>
      </c>
      <c r="M90" s="29" t="inlineStr">
        <is>
          <t>LOW</t>
        </is>
      </c>
      <c r="N90" s="29" t="inlineStr">
        <is>
          <t>0.4601666666666666</t>
        </is>
      </c>
      <c r="O90" s="29" t="inlineStr">
        <is>
          <t>FAIR</t>
        </is>
      </c>
      <c r="P90" s="29" t="inlineStr">
        <is>
          <t>FAIR</t>
        </is>
      </c>
      <c r="Q90" s="29" t="inlineStr">
        <is>
          <t>FAIR</t>
        </is>
      </c>
      <c r="R90" s="29" t="inlineStr">
        <is>
          <t>0.7379153959384467</t>
        </is>
      </c>
      <c r="S90" s="29" t="inlineStr">
        <is>
          <t>HIGH</t>
        </is>
      </c>
      <c r="T90" s="29" t="inlineStr">
        <is>
          <t>HIGH</t>
        </is>
      </c>
      <c r="U90" s="29" t="inlineStr">
        <is>
          <t>0.5714285714285714</t>
        </is>
      </c>
      <c r="V90" s="29" t="inlineStr">
        <is>
          <t>HIGH_RISK</t>
        </is>
      </c>
      <c r="W90" s="29" t="inlineStr">
        <is>
          <t>고위험</t>
        </is>
      </c>
      <c r="X90" s="29" t="inlineStr">
        <is>
          <t>HIGH_RISK</t>
        </is>
      </c>
      <c r="Y90" s="29" t="inlineStr">
        <is>
          <t>0.8423633310679534</t>
        </is>
      </c>
      <c r="Z90" s="29" t="inlineStr">
        <is>
          <t>HIGH</t>
        </is>
      </c>
      <c r="AA90" s="29" t="inlineStr">
        <is>
          <t>HIGH</t>
        </is>
      </c>
      <c r="AB90" s="29" t="inlineStr">
        <is>
          <t>0.03670855345736708</t>
        </is>
      </c>
      <c r="AC90" s="29" t="inlineStr">
        <is>
          <t>False</t>
        </is>
      </c>
      <c r="AD90" s="29" t="inlineStr">
        <is>
          <t>False</t>
        </is>
      </c>
      <c r="AE90" s="29" t="inlineStr">
        <is>
          <t>valuation_credit_ml_overlay_candidate.csv</t>
        </is>
      </c>
      <c r="AF90" s="29" t="inlineStr">
        <is>
          <t>208개 반도체 reference universe. Valuation Agent가 자체 intake 폴더로 복제해 Peer/ML/대시보드 비교에 사용.</t>
        </is>
      </c>
    </row>
    <row r="91" ht="24" customHeight="1">
      <c r="A91" s="24" t="inlineStr">
        <is>
          <t>16</t>
        </is>
      </c>
      <c r="B91" s="24" t="inlineStr">
        <is>
          <t>해당 없음</t>
        </is>
      </c>
      <c r="C91" s="24" t="inlineStr">
        <is>
          <t>신성이엔지</t>
        </is>
      </c>
      <c r="D91" s="24" t="inlineStr">
        <is>
          <t>011930</t>
        </is>
      </c>
      <c r="E91" s="24" t="inlineStr">
        <is>
          <t>KOSPI</t>
        </is>
      </c>
      <c r="F91" s="24" t="inlineStr">
        <is>
          <t>IDM/제조/메모리</t>
        </is>
      </c>
      <c r="G91" s="24" t="inlineStr">
        <is>
          <t>IDM/제조/메모리</t>
        </is>
      </c>
      <c r="H91" s="24" t="inlineStr">
        <is>
          <t>False</t>
        </is>
      </c>
      <c r="I91" s="24" t="inlineStr">
        <is>
          <t>True</t>
        </is>
      </c>
      <c r="J91" s="24" t="inlineStr">
        <is>
          <t>OK</t>
        </is>
      </c>
      <c r="K91" s="24" t="inlineStr">
        <is>
          <t>데이터 사용 가능</t>
        </is>
      </c>
      <c r="L91" s="24" t="inlineStr">
        <is>
          <t>LOW</t>
        </is>
      </c>
      <c r="M91" s="24" t="inlineStr">
        <is>
          <t>LOW</t>
        </is>
      </c>
      <c r="N91" s="24" t="inlineStr">
        <is>
          <t>0.4551666666666667</t>
        </is>
      </c>
      <c r="O91" s="24" t="inlineStr">
        <is>
          <t>FAIR</t>
        </is>
      </c>
      <c r="P91" s="24" t="inlineStr">
        <is>
          <t>FAIR</t>
        </is>
      </c>
      <c r="Q91" s="24" t="inlineStr">
        <is>
          <t>FAIR</t>
        </is>
      </c>
      <c r="R91" s="24" t="inlineStr">
        <is>
          <t>0.7610157176994289</t>
        </is>
      </c>
      <c r="S91" s="24" t="inlineStr">
        <is>
          <t>HIGH</t>
        </is>
      </c>
      <c r="T91" s="24" t="inlineStr">
        <is>
          <t>HIGH</t>
        </is>
      </c>
      <c r="U91" s="24" t="inlineStr">
        <is>
          <t>0.5714285714285714</t>
        </is>
      </c>
      <c r="V91" s="24" t="inlineStr">
        <is>
          <t>HIGH_RISK</t>
        </is>
      </c>
      <c r="W91" s="24" t="inlineStr">
        <is>
          <t>고위험</t>
        </is>
      </c>
      <c r="X91" s="24" t="inlineStr">
        <is>
          <t>HIGH_RISK</t>
        </is>
      </c>
      <c r="Y91" s="24" t="inlineStr">
        <is>
          <t>0.8294308064443926</t>
        </is>
      </c>
      <c r="Z91" s="24" t="inlineStr">
        <is>
          <t>HIGH</t>
        </is>
      </c>
      <c r="AA91" s="24" t="inlineStr">
        <is>
          <t>HIGH</t>
        </is>
      </c>
      <c r="AB91" s="24" t="inlineStr">
        <is>
          <t>0.06151448502214275</t>
        </is>
      </c>
      <c r="AC91" s="24" t="inlineStr">
        <is>
          <t>False</t>
        </is>
      </c>
      <c r="AD91" s="24" t="inlineStr">
        <is>
          <t>False</t>
        </is>
      </c>
      <c r="AE91" s="24" t="inlineStr">
        <is>
          <t>valuation_credit_ml_overlay_candidate.csv</t>
        </is>
      </c>
      <c r="AF91" s="24" t="inlineStr">
        <is>
          <t>208개 반도체 reference universe. Valuation Agent가 자체 intake 폴더로 복제해 Peer/ML/대시보드 비교에 사용.</t>
        </is>
      </c>
    </row>
    <row r="92" ht="24" customHeight="1">
      <c r="A92" s="29" t="inlineStr">
        <is>
          <t>3</t>
        </is>
      </c>
      <c r="B92" s="29" t="inlineStr">
        <is>
          <t>해당 없음</t>
        </is>
      </c>
      <c r="C92" s="29" t="inlineStr">
        <is>
          <t>KEC</t>
        </is>
      </c>
      <c r="D92" s="29" t="inlineStr">
        <is>
          <t>092220</t>
        </is>
      </c>
      <c r="E92" s="29" t="inlineStr">
        <is>
          <t>KOSPI</t>
        </is>
      </c>
      <c r="F92" s="29" t="inlineStr">
        <is>
          <t>IDM/제조/메모리</t>
        </is>
      </c>
      <c r="G92" s="29" t="inlineStr">
        <is>
          <t>IDM/제조/메모리</t>
        </is>
      </c>
      <c r="H92" s="29" t="inlineStr">
        <is>
          <t>False</t>
        </is>
      </c>
      <c r="I92" s="29" t="inlineStr">
        <is>
          <t>True</t>
        </is>
      </c>
      <c r="J92" s="29" t="inlineStr">
        <is>
          <t>OK</t>
        </is>
      </c>
      <c r="K92" s="29" t="inlineStr">
        <is>
          <t>데이터 사용 가능</t>
        </is>
      </c>
      <c r="L92" s="29" t="inlineStr">
        <is>
          <t>LOW</t>
        </is>
      </c>
      <c r="M92" s="29" t="inlineStr">
        <is>
          <t>LOW</t>
        </is>
      </c>
      <c r="N92" s="29" t="inlineStr">
        <is>
          <t>0.4550000000000001</t>
        </is>
      </c>
      <c r="O92" s="29" t="inlineStr">
        <is>
          <t>FAIR</t>
        </is>
      </c>
      <c r="P92" s="29" t="inlineStr">
        <is>
          <t>FAIR</t>
        </is>
      </c>
      <c r="Q92" s="29" t="inlineStr">
        <is>
          <t>FAIR</t>
        </is>
      </c>
      <c r="R92" s="29" t="inlineStr">
        <is>
          <t>0.7937660338126779</t>
        </is>
      </c>
      <c r="S92" s="29" t="inlineStr">
        <is>
          <t>HIGH</t>
        </is>
      </c>
      <c r="T92" s="29" t="inlineStr">
        <is>
          <t>HIGH</t>
        </is>
      </c>
      <c r="U92" s="29" t="inlineStr">
        <is>
          <t>0.5</t>
        </is>
      </c>
      <c r="V92" s="29" t="inlineStr">
        <is>
          <t>HIGH_RISK</t>
        </is>
      </c>
      <c r="W92" s="29" t="inlineStr">
        <is>
          <t>고위험</t>
        </is>
      </c>
      <c r="X92" s="29" t="inlineStr">
        <is>
          <t>HIGH_RISK</t>
        </is>
      </c>
      <c r="Y92" s="29" t="inlineStr">
        <is>
          <t>0.7303610104178266</t>
        </is>
      </c>
      <c r="Z92" s="29" t="inlineStr">
        <is>
          <t>HIGH</t>
        </is>
      </c>
      <c r="AA92" s="29" t="inlineStr">
        <is>
          <t>HIGH</t>
        </is>
      </c>
      <c r="AB92" s="29" t="inlineStr">
        <is>
          <t>0.053989845114113894</t>
        </is>
      </c>
      <c r="AC92" s="29" t="inlineStr">
        <is>
          <t>False</t>
        </is>
      </c>
      <c r="AD92" s="29" t="inlineStr">
        <is>
          <t>False</t>
        </is>
      </c>
      <c r="AE92" s="29" t="inlineStr">
        <is>
          <t>valuation_credit_ml_overlay_candidate.csv</t>
        </is>
      </c>
      <c r="AF92" s="29" t="inlineStr">
        <is>
          <t>208개 반도체 reference universe. Valuation Agent가 자체 intake 폴더로 복제해 Peer/ML/대시보드 비교에 사용.</t>
        </is>
      </c>
    </row>
    <row r="93" ht="24" customHeight="1">
      <c r="A93" s="24" t="inlineStr">
        <is>
          <t>28</t>
        </is>
      </c>
      <c r="B93" s="24" t="inlineStr">
        <is>
          <t>해당 없음</t>
        </is>
      </c>
      <c r="C93" s="24" t="inlineStr">
        <is>
          <t>일진디스플</t>
        </is>
      </c>
      <c r="D93" s="24" t="inlineStr">
        <is>
          <t>020760</t>
        </is>
      </c>
      <c r="E93" s="24" t="inlineStr">
        <is>
          <t>KOSPI</t>
        </is>
      </c>
      <c r="F93" s="24" t="inlineStr">
        <is>
          <t>IDM/제조/메모리</t>
        </is>
      </c>
      <c r="G93" s="24" t="inlineStr">
        <is>
          <t>IDM/제조/메모리</t>
        </is>
      </c>
      <c r="H93" s="24" t="inlineStr">
        <is>
          <t>False</t>
        </is>
      </c>
      <c r="I93" s="24" t="inlineStr">
        <is>
          <t>True</t>
        </is>
      </c>
      <c r="J93" s="24" t="inlineStr">
        <is>
          <t>OK</t>
        </is>
      </c>
      <c r="K93" s="24" t="inlineStr">
        <is>
          <t>데이터 사용 가능</t>
        </is>
      </c>
      <c r="L93" s="24" t="inlineStr">
        <is>
          <t>LOW</t>
        </is>
      </c>
      <c r="M93" s="24" t="inlineStr">
        <is>
          <t>LOW</t>
        </is>
      </c>
      <c r="N93" s="24" t="inlineStr">
        <is>
          <t>0.4335</t>
        </is>
      </c>
      <c r="O93" s="24" t="inlineStr">
        <is>
          <t>FAIR</t>
        </is>
      </c>
      <c r="P93" s="24" t="inlineStr">
        <is>
          <t>FAIR</t>
        </is>
      </c>
      <c r="Q93" s="24" t="inlineStr">
        <is>
          <t>FAIR</t>
        </is>
      </c>
      <c r="R93" s="24" t="inlineStr">
        <is>
          <t>0.7887205359697603</t>
        </is>
      </c>
      <c r="S93" s="24" t="inlineStr">
        <is>
          <t>HIGH</t>
        </is>
      </c>
      <c r="T93" s="24" t="inlineStr">
        <is>
          <t>HIGH</t>
        </is>
      </c>
      <c r="U93" s="24" t="inlineStr">
        <is>
          <t>0.6428571428571429</t>
        </is>
      </c>
      <c r="V93" s="24" t="inlineStr">
        <is>
          <t>HIGH_RISK</t>
        </is>
      </c>
      <c r="W93" s="24" t="inlineStr">
        <is>
          <t>고위험</t>
        </is>
      </c>
      <c r="X93" s="24" t="inlineStr">
        <is>
          <t>HIGH_RISK</t>
        </is>
      </c>
      <c r="Y93" s="24" t="inlineStr">
        <is>
          <t>0.8165793827285804</t>
        </is>
      </c>
      <c r="Z93" s="24" t="inlineStr">
        <is>
          <t>HIGH</t>
        </is>
      </c>
      <c r="AA93" s="24" t="inlineStr">
        <is>
          <t>HIGH</t>
        </is>
      </c>
      <c r="AB93" s="24" t="inlineStr">
        <is>
          <t>0.21528045597611217</t>
        </is>
      </c>
      <c r="AC93" s="24" t="inlineStr">
        <is>
          <t>False</t>
        </is>
      </c>
      <c r="AD93" s="24" t="inlineStr">
        <is>
          <t>False</t>
        </is>
      </c>
      <c r="AE93" s="24" t="inlineStr">
        <is>
          <t>valuation_credit_ml_overlay_candidate.csv</t>
        </is>
      </c>
      <c r="AF93" s="24" t="inlineStr">
        <is>
          <t>208개 반도체 reference universe. Valuation Agent가 자체 intake 폴더로 복제해 Peer/ML/대시보드 비교에 사용.</t>
        </is>
      </c>
    </row>
    <row r="94" ht="24" customHeight="1">
      <c r="A94" s="29" t="inlineStr">
        <is>
          <t>7</t>
        </is>
      </c>
      <c r="B94" s="29" t="inlineStr">
        <is>
          <t>해당 없음</t>
        </is>
      </c>
      <c r="C94" s="29" t="inlineStr">
        <is>
          <t>덕산하이메탈</t>
        </is>
      </c>
      <c r="D94" s="29" t="inlineStr">
        <is>
          <t>077360</t>
        </is>
      </c>
      <c r="E94" s="29" t="inlineStr">
        <is>
          <t>KOSDAQ</t>
        </is>
      </c>
      <c r="F94" s="29" t="inlineStr">
        <is>
          <t>IDM/제조/메모리</t>
        </is>
      </c>
      <c r="G94" s="29" t="inlineStr">
        <is>
          <t>IDM/제조/메모리</t>
        </is>
      </c>
      <c r="H94" s="29" t="inlineStr">
        <is>
          <t>False</t>
        </is>
      </c>
      <c r="I94" s="29" t="inlineStr">
        <is>
          <t>True</t>
        </is>
      </c>
      <c r="J94" s="29" t="inlineStr">
        <is>
          <t>OK</t>
        </is>
      </c>
      <c r="K94" s="29" t="inlineStr">
        <is>
          <t>데이터 사용 가능</t>
        </is>
      </c>
      <c r="L94" s="29" t="inlineStr">
        <is>
          <t>LOW</t>
        </is>
      </c>
      <c r="M94" s="29" t="inlineStr">
        <is>
          <t>LOW</t>
        </is>
      </c>
      <c r="N94" s="29" t="inlineStr">
        <is>
          <t>0.4333333333333333</t>
        </is>
      </c>
      <c r="O94" s="29" t="inlineStr">
        <is>
          <t>FAIR</t>
        </is>
      </c>
      <c r="P94" s="29" t="inlineStr">
        <is>
          <t>FAIR</t>
        </is>
      </c>
      <c r="Q94" s="29" t="inlineStr">
        <is>
          <t>FAIR</t>
        </is>
      </c>
      <c r="R94" s="29" t="inlineStr">
        <is>
          <t>0.6698541971057747</t>
        </is>
      </c>
      <c r="S94" s="29" t="inlineStr">
        <is>
          <t>MEDIUM</t>
        </is>
      </c>
      <c r="T94" s="29" t="inlineStr">
        <is>
          <t>MEDIUM</t>
        </is>
      </c>
      <c r="U94" s="29" t="inlineStr">
        <is>
          <t>0.2857142857142857</t>
        </is>
      </c>
      <c r="V94" s="29" t="inlineStr">
        <is>
          <t>MEDIUM_RISK</t>
        </is>
      </c>
      <c r="W94" s="29" t="inlineStr">
        <is>
          <t>중위험</t>
        </is>
      </c>
      <c r="X94" s="29" t="inlineStr">
        <is>
          <t>MEDIUM_RISK</t>
        </is>
      </c>
      <c r="Y94" s="29" t="inlineStr">
        <is>
          <t>0.6576042698954024</t>
        </is>
      </c>
      <c r="Z94" s="29" t="inlineStr">
        <is>
          <t>MEDIUM</t>
        </is>
      </c>
      <c r="AA94" s="29" t="inlineStr">
        <is>
          <t>MEDIUM</t>
        </is>
      </c>
      <c r="AB94" s="29" t="inlineStr">
        <is>
          <t>0.07260471392088348</t>
        </is>
      </c>
      <c r="AC94" s="29" t="inlineStr">
        <is>
          <t>False</t>
        </is>
      </c>
      <c r="AD94" s="29" t="inlineStr">
        <is>
          <t>False</t>
        </is>
      </c>
      <c r="AE94" s="29" t="inlineStr">
        <is>
          <t>valuation_credit_ml_overlay_candidate.csv</t>
        </is>
      </c>
      <c r="AF94" s="29" t="inlineStr">
        <is>
          <t>208개 반도체 reference universe. Valuation Agent가 자체 intake 폴더로 복제해 Peer/ML/대시보드 비교에 사용.</t>
        </is>
      </c>
    </row>
    <row r="95" ht="24" customHeight="1">
      <c r="A95" s="24" t="inlineStr">
        <is>
          <t>20</t>
        </is>
      </c>
      <c r="B95" s="24" t="inlineStr">
        <is>
          <t>해당 없음</t>
        </is>
      </c>
      <c r="C95" s="24" t="inlineStr">
        <is>
          <t>에이디테크놀로지</t>
        </is>
      </c>
      <c r="D95" s="24" t="inlineStr">
        <is>
          <t>200710</t>
        </is>
      </c>
      <c r="E95" s="24" t="inlineStr">
        <is>
          <t>KOSDAQ</t>
        </is>
      </c>
      <c r="F95" s="24" t="inlineStr">
        <is>
          <t>IDM/제조/메모리</t>
        </is>
      </c>
      <c r="G95" s="24" t="inlineStr">
        <is>
          <t>IDM/제조/메모리</t>
        </is>
      </c>
      <c r="H95" s="24" t="inlineStr">
        <is>
          <t>False</t>
        </is>
      </c>
      <c r="I95" s="24" t="inlineStr">
        <is>
          <t>True</t>
        </is>
      </c>
      <c r="J95" s="24" t="inlineStr">
        <is>
          <t>OK</t>
        </is>
      </c>
      <c r="K95" s="24" t="inlineStr">
        <is>
          <t>데이터 사용 가능</t>
        </is>
      </c>
      <c r="L95" s="24" t="inlineStr">
        <is>
          <t>LOW</t>
        </is>
      </c>
      <c r="M95" s="24" t="inlineStr">
        <is>
          <t>LOW</t>
        </is>
      </c>
      <c r="N95" s="24" t="inlineStr">
        <is>
          <t>0.4271666666666666</t>
        </is>
      </c>
      <c r="O95" s="24" t="inlineStr">
        <is>
          <t>FAIR</t>
        </is>
      </c>
      <c r="P95" s="24" t="inlineStr">
        <is>
          <t>FAIR</t>
        </is>
      </c>
      <c r="Q95" s="24" t="inlineStr">
        <is>
          <t>FAIR</t>
        </is>
      </c>
      <c r="R95" s="24" t="inlineStr">
        <is>
          <t>0.6637416757093363</t>
        </is>
      </c>
      <c r="S95" s="24" t="inlineStr">
        <is>
          <t>MEDIUM</t>
        </is>
      </c>
      <c r="T95" s="24" t="inlineStr">
        <is>
          <t>MEDIUM</t>
        </is>
      </c>
      <c r="U95" s="24" t="inlineStr">
        <is>
          <t>0.2857142857142857</t>
        </is>
      </c>
      <c r="V95" s="24" t="inlineStr">
        <is>
          <t>MEDIUM_RISK</t>
        </is>
      </c>
      <c r="W95" s="24" t="inlineStr">
        <is>
          <t>중위험</t>
        </is>
      </c>
      <c r="X95" s="24" t="inlineStr">
        <is>
          <t>MEDIUM_RISK</t>
        </is>
      </c>
      <c r="Y95" s="24" t="inlineStr">
        <is>
          <t>0.4528354914042248</t>
        </is>
      </c>
      <c r="Z95" s="24" t="inlineStr">
        <is>
          <t>LOW</t>
        </is>
      </c>
      <c r="AA95" s="24" t="inlineStr">
        <is>
          <t>LOW</t>
        </is>
      </c>
      <c r="AB95" s="24" t="inlineStr">
        <is>
          <t>0.0588627097981607</t>
        </is>
      </c>
      <c r="AC95" s="24" t="inlineStr">
        <is>
          <t>False</t>
        </is>
      </c>
      <c r="AD95" s="24" t="inlineStr">
        <is>
          <t>True</t>
        </is>
      </c>
      <c r="AE95" s="24" t="inlineStr">
        <is>
          <t>valuation_credit_ml_overlay_candidate.csv</t>
        </is>
      </c>
      <c r="AF95" s="24" t="inlineStr">
        <is>
          <t>208개 반도체 reference universe. Valuation Agent가 자체 intake 폴더로 복제해 Peer/ML/대시보드 비교에 사용.</t>
        </is>
      </c>
    </row>
    <row r="96" ht="24" customHeight="1">
      <c r="A96" s="29" t="inlineStr">
        <is>
          <t>5</t>
        </is>
      </c>
      <c r="B96" s="29" t="inlineStr">
        <is>
          <t>해당 없음</t>
        </is>
      </c>
      <c r="C96" s="29" t="inlineStr">
        <is>
          <t>광전자</t>
        </is>
      </c>
      <c r="D96" s="29" t="inlineStr">
        <is>
          <t>017900</t>
        </is>
      </c>
      <c r="E96" s="29" t="inlineStr">
        <is>
          <t>KOSPI</t>
        </is>
      </c>
      <c r="F96" s="29" t="inlineStr">
        <is>
          <t>IDM/제조/메모리</t>
        </is>
      </c>
      <c r="G96" s="29" t="inlineStr">
        <is>
          <t>IDM/제조/메모리</t>
        </is>
      </c>
      <c r="H96" s="29" t="inlineStr">
        <is>
          <t>False</t>
        </is>
      </c>
      <c r="I96" s="29" t="inlineStr">
        <is>
          <t>True</t>
        </is>
      </c>
      <c r="J96" s="29" t="inlineStr">
        <is>
          <t>OK</t>
        </is>
      </c>
      <c r="K96" s="29" t="inlineStr">
        <is>
          <t>데이터 사용 가능</t>
        </is>
      </c>
      <c r="L96" s="29" t="inlineStr">
        <is>
          <t>LOW</t>
        </is>
      </c>
      <c r="M96" s="29" t="inlineStr">
        <is>
          <t>LOW</t>
        </is>
      </c>
      <c r="N96" s="29" t="inlineStr">
        <is>
          <t>0.4184166666666666</t>
        </is>
      </c>
      <c r="O96" s="29" t="inlineStr">
        <is>
          <t>EXPENSIVE</t>
        </is>
      </c>
      <c r="P96" s="29" t="inlineStr">
        <is>
          <t>EXPENSIVE</t>
        </is>
      </c>
      <c r="Q96" s="29" t="inlineStr">
        <is>
          <t>EXPENSIVE</t>
        </is>
      </c>
      <c r="R96" s="29" t="inlineStr">
        <is>
          <t>0.6817751829328556</t>
        </is>
      </c>
      <c r="S96" s="29" t="inlineStr">
        <is>
          <t>MEDIUM</t>
        </is>
      </c>
      <c r="T96" s="29" t="inlineStr">
        <is>
          <t>MEDIUM</t>
        </is>
      </c>
      <c r="U96" s="29" t="inlineStr">
        <is>
          <t>0.2142857142857142</t>
        </is>
      </c>
      <c r="V96" s="29" t="inlineStr">
        <is>
          <t>MEDIUM_RISK</t>
        </is>
      </c>
      <c r="W96" s="29" t="inlineStr">
        <is>
          <t>중위험</t>
        </is>
      </c>
      <c r="X96" s="29" t="inlineStr">
        <is>
          <t>LOW_RISK</t>
        </is>
      </c>
      <c r="Y96" s="29" t="inlineStr">
        <is>
          <t>0.4656539331033742</t>
        </is>
      </c>
      <c r="Z96" s="29" t="inlineStr">
        <is>
          <t>LOW</t>
        </is>
      </c>
      <c r="AA96" s="29" t="inlineStr">
        <is>
          <t>LOW</t>
        </is>
      </c>
      <c r="AB96" s="29" t="inlineStr">
        <is>
          <t>0.24789843408919227</t>
        </is>
      </c>
      <c r="AC96" s="29" t="inlineStr">
        <is>
          <t>True</t>
        </is>
      </c>
      <c r="AD96" s="29" t="inlineStr">
        <is>
          <t>True</t>
        </is>
      </c>
      <c r="AE96" s="29" t="inlineStr">
        <is>
          <t>valuation_credit_ml_overlay_candidate.csv</t>
        </is>
      </c>
      <c r="AF96" s="29" t="inlineStr">
        <is>
          <t>208개 반도체 reference universe. Valuation Agent가 자체 intake 폴더로 복제해 Peer/ML/대시보드 비교에 사용.</t>
        </is>
      </c>
    </row>
    <row r="97" ht="24" customHeight="1">
      <c r="A97" s="24" t="inlineStr">
        <is>
          <t>19</t>
        </is>
      </c>
      <c r="B97" s="24" t="inlineStr">
        <is>
          <t>해당 없음</t>
        </is>
      </c>
      <c r="C97" s="24" t="inlineStr">
        <is>
          <t>아진엑스텍</t>
        </is>
      </c>
      <c r="D97" s="24" t="inlineStr">
        <is>
          <t>059120</t>
        </is>
      </c>
      <c r="E97" s="24" t="inlineStr">
        <is>
          <t>KOSDAQ</t>
        </is>
      </c>
      <c r="F97" s="24" t="inlineStr">
        <is>
          <t>IDM/제조/메모리</t>
        </is>
      </c>
      <c r="G97" s="24" t="inlineStr">
        <is>
          <t>IDM/제조/메모리</t>
        </is>
      </c>
      <c r="H97" s="24" t="inlineStr">
        <is>
          <t>False</t>
        </is>
      </c>
      <c r="I97" s="24" t="inlineStr">
        <is>
          <t>True</t>
        </is>
      </c>
      <c r="J97" s="24" t="inlineStr">
        <is>
          <t>OK</t>
        </is>
      </c>
      <c r="K97" s="24" t="inlineStr">
        <is>
          <t>데이터 사용 가능</t>
        </is>
      </c>
      <c r="L97" s="24" t="inlineStr">
        <is>
          <t>LOW</t>
        </is>
      </c>
      <c r="M97" s="24" t="inlineStr">
        <is>
          <t>LOW</t>
        </is>
      </c>
      <c r="N97" s="24" t="inlineStr">
        <is>
          <t>0.4128333333333333</t>
        </is>
      </c>
      <c r="O97" s="24" t="inlineStr">
        <is>
          <t>EXPENSIVE</t>
        </is>
      </c>
      <c r="P97" s="24" t="inlineStr">
        <is>
          <t>EXPENSIVE</t>
        </is>
      </c>
      <c r="Q97" s="24" t="inlineStr">
        <is>
          <t>EXPENSIVE</t>
        </is>
      </c>
      <c r="R97" s="24" t="inlineStr">
        <is>
          <t>0.6635799672057409</t>
        </is>
      </c>
      <c r="S97" s="24" t="inlineStr">
        <is>
          <t>MEDIUM</t>
        </is>
      </c>
      <c r="T97" s="24" t="inlineStr">
        <is>
          <t>MEDIUM</t>
        </is>
      </c>
      <c r="U97" s="24" t="inlineStr">
        <is>
          <t>0.0714285714285714</t>
        </is>
      </c>
      <c r="V97" s="24" t="inlineStr">
        <is>
          <t>LOW_RISK</t>
        </is>
      </c>
      <c r="W97" s="24" t="inlineStr">
        <is>
          <t>저위험</t>
        </is>
      </c>
      <c r="X97" s="24" t="inlineStr">
        <is>
          <t>LOW_RISK</t>
        </is>
      </c>
      <c r="Y97" s="24" t="inlineStr">
        <is>
          <t>0.8000764213249202</t>
        </is>
      </c>
      <c r="Z97" s="24" t="inlineStr">
        <is>
          <t>HIGH</t>
        </is>
      </c>
      <c r="AA97" s="24" t="inlineStr">
        <is>
          <t>HIGH</t>
        </is>
      </c>
      <c r="AB97" s="24" t="inlineStr">
        <is>
          <t>0.21158533556078782</t>
        </is>
      </c>
      <c r="AC97" s="24" t="inlineStr">
        <is>
          <t>False</t>
        </is>
      </c>
      <c r="AD97" s="24" t="inlineStr">
        <is>
          <t>False</t>
        </is>
      </c>
      <c r="AE97" s="24" t="inlineStr">
        <is>
          <t>valuation_credit_ml_overlay_candidate.csv</t>
        </is>
      </c>
      <c r="AF97" s="24" t="inlineStr">
        <is>
          <t>208개 반도체 reference universe. Valuation Agent가 자체 intake 폴더로 복제해 Peer/ML/대시보드 비교에 사용.</t>
        </is>
      </c>
    </row>
    <row r="98" ht="24" customHeight="1">
      <c r="A98" s="29" t="inlineStr">
        <is>
          <t>33</t>
        </is>
      </c>
      <c r="B98" s="29" t="inlineStr">
        <is>
          <t>해당 없음</t>
        </is>
      </c>
      <c r="C98" s="29" t="inlineStr">
        <is>
          <t>코스텍시스</t>
        </is>
      </c>
      <c r="D98" s="29" t="inlineStr">
        <is>
          <t>355150</t>
        </is>
      </c>
      <c r="E98" s="29" t="inlineStr">
        <is>
          <t>KOSDAQ</t>
        </is>
      </c>
      <c r="F98" s="29" t="inlineStr">
        <is>
          <t>IDM/제조/메모리</t>
        </is>
      </c>
      <c r="G98" s="29" t="inlineStr">
        <is>
          <t>IDM/제조/메모리</t>
        </is>
      </c>
      <c r="H98" s="29" t="inlineStr">
        <is>
          <t>False</t>
        </is>
      </c>
      <c r="I98" s="29" t="inlineStr">
        <is>
          <t>True</t>
        </is>
      </c>
      <c r="J98" s="29" t="inlineStr">
        <is>
          <t>OK_LIMITED_HISTORY_OR_GROWTH_NA</t>
        </is>
      </c>
      <c r="K98" s="29" t="inlineStr">
        <is>
          <t>데이터 사용 가능</t>
        </is>
      </c>
      <c r="L98" s="29" t="inlineStr">
        <is>
          <t>LOW</t>
        </is>
      </c>
      <c r="M98" s="29" t="inlineStr">
        <is>
          <t>LOW</t>
        </is>
      </c>
      <c r="N98" s="29" t="inlineStr">
        <is>
          <t>0.4096666666666666</t>
        </is>
      </c>
      <c r="O98" s="29" t="inlineStr">
        <is>
          <t>EXPENSIVE</t>
        </is>
      </c>
      <c r="P98" s="29" t="inlineStr">
        <is>
          <t>EXPENSIVE</t>
        </is>
      </c>
      <c r="Q98" s="29" t="inlineStr">
        <is>
          <t>EXPENSIVE</t>
        </is>
      </c>
      <c r="R98" s="29" t="inlineStr">
        <is>
          <t>0.7518748972741711</t>
        </is>
      </c>
      <c r="S98" s="29" t="inlineStr">
        <is>
          <t>HIGH</t>
        </is>
      </c>
      <c r="T98" s="29" t="inlineStr">
        <is>
          <t>HIGH</t>
        </is>
      </c>
      <c r="U98" s="29" t="inlineStr">
        <is>
          <t>0.5</t>
        </is>
      </c>
      <c r="V98" s="29" t="inlineStr">
        <is>
          <t>HIGH_RISK</t>
        </is>
      </c>
      <c r="W98" s="29" t="inlineStr">
        <is>
          <t>고위험</t>
        </is>
      </c>
      <c r="X98" s="29" t="inlineStr">
        <is>
          <t>MEDIUM_RISK</t>
        </is>
      </c>
      <c r="Y98" s="29" t="inlineStr">
        <is>
          <t>0.4364687611213146</t>
        </is>
      </c>
      <c r="Z98" s="29" t="inlineStr">
        <is>
          <t>LOW</t>
        </is>
      </c>
      <c r="AA98" s="29" t="inlineStr">
        <is>
          <t>LOW</t>
        </is>
      </c>
      <c r="AB98" s="29" t="inlineStr">
        <is>
          <t>0.06817918975036392</t>
        </is>
      </c>
      <c r="AC98" s="29" t="inlineStr">
        <is>
          <t>False</t>
        </is>
      </c>
      <c r="AD98" s="29" t="inlineStr">
        <is>
          <t>True</t>
        </is>
      </c>
      <c r="AE98" s="29" t="inlineStr">
        <is>
          <t>valuation_credit_ml_overlay_candidate.csv</t>
        </is>
      </c>
      <c r="AF98" s="29" t="inlineStr">
        <is>
          <t>208개 반도체 reference universe. Valuation Agent가 자체 intake 폴더로 복제해 Peer/ML/대시보드 비교에 사용.</t>
        </is>
      </c>
    </row>
    <row r="99" ht="24" customHeight="1">
      <c r="A99" s="24" t="inlineStr">
        <is>
          <t>27</t>
        </is>
      </c>
      <c r="B99" s="24" t="inlineStr">
        <is>
          <t>해당 없음</t>
        </is>
      </c>
      <c r="C99" s="24" t="inlineStr">
        <is>
          <t>이미지스</t>
        </is>
      </c>
      <c r="D99" s="24" t="inlineStr">
        <is>
          <t>115610</t>
        </is>
      </c>
      <c r="E99" s="24" t="inlineStr">
        <is>
          <t>KOSDAQ</t>
        </is>
      </c>
      <c r="F99" s="24" t="inlineStr">
        <is>
          <t>IDM/제조/메모리</t>
        </is>
      </c>
      <c r="G99" s="24" t="inlineStr">
        <is>
          <t>IDM/제조/메모리</t>
        </is>
      </c>
      <c r="H99" s="24" t="inlineStr">
        <is>
          <t>False</t>
        </is>
      </c>
      <c r="I99" s="24" t="inlineStr">
        <is>
          <t>True</t>
        </is>
      </c>
      <c r="J99" s="24" t="inlineStr">
        <is>
          <t>OK</t>
        </is>
      </c>
      <c r="K99" s="24" t="inlineStr">
        <is>
          <t>데이터 사용 가능</t>
        </is>
      </c>
      <c r="L99" s="24" t="inlineStr">
        <is>
          <t>LOW</t>
        </is>
      </c>
      <c r="M99" s="24" t="inlineStr">
        <is>
          <t>LOW</t>
        </is>
      </c>
      <c r="N99" s="24" t="inlineStr">
        <is>
          <t>0.3633333333333334</t>
        </is>
      </c>
      <c r="O99" s="24" t="inlineStr">
        <is>
          <t>EXPENSIVE</t>
        </is>
      </c>
      <c r="P99" s="24" t="inlineStr">
        <is>
          <t>EXPENSIVE</t>
        </is>
      </c>
      <c r="Q99" s="24" t="inlineStr">
        <is>
          <t>EXPENSIVE</t>
        </is>
      </c>
      <c r="R99" s="24" t="inlineStr">
        <is>
          <t>0.7470098487547145</t>
        </is>
      </c>
      <c r="S99" s="24" t="inlineStr">
        <is>
          <t>HIGH</t>
        </is>
      </c>
      <c r="T99" s="24" t="inlineStr">
        <is>
          <t>HIGH</t>
        </is>
      </c>
      <c r="U99" s="24" t="inlineStr">
        <is>
          <t>0.6428571428571429</t>
        </is>
      </c>
      <c r="V99" s="24" t="inlineStr">
        <is>
          <t>HIGH_RISK</t>
        </is>
      </c>
      <c r="W99" s="24" t="inlineStr">
        <is>
          <t>고위험</t>
        </is>
      </c>
      <c r="X99" s="24" t="inlineStr">
        <is>
          <t>HIGH_RISK</t>
        </is>
      </c>
      <c r="Y99" s="24" t="inlineStr">
        <is>
          <t>0.935919815850912</t>
        </is>
      </c>
      <c r="Z99" s="24" t="inlineStr">
        <is>
          <t>HIGH</t>
        </is>
      </c>
      <c r="AA99" s="24" t="inlineStr">
        <is>
          <t>HIGH</t>
        </is>
      </c>
      <c r="AB99" s="24" t="inlineStr">
        <is>
          <t>0.1192433333650954</t>
        </is>
      </c>
      <c r="AC99" s="24" t="inlineStr">
        <is>
          <t>False</t>
        </is>
      </c>
      <c r="AD99" s="24" t="inlineStr">
        <is>
          <t>False</t>
        </is>
      </c>
      <c r="AE99" s="24" t="inlineStr">
        <is>
          <t>valuation_credit_ml_overlay_candidate.csv</t>
        </is>
      </c>
      <c r="AF99" s="24" t="inlineStr">
        <is>
          <t>208개 반도체 reference universe. Valuation Agent가 자체 intake 폴더로 복제해 Peer/ML/대시보드 비교에 사용.</t>
        </is>
      </c>
    </row>
    <row r="100" ht="24" customHeight="1">
      <c r="A100" s="29" t="inlineStr">
        <is>
          <t>15</t>
        </is>
      </c>
      <c r="B100" s="29" t="inlineStr">
        <is>
          <t>해당 없음</t>
        </is>
      </c>
      <c r="C100" s="29" t="inlineStr">
        <is>
          <t>시지트로닉스</t>
        </is>
      </c>
      <c r="D100" s="29" t="inlineStr">
        <is>
          <t>429270</t>
        </is>
      </c>
      <c r="E100" s="29" t="inlineStr">
        <is>
          <t>KOSDAQ</t>
        </is>
      </c>
      <c r="F100" s="29" t="inlineStr">
        <is>
          <t>IDM/제조/메모리</t>
        </is>
      </c>
      <c r="G100" s="29" t="inlineStr">
        <is>
          <t>IDM/제조/메모리</t>
        </is>
      </c>
      <c r="H100" s="29" t="inlineStr">
        <is>
          <t>False</t>
        </is>
      </c>
      <c r="I100" s="29" t="inlineStr">
        <is>
          <t>True</t>
        </is>
      </c>
      <c r="J100" s="29" t="inlineStr">
        <is>
          <t>OK_LIMITED_HISTORY_OR_GROWTH_NA</t>
        </is>
      </c>
      <c r="K100" s="29" t="inlineStr">
        <is>
          <t>데이터 사용 가능</t>
        </is>
      </c>
      <c r="L100" s="29" t="inlineStr">
        <is>
          <t>LOW</t>
        </is>
      </c>
      <c r="M100" s="29" t="inlineStr">
        <is>
          <t>LOW</t>
        </is>
      </c>
      <c r="N100" s="29" t="inlineStr">
        <is>
          <t>0.3513333333333333</t>
        </is>
      </c>
      <c r="O100" s="29" t="inlineStr">
        <is>
          <t>EXPENSIVE</t>
        </is>
      </c>
      <c r="P100" s="29" t="inlineStr">
        <is>
          <t>EXPENSIVE</t>
        </is>
      </c>
      <c r="Q100" s="29" t="inlineStr">
        <is>
          <t>EXPENSIVE</t>
        </is>
      </c>
      <c r="R100" s="29" t="inlineStr">
        <is>
          <t>0.8423539115807104</t>
        </is>
      </c>
      <c r="S100" s="29" t="inlineStr">
        <is>
          <t>HIGH</t>
        </is>
      </c>
      <c r="T100" s="29" t="inlineStr">
        <is>
          <t>HIGH</t>
        </is>
      </c>
      <c r="U100" s="29" t="inlineStr">
        <is>
          <t>0.7142857142857143</t>
        </is>
      </c>
      <c r="V100" s="29" t="inlineStr">
        <is>
          <t>HIGH_RISK</t>
        </is>
      </c>
      <c r="W100" s="29" t="inlineStr">
        <is>
          <t>고위험</t>
        </is>
      </c>
      <c r="X100" s="29" t="inlineStr">
        <is>
          <t>HIGH_RISK</t>
        </is>
      </c>
      <c r="Y100" s="29" t="inlineStr">
        <is>
          <t>0.981613431413146</t>
        </is>
      </c>
      <c r="Z100" s="29" t="inlineStr">
        <is>
          <t>HIGH</t>
        </is>
      </c>
      <c r="AA100" s="29" t="inlineStr">
        <is>
          <t>HIGH</t>
        </is>
      </c>
      <c r="AB100" s="29" t="inlineStr">
        <is>
          <t>0.19555712998632233</t>
        </is>
      </c>
      <c r="AC100" s="29" t="inlineStr">
        <is>
          <t>False</t>
        </is>
      </c>
      <c r="AD100" s="29" t="inlineStr">
        <is>
          <t>True</t>
        </is>
      </c>
      <c r="AE100" s="29" t="inlineStr">
        <is>
          <t>valuation_credit_ml_overlay_candidate.csv</t>
        </is>
      </c>
      <c r="AF100" s="29" t="inlineStr">
        <is>
          <t>208개 반도체 reference universe. Valuation Agent가 자체 intake 폴더로 복제해 Peer/ML/대시보드 비교에 사용.</t>
        </is>
      </c>
    </row>
    <row r="101" ht="24" customHeight="1">
      <c r="A101" s="24" t="inlineStr">
        <is>
          <t>30</t>
        </is>
      </c>
      <c r="B101" s="24" t="inlineStr">
        <is>
          <t>해당 없음</t>
        </is>
      </c>
      <c r="C101" s="24" t="inlineStr">
        <is>
          <t>지니틱스</t>
        </is>
      </c>
      <c r="D101" s="24" t="inlineStr">
        <is>
          <t>303030</t>
        </is>
      </c>
      <c r="E101" s="24" t="inlineStr">
        <is>
          <t>KOSDAQ</t>
        </is>
      </c>
      <c r="F101" s="24" t="inlineStr">
        <is>
          <t>IDM/제조/메모리</t>
        </is>
      </c>
      <c r="G101" s="24" t="inlineStr">
        <is>
          <t>IDM/제조/메모리</t>
        </is>
      </c>
      <c r="H101" s="24" t="inlineStr">
        <is>
          <t>False</t>
        </is>
      </c>
      <c r="I101" s="24" t="inlineStr">
        <is>
          <t>True</t>
        </is>
      </c>
      <c r="J101" s="24" t="inlineStr">
        <is>
          <t>OK</t>
        </is>
      </c>
      <c r="K101" s="24" t="inlineStr">
        <is>
          <t>데이터 사용 가능</t>
        </is>
      </c>
      <c r="L101" s="24" t="inlineStr">
        <is>
          <t>LOW</t>
        </is>
      </c>
      <c r="M101" s="24" t="inlineStr">
        <is>
          <t>LOW</t>
        </is>
      </c>
      <c r="N101" s="24" t="inlineStr">
        <is>
          <t>0.3293333333333333</t>
        </is>
      </c>
      <c r="O101" s="24" t="inlineStr">
        <is>
          <t>EXPENSIVE</t>
        </is>
      </c>
      <c r="P101" s="24" t="inlineStr">
        <is>
          <t>EXPENSIVE</t>
        </is>
      </c>
      <c r="Q101" s="24" t="inlineStr">
        <is>
          <t>EXPENSIVE</t>
        </is>
      </c>
      <c r="R101" s="24" t="inlineStr">
        <is>
          <t>0.6029464801919612</t>
        </is>
      </c>
      <c r="S101" s="24" t="inlineStr">
        <is>
          <t>MEDIUM</t>
        </is>
      </c>
      <c r="T101" s="24" t="inlineStr">
        <is>
          <t>MEDIUM</t>
        </is>
      </c>
      <c r="U101" s="24" t="inlineStr">
        <is>
          <t>0.7142857142857143</t>
        </is>
      </c>
      <c r="V101" s="24" t="inlineStr">
        <is>
          <t>HIGH_RISK</t>
        </is>
      </c>
      <c r="W101" s="24" t="inlineStr">
        <is>
          <t>고위험</t>
        </is>
      </c>
      <c r="X101" s="24" t="inlineStr">
        <is>
          <t>HIGH_RISK</t>
        </is>
      </c>
      <c r="Y101" s="24" t="inlineStr">
        <is>
          <t>0.9659545889371735</t>
        </is>
      </c>
      <c r="Z101" s="24" t="inlineStr">
        <is>
          <t>HIGH</t>
        </is>
      </c>
      <c r="AA101" s="24" t="inlineStr">
        <is>
          <t>HIGH</t>
        </is>
      </c>
      <c r="AB101" s="24" t="inlineStr">
        <is>
          <t>0.16363869698938038</t>
        </is>
      </c>
      <c r="AC101" s="24" t="inlineStr">
        <is>
          <t>False</t>
        </is>
      </c>
      <c r="AD101" s="24" t="inlineStr">
        <is>
          <t>False</t>
        </is>
      </c>
      <c r="AE101" s="24" t="inlineStr">
        <is>
          <t>valuation_credit_ml_overlay_candidate.csv</t>
        </is>
      </c>
      <c r="AF101" s="24" t="inlineStr">
        <is>
          <t>208개 반도체 reference universe. Valuation Agent가 자체 intake 폴더로 복제해 Peer/ML/대시보드 비교에 사용.</t>
        </is>
      </c>
    </row>
    <row r="102" ht="24" customHeight="1">
      <c r="A102" s="29" t="inlineStr">
        <is>
          <t>18</t>
        </is>
      </c>
      <c r="B102" s="29" t="inlineStr">
        <is>
          <t>해당 없음</t>
        </is>
      </c>
      <c r="C102" s="29" t="inlineStr">
        <is>
          <t>아이에스티이</t>
        </is>
      </c>
      <c r="D102" s="29" t="inlineStr">
        <is>
          <t>212710</t>
        </is>
      </c>
      <c r="E102" s="29" t="inlineStr">
        <is>
          <t>KOSDAQ</t>
        </is>
      </c>
      <c r="F102" s="29" t="inlineStr">
        <is>
          <t>IDM/제조/메모리</t>
        </is>
      </c>
      <c r="G102" s="29" t="inlineStr">
        <is>
          <t>IDM/제조/메모리</t>
        </is>
      </c>
      <c r="H102" s="29" t="inlineStr">
        <is>
          <t>False</t>
        </is>
      </c>
      <c r="I102" s="29" t="inlineStr">
        <is>
          <t>True</t>
        </is>
      </c>
      <c r="J102" s="29" t="inlineStr">
        <is>
          <t>OK_LIMITED_HISTORY_OR_GROWTH_NA</t>
        </is>
      </c>
      <c r="K102" s="29" t="inlineStr">
        <is>
          <t>데이터 사용 가능</t>
        </is>
      </c>
      <c r="L102" s="29" t="inlineStr">
        <is>
          <t>LOW</t>
        </is>
      </c>
      <c r="M102" s="29" t="inlineStr">
        <is>
          <t>LOW</t>
        </is>
      </c>
      <c r="N102" s="29" t="inlineStr">
        <is>
          <t>0.3126666666666666</t>
        </is>
      </c>
      <c r="O102" s="29" t="inlineStr">
        <is>
          <t>EXPENSIVE</t>
        </is>
      </c>
      <c r="P102" s="29" t="inlineStr">
        <is>
          <t>EXPENSIVE</t>
        </is>
      </c>
      <c r="Q102" s="29" t="inlineStr">
        <is>
          <t>EXPENSIVE</t>
        </is>
      </c>
      <c r="R102" s="29" t="inlineStr">
        <is>
          <t>0.6642993493743579</t>
        </is>
      </c>
      <c r="S102" s="29" t="inlineStr">
        <is>
          <t>MEDIUM</t>
        </is>
      </c>
      <c r="T102" s="29" t="inlineStr">
        <is>
          <t>MEDIUM</t>
        </is>
      </c>
      <c r="U102" s="29" t="inlineStr">
        <is>
          <t>0.7142857142857143</t>
        </is>
      </c>
      <c r="V102" s="29" t="inlineStr">
        <is>
          <t>HIGH_RISK</t>
        </is>
      </c>
      <c r="W102" s="29" t="inlineStr">
        <is>
          <t>고위험</t>
        </is>
      </c>
      <c r="X102" s="29" t="inlineStr">
        <is>
          <t>HIGH_RISK</t>
        </is>
      </c>
      <c r="Y102" s="29" t="inlineStr">
        <is>
          <t>0.7912115569930538</t>
        </is>
      </c>
      <c r="Z102" s="29" t="inlineStr">
        <is>
          <t>HIGH</t>
        </is>
      </c>
      <c r="AA102" s="29" t="inlineStr">
        <is>
          <t>HIGH</t>
        </is>
      </c>
      <c r="AB102" s="29" t="inlineStr">
        <is>
          <t>0.13664093420882184</t>
        </is>
      </c>
      <c r="AC102" s="29" t="inlineStr">
        <is>
          <t>False</t>
        </is>
      </c>
      <c r="AD102" s="29" t="inlineStr">
        <is>
          <t>True</t>
        </is>
      </c>
      <c r="AE102" s="29" t="inlineStr">
        <is>
          <t>valuation_credit_ml_overlay_candidate.csv</t>
        </is>
      </c>
      <c r="AF102" s="29" t="inlineStr">
        <is>
          <t>208개 반도체 reference universe. Valuation Agent가 자체 intake 폴더로 복제해 Peer/ML/대시보드 비교에 사용.</t>
        </is>
      </c>
    </row>
    <row r="103" ht="24" customHeight="1">
      <c r="A103" s="24" t="inlineStr">
        <is>
          <t>31</t>
        </is>
      </c>
      <c r="B103" s="24" t="inlineStr">
        <is>
          <t>해당 없음</t>
        </is>
      </c>
      <c r="C103" s="24" t="inlineStr">
        <is>
          <t>케이알엠</t>
        </is>
      </c>
      <c r="D103" s="24" t="inlineStr">
        <is>
          <t>093640</t>
        </is>
      </c>
      <c r="E103" s="24" t="inlineStr">
        <is>
          <t>KOSDAQ</t>
        </is>
      </c>
      <c r="F103" s="24" t="inlineStr">
        <is>
          <t>IDM/제조/메모리</t>
        </is>
      </c>
      <c r="G103" s="24" t="inlineStr">
        <is>
          <t>IDM/제조/메모리</t>
        </is>
      </c>
      <c r="H103" s="24" t="inlineStr">
        <is>
          <t>False</t>
        </is>
      </c>
      <c r="I103" s="24" t="inlineStr">
        <is>
          <t>True</t>
        </is>
      </c>
      <c r="J103" s="24" t="inlineStr">
        <is>
          <t>OK</t>
        </is>
      </c>
      <c r="K103" s="24" t="inlineStr">
        <is>
          <t>데이터 사용 가능</t>
        </is>
      </c>
      <c r="L103" s="24" t="inlineStr">
        <is>
          <t>LOW</t>
        </is>
      </c>
      <c r="M103" s="24" t="inlineStr">
        <is>
          <t>LOW</t>
        </is>
      </c>
      <c r="N103" s="24" t="inlineStr">
        <is>
          <t>0.301</t>
        </is>
      </c>
      <c r="O103" s="24" t="inlineStr">
        <is>
          <t>EXPENSIVE</t>
        </is>
      </c>
      <c r="P103" s="24" t="inlineStr">
        <is>
          <t>EXPENSIVE</t>
        </is>
      </c>
      <c r="Q103" s="24" t="inlineStr">
        <is>
          <t>EXPENSIVE</t>
        </is>
      </c>
      <c r="R103" s="24" t="inlineStr">
        <is>
          <t>0.7957205872008264</t>
        </is>
      </c>
      <c r="S103" s="24" t="inlineStr">
        <is>
          <t>HIGH</t>
        </is>
      </c>
      <c r="T103" s="24" t="inlineStr">
        <is>
          <t>HIGH</t>
        </is>
      </c>
      <c r="U103" s="24" t="inlineStr">
        <is>
          <t>0.4285714285714285</t>
        </is>
      </c>
      <c r="V103" s="24" t="inlineStr">
        <is>
          <t>HIGH_RISK</t>
        </is>
      </c>
      <c r="W103" s="24" t="inlineStr">
        <is>
          <t>고위험</t>
        </is>
      </c>
      <c r="X103" s="24" t="inlineStr">
        <is>
          <t>HIGH_RISK</t>
        </is>
      </c>
      <c r="Y103" s="24" t="inlineStr">
        <is>
          <t>0.9569765609780977</t>
        </is>
      </c>
      <c r="Z103" s="24" t="inlineStr">
        <is>
          <t>HIGH</t>
        </is>
      </c>
      <c r="AA103" s="24" t="inlineStr">
        <is>
          <t>HIGH</t>
        </is>
      </c>
      <c r="AB103" s="24" t="inlineStr">
        <is>
          <t>0.2926124347647049</t>
        </is>
      </c>
      <c r="AC103" s="24" t="inlineStr">
        <is>
          <t>True</t>
        </is>
      </c>
      <c r="AD103" s="24" t="inlineStr">
        <is>
          <t>True</t>
        </is>
      </c>
      <c r="AE103" s="24" t="inlineStr">
        <is>
          <t>valuation_credit_ml_overlay_candidate.csv</t>
        </is>
      </c>
      <c r="AF103" s="24" t="inlineStr">
        <is>
          <t>208개 반도체 reference universe. Valuation Agent가 자체 intake 폴더로 복제해 Peer/ML/대시보드 비교에 사용.</t>
        </is>
      </c>
    </row>
    <row r="104" ht="24" customHeight="1">
      <c r="A104" s="29" t="inlineStr">
        <is>
          <t>17</t>
        </is>
      </c>
      <c r="B104" s="29" t="inlineStr">
        <is>
          <t>해당 없음</t>
        </is>
      </c>
      <c r="C104" s="29" t="inlineStr">
        <is>
          <t>쏘닉스</t>
        </is>
      </c>
      <c r="D104" s="29" t="inlineStr">
        <is>
          <t>088280</t>
        </is>
      </c>
      <c r="E104" s="29" t="inlineStr">
        <is>
          <t>KOSDAQ</t>
        </is>
      </c>
      <c r="F104" s="29" t="inlineStr">
        <is>
          <t>IDM/제조/메모리</t>
        </is>
      </c>
      <c r="G104" s="29" t="inlineStr">
        <is>
          <t>IDM/제조/메모리</t>
        </is>
      </c>
      <c r="H104" s="29" t="inlineStr">
        <is>
          <t>False</t>
        </is>
      </c>
      <c r="I104" s="29" t="inlineStr">
        <is>
          <t>True</t>
        </is>
      </c>
      <c r="J104" s="29" t="inlineStr">
        <is>
          <t>OK_LIMITED_HISTORY_OR_GROWTH_NA</t>
        </is>
      </c>
      <c r="K104" s="29" t="inlineStr">
        <is>
          <t>데이터 사용 가능</t>
        </is>
      </c>
      <c r="L104" s="29" t="inlineStr">
        <is>
          <t>LOW</t>
        </is>
      </c>
      <c r="M104" s="29" t="inlineStr">
        <is>
          <t>LOW</t>
        </is>
      </c>
      <c r="N104" s="29" t="inlineStr">
        <is>
          <t>0.2925</t>
        </is>
      </c>
      <c r="O104" s="29" t="inlineStr">
        <is>
          <t>EXPENSIVE</t>
        </is>
      </c>
      <c r="P104" s="29" t="inlineStr">
        <is>
          <t>EXPENSIVE</t>
        </is>
      </c>
      <c r="Q104" s="29" t="inlineStr">
        <is>
          <t>EXPENSIVE</t>
        </is>
      </c>
      <c r="R104" s="29" t="inlineStr">
        <is>
          <t>0.9167677788852596</t>
        </is>
      </c>
      <c r="S104" s="29" t="inlineStr">
        <is>
          <t>HIGH</t>
        </is>
      </c>
      <c r="T104" s="29" t="inlineStr">
        <is>
          <t>HIGH</t>
        </is>
      </c>
      <c r="U104" s="29" t="inlineStr">
        <is>
          <t>0.5714285714285714</t>
        </is>
      </c>
      <c r="V104" s="29" t="inlineStr">
        <is>
          <t>HIGH_RISK</t>
        </is>
      </c>
      <c r="W104" s="29" t="inlineStr">
        <is>
          <t>고위험</t>
        </is>
      </c>
      <c r="X104" s="29" t="inlineStr">
        <is>
          <t>HIGH_RISK</t>
        </is>
      </c>
      <c r="Y104" s="29" t="inlineStr">
        <is>
          <t>0.9751947390683402</t>
        </is>
      </c>
      <c r="Z104" s="29" t="inlineStr">
        <is>
          <t>HIGH</t>
        </is>
      </c>
      <c r="AA104" s="29" t="inlineStr">
        <is>
          <t>HIGH</t>
        </is>
      </c>
      <c r="AB104" s="29" t="inlineStr">
        <is>
          <t>0.11312412490832129</t>
        </is>
      </c>
      <c r="AC104" s="29" t="inlineStr">
        <is>
          <t>False</t>
        </is>
      </c>
      <c r="AD104" s="29" t="inlineStr">
        <is>
          <t>True</t>
        </is>
      </c>
      <c r="AE104" s="29" t="inlineStr">
        <is>
          <t>valuation_credit_ml_overlay_candidate.csv</t>
        </is>
      </c>
      <c r="AF104" s="29" t="inlineStr">
        <is>
          <t>208개 반도체 reference universe. Valuation Agent가 자체 intake 폴더로 복제해 Peer/ML/대시보드 비교에 사용.</t>
        </is>
      </c>
    </row>
    <row r="105" ht="24" customHeight="1">
      <c r="A105" s="24" t="inlineStr">
        <is>
          <t>29</t>
        </is>
      </c>
      <c r="B105" s="24" t="inlineStr">
        <is>
          <t>해당 없음</t>
        </is>
      </c>
      <c r="C105" s="24" t="inlineStr">
        <is>
          <t>자람테크놀로지</t>
        </is>
      </c>
      <c r="D105" s="24" t="inlineStr">
        <is>
          <t>389020</t>
        </is>
      </c>
      <c r="E105" s="24" t="inlineStr">
        <is>
          <t>KOSDAQ</t>
        </is>
      </c>
      <c r="F105" s="24" t="inlineStr">
        <is>
          <t>IDM/제조/메모리</t>
        </is>
      </c>
      <c r="G105" s="24" t="inlineStr">
        <is>
          <t>IDM/제조/메모리</t>
        </is>
      </c>
      <c r="H105" s="24" t="inlineStr">
        <is>
          <t>False</t>
        </is>
      </c>
      <c r="I105" s="24" t="inlineStr">
        <is>
          <t>True</t>
        </is>
      </c>
      <c r="J105" s="24" t="inlineStr">
        <is>
          <t>OK</t>
        </is>
      </c>
      <c r="K105" s="24" t="inlineStr">
        <is>
          <t>데이터 사용 가능</t>
        </is>
      </c>
      <c r="L105" s="24" t="inlineStr">
        <is>
          <t>LOW</t>
        </is>
      </c>
      <c r="M105" s="24" t="inlineStr">
        <is>
          <t>LOW</t>
        </is>
      </c>
      <c r="N105" s="24" t="inlineStr">
        <is>
          <t>0.1995</t>
        </is>
      </c>
      <c r="O105" s="24" t="inlineStr">
        <is>
          <t>EXPENSIVE</t>
        </is>
      </c>
      <c r="P105" s="24" t="inlineStr">
        <is>
          <t>EXPENSIVE</t>
        </is>
      </c>
      <c r="Q105" s="24" t="inlineStr">
        <is>
          <t>EXPENSIVE</t>
        </is>
      </c>
      <c r="R105" s="24" t="inlineStr">
        <is>
          <t>0.6873284389381621</t>
        </is>
      </c>
      <c r="S105" s="24" t="inlineStr">
        <is>
          <t>MEDIUM</t>
        </is>
      </c>
      <c r="T105" s="24" t="inlineStr">
        <is>
          <t>MEDIUM</t>
        </is>
      </c>
      <c r="U105" s="24" t="inlineStr">
        <is>
          <t>0.2142857142857142</t>
        </is>
      </c>
      <c r="V105" s="24" t="inlineStr">
        <is>
          <t>MEDIUM_RISK</t>
        </is>
      </c>
      <c r="W105" s="24" t="inlineStr">
        <is>
          <t>중위험</t>
        </is>
      </c>
      <c r="X105" s="24" t="inlineStr">
        <is>
          <t>MEDIUM_RISK</t>
        </is>
      </c>
      <c r="Y105" s="24" t="inlineStr">
        <is>
          <t>0.7087592263635621</t>
        </is>
      </c>
      <c r="Z105" s="24" t="inlineStr">
        <is>
          <t>HIGH</t>
        </is>
      </c>
      <c r="AA105" s="24" t="inlineStr">
        <is>
          <t>HIGH</t>
        </is>
      </c>
      <c r="AB105" s="24" t="inlineStr">
        <is>
          <t>0.14222896108498048</t>
        </is>
      </c>
      <c r="AC105" s="24" t="inlineStr">
        <is>
          <t>False</t>
        </is>
      </c>
      <c r="AD105" s="24" t="inlineStr">
        <is>
          <t>False</t>
        </is>
      </c>
      <c r="AE105" s="24" t="inlineStr">
        <is>
          <t>valuation_credit_ml_overlay_candidate.csv</t>
        </is>
      </c>
      <c r="AF105" s="24" t="inlineStr">
        <is>
          <t>208개 반도체 reference universe. Valuation Agent가 자체 intake 폴더로 복제해 Peer/ML/대시보드 비교에 사용.</t>
        </is>
      </c>
    </row>
    <row r="106" ht="24" customHeight="1">
      <c r="A106" s="29" t="inlineStr">
        <is>
          <t>39</t>
        </is>
      </c>
      <c r="B106" s="29" t="inlineStr">
        <is>
          <t>해당 없음</t>
        </is>
      </c>
      <c r="C106" s="29" t="inlineStr">
        <is>
          <t>하이딥</t>
        </is>
      </c>
      <c r="D106" s="29" t="inlineStr">
        <is>
          <t>365590</t>
        </is>
      </c>
      <c r="E106" s="29" t="inlineStr">
        <is>
          <t>KOSDAQ</t>
        </is>
      </c>
      <c r="F106" s="29" t="inlineStr">
        <is>
          <t>IDM/제조/메모리</t>
        </is>
      </c>
      <c r="G106" s="29" t="inlineStr">
        <is>
          <t>IDM/제조/메모리</t>
        </is>
      </c>
      <c r="H106" s="29" t="inlineStr">
        <is>
          <t>False</t>
        </is>
      </c>
      <c r="I106" s="29" t="inlineStr">
        <is>
          <t>True</t>
        </is>
      </c>
      <c r="J106" s="29" t="inlineStr">
        <is>
          <t>OK</t>
        </is>
      </c>
      <c r="K106" s="29" t="inlineStr">
        <is>
          <t>데이터 사용 가능</t>
        </is>
      </c>
      <c r="L106" s="29" t="inlineStr">
        <is>
          <t>LOW</t>
        </is>
      </c>
      <c r="M106" s="29" t="inlineStr">
        <is>
          <t>LOW</t>
        </is>
      </c>
      <c r="N106" s="29" t="inlineStr">
        <is>
          <t>0.125</t>
        </is>
      </c>
      <c r="O106" s="29" t="inlineStr">
        <is>
          <t>EXPENSIVE</t>
        </is>
      </c>
      <c r="P106" s="29" t="inlineStr">
        <is>
          <t>EXPENSIVE</t>
        </is>
      </c>
      <c r="Q106" s="29" t="inlineStr">
        <is>
          <t>EXPENSIVE</t>
        </is>
      </c>
      <c r="R106" s="29" t="inlineStr">
        <is>
          <t>0.93355514861914</t>
        </is>
      </c>
      <c r="S106" s="29" t="inlineStr">
        <is>
          <t>HIGH</t>
        </is>
      </c>
      <c r="T106" s="29" t="inlineStr">
        <is>
          <t>HIGH</t>
        </is>
      </c>
      <c r="U106" s="29" t="inlineStr">
        <is>
          <t>0.8571428571428571</t>
        </is>
      </c>
      <c r="V106" s="29" t="inlineStr">
        <is>
          <t>HIGH_RISK</t>
        </is>
      </c>
      <c r="W106" s="29" t="inlineStr">
        <is>
          <t>고위험</t>
        </is>
      </c>
      <c r="X106" s="29" t="inlineStr">
        <is>
          <t>HIGH_RISK</t>
        </is>
      </c>
      <c r="Y106" s="29" t="inlineStr">
        <is>
          <t>0.9622719553866781</t>
        </is>
      </c>
      <c r="Z106" s="29" t="inlineStr">
        <is>
          <t>HIGH</t>
        </is>
      </c>
      <c r="AA106" s="29" t="inlineStr">
        <is>
          <t>HIGH</t>
        </is>
      </c>
      <c r="AB106" s="29" t="inlineStr">
        <is>
          <t>0.9999999977412558</t>
        </is>
      </c>
      <c r="AC106" s="29" t="inlineStr">
        <is>
          <t>True</t>
        </is>
      </c>
      <c r="AD106" s="29" t="inlineStr">
        <is>
          <t>True</t>
        </is>
      </c>
      <c r="AE106" s="29" t="inlineStr">
        <is>
          <t>valuation_credit_ml_overlay_candidate.csv</t>
        </is>
      </c>
      <c r="AF106" s="29" t="inlineStr">
        <is>
          <t>208개 반도체 reference universe. Valuation Agent가 자체 intake 폴더로 복제해 Peer/ML/대시보드 비교에 사용.</t>
        </is>
      </c>
    </row>
    <row r="107" ht="24" customHeight="1">
      <c r="A107" s="24" t="inlineStr">
        <is>
          <t>203</t>
        </is>
      </c>
      <c r="B107" s="24" t="inlineStr">
        <is>
          <t>해당 없음</t>
        </is>
      </c>
      <c r="C107" s="24" t="inlineStr">
        <is>
          <t>인터플렉스</t>
        </is>
      </c>
      <c r="D107" s="24" t="inlineStr">
        <is>
          <t>051370</t>
        </is>
      </c>
      <c r="E107" s="24" t="inlineStr">
        <is>
          <t>KOSDAQ</t>
        </is>
      </c>
      <c r="F107" s="24" t="inlineStr">
        <is>
          <t>부품/기판</t>
        </is>
      </c>
      <c r="G107" s="24" t="inlineStr">
        <is>
          <t>부품/기판</t>
        </is>
      </c>
      <c r="H107" s="24" t="inlineStr">
        <is>
          <t>False</t>
        </is>
      </c>
      <c r="I107" s="24" t="inlineStr">
        <is>
          <t>True</t>
        </is>
      </c>
      <c r="J107" s="24" t="inlineStr">
        <is>
          <t>OK</t>
        </is>
      </c>
      <c r="K107" s="24" t="inlineStr">
        <is>
          <t>데이터 사용 가능</t>
        </is>
      </c>
      <c r="L107" s="24" t="inlineStr">
        <is>
          <t>LOW</t>
        </is>
      </c>
      <c r="M107" s="24" t="inlineStr">
        <is>
          <t>LOW</t>
        </is>
      </c>
      <c r="N107" s="24" t="inlineStr">
        <is>
          <t>0.709047619047619</t>
        </is>
      </c>
      <c r="O107" s="24" t="inlineStr">
        <is>
          <t>FAIR</t>
        </is>
      </c>
      <c r="P107" s="24" t="inlineStr">
        <is>
          <t>FAIR</t>
        </is>
      </c>
      <c r="Q107" s="24" t="inlineStr">
        <is>
          <t>FAIR</t>
        </is>
      </c>
      <c r="R107" s="24" t="inlineStr">
        <is>
          <t>0.904555257888918</t>
        </is>
      </c>
      <c r="S107" s="24" t="inlineStr">
        <is>
          <t>HIGH</t>
        </is>
      </c>
      <c r="T107" s="24" t="inlineStr">
        <is>
          <t>HIGH</t>
        </is>
      </c>
      <c r="U107" s="24" t="inlineStr">
        <is>
          <t>0.0714285714285714</t>
        </is>
      </c>
      <c r="V107" s="24" t="inlineStr">
        <is>
          <t>LOW_RISK</t>
        </is>
      </c>
      <c r="W107" s="24" t="inlineStr">
        <is>
          <t>저위험</t>
        </is>
      </c>
      <c r="X107" s="24" t="inlineStr">
        <is>
          <t>LOW_RISK</t>
        </is>
      </c>
      <c r="Y107" s="24" t="inlineStr">
        <is>
          <t>0.8421993774288782</t>
        </is>
      </c>
      <c r="Z107" s="24" t="inlineStr">
        <is>
          <t>HIGH</t>
        </is>
      </c>
      <c r="AA107" s="24" t="inlineStr">
        <is>
          <t>HIGH</t>
        </is>
      </c>
      <c r="AB107" s="24" t="inlineStr">
        <is>
          <t>0.04875174090091772</t>
        </is>
      </c>
      <c r="AC107" s="24" t="inlineStr">
        <is>
          <t>False</t>
        </is>
      </c>
      <c r="AD107" s="24" t="inlineStr">
        <is>
          <t>False</t>
        </is>
      </c>
      <c r="AE107" s="24" t="inlineStr">
        <is>
          <t>valuation_credit_ml_overlay_candidate.csv</t>
        </is>
      </c>
      <c r="AF107" s="24" t="inlineStr">
        <is>
          <t>208개 반도체 reference universe. Valuation Agent가 자체 intake 폴더로 복제해 Peer/ML/대시보드 비교에 사용.</t>
        </is>
      </c>
    </row>
    <row r="108" ht="24" customHeight="1">
      <c r="A108" s="29" t="inlineStr">
        <is>
          <t>204</t>
        </is>
      </c>
      <c r="B108" s="29" t="inlineStr">
        <is>
          <t>해당 없음</t>
        </is>
      </c>
      <c r="C108" s="29" t="inlineStr">
        <is>
          <t>자화전자</t>
        </is>
      </c>
      <c r="D108" s="29" t="inlineStr">
        <is>
          <t>033240</t>
        </is>
      </c>
      <c r="E108" s="29" t="inlineStr">
        <is>
          <t>KOSPI</t>
        </is>
      </c>
      <c r="F108" s="29" t="inlineStr">
        <is>
          <t>부품/기판</t>
        </is>
      </c>
      <c r="G108" s="29" t="inlineStr">
        <is>
          <t>부품/기판</t>
        </is>
      </c>
      <c r="H108" s="29" t="inlineStr">
        <is>
          <t>False</t>
        </is>
      </c>
      <c r="I108" s="29" t="inlineStr">
        <is>
          <t>True</t>
        </is>
      </c>
      <c r="J108" s="29" t="inlineStr">
        <is>
          <t>OK</t>
        </is>
      </c>
      <c r="K108" s="29" t="inlineStr">
        <is>
          <t>데이터 사용 가능</t>
        </is>
      </c>
      <c r="L108" s="29" t="inlineStr">
        <is>
          <t>LOW</t>
        </is>
      </c>
      <c r="M108" s="29" t="inlineStr">
        <is>
          <t>LOW</t>
        </is>
      </c>
      <c r="N108" s="29" t="inlineStr">
        <is>
          <t>0.6647619047619049</t>
        </is>
      </c>
      <c r="O108" s="29" t="inlineStr">
        <is>
          <t>FAIR</t>
        </is>
      </c>
      <c r="P108" s="29" t="inlineStr">
        <is>
          <t>FAIR</t>
        </is>
      </c>
      <c r="Q108" s="29" t="inlineStr">
        <is>
          <t>FAIR</t>
        </is>
      </c>
      <c r="R108" s="29" t="inlineStr">
        <is>
          <t>0.9380223994723259</t>
        </is>
      </c>
      <c r="S108" s="29" t="inlineStr">
        <is>
          <t>HIGH</t>
        </is>
      </c>
      <c r="T108" s="29" t="inlineStr">
        <is>
          <t>HIGH</t>
        </is>
      </c>
      <c r="U108" s="29" t="inlineStr">
        <is>
          <t>0.0714285714285714</t>
        </is>
      </c>
      <c r="V108" s="29" t="inlineStr">
        <is>
          <t>LOW_RISK</t>
        </is>
      </c>
      <c r="W108" s="29" t="inlineStr">
        <is>
          <t>저위험</t>
        </is>
      </c>
      <c r="X108" s="29" t="inlineStr">
        <is>
          <t>LOW_RISK</t>
        </is>
      </c>
      <c r="Y108" s="29" t="inlineStr">
        <is>
          <t>0.7827117376718701</t>
        </is>
      </c>
      <c r="Z108" s="29" t="inlineStr">
        <is>
          <t>HIGH</t>
        </is>
      </c>
      <c r="AA108" s="29" t="inlineStr">
        <is>
          <t>HIGH</t>
        </is>
      </c>
      <c r="AB108" s="29" t="inlineStr">
        <is>
          <t>0.004560941446629287</t>
        </is>
      </c>
      <c r="AC108" s="29" t="inlineStr">
        <is>
          <t>False</t>
        </is>
      </c>
      <c r="AD108" s="29" t="inlineStr">
        <is>
          <t>False</t>
        </is>
      </c>
      <c r="AE108" s="29" t="inlineStr">
        <is>
          <t>valuation_credit_ml_overlay_candidate.csv</t>
        </is>
      </c>
      <c r="AF108" s="29" t="inlineStr">
        <is>
          <t>208개 반도체 reference universe. Valuation Agent가 자체 intake 폴더로 복제해 Peer/ML/대시보드 비교에 사용.</t>
        </is>
      </c>
    </row>
    <row r="109" ht="24" customHeight="1">
      <c r="A109" s="24" t="inlineStr">
        <is>
          <t>206</t>
        </is>
      </c>
      <c r="B109" s="24" t="inlineStr">
        <is>
          <t>해당 없음</t>
        </is>
      </c>
      <c r="C109" s="24" t="inlineStr">
        <is>
          <t>코미코</t>
        </is>
      </c>
      <c r="D109" s="24" t="inlineStr">
        <is>
          <t>183300</t>
        </is>
      </c>
      <c r="E109" s="24" t="inlineStr">
        <is>
          <t>KOSDAQ GLOBAL</t>
        </is>
      </c>
      <c r="F109" s="24" t="inlineStr">
        <is>
          <t>부품/기판</t>
        </is>
      </c>
      <c r="G109" s="24" t="inlineStr">
        <is>
          <t>부품/기판</t>
        </is>
      </c>
      <c r="H109" s="24" t="inlineStr">
        <is>
          <t>False</t>
        </is>
      </c>
      <c r="I109" s="24" t="inlineStr">
        <is>
          <t>True</t>
        </is>
      </c>
      <c r="J109" s="24" t="inlineStr">
        <is>
          <t>OK</t>
        </is>
      </c>
      <c r="K109" s="24" t="inlineStr">
        <is>
          <t>데이터 사용 가능</t>
        </is>
      </c>
      <c r="L109" s="24" t="inlineStr">
        <is>
          <t>LOW</t>
        </is>
      </c>
      <c r="M109" s="24" t="inlineStr">
        <is>
          <t>LOW</t>
        </is>
      </c>
      <c r="N109" s="24" t="inlineStr">
        <is>
          <t>0.6342857142857143</t>
        </is>
      </c>
      <c r="O109" s="24" t="inlineStr">
        <is>
          <t>FAIR</t>
        </is>
      </c>
      <c r="P109" s="24" t="inlineStr">
        <is>
          <t>FAIR</t>
        </is>
      </c>
      <c r="Q109" s="24" t="inlineStr">
        <is>
          <t>FAIR</t>
        </is>
      </c>
      <c r="R109" s="24" t="inlineStr">
        <is>
          <t>0.8305894153326006</t>
        </is>
      </c>
      <c r="S109" s="24" t="inlineStr">
        <is>
          <t>HIGH</t>
        </is>
      </c>
      <c r="T109" s="24" t="inlineStr">
        <is>
          <t>HIGH</t>
        </is>
      </c>
      <c r="U109" s="24" t="inlineStr">
        <is>
          <t>0.3571428571428571</t>
        </is>
      </c>
      <c r="V109" s="24" t="inlineStr">
        <is>
          <t>MEDIUM_RISK</t>
        </is>
      </c>
      <c r="W109" s="24" t="inlineStr">
        <is>
          <t>중위험</t>
        </is>
      </c>
      <c r="X109" s="24" t="inlineStr">
        <is>
          <t>MEDIUM_RISK</t>
        </is>
      </c>
      <c r="Y109" s="24" t="inlineStr">
        <is>
          <t>0.6510391794232897</t>
        </is>
      </c>
      <c r="Z109" s="24" t="inlineStr">
        <is>
          <t>MEDIUM</t>
        </is>
      </c>
      <c r="AA109" s="24" t="inlineStr">
        <is>
          <t>MEDIUM</t>
        </is>
      </c>
      <c r="AB109" s="24" t="inlineStr">
        <is>
          <t>0.08075637337557524</t>
        </is>
      </c>
      <c r="AC109" s="24" t="inlineStr">
        <is>
          <t>False</t>
        </is>
      </c>
      <c r="AD109" s="24" t="inlineStr">
        <is>
          <t>False</t>
        </is>
      </c>
      <c r="AE109" s="24" t="inlineStr">
        <is>
          <t>valuation_credit_ml_overlay_candidate.csv</t>
        </is>
      </c>
      <c r="AF109" s="24" t="inlineStr">
        <is>
          <t>208개 반도체 reference universe. Valuation Agent가 자체 intake 폴더로 복제해 Peer/ML/대시보드 비교에 사용.</t>
        </is>
      </c>
    </row>
    <row r="110" ht="24" customHeight="1">
      <c r="A110" s="29" t="inlineStr">
        <is>
          <t>196</t>
        </is>
      </c>
      <c r="B110" s="29" t="inlineStr">
        <is>
          <t>해당 없음</t>
        </is>
      </c>
      <c r="C110" s="29" t="inlineStr">
        <is>
          <t>비에이치</t>
        </is>
      </c>
      <c r="D110" s="29" t="inlineStr">
        <is>
          <t>090460</t>
        </is>
      </c>
      <c r="E110" s="29" t="inlineStr">
        <is>
          <t>KOSPI</t>
        </is>
      </c>
      <c r="F110" s="29" t="inlineStr">
        <is>
          <t>부품/기판</t>
        </is>
      </c>
      <c r="G110" s="29" t="inlineStr">
        <is>
          <t>부품/기판</t>
        </is>
      </c>
      <c r="H110" s="29" t="inlineStr">
        <is>
          <t>False</t>
        </is>
      </c>
      <c r="I110" s="29" t="inlineStr">
        <is>
          <t>True</t>
        </is>
      </c>
      <c r="J110" s="29" t="inlineStr">
        <is>
          <t>OK</t>
        </is>
      </c>
      <c r="K110" s="29" t="inlineStr">
        <is>
          <t>데이터 사용 가능</t>
        </is>
      </c>
      <c r="L110" s="29" t="inlineStr">
        <is>
          <t>LOW</t>
        </is>
      </c>
      <c r="M110" s="29" t="inlineStr">
        <is>
          <t>LOW</t>
        </is>
      </c>
      <c r="N110" s="29" t="inlineStr">
        <is>
          <t>0.5752380952380951</t>
        </is>
      </c>
      <c r="O110" s="29" t="inlineStr">
        <is>
          <t>FAIR</t>
        </is>
      </c>
      <c r="P110" s="29" t="inlineStr">
        <is>
          <t>FAIR</t>
        </is>
      </c>
      <c r="Q110" s="29" t="inlineStr">
        <is>
          <t>FAIR</t>
        </is>
      </c>
      <c r="R110" s="29" t="inlineStr">
        <is>
          <t>0.5078538652826</t>
        </is>
      </c>
      <c r="S110" s="29" t="inlineStr">
        <is>
          <t>MEDIUM</t>
        </is>
      </c>
      <c r="T110" s="29" t="inlineStr">
        <is>
          <t>MEDIUM</t>
        </is>
      </c>
      <c r="U110" s="29" t="inlineStr">
        <is>
          <t>0.0</t>
        </is>
      </c>
      <c r="V110" s="29" t="inlineStr">
        <is>
          <t>LOW_RISK</t>
        </is>
      </c>
      <c r="W110" s="29" t="inlineStr">
        <is>
          <t>저위험</t>
        </is>
      </c>
      <c r="X110" s="29" t="inlineStr">
        <is>
          <t>LOW_RISK</t>
        </is>
      </c>
      <c r="Y110" s="29" t="inlineStr">
        <is>
          <t>0.8498731799769995</t>
        </is>
      </c>
      <c r="Z110" s="29" t="inlineStr">
        <is>
          <t>HIGH</t>
        </is>
      </c>
      <c r="AA110" s="29" t="inlineStr">
        <is>
          <t>HIGH</t>
        </is>
      </c>
      <c r="AB110" s="29" t="inlineStr">
        <is>
          <t>0.004189789054000619</t>
        </is>
      </c>
      <c r="AC110" s="29" t="inlineStr">
        <is>
          <t>False</t>
        </is>
      </c>
      <c r="AD110" s="29" t="inlineStr">
        <is>
          <t>False</t>
        </is>
      </c>
      <c r="AE110" s="29" t="inlineStr">
        <is>
          <t>valuation_credit_ml_overlay_candidate.csv</t>
        </is>
      </c>
      <c r="AF110" s="29" t="inlineStr">
        <is>
          <t>208개 반도체 reference universe. Valuation Agent가 자체 intake 폴더로 복제해 Peer/ML/대시보드 비교에 사용.</t>
        </is>
      </c>
    </row>
    <row r="111" ht="24" customHeight="1">
      <c r="A111" s="24" t="inlineStr">
        <is>
          <t>198</t>
        </is>
      </c>
      <c r="B111" s="24" t="inlineStr">
        <is>
          <t>해당 없음</t>
        </is>
      </c>
      <c r="C111" s="24" t="inlineStr">
        <is>
          <t>심텍홀딩스</t>
        </is>
      </c>
      <c r="D111" s="24" t="inlineStr">
        <is>
          <t>036710</t>
        </is>
      </c>
      <c r="E111" s="24" t="inlineStr">
        <is>
          <t>KOSDAQ</t>
        </is>
      </c>
      <c r="F111" s="24" t="inlineStr">
        <is>
          <t>부품/기판</t>
        </is>
      </c>
      <c r="G111" s="24" t="inlineStr">
        <is>
          <t>부품/기판</t>
        </is>
      </c>
      <c r="H111" s="24" t="inlineStr">
        <is>
          <t>False</t>
        </is>
      </c>
      <c r="I111" s="24" t="inlineStr">
        <is>
          <t>True</t>
        </is>
      </c>
      <c r="J111" s="24" t="inlineStr">
        <is>
          <t>OK</t>
        </is>
      </c>
      <c r="K111" s="24" t="inlineStr">
        <is>
          <t>데이터 사용 가능</t>
        </is>
      </c>
      <c r="L111" s="24" t="inlineStr">
        <is>
          <t>LOW</t>
        </is>
      </c>
      <c r="M111" s="24" t="inlineStr">
        <is>
          <t>LOW</t>
        </is>
      </c>
      <c r="N111" s="24" t="inlineStr">
        <is>
          <t>0.5323809523809524</t>
        </is>
      </c>
      <c r="O111" s="24" t="inlineStr">
        <is>
          <t>FAIR</t>
        </is>
      </c>
      <c r="P111" s="24" t="inlineStr">
        <is>
          <t>FAIR</t>
        </is>
      </c>
      <c r="Q111" s="24" t="inlineStr">
        <is>
          <t>FAIR</t>
        </is>
      </c>
      <c r="R111" s="24" t="inlineStr">
        <is>
          <t>0.726519318190825</t>
        </is>
      </c>
      <c r="S111" s="24" t="inlineStr">
        <is>
          <t>HIGH</t>
        </is>
      </c>
      <c r="T111" s="24" t="inlineStr">
        <is>
          <t>HIGH</t>
        </is>
      </c>
      <c r="U111" s="24" t="inlineStr">
        <is>
          <t>0.7857142857142857</t>
        </is>
      </c>
      <c r="V111" s="24" t="inlineStr">
        <is>
          <t>HIGH_RISK</t>
        </is>
      </c>
      <c r="W111" s="24" t="inlineStr">
        <is>
          <t>고위험</t>
        </is>
      </c>
      <c r="X111" s="24" t="inlineStr">
        <is>
          <t>HIGH_RISK</t>
        </is>
      </c>
      <c r="Y111" s="24" t="inlineStr">
        <is>
          <t>0.9494990496511118</t>
        </is>
      </c>
      <c r="Z111" s="24" t="inlineStr">
        <is>
          <t>HIGH</t>
        </is>
      </c>
      <c r="AA111" s="24" t="inlineStr">
        <is>
          <t>HIGH</t>
        </is>
      </c>
      <c r="AB111" s="24" t="inlineStr">
        <is>
          <t>0.2133344405871512</t>
        </is>
      </c>
      <c r="AC111" s="24" t="inlineStr">
        <is>
          <t>False</t>
        </is>
      </c>
      <c r="AD111" s="24" t="inlineStr">
        <is>
          <t>False</t>
        </is>
      </c>
      <c r="AE111" s="24" t="inlineStr">
        <is>
          <t>valuation_credit_ml_overlay_candidate.csv</t>
        </is>
      </c>
      <c r="AF111" s="24" t="inlineStr">
        <is>
          <t>208개 반도체 reference universe. Valuation Agent가 자체 intake 폴더로 복제해 Peer/ML/대시보드 비교에 사용.</t>
        </is>
      </c>
    </row>
    <row r="112" ht="24" customHeight="1">
      <c r="A112" s="29" t="inlineStr">
        <is>
          <t>201</t>
        </is>
      </c>
      <c r="B112" s="29" t="inlineStr">
        <is>
          <t>해당 없음</t>
        </is>
      </c>
      <c r="C112" s="29" t="inlineStr">
        <is>
          <t>엠디바이스</t>
        </is>
      </c>
      <c r="D112" s="29" t="inlineStr">
        <is>
          <t>226590</t>
        </is>
      </c>
      <c r="E112" s="29" t="inlineStr">
        <is>
          <t>KOSDAQ</t>
        </is>
      </c>
      <c r="F112" s="29" t="inlineStr">
        <is>
          <t>부품/기판</t>
        </is>
      </c>
      <c r="G112" s="29" t="inlineStr">
        <is>
          <t>부품/기판</t>
        </is>
      </c>
      <c r="H112" s="29" t="inlineStr">
        <is>
          <t>False</t>
        </is>
      </c>
      <c r="I112" s="29" t="inlineStr">
        <is>
          <t>True</t>
        </is>
      </c>
      <c r="J112" s="29" t="inlineStr">
        <is>
          <t>OK_LIMITED_HISTORY_OR_GROWTH_NA</t>
        </is>
      </c>
      <c r="K112" s="29" t="inlineStr">
        <is>
          <t>데이터 사용 가능</t>
        </is>
      </c>
      <c r="L112" s="29" t="inlineStr">
        <is>
          <t>LOW</t>
        </is>
      </c>
      <c r="M112" s="29" t="inlineStr">
        <is>
          <t>LOW</t>
        </is>
      </c>
      <c r="N112" s="29" t="inlineStr">
        <is>
          <t>0.531904761904762</t>
        </is>
      </c>
      <c r="O112" s="29" t="inlineStr">
        <is>
          <t>FAIR</t>
        </is>
      </c>
      <c r="P112" s="29" t="inlineStr">
        <is>
          <t>FAIR</t>
        </is>
      </c>
      <c r="Q112" s="29" t="inlineStr">
        <is>
          <t>FAIR</t>
        </is>
      </c>
      <c r="R112" s="29" t="inlineStr">
        <is>
          <t>0.7655361666958056</t>
        </is>
      </c>
      <c r="S112" s="29" t="inlineStr">
        <is>
          <t>HIGH</t>
        </is>
      </c>
      <c r="T112" s="29" t="inlineStr">
        <is>
          <t>HIGH</t>
        </is>
      </c>
      <c r="U112" s="29" t="inlineStr">
        <is>
          <t>0.4285714285714285</t>
        </is>
      </c>
      <c r="V112" s="29" t="inlineStr">
        <is>
          <t>HIGH_RISK</t>
        </is>
      </c>
      <c r="W112" s="29" t="inlineStr">
        <is>
          <t>고위험</t>
        </is>
      </c>
      <c r="X112" s="29" t="inlineStr">
        <is>
          <t>HIGH_RISK</t>
        </is>
      </c>
      <c r="Y112" s="29" t="inlineStr">
        <is>
          <t>0.5435613311923726</t>
        </is>
      </c>
      <c r="Z112" s="29" t="inlineStr">
        <is>
          <t>MEDIUM</t>
        </is>
      </c>
      <c r="AA112" s="29" t="inlineStr">
        <is>
          <t>MEDIUM</t>
        </is>
      </c>
      <c r="AB112" s="29" t="inlineStr">
        <is>
          <t>0.09953338023728169</t>
        </is>
      </c>
      <c r="AC112" s="29" t="inlineStr">
        <is>
          <t>False</t>
        </is>
      </c>
      <c r="AD112" s="29" t="inlineStr">
        <is>
          <t>True</t>
        </is>
      </c>
      <c r="AE112" s="29" t="inlineStr">
        <is>
          <t>valuation_credit_ml_overlay_candidate.csv</t>
        </is>
      </c>
      <c r="AF112" s="29" t="inlineStr">
        <is>
          <t>208개 반도체 reference universe. Valuation Agent가 자체 intake 폴더로 복제해 Peer/ML/대시보드 비교에 사용.</t>
        </is>
      </c>
    </row>
    <row r="113" ht="24" customHeight="1">
      <c r="A113" s="24" t="inlineStr">
        <is>
          <t>207</t>
        </is>
      </c>
      <c r="B113" s="24" t="inlineStr">
        <is>
          <t>해당 없음</t>
        </is>
      </c>
      <c r="C113" s="24" t="inlineStr">
        <is>
          <t>타이거일렉</t>
        </is>
      </c>
      <c r="D113" s="24" t="inlineStr">
        <is>
          <t>219130</t>
        </is>
      </c>
      <c r="E113" s="24" t="inlineStr">
        <is>
          <t>KOSDAQ</t>
        </is>
      </c>
      <c r="F113" s="24" t="inlineStr">
        <is>
          <t>부품/기판</t>
        </is>
      </c>
      <c r="G113" s="24" t="inlineStr">
        <is>
          <t>부품/기판</t>
        </is>
      </c>
      <c r="H113" s="24" t="inlineStr">
        <is>
          <t>False</t>
        </is>
      </c>
      <c r="I113" s="24" t="inlineStr">
        <is>
          <t>True</t>
        </is>
      </c>
      <c r="J113" s="24" t="inlineStr">
        <is>
          <t>OK</t>
        </is>
      </c>
      <c r="K113" s="24" t="inlineStr">
        <is>
          <t>데이터 사용 가능</t>
        </is>
      </c>
      <c r="L113" s="24" t="inlineStr">
        <is>
          <t>LOW</t>
        </is>
      </c>
      <c r="M113" s="24" t="inlineStr">
        <is>
          <t>LOW</t>
        </is>
      </c>
      <c r="N113" s="24" t="inlineStr">
        <is>
          <t>0.5066666666666667</t>
        </is>
      </c>
      <c r="O113" s="24" t="inlineStr">
        <is>
          <t>FAIR</t>
        </is>
      </c>
      <c r="P113" s="24" t="inlineStr">
        <is>
          <t>FAIR</t>
        </is>
      </c>
      <c r="Q113" s="24" t="inlineStr">
        <is>
          <t>FAIR</t>
        </is>
      </c>
      <c r="R113" s="24" t="inlineStr">
        <is>
          <t>0.6463040733623892</t>
        </is>
      </c>
      <c r="S113" s="24" t="inlineStr">
        <is>
          <t>MEDIUM</t>
        </is>
      </c>
      <c r="T113" s="24" t="inlineStr">
        <is>
          <t>MEDIUM</t>
        </is>
      </c>
      <c r="U113" s="24" t="inlineStr">
        <is>
          <t>0.1428571428571428</t>
        </is>
      </c>
      <c r="V113" s="24" t="inlineStr">
        <is>
          <t>LOW_RISK</t>
        </is>
      </c>
      <c r="W113" s="24" t="inlineStr">
        <is>
          <t>저위험</t>
        </is>
      </c>
      <c r="X113" s="24" t="inlineStr">
        <is>
          <t>LOW_RISK</t>
        </is>
      </c>
      <c r="Y113" s="24" t="inlineStr">
        <is>
          <t>0.6693838501840603</t>
        </is>
      </c>
      <c r="Z113" s="24" t="inlineStr">
        <is>
          <t>MEDIUM</t>
        </is>
      </c>
      <c r="AA113" s="24" t="inlineStr">
        <is>
          <t>MEDIUM</t>
        </is>
      </c>
      <c r="AB113" s="24" t="inlineStr">
        <is>
          <t>0.019101509586453232</t>
        </is>
      </c>
      <c r="AC113" s="24" t="inlineStr">
        <is>
          <t>False</t>
        </is>
      </c>
      <c r="AD113" s="24" t="inlineStr">
        <is>
          <t>False</t>
        </is>
      </c>
      <c r="AE113" s="24" t="inlineStr">
        <is>
          <t>valuation_credit_ml_overlay_candidate.csv</t>
        </is>
      </c>
      <c r="AF113" s="24" t="inlineStr">
        <is>
          <t>208개 반도체 reference universe. Valuation Agent가 자체 intake 폴더로 복제해 Peer/ML/대시보드 비교에 사용.</t>
        </is>
      </c>
    </row>
    <row r="114" ht="24" customHeight="1">
      <c r="A114" s="29" t="inlineStr">
        <is>
          <t>202</t>
        </is>
      </c>
      <c r="B114" s="29" t="inlineStr">
        <is>
          <t>해당 없음</t>
        </is>
      </c>
      <c r="C114" s="29" t="inlineStr">
        <is>
          <t>이수페타시스</t>
        </is>
      </c>
      <c r="D114" s="29" t="inlineStr">
        <is>
          <t>007660</t>
        </is>
      </c>
      <c r="E114" s="29" t="inlineStr">
        <is>
          <t>KOSPI</t>
        </is>
      </c>
      <c r="F114" s="29" t="inlineStr">
        <is>
          <t>부품/기판</t>
        </is>
      </c>
      <c r="G114" s="29" t="inlineStr">
        <is>
          <t>부품/기판</t>
        </is>
      </c>
      <c r="H114" s="29" t="inlineStr">
        <is>
          <t>False</t>
        </is>
      </c>
      <c r="I114" s="29" t="inlineStr">
        <is>
          <t>True</t>
        </is>
      </c>
      <c r="J114" s="29" t="inlineStr">
        <is>
          <t>OK</t>
        </is>
      </c>
      <c r="K114" s="29" t="inlineStr">
        <is>
          <t>데이터 사용 가능</t>
        </is>
      </c>
      <c r="L114" s="29" t="inlineStr">
        <is>
          <t>LOW</t>
        </is>
      </c>
      <c r="M114" s="29" t="inlineStr">
        <is>
          <t>LOW</t>
        </is>
      </c>
      <c r="N114" s="29" t="inlineStr">
        <is>
          <t>0.5061904761904762</t>
        </is>
      </c>
      <c r="O114" s="29" t="inlineStr">
        <is>
          <t>FAIR</t>
        </is>
      </c>
      <c r="P114" s="29" t="inlineStr">
        <is>
          <t>FAIR</t>
        </is>
      </c>
      <c r="Q114" s="29" t="inlineStr">
        <is>
          <t>FAIR</t>
        </is>
      </c>
      <c r="R114" s="29" t="inlineStr">
        <is>
          <t>0.599589540069591</t>
        </is>
      </c>
      <c r="S114" s="29" t="inlineStr">
        <is>
          <t>MEDIUM</t>
        </is>
      </c>
      <c r="T114" s="29" t="inlineStr">
        <is>
          <t>MEDIUM</t>
        </is>
      </c>
      <c r="U114" s="29" t="inlineStr">
        <is>
          <t>0.0</t>
        </is>
      </c>
      <c r="V114" s="29" t="inlineStr">
        <is>
          <t>LOW_RISK</t>
        </is>
      </c>
      <c r="W114" s="29" t="inlineStr">
        <is>
          <t>저위험</t>
        </is>
      </c>
      <c r="X114" s="29" t="inlineStr">
        <is>
          <t>LOW_RISK</t>
        </is>
      </c>
      <c r="Y114" s="29" t="inlineStr">
        <is>
          <t>0.8732919913777979</t>
        </is>
      </c>
      <c r="Z114" s="29" t="inlineStr">
        <is>
          <t>HIGH</t>
        </is>
      </c>
      <c r="AA114" s="29" t="inlineStr">
        <is>
          <t>HIGH</t>
        </is>
      </c>
      <c r="AB114" s="29" t="inlineStr">
        <is>
          <t>0.038896158054804106</t>
        </is>
      </c>
      <c r="AC114" s="29" t="inlineStr">
        <is>
          <t>False</t>
        </is>
      </c>
      <c r="AD114" s="29" t="inlineStr">
        <is>
          <t>False</t>
        </is>
      </c>
      <c r="AE114" s="29" t="inlineStr">
        <is>
          <t>valuation_credit_ml_overlay_candidate.csv</t>
        </is>
      </c>
      <c r="AF114" s="29" t="inlineStr">
        <is>
          <t>208개 반도체 reference universe. Valuation Agent가 자체 intake 폴더로 복제해 Peer/ML/대시보드 비교에 사용.</t>
        </is>
      </c>
    </row>
    <row r="115" ht="24" customHeight="1">
      <c r="A115" s="24" t="inlineStr">
        <is>
          <t>205</t>
        </is>
      </c>
      <c r="B115" s="24" t="inlineStr">
        <is>
          <t>해당 없음</t>
        </is>
      </c>
      <c r="C115" s="24" t="inlineStr">
        <is>
          <t>코리아써키트</t>
        </is>
      </c>
      <c r="D115" s="24" t="inlineStr">
        <is>
          <t>007810</t>
        </is>
      </c>
      <c r="E115" s="24" t="inlineStr">
        <is>
          <t>KOSPI</t>
        </is>
      </c>
      <c r="F115" s="24" t="inlineStr">
        <is>
          <t>부품/기판</t>
        </is>
      </c>
      <c r="G115" s="24" t="inlineStr">
        <is>
          <t>부품/기판</t>
        </is>
      </c>
      <c r="H115" s="24" t="inlineStr">
        <is>
          <t>False</t>
        </is>
      </c>
      <c r="I115" s="24" t="inlineStr">
        <is>
          <t>True</t>
        </is>
      </c>
      <c r="J115" s="24" t="inlineStr">
        <is>
          <t>OK</t>
        </is>
      </c>
      <c r="K115" s="24" t="inlineStr">
        <is>
          <t>데이터 사용 가능</t>
        </is>
      </c>
      <c r="L115" s="24" t="inlineStr">
        <is>
          <t>LOW</t>
        </is>
      </c>
      <c r="M115" s="24" t="inlineStr">
        <is>
          <t>LOW</t>
        </is>
      </c>
      <c r="N115" s="24" t="inlineStr">
        <is>
          <t>0.4676190476190476</t>
        </is>
      </c>
      <c r="O115" s="24" t="inlineStr">
        <is>
          <t>FAIR</t>
        </is>
      </c>
      <c r="P115" s="24" t="inlineStr">
        <is>
          <t>FAIR</t>
        </is>
      </c>
      <c r="Q115" s="24" t="inlineStr">
        <is>
          <t>FAIR</t>
        </is>
      </c>
      <c r="R115" s="24" t="inlineStr">
        <is>
          <t>0.8409076697911426</t>
        </is>
      </c>
      <c r="S115" s="24" t="inlineStr">
        <is>
          <t>HIGH</t>
        </is>
      </c>
      <c r="T115" s="24" t="inlineStr">
        <is>
          <t>HIGH</t>
        </is>
      </c>
      <c r="U115" s="24" t="inlineStr">
        <is>
          <t>0.2857142857142857</t>
        </is>
      </c>
      <c r="V115" s="24" t="inlineStr">
        <is>
          <t>MEDIUM_RISK</t>
        </is>
      </c>
      <c r="W115" s="24" t="inlineStr">
        <is>
          <t>중위험</t>
        </is>
      </c>
      <c r="X115" s="24" t="inlineStr">
        <is>
          <t>LOW_RISK</t>
        </is>
      </c>
      <c r="Y115" s="24" t="inlineStr">
        <is>
          <t>0.5792263126697852</t>
        </is>
      </c>
      <c r="Z115" s="24" t="inlineStr">
        <is>
          <t>MEDIUM</t>
        </is>
      </c>
      <c r="AA115" s="24" t="inlineStr">
        <is>
          <t>MEDIUM</t>
        </is>
      </c>
      <c r="AB115" s="24" t="inlineStr">
        <is>
          <t>0.03298450854390864</t>
        </is>
      </c>
      <c r="AC115" s="24" t="inlineStr">
        <is>
          <t>False</t>
        </is>
      </c>
      <c r="AD115" s="24" t="inlineStr">
        <is>
          <t>False</t>
        </is>
      </c>
      <c r="AE115" s="24" t="inlineStr">
        <is>
          <t>valuation_credit_ml_overlay_candidate.csv</t>
        </is>
      </c>
      <c r="AF115" s="24" t="inlineStr">
        <is>
          <t>208개 반도체 reference universe. Valuation Agent가 자체 intake 폴더로 복제해 Peer/ML/대시보드 비교에 사용.</t>
        </is>
      </c>
    </row>
    <row r="116" ht="24" customHeight="1">
      <c r="A116" s="29" t="inlineStr">
        <is>
          <t>200</t>
        </is>
      </c>
      <c r="B116" s="29" t="inlineStr">
        <is>
          <t>해당 없음</t>
        </is>
      </c>
      <c r="C116" s="29" t="inlineStr">
        <is>
          <t>아이티엠반도체</t>
        </is>
      </c>
      <c r="D116" s="29" t="inlineStr">
        <is>
          <t>084850</t>
        </is>
      </c>
      <c r="E116" s="29" t="inlineStr">
        <is>
          <t>KOSDAQ GLOBAL</t>
        </is>
      </c>
      <c r="F116" s="29" t="inlineStr">
        <is>
          <t>부품/기판</t>
        </is>
      </c>
      <c r="G116" s="29" t="inlineStr">
        <is>
          <t>부품/기판</t>
        </is>
      </c>
      <c r="H116" s="29" t="inlineStr">
        <is>
          <t>False</t>
        </is>
      </c>
      <c r="I116" s="29" t="inlineStr">
        <is>
          <t>True</t>
        </is>
      </c>
      <c r="J116" s="29" t="inlineStr">
        <is>
          <t>OK</t>
        </is>
      </c>
      <c r="K116" s="29" t="inlineStr">
        <is>
          <t>데이터 사용 가능</t>
        </is>
      </c>
      <c r="L116" s="29" t="inlineStr">
        <is>
          <t>LOW</t>
        </is>
      </c>
      <c r="M116" s="29" t="inlineStr">
        <is>
          <t>LOW</t>
        </is>
      </c>
      <c r="N116" s="29" t="inlineStr">
        <is>
          <t>0.4123809523809524</t>
        </is>
      </c>
      <c r="O116" s="29" t="inlineStr">
        <is>
          <t>EXPENSIVE</t>
        </is>
      </c>
      <c r="P116" s="29" t="inlineStr">
        <is>
          <t>EXPENSIVE</t>
        </is>
      </c>
      <c r="Q116" s="29" t="inlineStr">
        <is>
          <t>EXPENSIVE</t>
        </is>
      </c>
      <c r="R116" s="29" t="inlineStr">
        <is>
          <t>0.599341656390115</t>
        </is>
      </c>
      <c r="S116" s="29" t="inlineStr">
        <is>
          <t>MEDIUM</t>
        </is>
      </c>
      <c r="T116" s="29" t="inlineStr">
        <is>
          <t>MEDIUM</t>
        </is>
      </c>
      <c r="U116" s="29" t="inlineStr">
        <is>
          <t>0.5</t>
        </is>
      </c>
      <c r="V116" s="29" t="inlineStr">
        <is>
          <t>HIGH_RISK</t>
        </is>
      </c>
      <c r="W116" s="29" t="inlineStr">
        <is>
          <t>고위험</t>
        </is>
      </c>
      <c r="X116" s="29" t="inlineStr">
        <is>
          <t>HIGH_RISK</t>
        </is>
      </c>
      <c r="Y116" s="29" t="inlineStr">
        <is>
          <t>0.5842218052758918</t>
        </is>
      </c>
      <c r="Z116" s="29" t="inlineStr">
        <is>
          <t>MEDIUM</t>
        </is>
      </c>
      <c r="AA116" s="29" t="inlineStr">
        <is>
          <t>MEDIUM</t>
        </is>
      </c>
      <c r="AB116" s="29" t="inlineStr">
        <is>
          <t>0.24031195088694401</t>
        </is>
      </c>
      <c r="AC116" s="29" t="inlineStr">
        <is>
          <t>True</t>
        </is>
      </c>
      <c r="AD116" s="29" t="inlineStr">
        <is>
          <t>True</t>
        </is>
      </c>
      <c r="AE116" s="29" t="inlineStr">
        <is>
          <t>valuation_credit_ml_overlay_candidate.csv</t>
        </is>
      </c>
      <c r="AF116" s="29" t="inlineStr">
        <is>
          <t>208개 반도체 reference universe. Valuation Agent가 자체 intake 폴더로 복제해 Peer/ML/대시보드 비교에 사용.</t>
        </is>
      </c>
    </row>
    <row r="117" ht="24" customHeight="1">
      <c r="A117" s="24" t="inlineStr">
        <is>
          <t>195</t>
        </is>
      </c>
      <c r="B117" s="24" t="inlineStr">
        <is>
          <t>해당 없음</t>
        </is>
      </c>
      <c r="C117" s="24" t="inlineStr">
        <is>
          <t>대덕전자</t>
        </is>
      </c>
      <c r="D117" s="24" t="inlineStr">
        <is>
          <t>353200</t>
        </is>
      </c>
      <c r="E117" s="24" t="inlineStr">
        <is>
          <t>KOSPI</t>
        </is>
      </c>
      <c r="F117" s="24" t="inlineStr">
        <is>
          <t>부품/기판</t>
        </is>
      </c>
      <c r="G117" s="24" t="inlineStr">
        <is>
          <t>부품/기판</t>
        </is>
      </c>
      <c r="H117" s="24" t="inlineStr">
        <is>
          <t>False</t>
        </is>
      </c>
      <c r="I117" s="24" t="inlineStr">
        <is>
          <t>True</t>
        </is>
      </c>
      <c r="J117" s="24" t="inlineStr">
        <is>
          <t>OK</t>
        </is>
      </c>
      <c r="K117" s="24" t="inlineStr">
        <is>
          <t>데이터 사용 가능</t>
        </is>
      </c>
      <c r="L117" s="24" t="inlineStr">
        <is>
          <t>LOW</t>
        </is>
      </c>
      <c r="M117" s="24" t="inlineStr">
        <is>
          <t>LOW</t>
        </is>
      </c>
      <c r="N117" s="24" t="inlineStr">
        <is>
          <t>0.3966666666666666</t>
        </is>
      </c>
      <c r="O117" s="24" t="inlineStr">
        <is>
          <t>EXPENSIVE</t>
        </is>
      </c>
      <c r="P117" s="24" t="inlineStr">
        <is>
          <t>EXPENSIVE</t>
        </is>
      </c>
      <c r="Q117" s="24" t="inlineStr">
        <is>
          <t>EXPENSIVE</t>
        </is>
      </c>
      <c r="R117" s="24" t="inlineStr">
        <is>
          <t>0.6645756407915718</t>
        </is>
      </c>
      <c r="S117" s="24" t="inlineStr">
        <is>
          <t>MEDIUM</t>
        </is>
      </c>
      <c r="T117" s="24" t="inlineStr">
        <is>
          <t>MEDIUM</t>
        </is>
      </c>
      <c r="U117" s="24" t="inlineStr">
        <is>
          <t>0.1428571428571428</t>
        </is>
      </c>
      <c r="V117" s="24" t="inlineStr">
        <is>
          <t>LOW_RISK</t>
        </is>
      </c>
      <c r="W117" s="24" t="inlineStr">
        <is>
          <t>저위험</t>
        </is>
      </c>
      <c r="X117" s="24" t="inlineStr">
        <is>
          <t>LOW_RISK</t>
        </is>
      </c>
      <c r="Y117" s="24" t="inlineStr">
        <is>
          <t>0.8790575945794377</t>
        </is>
      </c>
      <c r="Z117" s="24" t="inlineStr">
        <is>
          <t>HIGH</t>
        </is>
      </c>
      <c r="AA117" s="24" t="inlineStr">
        <is>
          <t>HIGH</t>
        </is>
      </c>
      <c r="AB117" s="24" t="inlineStr">
        <is>
          <t>0.04079572535822507</t>
        </is>
      </c>
      <c r="AC117" s="24" t="inlineStr">
        <is>
          <t>False</t>
        </is>
      </c>
      <c r="AD117" s="24" t="inlineStr">
        <is>
          <t>False</t>
        </is>
      </c>
      <c r="AE117" s="24" t="inlineStr">
        <is>
          <t>valuation_credit_ml_overlay_candidate.csv</t>
        </is>
      </c>
      <c r="AF117" s="24" t="inlineStr">
        <is>
          <t>208개 반도체 reference universe. Valuation Agent가 자체 intake 폴더로 복제해 Peer/ML/대시보드 비교에 사용.</t>
        </is>
      </c>
    </row>
    <row r="118" ht="24" customHeight="1">
      <c r="A118" s="29" t="inlineStr">
        <is>
          <t>197</t>
        </is>
      </c>
      <c r="B118" s="29" t="inlineStr">
        <is>
          <t>해당 없음</t>
        </is>
      </c>
      <c r="C118" s="29" t="inlineStr">
        <is>
          <t>심텍</t>
        </is>
      </c>
      <c r="D118" s="29" t="inlineStr">
        <is>
          <t>222800</t>
        </is>
      </c>
      <c r="E118" s="29" t="inlineStr">
        <is>
          <t>KOSDAQ GLOBAL</t>
        </is>
      </c>
      <c r="F118" s="29" t="inlineStr">
        <is>
          <t>부품/기판</t>
        </is>
      </c>
      <c r="G118" s="29" t="inlineStr">
        <is>
          <t>부품/기판</t>
        </is>
      </c>
      <c r="H118" s="29" t="inlineStr">
        <is>
          <t>False</t>
        </is>
      </c>
      <c r="I118" s="29" t="inlineStr">
        <is>
          <t>True</t>
        </is>
      </c>
      <c r="J118" s="29" t="inlineStr">
        <is>
          <t>OK</t>
        </is>
      </c>
      <c r="K118" s="29" t="inlineStr">
        <is>
          <t>데이터 사용 가능</t>
        </is>
      </c>
      <c r="L118" s="29" t="inlineStr">
        <is>
          <t>LOW</t>
        </is>
      </c>
      <c r="M118" s="29" t="inlineStr">
        <is>
          <t>LOW</t>
        </is>
      </c>
      <c r="N118" s="29" t="inlineStr">
        <is>
          <t>0.3776190476190476</t>
        </is>
      </c>
      <c r="O118" s="29" t="inlineStr">
        <is>
          <t>EXPENSIVE</t>
        </is>
      </c>
      <c r="P118" s="29" t="inlineStr">
        <is>
          <t>EXPENSIVE</t>
        </is>
      </c>
      <c r="Q118" s="29" t="inlineStr">
        <is>
          <t>EXPENSIVE</t>
        </is>
      </c>
      <c r="R118" s="29" t="inlineStr">
        <is>
          <t>0.5170784842162837</t>
        </is>
      </c>
      <c r="S118" s="29" t="inlineStr">
        <is>
          <t>MEDIUM</t>
        </is>
      </c>
      <c r="T118" s="29" t="inlineStr">
        <is>
          <t>MEDIUM</t>
        </is>
      </c>
      <c r="U118" s="29" t="inlineStr">
        <is>
          <t>0.5714285714285714</t>
        </is>
      </c>
      <c r="V118" s="29" t="inlineStr">
        <is>
          <t>HIGH_RISK</t>
        </is>
      </c>
      <c r="W118" s="29" t="inlineStr">
        <is>
          <t>고위험</t>
        </is>
      </c>
      <c r="X118" s="29" t="inlineStr">
        <is>
          <t>HIGH_RISK</t>
        </is>
      </c>
      <c r="Y118" s="29" t="inlineStr">
        <is>
          <t>0.8465973773812472</t>
        </is>
      </c>
      <c r="Z118" s="29" t="inlineStr">
        <is>
          <t>HIGH</t>
        </is>
      </c>
      <c r="AA118" s="29" t="inlineStr">
        <is>
          <t>HIGH</t>
        </is>
      </c>
      <c r="AB118" s="29" t="inlineStr">
        <is>
          <t>0.10596332114746113</t>
        </is>
      </c>
      <c r="AC118" s="29" t="inlineStr">
        <is>
          <t>False</t>
        </is>
      </c>
      <c r="AD118" s="29" t="inlineStr">
        <is>
          <t>False</t>
        </is>
      </c>
      <c r="AE118" s="29" t="inlineStr">
        <is>
          <t>valuation_credit_ml_overlay_candidate.csv</t>
        </is>
      </c>
      <c r="AF118" s="29" t="inlineStr">
        <is>
          <t>208개 반도체 reference universe. Valuation Agent가 자체 intake 폴더로 복제해 Peer/ML/대시보드 비교에 사용.</t>
        </is>
      </c>
    </row>
    <row r="119" ht="24" customHeight="1">
      <c r="A119" s="24" t="inlineStr">
        <is>
          <t>199</t>
        </is>
      </c>
      <c r="B119" s="24" t="inlineStr">
        <is>
          <t>해당 없음</t>
        </is>
      </c>
      <c r="C119" s="24" t="inlineStr">
        <is>
          <t>아이에이</t>
        </is>
      </c>
      <c r="D119" s="24" t="inlineStr">
        <is>
          <t>038880</t>
        </is>
      </c>
      <c r="E119" s="24" t="inlineStr">
        <is>
          <t>KOSDAQ</t>
        </is>
      </c>
      <c r="F119" s="24" t="inlineStr">
        <is>
          <t>부품/기판</t>
        </is>
      </c>
      <c r="G119" s="24" t="inlineStr">
        <is>
          <t>부품/기판</t>
        </is>
      </c>
      <c r="H119" s="24" t="inlineStr">
        <is>
          <t>False</t>
        </is>
      </c>
      <c r="I119" s="24" t="inlineStr">
        <is>
          <t>True</t>
        </is>
      </c>
      <c r="J119" s="24" t="inlineStr">
        <is>
          <t>OK</t>
        </is>
      </c>
      <c r="K119" s="24" t="inlineStr">
        <is>
          <t>데이터 사용 가능</t>
        </is>
      </c>
      <c r="L119" s="24" t="inlineStr">
        <is>
          <t>LOW</t>
        </is>
      </c>
      <c r="M119" s="24" t="inlineStr">
        <is>
          <t>LOW</t>
        </is>
      </c>
      <c r="N119" s="24" t="inlineStr">
        <is>
          <t>0.3776190476190476</t>
        </is>
      </c>
      <c r="O119" s="24" t="inlineStr">
        <is>
          <t>EXPENSIVE</t>
        </is>
      </c>
      <c r="P119" s="24" t="inlineStr">
        <is>
          <t>EXPENSIVE</t>
        </is>
      </c>
      <c r="Q119" s="24" t="inlineStr">
        <is>
          <t>EXPENSIVE</t>
        </is>
      </c>
      <c r="R119" s="24" t="inlineStr">
        <is>
          <t>0.7739089828714508</t>
        </is>
      </c>
      <c r="S119" s="24" t="inlineStr">
        <is>
          <t>HIGH</t>
        </is>
      </c>
      <c r="T119" s="24" t="inlineStr">
        <is>
          <t>HIGH</t>
        </is>
      </c>
      <c r="U119" s="24" t="inlineStr">
        <is>
          <t>0.7142857142857143</t>
        </is>
      </c>
      <c r="V119" s="24" t="inlineStr">
        <is>
          <t>HIGH_RISK</t>
        </is>
      </c>
      <c r="W119" s="24" t="inlineStr">
        <is>
          <t>고위험</t>
        </is>
      </c>
      <c r="X119" s="24" t="inlineStr">
        <is>
          <t>HIGH_RISK</t>
        </is>
      </c>
      <c r="Y119" s="24" t="inlineStr">
        <is>
          <t>0.9768034906818953</t>
        </is>
      </c>
      <c r="Z119" s="24" t="inlineStr">
        <is>
          <t>HIGH</t>
        </is>
      </c>
      <c r="AA119" s="24" t="inlineStr">
        <is>
          <t>HIGH</t>
        </is>
      </c>
      <c r="AB119" s="24" t="inlineStr">
        <is>
          <t>0.2681205370430481</t>
        </is>
      </c>
      <c r="AC119" s="24" t="inlineStr">
        <is>
          <t>True</t>
        </is>
      </c>
      <c r="AD119" s="24" t="inlineStr">
        <is>
          <t>True</t>
        </is>
      </c>
      <c r="AE119" s="24" t="inlineStr">
        <is>
          <t>valuation_credit_ml_overlay_candidate.csv</t>
        </is>
      </c>
      <c r="AF119" s="24" t="inlineStr">
        <is>
          <t>208개 반도체 reference universe. Valuation Agent가 자체 intake 폴더로 복제해 Peer/ML/대시보드 비교에 사용.</t>
        </is>
      </c>
    </row>
    <row r="120" ht="24" customHeight="1">
      <c r="A120" s="29" t="inlineStr">
        <is>
          <t>208</t>
        </is>
      </c>
      <c r="B120" s="29" t="inlineStr">
        <is>
          <t>해당 없음</t>
        </is>
      </c>
      <c r="C120" s="29" t="inlineStr">
        <is>
          <t>3S</t>
        </is>
      </c>
      <c r="D120" s="29" t="inlineStr">
        <is>
          <t>060310</t>
        </is>
      </c>
      <c r="E120" s="29" t="inlineStr">
        <is>
          <t>KOSDAQ</t>
        </is>
      </c>
      <c r="F120" s="29" t="inlineStr">
        <is>
          <t>부품/기판</t>
        </is>
      </c>
      <c r="G120" s="29" t="inlineStr">
        <is>
          <t>부품/웨이퍼캐리어</t>
        </is>
      </c>
      <c r="H120" s="29" t="inlineStr">
        <is>
          <t>False</t>
        </is>
      </c>
      <c r="I120" s="29" t="inlineStr">
        <is>
          <t>True</t>
        </is>
      </c>
      <c r="J120" s="29" t="inlineStr">
        <is>
          <t>OK</t>
        </is>
      </c>
      <c r="K120" s="29" t="inlineStr">
        <is>
          <t>데이터 사용 가능</t>
        </is>
      </c>
      <c r="L120" s="29" t="inlineStr">
        <is>
          <t>LOW</t>
        </is>
      </c>
      <c r="M120" s="29" t="inlineStr">
        <is>
          <t>LOW</t>
        </is>
      </c>
      <c r="N120" s="29" t="inlineStr">
        <is>
          <t>0.3409523809523809</t>
        </is>
      </c>
      <c r="O120" s="29" t="inlineStr">
        <is>
          <t>EXPENSIVE</t>
        </is>
      </c>
      <c r="P120" s="29" t="inlineStr">
        <is>
          <t>EXPENSIVE</t>
        </is>
      </c>
      <c r="Q120" s="29" t="inlineStr">
        <is>
          <t>EXPENSIVE</t>
        </is>
      </c>
      <c r="R120" s="29" t="inlineStr">
        <is>
          <t>0.8755971854841007</t>
        </is>
      </c>
      <c r="S120" s="29" t="inlineStr">
        <is>
          <t>HIGH</t>
        </is>
      </c>
      <c r="T120" s="29" t="inlineStr">
        <is>
          <t>HIGH</t>
        </is>
      </c>
      <c r="U120" s="29" t="inlineStr">
        <is>
          <t>0.5714285714285714</t>
        </is>
      </c>
      <c r="V120" s="29" t="inlineStr">
        <is>
          <t>HIGH_RISK</t>
        </is>
      </c>
      <c r="W120" s="29" t="inlineStr">
        <is>
          <t>고위험</t>
        </is>
      </c>
      <c r="X120" s="29" t="inlineStr">
        <is>
          <t>HIGH_RISK</t>
        </is>
      </c>
      <c r="Y120" s="29" t="inlineStr">
        <is>
          <t>0.9688627439088098</t>
        </is>
      </c>
      <c r="Z120" s="29" t="inlineStr">
        <is>
          <t>HIGH</t>
        </is>
      </c>
      <c r="AA120" s="29" t="inlineStr">
        <is>
          <t>HIGH</t>
        </is>
      </c>
      <c r="AB120" s="29" t="inlineStr">
        <is>
          <t>0.13174199880530135</t>
        </is>
      </c>
      <c r="AC120" s="29" t="inlineStr">
        <is>
          <t>False</t>
        </is>
      </c>
      <c r="AD120" s="29" t="inlineStr">
        <is>
          <t>False</t>
        </is>
      </c>
      <c r="AE120" s="29" t="inlineStr">
        <is>
          <t>valuation_credit_ml_overlay_candidate.csv</t>
        </is>
      </c>
      <c r="AF120" s="29" t="inlineStr">
        <is>
          <t>208개 반도체 reference universe. Valuation Agent가 자체 intake 폴더로 복제해 Peer/ML/대시보드 비교에 사용.</t>
        </is>
      </c>
    </row>
    <row r="121" ht="24" customHeight="1">
      <c r="A121" s="24" t="inlineStr">
        <is>
          <t>139</t>
        </is>
      </c>
      <c r="B121" s="24" t="inlineStr">
        <is>
          <t>해당 없음</t>
        </is>
      </c>
      <c r="C121" s="24" t="inlineStr">
        <is>
          <t>월덱스</t>
        </is>
      </c>
      <c r="D121" s="24" t="inlineStr">
        <is>
          <t>101160</t>
        </is>
      </c>
      <c r="E121" s="24" t="inlineStr">
        <is>
          <t>KOSDAQ</t>
        </is>
      </c>
      <c r="F121" s="24" t="inlineStr">
        <is>
          <t>소재</t>
        </is>
      </c>
      <c r="G121" s="24" t="inlineStr">
        <is>
          <t>소재</t>
        </is>
      </c>
      <c r="H121" s="24" t="inlineStr">
        <is>
          <t>False</t>
        </is>
      </c>
      <c r="I121" s="24" t="inlineStr">
        <is>
          <t>True</t>
        </is>
      </c>
      <c r="J121" s="24" t="inlineStr">
        <is>
          <t>OK</t>
        </is>
      </c>
      <c r="K121" s="24" t="inlineStr">
        <is>
          <t>데이터 사용 가능</t>
        </is>
      </c>
      <c r="L121" s="24" t="inlineStr">
        <is>
          <t>LOW</t>
        </is>
      </c>
      <c r="M121" s="24" t="inlineStr">
        <is>
          <t>LOW</t>
        </is>
      </c>
      <c r="N121" s="24" t="inlineStr">
        <is>
          <t>0.745897435897436</t>
        </is>
      </c>
      <c r="O121" s="24" t="inlineStr">
        <is>
          <t>ATTRACTIVE</t>
        </is>
      </c>
      <c r="P121" s="24" t="inlineStr">
        <is>
          <t>가치 매력</t>
        </is>
      </c>
      <c r="Q121" s="24" t="inlineStr">
        <is>
          <t>ATTRACTIVE</t>
        </is>
      </c>
      <c r="R121" s="24" t="inlineStr">
        <is>
          <t>0.9476922450763601</t>
        </is>
      </c>
      <c r="S121" s="24" t="inlineStr">
        <is>
          <t>HIGH</t>
        </is>
      </c>
      <c r="T121" s="24" t="inlineStr">
        <is>
          <t>HIGH</t>
        </is>
      </c>
      <c r="U121" s="24" t="inlineStr">
        <is>
          <t>0.0</t>
        </is>
      </c>
      <c r="V121" s="24" t="inlineStr">
        <is>
          <t>LOW_RISK</t>
        </is>
      </c>
      <c r="W121" s="24" t="inlineStr">
        <is>
          <t>저위험</t>
        </is>
      </c>
      <c r="X121" s="24" t="inlineStr">
        <is>
          <t>LOW_RISK</t>
        </is>
      </c>
      <c r="Y121" s="24" t="inlineStr">
        <is>
          <t>0.9681016473230849</t>
        </is>
      </c>
      <c r="Z121" s="24" t="inlineStr">
        <is>
          <t>HIGH</t>
        </is>
      </c>
      <c r="AA121" s="24" t="inlineStr">
        <is>
          <t>HIGH</t>
        </is>
      </c>
      <c r="AB121" s="24" t="inlineStr">
        <is>
          <t>0.15527064195126172</t>
        </is>
      </c>
      <c r="AC121" s="24" t="inlineStr">
        <is>
          <t>False</t>
        </is>
      </c>
      <c r="AD121" s="24" t="inlineStr">
        <is>
          <t>False</t>
        </is>
      </c>
      <c r="AE121" s="24" t="inlineStr">
        <is>
          <t>valuation_credit_ml_overlay_candidate.csv</t>
        </is>
      </c>
      <c r="AF121" s="24" t="inlineStr">
        <is>
          <t>208개 반도체 reference universe. Valuation Agent가 자체 intake 폴더로 복제해 Peer/ML/대시보드 비교에 사용.</t>
        </is>
      </c>
    </row>
    <row r="122" ht="24" customHeight="1">
      <c r="A122" s="29" t="inlineStr">
        <is>
          <t>147</t>
        </is>
      </c>
      <c r="B122" s="29" t="inlineStr">
        <is>
          <t>해당 없음</t>
        </is>
      </c>
      <c r="C122" s="29" t="inlineStr">
        <is>
          <t>퓨릿</t>
        </is>
      </c>
      <c r="D122" s="29" t="inlineStr">
        <is>
          <t>445180</t>
        </is>
      </c>
      <c r="E122" s="29" t="inlineStr">
        <is>
          <t>KOSDAQ</t>
        </is>
      </c>
      <c r="F122" s="29" t="inlineStr">
        <is>
          <t>소재</t>
        </is>
      </c>
      <c r="G122" s="29" t="inlineStr">
        <is>
          <t>소재</t>
        </is>
      </c>
      <c r="H122" s="29" t="inlineStr">
        <is>
          <t>False</t>
        </is>
      </c>
      <c r="I122" s="29" t="inlineStr">
        <is>
          <t>True</t>
        </is>
      </c>
      <c r="J122" s="29" t="inlineStr">
        <is>
          <t>OK_LIMITED_HISTORY_OR_GROWTH_NA</t>
        </is>
      </c>
      <c r="K122" s="29" t="inlineStr">
        <is>
          <t>데이터 사용 가능</t>
        </is>
      </c>
      <c r="L122" s="29" t="inlineStr">
        <is>
          <t>LOW</t>
        </is>
      </c>
      <c r="M122" s="29" t="inlineStr">
        <is>
          <t>LOW</t>
        </is>
      </c>
      <c r="N122" s="29" t="inlineStr">
        <is>
          <t>0.7448717948717948</t>
        </is>
      </c>
      <c r="O122" s="29" t="inlineStr">
        <is>
          <t>ATTRACTIVE</t>
        </is>
      </c>
      <c r="P122" s="29" t="inlineStr">
        <is>
          <t>가치 매력</t>
        </is>
      </c>
      <c r="Q122" s="29" t="inlineStr">
        <is>
          <t>ATTRACTIVE</t>
        </is>
      </c>
      <c r="R122" s="29" t="inlineStr">
        <is>
          <t>0.8817607106455689</t>
        </is>
      </c>
      <c r="S122" s="29" t="inlineStr">
        <is>
          <t>HIGH</t>
        </is>
      </c>
      <c r="T122" s="29" t="inlineStr">
        <is>
          <t>HIGH</t>
        </is>
      </c>
      <c r="U122" s="29" t="inlineStr">
        <is>
          <t>0.0714285714285714</t>
        </is>
      </c>
      <c r="V122" s="29" t="inlineStr">
        <is>
          <t>LOW_RISK</t>
        </is>
      </c>
      <c r="W122" s="29" t="inlineStr">
        <is>
          <t>저위험</t>
        </is>
      </c>
      <c r="X122" s="29" t="inlineStr">
        <is>
          <t>LOW_RISK</t>
        </is>
      </c>
      <c r="Y122" s="29" t="inlineStr">
        <is>
          <t>0.9587686707140917</t>
        </is>
      </c>
      <c r="Z122" s="29" t="inlineStr">
        <is>
          <t>HIGH</t>
        </is>
      </c>
      <c r="AA122" s="29" t="inlineStr">
        <is>
          <t>HIGH</t>
        </is>
      </c>
      <c r="AB122" s="29" t="inlineStr">
        <is>
          <t>0.09055441585311619</t>
        </is>
      </c>
      <c r="AC122" s="29" t="inlineStr">
        <is>
          <t>False</t>
        </is>
      </c>
      <c r="AD122" s="29" t="inlineStr">
        <is>
          <t>True</t>
        </is>
      </c>
      <c r="AE122" s="29" t="inlineStr">
        <is>
          <t>valuation_credit_ml_overlay_candidate.csv</t>
        </is>
      </c>
      <c r="AF122" s="29" t="inlineStr">
        <is>
          <t>208개 반도체 reference universe. Valuation Agent가 자체 intake 폴더로 복제해 Peer/ML/대시보드 비교에 사용.</t>
        </is>
      </c>
    </row>
    <row r="123" ht="24" customHeight="1">
      <c r="A123" s="24" t="inlineStr">
        <is>
          <t>141</t>
        </is>
      </c>
      <c r="B123" s="24" t="inlineStr">
        <is>
          <t>해당 없음</t>
        </is>
      </c>
      <c r="C123" s="24" t="inlineStr">
        <is>
          <t>이엔에프테크놀로지</t>
        </is>
      </c>
      <c r="D123" s="24" t="inlineStr">
        <is>
          <t>102710</t>
        </is>
      </c>
      <c r="E123" s="24" t="inlineStr">
        <is>
          <t>KOSDAQ</t>
        </is>
      </c>
      <c r="F123" s="24" t="inlineStr">
        <is>
          <t>소재</t>
        </is>
      </c>
      <c r="G123" s="24" t="inlineStr">
        <is>
          <t>소재</t>
        </is>
      </c>
      <c r="H123" s="24" t="inlineStr">
        <is>
          <t>False</t>
        </is>
      </c>
      <c r="I123" s="24" t="inlineStr">
        <is>
          <t>True</t>
        </is>
      </c>
      <c r="J123" s="24" t="inlineStr">
        <is>
          <t>OK</t>
        </is>
      </c>
      <c r="K123" s="24" t="inlineStr">
        <is>
          <t>데이터 사용 가능</t>
        </is>
      </c>
      <c r="L123" s="24" t="inlineStr">
        <is>
          <t>LOW</t>
        </is>
      </c>
      <c r="M123" s="24" t="inlineStr">
        <is>
          <t>LOW</t>
        </is>
      </c>
      <c r="N123" s="24" t="inlineStr">
        <is>
          <t>0.7061538461538462</t>
        </is>
      </c>
      <c r="O123" s="24" t="inlineStr">
        <is>
          <t>ATTRACTIVE</t>
        </is>
      </c>
      <c r="P123" s="24" t="inlineStr">
        <is>
          <t>가치 매력</t>
        </is>
      </c>
      <c r="Q123" s="24" t="inlineStr">
        <is>
          <t>ATTRACTIVE</t>
        </is>
      </c>
      <c r="R123" s="24" t="inlineStr">
        <is>
          <t>0.9371627732042065</t>
        </is>
      </c>
      <c r="S123" s="24" t="inlineStr">
        <is>
          <t>HIGH</t>
        </is>
      </c>
      <c r="T123" s="24" t="inlineStr">
        <is>
          <t>HIGH</t>
        </is>
      </c>
      <c r="U123" s="24" t="inlineStr">
        <is>
          <t>0.0</t>
        </is>
      </c>
      <c r="V123" s="24" t="inlineStr">
        <is>
          <t>LOW_RISK</t>
        </is>
      </c>
      <c r="W123" s="24" t="inlineStr">
        <is>
          <t>저위험</t>
        </is>
      </c>
      <c r="X123" s="24" t="inlineStr">
        <is>
          <t>LOW_RISK</t>
        </is>
      </c>
      <c r="Y123" s="24" t="inlineStr">
        <is>
          <t>0.8730332003988217</t>
        </is>
      </c>
      <c r="Z123" s="24" t="inlineStr">
        <is>
          <t>HIGH</t>
        </is>
      </c>
      <c r="AA123" s="24" t="inlineStr">
        <is>
          <t>HIGH</t>
        </is>
      </c>
      <c r="AB123" s="24" t="inlineStr">
        <is>
          <t>0.01762692878431683</t>
        </is>
      </c>
      <c r="AC123" s="24" t="inlineStr">
        <is>
          <t>False</t>
        </is>
      </c>
      <c r="AD123" s="24" t="inlineStr">
        <is>
          <t>False</t>
        </is>
      </c>
      <c r="AE123" s="24" t="inlineStr">
        <is>
          <t>valuation_credit_ml_overlay_candidate.csv</t>
        </is>
      </c>
      <c r="AF123" s="24" t="inlineStr">
        <is>
          <t>208개 반도체 reference universe. Valuation Agent가 자체 intake 폴더로 복제해 Peer/ML/대시보드 비교에 사용.</t>
        </is>
      </c>
    </row>
    <row r="124" ht="24" customHeight="1">
      <c r="A124" s="29" t="inlineStr">
        <is>
          <t>138</t>
        </is>
      </c>
      <c r="B124" s="29" t="inlineStr">
        <is>
          <t>해당 없음</t>
        </is>
      </c>
      <c r="C124" s="29" t="inlineStr">
        <is>
          <t>원익머트리얼즈</t>
        </is>
      </c>
      <c r="D124" s="29" t="inlineStr">
        <is>
          <t>104830</t>
        </is>
      </c>
      <c r="E124" s="29" t="inlineStr">
        <is>
          <t>KOSDAQ</t>
        </is>
      </c>
      <c r="F124" s="29" t="inlineStr">
        <is>
          <t>소재</t>
        </is>
      </c>
      <c r="G124" s="29" t="inlineStr">
        <is>
          <t>소재</t>
        </is>
      </c>
      <c r="H124" s="29" t="inlineStr">
        <is>
          <t>False</t>
        </is>
      </c>
      <c r="I124" s="29" t="inlineStr">
        <is>
          <t>True</t>
        </is>
      </c>
      <c r="J124" s="29" t="inlineStr">
        <is>
          <t>OK</t>
        </is>
      </c>
      <c r="K124" s="29" t="inlineStr">
        <is>
          <t>데이터 사용 가능</t>
        </is>
      </c>
      <c r="L124" s="29" t="inlineStr">
        <is>
          <t>LOW</t>
        </is>
      </c>
      <c r="M124" s="29" t="inlineStr">
        <is>
          <t>LOW</t>
        </is>
      </c>
      <c r="N124" s="29" t="inlineStr">
        <is>
          <t>0.6682051282051282</t>
        </is>
      </c>
      <c r="O124" s="29" t="inlineStr">
        <is>
          <t>FAIR</t>
        </is>
      </c>
      <c r="P124" s="29" t="inlineStr">
        <is>
          <t>FAIR</t>
        </is>
      </c>
      <c r="Q124" s="29" t="inlineStr">
        <is>
          <t>FAIR</t>
        </is>
      </c>
      <c r="R124" s="29" t="inlineStr">
        <is>
          <t>0.9160049727267536</t>
        </is>
      </c>
      <c r="S124" s="29" t="inlineStr">
        <is>
          <t>HIGH</t>
        </is>
      </c>
      <c r="T124" s="29" t="inlineStr">
        <is>
          <t>HIGH</t>
        </is>
      </c>
      <c r="U124" s="29" t="inlineStr">
        <is>
          <t>0.0714285714285714</t>
        </is>
      </c>
      <c r="V124" s="29" t="inlineStr">
        <is>
          <t>LOW_RISK</t>
        </is>
      </c>
      <c r="W124" s="29" t="inlineStr">
        <is>
          <t>저위험</t>
        </is>
      </c>
      <c r="X124" s="29" t="inlineStr">
        <is>
          <t>LOW_RISK</t>
        </is>
      </c>
      <c r="Y124" s="29" t="inlineStr">
        <is>
          <t>0.9269592012859288</t>
        </is>
      </c>
      <c r="Z124" s="29" t="inlineStr">
        <is>
          <t>HIGH</t>
        </is>
      </c>
      <c r="AA124" s="29" t="inlineStr">
        <is>
          <t>HIGH</t>
        </is>
      </c>
      <c r="AB124" s="29" t="inlineStr">
        <is>
          <t>0.08809933839296093</t>
        </is>
      </c>
      <c r="AC124" s="29" t="inlineStr">
        <is>
          <t>False</t>
        </is>
      </c>
      <c r="AD124" s="29" t="inlineStr">
        <is>
          <t>False</t>
        </is>
      </c>
      <c r="AE124" s="29" t="inlineStr">
        <is>
          <t>valuation_credit_ml_overlay_candidate.csv</t>
        </is>
      </c>
      <c r="AF124" s="29" t="inlineStr">
        <is>
          <t>208개 반도체 reference universe. Valuation Agent가 자체 intake 폴더로 복제해 Peer/ML/대시보드 비교에 사용.</t>
        </is>
      </c>
    </row>
    <row r="125" ht="24" customHeight="1">
      <c r="A125" s="24" t="inlineStr">
        <is>
          <t>130</t>
        </is>
      </c>
      <c r="B125" s="24" t="inlineStr">
        <is>
          <t>해당 없음</t>
        </is>
      </c>
      <c r="C125" s="24" t="inlineStr">
        <is>
          <t>솔브레인홀딩스</t>
        </is>
      </c>
      <c r="D125" s="24" t="inlineStr">
        <is>
          <t>036830</t>
        </is>
      </c>
      <c r="E125" s="24" t="inlineStr">
        <is>
          <t>KOSDAQ GLOBAL</t>
        </is>
      </c>
      <c r="F125" s="24" t="inlineStr">
        <is>
          <t>소재</t>
        </is>
      </c>
      <c r="G125" s="24" t="inlineStr">
        <is>
          <t>소재</t>
        </is>
      </c>
      <c r="H125" s="24" t="inlineStr">
        <is>
          <t>False</t>
        </is>
      </c>
      <c r="I125" s="24" t="inlineStr">
        <is>
          <t>True</t>
        </is>
      </c>
      <c r="J125" s="24" t="inlineStr">
        <is>
          <t>OK</t>
        </is>
      </c>
      <c r="K125" s="24" t="inlineStr">
        <is>
          <t>데이터 사용 가능</t>
        </is>
      </c>
      <c r="L125" s="24" t="inlineStr">
        <is>
          <t>LOW</t>
        </is>
      </c>
      <c r="M125" s="24" t="inlineStr">
        <is>
          <t>LOW</t>
        </is>
      </c>
      <c r="N125" s="24" t="inlineStr">
        <is>
          <t>0.6666666666666667</t>
        </is>
      </c>
      <c r="O125" s="24" t="inlineStr">
        <is>
          <t>ATTRACTIVE</t>
        </is>
      </c>
      <c r="P125" s="24" t="inlineStr">
        <is>
          <t>가치 매력</t>
        </is>
      </c>
      <c r="Q125" s="24" t="inlineStr">
        <is>
          <t>ATTRACTIVE</t>
        </is>
      </c>
      <c r="R125" s="24" t="inlineStr">
        <is>
          <t>0.5229115612060397</t>
        </is>
      </c>
      <c r="S125" s="24" t="inlineStr">
        <is>
          <t>MEDIUM</t>
        </is>
      </c>
      <c r="T125" s="24" t="inlineStr">
        <is>
          <t>MEDIUM</t>
        </is>
      </c>
      <c r="U125" s="24" t="inlineStr">
        <is>
          <t>0.0</t>
        </is>
      </c>
      <c r="V125" s="24" t="inlineStr">
        <is>
          <t>LOW_RISK</t>
        </is>
      </c>
      <c r="W125" s="24" t="inlineStr">
        <is>
          <t>저위험</t>
        </is>
      </c>
      <c r="X125" s="24" t="inlineStr">
        <is>
          <t>LOW_RISK</t>
        </is>
      </c>
      <c r="Y125" s="24" t="inlineStr">
        <is>
          <t>0.8942479649490351</t>
        </is>
      </c>
      <c r="Z125" s="24" t="inlineStr">
        <is>
          <t>HIGH</t>
        </is>
      </c>
      <c r="AA125" s="24" t="inlineStr">
        <is>
          <t>HIGH</t>
        </is>
      </c>
      <c r="AB125" s="24" t="inlineStr">
        <is>
          <t>0.13058276838656327</t>
        </is>
      </c>
      <c r="AC125" s="24" t="inlineStr">
        <is>
          <t>False</t>
        </is>
      </c>
      <c r="AD125" s="24" t="inlineStr">
        <is>
          <t>False</t>
        </is>
      </c>
      <c r="AE125" s="24" t="inlineStr">
        <is>
          <t>valuation_credit_ml_overlay_candidate.csv</t>
        </is>
      </c>
      <c r="AF125" s="24" t="inlineStr">
        <is>
          <t>208개 반도체 reference universe. Valuation Agent가 자체 intake 폴더로 복제해 Peer/ML/대시보드 비교에 사용.</t>
        </is>
      </c>
    </row>
    <row r="126" ht="24" customHeight="1">
      <c r="A126" s="29" t="inlineStr">
        <is>
          <t>148</t>
        </is>
      </c>
      <c r="B126" s="29" t="inlineStr">
        <is>
          <t>hansol</t>
        </is>
      </c>
      <c r="C126" s="29" t="inlineStr">
        <is>
          <t>한솔케미칼</t>
        </is>
      </c>
      <c r="D126" s="29" t="inlineStr">
        <is>
          <t>014680</t>
        </is>
      </c>
      <c r="E126" s="29" t="inlineStr">
        <is>
          <t>KOSPI</t>
        </is>
      </c>
      <c r="F126" s="29" t="inlineStr">
        <is>
          <t>소재</t>
        </is>
      </c>
      <c r="G126" s="29" t="inlineStr">
        <is>
          <t>소재</t>
        </is>
      </c>
      <c r="H126" s="29" t="inlineStr">
        <is>
          <t>True</t>
        </is>
      </c>
      <c r="I126" s="29" t="inlineStr">
        <is>
          <t>True</t>
        </is>
      </c>
      <c r="J126" s="29" t="inlineStr">
        <is>
          <t>OK</t>
        </is>
      </c>
      <c r="K126" s="29" t="inlineStr">
        <is>
          <t>데이터 사용 가능</t>
        </is>
      </c>
      <c r="L126" s="29" t="inlineStr">
        <is>
          <t>LOW</t>
        </is>
      </c>
      <c r="M126" s="29" t="inlineStr">
        <is>
          <t>LOW</t>
        </is>
      </c>
      <c r="N126" s="29" t="inlineStr">
        <is>
          <t>0.6330769230769231</t>
        </is>
      </c>
      <c r="O126" s="29" t="inlineStr">
        <is>
          <t>ATTRACTIVE</t>
        </is>
      </c>
      <c r="P126" s="29" t="inlineStr">
        <is>
          <t>가치 매력</t>
        </is>
      </c>
      <c r="Q126" s="29" t="inlineStr">
        <is>
          <t>ATTRACTIVE</t>
        </is>
      </c>
      <c r="R126" s="29" t="inlineStr">
        <is>
          <t>0.8364696976606926</t>
        </is>
      </c>
      <c r="S126" s="29" t="inlineStr">
        <is>
          <t>HIGH</t>
        </is>
      </c>
      <c r="T126" s="29" t="inlineStr">
        <is>
          <t>HIGH</t>
        </is>
      </c>
      <c r="U126" s="29" t="inlineStr">
        <is>
          <t>0.0</t>
        </is>
      </c>
      <c r="V126" s="29" t="inlineStr">
        <is>
          <t>LOW_RISK</t>
        </is>
      </c>
      <c r="W126" s="29" t="inlineStr">
        <is>
          <t>저위험</t>
        </is>
      </c>
      <c r="X126" s="29" t="inlineStr">
        <is>
          <t>LOW_RISK</t>
        </is>
      </c>
      <c r="Y126" s="29" t="inlineStr">
        <is>
          <t>0.9711543901439185</t>
        </is>
      </c>
      <c r="Z126" s="29" t="inlineStr">
        <is>
          <t>HIGH</t>
        </is>
      </c>
      <c r="AA126" s="29" t="inlineStr">
        <is>
          <t>HIGH</t>
        </is>
      </c>
      <c r="AB126" s="29" t="inlineStr">
        <is>
          <t>0.058190310497948615</t>
        </is>
      </c>
      <c r="AC126" s="29" t="inlineStr">
        <is>
          <t>False</t>
        </is>
      </c>
      <c r="AD126" s="29" t="inlineStr">
        <is>
          <t>False</t>
        </is>
      </c>
      <c r="AE126" s="29" t="inlineStr">
        <is>
          <t>valuation_credit_ml_overlay_candidate.csv</t>
        </is>
      </c>
      <c r="AF126" s="29" t="inlineStr">
        <is>
          <t>208개 반도체 reference universe. Valuation Agent가 자체 intake 폴더로 복제해 Peer/ML/대시보드 비교에 사용.</t>
        </is>
      </c>
    </row>
    <row r="127" ht="24" customHeight="1">
      <c r="A127" s="24" t="inlineStr">
        <is>
          <t>140</t>
        </is>
      </c>
      <c r="B127" s="24" t="inlineStr">
        <is>
          <t>해당 없음</t>
        </is>
      </c>
      <c r="C127" s="24" t="inlineStr">
        <is>
          <t>이녹스첨단소재</t>
        </is>
      </c>
      <c r="D127" s="24" t="inlineStr">
        <is>
          <t>272290</t>
        </is>
      </c>
      <c r="E127" s="24" t="inlineStr">
        <is>
          <t>KOSDAQ GLOBAL</t>
        </is>
      </c>
      <c r="F127" s="24" t="inlineStr">
        <is>
          <t>소재</t>
        </is>
      </c>
      <c r="G127" s="24" t="inlineStr">
        <is>
          <t>소재</t>
        </is>
      </c>
      <c r="H127" s="24" t="inlineStr">
        <is>
          <t>False</t>
        </is>
      </c>
      <c r="I127" s="24" t="inlineStr">
        <is>
          <t>True</t>
        </is>
      </c>
      <c r="J127" s="24" t="inlineStr">
        <is>
          <t>OK</t>
        </is>
      </c>
      <c r="K127" s="24" t="inlineStr">
        <is>
          <t>데이터 사용 가능</t>
        </is>
      </c>
      <c r="L127" s="24" t="inlineStr">
        <is>
          <t>LOW</t>
        </is>
      </c>
      <c r="M127" s="24" t="inlineStr">
        <is>
          <t>LOW</t>
        </is>
      </c>
      <c r="N127" s="24" t="inlineStr">
        <is>
          <t>0.6312820512820514</t>
        </is>
      </c>
      <c r="O127" s="24" t="inlineStr">
        <is>
          <t>FAIR</t>
        </is>
      </c>
      <c r="P127" s="24" t="inlineStr">
        <is>
          <t>FAIR</t>
        </is>
      </c>
      <c r="Q127" s="24" t="inlineStr">
        <is>
          <t>FAIR</t>
        </is>
      </c>
      <c r="R127" s="24" t="inlineStr">
        <is>
          <t>0.900184891106931</t>
        </is>
      </c>
      <c r="S127" s="24" t="inlineStr">
        <is>
          <t>HIGH</t>
        </is>
      </c>
      <c r="T127" s="24" t="inlineStr">
        <is>
          <t>HIGH</t>
        </is>
      </c>
      <c r="U127" s="24" t="inlineStr">
        <is>
          <t>0.0714285714285714</t>
        </is>
      </c>
      <c r="V127" s="24" t="inlineStr">
        <is>
          <t>LOW_RISK</t>
        </is>
      </c>
      <c r="W127" s="24" t="inlineStr">
        <is>
          <t>저위험</t>
        </is>
      </c>
      <c r="X127" s="24" t="inlineStr">
        <is>
          <t>LOW_RISK</t>
        </is>
      </c>
      <c r="Y127" s="24" t="inlineStr">
        <is>
          <t>0.7417939360948919</t>
        </is>
      </c>
      <c r="Z127" s="24" t="inlineStr">
        <is>
          <t>HIGH</t>
        </is>
      </c>
      <c r="AA127" s="24" t="inlineStr">
        <is>
          <t>HIGH</t>
        </is>
      </c>
      <c r="AB127" s="24" t="inlineStr">
        <is>
          <t>0.06763542968359648</t>
        </is>
      </c>
      <c r="AC127" s="24" t="inlineStr">
        <is>
          <t>False</t>
        </is>
      </c>
      <c r="AD127" s="24" t="inlineStr">
        <is>
          <t>False</t>
        </is>
      </c>
      <c r="AE127" s="24" t="inlineStr">
        <is>
          <t>valuation_credit_ml_overlay_candidate.csv</t>
        </is>
      </c>
      <c r="AF127" s="24" t="inlineStr">
        <is>
          <t>208개 반도체 reference universe. Valuation Agent가 자체 intake 폴더로 복제해 Peer/ML/대시보드 비교에 사용.</t>
        </is>
      </c>
    </row>
    <row r="128" ht="24" customHeight="1">
      <c r="A128" s="29" t="inlineStr">
        <is>
          <t>133</t>
        </is>
      </c>
      <c r="B128" s="29" t="inlineStr">
        <is>
          <t>ltc</t>
        </is>
      </c>
      <c r="C128" s="29" t="inlineStr">
        <is>
          <t>엘티씨</t>
        </is>
      </c>
      <c r="D128" s="29" t="inlineStr">
        <is>
          <t>170920</t>
        </is>
      </c>
      <c r="E128" s="29" t="inlineStr">
        <is>
          <t>KOSDAQ</t>
        </is>
      </c>
      <c r="F128" s="29" t="inlineStr">
        <is>
          <t>소재</t>
        </is>
      </c>
      <c r="G128" s="29" t="inlineStr">
        <is>
          <t>소재</t>
        </is>
      </c>
      <c r="H128" s="29" t="inlineStr">
        <is>
          <t>True</t>
        </is>
      </c>
      <c r="I128" s="29" t="inlineStr">
        <is>
          <t>True</t>
        </is>
      </c>
      <c r="J128" s="29" t="inlineStr">
        <is>
          <t>OK</t>
        </is>
      </c>
      <c r="K128" s="29" t="inlineStr">
        <is>
          <t>데이터 사용 가능</t>
        </is>
      </c>
      <c r="L128" s="29" t="inlineStr">
        <is>
          <t>LOW</t>
        </is>
      </c>
      <c r="M128" s="29" t="inlineStr">
        <is>
          <t>LOW</t>
        </is>
      </c>
      <c r="N128" s="29" t="inlineStr">
        <is>
          <t>0.5838461538461538</t>
        </is>
      </c>
      <c r="O128" s="29" t="inlineStr">
        <is>
          <t>FAIR</t>
        </is>
      </c>
      <c r="P128" s="29" t="inlineStr">
        <is>
          <t>FAIR</t>
        </is>
      </c>
      <c r="Q128" s="29" t="inlineStr">
        <is>
          <t>ATTRACTIVE</t>
        </is>
      </c>
      <c r="R128" s="29" t="inlineStr">
        <is>
          <t>0.6353016273848794</t>
        </is>
      </c>
      <c r="S128" s="29" t="inlineStr">
        <is>
          <t>MEDIUM</t>
        </is>
      </c>
      <c r="T128" s="29" t="inlineStr">
        <is>
          <t>MEDIUM</t>
        </is>
      </c>
      <c r="U128" s="29" t="inlineStr">
        <is>
          <t>0.0</t>
        </is>
      </c>
      <c r="V128" s="29" t="inlineStr">
        <is>
          <t>LOW_RISK</t>
        </is>
      </c>
      <c r="W128" s="29" t="inlineStr">
        <is>
          <t>저위험</t>
        </is>
      </c>
      <c r="X128" s="29" t="inlineStr">
        <is>
          <t>LOW_RISK</t>
        </is>
      </c>
      <c r="Y128" s="29" t="inlineStr">
        <is>
          <t>0.9205018564538214</t>
        </is>
      </c>
      <c r="Z128" s="29" t="inlineStr">
        <is>
          <t>HIGH</t>
        </is>
      </c>
      <c r="AA128" s="29" t="inlineStr">
        <is>
          <t>HIGH</t>
        </is>
      </c>
      <c r="AB128" s="29" t="inlineStr">
        <is>
          <t>0.0038993876391341673</t>
        </is>
      </c>
      <c r="AC128" s="29" t="inlineStr">
        <is>
          <t>False</t>
        </is>
      </c>
      <c r="AD128" s="29" t="inlineStr">
        <is>
          <t>False</t>
        </is>
      </c>
      <c r="AE128" s="29" t="inlineStr">
        <is>
          <t>valuation_credit_ml_overlay_candidate.csv</t>
        </is>
      </c>
      <c r="AF128" s="29" t="inlineStr">
        <is>
          <t>208개 반도체 reference universe. Valuation Agent가 자체 intake 폴더로 복제해 Peer/ML/대시보드 비교에 사용.</t>
        </is>
      </c>
    </row>
    <row r="129" ht="24" customHeight="1">
      <c r="A129" s="24" t="inlineStr">
        <is>
          <t>146</t>
        </is>
      </c>
      <c r="B129" s="24" t="inlineStr">
        <is>
          <t>해당 없음</t>
        </is>
      </c>
      <c r="C129" s="24" t="inlineStr">
        <is>
          <t>티이엠씨</t>
        </is>
      </c>
      <c r="D129" s="24" t="inlineStr">
        <is>
          <t>425040</t>
        </is>
      </c>
      <c r="E129" s="24" t="inlineStr">
        <is>
          <t>KOSDAQ</t>
        </is>
      </c>
      <c r="F129" s="24" t="inlineStr">
        <is>
          <t>소재</t>
        </is>
      </c>
      <c r="G129" s="24" t="inlineStr">
        <is>
          <t>소재</t>
        </is>
      </c>
      <c r="H129" s="24" t="inlineStr">
        <is>
          <t>False</t>
        </is>
      </c>
      <c r="I129" s="24" t="inlineStr">
        <is>
          <t>True</t>
        </is>
      </c>
      <c r="J129" s="24" t="inlineStr">
        <is>
          <t>OK</t>
        </is>
      </c>
      <c r="K129" s="24" t="inlineStr">
        <is>
          <t>데이터 사용 가능</t>
        </is>
      </c>
      <c r="L129" s="24" t="inlineStr">
        <is>
          <t>LOW</t>
        </is>
      </c>
      <c r="M129" s="24" t="inlineStr">
        <is>
          <t>LOW</t>
        </is>
      </c>
      <c r="N129" s="24" t="inlineStr">
        <is>
          <t>0.5666666666666668</t>
        </is>
      </c>
      <c r="O129" s="24" t="inlineStr">
        <is>
          <t>FAIR</t>
        </is>
      </c>
      <c r="P129" s="24" t="inlineStr">
        <is>
          <t>FAIR</t>
        </is>
      </c>
      <c r="Q129" s="24" t="inlineStr">
        <is>
          <t>FAIR</t>
        </is>
      </c>
      <c r="R129" s="24" t="inlineStr">
        <is>
          <t>0.8720430887980049</t>
        </is>
      </c>
      <c r="S129" s="24" t="inlineStr">
        <is>
          <t>HIGH</t>
        </is>
      </c>
      <c r="T129" s="24" t="inlineStr">
        <is>
          <t>HIGH</t>
        </is>
      </c>
      <c r="U129" s="24" t="inlineStr">
        <is>
          <t>0.0714285714285714</t>
        </is>
      </c>
      <c r="V129" s="24" t="inlineStr">
        <is>
          <t>LOW_RISK</t>
        </is>
      </c>
      <c r="W129" s="24" t="inlineStr">
        <is>
          <t>저위험</t>
        </is>
      </c>
      <c r="X129" s="24" t="inlineStr">
        <is>
          <t>LOW_RISK</t>
        </is>
      </c>
      <c r="Y129" s="24" t="inlineStr">
        <is>
          <t>0.7252297088077002</t>
        </is>
      </c>
      <c r="Z129" s="24" t="inlineStr">
        <is>
          <t>HIGH</t>
        </is>
      </c>
      <c r="AA129" s="24" t="inlineStr">
        <is>
          <t>HIGH</t>
        </is>
      </c>
      <c r="AB129" s="24" t="inlineStr">
        <is>
          <t>0.006424650558916757</t>
        </is>
      </c>
      <c r="AC129" s="24" t="inlineStr">
        <is>
          <t>False</t>
        </is>
      </c>
      <c r="AD129" s="24" t="inlineStr">
        <is>
          <t>False</t>
        </is>
      </c>
      <c r="AE129" s="24" t="inlineStr">
        <is>
          <t>valuation_credit_ml_overlay_candidate.csv</t>
        </is>
      </c>
      <c r="AF129" s="24" t="inlineStr">
        <is>
          <t>208개 반도체 reference universe. Valuation Agent가 자체 intake 폴더로 복제해 Peer/ML/대시보드 비교에 사용.</t>
        </is>
      </c>
    </row>
    <row r="130" ht="24" customHeight="1">
      <c r="A130" s="29" t="inlineStr">
        <is>
          <t>131</t>
        </is>
      </c>
      <c r="B130" s="29" t="inlineStr">
        <is>
          <t>해당 없음</t>
        </is>
      </c>
      <c r="C130" s="29" t="inlineStr">
        <is>
          <t>에스앤에스텍</t>
        </is>
      </c>
      <c r="D130" s="29" t="inlineStr">
        <is>
          <t>101490</t>
        </is>
      </c>
      <c r="E130" s="29" t="inlineStr">
        <is>
          <t>KOSDAQ</t>
        </is>
      </c>
      <c r="F130" s="29" t="inlineStr">
        <is>
          <t>소재</t>
        </is>
      </c>
      <c r="G130" s="29" t="inlineStr">
        <is>
          <t>소재</t>
        </is>
      </c>
      <c r="H130" s="29" t="inlineStr">
        <is>
          <t>False</t>
        </is>
      </c>
      <c r="I130" s="29" t="inlineStr">
        <is>
          <t>True</t>
        </is>
      </c>
      <c r="J130" s="29" t="inlineStr">
        <is>
          <t>OK</t>
        </is>
      </c>
      <c r="K130" s="29" t="inlineStr">
        <is>
          <t>데이터 사용 가능</t>
        </is>
      </c>
      <c r="L130" s="29" t="inlineStr">
        <is>
          <t>LOW</t>
        </is>
      </c>
      <c r="M130" s="29" t="inlineStr">
        <is>
          <t>LOW</t>
        </is>
      </c>
      <c r="N130" s="29" t="inlineStr">
        <is>
          <t>0.5653846153846155</t>
        </is>
      </c>
      <c r="O130" s="29" t="inlineStr">
        <is>
          <t>FAIR</t>
        </is>
      </c>
      <c r="P130" s="29" t="inlineStr">
        <is>
          <t>FAIR</t>
        </is>
      </c>
      <c r="Q130" s="29" t="inlineStr">
        <is>
          <t>FAIR</t>
        </is>
      </c>
      <c r="R130" s="29" t="inlineStr">
        <is>
          <t>0.7907123507381016</t>
        </is>
      </c>
      <c r="S130" s="29" t="inlineStr">
        <is>
          <t>HIGH</t>
        </is>
      </c>
      <c r="T130" s="29" t="inlineStr">
        <is>
          <t>HIGH</t>
        </is>
      </c>
      <c r="U130" s="29" t="inlineStr">
        <is>
          <t>0.0714285714285714</t>
        </is>
      </c>
      <c r="V130" s="29" t="inlineStr">
        <is>
          <t>LOW_RISK</t>
        </is>
      </c>
      <c r="W130" s="29" t="inlineStr">
        <is>
          <t>저위험</t>
        </is>
      </c>
      <c r="X130" s="29" t="inlineStr">
        <is>
          <t>LOW_RISK</t>
        </is>
      </c>
      <c r="Y130" s="29" t="inlineStr">
        <is>
          <t>0.877704032267338</t>
        </is>
      </c>
      <c r="Z130" s="29" t="inlineStr">
        <is>
          <t>HIGH</t>
        </is>
      </c>
      <c r="AA130" s="29" t="inlineStr">
        <is>
          <t>HIGH</t>
        </is>
      </c>
      <c r="AB130" s="29" t="inlineStr">
        <is>
          <t>0.05130595484789171</t>
        </is>
      </c>
      <c r="AC130" s="29" t="inlineStr">
        <is>
          <t>False</t>
        </is>
      </c>
      <c r="AD130" s="29" t="inlineStr">
        <is>
          <t>False</t>
        </is>
      </c>
      <c r="AE130" s="29" t="inlineStr">
        <is>
          <t>valuation_credit_ml_overlay_candidate.csv</t>
        </is>
      </c>
      <c r="AF130" s="29" t="inlineStr">
        <is>
          <t>208개 반도체 reference universe. Valuation Agent가 자체 intake 폴더로 복제해 Peer/ML/대시보드 비교에 사용.</t>
        </is>
      </c>
    </row>
    <row r="131" ht="24" customHeight="1">
      <c r="A131" s="24" t="inlineStr">
        <is>
          <t>142</t>
        </is>
      </c>
      <c r="B131" s="24" t="inlineStr">
        <is>
          <t>해당 없음</t>
        </is>
      </c>
      <c r="C131" s="24" t="inlineStr">
        <is>
          <t>제이아이테크</t>
        </is>
      </c>
      <c r="D131" s="24" t="inlineStr">
        <is>
          <t>417500</t>
        </is>
      </c>
      <c r="E131" s="24" t="inlineStr">
        <is>
          <t>KOSDAQ</t>
        </is>
      </c>
      <c r="F131" s="24" t="inlineStr">
        <is>
          <t>소재</t>
        </is>
      </c>
      <c r="G131" s="24" t="inlineStr">
        <is>
          <t>소재</t>
        </is>
      </c>
      <c r="H131" s="24" t="inlineStr">
        <is>
          <t>False</t>
        </is>
      </c>
      <c r="I131" s="24" t="inlineStr">
        <is>
          <t>True</t>
        </is>
      </c>
      <c r="J131" s="24" t="inlineStr">
        <is>
          <t>OK</t>
        </is>
      </c>
      <c r="K131" s="24" t="inlineStr">
        <is>
          <t>데이터 사용 가능</t>
        </is>
      </c>
      <c r="L131" s="24" t="inlineStr">
        <is>
          <t>LOW</t>
        </is>
      </c>
      <c r="M131" s="24" t="inlineStr">
        <is>
          <t>LOW</t>
        </is>
      </c>
      <c r="N131" s="24" t="inlineStr">
        <is>
          <t>0.5264102564102564</t>
        </is>
      </c>
      <c r="O131" s="24" t="inlineStr">
        <is>
          <t>FAIR</t>
        </is>
      </c>
      <c r="P131" s="24" t="inlineStr">
        <is>
          <t>FAIR</t>
        </is>
      </c>
      <c r="Q131" s="24" t="inlineStr">
        <is>
          <t>FAIR</t>
        </is>
      </c>
      <c r="R131" s="24" t="inlineStr">
        <is>
          <t>0.8525733569966568</t>
        </is>
      </c>
      <c r="S131" s="24" t="inlineStr">
        <is>
          <t>HIGH</t>
        </is>
      </c>
      <c r="T131" s="24" t="inlineStr">
        <is>
          <t>HIGH</t>
        </is>
      </c>
      <c r="U131" s="24" t="inlineStr">
        <is>
          <t>0.0714285714285714</t>
        </is>
      </c>
      <c r="V131" s="24" t="inlineStr">
        <is>
          <t>LOW_RISK</t>
        </is>
      </c>
      <c r="W131" s="24" t="inlineStr">
        <is>
          <t>저위험</t>
        </is>
      </c>
      <c r="X131" s="24" t="inlineStr">
        <is>
          <t>LOW_RISK</t>
        </is>
      </c>
      <c r="Y131" s="24" t="inlineStr">
        <is>
          <t>0.7562204122456074</t>
        </is>
      </c>
      <c r="Z131" s="24" t="inlineStr">
        <is>
          <t>HIGH</t>
        </is>
      </c>
      <c r="AA131" s="24" t="inlineStr">
        <is>
          <t>HIGH</t>
        </is>
      </c>
      <c r="AB131" s="24" t="inlineStr">
        <is>
          <t>0.026961826720125225</t>
        </is>
      </c>
      <c r="AC131" s="24" t="inlineStr">
        <is>
          <t>False</t>
        </is>
      </c>
      <c r="AD131" s="24" t="inlineStr">
        <is>
          <t>False</t>
        </is>
      </c>
      <c r="AE131" s="24" t="inlineStr">
        <is>
          <t>valuation_credit_ml_overlay_candidate.csv</t>
        </is>
      </c>
      <c r="AF131" s="24" t="inlineStr">
        <is>
          <t>208개 반도체 reference universe. Valuation Agent가 자체 intake 폴더로 복제해 Peer/ML/대시보드 비교에 사용.</t>
        </is>
      </c>
    </row>
    <row r="132" ht="24" customHeight="1">
      <c r="A132" s="29" t="inlineStr">
        <is>
          <t>137</t>
        </is>
      </c>
      <c r="B132" s="29" t="inlineStr">
        <is>
          <t>해당 없음</t>
        </is>
      </c>
      <c r="C132" s="29" t="inlineStr">
        <is>
          <t>원익QnC</t>
        </is>
      </c>
      <c r="D132" s="29" t="inlineStr">
        <is>
          <t>074600</t>
        </is>
      </c>
      <c r="E132" s="29" t="inlineStr">
        <is>
          <t>KOSDAQ GLOBAL</t>
        </is>
      </c>
      <c r="F132" s="29" t="inlineStr">
        <is>
          <t>소재</t>
        </is>
      </c>
      <c r="G132" s="29" t="inlineStr">
        <is>
          <t>소재</t>
        </is>
      </c>
      <c r="H132" s="29" t="inlineStr">
        <is>
          <t>False</t>
        </is>
      </c>
      <c r="I132" s="29" t="inlineStr">
        <is>
          <t>True</t>
        </is>
      </c>
      <c r="J132" s="29" t="inlineStr">
        <is>
          <t>OK</t>
        </is>
      </c>
      <c r="K132" s="29" t="inlineStr">
        <is>
          <t>데이터 사용 가능</t>
        </is>
      </c>
      <c r="L132" s="29" t="inlineStr">
        <is>
          <t>LOW</t>
        </is>
      </c>
      <c r="M132" s="29" t="inlineStr">
        <is>
          <t>LOW</t>
        </is>
      </c>
      <c r="N132" s="29" t="inlineStr">
        <is>
          <t>0.5156410256410257</t>
        </is>
      </c>
      <c r="O132" s="29" t="inlineStr">
        <is>
          <t>FAIR</t>
        </is>
      </c>
      <c r="P132" s="29" t="inlineStr">
        <is>
          <t>FAIR</t>
        </is>
      </c>
      <c r="Q132" s="29" t="inlineStr">
        <is>
          <t>ATTRACTIVE</t>
        </is>
      </c>
      <c r="R132" s="29" t="inlineStr">
        <is>
          <t>0.4211836082778998</t>
        </is>
      </c>
      <c r="S132" s="29" t="inlineStr">
        <is>
          <t>LOW</t>
        </is>
      </c>
      <c r="T132" s="29" t="inlineStr">
        <is>
          <t>LOW</t>
        </is>
      </c>
      <c r="U132" s="29" t="inlineStr">
        <is>
          <t>0.2857142857142857</t>
        </is>
      </c>
      <c r="V132" s="29" t="inlineStr">
        <is>
          <t>MEDIUM_RISK</t>
        </is>
      </c>
      <c r="W132" s="29" t="inlineStr">
        <is>
          <t>중위험</t>
        </is>
      </c>
      <c r="X132" s="29" t="inlineStr">
        <is>
          <t>MEDIUM_RISK</t>
        </is>
      </c>
      <c r="Y132" s="29" t="inlineStr">
        <is>
          <t>0.6182675579184692</t>
        </is>
      </c>
      <c r="Z132" s="29" t="inlineStr">
        <is>
          <t>MEDIUM</t>
        </is>
      </c>
      <c r="AA132" s="29" t="inlineStr">
        <is>
          <t>MEDIUM</t>
        </is>
      </c>
      <c r="AB132" s="29" t="inlineStr">
        <is>
          <t>0.07153695388648715</t>
        </is>
      </c>
      <c r="AC132" s="29" t="inlineStr">
        <is>
          <t>False</t>
        </is>
      </c>
      <c r="AD132" s="29" t="inlineStr">
        <is>
          <t>True</t>
        </is>
      </c>
      <c r="AE132" s="29" t="inlineStr">
        <is>
          <t>valuation_credit_ml_overlay_candidate.csv</t>
        </is>
      </c>
      <c r="AF132" s="29" t="inlineStr">
        <is>
          <t>208개 반도체 reference universe. Valuation Agent가 자체 intake 폴더로 복제해 Peer/ML/대시보드 비교에 사용.</t>
        </is>
      </c>
    </row>
    <row r="133" ht="24" customHeight="1">
      <c r="A133" s="24" t="inlineStr">
        <is>
          <t>134</t>
        </is>
      </c>
      <c r="B133" s="24" t="inlineStr">
        <is>
          <t>해당 없음</t>
        </is>
      </c>
      <c r="C133" s="24" t="inlineStr">
        <is>
          <t>엠케이전자</t>
        </is>
      </c>
      <c r="D133" s="24" t="inlineStr">
        <is>
          <t>033160</t>
        </is>
      </c>
      <c r="E133" s="24" t="inlineStr">
        <is>
          <t>KOSDAQ</t>
        </is>
      </c>
      <c r="F133" s="24" t="inlineStr">
        <is>
          <t>소재</t>
        </is>
      </c>
      <c r="G133" s="24" t="inlineStr">
        <is>
          <t>소재</t>
        </is>
      </c>
      <c r="H133" s="24" t="inlineStr">
        <is>
          <t>False</t>
        </is>
      </c>
      <c r="I133" s="24" t="inlineStr">
        <is>
          <t>True</t>
        </is>
      </c>
      <c r="J133" s="24" t="inlineStr">
        <is>
          <t>OK</t>
        </is>
      </c>
      <c r="K133" s="24" t="inlineStr">
        <is>
          <t>데이터 사용 가능</t>
        </is>
      </c>
      <c r="L133" s="24" t="inlineStr">
        <is>
          <t>LOW</t>
        </is>
      </c>
      <c r="M133" s="24" t="inlineStr">
        <is>
          <t>LOW</t>
        </is>
      </c>
      <c r="N133" s="24" t="inlineStr">
        <is>
          <t>0.5105128205128205</t>
        </is>
      </c>
      <c r="O133" s="24" t="inlineStr">
        <is>
          <t>FAIR</t>
        </is>
      </c>
      <c r="P133" s="24" t="inlineStr">
        <is>
          <t>FAIR</t>
        </is>
      </c>
      <c r="Q133" s="24" t="inlineStr">
        <is>
          <t>FAIR</t>
        </is>
      </c>
      <c r="R133" s="24" t="inlineStr">
        <is>
          <t>0.801168459079624</t>
        </is>
      </c>
      <c r="S133" s="24" t="inlineStr">
        <is>
          <t>HIGH</t>
        </is>
      </c>
      <c r="T133" s="24" t="inlineStr">
        <is>
          <t>HIGH</t>
        </is>
      </c>
      <c r="U133" s="24" t="inlineStr">
        <is>
          <t>0.5714285714285714</t>
        </is>
      </c>
      <c r="V133" s="24" t="inlineStr">
        <is>
          <t>HIGH_RISK</t>
        </is>
      </c>
      <c r="W133" s="24" t="inlineStr">
        <is>
          <t>고위험</t>
        </is>
      </c>
      <c r="X133" s="24" t="inlineStr">
        <is>
          <t>HIGH_RISK</t>
        </is>
      </c>
      <c r="Y133" s="24" t="inlineStr">
        <is>
          <t>0.6458821552404778</t>
        </is>
      </c>
      <c r="Z133" s="24" t="inlineStr">
        <is>
          <t>MEDIUM</t>
        </is>
      </c>
      <c r="AA133" s="24" t="inlineStr">
        <is>
          <t>MEDIUM</t>
        </is>
      </c>
      <c r="AB133" s="24" t="inlineStr">
        <is>
          <t>0.06935231891152775</t>
        </is>
      </c>
      <c r="AC133" s="24" t="inlineStr">
        <is>
          <t>False</t>
        </is>
      </c>
      <c r="AD133" s="24" t="inlineStr">
        <is>
          <t>False</t>
        </is>
      </c>
      <c r="AE133" s="24" t="inlineStr">
        <is>
          <t>valuation_credit_ml_overlay_candidate.csv</t>
        </is>
      </c>
      <c r="AF133" s="24" t="inlineStr">
        <is>
          <t>208개 반도체 reference universe. Valuation Agent가 자체 intake 폴더로 복제해 Peer/ML/대시보드 비교에 사용.</t>
        </is>
      </c>
    </row>
    <row r="134" ht="24" customHeight="1">
      <c r="A134" s="29" t="inlineStr">
        <is>
          <t>136</t>
        </is>
      </c>
      <c r="B134" s="29" t="inlineStr">
        <is>
          <t>해당 없음</t>
        </is>
      </c>
      <c r="C134" s="29" t="inlineStr">
        <is>
          <t>와이엠티</t>
        </is>
      </c>
      <c r="D134" s="29" t="inlineStr">
        <is>
          <t>251370</t>
        </is>
      </c>
      <c r="E134" s="29" t="inlineStr">
        <is>
          <t>KOSDAQ</t>
        </is>
      </c>
      <c r="F134" s="29" t="inlineStr">
        <is>
          <t>소재</t>
        </is>
      </c>
      <c r="G134" s="29" t="inlineStr">
        <is>
          <t>소재</t>
        </is>
      </c>
      <c r="H134" s="29" t="inlineStr">
        <is>
          <t>False</t>
        </is>
      </c>
      <c r="I134" s="29" t="inlineStr">
        <is>
          <t>True</t>
        </is>
      </c>
      <c r="J134" s="29" t="inlineStr">
        <is>
          <t>OK</t>
        </is>
      </c>
      <c r="K134" s="29" t="inlineStr">
        <is>
          <t>데이터 사용 가능</t>
        </is>
      </c>
      <c r="L134" s="29" t="inlineStr">
        <is>
          <t>LOW</t>
        </is>
      </c>
      <c r="M134" s="29" t="inlineStr">
        <is>
          <t>LOW</t>
        </is>
      </c>
      <c r="N134" s="29" t="inlineStr">
        <is>
          <t>0.4989743589743589</t>
        </is>
      </c>
      <c r="O134" s="29" t="inlineStr">
        <is>
          <t>FAIR</t>
        </is>
      </c>
      <c r="P134" s="29" t="inlineStr">
        <is>
          <t>FAIR</t>
        </is>
      </c>
      <c r="Q134" s="29" t="inlineStr">
        <is>
          <t>FAIR</t>
        </is>
      </c>
      <c r="R134" s="29" t="inlineStr">
        <is>
          <t>0.730943868859095</t>
        </is>
      </c>
      <c r="S134" s="29" t="inlineStr">
        <is>
          <t>HIGH</t>
        </is>
      </c>
      <c r="T134" s="29" t="inlineStr">
        <is>
          <t>HIGH</t>
        </is>
      </c>
      <c r="U134" s="29" t="inlineStr">
        <is>
          <t>0.2142857142857142</t>
        </is>
      </c>
      <c r="V134" s="29" t="inlineStr">
        <is>
          <t>MEDIUM_RISK</t>
        </is>
      </c>
      <c r="W134" s="29" t="inlineStr">
        <is>
          <t>중위험</t>
        </is>
      </c>
      <c r="X134" s="29" t="inlineStr">
        <is>
          <t>MEDIUM_RISK</t>
        </is>
      </c>
      <c r="Y134" s="29" t="inlineStr">
        <is>
          <t>0.4510396871808976</t>
        </is>
      </c>
      <c r="Z134" s="29" t="inlineStr">
        <is>
          <t>LOW</t>
        </is>
      </c>
      <c r="AA134" s="29" t="inlineStr">
        <is>
          <t>LOW</t>
        </is>
      </c>
      <c r="AB134" s="29" t="inlineStr">
        <is>
          <t>0.021802364937517606</t>
        </is>
      </c>
      <c r="AC134" s="29" t="inlineStr">
        <is>
          <t>False</t>
        </is>
      </c>
      <c r="AD134" s="29" t="inlineStr">
        <is>
          <t>True</t>
        </is>
      </c>
      <c r="AE134" s="29" t="inlineStr">
        <is>
          <t>valuation_credit_ml_overlay_candidate.csv</t>
        </is>
      </c>
      <c r="AF134" s="29" t="inlineStr">
        <is>
          <t>208개 반도체 reference universe. Valuation Agent가 자체 intake 폴더로 복제해 Peer/ML/대시보드 비교에 사용.</t>
        </is>
      </c>
    </row>
    <row r="135" ht="24" customHeight="1">
      <c r="A135" s="24" t="inlineStr">
        <is>
          <t>145</t>
        </is>
      </c>
      <c r="B135" s="24" t="inlineStr">
        <is>
          <t>해당 없음</t>
        </is>
      </c>
      <c r="C135" s="24" t="inlineStr">
        <is>
          <t>티씨케이</t>
        </is>
      </c>
      <c r="D135" s="24" t="inlineStr">
        <is>
          <t>064760</t>
        </is>
      </c>
      <c r="E135" s="24" t="inlineStr">
        <is>
          <t>KOSDAQ GLOBAL</t>
        </is>
      </c>
      <c r="F135" s="24" t="inlineStr">
        <is>
          <t>소재</t>
        </is>
      </c>
      <c r="G135" s="24" t="inlineStr">
        <is>
          <t>소재</t>
        </is>
      </c>
      <c r="H135" s="24" t="inlineStr">
        <is>
          <t>False</t>
        </is>
      </c>
      <c r="I135" s="24" t="inlineStr">
        <is>
          <t>True</t>
        </is>
      </c>
      <c r="J135" s="24" t="inlineStr">
        <is>
          <t>OK</t>
        </is>
      </c>
      <c r="K135" s="24" t="inlineStr">
        <is>
          <t>데이터 사용 가능</t>
        </is>
      </c>
      <c r="L135" s="24" t="inlineStr">
        <is>
          <t>LOW</t>
        </is>
      </c>
      <c r="M135" s="24" t="inlineStr">
        <is>
          <t>LOW</t>
        </is>
      </c>
      <c r="N135" s="24" t="inlineStr">
        <is>
          <t>0.4956410256410256</t>
        </is>
      </c>
      <c r="O135" s="24" t="inlineStr">
        <is>
          <t>FAIR</t>
        </is>
      </c>
      <c r="P135" s="24" t="inlineStr">
        <is>
          <t>FAIR</t>
        </is>
      </c>
      <c r="Q135" s="24" t="inlineStr">
        <is>
          <t>FAIR</t>
        </is>
      </c>
      <c r="R135" s="24" t="inlineStr">
        <is>
          <t>0.6535546916238612</t>
        </is>
      </c>
      <c r="S135" s="24" t="inlineStr">
        <is>
          <t>MEDIUM</t>
        </is>
      </c>
      <c r="T135" s="24" t="inlineStr">
        <is>
          <t>MEDIUM</t>
        </is>
      </c>
      <c r="U135" s="24" t="inlineStr">
        <is>
          <t>0.0</t>
        </is>
      </c>
      <c r="V135" s="24" t="inlineStr">
        <is>
          <t>LOW_RISK</t>
        </is>
      </c>
      <c r="W135" s="24" t="inlineStr">
        <is>
          <t>저위험</t>
        </is>
      </c>
      <c r="X135" s="24" t="inlineStr">
        <is>
          <t>LOW_RISK</t>
        </is>
      </c>
      <c r="Y135" s="24" t="inlineStr">
        <is>
          <t>0.7960429313317705</t>
        </is>
      </c>
      <c r="Z135" s="24" t="inlineStr">
        <is>
          <t>HIGH</t>
        </is>
      </c>
      <c r="AA135" s="24" t="inlineStr">
        <is>
          <t>HIGH</t>
        </is>
      </c>
      <c r="AB135" s="24" t="inlineStr">
        <is>
          <t>0.151556576218825</t>
        </is>
      </c>
      <c r="AC135" s="24" t="inlineStr">
        <is>
          <t>False</t>
        </is>
      </c>
      <c r="AD135" s="24" t="inlineStr">
        <is>
          <t>False</t>
        </is>
      </c>
      <c r="AE135" s="24" t="inlineStr">
        <is>
          <t>valuation_credit_ml_overlay_candidate.csv</t>
        </is>
      </c>
      <c r="AF135" s="24" t="inlineStr">
        <is>
          <t>208개 반도체 reference universe. Valuation Agent가 자체 intake 폴더로 복제해 Peer/ML/대시보드 비교에 사용.</t>
        </is>
      </c>
    </row>
    <row r="136" ht="24" customHeight="1">
      <c r="A136" s="29" t="inlineStr">
        <is>
          <t>126</t>
        </is>
      </c>
      <c r="B136" s="29" t="inlineStr">
        <is>
          <t>해당 없음</t>
        </is>
      </c>
      <c r="C136" s="29" t="inlineStr">
        <is>
          <t>동진쎄미켐</t>
        </is>
      </c>
      <c r="D136" s="29" t="inlineStr">
        <is>
          <t>005290</t>
        </is>
      </c>
      <c r="E136" s="29" t="inlineStr">
        <is>
          <t>KOSDAQ</t>
        </is>
      </c>
      <c r="F136" s="29" t="inlineStr">
        <is>
          <t>소재</t>
        </is>
      </c>
      <c r="G136" s="29" t="inlineStr">
        <is>
          <t>소재</t>
        </is>
      </c>
      <c r="H136" s="29" t="inlineStr">
        <is>
          <t>False</t>
        </is>
      </c>
      <c r="I136" s="29" t="inlineStr">
        <is>
          <t>True</t>
        </is>
      </c>
      <c r="J136" s="29" t="inlineStr">
        <is>
          <t>OK</t>
        </is>
      </c>
      <c r="K136" s="29" t="inlineStr">
        <is>
          <t>데이터 사용 가능</t>
        </is>
      </c>
      <c r="L136" s="29" t="inlineStr">
        <is>
          <t>LOW</t>
        </is>
      </c>
      <c r="M136" s="29" t="inlineStr">
        <is>
          <t>LOW</t>
        </is>
      </c>
      <c r="N136" s="29" t="inlineStr">
        <is>
          <t>0.4702564102564102</t>
        </is>
      </c>
      <c r="O136" s="29" t="inlineStr">
        <is>
          <t>FAIR</t>
        </is>
      </c>
      <c r="P136" s="29" t="inlineStr">
        <is>
          <t>FAIR</t>
        </is>
      </c>
      <c r="Q136" s="29" t="inlineStr">
        <is>
          <t>ATTRACTIVE</t>
        </is>
      </c>
      <c r="R136" s="29" t="inlineStr">
        <is>
          <t>0.48929755601795294</t>
        </is>
      </c>
      <c r="S136" s="29" t="inlineStr">
        <is>
          <t>LOW</t>
        </is>
      </c>
      <c r="T136" s="29" t="inlineStr">
        <is>
          <t>LOW</t>
        </is>
      </c>
      <c r="U136" s="29" t="inlineStr">
        <is>
          <t>0.0</t>
        </is>
      </c>
      <c r="V136" s="29" t="inlineStr">
        <is>
          <t>LOW_RISK</t>
        </is>
      </c>
      <c r="W136" s="29" t="inlineStr">
        <is>
          <t>저위험</t>
        </is>
      </c>
      <c r="X136" s="29" t="inlineStr">
        <is>
          <t>LOW_RISK</t>
        </is>
      </c>
      <c r="Y136" s="29" t="inlineStr">
        <is>
          <t>0.9474461757717627</t>
        </is>
      </c>
      <c r="Z136" s="29" t="inlineStr">
        <is>
          <t>HIGH</t>
        </is>
      </c>
      <c r="AA136" s="29" t="inlineStr">
        <is>
          <t>HIGH</t>
        </is>
      </c>
      <c r="AB136" s="29" t="inlineStr">
        <is>
          <t>0.021813937556984325</t>
        </is>
      </c>
      <c r="AC136" s="29" t="inlineStr">
        <is>
          <t>False</t>
        </is>
      </c>
      <c r="AD136" s="29" t="inlineStr">
        <is>
          <t>True</t>
        </is>
      </c>
      <c r="AE136" s="29" t="inlineStr">
        <is>
          <t>valuation_credit_ml_overlay_candidate.csv</t>
        </is>
      </c>
      <c r="AF136" s="29" t="inlineStr">
        <is>
          <t>208개 반도체 reference universe. Valuation Agent가 자체 intake 폴더로 복제해 Peer/ML/대시보드 비교에 사용.</t>
        </is>
      </c>
    </row>
    <row r="137" ht="24" customHeight="1">
      <c r="A137" s="24" t="inlineStr">
        <is>
          <t>144</t>
        </is>
      </c>
      <c r="B137" s="24" t="inlineStr">
        <is>
          <t>해당 없음</t>
        </is>
      </c>
      <c r="C137" s="24" t="inlineStr">
        <is>
          <t>켐트로닉스</t>
        </is>
      </c>
      <c r="D137" s="24" t="inlineStr">
        <is>
          <t>089010</t>
        </is>
      </c>
      <c r="E137" s="24" t="inlineStr">
        <is>
          <t>KOSDAQ</t>
        </is>
      </c>
      <c r="F137" s="24" t="inlineStr">
        <is>
          <t>소재</t>
        </is>
      </c>
      <c r="G137" s="24" t="inlineStr">
        <is>
          <t>소재</t>
        </is>
      </c>
      <c r="H137" s="24" t="inlineStr">
        <is>
          <t>False</t>
        </is>
      </c>
      <c r="I137" s="24" t="inlineStr">
        <is>
          <t>True</t>
        </is>
      </c>
      <c r="J137" s="24" t="inlineStr">
        <is>
          <t>OK</t>
        </is>
      </c>
      <c r="K137" s="24" t="inlineStr">
        <is>
          <t>데이터 사용 가능</t>
        </is>
      </c>
      <c r="L137" s="24" t="inlineStr">
        <is>
          <t>LOW</t>
        </is>
      </c>
      <c r="M137" s="24" t="inlineStr">
        <is>
          <t>LOW</t>
        </is>
      </c>
      <c r="N137" s="24" t="inlineStr">
        <is>
          <t>0.4412820512820513</t>
        </is>
      </c>
      <c r="O137" s="24" t="inlineStr">
        <is>
          <t>FAIR</t>
        </is>
      </c>
      <c r="P137" s="24" t="inlineStr">
        <is>
          <t>FAIR</t>
        </is>
      </c>
      <c r="Q137" s="24" t="inlineStr">
        <is>
          <t>FAIR</t>
        </is>
      </c>
      <c r="R137" s="24" t="inlineStr">
        <is>
          <t>0.7697961799623572</t>
        </is>
      </c>
      <c r="S137" s="24" t="inlineStr">
        <is>
          <t>HIGH</t>
        </is>
      </c>
      <c r="T137" s="24" t="inlineStr">
        <is>
          <t>HIGH</t>
        </is>
      </c>
      <c r="U137" s="24" t="inlineStr">
        <is>
          <t>0.3571428571428571</t>
        </is>
      </c>
      <c r="V137" s="24" t="inlineStr">
        <is>
          <t>MEDIUM_RISK</t>
        </is>
      </c>
      <c r="W137" s="24" t="inlineStr">
        <is>
          <t>중위험</t>
        </is>
      </c>
      <c r="X137" s="24" t="inlineStr">
        <is>
          <t>MEDIUM_RISK</t>
        </is>
      </c>
      <c r="Y137" s="24" t="inlineStr">
        <is>
          <t>0.46850853772952833</t>
        </is>
      </c>
      <c r="Z137" s="24" t="inlineStr">
        <is>
          <t>LOW</t>
        </is>
      </c>
      <c r="AA137" s="24" t="inlineStr">
        <is>
          <t>LOW</t>
        </is>
      </c>
      <c r="AB137" s="24" t="inlineStr">
        <is>
          <t>0.08001716573230905</t>
        </is>
      </c>
      <c r="AC137" s="24" t="inlineStr">
        <is>
          <t>False</t>
        </is>
      </c>
      <c r="AD137" s="24" t="inlineStr">
        <is>
          <t>True</t>
        </is>
      </c>
      <c r="AE137" s="24" t="inlineStr">
        <is>
          <t>valuation_credit_ml_overlay_candidate.csv</t>
        </is>
      </c>
      <c r="AF137" s="24" t="inlineStr">
        <is>
          <t>208개 반도체 reference universe. Valuation Agent가 자체 intake 폴더로 복제해 Peer/ML/대시보드 비교에 사용.</t>
        </is>
      </c>
    </row>
    <row r="138" ht="24" customHeight="1">
      <c r="A138" s="29" t="inlineStr">
        <is>
          <t>129</t>
        </is>
      </c>
      <c r="B138" s="29" t="inlineStr">
        <is>
          <t>해당 없음</t>
        </is>
      </c>
      <c r="C138" s="29" t="inlineStr">
        <is>
          <t>솔브레인</t>
        </is>
      </c>
      <c r="D138" s="29" t="inlineStr">
        <is>
          <t>357780</t>
        </is>
      </c>
      <c r="E138" s="29" t="inlineStr">
        <is>
          <t>KOSDAQ GLOBAL</t>
        </is>
      </c>
      <c r="F138" s="29" t="inlineStr">
        <is>
          <t>소재</t>
        </is>
      </c>
      <c r="G138" s="29" t="inlineStr">
        <is>
          <t>소재</t>
        </is>
      </c>
      <c r="H138" s="29" t="inlineStr">
        <is>
          <t>False</t>
        </is>
      </c>
      <c r="I138" s="29" t="inlineStr">
        <is>
          <t>True</t>
        </is>
      </c>
      <c r="J138" s="29" t="inlineStr">
        <is>
          <t>OK</t>
        </is>
      </c>
      <c r="K138" s="29" t="inlineStr">
        <is>
          <t>데이터 사용 가능</t>
        </is>
      </c>
      <c r="L138" s="29" t="inlineStr">
        <is>
          <t>LOW</t>
        </is>
      </c>
      <c r="M138" s="29" t="inlineStr">
        <is>
          <t>LOW</t>
        </is>
      </c>
      <c r="N138" s="29" t="inlineStr">
        <is>
          <t>0.4330769230769231</t>
        </is>
      </c>
      <c r="O138" s="29" t="inlineStr">
        <is>
          <t>FAIR</t>
        </is>
      </c>
      <c r="P138" s="29" t="inlineStr">
        <is>
          <t>FAIR</t>
        </is>
      </c>
      <c r="Q138" s="29" t="inlineStr">
        <is>
          <t>FAIR</t>
        </is>
      </c>
      <c r="R138" s="29" t="inlineStr">
        <is>
          <t>0.6367158518654258</t>
        </is>
      </c>
      <c r="S138" s="29" t="inlineStr">
        <is>
          <t>MEDIUM</t>
        </is>
      </c>
      <c r="T138" s="29" t="inlineStr">
        <is>
          <t>MEDIUM</t>
        </is>
      </c>
      <c r="U138" s="29" t="inlineStr">
        <is>
          <t>0.0</t>
        </is>
      </c>
      <c r="V138" s="29" t="inlineStr">
        <is>
          <t>LOW_RISK</t>
        </is>
      </c>
      <c r="W138" s="29" t="inlineStr">
        <is>
          <t>저위험</t>
        </is>
      </c>
      <c r="X138" s="29" t="inlineStr">
        <is>
          <t>LOW_RISK</t>
        </is>
      </c>
      <c r="Y138" s="29" t="inlineStr">
        <is>
          <t>0.9460528189989016</t>
        </is>
      </c>
      <c r="Z138" s="29" t="inlineStr">
        <is>
          <t>HIGH</t>
        </is>
      </c>
      <c r="AA138" s="29" t="inlineStr">
        <is>
          <t>HIGH</t>
        </is>
      </c>
      <c r="AB138" s="29" t="inlineStr">
        <is>
          <t>0.0320761550307272</t>
        </is>
      </c>
      <c r="AC138" s="29" t="inlineStr">
        <is>
          <t>False</t>
        </is>
      </c>
      <c r="AD138" s="29" t="inlineStr">
        <is>
          <t>False</t>
        </is>
      </c>
      <c r="AE138" s="29" t="inlineStr">
        <is>
          <t>valuation_credit_ml_overlay_candidate.csv</t>
        </is>
      </c>
      <c r="AF138" s="29" t="inlineStr">
        <is>
          <t>208개 반도체 reference universe. Valuation Agent가 자체 intake 폴더로 복제해 Peer/ML/대시보드 비교에 사용.</t>
        </is>
      </c>
    </row>
    <row r="139" ht="24" customHeight="1">
      <c r="A139" s="24" t="inlineStr">
        <is>
          <t>127</t>
        </is>
      </c>
      <c r="B139" s="24" t="inlineStr">
        <is>
          <t>해당 없음</t>
        </is>
      </c>
      <c r="C139" s="24" t="inlineStr">
        <is>
          <t>디엔에프</t>
        </is>
      </c>
      <c r="D139" s="24" t="inlineStr">
        <is>
          <t>092070</t>
        </is>
      </c>
      <c r="E139" s="24" t="inlineStr">
        <is>
          <t>KOSDAQ</t>
        </is>
      </c>
      <c r="F139" s="24" t="inlineStr">
        <is>
          <t>소재</t>
        </is>
      </c>
      <c r="G139" s="24" t="inlineStr">
        <is>
          <t>소재</t>
        </is>
      </c>
      <c r="H139" s="24" t="inlineStr">
        <is>
          <t>False</t>
        </is>
      </c>
      <c r="I139" s="24" t="inlineStr">
        <is>
          <t>True</t>
        </is>
      </c>
      <c r="J139" s="24" t="inlineStr">
        <is>
          <t>OK</t>
        </is>
      </c>
      <c r="K139" s="24" t="inlineStr">
        <is>
          <t>데이터 사용 가능</t>
        </is>
      </c>
      <c r="L139" s="24" t="inlineStr">
        <is>
          <t>LOW</t>
        </is>
      </c>
      <c r="M139" s="24" t="inlineStr">
        <is>
          <t>LOW</t>
        </is>
      </c>
      <c r="N139" s="24" t="inlineStr">
        <is>
          <t>0.4041025641025642</t>
        </is>
      </c>
      <c r="O139" s="24" t="inlineStr">
        <is>
          <t>EXPENSIVE</t>
        </is>
      </c>
      <c r="P139" s="24" t="inlineStr">
        <is>
          <t>EXPENSIVE</t>
        </is>
      </c>
      <c r="Q139" s="24" t="inlineStr">
        <is>
          <t>EXPENSIVE</t>
        </is>
      </c>
      <c r="R139" s="24" t="inlineStr">
        <is>
          <t>0.6833535693717029</t>
        </is>
      </c>
      <c r="S139" s="24" t="inlineStr">
        <is>
          <t>MEDIUM</t>
        </is>
      </c>
      <c r="T139" s="24" t="inlineStr">
        <is>
          <t>MEDIUM</t>
        </is>
      </c>
      <c r="U139" s="24" t="inlineStr">
        <is>
          <t>0.1428571428571428</t>
        </is>
      </c>
      <c r="V139" s="24" t="inlineStr">
        <is>
          <t>LOW_RISK</t>
        </is>
      </c>
      <c r="W139" s="24" t="inlineStr">
        <is>
          <t>저위험</t>
        </is>
      </c>
      <c r="X139" s="24" t="inlineStr">
        <is>
          <t>LOW_RISK</t>
        </is>
      </c>
      <c r="Y139" s="24" t="inlineStr">
        <is>
          <t>0.5929893794662974</t>
        </is>
      </c>
      <c r="Z139" s="24" t="inlineStr">
        <is>
          <t>MEDIUM</t>
        </is>
      </c>
      <c r="AA139" s="24" t="inlineStr">
        <is>
          <t>MEDIUM</t>
        </is>
      </c>
      <c r="AB139" s="24" t="inlineStr">
        <is>
          <t>0.12453521172683771</t>
        </is>
      </c>
      <c r="AC139" s="24" t="inlineStr">
        <is>
          <t>False</t>
        </is>
      </c>
      <c r="AD139" s="24" t="inlineStr">
        <is>
          <t>False</t>
        </is>
      </c>
      <c r="AE139" s="24" t="inlineStr">
        <is>
          <t>valuation_credit_ml_overlay_candidate.csv</t>
        </is>
      </c>
      <c r="AF139" s="24" t="inlineStr">
        <is>
          <t>208개 반도체 reference universe. Valuation Agent가 자체 intake 폴더로 복제해 Peer/ML/대시보드 비교에 사용.</t>
        </is>
      </c>
    </row>
    <row r="140" ht="24" customHeight="1">
      <c r="A140" s="29" t="inlineStr">
        <is>
          <t>135</t>
        </is>
      </c>
      <c r="B140" s="29" t="inlineStr">
        <is>
          <t>해당 없음</t>
        </is>
      </c>
      <c r="C140" s="29" t="inlineStr">
        <is>
          <t>와이씨켐</t>
        </is>
      </c>
      <c r="D140" s="29" t="inlineStr">
        <is>
          <t>112290</t>
        </is>
      </c>
      <c r="E140" s="29" t="inlineStr">
        <is>
          <t>KOSDAQ</t>
        </is>
      </c>
      <c r="F140" s="29" t="inlineStr">
        <is>
          <t>소재</t>
        </is>
      </c>
      <c r="G140" s="29" t="inlineStr">
        <is>
          <t>소재</t>
        </is>
      </c>
      <c r="H140" s="29" t="inlineStr">
        <is>
          <t>False</t>
        </is>
      </c>
      <c r="I140" s="29" t="inlineStr">
        <is>
          <t>True</t>
        </is>
      </c>
      <c r="J140" s="29" t="inlineStr">
        <is>
          <t>OK</t>
        </is>
      </c>
      <c r="K140" s="29" t="inlineStr">
        <is>
          <t>데이터 사용 가능</t>
        </is>
      </c>
      <c r="L140" s="29" t="inlineStr">
        <is>
          <t>LOW</t>
        </is>
      </c>
      <c r="M140" s="29" t="inlineStr">
        <is>
          <t>LOW</t>
        </is>
      </c>
      <c r="N140" s="29" t="inlineStr">
        <is>
          <t>0.3835897435897436</t>
        </is>
      </c>
      <c r="O140" s="29" t="inlineStr">
        <is>
          <t>EXPENSIVE</t>
        </is>
      </c>
      <c r="P140" s="29" t="inlineStr">
        <is>
          <t>EXPENSIVE</t>
        </is>
      </c>
      <c r="Q140" s="29" t="inlineStr">
        <is>
          <t>EXPENSIVE</t>
        </is>
      </c>
      <c r="R140" s="29" t="inlineStr">
        <is>
          <t>0.7576999610053956</t>
        </is>
      </c>
      <c r="S140" s="29" t="inlineStr">
        <is>
          <t>HIGH</t>
        </is>
      </c>
      <c r="T140" s="29" t="inlineStr">
        <is>
          <t>HIGH</t>
        </is>
      </c>
      <c r="U140" s="29" t="inlineStr">
        <is>
          <t>0.5</t>
        </is>
      </c>
      <c r="V140" s="29" t="inlineStr">
        <is>
          <t>HIGH_RISK</t>
        </is>
      </c>
      <c r="W140" s="29" t="inlineStr">
        <is>
          <t>고위험</t>
        </is>
      </c>
      <c r="X140" s="29" t="inlineStr">
        <is>
          <t>HIGH_RISK</t>
        </is>
      </c>
      <c r="Y140" s="29" t="inlineStr">
        <is>
          <t>0.5943318096005836</t>
        </is>
      </c>
      <c r="Z140" s="29" t="inlineStr">
        <is>
          <t>MEDIUM</t>
        </is>
      </c>
      <c r="AA140" s="29" t="inlineStr">
        <is>
          <t>MEDIUM</t>
        </is>
      </c>
      <c r="AB140" s="29" t="inlineStr">
        <is>
          <t>0.09923299749910795</t>
        </is>
      </c>
      <c r="AC140" s="29" t="inlineStr">
        <is>
          <t>False</t>
        </is>
      </c>
      <c r="AD140" s="29" t="inlineStr">
        <is>
          <t>False</t>
        </is>
      </c>
      <c r="AE140" s="29" t="inlineStr">
        <is>
          <t>valuation_credit_ml_overlay_candidate.csv</t>
        </is>
      </c>
      <c r="AF140" s="29" t="inlineStr">
        <is>
          <t>208개 반도체 reference universe. Valuation Agent가 자체 intake 폴더로 복제해 Peer/ML/대시보드 비교에 사용.</t>
        </is>
      </c>
    </row>
    <row r="141" ht="24" customHeight="1">
      <c r="A141" s="24" t="inlineStr">
        <is>
          <t>143</t>
        </is>
      </c>
      <c r="B141" s="24" t="inlineStr">
        <is>
          <t>해당 없음</t>
        </is>
      </c>
      <c r="C141" s="24" t="inlineStr">
        <is>
          <t>천보</t>
        </is>
      </c>
      <c r="D141" s="24" t="inlineStr">
        <is>
          <t>278280</t>
        </is>
      </c>
      <c r="E141" s="24" t="inlineStr">
        <is>
          <t>KOSDAQ</t>
        </is>
      </c>
      <c r="F141" s="24" t="inlineStr">
        <is>
          <t>소재</t>
        </is>
      </c>
      <c r="G141" s="24" t="inlineStr">
        <is>
          <t>소재</t>
        </is>
      </c>
      <c r="H141" s="24" t="inlineStr">
        <is>
          <t>False</t>
        </is>
      </c>
      <c r="I141" s="24" t="inlineStr">
        <is>
          <t>True</t>
        </is>
      </c>
      <c r="J141" s="24" t="inlineStr">
        <is>
          <t>OK</t>
        </is>
      </c>
      <c r="K141" s="24" t="inlineStr">
        <is>
          <t>데이터 사용 가능</t>
        </is>
      </c>
      <c r="L141" s="24" t="inlineStr">
        <is>
          <t>LOW</t>
        </is>
      </c>
      <c r="M141" s="24" t="inlineStr">
        <is>
          <t>LOW</t>
        </is>
      </c>
      <c r="N141" s="24" t="inlineStr">
        <is>
          <t>0.3387179487179487</t>
        </is>
      </c>
      <c r="O141" s="24" t="inlineStr">
        <is>
          <t>EXPENSIVE</t>
        </is>
      </c>
      <c r="P141" s="24" t="inlineStr">
        <is>
          <t>EXPENSIVE</t>
        </is>
      </c>
      <c r="Q141" s="24" t="inlineStr">
        <is>
          <t>EXPENSIVE</t>
        </is>
      </c>
      <c r="R141" s="24" t="inlineStr">
        <is>
          <t>0.5721835844163214</t>
        </is>
      </c>
      <c r="S141" s="24" t="inlineStr">
        <is>
          <t>MEDIUM</t>
        </is>
      </c>
      <c r="T141" s="24" t="inlineStr">
        <is>
          <t>MEDIUM</t>
        </is>
      </c>
      <c r="U141" s="24" t="inlineStr">
        <is>
          <t>0.3571428571428571</t>
        </is>
      </c>
      <c r="V141" s="24" t="inlineStr">
        <is>
          <t>MEDIUM_RISK</t>
        </is>
      </c>
      <c r="W141" s="24" t="inlineStr">
        <is>
          <t>중위험</t>
        </is>
      </c>
      <c r="X141" s="24" t="inlineStr">
        <is>
          <t>MEDIUM_RISK</t>
        </is>
      </c>
      <c r="Y141" s="24" t="inlineStr">
        <is>
          <t>0.6610625585827647</t>
        </is>
      </c>
      <c r="Z141" s="24" t="inlineStr">
        <is>
          <t>MEDIUM</t>
        </is>
      </c>
      <c r="AA141" s="24" t="inlineStr">
        <is>
          <t>MEDIUM</t>
        </is>
      </c>
      <c r="AB141" s="24" t="inlineStr">
        <is>
          <t>0.09911108426869078</t>
        </is>
      </c>
      <c r="AC141" s="24" t="inlineStr">
        <is>
          <t>False</t>
        </is>
      </c>
      <c r="AD141" s="24" t="inlineStr">
        <is>
          <t>False</t>
        </is>
      </c>
      <c r="AE141" s="24" t="inlineStr">
        <is>
          <t>valuation_credit_ml_overlay_candidate.csv</t>
        </is>
      </c>
      <c r="AF141" s="24" t="inlineStr">
        <is>
          <t>208개 반도체 reference universe. Valuation Agent가 자체 intake 폴더로 복제해 Peer/ML/대시보드 비교에 사용.</t>
        </is>
      </c>
    </row>
    <row r="142" ht="24" customHeight="1">
      <c r="A142" s="29" t="inlineStr">
        <is>
          <t>149</t>
        </is>
      </c>
      <c r="B142" s="29" t="inlineStr">
        <is>
          <t>해당 없음</t>
        </is>
      </c>
      <c r="C142" s="29" t="inlineStr">
        <is>
          <t>후성</t>
        </is>
      </c>
      <c r="D142" s="29" t="inlineStr">
        <is>
          <t>093370</t>
        </is>
      </c>
      <c r="E142" s="29" t="inlineStr">
        <is>
          <t>KOSPI</t>
        </is>
      </c>
      <c r="F142" s="29" t="inlineStr">
        <is>
          <t>소재</t>
        </is>
      </c>
      <c r="G142" s="29" t="inlineStr">
        <is>
          <t>소재</t>
        </is>
      </c>
      <c r="H142" s="29" t="inlineStr">
        <is>
          <t>False</t>
        </is>
      </c>
      <c r="I142" s="29" t="inlineStr">
        <is>
          <t>True</t>
        </is>
      </c>
      <c r="J142" s="29" t="inlineStr">
        <is>
          <t>OK</t>
        </is>
      </c>
      <c r="K142" s="29" t="inlineStr">
        <is>
          <t>데이터 사용 가능</t>
        </is>
      </c>
      <c r="L142" s="29" t="inlineStr">
        <is>
          <t>LOW</t>
        </is>
      </c>
      <c r="M142" s="29" t="inlineStr">
        <is>
          <t>LOW</t>
        </is>
      </c>
      <c r="N142" s="29" t="inlineStr">
        <is>
          <t>0.3387179487179487</t>
        </is>
      </c>
      <c r="O142" s="29" t="inlineStr">
        <is>
          <t>EXPENSIVE</t>
        </is>
      </c>
      <c r="P142" s="29" t="inlineStr">
        <is>
          <t>EXPENSIVE</t>
        </is>
      </c>
      <c r="Q142" s="29" t="inlineStr">
        <is>
          <t>EXPENSIVE</t>
        </is>
      </c>
      <c r="R142" s="29" t="inlineStr">
        <is>
          <t>0.7388215177779633</t>
        </is>
      </c>
      <c r="S142" s="29" t="inlineStr">
        <is>
          <t>HIGH</t>
        </is>
      </c>
      <c r="T142" s="29" t="inlineStr">
        <is>
          <t>HIGH</t>
        </is>
      </c>
      <c r="U142" s="29" t="inlineStr">
        <is>
          <t>0.1428571428571428</t>
        </is>
      </c>
      <c r="V142" s="29" t="inlineStr">
        <is>
          <t>LOW_RISK</t>
        </is>
      </c>
      <c r="W142" s="29" t="inlineStr">
        <is>
          <t>저위험</t>
        </is>
      </c>
      <c r="X142" s="29" t="inlineStr">
        <is>
          <t>LOW_RISK</t>
        </is>
      </c>
      <c r="Y142" s="29" t="inlineStr">
        <is>
          <t>0.6020102100460379</t>
        </is>
      </c>
      <c r="Z142" s="29" t="inlineStr">
        <is>
          <t>MEDIUM</t>
        </is>
      </c>
      <c r="AA142" s="29" t="inlineStr">
        <is>
          <t>MEDIUM</t>
        </is>
      </c>
      <c r="AB142" s="29" t="inlineStr">
        <is>
          <t>0.03702349009826696</t>
        </is>
      </c>
      <c r="AC142" s="29" t="inlineStr">
        <is>
          <t>False</t>
        </is>
      </c>
      <c r="AD142" s="29" t="inlineStr">
        <is>
          <t>False</t>
        </is>
      </c>
      <c r="AE142" s="29" t="inlineStr">
        <is>
          <t>valuation_credit_ml_overlay_candidate.csv</t>
        </is>
      </c>
      <c r="AF142" s="29" t="inlineStr">
        <is>
          <t>208개 반도체 reference universe. Valuation Agent가 자체 intake 폴더로 복제해 Peer/ML/대시보드 비교에 사용.</t>
        </is>
      </c>
    </row>
    <row r="143" ht="24" customHeight="1">
      <c r="A143" s="24" t="inlineStr">
        <is>
          <t>132</t>
        </is>
      </c>
      <c r="B143" s="24" t="inlineStr">
        <is>
          <t>해당 없음</t>
        </is>
      </c>
      <c r="C143" s="24" t="inlineStr">
        <is>
          <t>엘케이켐</t>
        </is>
      </c>
      <c r="D143" s="24" t="inlineStr">
        <is>
          <t>489500</t>
        </is>
      </c>
      <c r="E143" s="24" t="inlineStr">
        <is>
          <t>KOSDAQ</t>
        </is>
      </c>
      <c r="F143" s="24" t="inlineStr">
        <is>
          <t>소재</t>
        </is>
      </c>
      <c r="G143" s="24" t="inlineStr">
        <is>
          <t>소재</t>
        </is>
      </c>
      <c r="H143" s="24" t="inlineStr">
        <is>
          <t>False</t>
        </is>
      </c>
      <c r="I143" s="24" t="inlineStr">
        <is>
          <t>True</t>
        </is>
      </c>
      <c r="J143" s="24" t="inlineStr">
        <is>
          <t>OK_LIMITED_HISTORY_OR_GROWTH_NA</t>
        </is>
      </c>
      <c r="K143" s="24" t="inlineStr">
        <is>
          <t>데이터 사용 가능</t>
        </is>
      </c>
      <c r="L143" s="24" t="inlineStr">
        <is>
          <t>LOW</t>
        </is>
      </c>
      <c r="M143" s="24" t="inlineStr">
        <is>
          <t>LOW</t>
        </is>
      </c>
      <c r="N143" s="24" t="inlineStr">
        <is>
          <t>0.3238461538461538</t>
        </is>
      </c>
      <c r="O143" s="24" t="inlineStr">
        <is>
          <t>EXPENSIVE</t>
        </is>
      </c>
      <c r="P143" s="24" t="inlineStr">
        <is>
          <t>EXPENSIVE</t>
        </is>
      </c>
      <c r="Q143" s="24" t="inlineStr">
        <is>
          <t>EXPENSIVE</t>
        </is>
      </c>
      <c r="R143" s="24" t="inlineStr">
        <is>
          <t>0.702794478496214</t>
        </is>
      </c>
      <c r="S143" s="24" t="inlineStr">
        <is>
          <t>HIGH</t>
        </is>
      </c>
      <c r="T143" s="24" t="inlineStr">
        <is>
          <t>HIGH</t>
        </is>
      </c>
      <c r="U143" s="24" t="inlineStr">
        <is>
          <t>0.2857142857142857</t>
        </is>
      </c>
      <c r="V143" s="24" t="inlineStr">
        <is>
          <t>MEDIUM_RISK</t>
        </is>
      </c>
      <c r="W143" s="24" t="inlineStr">
        <is>
          <t>중위험</t>
        </is>
      </c>
      <c r="X143" s="24" t="inlineStr">
        <is>
          <t>MEDIUM_RISK</t>
        </is>
      </c>
      <c r="Y143" s="24" t="inlineStr">
        <is>
          <t>0.5536965458646373</t>
        </is>
      </c>
      <c r="Z143" s="24" t="inlineStr">
        <is>
          <t>MEDIUM</t>
        </is>
      </c>
      <c r="AA143" s="24" t="inlineStr">
        <is>
          <t>MEDIUM</t>
        </is>
      </c>
      <c r="AB143" s="24" t="inlineStr">
        <is>
          <t>0.25181847400004714</t>
        </is>
      </c>
      <c r="AC143" s="24" t="inlineStr">
        <is>
          <t>True</t>
        </is>
      </c>
      <c r="AD143" s="24" t="inlineStr">
        <is>
          <t>True</t>
        </is>
      </c>
      <c r="AE143" s="24" t="inlineStr">
        <is>
          <t>valuation_credit_ml_overlay_candidate.csv</t>
        </is>
      </c>
      <c r="AF143" s="24" t="inlineStr">
        <is>
          <t>208개 반도체 reference universe. Valuation Agent가 자체 intake 폴더로 복제해 Peer/ML/대시보드 비교에 사용.</t>
        </is>
      </c>
    </row>
    <row r="144" ht="24" customHeight="1">
      <c r="A144" s="29" t="inlineStr">
        <is>
          <t>124</t>
        </is>
      </c>
      <c r="B144" s="29" t="inlineStr">
        <is>
          <t>해당 없음</t>
        </is>
      </c>
      <c r="C144" s="29" t="inlineStr">
        <is>
          <t>SKC</t>
        </is>
      </c>
      <c r="D144" s="29" t="inlineStr">
        <is>
          <t>011790</t>
        </is>
      </c>
      <c r="E144" s="29" t="inlineStr">
        <is>
          <t>KOSPI</t>
        </is>
      </c>
      <c r="F144" s="29" t="inlineStr">
        <is>
          <t>소재</t>
        </is>
      </c>
      <c r="G144" s="29" t="inlineStr">
        <is>
          <t>소재</t>
        </is>
      </c>
      <c r="H144" s="29" t="inlineStr">
        <is>
          <t>False</t>
        </is>
      </c>
      <c r="I144" s="29" t="inlineStr">
        <is>
          <t>True</t>
        </is>
      </c>
      <c r="J144" s="29" t="inlineStr">
        <is>
          <t>OK</t>
        </is>
      </c>
      <c r="K144" s="29" t="inlineStr">
        <is>
          <t>데이터 사용 가능</t>
        </is>
      </c>
      <c r="L144" s="29" t="inlineStr">
        <is>
          <t>LOW</t>
        </is>
      </c>
      <c r="M144" s="29" t="inlineStr">
        <is>
          <t>LOW</t>
        </is>
      </c>
      <c r="N144" s="29" t="inlineStr">
        <is>
          <t>0.3217948717948718</t>
        </is>
      </c>
      <c r="O144" s="29" t="inlineStr">
        <is>
          <t>EXPENSIVE</t>
        </is>
      </c>
      <c r="P144" s="29" t="inlineStr">
        <is>
          <t>EXPENSIVE</t>
        </is>
      </c>
      <c r="Q144" s="29" t="inlineStr">
        <is>
          <t>EXPENSIVE</t>
        </is>
      </c>
      <c r="R144" s="29" t="inlineStr">
        <is>
          <t>0.865330691240198</t>
        </is>
      </c>
      <c r="S144" s="29" t="inlineStr">
        <is>
          <t>HIGH</t>
        </is>
      </c>
      <c r="T144" s="29" t="inlineStr">
        <is>
          <t>HIGH</t>
        </is>
      </c>
      <c r="U144" s="29" t="inlineStr">
        <is>
          <t>0.7142857142857143</t>
        </is>
      </c>
      <c r="V144" s="29" t="inlineStr">
        <is>
          <t>HIGH_RISK</t>
        </is>
      </c>
      <c r="W144" s="29" t="inlineStr">
        <is>
          <t>고위험</t>
        </is>
      </c>
      <c r="X144" s="29" t="inlineStr">
        <is>
          <t>HIGH_RISK</t>
        </is>
      </c>
      <c r="Y144" s="29" t="inlineStr">
        <is>
          <t>0.9272418560336225</t>
        </is>
      </c>
      <c r="Z144" s="29" t="inlineStr">
        <is>
          <t>HIGH</t>
        </is>
      </c>
      <c r="AA144" s="29" t="inlineStr">
        <is>
          <t>HIGH</t>
        </is>
      </c>
      <c r="AB144" s="29" t="inlineStr">
        <is>
          <t>0.23200310396853355</t>
        </is>
      </c>
      <c r="AC144" s="29" t="inlineStr">
        <is>
          <t>False</t>
        </is>
      </c>
      <c r="AD144" s="29" t="inlineStr">
        <is>
          <t>False</t>
        </is>
      </c>
      <c r="AE144" s="29" t="inlineStr">
        <is>
          <t>valuation_credit_ml_overlay_candidate.csv</t>
        </is>
      </c>
      <c r="AF144" s="29" t="inlineStr">
        <is>
          <t>208개 반도체 reference universe. Valuation Agent가 자체 intake 폴더로 복제해 Peer/ML/대시보드 비교에 사용.</t>
        </is>
      </c>
    </row>
    <row r="145" ht="24" customHeight="1">
      <c r="A145" s="24" t="inlineStr">
        <is>
          <t>128</t>
        </is>
      </c>
      <c r="B145" s="24" t="inlineStr">
        <is>
          <t>해당 없음</t>
        </is>
      </c>
      <c r="C145" s="24" t="inlineStr">
        <is>
          <t>레이크머티리얼즈</t>
        </is>
      </c>
      <c r="D145" s="24" t="inlineStr">
        <is>
          <t>281740</t>
        </is>
      </c>
      <c r="E145" s="24" t="inlineStr">
        <is>
          <t>KOSDAQ</t>
        </is>
      </c>
      <c r="F145" s="24" t="inlineStr">
        <is>
          <t>소재</t>
        </is>
      </c>
      <c r="G145" s="24" t="inlineStr">
        <is>
          <t>소재</t>
        </is>
      </c>
      <c r="H145" s="24" t="inlineStr">
        <is>
          <t>False</t>
        </is>
      </c>
      <c r="I145" s="24" t="inlineStr">
        <is>
          <t>True</t>
        </is>
      </c>
      <c r="J145" s="24" t="inlineStr">
        <is>
          <t>OK</t>
        </is>
      </c>
      <c r="K145" s="24" t="inlineStr">
        <is>
          <t>데이터 사용 가능</t>
        </is>
      </c>
      <c r="L145" s="24" t="inlineStr">
        <is>
          <t>LOW</t>
        </is>
      </c>
      <c r="M145" s="24" t="inlineStr">
        <is>
          <t>LOW</t>
        </is>
      </c>
      <c r="N145" s="24" t="inlineStr">
        <is>
          <t>0.2676923076923077</t>
        </is>
      </c>
      <c r="O145" s="24" t="inlineStr">
        <is>
          <t>EXPENSIVE</t>
        </is>
      </c>
      <c r="P145" s="24" t="inlineStr">
        <is>
          <t>EXPENSIVE</t>
        </is>
      </c>
      <c r="Q145" s="24" t="inlineStr">
        <is>
          <t>EXPENSIVE</t>
        </is>
      </c>
      <c r="R145" s="24" t="inlineStr">
        <is>
          <t>0.7822727417954645</t>
        </is>
      </c>
      <c r="S145" s="24" t="inlineStr">
        <is>
          <t>HIGH</t>
        </is>
      </c>
      <c r="T145" s="24" t="inlineStr">
        <is>
          <t>HIGH</t>
        </is>
      </c>
      <c r="U145" s="24" t="inlineStr">
        <is>
          <t>0.2857142857142857</t>
        </is>
      </c>
      <c r="V145" s="24" t="inlineStr">
        <is>
          <t>MEDIUM_RISK</t>
        </is>
      </c>
      <c r="W145" s="24" t="inlineStr">
        <is>
          <t>중위험</t>
        </is>
      </c>
      <c r="X145" s="24" t="inlineStr">
        <is>
          <t>LOW_RISK</t>
        </is>
      </c>
      <c r="Y145" s="24" t="inlineStr">
        <is>
          <t>0.44190315892256776</t>
        </is>
      </c>
      <c r="Z145" s="24" t="inlineStr">
        <is>
          <t>LOW</t>
        </is>
      </c>
      <c r="AA145" s="24" t="inlineStr">
        <is>
          <t>LOW</t>
        </is>
      </c>
      <c r="AB145" s="24" t="inlineStr">
        <is>
          <t>0.0525163305941587</t>
        </is>
      </c>
      <c r="AC145" s="24" t="inlineStr">
        <is>
          <t>False</t>
        </is>
      </c>
      <c r="AD145" s="24" t="inlineStr">
        <is>
          <t>True</t>
        </is>
      </c>
      <c r="AE145" s="24" t="inlineStr">
        <is>
          <t>valuation_credit_ml_overlay_candidate.csv</t>
        </is>
      </c>
      <c r="AF145" s="24" t="inlineStr">
        <is>
          <t>208개 반도체 reference universe. Valuation Agent가 자체 intake 폴더로 복제해 Peer/ML/대시보드 비교에 사용.</t>
        </is>
      </c>
    </row>
    <row r="146" ht="24" customHeight="1">
      <c r="A146" s="29" t="inlineStr">
        <is>
          <t>125</t>
        </is>
      </c>
      <c r="B146" s="29" t="inlineStr">
        <is>
          <t>duksan</t>
        </is>
      </c>
      <c r="C146" s="29" t="inlineStr">
        <is>
          <t>덕산테코피아</t>
        </is>
      </c>
      <c r="D146" s="29" t="inlineStr">
        <is>
          <t>317330</t>
        </is>
      </c>
      <c r="E146" s="29" t="inlineStr">
        <is>
          <t>KOSDAQ</t>
        </is>
      </c>
      <c r="F146" s="29" t="inlineStr">
        <is>
          <t>소재</t>
        </is>
      </c>
      <c r="G146" s="29" t="inlineStr">
        <is>
          <t>소재</t>
        </is>
      </c>
      <c r="H146" s="29" t="inlineStr">
        <is>
          <t>True</t>
        </is>
      </c>
      <c r="I146" s="29" t="inlineStr">
        <is>
          <t>True</t>
        </is>
      </c>
      <c r="J146" s="29" t="inlineStr">
        <is>
          <t>OK</t>
        </is>
      </c>
      <c r="K146" s="29" t="inlineStr">
        <is>
          <t>데이터 사용 가능</t>
        </is>
      </c>
      <c r="L146" s="29" t="inlineStr">
        <is>
          <t>LOW</t>
        </is>
      </c>
      <c r="M146" s="29" t="inlineStr">
        <is>
          <t>LOW</t>
        </is>
      </c>
      <c r="N146" s="29" t="inlineStr">
        <is>
          <t>0.251025641025641</t>
        </is>
      </c>
      <c r="O146" s="29" t="inlineStr">
        <is>
          <t>EXPENSIVE</t>
        </is>
      </c>
      <c r="P146" s="29" t="inlineStr">
        <is>
          <t>EXPENSIVE</t>
        </is>
      </c>
      <c r="Q146" s="29" t="inlineStr">
        <is>
          <t>EXPENSIVE</t>
        </is>
      </c>
      <c r="R146" s="29" t="inlineStr">
        <is>
          <t>0.9683283970250778</t>
        </is>
      </c>
      <c r="S146" s="29" t="inlineStr">
        <is>
          <t>HIGH</t>
        </is>
      </c>
      <c r="T146" s="29" t="inlineStr">
        <is>
          <t>HIGH</t>
        </is>
      </c>
      <c r="U146" s="29" t="inlineStr">
        <is>
          <t>0.7142857142857143</t>
        </is>
      </c>
      <c r="V146" s="29" t="inlineStr">
        <is>
          <t>HIGH_RISK</t>
        </is>
      </c>
      <c r="W146" s="29" t="inlineStr">
        <is>
          <t>고위험</t>
        </is>
      </c>
      <c r="X146" s="29" t="inlineStr">
        <is>
          <t>HIGH_RISK</t>
        </is>
      </c>
      <c r="Y146" s="29" t="inlineStr">
        <is>
          <t>0.9663044353705786</t>
        </is>
      </c>
      <c r="Z146" s="29" t="inlineStr">
        <is>
          <t>HIGH</t>
        </is>
      </c>
      <c r="AA146" s="29" t="inlineStr">
        <is>
          <t>HIGH</t>
        </is>
      </c>
      <c r="AB146" s="29" t="inlineStr">
        <is>
          <t>0.3843555232614074</t>
        </is>
      </c>
      <c r="AC146" s="29" t="inlineStr">
        <is>
          <t>True</t>
        </is>
      </c>
      <c r="AD146" s="29" t="inlineStr">
        <is>
          <t>True</t>
        </is>
      </c>
      <c r="AE146" s="29" t="inlineStr">
        <is>
          <t>valuation_credit_ml_overlay_candidate.csv</t>
        </is>
      </c>
      <c r="AF146" s="29" t="inlineStr">
        <is>
          <t>208개 반도체 reference universe. Valuation Agent가 자체 intake 폴더로 복제해 Peer/ML/대시보드 비교에 사용.</t>
        </is>
      </c>
    </row>
    <row r="147" ht="24" customHeight="1">
      <c r="A147" s="24" t="inlineStr">
        <is>
          <t>99</t>
        </is>
      </c>
      <c r="B147" s="24" t="inlineStr">
        <is>
          <t>해당 없음</t>
        </is>
      </c>
      <c r="C147" s="24" t="inlineStr">
        <is>
          <t>엔투텍</t>
        </is>
      </c>
      <c r="D147" s="24" t="inlineStr">
        <is>
          <t>227950</t>
        </is>
      </c>
      <c r="E147" s="24" t="inlineStr">
        <is>
          <t>KOSDAQ</t>
        </is>
      </c>
      <c r="F147" s="24" t="inlineStr">
        <is>
          <t>장비</t>
        </is>
      </c>
      <c r="G147" s="24" t="inlineStr">
        <is>
          <t>장비</t>
        </is>
      </c>
      <c r="H147" s="24" t="inlineStr">
        <is>
          <t>False</t>
        </is>
      </c>
      <c r="I147" s="24" t="inlineStr">
        <is>
          <t>True</t>
        </is>
      </c>
      <c r="J147" s="24" t="inlineStr">
        <is>
          <t>OK</t>
        </is>
      </c>
      <c r="K147" s="24" t="inlineStr">
        <is>
          <t>데이터 사용 가능</t>
        </is>
      </c>
      <c r="L147" s="24" t="inlineStr">
        <is>
          <t>LOW</t>
        </is>
      </c>
      <c r="M147" s="24" t="inlineStr">
        <is>
          <t>LOW</t>
        </is>
      </c>
      <c r="N147" s="24" t="inlineStr">
        <is>
          <t>0.8128666666666667</t>
        </is>
      </c>
      <c r="O147" s="24" t="inlineStr">
        <is>
          <t>ATTRACTIVE</t>
        </is>
      </c>
      <c r="P147" s="24" t="inlineStr">
        <is>
          <t>가치 매력</t>
        </is>
      </c>
      <c r="Q147" s="24" t="inlineStr">
        <is>
          <t>ATTRACTIVE</t>
        </is>
      </c>
      <c r="R147" s="24" t="inlineStr">
        <is>
          <t>0.8347222629406851</t>
        </is>
      </c>
      <c r="S147" s="24" t="inlineStr">
        <is>
          <t>HIGH</t>
        </is>
      </c>
      <c r="T147" s="24" t="inlineStr">
        <is>
          <t>HIGH</t>
        </is>
      </c>
      <c r="U147" s="24" t="inlineStr">
        <is>
          <t>0.2142857142857142</t>
        </is>
      </c>
      <c r="V147" s="24" t="inlineStr">
        <is>
          <t>MEDIUM_RISK</t>
        </is>
      </c>
      <c r="W147" s="24" t="inlineStr">
        <is>
          <t>중위험</t>
        </is>
      </c>
      <c r="X147" s="24" t="inlineStr">
        <is>
          <t>MEDIUM_RISK</t>
        </is>
      </c>
      <c r="Y147" s="24" t="inlineStr">
        <is>
          <t>0.5142933547274794</t>
        </is>
      </c>
      <c r="Z147" s="24" t="inlineStr">
        <is>
          <t>MEDIUM</t>
        </is>
      </c>
      <c r="AA147" s="24" t="inlineStr">
        <is>
          <t>MEDIUM</t>
        </is>
      </c>
      <c r="AB147" s="24" t="inlineStr">
        <is>
          <t>0.21193857896314997</t>
        </is>
      </c>
      <c r="AC147" s="24" t="inlineStr">
        <is>
          <t>False</t>
        </is>
      </c>
      <c r="AD147" s="24" t="inlineStr">
        <is>
          <t>False</t>
        </is>
      </c>
      <c r="AE147" s="24" t="inlineStr">
        <is>
          <t>valuation_credit_ml_overlay_candidate.csv</t>
        </is>
      </c>
      <c r="AF147" s="24" t="inlineStr">
        <is>
          <t>208개 반도체 reference universe. Valuation Agent가 자체 intake 폴더로 복제해 Peer/ML/대시보드 비교에 사용.</t>
        </is>
      </c>
    </row>
    <row r="148" ht="24" customHeight="1">
      <c r="A148" s="29" t="inlineStr">
        <is>
          <t>88</t>
        </is>
      </c>
      <c r="B148" s="29" t="inlineStr">
        <is>
          <t>해당 없음</t>
        </is>
      </c>
      <c r="C148" s="29" t="inlineStr">
        <is>
          <t>비아트론</t>
        </is>
      </c>
      <c r="D148" s="29" t="inlineStr">
        <is>
          <t>141000</t>
        </is>
      </c>
      <c r="E148" s="29" t="inlineStr">
        <is>
          <t>KOSDAQ</t>
        </is>
      </c>
      <c r="F148" s="29" t="inlineStr">
        <is>
          <t>장비</t>
        </is>
      </c>
      <c r="G148" s="29" t="inlineStr">
        <is>
          <t>장비</t>
        </is>
      </c>
      <c r="H148" s="29" t="inlineStr">
        <is>
          <t>False</t>
        </is>
      </c>
      <c r="I148" s="29" t="inlineStr">
        <is>
          <t>True</t>
        </is>
      </c>
      <c r="J148" s="29" t="inlineStr">
        <is>
          <t>OK</t>
        </is>
      </c>
      <c r="K148" s="29" t="inlineStr">
        <is>
          <t>데이터 사용 가능</t>
        </is>
      </c>
      <c r="L148" s="29" t="inlineStr">
        <is>
          <t>LOW</t>
        </is>
      </c>
      <c r="M148" s="29" t="inlineStr">
        <is>
          <t>LOW</t>
        </is>
      </c>
      <c r="N148" s="29" t="inlineStr">
        <is>
          <t>0.7105333333333335</t>
        </is>
      </c>
      <c r="O148" s="29" t="inlineStr">
        <is>
          <t>ATTRACTIVE</t>
        </is>
      </c>
      <c r="P148" s="29" t="inlineStr">
        <is>
          <t>가치 매력</t>
        </is>
      </c>
      <c r="Q148" s="29" t="inlineStr">
        <is>
          <t>ATTRACTIVE</t>
        </is>
      </c>
      <c r="R148" s="29" t="inlineStr">
        <is>
          <t>0.934708213344448</t>
        </is>
      </c>
      <c r="S148" s="29" t="inlineStr">
        <is>
          <t>HIGH</t>
        </is>
      </c>
      <c r="T148" s="29" t="inlineStr">
        <is>
          <t>HIGH</t>
        </is>
      </c>
      <c r="U148" s="29" t="inlineStr">
        <is>
          <t>0.0</t>
        </is>
      </c>
      <c r="V148" s="29" t="inlineStr">
        <is>
          <t>LOW_RISK</t>
        </is>
      </c>
      <c r="W148" s="29" t="inlineStr">
        <is>
          <t>저위험</t>
        </is>
      </c>
      <c r="X148" s="29" t="inlineStr">
        <is>
          <t>LOW_RISK</t>
        </is>
      </c>
      <c r="Y148" s="29" t="inlineStr">
        <is>
          <t>0.9411184099481913</t>
        </is>
      </c>
      <c r="Z148" s="29" t="inlineStr">
        <is>
          <t>HIGH</t>
        </is>
      </c>
      <c r="AA148" s="29" t="inlineStr">
        <is>
          <t>HIGH</t>
        </is>
      </c>
      <c r="AB148" s="29" t="inlineStr">
        <is>
          <t>0.11715633071246634</t>
        </is>
      </c>
      <c r="AC148" s="29" t="inlineStr">
        <is>
          <t>False</t>
        </is>
      </c>
      <c r="AD148" s="29" t="inlineStr">
        <is>
          <t>False</t>
        </is>
      </c>
      <c r="AE148" s="29" t="inlineStr">
        <is>
          <t>valuation_credit_ml_overlay_candidate.csv</t>
        </is>
      </c>
      <c r="AF148" s="29" t="inlineStr">
        <is>
          <t>208개 반도체 reference universe. Valuation Agent가 자체 intake 폴더로 복제해 Peer/ML/대시보드 비교에 사용.</t>
        </is>
      </c>
    </row>
    <row r="149" ht="24" customHeight="1">
      <c r="A149" s="24" t="inlineStr">
        <is>
          <t>112</t>
        </is>
      </c>
      <c r="B149" s="24" t="inlineStr">
        <is>
          <t>해당 없음</t>
        </is>
      </c>
      <c r="C149" s="24" t="inlineStr">
        <is>
          <t>케이씨</t>
        </is>
      </c>
      <c r="D149" s="24" t="inlineStr">
        <is>
          <t>029460</t>
        </is>
      </c>
      <c r="E149" s="24" t="inlineStr">
        <is>
          <t>KOSPI</t>
        </is>
      </c>
      <c r="F149" s="24" t="inlineStr">
        <is>
          <t>장비</t>
        </is>
      </c>
      <c r="G149" s="24" t="inlineStr">
        <is>
          <t>장비</t>
        </is>
      </c>
      <c r="H149" s="24" t="inlineStr">
        <is>
          <t>False</t>
        </is>
      </c>
      <c r="I149" s="24" t="inlineStr">
        <is>
          <t>True</t>
        </is>
      </c>
      <c r="J149" s="24" t="inlineStr">
        <is>
          <t>OK</t>
        </is>
      </c>
      <c r="K149" s="24" t="inlineStr">
        <is>
          <t>데이터 사용 가능</t>
        </is>
      </c>
      <c r="L149" s="24" t="inlineStr">
        <is>
          <t>LOW</t>
        </is>
      </c>
      <c r="M149" s="24" t="inlineStr">
        <is>
          <t>LOW</t>
        </is>
      </c>
      <c r="N149" s="24" t="inlineStr">
        <is>
          <t>0.7065333333333332</t>
        </is>
      </c>
      <c r="O149" s="24" t="inlineStr">
        <is>
          <t>ATTRACTIVE</t>
        </is>
      </c>
      <c r="P149" s="24" t="inlineStr">
        <is>
          <t>가치 매력</t>
        </is>
      </c>
      <c r="Q149" s="24" t="inlineStr">
        <is>
          <t>ATTRACTIVE</t>
        </is>
      </c>
      <c r="R149" s="24" t="inlineStr">
        <is>
          <t>0.9151708177015135</t>
        </is>
      </c>
      <c r="S149" s="24" t="inlineStr">
        <is>
          <t>HIGH</t>
        </is>
      </c>
      <c r="T149" s="24" t="inlineStr">
        <is>
          <t>HIGH</t>
        </is>
      </c>
      <c r="U149" s="24" t="inlineStr">
        <is>
          <t>0.0</t>
        </is>
      </c>
      <c r="V149" s="24" t="inlineStr">
        <is>
          <t>LOW_RISK</t>
        </is>
      </c>
      <c r="W149" s="24" t="inlineStr">
        <is>
          <t>저위험</t>
        </is>
      </c>
      <c r="X149" s="24" t="inlineStr">
        <is>
          <t>LOW_RISK</t>
        </is>
      </c>
      <c r="Y149" s="24" t="inlineStr">
        <is>
          <t>0.883115363364621</t>
        </is>
      </c>
      <c r="Z149" s="24" t="inlineStr">
        <is>
          <t>HIGH</t>
        </is>
      </c>
      <c r="AA149" s="24" t="inlineStr">
        <is>
          <t>HIGH</t>
        </is>
      </c>
      <c r="AB149" s="24" t="inlineStr">
        <is>
          <t>0.07036651203602409</t>
        </is>
      </c>
      <c r="AC149" s="24" t="inlineStr">
        <is>
          <t>False</t>
        </is>
      </c>
      <c r="AD149" s="24" t="inlineStr">
        <is>
          <t>False</t>
        </is>
      </c>
      <c r="AE149" s="24" t="inlineStr">
        <is>
          <t>valuation_credit_ml_overlay_candidate.csv</t>
        </is>
      </c>
      <c r="AF149" s="24" t="inlineStr">
        <is>
          <t>208개 반도체 reference universe. Valuation Agent가 자체 intake 폴더로 복제해 Peer/ML/대시보드 비교에 사용.</t>
        </is>
      </c>
    </row>
    <row r="150" ht="24" customHeight="1">
      <c r="A150" s="29" t="inlineStr">
        <is>
          <t>81</t>
        </is>
      </c>
      <c r="B150" s="29" t="inlineStr">
        <is>
          <t>해당 없음</t>
        </is>
      </c>
      <c r="C150" s="29" t="inlineStr">
        <is>
          <t>더코디</t>
        </is>
      </c>
      <c r="D150" s="29" t="inlineStr">
        <is>
          <t>224060</t>
        </is>
      </c>
      <c r="E150" s="29" t="inlineStr">
        <is>
          <t>KOSDAQ</t>
        </is>
      </c>
      <c r="F150" s="29" t="inlineStr">
        <is>
          <t>장비</t>
        </is>
      </c>
      <c r="G150" s="29" t="inlineStr">
        <is>
          <t>장비</t>
        </is>
      </c>
      <c r="H150" s="29" t="inlineStr">
        <is>
          <t>False</t>
        </is>
      </c>
      <c r="I150" s="29" t="inlineStr">
        <is>
          <t>True</t>
        </is>
      </c>
      <c r="J150" s="29" t="inlineStr">
        <is>
          <t>OK</t>
        </is>
      </c>
      <c r="K150" s="29" t="inlineStr">
        <is>
          <t>데이터 사용 가능</t>
        </is>
      </c>
      <c r="L150" s="29" t="inlineStr">
        <is>
          <t>LOW</t>
        </is>
      </c>
      <c r="M150" s="29" t="inlineStr">
        <is>
          <t>LOW</t>
        </is>
      </c>
      <c r="N150" s="29" t="inlineStr">
        <is>
          <t>0.6908666666666667</t>
        </is>
      </c>
      <c r="O150" s="29" t="inlineStr">
        <is>
          <t>FAIR</t>
        </is>
      </c>
      <c r="P150" s="29" t="inlineStr">
        <is>
          <t>FAIR</t>
        </is>
      </c>
      <c r="Q150" s="29" t="inlineStr">
        <is>
          <t>FAIR</t>
        </is>
      </c>
      <c r="R150" s="29" t="inlineStr">
        <is>
          <t>0.6613330626239345</t>
        </is>
      </c>
      <c r="S150" s="29" t="inlineStr">
        <is>
          <t>MEDIUM</t>
        </is>
      </c>
      <c r="T150" s="29" t="inlineStr">
        <is>
          <t>MEDIUM</t>
        </is>
      </c>
      <c r="U150" s="29" t="inlineStr">
        <is>
          <t>0.8571428571428571</t>
        </is>
      </c>
      <c r="V150" s="29" t="inlineStr">
        <is>
          <t>HIGH_RISK</t>
        </is>
      </c>
      <c r="W150" s="29" t="inlineStr">
        <is>
          <t>고위험</t>
        </is>
      </c>
      <c r="X150" s="29" t="inlineStr">
        <is>
          <t>HIGH_RISK</t>
        </is>
      </c>
      <c r="Y150" s="29" t="inlineStr">
        <is>
          <t>0.5690179270143122</t>
        </is>
      </c>
      <c r="Z150" s="29" t="inlineStr">
        <is>
          <t>MEDIUM</t>
        </is>
      </c>
      <c r="AA150" s="29" t="inlineStr">
        <is>
          <t>MEDIUM</t>
        </is>
      </c>
      <c r="AB150" s="29" t="inlineStr">
        <is>
          <t>0.3728446721783581</t>
        </is>
      </c>
      <c r="AC150" s="29" t="inlineStr">
        <is>
          <t>True</t>
        </is>
      </c>
      <c r="AD150" s="29" t="inlineStr">
        <is>
          <t>True</t>
        </is>
      </c>
      <c r="AE150" s="29" t="inlineStr">
        <is>
          <t>valuation_credit_ml_overlay_candidate.csv</t>
        </is>
      </c>
      <c r="AF150" s="29" t="inlineStr">
        <is>
          <t>208개 반도체 reference universe. Valuation Agent가 자체 intake 폴더로 복제해 Peer/ML/대시보드 비교에 사용.</t>
        </is>
      </c>
    </row>
    <row r="151" ht="24" customHeight="1">
      <c r="A151" s="24" t="inlineStr">
        <is>
          <t>76</t>
        </is>
      </c>
      <c r="B151" s="24" t="inlineStr">
        <is>
          <t>해당 없음</t>
        </is>
      </c>
      <c r="C151" s="24" t="inlineStr">
        <is>
          <t>KPX케미칼</t>
        </is>
      </c>
      <c r="D151" s="24" t="inlineStr">
        <is>
          <t>025000</t>
        </is>
      </c>
      <c r="E151" s="24" t="inlineStr">
        <is>
          <t>KOSPI</t>
        </is>
      </c>
      <c r="F151" s="24" t="inlineStr">
        <is>
          <t>장비</t>
        </is>
      </c>
      <c r="G151" s="24" t="inlineStr">
        <is>
          <t>장비</t>
        </is>
      </c>
      <c r="H151" s="24" t="inlineStr">
        <is>
          <t>False</t>
        </is>
      </c>
      <c r="I151" s="24" t="inlineStr">
        <is>
          <t>True</t>
        </is>
      </c>
      <c r="J151" s="24" t="inlineStr">
        <is>
          <t>OK</t>
        </is>
      </c>
      <c r="K151" s="24" t="inlineStr">
        <is>
          <t>데이터 사용 가능</t>
        </is>
      </c>
      <c r="L151" s="24" t="inlineStr">
        <is>
          <t>LOW</t>
        </is>
      </c>
      <c r="M151" s="24" t="inlineStr">
        <is>
          <t>LOW</t>
        </is>
      </c>
      <c r="N151" s="24" t="inlineStr">
        <is>
          <t>0.6876</t>
        </is>
      </c>
      <c r="O151" s="24" t="inlineStr">
        <is>
          <t>ATTRACTIVE</t>
        </is>
      </c>
      <c r="P151" s="24" t="inlineStr">
        <is>
          <t>가치 매력</t>
        </is>
      </c>
      <c r="Q151" s="24" t="inlineStr">
        <is>
          <t>ATTRACTIVE</t>
        </is>
      </c>
      <c r="R151" s="24" t="inlineStr">
        <is>
          <t>0.9091955435785402</t>
        </is>
      </c>
      <c r="S151" s="24" t="inlineStr">
        <is>
          <t>HIGH</t>
        </is>
      </c>
      <c r="T151" s="24" t="inlineStr">
        <is>
          <t>HIGH</t>
        </is>
      </c>
      <c r="U151" s="24" t="inlineStr">
        <is>
          <t>0.0</t>
        </is>
      </c>
      <c r="V151" s="24" t="inlineStr">
        <is>
          <t>LOW_RISK</t>
        </is>
      </c>
      <c r="W151" s="24" t="inlineStr">
        <is>
          <t>저위험</t>
        </is>
      </c>
      <c r="X151" s="24" t="inlineStr">
        <is>
          <t>LOW_RISK</t>
        </is>
      </c>
      <c r="Y151" s="24" t="inlineStr">
        <is>
          <t>0.9222174142026104</t>
        </is>
      </c>
      <c r="Z151" s="24" t="inlineStr">
        <is>
          <t>HIGH</t>
        </is>
      </c>
      <c r="AA151" s="24" t="inlineStr">
        <is>
          <t>HIGH</t>
        </is>
      </c>
      <c r="AB151" s="24" t="inlineStr">
        <is>
          <t>0.13901835477996793</t>
        </is>
      </c>
      <c r="AC151" s="24" t="inlineStr">
        <is>
          <t>False</t>
        </is>
      </c>
      <c r="AD151" s="24" t="inlineStr">
        <is>
          <t>False</t>
        </is>
      </c>
      <c r="AE151" s="24" t="inlineStr">
        <is>
          <t>valuation_credit_ml_overlay_candidate.csv</t>
        </is>
      </c>
      <c r="AF151" s="24" t="inlineStr">
        <is>
          <t>208개 반도체 reference universe. Valuation Agent가 자체 intake 폴더로 복제해 Peer/ML/대시보드 비교에 사용.</t>
        </is>
      </c>
    </row>
    <row r="152" ht="24" customHeight="1">
      <c r="A152" s="29" t="inlineStr">
        <is>
          <t>91</t>
        </is>
      </c>
      <c r="B152" s="29" t="inlineStr">
        <is>
          <t>해당 없음</t>
        </is>
      </c>
      <c r="C152" s="29" t="inlineStr">
        <is>
          <t>성도이엔지</t>
        </is>
      </c>
      <c r="D152" s="29" t="inlineStr">
        <is>
          <t>037350</t>
        </is>
      </c>
      <c r="E152" s="29" t="inlineStr">
        <is>
          <t>KOSDAQ</t>
        </is>
      </c>
      <c r="F152" s="29" t="inlineStr">
        <is>
          <t>장비</t>
        </is>
      </c>
      <c r="G152" s="29" t="inlineStr">
        <is>
          <t>장비</t>
        </is>
      </c>
      <c r="H152" s="29" t="inlineStr">
        <is>
          <t>False</t>
        </is>
      </c>
      <c r="I152" s="29" t="inlineStr">
        <is>
          <t>True</t>
        </is>
      </c>
      <c r="J152" s="29" t="inlineStr">
        <is>
          <t>OK</t>
        </is>
      </c>
      <c r="K152" s="29" t="inlineStr">
        <is>
          <t>데이터 사용 가능</t>
        </is>
      </c>
      <c r="L152" s="29" t="inlineStr">
        <is>
          <t>LOW</t>
        </is>
      </c>
      <c r="M152" s="29" t="inlineStr">
        <is>
          <t>LOW</t>
        </is>
      </c>
      <c r="N152" s="29" t="inlineStr">
        <is>
          <t>0.6874666666666667</t>
        </is>
      </c>
      <c r="O152" s="29" t="inlineStr">
        <is>
          <t>ATTRACTIVE</t>
        </is>
      </c>
      <c r="P152" s="29" t="inlineStr">
        <is>
          <t>가치 매력</t>
        </is>
      </c>
      <c r="Q152" s="29" t="inlineStr">
        <is>
          <t>ATTRACTIVE</t>
        </is>
      </c>
      <c r="R152" s="29" t="inlineStr">
        <is>
          <t>0.9250659167833418</t>
        </is>
      </c>
      <c r="S152" s="29" t="inlineStr">
        <is>
          <t>HIGH</t>
        </is>
      </c>
      <c r="T152" s="29" t="inlineStr">
        <is>
          <t>HIGH</t>
        </is>
      </c>
      <c r="U152" s="29" t="inlineStr">
        <is>
          <t>0.0</t>
        </is>
      </c>
      <c r="V152" s="29" t="inlineStr">
        <is>
          <t>LOW_RISK</t>
        </is>
      </c>
      <c r="W152" s="29" t="inlineStr">
        <is>
          <t>저위험</t>
        </is>
      </c>
      <c r="X152" s="29" t="inlineStr">
        <is>
          <t>LOW_RISK</t>
        </is>
      </c>
      <c r="Y152" s="29" t="inlineStr">
        <is>
          <t>0.7848826000183735</t>
        </is>
      </c>
      <c r="Z152" s="29" t="inlineStr">
        <is>
          <t>HIGH</t>
        </is>
      </c>
      <c r="AA152" s="29" t="inlineStr">
        <is>
          <t>HIGH</t>
        </is>
      </c>
      <c r="AB152" s="29" t="inlineStr">
        <is>
          <t>0.02320770424808947</t>
        </is>
      </c>
      <c r="AC152" s="29" t="inlineStr">
        <is>
          <t>False</t>
        </is>
      </c>
      <c r="AD152" s="29" t="inlineStr">
        <is>
          <t>False</t>
        </is>
      </c>
      <c r="AE152" s="29" t="inlineStr">
        <is>
          <t>valuation_credit_ml_overlay_candidate.csv</t>
        </is>
      </c>
      <c r="AF152" s="29" t="inlineStr">
        <is>
          <t>208개 반도체 reference universe. Valuation Agent가 자체 intake 폴더로 복제해 Peer/ML/대시보드 비교에 사용.</t>
        </is>
      </c>
    </row>
    <row r="153" ht="24" customHeight="1">
      <c r="A153" s="24" t="inlineStr">
        <is>
          <t>105</t>
        </is>
      </c>
      <c r="B153" s="24" t="inlineStr">
        <is>
          <t>해당 없음</t>
        </is>
      </c>
      <c r="C153" s="24" t="inlineStr">
        <is>
          <t>유니퀘스트</t>
        </is>
      </c>
      <c r="D153" s="24" t="inlineStr">
        <is>
          <t>077500</t>
        </is>
      </c>
      <c r="E153" s="24" t="inlineStr">
        <is>
          <t>KOSPI</t>
        </is>
      </c>
      <c r="F153" s="24" t="inlineStr">
        <is>
          <t>장비</t>
        </is>
      </c>
      <c r="G153" s="24" t="inlineStr">
        <is>
          <t>장비</t>
        </is>
      </c>
      <c r="H153" s="24" t="inlineStr">
        <is>
          <t>False</t>
        </is>
      </c>
      <c r="I153" s="24" t="inlineStr">
        <is>
          <t>True</t>
        </is>
      </c>
      <c r="J153" s="24" t="inlineStr">
        <is>
          <t>OK</t>
        </is>
      </c>
      <c r="K153" s="24" t="inlineStr">
        <is>
          <t>데이터 사용 가능</t>
        </is>
      </c>
      <c r="L153" s="24" t="inlineStr">
        <is>
          <t>LOW</t>
        </is>
      </c>
      <c r="M153" s="24" t="inlineStr">
        <is>
          <t>LOW</t>
        </is>
      </c>
      <c r="N153" s="24" t="inlineStr">
        <is>
          <t>0.6784</t>
        </is>
      </c>
      <c r="O153" s="24" t="inlineStr">
        <is>
          <t>ATTRACTIVE</t>
        </is>
      </c>
      <c r="P153" s="24" t="inlineStr">
        <is>
          <t>가치 매력</t>
        </is>
      </c>
      <c r="Q153" s="24" t="inlineStr">
        <is>
          <t>ATTRACTIVE</t>
        </is>
      </c>
      <c r="R153" s="24" t="inlineStr">
        <is>
          <t>0.8881603628406226</t>
        </is>
      </c>
      <c r="S153" s="24" t="inlineStr">
        <is>
          <t>HIGH</t>
        </is>
      </c>
      <c r="T153" s="24" t="inlineStr">
        <is>
          <t>HIGH</t>
        </is>
      </c>
      <c r="U153" s="24" t="inlineStr">
        <is>
          <t>0.0</t>
        </is>
      </c>
      <c r="V153" s="24" t="inlineStr">
        <is>
          <t>LOW_RISK</t>
        </is>
      </c>
      <c r="W153" s="24" t="inlineStr">
        <is>
          <t>저위험</t>
        </is>
      </c>
      <c r="X153" s="24" t="inlineStr">
        <is>
          <t>LOW_RISK</t>
        </is>
      </c>
      <c r="Y153" s="24" t="inlineStr">
        <is>
          <t>0.8138676885332061</t>
        </is>
      </c>
      <c r="Z153" s="24" t="inlineStr">
        <is>
          <t>HIGH</t>
        </is>
      </c>
      <c r="AA153" s="24" t="inlineStr">
        <is>
          <t>HIGH</t>
        </is>
      </c>
      <c r="AB153" s="24" t="inlineStr">
        <is>
          <t>0.042139285734196785</t>
        </is>
      </c>
      <c r="AC153" s="24" t="inlineStr">
        <is>
          <t>False</t>
        </is>
      </c>
      <c r="AD153" s="24" t="inlineStr">
        <is>
          <t>False</t>
        </is>
      </c>
      <c r="AE153" s="24" t="inlineStr">
        <is>
          <t>valuation_credit_ml_overlay_candidate.csv</t>
        </is>
      </c>
      <c r="AF153" s="24" t="inlineStr">
        <is>
          <t>208개 반도체 reference universe. Valuation Agent가 자체 intake 폴더로 복제해 Peer/ML/대시보드 비교에 사용.</t>
        </is>
      </c>
    </row>
    <row r="154" ht="24" customHeight="1">
      <c r="A154" s="29" t="inlineStr">
        <is>
          <t>123</t>
        </is>
      </c>
      <c r="B154" s="29" t="inlineStr">
        <is>
          <t>해당 없음</t>
        </is>
      </c>
      <c r="C154" s="29" t="inlineStr">
        <is>
          <t>한솔아이원스</t>
        </is>
      </c>
      <c r="D154" s="29" t="inlineStr">
        <is>
          <t>114810</t>
        </is>
      </c>
      <c r="E154" s="29" t="inlineStr">
        <is>
          <t>KOSDAQ</t>
        </is>
      </c>
      <c r="F154" s="29" t="inlineStr">
        <is>
          <t>장비</t>
        </is>
      </c>
      <c r="G154" s="29" t="inlineStr">
        <is>
          <t>장비</t>
        </is>
      </c>
      <c r="H154" s="29" t="inlineStr">
        <is>
          <t>False</t>
        </is>
      </c>
      <c r="I154" s="29" t="inlineStr">
        <is>
          <t>True</t>
        </is>
      </c>
      <c r="J154" s="29" t="inlineStr">
        <is>
          <t>OK</t>
        </is>
      </c>
      <c r="K154" s="29" t="inlineStr">
        <is>
          <t>데이터 사용 가능</t>
        </is>
      </c>
      <c r="L154" s="29" t="inlineStr">
        <is>
          <t>LOW</t>
        </is>
      </c>
      <c r="M154" s="29" t="inlineStr">
        <is>
          <t>LOW</t>
        </is>
      </c>
      <c r="N154" s="29" t="inlineStr">
        <is>
          <t>0.6648</t>
        </is>
      </c>
      <c r="O154" s="29" t="inlineStr">
        <is>
          <t>ATTRACTIVE</t>
        </is>
      </c>
      <c r="P154" s="29" t="inlineStr">
        <is>
          <t>가치 매력</t>
        </is>
      </c>
      <c r="Q154" s="29" t="inlineStr">
        <is>
          <t>ATTRACTIVE</t>
        </is>
      </c>
      <c r="R154" s="29" t="inlineStr">
        <is>
          <t>0.9031428820161691</t>
        </is>
      </c>
      <c r="S154" s="29" t="inlineStr">
        <is>
          <t>HIGH</t>
        </is>
      </c>
      <c r="T154" s="29" t="inlineStr">
        <is>
          <t>HIGH</t>
        </is>
      </c>
      <c r="U154" s="29" t="inlineStr">
        <is>
          <t>0.1428571428571428</t>
        </is>
      </c>
      <c r="V154" s="29" t="inlineStr">
        <is>
          <t>LOW_RISK</t>
        </is>
      </c>
      <c r="W154" s="29" t="inlineStr">
        <is>
          <t>저위험</t>
        </is>
      </c>
      <c r="X154" s="29" t="inlineStr">
        <is>
          <t>LOW_RISK</t>
        </is>
      </c>
      <c r="Y154" s="29" t="inlineStr">
        <is>
          <t>0.8626763542915618</t>
        </is>
      </c>
      <c r="Z154" s="29" t="inlineStr">
        <is>
          <t>HIGH</t>
        </is>
      </c>
      <c r="AA154" s="29" t="inlineStr">
        <is>
          <t>HIGH</t>
        </is>
      </c>
      <c r="AB154" s="29" t="inlineStr">
        <is>
          <t>0.040357003305963514</t>
        </is>
      </c>
      <c r="AC154" s="29" t="inlineStr">
        <is>
          <t>False</t>
        </is>
      </c>
      <c r="AD154" s="29" t="inlineStr">
        <is>
          <t>False</t>
        </is>
      </c>
      <c r="AE154" s="29" t="inlineStr">
        <is>
          <t>valuation_credit_ml_overlay_candidate.csv</t>
        </is>
      </c>
      <c r="AF154" s="29" t="inlineStr">
        <is>
          <t>208개 반도체 reference universe. Valuation Agent가 자체 intake 폴더로 복제해 Peer/ML/대시보드 비교에 사용.</t>
        </is>
      </c>
    </row>
    <row r="155" ht="24" customHeight="1">
      <c r="A155" s="24" t="inlineStr">
        <is>
          <t>74</t>
        </is>
      </c>
      <c r="B155" s="24" t="inlineStr">
        <is>
          <t>해당 없음</t>
        </is>
      </c>
      <c r="C155" s="24" t="inlineStr">
        <is>
          <t>GST</t>
        </is>
      </c>
      <c r="D155" s="24" t="inlineStr">
        <is>
          <t>083450</t>
        </is>
      </c>
      <c r="E155" s="24" t="inlineStr">
        <is>
          <t>KOSDAQ</t>
        </is>
      </c>
      <c r="F155" s="24" t="inlineStr">
        <is>
          <t>장비</t>
        </is>
      </c>
      <c r="G155" s="24" t="inlineStr">
        <is>
          <t>장비</t>
        </is>
      </c>
      <c r="H155" s="24" t="inlineStr">
        <is>
          <t>False</t>
        </is>
      </c>
      <c r="I155" s="24" t="inlineStr">
        <is>
          <t>True</t>
        </is>
      </c>
      <c r="J155" s="24" t="inlineStr">
        <is>
          <t>OK</t>
        </is>
      </c>
      <c r="K155" s="24" t="inlineStr">
        <is>
          <t>데이터 사용 가능</t>
        </is>
      </c>
      <c r="L155" s="24" t="inlineStr">
        <is>
          <t>LOW</t>
        </is>
      </c>
      <c r="M155" s="24" t="inlineStr">
        <is>
          <t>LOW</t>
        </is>
      </c>
      <c r="N155" s="24" t="inlineStr">
        <is>
          <t>0.6474666666666666</t>
        </is>
      </c>
      <c r="O155" s="24" t="inlineStr">
        <is>
          <t>ATTRACTIVE</t>
        </is>
      </c>
      <c r="P155" s="24" t="inlineStr">
        <is>
          <t>가치 매력</t>
        </is>
      </c>
      <c r="Q155" s="24" t="inlineStr">
        <is>
          <t>ATTRACTIVE</t>
        </is>
      </c>
      <c r="R155" s="24" t="inlineStr">
        <is>
          <t>0.900491542853433</t>
        </is>
      </c>
      <c r="S155" s="24" t="inlineStr">
        <is>
          <t>HIGH</t>
        </is>
      </c>
      <c r="T155" s="24" t="inlineStr">
        <is>
          <t>HIGH</t>
        </is>
      </c>
      <c r="U155" s="24" t="inlineStr">
        <is>
          <t>0.0</t>
        </is>
      </c>
      <c r="V155" s="24" t="inlineStr">
        <is>
          <t>LOW_RISK</t>
        </is>
      </c>
      <c r="W155" s="24" t="inlineStr">
        <is>
          <t>저위험</t>
        </is>
      </c>
      <c r="X155" s="24" t="inlineStr">
        <is>
          <t>LOW_RISK</t>
        </is>
      </c>
      <c r="Y155" s="24" t="inlineStr">
        <is>
          <t>0.9914514013000448</t>
        </is>
      </c>
      <c r="Z155" s="24" t="inlineStr">
        <is>
          <t>HIGH</t>
        </is>
      </c>
      <c r="AA155" s="24" t="inlineStr">
        <is>
          <t>HIGH</t>
        </is>
      </c>
      <c r="AB155" s="24" t="inlineStr">
        <is>
          <t>0.030956097033645616</t>
        </is>
      </c>
      <c r="AC155" s="24" t="inlineStr">
        <is>
          <t>False</t>
        </is>
      </c>
      <c r="AD155" s="24" t="inlineStr">
        <is>
          <t>False</t>
        </is>
      </c>
      <c r="AE155" s="24" t="inlineStr">
        <is>
          <t>valuation_credit_ml_overlay_candidate.csv</t>
        </is>
      </c>
      <c r="AF155" s="24" t="inlineStr">
        <is>
          <t>208개 반도체 reference universe. Valuation Agent가 자체 intake 폴더로 복제해 Peer/ML/대시보드 비교에 사용.</t>
        </is>
      </c>
    </row>
    <row r="156" ht="24" customHeight="1">
      <c r="A156" s="29" t="inlineStr">
        <is>
          <t>117</t>
        </is>
      </c>
      <c r="B156" s="29" t="inlineStr">
        <is>
          <t>해당 없음</t>
        </is>
      </c>
      <c r="C156" s="29" t="inlineStr">
        <is>
          <t>티이엠씨씨엔에스</t>
        </is>
      </c>
      <c r="D156" s="29" t="inlineStr">
        <is>
          <t>241790</t>
        </is>
      </c>
      <c r="E156" s="29" t="inlineStr">
        <is>
          <t>KOSDAQ</t>
        </is>
      </c>
      <c r="F156" s="29" t="inlineStr">
        <is>
          <t>장비</t>
        </is>
      </c>
      <c r="G156" s="29" t="inlineStr">
        <is>
          <t>장비</t>
        </is>
      </c>
      <c r="H156" s="29" t="inlineStr">
        <is>
          <t>False</t>
        </is>
      </c>
      <c r="I156" s="29" t="inlineStr">
        <is>
          <t>True</t>
        </is>
      </c>
      <c r="J156" s="29" t="inlineStr">
        <is>
          <t>OK</t>
        </is>
      </c>
      <c r="K156" s="29" t="inlineStr">
        <is>
          <t>데이터 사용 가능</t>
        </is>
      </c>
      <c r="L156" s="29" t="inlineStr">
        <is>
          <t>LOW</t>
        </is>
      </c>
      <c r="M156" s="29" t="inlineStr">
        <is>
          <t>LOW</t>
        </is>
      </c>
      <c r="N156" s="29" t="inlineStr">
        <is>
          <t>0.6393333333333333</t>
        </is>
      </c>
      <c r="O156" s="29" t="inlineStr">
        <is>
          <t>ATTRACTIVE</t>
        </is>
      </c>
      <c r="P156" s="29" t="inlineStr">
        <is>
          <t>가치 매력</t>
        </is>
      </c>
      <c r="Q156" s="29" t="inlineStr">
        <is>
          <t>ATTRACTIVE</t>
        </is>
      </c>
      <c r="R156" s="29" t="inlineStr">
        <is>
          <t>0.8915695356337118</t>
        </is>
      </c>
      <c r="S156" s="29" t="inlineStr">
        <is>
          <t>HIGH</t>
        </is>
      </c>
      <c r="T156" s="29" t="inlineStr">
        <is>
          <t>HIGH</t>
        </is>
      </c>
      <c r="U156" s="29" t="inlineStr">
        <is>
          <t>0.0714285714285714</t>
        </is>
      </c>
      <c r="V156" s="29" t="inlineStr">
        <is>
          <t>LOW_RISK</t>
        </is>
      </c>
      <c r="W156" s="29" t="inlineStr">
        <is>
          <t>저위험</t>
        </is>
      </c>
      <c r="X156" s="29" t="inlineStr">
        <is>
          <t>LOW_RISK</t>
        </is>
      </c>
      <c r="Y156" s="29" t="inlineStr">
        <is>
          <t>0.8390932561788113</t>
        </is>
      </c>
      <c r="Z156" s="29" t="inlineStr">
        <is>
          <t>HIGH</t>
        </is>
      </c>
      <c r="AA156" s="29" t="inlineStr">
        <is>
          <t>HIGH</t>
        </is>
      </c>
      <c r="AB156" s="29" t="inlineStr">
        <is>
          <t>0.02833353868990863</t>
        </is>
      </c>
      <c r="AC156" s="29" t="inlineStr">
        <is>
          <t>False</t>
        </is>
      </c>
      <c r="AD156" s="29" t="inlineStr">
        <is>
          <t>False</t>
        </is>
      </c>
      <c r="AE156" s="29" t="inlineStr">
        <is>
          <t>valuation_credit_ml_overlay_candidate.csv</t>
        </is>
      </c>
      <c r="AF156" s="29" t="inlineStr">
        <is>
          <t>208개 반도체 reference universe. Valuation Agent가 자체 intake 폴더로 복제해 Peer/ML/대시보드 비교에 사용.</t>
        </is>
      </c>
    </row>
    <row r="157" ht="24" customHeight="1">
      <c r="A157" s="24" t="inlineStr">
        <is>
          <t>82</t>
        </is>
      </c>
      <c r="B157" s="24" t="inlineStr">
        <is>
          <t>해당 없음</t>
        </is>
      </c>
      <c r="C157" s="24" t="inlineStr">
        <is>
          <t>디아이티</t>
        </is>
      </c>
      <c r="D157" s="24" t="inlineStr">
        <is>
          <t>110990</t>
        </is>
      </c>
      <c r="E157" s="24" t="inlineStr">
        <is>
          <t>KOSDAQ</t>
        </is>
      </c>
      <c r="F157" s="24" t="inlineStr">
        <is>
          <t>장비</t>
        </is>
      </c>
      <c r="G157" s="24" t="inlineStr">
        <is>
          <t>장비</t>
        </is>
      </c>
      <c r="H157" s="24" t="inlineStr">
        <is>
          <t>False</t>
        </is>
      </c>
      <c r="I157" s="24" t="inlineStr">
        <is>
          <t>True</t>
        </is>
      </c>
      <c r="J157" s="24" t="inlineStr">
        <is>
          <t>OK</t>
        </is>
      </c>
      <c r="K157" s="24" t="inlineStr">
        <is>
          <t>데이터 사용 가능</t>
        </is>
      </c>
      <c r="L157" s="24" t="inlineStr">
        <is>
          <t>LOW</t>
        </is>
      </c>
      <c r="M157" s="24" t="inlineStr">
        <is>
          <t>LOW</t>
        </is>
      </c>
      <c r="N157" s="24" t="inlineStr">
        <is>
          <t>0.6341333333333333</t>
        </is>
      </c>
      <c r="O157" s="24" t="inlineStr">
        <is>
          <t>ATTRACTIVE</t>
        </is>
      </c>
      <c r="P157" s="24" t="inlineStr">
        <is>
          <t>가치 매력</t>
        </is>
      </c>
      <c r="Q157" s="24" t="inlineStr">
        <is>
          <t>ATTRACTIVE</t>
        </is>
      </c>
      <c r="R157" s="24" t="inlineStr">
        <is>
          <t>0.8847780199048246</t>
        </is>
      </c>
      <c r="S157" s="24" t="inlineStr">
        <is>
          <t>HIGH</t>
        </is>
      </c>
      <c r="T157" s="24" t="inlineStr">
        <is>
          <t>HIGH</t>
        </is>
      </c>
      <c r="U157" s="24" t="inlineStr">
        <is>
          <t>0.0</t>
        </is>
      </c>
      <c r="V157" s="24" t="inlineStr">
        <is>
          <t>LOW_RISK</t>
        </is>
      </c>
      <c r="W157" s="24" t="inlineStr">
        <is>
          <t>저위험</t>
        </is>
      </c>
      <c r="X157" s="24" t="inlineStr">
        <is>
          <t>LOW_RISK</t>
        </is>
      </c>
      <c r="Y157" s="24" t="inlineStr">
        <is>
          <t>0.9680387620928</t>
        </is>
      </c>
      <c r="Z157" s="24" t="inlineStr">
        <is>
          <t>HIGH</t>
        </is>
      </c>
      <c r="AA157" s="24" t="inlineStr">
        <is>
          <t>HIGH</t>
        </is>
      </c>
      <c r="AB157" s="24" t="inlineStr">
        <is>
          <t>0.10339551954594055</t>
        </is>
      </c>
      <c r="AC157" s="24" t="inlineStr">
        <is>
          <t>False</t>
        </is>
      </c>
      <c r="AD157" s="24" t="inlineStr">
        <is>
          <t>False</t>
        </is>
      </c>
      <c r="AE157" s="24" t="inlineStr">
        <is>
          <t>valuation_credit_ml_overlay_candidate.csv</t>
        </is>
      </c>
      <c r="AF157" s="24" t="inlineStr">
        <is>
          <t>208개 반도체 reference universe. Valuation Agent가 자체 intake 폴더로 복제해 Peer/ML/대시보드 비교에 사용.</t>
        </is>
      </c>
    </row>
    <row r="158" ht="24" customHeight="1">
      <c r="A158" s="29" t="inlineStr">
        <is>
          <t>113</t>
        </is>
      </c>
      <c r="B158" s="29" t="inlineStr">
        <is>
          <t>해당 없음</t>
        </is>
      </c>
      <c r="C158" s="29" t="inlineStr">
        <is>
          <t>케이씨텍</t>
        </is>
      </c>
      <c r="D158" s="29" t="inlineStr">
        <is>
          <t>281820</t>
        </is>
      </c>
      <c r="E158" s="29" t="inlineStr">
        <is>
          <t>KOSPI</t>
        </is>
      </c>
      <c r="F158" s="29" t="inlineStr">
        <is>
          <t>장비</t>
        </is>
      </c>
      <c r="G158" s="29" t="inlineStr">
        <is>
          <t>장비</t>
        </is>
      </c>
      <c r="H158" s="29" t="inlineStr">
        <is>
          <t>False</t>
        </is>
      </c>
      <c r="I158" s="29" t="inlineStr">
        <is>
          <t>True</t>
        </is>
      </c>
      <c r="J158" s="29" t="inlineStr">
        <is>
          <t>OK</t>
        </is>
      </c>
      <c r="K158" s="29" t="inlineStr">
        <is>
          <t>데이터 사용 가능</t>
        </is>
      </c>
      <c r="L158" s="29" t="inlineStr">
        <is>
          <t>LOW</t>
        </is>
      </c>
      <c r="M158" s="29" t="inlineStr">
        <is>
          <t>LOW</t>
        </is>
      </c>
      <c r="N158" s="29" t="inlineStr">
        <is>
          <t>0.6314666666666666</t>
        </is>
      </c>
      <c r="O158" s="29" t="inlineStr">
        <is>
          <t>ATTRACTIVE</t>
        </is>
      </c>
      <c r="P158" s="29" t="inlineStr">
        <is>
          <t>가치 매력</t>
        </is>
      </c>
      <c r="Q158" s="29" t="inlineStr">
        <is>
          <t>ATTRACTIVE</t>
        </is>
      </c>
      <c r="R158" s="29" t="inlineStr">
        <is>
          <t>0.8895261430914092</t>
        </is>
      </c>
      <c r="S158" s="29" t="inlineStr">
        <is>
          <t>HIGH</t>
        </is>
      </c>
      <c r="T158" s="29" t="inlineStr">
        <is>
          <t>HIGH</t>
        </is>
      </c>
      <c r="U158" s="29" t="inlineStr">
        <is>
          <t>0.0</t>
        </is>
      </c>
      <c r="V158" s="29" t="inlineStr">
        <is>
          <t>LOW_RISK</t>
        </is>
      </c>
      <c r="W158" s="29" t="inlineStr">
        <is>
          <t>저위험</t>
        </is>
      </c>
      <c r="X158" s="29" t="inlineStr">
        <is>
          <t>LOW_RISK</t>
        </is>
      </c>
      <c r="Y158" s="29" t="inlineStr">
        <is>
          <t>0.9840164809601727</t>
        </is>
      </c>
      <c r="Z158" s="29" t="inlineStr">
        <is>
          <t>HIGH</t>
        </is>
      </c>
      <c r="AA158" s="29" t="inlineStr">
        <is>
          <t>HIGH</t>
        </is>
      </c>
      <c r="AB158" s="29" t="inlineStr">
        <is>
          <t>0.08604596455969397</t>
        </is>
      </c>
      <c r="AC158" s="29" t="inlineStr">
        <is>
          <t>False</t>
        </is>
      </c>
      <c r="AD158" s="29" t="inlineStr">
        <is>
          <t>False</t>
        </is>
      </c>
      <c r="AE158" s="29" t="inlineStr">
        <is>
          <t>valuation_credit_ml_overlay_candidate.csv</t>
        </is>
      </c>
      <c r="AF158" s="29" t="inlineStr">
        <is>
          <t>208개 반도체 reference universe. Valuation Agent가 자체 intake 폴더로 복제해 Peer/ML/대시보드 비교에 사용.</t>
        </is>
      </c>
    </row>
    <row r="159" ht="24" customHeight="1">
      <c r="A159" s="24" t="inlineStr">
        <is>
          <t>85</t>
        </is>
      </c>
      <c r="B159" s="24" t="inlineStr">
        <is>
          <t>해당 없음</t>
        </is>
      </c>
      <c r="C159" s="24" t="inlineStr">
        <is>
          <t>로체시스템즈</t>
        </is>
      </c>
      <c r="D159" s="24" t="inlineStr">
        <is>
          <t>071280</t>
        </is>
      </c>
      <c r="E159" s="24" t="inlineStr">
        <is>
          <t>KOSDAQ</t>
        </is>
      </c>
      <c r="F159" s="24" t="inlineStr">
        <is>
          <t>장비</t>
        </is>
      </c>
      <c r="G159" s="24" t="inlineStr">
        <is>
          <t>장비</t>
        </is>
      </c>
      <c r="H159" s="24" t="inlineStr">
        <is>
          <t>False</t>
        </is>
      </c>
      <c r="I159" s="24" t="inlineStr">
        <is>
          <t>True</t>
        </is>
      </c>
      <c r="J159" s="24" t="inlineStr">
        <is>
          <t>OK</t>
        </is>
      </c>
      <c r="K159" s="24" t="inlineStr">
        <is>
          <t>데이터 사용 가능</t>
        </is>
      </c>
      <c r="L159" s="24" t="inlineStr">
        <is>
          <t>LOW</t>
        </is>
      </c>
      <c r="M159" s="24" t="inlineStr">
        <is>
          <t>LOW</t>
        </is>
      </c>
      <c r="N159" s="24" t="inlineStr">
        <is>
          <t>0.6258666666666667</t>
        </is>
      </c>
      <c r="O159" s="24" t="inlineStr">
        <is>
          <t>ATTRACTIVE</t>
        </is>
      </c>
      <c r="P159" s="24" t="inlineStr">
        <is>
          <t>가치 매력</t>
        </is>
      </c>
      <c r="Q159" s="24" t="inlineStr">
        <is>
          <t>ATTRACTIVE</t>
        </is>
      </c>
      <c r="R159" s="24" t="inlineStr">
        <is>
          <t>0.9642438845844894</t>
        </is>
      </c>
      <c r="S159" s="24" t="inlineStr">
        <is>
          <t>HIGH</t>
        </is>
      </c>
      <c r="T159" s="24" t="inlineStr">
        <is>
          <t>HIGH</t>
        </is>
      </c>
      <c r="U159" s="24" t="inlineStr">
        <is>
          <t>0.0714285714285714</t>
        </is>
      </c>
      <c r="V159" s="24" t="inlineStr">
        <is>
          <t>LOW_RISK</t>
        </is>
      </c>
      <c r="W159" s="24" t="inlineStr">
        <is>
          <t>저위험</t>
        </is>
      </c>
      <c r="X159" s="24" t="inlineStr">
        <is>
          <t>LOW_RISK</t>
        </is>
      </c>
      <c r="Y159" s="24" t="inlineStr">
        <is>
          <t>0.865361141095959</t>
        </is>
      </c>
      <c r="Z159" s="24" t="inlineStr">
        <is>
          <t>HIGH</t>
        </is>
      </c>
      <c r="AA159" s="24" t="inlineStr">
        <is>
          <t>HIGH</t>
        </is>
      </c>
      <c r="AB159" s="24" t="inlineStr">
        <is>
          <t>0.12835380231692475</t>
        </is>
      </c>
      <c r="AC159" s="24" t="inlineStr">
        <is>
          <t>False</t>
        </is>
      </c>
      <c r="AD159" s="24" t="inlineStr">
        <is>
          <t>False</t>
        </is>
      </c>
      <c r="AE159" s="24" t="inlineStr">
        <is>
          <t>valuation_credit_ml_overlay_candidate.csv</t>
        </is>
      </c>
      <c r="AF159" s="24" t="inlineStr">
        <is>
          <t>208개 반도체 reference universe. Valuation Agent가 자체 intake 폴더로 복제해 Peer/ML/대시보드 비교에 사용.</t>
        </is>
      </c>
    </row>
    <row r="160" ht="24" customHeight="1">
      <c r="A160" s="29" t="inlineStr">
        <is>
          <t>95</t>
        </is>
      </c>
      <c r="B160" s="29" t="inlineStr">
        <is>
          <t>해당 없음</t>
        </is>
      </c>
      <c r="C160" s="29" t="inlineStr">
        <is>
          <t>아이씨디</t>
        </is>
      </c>
      <c r="D160" s="29" t="inlineStr">
        <is>
          <t>040910</t>
        </is>
      </c>
      <c r="E160" s="29" t="inlineStr">
        <is>
          <t>KOSDAQ</t>
        </is>
      </c>
      <c r="F160" s="29" t="inlineStr">
        <is>
          <t>장비</t>
        </is>
      </c>
      <c r="G160" s="29" t="inlineStr">
        <is>
          <t>장비</t>
        </is>
      </c>
      <c r="H160" s="29" t="inlineStr">
        <is>
          <t>False</t>
        </is>
      </c>
      <c r="I160" s="29" t="inlineStr">
        <is>
          <t>True</t>
        </is>
      </c>
      <c r="J160" s="29" t="inlineStr">
        <is>
          <t>OK</t>
        </is>
      </c>
      <c r="K160" s="29" t="inlineStr">
        <is>
          <t>데이터 사용 가능</t>
        </is>
      </c>
      <c r="L160" s="29" t="inlineStr">
        <is>
          <t>LOW</t>
        </is>
      </c>
      <c r="M160" s="29" t="inlineStr">
        <is>
          <t>LOW</t>
        </is>
      </c>
      <c r="N160" s="29" t="inlineStr">
        <is>
          <t>0.6158666666666667</t>
        </is>
      </c>
      <c r="O160" s="29" t="inlineStr">
        <is>
          <t>FAIR</t>
        </is>
      </c>
      <c r="P160" s="29" t="inlineStr">
        <is>
          <t>FAIR</t>
        </is>
      </c>
      <c r="Q160" s="29" t="inlineStr">
        <is>
          <t>FAIR</t>
        </is>
      </c>
      <c r="R160" s="29" t="inlineStr">
        <is>
          <t>0.692546582663732</t>
        </is>
      </c>
      <c r="S160" s="29" t="inlineStr">
        <is>
          <t>MEDIUM</t>
        </is>
      </c>
      <c r="T160" s="29" t="inlineStr">
        <is>
          <t>MEDIUM</t>
        </is>
      </c>
      <c r="U160" s="29" t="inlineStr">
        <is>
          <t>0.0714285714285714</t>
        </is>
      </c>
      <c r="V160" s="29" t="inlineStr">
        <is>
          <t>LOW_RISK</t>
        </is>
      </c>
      <c r="W160" s="29" t="inlineStr">
        <is>
          <t>저위험</t>
        </is>
      </c>
      <c r="X160" s="29" t="inlineStr">
        <is>
          <t>LOW_RISK</t>
        </is>
      </c>
      <c r="Y160" s="29" t="inlineStr">
        <is>
          <t>0.44849044524296083</t>
        </is>
      </c>
      <c r="Z160" s="29" t="inlineStr">
        <is>
          <t>LOW</t>
        </is>
      </c>
      <c r="AA160" s="29" t="inlineStr">
        <is>
          <t>LOW</t>
        </is>
      </c>
      <c r="AB160" s="29" t="inlineStr">
        <is>
          <t>0.036739402266510075</t>
        </is>
      </c>
      <c r="AC160" s="29" t="inlineStr">
        <is>
          <t>False</t>
        </is>
      </c>
      <c r="AD160" s="29" t="inlineStr">
        <is>
          <t>True</t>
        </is>
      </c>
      <c r="AE160" s="29" t="inlineStr">
        <is>
          <t>valuation_credit_ml_overlay_candidate.csv</t>
        </is>
      </c>
      <c r="AF160" s="29" t="inlineStr">
        <is>
          <t>208개 반도체 reference universe. Valuation Agent가 자체 intake 폴더로 복제해 Peer/ML/대시보드 비교에 사용.</t>
        </is>
      </c>
    </row>
    <row r="161" ht="24" customHeight="1">
      <c r="A161" s="24" t="inlineStr">
        <is>
          <t>96</t>
        </is>
      </c>
      <c r="B161" s="24" t="inlineStr">
        <is>
          <t>해당 없음</t>
        </is>
      </c>
      <c r="C161" s="24" t="inlineStr">
        <is>
          <t>에스에프에이</t>
        </is>
      </c>
      <c r="D161" s="24" t="inlineStr">
        <is>
          <t>056190</t>
        </is>
      </c>
      <c r="E161" s="24" t="inlineStr">
        <is>
          <t>KOSDAQ GLOBAL</t>
        </is>
      </c>
      <c r="F161" s="24" t="inlineStr">
        <is>
          <t>장비</t>
        </is>
      </c>
      <c r="G161" s="24" t="inlineStr">
        <is>
          <t>장비</t>
        </is>
      </c>
      <c r="H161" s="24" t="inlineStr">
        <is>
          <t>False</t>
        </is>
      </c>
      <c r="I161" s="24" t="inlineStr">
        <is>
          <t>True</t>
        </is>
      </c>
      <c r="J161" s="24" t="inlineStr">
        <is>
          <t>OK</t>
        </is>
      </c>
      <c r="K161" s="24" t="inlineStr">
        <is>
          <t>데이터 사용 가능</t>
        </is>
      </c>
      <c r="L161" s="24" t="inlineStr">
        <is>
          <t>LOW</t>
        </is>
      </c>
      <c r="M161" s="24" t="inlineStr">
        <is>
          <t>LOW</t>
        </is>
      </c>
      <c r="N161" s="24" t="inlineStr">
        <is>
          <t>0.6098666666666667</t>
        </is>
      </c>
      <c r="O161" s="24" t="inlineStr">
        <is>
          <t>ATTRACTIVE</t>
        </is>
      </c>
      <c r="P161" s="24" t="inlineStr">
        <is>
          <t>가치 매력</t>
        </is>
      </c>
      <c r="Q161" s="24" t="inlineStr">
        <is>
          <t>ATTRACTIVE</t>
        </is>
      </c>
      <c r="R161" s="24" t="inlineStr">
        <is>
          <t>0.8690882589557657</t>
        </is>
      </c>
      <c r="S161" s="24" t="inlineStr">
        <is>
          <t>HIGH</t>
        </is>
      </c>
      <c r="T161" s="24" t="inlineStr">
        <is>
          <t>HIGH</t>
        </is>
      </c>
      <c r="U161" s="24" t="inlineStr">
        <is>
          <t>0.0</t>
        </is>
      </c>
      <c r="V161" s="24" t="inlineStr">
        <is>
          <t>LOW_RISK</t>
        </is>
      </c>
      <c r="W161" s="24" t="inlineStr">
        <is>
          <t>저위험</t>
        </is>
      </c>
      <c r="X161" s="24" t="inlineStr">
        <is>
          <t>LOW_RISK</t>
        </is>
      </c>
      <c r="Y161" s="24" t="inlineStr">
        <is>
          <t>0.9436125736629892</t>
        </is>
      </c>
      <c r="Z161" s="24" t="inlineStr">
        <is>
          <t>HIGH</t>
        </is>
      </c>
      <c r="AA161" s="24" t="inlineStr">
        <is>
          <t>HIGH</t>
        </is>
      </c>
      <c r="AB161" s="24" t="inlineStr">
        <is>
          <t>0.014784178233183152</t>
        </is>
      </c>
      <c r="AC161" s="24" t="inlineStr">
        <is>
          <t>False</t>
        </is>
      </c>
      <c r="AD161" s="24" t="inlineStr">
        <is>
          <t>False</t>
        </is>
      </c>
      <c r="AE161" s="24" t="inlineStr">
        <is>
          <t>valuation_credit_ml_overlay_candidate.csv</t>
        </is>
      </c>
      <c r="AF161" s="24" t="inlineStr">
        <is>
          <t>208개 반도체 reference universe. Valuation Agent가 자체 intake 폴더로 복제해 Peer/ML/대시보드 비교에 사용.</t>
        </is>
      </c>
    </row>
    <row r="162" ht="24" customHeight="1">
      <c r="A162" s="29" t="inlineStr">
        <is>
          <t>89</t>
        </is>
      </c>
      <c r="B162" s="29" t="inlineStr">
        <is>
          <t>해당 없음</t>
        </is>
      </c>
      <c r="C162" s="29" t="inlineStr">
        <is>
          <t>삼양엔씨켐</t>
        </is>
      </c>
      <c r="D162" s="29" t="inlineStr">
        <is>
          <t>482630</t>
        </is>
      </c>
      <c r="E162" s="29" t="inlineStr">
        <is>
          <t>KOSDAQ</t>
        </is>
      </c>
      <c r="F162" s="29" t="inlineStr">
        <is>
          <t>장비</t>
        </is>
      </c>
      <c r="G162" s="29" t="inlineStr">
        <is>
          <t>장비</t>
        </is>
      </c>
      <c r="H162" s="29" t="inlineStr">
        <is>
          <t>False</t>
        </is>
      </c>
      <c r="I162" s="29" t="inlineStr">
        <is>
          <t>True</t>
        </is>
      </c>
      <c r="J162" s="29" t="inlineStr">
        <is>
          <t>OK_LIMITED_HISTORY_OR_GROWTH_NA</t>
        </is>
      </c>
      <c r="K162" s="29" t="inlineStr">
        <is>
          <t>데이터 사용 가능</t>
        </is>
      </c>
      <c r="L162" s="29" t="inlineStr">
        <is>
          <t>LOW</t>
        </is>
      </c>
      <c r="M162" s="29" t="inlineStr">
        <is>
          <t>LOW</t>
        </is>
      </c>
      <c r="N162" s="29" t="inlineStr">
        <is>
          <t>0.5993333333333333</t>
        </is>
      </c>
      <c r="O162" s="29" t="inlineStr">
        <is>
          <t>ATTRACTIVE</t>
        </is>
      </c>
      <c r="P162" s="29" t="inlineStr">
        <is>
          <t>가치 매력</t>
        </is>
      </c>
      <c r="Q162" s="29" t="inlineStr">
        <is>
          <t>ATTRACTIVE</t>
        </is>
      </c>
      <c r="R162" s="29" t="inlineStr">
        <is>
          <t>0.6408467710997098</t>
        </is>
      </c>
      <c r="S162" s="29" t="inlineStr">
        <is>
          <t>MEDIUM</t>
        </is>
      </c>
      <c r="T162" s="29" t="inlineStr">
        <is>
          <t>MEDIUM</t>
        </is>
      </c>
      <c r="U162" s="29" t="inlineStr">
        <is>
          <t>0.0714285714285714</t>
        </is>
      </c>
      <c r="V162" s="29" t="inlineStr">
        <is>
          <t>LOW_RISK</t>
        </is>
      </c>
      <c r="W162" s="29" t="inlineStr">
        <is>
          <t>저위험</t>
        </is>
      </c>
      <c r="X162" s="29" t="inlineStr">
        <is>
          <t>LOW_RISK</t>
        </is>
      </c>
      <c r="Y162" s="29" t="inlineStr">
        <is>
          <t>0.9401160844253347</t>
        </is>
      </c>
      <c r="Z162" s="29" t="inlineStr">
        <is>
          <t>HIGH</t>
        </is>
      </c>
      <c r="AA162" s="29" t="inlineStr">
        <is>
          <t>HIGH</t>
        </is>
      </c>
      <c r="AB162" s="29" t="inlineStr">
        <is>
          <t>0.028901776832829695</t>
        </is>
      </c>
      <c r="AC162" s="29" t="inlineStr">
        <is>
          <t>False</t>
        </is>
      </c>
      <c r="AD162" s="29" t="inlineStr">
        <is>
          <t>True</t>
        </is>
      </c>
      <c r="AE162" s="29" t="inlineStr">
        <is>
          <t>valuation_credit_ml_overlay_candidate.csv</t>
        </is>
      </c>
      <c r="AF162" s="29" t="inlineStr">
        <is>
          <t>208개 반도체 reference universe. Valuation Agent가 자체 intake 폴더로 복제해 Peer/ML/대시보드 비교에 사용.</t>
        </is>
      </c>
    </row>
    <row r="163" ht="24" customHeight="1">
      <c r="A163" s="24" t="inlineStr">
        <is>
          <t>92</t>
        </is>
      </c>
      <c r="B163" s="24" t="inlineStr">
        <is>
          <t>해당 없음</t>
        </is>
      </c>
      <c r="C163" s="24" t="inlineStr">
        <is>
          <t>싸이맥스</t>
        </is>
      </c>
      <c r="D163" s="24" t="inlineStr">
        <is>
          <t>160980</t>
        </is>
      </c>
      <c r="E163" s="24" t="inlineStr">
        <is>
          <t>KOSDAQ</t>
        </is>
      </c>
      <c r="F163" s="24" t="inlineStr">
        <is>
          <t>장비</t>
        </is>
      </c>
      <c r="G163" s="24" t="inlineStr">
        <is>
          <t>장비</t>
        </is>
      </c>
      <c r="H163" s="24" t="inlineStr">
        <is>
          <t>False</t>
        </is>
      </c>
      <c r="I163" s="24" t="inlineStr">
        <is>
          <t>True</t>
        </is>
      </c>
      <c r="J163" s="24" t="inlineStr">
        <is>
          <t>OK</t>
        </is>
      </c>
      <c r="K163" s="24" t="inlineStr">
        <is>
          <t>데이터 사용 가능</t>
        </is>
      </c>
      <c r="L163" s="24" t="inlineStr">
        <is>
          <t>LOW</t>
        </is>
      </c>
      <c r="M163" s="24" t="inlineStr">
        <is>
          <t>LOW</t>
        </is>
      </c>
      <c r="N163" s="24" t="inlineStr">
        <is>
          <t>0.5961333333333334</t>
        </is>
      </c>
      <c r="O163" s="24" t="inlineStr">
        <is>
          <t>ATTRACTIVE</t>
        </is>
      </c>
      <c r="P163" s="24" t="inlineStr">
        <is>
          <t>가치 매력</t>
        </is>
      </c>
      <c r="Q163" s="24" t="inlineStr">
        <is>
          <t>ATTRACTIVE</t>
        </is>
      </c>
      <c r="R163" s="24" t="inlineStr">
        <is>
          <t>0.8128181122496774</t>
        </is>
      </c>
      <c r="S163" s="24" t="inlineStr">
        <is>
          <t>HIGH</t>
        </is>
      </c>
      <c r="T163" s="24" t="inlineStr">
        <is>
          <t>HIGH</t>
        </is>
      </c>
      <c r="U163" s="24" t="inlineStr">
        <is>
          <t>0.0</t>
        </is>
      </c>
      <c r="V163" s="24" t="inlineStr">
        <is>
          <t>LOW_RISK</t>
        </is>
      </c>
      <c r="W163" s="24" t="inlineStr">
        <is>
          <t>저위험</t>
        </is>
      </c>
      <c r="X163" s="24" t="inlineStr">
        <is>
          <t>LOW_RISK</t>
        </is>
      </c>
      <c r="Y163" s="24" t="inlineStr">
        <is>
          <t>0.9687749577011366</t>
        </is>
      </c>
      <c r="Z163" s="24" t="inlineStr">
        <is>
          <t>HIGH</t>
        </is>
      </c>
      <c r="AA163" s="24" t="inlineStr">
        <is>
          <t>HIGH</t>
        </is>
      </c>
      <c r="AB163" s="24" t="inlineStr">
        <is>
          <t>0.14360930410301745</t>
        </is>
      </c>
      <c r="AC163" s="24" t="inlineStr">
        <is>
          <t>False</t>
        </is>
      </c>
      <c r="AD163" s="24" t="inlineStr">
        <is>
          <t>False</t>
        </is>
      </c>
      <c r="AE163" s="24" t="inlineStr">
        <is>
          <t>valuation_credit_ml_overlay_candidate.csv</t>
        </is>
      </c>
      <c r="AF163" s="24" t="inlineStr">
        <is>
          <t>208개 반도체 reference universe. Valuation Agent가 자체 intake 폴더로 복제해 Peer/ML/대시보드 비교에 사용.</t>
        </is>
      </c>
    </row>
    <row r="164" ht="24" customHeight="1">
      <c r="A164" s="29" t="inlineStr">
        <is>
          <t>80</t>
        </is>
      </c>
      <c r="B164" s="29" t="inlineStr">
        <is>
          <t>해당 없음</t>
        </is>
      </c>
      <c r="C164" s="29" t="inlineStr">
        <is>
          <t>뉴파워프라즈마</t>
        </is>
      </c>
      <c r="D164" s="29" t="inlineStr">
        <is>
          <t>144960</t>
        </is>
      </c>
      <c r="E164" s="29" t="inlineStr">
        <is>
          <t>KOSDAQ</t>
        </is>
      </c>
      <c r="F164" s="29" t="inlineStr">
        <is>
          <t>장비</t>
        </is>
      </c>
      <c r="G164" s="29" t="inlineStr">
        <is>
          <t>장비</t>
        </is>
      </c>
      <c r="H164" s="29" t="inlineStr">
        <is>
          <t>False</t>
        </is>
      </c>
      <c r="I164" s="29" t="inlineStr">
        <is>
          <t>True</t>
        </is>
      </c>
      <c r="J164" s="29" t="inlineStr">
        <is>
          <t>OK</t>
        </is>
      </c>
      <c r="K164" s="29" t="inlineStr">
        <is>
          <t>데이터 사용 가능</t>
        </is>
      </c>
      <c r="L164" s="29" t="inlineStr">
        <is>
          <t>LOW</t>
        </is>
      </c>
      <c r="M164" s="29" t="inlineStr">
        <is>
          <t>LOW</t>
        </is>
      </c>
      <c r="N164" s="29" t="inlineStr">
        <is>
          <t>0.5749333333333334</t>
        </is>
      </c>
      <c r="O164" s="29" t="inlineStr">
        <is>
          <t>FAIR</t>
        </is>
      </c>
      <c r="P164" s="29" t="inlineStr">
        <is>
          <t>FAIR</t>
        </is>
      </c>
      <c r="Q164" s="29" t="inlineStr">
        <is>
          <t>FAIR</t>
        </is>
      </c>
      <c r="R164" s="29" t="inlineStr">
        <is>
          <t>0.868464354966477</t>
        </is>
      </c>
      <c r="S164" s="29" t="inlineStr">
        <is>
          <t>HIGH</t>
        </is>
      </c>
      <c r="T164" s="29" t="inlineStr">
        <is>
          <t>HIGH</t>
        </is>
      </c>
      <c r="U164" s="29" t="inlineStr">
        <is>
          <t>0.2142857142857142</t>
        </is>
      </c>
      <c r="V164" s="29" t="inlineStr">
        <is>
          <t>MEDIUM_RISK</t>
        </is>
      </c>
      <c r="W164" s="29" t="inlineStr">
        <is>
          <t>중위험</t>
        </is>
      </c>
      <c r="X164" s="29" t="inlineStr">
        <is>
          <t>MEDIUM_RISK</t>
        </is>
      </c>
      <c r="Y164" s="29" t="inlineStr">
        <is>
          <t>0.7046290499893975</t>
        </is>
      </c>
      <c r="Z164" s="29" t="inlineStr">
        <is>
          <t>HIGH</t>
        </is>
      </c>
      <c r="AA164" s="29" t="inlineStr">
        <is>
          <t>HIGH</t>
        </is>
      </c>
      <c r="AB164" s="29" t="inlineStr">
        <is>
          <t>0.04196333332906741</t>
        </is>
      </c>
      <c r="AC164" s="29" t="inlineStr">
        <is>
          <t>False</t>
        </is>
      </c>
      <c r="AD164" s="29" t="inlineStr">
        <is>
          <t>False</t>
        </is>
      </c>
      <c r="AE164" s="29" t="inlineStr">
        <is>
          <t>valuation_credit_ml_overlay_candidate.csv</t>
        </is>
      </c>
      <c r="AF164" s="29" t="inlineStr">
        <is>
          <t>208개 반도체 reference universe. Valuation Agent가 자체 intake 폴더로 복제해 Peer/ML/대시보드 비교에 사용.</t>
        </is>
      </c>
    </row>
    <row r="165" ht="24" customHeight="1">
      <c r="A165" s="24" t="inlineStr">
        <is>
          <t>107</t>
        </is>
      </c>
      <c r="B165" s="24" t="inlineStr">
        <is>
          <t>해당 없음</t>
        </is>
      </c>
      <c r="C165" s="24" t="inlineStr">
        <is>
          <t>이엘씨</t>
        </is>
      </c>
      <c r="D165" s="24" t="inlineStr">
        <is>
          <t>041520</t>
        </is>
      </c>
      <c r="E165" s="24" t="inlineStr">
        <is>
          <t>KOSDAQ</t>
        </is>
      </c>
      <c r="F165" s="24" t="inlineStr">
        <is>
          <t>장비</t>
        </is>
      </c>
      <c r="G165" s="24" t="inlineStr">
        <is>
          <t>장비</t>
        </is>
      </c>
      <c r="H165" s="24" t="inlineStr">
        <is>
          <t>False</t>
        </is>
      </c>
      <c r="I165" s="24" t="inlineStr">
        <is>
          <t>True</t>
        </is>
      </c>
      <c r="J165" s="24" t="inlineStr">
        <is>
          <t>OK</t>
        </is>
      </c>
      <c r="K165" s="24" t="inlineStr">
        <is>
          <t>데이터 사용 가능</t>
        </is>
      </c>
      <c r="L165" s="24" t="inlineStr">
        <is>
          <t>LOW</t>
        </is>
      </c>
      <c r="M165" s="24" t="inlineStr">
        <is>
          <t>LOW</t>
        </is>
      </c>
      <c r="N165" s="24" t="inlineStr">
        <is>
          <t>0.5722</t>
        </is>
      </c>
      <c r="O165" s="24" t="inlineStr">
        <is>
          <t>FAIR</t>
        </is>
      </c>
      <c r="P165" s="24" t="inlineStr">
        <is>
          <t>FAIR</t>
        </is>
      </c>
      <c r="Q165" s="24" t="inlineStr">
        <is>
          <t>FAIR</t>
        </is>
      </c>
      <c r="R165" s="24" t="inlineStr">
        <is>
          <t>0.7059172837936919</t>
        </is>
      </c>
      <c r="S165" s="24" t="inlineStr">
        <is>
          <t>HIGH</t>
        </is>
      </c>
      <c r="T165" s="24" t="inlineStr">
        <is>
          <t>HIGH</t>
        </is>
      </c>
      <c r="U165" s="24" t="inlineStr">
        <is>
          <t>0.3571428571428571</t>
        </is>
      </c>
      <c r="V165" s="24" t="inlineStr">
        <is>
          <t>MEDIUM_RISK</t>
        </is>
      </c>
      <c r="W165" s="24" t="inlineStr">
        <is>
          <t>중위험</t>
        </is>
      </c>
      <c r="X165" s="24" t="inlineStr">
        <is>
          <t>MEDIUM_RISK</t>
        </is>
      </c>
      <c r="Y165" s="24" t="inlineStr">
        <is>
          <t>0.6140431256310129</t>
        </is>
      </c>
      <c r="Z165" s="24" t="inlineStr">
        <is>
          <t>MEDIUM</t>
        </is>
      </c>
      <c r="AA165" s="24" t="inlineStr">
        <is>
          <t>MEDIUM</t>
        </is>
      </c>
      <c r="AB165" s="24" t="inlineStr">
        <is>
          <t>0.48123065048868763</t>
        </is>
      </c>
      <c r="AC165" s="24" t="inlineStr">
        <is>
          <t>True</t>
        </is>
      </c>
      <c r="AD165" s="24" t="inlineStr">
        <is>
          <t>True</t>
        </is>
      </c>
      <c r="AE165" s="24" t="inlineStr">
        <is>
          <t>valuation_credit_ml_overlay_candidate.csv</t>
        </is>
      </c>
      <c r="AF165" s="24" t="inlineStr">
        <is>
          <t>208개 반도체 reference universe. Valuation Agent가 자체 intake 폴더로 복제해 Peer/ML/대시보드 비교에 사용.</t>
        </is>
      </c>
    </row>
    <row r="166" ht="24" customHeight="1">
      <c r="A166" s="29" t="inlineStr">
        <is>
          <t>119</t>
        </is>
      </c>
      <c r="B166" s="29" t="inlineStr">
        <is>
          <t>해당 없음</t>
        </is>
      </c>
      <c r="C166" s="29" t="inlineStr">
        <is>
          <t>포인트엔지니어링</t>
        </is>
      </c>
      <c r="D166" s="29" t="inlineStr">
        <is>
          <t>256630</t>
        </is>
      </c>
      <c r="E166" s="29" t="inlineStr">
        <is>
          <t>KOSDAQ</t>
        </is>
      </c>
      <c r="F166" s="29" t="inlineStr">
        <is>
          <t>장비</t>
        </is>
      </c>
      <c r="G166" s="29" t="inlineStr">
        <is>
          <t>장비</t>
        </is>
      </c>
      <c r="H166" s="29" t="inlineStr">
        <is>
          <t>False</t>
        </is>
      </c>
      <c r="I166" s="29" t="inlineStr">
        <is>
          <t>True</t>
        </is>
      </c>
      <c r="J166" s="29" t="inlineStr">
        <is>
          <t>OK</t>
        </is>
      </c>
      <c r="K166" s="29" t="inlineStr">
        <is>
          <t>데이터 사용 가능</t>
        </is>
      </c>
      <c r="L166" s="29" t="inlineStr">
        <is>
          <t>LOW</t>
        </is>
      </c>
      <c r="M166" s="29" t="inlineStr">
        <is>
          <t>LOW</t>
        </is>
      </c>
      <c r="N166" s="29" t="inlineStr">
        <is>
          <t>0.5648666666666666</t>
        </is>
      </c>
      <c r="O166" s="29" t="inlineStr">
        <is>
          <t>FAIR</t>
        </is>
      </c>
      <c r="P166" s="29" t="inlineStr">
        <is>
          <t>FAIR</t>
        </is>
      </c>
      <c r="Q166" s="29" t="inlineStr">
        <is>
          <t>FAIR</t>
        </is>
      </c>
      <c r="R166" s="29" t="inlineStr">
        <is>
          <t>0.735270480034121</t>
        </is>
      </c>
      <c r="S166" s="29" t="inlineStr">
        <is>
          <t>HIGH</t>
        </is>
      </c>
      <c r="T166" s="29" t="inlineStr">
        <is>
          <t>HIGH</t>
        </is>
      </c>
      <c r="U166" s="29" t="inlineStr">
        <is>
          <t>0.1428571428571428</t>
        </is>
      </c>
      <c r="V166" s="29" t="inlineStr">
        <is>
          <t>LOW_RISK</t>
        </is>
      </c>
      <c r="W166" s="29" t="inlineStr">
        <is>
          <t>저위험</t>
        </is>
      </c>
      <c r="X166" s="29" t="inlineStr">
        <is>
          <t>LOW_RISK</t>
        </is>
      </c>
      <c r="Y166" s="29" t="inlineStr">
        <is>
          <t>0.46973098100913</t>
        </is>
      </c>
      <c r="Z166" s="29" t="inlineStr">
        <is>
          <t>LOW</t>
        </is>
      </c>
      <c r="AA166" s="29" t="inlineStr">
        <is>
          <t>LOW</t>
        </is>
      </c>
      <c r="AB166" s="29" t="inlineStr">
        <is>
          <t>0.13639895278143657</t>
        </is>
      </c>
      <c r="AC166" s="29" t="inlineStr">
        <is>
          <t>False</t>
        </is>
      </c>
      <c r="AD166" s="29" t="inlineStr">
        <is>
          <t>True</t>
        </is>
      </c>
      <c r="AE166" s="29" t="inlineStr">
        <is>
          <t>valuation_credit_ml_overlay_candidate.csv</t>
        </is>
      </c>
      <c r="AF166" s="29" t="inlineStr">
        <is>
          <t>208개 반도체 reference universe. Valuation Agent가 자체 intake 폴더로 복제해 Peer/ML/대시보드 비교에 사용.</t>
        </is>
      </c>
    </row>
    <row r="167" ht="24" customHeight="1">
      <c r="A167" s="24" t="inlineStr">
        <is>
          <t>116</t>
        </is>
      </c>
      <c r="B167" s="24" t="inlineStr">
        <is>
          <t>해당 없음</t>
        </is>
      </c>
      <c r="C167" s="24" t="inlineStr">
        <is>
          <t>테스</t>
        </is>
      </c>
      <c r="D167" s="24" t="inlineStr">
        <is>
          <t>095610</t>
        </is>
      </c>
      <c r="E167" s="24" t="inlineStr">
        <is>
          <t>KOSDAQ</t>
        </is>
      </c>
      <c r="F167" s="24" t="inlineStr">
        <is>
          <t>장비</t>
        </is>
      </c>
      <c r="G167" s="24" t="inlineStr">
        <is>
          <t>장비</t>
        </is>
      </c>
      <c r="H167" s="24" t="inlineStr">
        <is>
          <t>False</t>
        </is>
      </c>
      <c r="I167" s="24" t="inlineStr">
        <is>
          <t>True</t>
        </is>
      </c>
      <c r="J167" s="24" t="inlineStr">
        <is>
          <t>OK</t>
        </is>
      </c>
      <c r="K167" s="24" t="inlineStr">
        <is>
          <t>데이터 사용 가능</t>
        </is>
      </c>
      <c r="L167" s="24" t="inlineStr">
        <is>
          <t>LOW</t>
        </is>
      </c>
      <c r="M167" s="24" t="inlineStr">
        <is>
          <t>LOW</t>
        </is>
      </c>
      <c r="N167" s="24" t="inlineStr">
        <is>
          <t>0.5640000000000001</t>
        </is>
      </c>
      <c r="O167" s="24" t="inlineStr">
        <is>
          <t>FAIR</t>
        </is>
      </c>
      <c r="P167" s="24" t="inlineStr">
        <is>
          <t>FAIR</t>
        </is>
      </c>
      <c r="Q167" s="24" t="inlineStr">
        <is>
          <t>FAIR</t>
        </is>
      </c>
      <c r="R167" s="24" t="inlineStr">
        <is>
          <t>0.5083695341145091</t>
        </is>
      </c>
      <c r="S167" s="24" t="inlineStr">
        <is>
          <t>MEDIUM</t>
        </is>
      </c>
      <c r="T167" s="24" t="inlineStr">
        <is>
          <t>MEDIUM</t>
        </is>
      </c>
      <c r="U167" s="24" t="inlineStr">
        <is>
          <t>0.1428571428571428</t>
        </is>
      </c>
      <c r="V167" s="24" t="inlineStr">
        <is>
          <t>LOW_RISK</t>
        </is>
      </c>
      <c r="W167" s="24" t="inlineStr">
        <is>
          <t>저위험</t>
        </is>
      </c>
      <c r="X167" s="24" t="inlineStr">
        <is>
          <t>LOW_RISK</t>
        </is>
      </c>
      <c r="Y167" s="24" t="inlineStr">
        <is>
          <t>0.8915902677510841</t>
        </is>
      </c>
      <c r="Z167" s="24" t="inlineStr">
        <is>
          <t>HIGH</t>
        </is>
      </c>
      <c r="AA167" s="24" t="inlineStr">
        <is>
          <t>HIGH</t>
        </is>
      </c>
      <c r="AB167" s="24" t="inlineStr">
        <is>
          <t>0.04910195891941634</t>
        </is>
      </c>
      <c r="AC167" s="24" t="inlineStr">
        <is>
          <t>False</t>
        </is>
      </c>
      <c r="AD167" s="24" t="inlineStr">
        <is>
          <t>False</t>
        </is>
      </c>
      <c r="AE167" s="24" t="inlineStr">
        <is>
          <t>valuation_credit_ml_overlay_candidate.csv</t>
        </is>
      </c>
      <c r="AF167" s="24" t="inlineStr">
        <is>
          <t>208개 반도체 reference universe. Valuation Agent가 자체 intake 폴더로 복제해 Peer/ML/대시보드 비교에 사용.</t>
        </is>
      </c>
    </row>
    <row r="168" ht="24" customHeight="1">
      <c r="A168" s="29" t="inlineStr">
        <is>
          <t>104</t>
        </is>
      </c>
      <c r="B168" s="29" t="inlineStr">
        <is>
          <t>해당 없음</t>
        </is>
      </c>
      <c r="C168" s="29" t="inlineStr">
        <is>
          <t>유니셈</t>
        </is>
      </c>
      <c r="D168" s="29" t="inlineStr">
        <is>
          <t>036200</t>
        </is>
      </c>
      <c r="E168" s="29" t="inlineStr">
        <is>
          <t>KOSDAQ</t>
        </is>
      </c>
      <c r="F168" s="29" t="inlineStr">
        <is>
          <t>장비</t>
        </is>
      </c>
      <c r="G168" s="29" t="inlineStr">
        <is>
          <t>장비</t>
        </is>
      </c>
      <c r="H168" s="29" t="inlineStr">
        <is>
          <t>False</t>
        </is>
      </c>
      <c r="I168" s="29" t="inlineStr">
        <is>
          <t>True</t>
        </is>
      </c>
      <c r="J168" s="29" t="inlineStr">
        <is>
          <t>OK</t>
        </is>
      </c>
      <c r="K168" s="29" t="inlineStr">
        <is>
          <t>데이터 사용 가능</t>
        </is>
      </c>
      <c r="L168" s="29" t="inlineStr">
        <is>
          <t>LOW</t>
        </is>
      </c>
      <c r="M168" s="29" t="inlineStr">
        <is>
          <t>LOW</t>
        </is>
      </c>
      <c r="N168" s="29" t="inlineStr">
        <is>
          <t>0.5409333333333334</t>
        </is>
      </c>
      <c r="O168" s="29" t="inlineStr">
        <is>
          <t>FAIR</t>
        </is>
      </c>
      <c r="P168" s="29" t="inlineStr">
        <is>
          <t>FAIR</t>
        </is>
      </c>
      <c r="Q168" s="29" t="inlineStr">
        <is>
          <t>FAIR</t>
        </is>
      </c>
      <c r="R168" s="29" t="inlineStr">
        <is>
          <t>0.751305499027411</t>
        </is>
      </c>
      <c r="S168" s="29" t="inlineStr">
        <is>
          <t>HIGH</t>
        </is>
      </c>
      <c r="T168" s="29" t="inlineStr">
        <is>
          <t>HIGH</t>
        </is>
      </c>
      <c r="U168" s="29" t="inlineStr">
        <is>
          <t>0.2142857142857142</t>
        </is>
      </c>
      <c r="V168" s="29" t="inlineStr">
        <is>
          <t>MEDIUM_RISK</t>
        </is>
      </c>
      <c r="W168" s="29" t="inlineStr">
        <is>
          <t>중위험</t>
        </is>
      </c>
      <c r="X168" s="29" t="inlineStr">
        <is>
          <t>MEDIUM_RISK</t>
        </is>
      </c>
      <c r="Y168" s="29" t="inlineStr">
        <is>
          <t>0.7587275691055257</t>
        </is>
      </c>
      <c r="Z168" s="29" t="inlineStr">
        <is>
          <t>HIGH</t>
        </is>
      </c>
      <c r="AA168" s="29" t="inlineStr">
        <is>
          <t>HIGH</t>
        </is>
      </c>
      <c r="AB168" s="29" t="inlineStr">
        <is>
          <t>0.05351211711100475</t>
        </is>
      </c>
      <c r="AC168" s="29" t="inlineStr">
        <is>
          <t>False</t>
        </is>
      </c>
      <c r="AD168" s="29" t="inlineStr">
        <is>
          <t>False</t>
        </is>
      </c>
      <c r="AE168" s="29" t="inlineStr">
        <is>
          <t>valuation_credit_ml_overlay_candidate.csv</t>
        </is>
      </c>
      <c r="AF168" s="29" t="inlineStr">
        <is>
          <t>208개 반도체 reference universe. Valuation Agent가 자체 intake 폴더로 복제해 Peer/ML/대시보드 비교에 사용.</t>
        </is>
      </c>
    </row>
    <row r="169" ht="24" customHeight="1">
      <c r="A169" s="24" t="inlineStr">
        <is>
          <t>121</t>
        </is>
      </c>
      <c r="B169" s="24" t="inlineStr">
        <is>
          <t>해당 없음</t>
        </is>
      </c>
      <c r="C169" s="24" t="inlineStr">
        <is>
          <t>피에스케이홀딩스</t>
        </is>
      </c>
      <c r="D169" s="24" t="inlineStr">
        <is>
          <t>031980</t>
        </is>
      </c>
      <c r="E169" s="24" t="inlineStr">
        <is>
          <t>KOSDAQ</t>
        </is>
      </c>
      <c r="F169" s="24" t="inlineStr">
        <is>
          <t>장비</t>
        </is>
      </c>
      <c r="G169" s="24" t="inlineStr">
        <is>
          <t>장비</t>
        </is>
      </c>
      <c r="H169" s="24" t="inlineStr">
        <is>
          <t>False</t>
        </is>
      </c>
      <c r="I169" s="24" t="inlineStr">
        <is>
          <t>True</t>
        </is>
      </c>
      <c r="J169" s="24" t="inlineStr">
        <is>
          <t>OK</t>
        </is>
      </c>
      <c r="K169" s="24" t="inlineStr">
        <is>
          <t>데이터 사용 가능</t>
        </is>
      </c>
      <c r="L169" s="24" t="inlineStr">
        <is>
          <t>LOW</t>
        </is>
      </c>
      <c r="M169" s="24" t="inlineStr">
        <is>
          <t>LOW</t>
        </is>
      </c>
      <c r="N169" s="24" t="inlineStr">
        <is>
          <t>0.5385333333333334</t>
        </is>
      </c>
      <c r="O169" s="24" t="inlineStr">
        <is>
          <t>FAIR</t>
        </is>
      </c>
      <c r="P169" s="24" t="inlineStr">
        <is>
          <t>FAIR</t>
        </is>
      </c>
      <c r="Q169" s="24" t="inlineStr">
        <is>
          <t>FAIR</t>
        </is>
      </c>
      <c r="R169" s="24" t="inlineStr">
        <is>
          <t>0.7521125976897308</t>
        </is>
      </c>
      <c r="S169" s="24" t="inlineStr">
        <is>
          <t>HIGH</t>
        </is>
      </c>
      <c r="T169" s="24" t="inlineStr">
        <is>
          <t>HIGH</t>
        </is>
      </c>
      <c r="U169" s="24" t="inlineStr">
        <is>
          <t>0.0</t>
        </is>
      </c>
      <c r="V169" s="24" t="inlineStr">
        <is>
          <t>LOW_RISK</t>
        </is>
      </c>
      <c r="W169" s="24" t="inlineStr">
        <is>
          <t>저위험</t>
        </is>
      </c>
      <c r="X169" s="24" t="inlineStr">
        <is>
          <t>LOW_RISK</t>
        </is>
      </c>
      <c r="Y169" s="24" t="inlineStr">
        <is>
          <t>0.936112522374784</t>
        </is>
      </c>
      <c r="Z169" s="24" t="inlineStr">
        <is>
          <t>HIGH</t>
        </is>
      </c>
      <c r="AA169" s="24" t="inlineStr">
        <is>
          <t>HIGH</t>
        </is>
      </c>
      <c r="AB169" s="24" t="inlineStr">
        <is>
          <t>0.21000654030466528</t>
        </is>
      </c>
      <c r="AC169" s="24" t="inlineStr">
        <is>
          <t>False</t>
        </is>
      </c>
      <c r="AD169" s="24" t="inlineStr">
        <is>
          <t>False</t>
        </is>
      </c>
      <c r="AE169" s="24" t="inlineStr">
        <is>
          <t>valuation_credit_ml_overlay_candidate.csv</t>
        </is>
      </c>
      <c r="AF169" s="24" t="inlineStr">
        <is>
          <t>208개 반도체 reference universe. Valuation Agent가 자체 intake 폴더로 복제해 Peer/ML/대시보드 비교에 사용.</t>
        </is>
      </c>
    </row>
    <row r="170" ht="24" customHeight="1">
      <c r="A170" s="29" t="inlineStr">
        <is>
          <t>102</t>
        </is>
      </c>
      <c r="B170" s="29" t="inlineStr">
        <is>
          <t>해당 없음</t>
        </is>
      </c>
      <c r="C170" s="29" t="inlineStr">
        <is>
          <t>워트</t>
        </is>
      </c>
      <c r="D170" s="29" t="inlineStr">
        <is>
          <t>396470</t>
        </is>
      </c>
      <c r="E170" s="29" t="inlineStr">
        <is>
          <t>KOSDAQ</t>
        </is>
      </c>
      <c r="F170" s="29" t="inlineStr">
        <is>
          <t>장비</t>
        </is>
      </c>
      <c r="G170" s="29" t="inlineStr">
        <is>
          <t>장비</t>
        </is>
      </c>
      <c r="H170" s="29" t="inlineStr">
        <is>
          <t>False</t>
        </is>
      </c>
      <c r="I170" s="29" t="inlineStr">
        <is>
          <t>True</t>
        </is>
      </c>
      <c r="J170" s="29" t="inlineStr">
        <is>
          <t>OK_LIMITED_HISTORY_OR_GROWTH_NA</t>
        </is>
      </c>
      <c r="K170" s="29" t="inlineStr">
        <is>
          <t>데이터 사용 가능</t>
        </is>
      </c>
      <c r="L170" s="29" t="inlineStr">
        <is>
          <t>LOW</t>
        </is>
      </c>
      <c r="M170" s="29" t="inlineStr">
        <is>
          <t>LOW</t>
        </is>
      </c>
      <c r="N170" s="29" t="inlineStr">
        <is>
          <t>0.5384000000000001</t>
        </is>
      </c>
      <c r="O170" s="29" t="inlineStr">
        <is>
          <t>FAIR</t>
        </is>
      </c>
      <c r="P170" s="29" t="inlineStr">
        <is>
          <t>FAIR</t>
        </is>
      </c>
      <c r="Q170" s="29" t="inlineStr">
        <is>
          <t>FAIR</t>
        </is>
      </c>
      <c r="R170" s="29" t="inlineStr">
        <is>
          <t>0.6073344328439819</t>
        </is>
      </c>
      <c r="S170" s="29" t="inlineStr">
        <is>
          <t>MEDIUM</t>
        </is>
      </c>
      <c r="T170" s="29" t="inlineStr">
        <is>
          <t>MEDIUM</t>
        </is>
      </c>
      <c r="U170" s="29" t="inlineStr">
        <is>
          <t>0.0714285714285714</t>
        </is>
      </c>
      <c r="V170" s="29" t="inlineStr">
        <is>
          <t>LOW_RISK</t>
        </is>
      </c>
      <c r="W170" s="29" t="inlineStr">
        <is>
          <t>저위험</t>
        </is>
      </c>
      <c r="X170" s="29" t="inlineStr">
        <is>
          <t>LOW_RISK</t>
        </is>
      </c>
      <c r="Y170" s="29" t="inlineStr">
        <is>
          <t>0.8767524187887936</t>
        </is>
      </c>
      <c r="Z170" s="29" t="inlineStr">
        <is>
          <t>HIGH</t>
        </is>
      </c>
      <c r="AA170" s="29" t="inlineStr">
        <is>
          <t>HIGH</t>
        </is>
      </c>
      <c r="AB170" s="29" t="inlineStr">
        <is>
          <t>0.4537372664198796</t>
        </is>
      </c>
      <c r="AC170" s="29" t="inlineStr">
        <is>
          <t>True</t>
        </is>
      </c>
      <c r="AD170" s="29" t="inlineStr">
        <is>
          <t>True</t>
        </is>
      </c>
      <c r="AE170" s="29" t="inlineStr">
        <is>
          <t>valuation_credit_ml_overlay_candidate.csv</t>
        </is>
      </c>
      <c r="AF170" s="29" t="inlineStr">
        <is>
          <t>208개 반도체 reference universe. Valuation Agent가 자체 intake 폴더로 복제해 Peer/ML/대시보드 비교에 사용.</t>
        </is>
      </c>
    </row>
    <row r="171" ht="24" customHeight="1">
      <c r="A171" s="24" t="inlineStr">
        <is>
          <t>120</t>
        </is>
      </c>
      <c r="B171" s="24" t="inlineStr">
        <is>
          <t>해당 없음</t>
        </is>
      </c>
      <c r="C171" s="24" t="inlineStr">
        <is>
          <t>피에스케이</t>
        </is>
      </c>
      <c r="D171" s="24" t="inlineStr">
        <is>
          <t>319660</t>
        </is>
      </c>
      <c r="E171" s="24" t="inlineStr">
        <is>
          <t>KOSDAQ GLOBAL</t>
        </is>
      </c>
      <c r="F171" s="24" t="inlineStr">
        <is>
          <t>장비</t>
        </is>
      </c>
      <c r="G171" s="24" t="inlineStr">
        <is>
          <t>장비</t>
        </is>
      </c>
      <c r="H171" s="24" t="inlineStr">
        <is>
          <t>False</t>
        </is>
      </c>
      <c r="I171" s="24" t="inlineStr">
        <is>
          <t>True</t>
        </is>
      </c>
      <c r="J171" s="24" t="inlineStr">
        <is>
          <t>OK</t>
        </is>
      </c>
      <c r="K171" s="24" t="inlineStr">
        <is>
          <t>데이터 사용 가능</t>
        </is>
      </c>
      <c r="L171" s="24" t="inlineStr">
        <is>
          <t>LOW</t>
        </is>
      </c>
      <c r="M171" s="24" t="inlineStr">
        <is>
          <t>LOW</t>
        </is>
      </c>
      <c r="N171" s="24" t="inlineStr">
        <is>
          <t>0.5357333333333333</t>
        </is>
      </c>
      <c r="O171" s="24" t="inlineStr">
        <is>
          <t>FAIR</t>
        </is>
      </c>
      <c r="P171" s="24" t="inlineStr">
        <is>
          <t>FAIR</t>
        </is>
      </c>
      <c r="Q171" s="24" t="inlineStr">
        <is>
          <t>FAIR</t>
        </is>
      </c>
      <c r="R171" s="24" t="inlineStr">
        <is>
          <t>0.7072072873445469</t>
        </is>
      </c>
      <c r="S171" s="24" t="inlineStr">
        <is>
          <t>HIGH</t>
        </is>
      </c>
      <c r="T171" s="24" t="inlineStr">
        <is>
          <t>HIGH</t>
        </is>
      </c>
      <c r="U171" s="24" t="inlineStr">
        <is>
          <t>0.0</t>
        </is>
      </c>
      <c r="V171" s="24" t="inlineStr">
        <is>
          <t>LOW_RISK</t>
        </is>
      </c>
      <c r="W171" s="24" t="inlineStr">
        <is>
          <t>저위험</t>
        </is>
      </c>
      <c r="X171" s="24" t="inlineStr">
        <is>
          <t>LOW_RISK</t>
        </is>
      </c>
      <c r="Y171" s="24" t="inlineStr">
        <is>
          <t>0.9811059783961981</t>
        </is>
      </c>
      <c r="Z171" s="24" t="inlineStr">
        <is>
          <t>HIGH</t>
        </is>
      </c>
      <c r="AA171" s="24" t="inlineStr">
        <is>
          <t>HIGH</t>
        </is>
      </c>
      <c r="AB171" s="24" t="inlineStr">
        <is>
          <t>0.06486271422414225</t>
        </is>
      </c>
      <c r="AC171" s="24" t="inlineStr">
        <is>
          <t>False</t>
        </is>
      </c>
      <c r="AD171" s="24" t="inlineStr">
        <is>
          <t>False</t>
        </is>
      </c>
      <c r="AE171" s="24" t="inlineStr">
        <is>
          <t>valuation_credit_ml_overlay_candidate.csv</t>
        </is>
      </c>
      <c r="AF171" s="24" t="inlineStr">
        <is>
          <t>208개 반도체 reference universe. Valuation Agent가 자체 intake 폴더로 복제해 Peer/ML/대시보드 비교에 사용.</t>
        </is>
      </c>
    </row>
    <row r="172" ht="24" customHeight="1">
      <c r="A172" s="29" t="inlineStr">
        <is>
          <t>87</t>
        </is>
      </c>
      <c r="B172" s="29" t="inlineStr">
        <is>
          <t>해당 없음</t>
        </is>
      </c>
      <c r="C172" s="29" t="inlineStr">
        <is>
          <t>브이엠</t>
        </is>
      </c>
      <c r="D172" s="29" t="inlineStr">
        <is>
          <t>089970</t>
        </is>
      </c>
      <c r="E172" s="29" t="inlineStr">
        <is>
          <t>KOSDAQ</t>
        </is>
      </c>
      <c r="F172" s="29" t="inlineStr">
        <is>
          <t>장비</t>
        </is>
      </c>
      <c r="G172" s="29" t="inlineStr">
        <is>
          <t>장비</t>
        </is>
      </c>
      <c r="H172" s="29" t="inlineStr">
        <is>
          <t>False</t>
        </is>
      </c>
      <c r="I172" s="29" t="inlineStr">
        <is>
          <t>True</t>
        </is>
      </c>
      <c r="J172" s="29" t="inlineStr">
        <is>
          <t>OK</t>
        </is>
      </c>
      <c r="K172" s="29" t="inlineStr">
        <is>
          <t>데이터 사용 가능</t>
        </is>
      </c>
      <c r="L172" s="29" t="inlineStr">
        <is>
          <t>LOW</t>
        </is>
      </c>
      <c r="M172" s="29" t="inlineStr">
        <is>
          <t>LOW</t>
        </is>
      </c>
      <c r="N172" s="29" t="inlineStr">
        <is>
          <t>0.5204000000000001</t>
        </is>
      </c>
      <c r="O172" s="29" t="inlineStr">
        <is>
          <t>FAIR</t>
        </is>
      </c>
      <c r="P172" s="29" t="inlineStr">
        <is>
          <t>FAIR</t>
        </is>
      </c>
      <c r="Q172" s="29" t="inlineStr">
        <is>
          <t>FAIR</t>
        </is>
      </c>
      <c r="R172" s="29" t="inlineStr">
        <is>
          <t>0.737579554357605</t>
        </is>
      </c>
      <c r="S172" s="29" t="inlineStr">
        <is>
          <t>HIGH</t>
        </is>
      </c>
      <c r="T172" s="29" t="inlineStr">
        <is>
          <t>HIGH</t>
        </is>
      </c>
      <c r="U172" s="29" t="inlineStr">
        <is>
          <t>0.0</t>
        </is>
      </c>
      <c r="V172" s="29" t="inlineStr">
        <is>
          <t>LOW_RISK</t>
        </is>
      </c>
      <c r="W172" s="29" t="inlineStr">
        <is>
          <t>저위험</t>
        </is>
      </c>
      <c r="X172" s="29" t="inlineStr">
        <is>
          <t>LOW_RISK</t>
        </is>
      </c>
      <c r="Y172" s="29" t="inlineStr">
        <is>
          <t>0.9262131686985617</t>
        </is>
      </c>
      <c r="Z172" s="29" t="inlineStr">
        <is>
          <t>HIGH</t>
        </is>
      </c>
      <c r="AA172" s="29" t="inlineStr">
        <is>
          <t>HIGH</t>
        </is>
      </c>
      <c r="AB172" s="29" t="inlineStr">
        <is>
          <t>0.095895233286532</t>
        </is>
      </c>
      <c r="AC172" s="29" t="inlineStr">
        <is>
          <t>False</t>
        </is>
      </c>
      <c r="AD172" s="29" t="inlineStr">
        <is>
          <t>False</t>
        </is>
      </c>
      <c r="AE172" s="29" t="inlineStr">
        <is>
          <t>valuation_credit_ml_overlay_candidate.csv</t>
        </is>
      </c>
      <c r="AF172" s="29" t="inlineStr">
        <is>
          <t>208개 반도체 reference universe. Valuation Agent가 자체 intake 폴더로 복제해 Peer/ML/대시보드 비교에 사용.</t>
        </is>
      </c>
    </row>
    <row r="173" ht="24" customHeight="1">
      <c r="A173" s="24" t="inlineStr">
        <is>
          <t>114</t>
        </is>
      </c>
      <c r="B173" s="24" t="inlineStr">
        <is>
          <t>해당 없음</t>
        </is>
      </c>
      <c r="C173" s="24" t="inlineStr">
        <is>
          <t>코세스</t>
        </is>
      </c>
      <c r="D173" s="24" t="inlineStr">
        <is>
          <t>089890</t>
        </is>
      </c>
      <c r="E173" s="24" t="inlineStr">
        <is>
          <t>KOSDAQ</t>
        </is>
      </c>
      <c r="F173" s="24" t="inlineStr">
        <is>
          <t>장비</t>
        </is>
      </c>
      <c r="G173" s="24" t="inlineStr">
        <is>
          <t>장비</t>
        </is>
      </c>
      <c r="H173" s="24" t="inlineStr">
        <is>
          <t>False</t>
        </is>
      </c>
      <c r="I173" s="24" t="inlineStr">
        <is>
          <t>True</t>
        </is>
      </c>
      <c r="J173" s="24" t="inlineStr">
        <is>
          <t>OK</t>
        </is>
      </c>
      <c r="K173" s="24" t="inlineStr">
        <is>
          <t>데이터 사용 가능</t>
        </is>
      </c>
      <c r="L173" s="24" t="inlineStr">
        <is>
          <t>LOW</t>
        </is>
      </c>
      <c r="M173" s="24" t="inlineStr">
        <is>
          <t>LOW</t>
        </is>
      </c>
      <c r="N173" s="24" t="inlineStr">
        <is>
          <t>0.4978666666666667</t>
        </is>
      </c>
      <c r="O173" s="24" t="inlineStr">
        <is>
          <t>FAIR</t>
        </is>
      </c>
      <c r="P173" s="24" t="inlineStr">
        <is>
          <t>FAIR</t>
        </is>
      </c>
      <c r="Q173" s="24" t="inlineStr">
        <is>
          <t>FAIR</t>
        </is>
      </c>
      <c r="R173" s="24" t="inlineStr">
        <is>
          <t>0.7228094449358575</t>
        </is>
      </c>
      <c r="S173" s="24" t="inlineStr">
        <is>
          <t>HIGH</t>
        </is>
      </c>
      <c r="T173" s="24" t="inlineStr">
        <is>
          <t>HIGH</t>
        </is>
      </c>
      <c r="U173" s="24" t="inlineStr">
        <is>
          <t>0.0714285714285714</t>
        </is>
      </c>
      <c r="V173" s="24" t="inlineStr">
        <is>
          <t>LOW_RISK</t>
        </is>
      </c>
      <c r="W173" s="24" t="inlineStr">
        <is>
          <t>저위험</t>
        </is>
      </c>
      <c r="X173" s="24" t="inlineStr">
        <is>
          <t>LOW_RISK</t>
        </is>
      </c>
      <c r="Y173" s="24" t="inlineStr">
        <is>
          <t>0.7776657060311913</t>
        </is>
      </c>
      <c r="Z173" s="24" t="inlineStr">
        <is>
          <t>HIGH</t>
        </is>
      </c>
      <c r="AA173" s="24" t="inlineStr">
        <is>
          <t>HIGH</t>
        </is>
      </c>
      <c r="AB173" s="24" t="inlineStr">
        <is>
          <t>0.08712413247882898</t>
        </is>
      </c>
      <c r="AC173" s="24" t="inlineStr">
        <is>
          <t>False</t>
        </is>
      </c>
      <c r="AD173" s="24" t="inlineStr">
        <is>
          <t>False</t>
        </is>
      </c>
      <c r="AE173" s="24" t="inlineStr">
        <is>
          <t>valuation_credit_ml_overlay_candidate.csv</t>
        </is>
      </c>
      <c r="AF173" s="24" t="inlineStr">
        <is>
          <t>208개 반도체 reference universe. Valuation Agent가 자체 intake 폴더로 복제해 Peer/ML/대시보드 비교에 사용.</t>
        </is>
      </c>
    </row>
    <row r="174" ht="24" customHeight="1">
      <c r="A174" s="29" t="inlineStr">
        <is>
          <t>115</t>
        </is>
      </c>
      <c r="B174" s="29" t="inlineStr">
        <is>
          <t>해당 없음</t>
        </is>
      </c>
      <c r="C174" s="29" t="inlineStr">
        <is>
          <t>코스텍시스템</t>
        </is>
      </c>
      <c r="D174" s="29" t="inlineStr">
        <is>
          <t>169670</t>
        </is>
      </c>
      <c r="E174" s="29" t="inlineStr">
        <is>
          <t>KONEX</t>
        </is>
      </c>
      <c r="F174" s="29" t="inlineStr">
        <is>
          <t>장비</t>
        </is>
      </c>
      <c r="G174" s="29" t="inlineStr">
        <is>
          <t>장비</t>
        </is>
      </c>
      <c r="H174" s="29" t="inlineStr">
        <is>
          <t>False</t>
        </is>
      </c>
      <c r="I174" s="29" t="inlineStr">
        <is>
          <t>True</t>
        </is>
      </c>
      <c r="J174" s="29" t="inlineStr">
        <is>
          <t>NO_DART_FINANCIAL_DATA</t>
        </is>
      </c>
      <c r="K174" s="29" t="inlineStr">
        <is>
          <t>데이터 사용 가능</t>
        </is>
      </c>
      <c r="L174" s="29" t="inlineStr">
        <is>
          <t>HIGH</t>
        </is>
      </c>
      <c r="M174" s="29" t="inlineStr">
        <is>
          <t>HIGH</t>
        </is>
      </c>
      <c r="N174" s="29" t="inlineStr">
        <is>
          <t>0.4959999999999999</t>
        </is>
      </c>
      <c r="O174" s="29" t="inlineStr">
        <is>
          <t>FAIR</t>
        </is>
      </c>
      <c r="P174" s="29" t="inlineStr">
        <is>
          <t>FAIR</t>
        </is>
      </c>
      <c r="Q174" s="29" t="inlineStr">
        <is>
          <t>FAIR</t>
        </is>
      </c>
      <c r="R174" s="29" t="inlineStr">
        <is>
          <t>0.9640840061970892</t>
        </is>
      </c>
      <c r="S174" s="29" t="inlineStr">
        <is>
          <t>HIGH</t>
        </is>
      </c>
      <c r="T174" s="29" t="inlineStr">
        <is>
          <t>HIGH</t>
        </is>
      </c>
      <c r="U174" s="29" t="inlineStr">
        <is>
          <t>0.2142857142857142</t>
        </is>
      </c>
      <c r="V174" s="29" t="inlineStr">
        <is>
          <t>MEDIUM_RISK</t>
        </is>
      </c>
      <c r="W174" s="29" t="inlineStr">
        <is>
          <t>중위험</t>
        </is>
      </c>
      <c r="X174" s="29" t="inlineStr">
        <is>
          <t>MEDIUM_RISK</t>
        </is>
      </c>
      <c r="Y174" s="29" t="inlineStr">
        <is>
          <t>0.7627943410657042</t>
        </is>
      </c>
      <c r="Z174" s="29" t="inlineStr">
        <is>
          <t>HIGH</t>
        </is>
      </c>
      <c r="AA174" s="29" t="inlineStr">
        <is>
          <t>HIGH</t>
        </is>
      </c>
      <c r="AB174" s="29" t="inlineStr">
        <is>
          <t>0.1642174593956627</t>
        </is>
      </c>
      <c r="AC174" s="29" t="inlineStr">
        <is>
          <t>False</t>
        </is>
      </c>
      <c r="AD174" s="29" t="inlineStr">
        <is>
          <t>True</t>
        </is>
      </c>
      <c r="AE174" s="29" t="inlineStr">
        <is>
          <t>valuation_credit_ml_overlay_candidate.csv</t>
        </is>
      </c>
      <c r="AF174" s="29" t="inlineStr">
        <is>
          <t>208개 반도체 reference universe. Valuation Agent가 자체 intake 폴더로 복제해 Peer/ML/대시보드 비교에 사용.</t>
        </is>
      </c>
    </row>
    <row r="175" ht="24" customHeight="1">
      <c r="A175" s="24" t="inlineStr">
        <is>
          <t>75</t>
        </is>
      </c>
      <c r="B175" s="24" t="inlineStr">
        <is>
          <t>해당 없음</t>
        </is>
      </c>
      <c r="C175" s="24" t="inlineStr">
        <is>
          <t>HPSP</t>
        </is>
      </c>
      <c r="D175" s="24" t="inlineStr">
        <is>
          <t>403870</t>
        </is>
      </c>
      <c r="E175" s="24" t="inlineStr">
        <is>
          <t>KOSDAQ GLOBAL</t>
        </is>
      </c>
      <c r="F175" s="24" t="inlineStr">
        <is>
          <t>장비</t>
        </is>
      </c>
      <c r="G175" s="24" t="inlineStr">
        <is>
          <t>장비</t>
        </is>
      </c>
      <c r="H175" s="24" t="inlineStr">
        <is>
          <t>False</t>
        </is>
      </c>
      <c r="I175" s="24" t="inlineStr">
        <is>
          <t>True</t>
        </is>
      </c>
      <c r="J175" s="24" t="inlineStr">
        <is>
          <t>OK</t>
        </is>
      </c>
      <c r="K175" s="24" t="inlineStr">
        <is>
          <t>데이터 사용 가능</t>
        </is>
      </c>
      <c r="L175" s="24" t="inlineStr">
        <is>
          <t>LOW</t>
        </is>
      </c>
      <c r="M175" s="24" t="inlineStr">
        <is>
          <t>LOW</t>
        </is>
      </c>
      <c r="N175" s="24" t="inlineStr">
        <is>
          <t>0.4751999999999999</t>
        </is>
      </c>
      <c r="O175" s="24" t="inlineStr">
        <is>
          <t>FAIR</t>
        </is>
      </c>
      <c r="P175" s="24" t="inlineStr">
        <is>
          <t>FAIR</t>
        </is>
      </c>
      <c r="Q175" s="24" t="inlineStr">
        <is>
          <t>FAIR</t>
        </is>
      </c>
      <c r="R175" s="24" t="inlineStr">
        <is>
          <t>0.7108284021978194</t>
        </is>
      </c>
      <c r="S175" s="24" t="inlineStr">
        <is>
          <t>HIGH</t>
        </is>
      </c>
      <c r="T175" s="24" t="inlineStr">
        <is>
          <t>HIGH</t>
        </is>
      </c>
      <c r="U175" s="24" t="inlineStr">
        <is>
          <t>0.0</t>
        </is>
      </c>
      <c r="V175" s="24" t="inlineStr">
        <is>
          <t>LOW_RISK</t>
        </is>
      </c>
      <c r="W175" s="24" t="inlineStr">
        <is>
          <t>저위험</t>
        </is>
      </c>
      <c r="X175" s="24" t="inlineStr">
        <is>
          <t>LOW_RISK</t>
        </is>
      </c>
      <c r="Y175" s="24" t="inlineStr">
        <is>
          <t>0.9192147630692069</t>
        </is>
      </c>
      <c r="Z175" s="24" t="inlineStr">
        <is>
          <t>HIGH</t>
        </is>
      </c>
      <c r="AA175" s="24" t="inlineStr">
        <is>
          <t>HIGH</t>
        </is>
      </c>
      <c r="AB175" s="24" t="inlineStr">
        <is>
          <t>0.3306557234104388</t>
        </is>
      </c>
      <c r="AC175" s="24" t="inlineStr">
        <is>
          <t>True</t>
        </is>
      </c>
      <c r="AD175" s="24" t="inlineStr">
        <is>
          <t>True</t>
        </is>
      </c>
      <c r="AE175" s="24" t="inlineStr">
        <is>
          <t>valuation_credit_ml_overlay_candidate.csv</t>
        </is>
      </c>
      <c r="AF175" s="24" t="inlineStr">
        <is>
          <t>208개 반도체 reference universe. Valuation Agent가 자체 intake 폴더로 복제해 Peer/ML/대시보드 비교에 사용.</t>
        </is>
      </c>
    </row>
    <row r="176" ht="24" customHeight="1">
      <c r="A176" s="29" t="inlineStr">
        <is>
          <t>103</t>
        </is>
      </c>
      <c r="B176" s="29" t="inlineStr">
        <is>
          <t>해당 없음</t>
        </is>
      </c>
      <c r="C176" s="29" t="inlineStr">
        <is>
          <t>원익IPS</t>
        </is>
      </c>
      <c r="D176" s="29" t="inlineStr">
        <is>
          <t>240810</t>
        </is>
      </c>
      <c r="E176" s="29" t="inlineStr">
        <is>
          <t>KOSDAQ GLOBAL</t>
        </is>
      </c>
      <c r="F176" s="29" t="inlineStr">
        <is>
          <t>장비</t>
        </is>
      </c>
      <c r="G176" s="29" t="inlineStr">
        <is>
          <t>장비</t>
        </is>
      </c>
      <c r="H176" s="29" t="inlineStr">
        <is>
          <t>False</t>
        </is>
      </c>
      <c r="I176" s="29" t="inlineStr">
        <is>
          <t>True</t>
        </is>
      </c>
      <c r="J176" s="29" t="inlineStr">
        <is>
          <t>OK</t>
        </is>
      </c>
      <c r="K176" s="29" t="inlineStr">
        <is>
          <t>데이터 사용 가능</t>
        </is>
      </c>
      <c r="L176" s="29" t="inlineStr">
        <is>
          <t>LOW</t>
        </is>
      </c>
      <c r="M176" s="29" t="inlineStr">
        <is>
          <t>LOW</t>
        </is>
      </c>
      <c r="N176" s="29" t="inlineStr">
        <is>
          <t>0.4634666666666667</t>
        </is>
      </c>
      <c r="O176" s="29" t="inlineStr">
        <is>
          <t>FAIR</t>
        </is>
      </c>
      <c r="P176" s="29" t="inlineStr">
        <is>
          <t>FAIR</t>
        </is>
      </c>
      <c r="Q176" s="29" t="inlineStr">
        <is>
          <t>FAIR</t>
        </is>
      </c>
      <c r="R176" s="29" t="inlineStr">
        <is>
          <t>0.5727476694226805</t>
        </is>
      </c>
      <c r="S176" s="29" t="inlineStr">
        <is>
          <t>MEDIUM</t>
        </is>
      </c>
      <c r="T176" s="29" t="inlineStr">
        <is>
          <t>MEDIUM</t>
        </is>
      </c>
      <c r="U176" s="29" t="inlineStr">
        <is>
          <t>0.0714285714285714</t>
        </is>
      </c>
      <c r="V176" s="29" t="inlineStr">
        <is>
          <t>LOW_RISK</t>
        </is>
      </c>
      <c r="W176" s="29" t="inlineStr">
        <is>
          <t>저위험</t>
        </is>
      </c>
      <c r="X176" s="29" t="inlineStr">
        <is>
          <t>LOW_RISK</t>
        </is>
      </c>
      <c r="Y176" s="29" t="inlineStr">
        <is>
          <t>0.9598478437041975</t>
        </is>
      </c>
      <c r="Z176" s="29" t="inlineStr">
        <is>
          <t>HIGH</t>
        </is>
      </c>
      <c r="AA176" s="29" t="inlineStr">
        <is>
          <t>HIGH</t>
        </is>
      </c>
      <c r="AB176" s="29" t="inlineStr">
        <is>
          <t>0.08568837626660758</t>
        </is>
      </c>
      <c r="AC176" s="29" t="inlineStr">
        <is>
          <t>False</t>
        </is>
      </c>
      <c r="AD176" s="29" t="inlineStr">
        <is>
          <t>False</t>
        </is>
      </c>
      <c r="AE176" s="29" t="inlineStr">
        <is>
          <t>valuation_credit_ml_overlay_candidate.csv</t>
        </is>
      </c>
      <c r="AF176" s="29" t="inlineStr">
        <is>
          <t>208개 반도체 reference universe. Valuation Agent가 자체 intake 폴더로 복제해 Peer/ML/대시보드 비교에 사용.</t>
        </is>
      </c>
    </row>
    <row r="177" ht="24" customHeight="1">
      <c r="A177" s="24" t="inlineStr">
        <is>
          <t>118</t>
        </is>
      </c>
      <c r="B177" s="24" t="inlineStr">
        <is>
          <t>해당 없음</t>
        </is>
      </c>
      <c r="C177" s="24" t="inlineStr">
        <is>
          <t>파크시스템스</t>
        </is>
      </c>
      <c r="D177" s="24" t="inlineStr">
        <is>
          <t>140860</t>
        </is>
      </c>
      <c r="E177" s="24" t="inlineStr">
        <is>
          <t>KOSDAQ GLOBAL</t>
        </is>
      </c>
      <c r="F177" s="24" t="inlineStr">
        <is>
          <t>장비</t>
        </is>
      </c>
      <c r="G177" s="24" t="inlineStr">
        <is>
          <t>장비</t>
        </is>
      </c>
      <c r="H177" s="24" t="inlineStr">
        <is>
          <t>False</t>
        </is>
      </c>
      <c r="I177" s="24" t="inlineStr">
        <is>
          <t>True</t>
        </is>
      </c>
      <c r="J177" s="24" t="inlineStr">
        <is>
          <t>OK</t>
        </is>
      </c>
      <c r="K177" s="24" t="inlineStr">
        <is>
          <t>데이터 사용 가능</t>
        </is>
      </c>
      <c r="L177" s="24" t="inlineStr">
        <is>
          <t>LOW</t>
        </is>
      </c>
      <c r="M177" s="24" t="inlineStr">
        <is>
          <t>LOW</t>
        </is>
      </c>
      <c r="N177" s="24" t="inlineStr">
        <is>
          <t>0.4611999999999999</t>
        </is>
      </c>
      <c r="O177" s="24" t="inlineStr">
        <is>
          <t>FAIR</t>
        </is>
      </c>
      <c r="P177" s="24" t="inlineStr">
        <is>
          <t>FAIR</t>
        </is>
      </c>
      <c r="Q177" s="24" t="inlineStr">
        <is>
          <t>FAIR</t>
        </is>
      </c>
      <c r="R177" s="24" t="inlineStr">
        <is>
          <t>0.7158734205313764</t>
        </is>
      </c>
      <c r="S177" s="24" t="inlineStr">
        <is>
          <t>HIGH</t>
        </is>
      </c>
      <c r="T177" s="24" t="inlineStr">
        <is>
          <t>HIGH</t>
        </is>
      </c>
      <c r="U177" s="24" t="inlineStr">
        <is>
          <t>0.0714285714285714</t>
        </is>
      </c>
      <c r="V177" s="24" t="inlineStr">
        <is>
          <t>LOW_RISK</t>
        </is>
      </c>
      <c r="W177" s="24" t="inlineStr">
        <is>
          <t>저위험</t>
        </is>
      </c>
      <c r="X177" s="24" t="inlineStr">
        <is>
          <t>LOW_RISK</t>
        </is>
      </c>
      <c r="Y177" s="24" t="inlineStr">
        <is>
          <t>0.8562648725642331</t>
        </is>
      </c>
      <c r="Z177" s="24" t="inlineStr">
        <is>
          <t>HIGH</t>
        </is>
      </c>
      <c r="AA177" s="24" t="inlineStr">
        <is>
          <t>HIGH</t>
        </is>
      </c>
      <c r="AB177" s="24" t="inlineStr">
        <is>
          <t>0.038412769981702295</t>
        </is>
      </c>
      <c r="AC177" s="24" t="inlineStr">
        <is>
          <t>False</t>
        </is>
      </c>
      <c r="AD177" s="24" t="inlineStr">
        <is>
          <t>False</t>
        </is>
      </c>
      <c r="AE177" s="24" t="inlineStr">
        <is>
          <t>valuation_credit_ml_overlay_candidate.csv</t>
        </is>
      </c>
      <c r="AF177" s="24" t="inlineStr">
        <is>
          <t>208개 반도체 reference universe. Valuation Agent가 자체 intake 폴더로 복제해 Peer/ML/대시보드 비교에 사용.</t>
        </is>
      </c>
    </row>
    <row r="178" ht="24" customHeight="1">
      <c r="A178" s="29" t="inlineStr">
        <is>
          <t>90</t>
        </is>
      </c>
      <c r="B178" s="29" t="inlineStr">
        <is>
          <t>해당 없음</t>
        </is>
      </c>
      <c r="C178" s="29" t="inlineStr">
        <is>
          <t>서플러스글로벌</t>
        </is>
      </c>
      <c r="D178" s="29" t="inlineStr">
        <is>
          <t>140070</t>
        </is>
      </c>
      <c r="E178" s="29" t="inlineStr">
        <is>
          <t>KOSDAQ</t>
        </is>
      </c>
      <c r="F178" s="29" t="inlineStr">
        <is>
          <t>장비</t>
        </is>
      </c>
      <c r="G178" s="29" t="inlineStr">
        <is>
          <t>장비</t>
        </is>
      </c>
      <c r="H178" s="29" t="inlineStr">
        <is>
          <t>False</t>
        </is>
      </c>
      <c r="I178" s="29" t="inlineStr">
        <is>
          <t>True</t>
        </is>
      </c>
      <c r="J178" s="29" t="inlineStr">
        <is>
          <t>OK</t>
        </is>
      </c>
      <c r="K178" s="29" t="inlineStr">
        <is>
          <t>데이터 사용 가능</t>
        </is>
      </c>
      <c r="L178" s="29" t="inlineStr">
        <is>
          <t>LOW</t>
        </is>
      </c>
      <c r="M178" s="29" t="inlineStr">
        <is>
          <t>LOW</t>
        </is>
      </c>
      <c r="N178" s="29" t="inlineStr">
        <is>
          <t>0.4594666666666667</t>
        </is>
      </c>
      <c r="O178" s="29" t="inlineStr">
        <is>
          <t>FAIR</t>
        </is>
      </c>
      <c r="P178" s="29" t="inlineStr">
        <is>
          <t>FAIR</t>
        </is>
      </c>
      <c r="Q178" s="29" t="inlineStr">
        <is>
          <t>FAIR</t>
        </is>
      </c>
      <c r="R178" s="29" t="inlineStr">
        <is>
          <t>0.6515364241286621</t>
        </is>
      </c>
      <c r="S178" s="29" t="inlineStr">
        <is>
          <t>MEDIUM</t>
        </is>
      </c>
      <c r="T178" s="29" t="inlineStr">
        <is>
          <t>MEDIUM</t>
        </is>
      </c>
      <c r="U178" s="29" t="inlineStr">
        <is>
          <t>0.7142857142857143</t>
        </is>
      </c>
      <c r="V178" s="29" t="inlineStr">
        <is>
          <t>HIGH_RISK</t>
        </is>
      </c>
      <c r="W178" s="29" t="inlineStr">
        <is>
          <t>고위험</t>
        </is>
      </c>
      <c r="X178" s="29" t="inlineStr">
        <is>
          <t>HIGH_RISK</t>
        </is>
      </c>
      <c r="Y178" s="29" t="inlineStr">
        <is>
          <t>0.9338637410254204</t>
        </is>
      </c>
      <c r="Z178" s="29" t="inlineStr">
        <is>
          <t>HIGH</t>
        </is>
      </c>
      <c r="AA178" s="29" t="inlineStr">
        <is>
          <t>HIGH</t>
        </is>
      </c>
      <c r="AB178" s="29" t="inlineStr">
        <is>
          <t>0.11246105889395507</t>
        </is>
      </c>
      <c r="AC178" s="29" t="inlineStr">
        <is>
          <t>False</t>
        </is>
      </c>
      <c r="AD178" s="29" t="inlineStr">
        <is>
          <t>False</t>
        </is>
      </c>
      <c r="AE178" s="29" t="inlineStr">
        <is>
          <t>valuation_credit_ml_overlay_candidate.csv</t>
        </is>
      </c>
      <c r="AF178" s="29" t="inlineStr">
        <is>
          <t>208개 반도체 reference universe. Valuation Agent가 자체 intake 폴더로 복제해 Peer/ML/대시보드 비교에 사용.</t>
        </is>
      </c>
    </row>
    <row r="179" ht="24" customHeight="1">
      <c r="A179" s="24" t="inlineStr">
        <is>
          <t>97</t>
        </is>
      </c>
      <c r="B179" s="24" t="inlineStr">
        <is>
          <t>해당 없음</t>
        </is>
      </c>
      <c r="C179" s="24" t="inlineStr">
        <is>
          <t>에스티아이</t>
        </is>
      </c>
      <c r="D179" s="24" t="inlineStr">
        <is>
          <t>039440</t>
        </is>
      </c>
      <c r="E179" s="24" t="inlineStr">
        <is>
          <t>KOSDAQ</t>
        </is>
      </c>
      <c r="F179" s="24" t="inlineStr">
        <is>
          <t>장비</t>
        </is>
      </c>
      <c r="G179" s="24" t="inlineStr">
        <is>
          <t>장비</t>
        </is>
      </c>
      <c r="H179" s="24" t="inlineStr">
        <is>
          <t>False</t>
        </is>
      </c>
      <c r="I179" s="24" t="inlineStr">
        <is>
          <t>True</t>
        </is>
      </c>
      <c r="J179" s="24" t="inlineStr">
        <is>
          <t>OK</t>
        </is>
      </c>
      <c r="K179" s="24" t="inlineStr">
        <is>
          <t>데이터 사용 가능</t>
        </is>
      </c>
      <c r="L179" s="24" t="inlineStr">
        <is>
          <t>LOW</t>
        </is>
      </c>
      <c r="M179" s="24" t="inlineStr">
        <is>
          <t>LOW</t>
        </is>
      </c>
      <c r="N179" s="24" t="inlineStr">
        <is>
          <t>0.4549999999999999</t>
        </is>
      </c>
      <c r="O179" s="24" t="inlineStr">
        <is>
          <t>FAIR</t>
        </is>
      </c>
      <c r="P179" s="24" t="inlineStr">
        <is>
          <t>FAIR</t>
        </is>
      </c>
      <c r="Q179" s="24" t="inlineStr">
        <is>
          <t>FAIR</t>
        </is>
      </c>
      <c r="R179" s="24" t="inlineStr">
        <is>
          <t>0.53270990340385</t>
        </is>
      </c>
      <c r="S179" s="24" t="inlineStr">
        <is>
          <t>MEDIUM</t>
        </is>
      </c>
      <c r="T179" s="24" t="inlineStr">
        <is>
          <t>MEDIUM</t>
        </is>
      </c>
      <c r="U179" s="24" t="inlineStr">
        <is>
          <t>0.0</t>
        </is>
      </c>
      <c r="V179" s="24" t="inlineStr">
        <is>
          <t>LOW_RISK</t>
        </is>
      </c>
      <c r="W179" s="24" t="inlineStr">
        <is>
          <t>저위험</t>
        </is>
      </c>
      <c r="X179" s="24" t="inlineStr">
        <is>
          <t>LOW_RISK</t>
        </is>
      </c>
      <c r="Y179" s="24" t="inlineStr">
        <is>
          <t>0.911990788525375</t>
        </is>
      </c>
      <c r="Z179" s="24" t="inlineStr">
        <is>
          <t>HIGH</t>
        </is>
      </c>
      <c r="AA179" s="24" t="inlineStr">
        <is>
          <t>HIGH</t>
        </is>
      </c>
      <c r="AB179" s="24" t="inlineStr">
        <is>
          <t>0.012946139293246964</t>
        </is>
      </c>
      <c r="AC179" s="24" t="inlineStr">
        <is>
          <t>False</t>
        </is>
      </c>
      <c r="AD179" s="24" t="inlineStr">
        <is>
          <t>False</t>
        </is>
      </c>
      <c r="AE179" s="24" t="inlineStr">
        <is>
          <t>valuation_credit_ml_overlay_candidate.csv</t>
        </is>
      </c>
      <c r="AF179" s="24" t="inlineStr">
        <is>
          <t>208개 반도체 reference universe. Valuation Agent가 자체 intake 폴더로 복제해 Peer/ML/대시보드 비교에 사용.</t>
        </is>
      </c>
    </row>
    <row r="180" ht="24" customHeight="1">
      <c r="A180" s="29" t="inlineStr">
        <is>
          <t>106</t>
        </is>
      </c>
      <c r="B180" s="29" t="inlineStr">
        <is>
          <t>해당 없음</t>
        </is>
      </c>
      <c r="C180" s="29" t="inlineStr">
        <is>
          <t>유진테크</t>
        </is>
      </c>
      <c r="D180" s="29" t="inlineStr">
        <is>
          <t>084370</t>
        </is>
      </c>
      <c r="E180" s="29" t="inlineStr">
        <is>
          <t>KOSDAQ</t>
        </is>
      </c>
      <c r="F180" s="29" t="inlineStr">
        <is>
          <t>장비</t>
        </is>
      </c>
      <c r="G180" s="29" t="inlineStr">
        <is>
          <t>장비</t>
        </is>
      </c>
      <c r="H180" s="29" t="inlineStr">
        <is>
          <t>False</t>
        </is>
      </c>
      <c r="I180" s="29" t="inlineStr">
        <is>
          <t>True</t>
        </is>
      </c>
      <c r="J180" s="29" t="inlineStr">
        <is>
          <t>OK</t>
        </is>
      </c>
      <c r="K180" s="29" t="inlineStr">
        <is>
          <t>데이터 사용 가능</t>
        </is>
      </c>
      <c r="L180" s="29" t="inlineStr">
        <is>
          <t>LOW</t>
        </is>
      </c>
      <c r="M180" s="29" t="inlineStr">
        <is>
          <t>LOW</t>
        </is>
      </c>
      <c r="N180" s="29" t="inlineStr">
        <is>
          <t>0.4335999999999999</t>
        </is>
      </c>
      <c r="O180" s="29" t="inlineStr">
        <is>
          <t>FAIR</t>
        </is>
      </c>
      <c r="P180" s="29" t="inlineStr">
        <is>
          <t>FAIR</t>
        </is>
      </c>
      <c r="Q180" s="29" t="inlineStr">
        <is>
          <t>FAIR</t>
        </is>
      </c>
      <c r="R180" s="29" t="inlineStr">
        <is>
          <t>0.7415227894291446</t>
        </is>
      </c>
      <c r="S180" s="29" t="inlineStr">
        <is>
          <t>HIGH</t>
        </is>
      </c>
      <c r="T180" s="29" t="inlineStr">
        <is>
          <t>HIGH</t>
        </is>
      </c>
      <c r="U180" s="29" t="inlineStr">
        <is>
          <t>0.0</t>
        </is>
      </c>
      <c r="V180" s="29" t="inlineStr">
        <is>
          <t>LOW_RISK</t>
        </is>
      </c>
      <c r="W180" s="29" t="inlineStr">
        <is>
          <t>저위험</t>
        </is>
      </c>
      <c r="X180" s="29" t="inlineStr">
        <is>
          <t>LOW_RISK</t>
        </is>
      </c>
      <c r="Y180" s="29" t="inlineStr">
        <is>
          <t>0.972105078189685</t>
        </is>
      </c>
      <c r="Z180" s="29" t="inlineStr">
        <is>
          <t>HIGH</t>
        </is>
      </c>
      <c r="AA180" s="29" t="inlineStr">
        <is>
          <t>HIGH</t>
        </is>
      </c>
      <c r="AB180" s="29" t="inlineStr">
        <is>
          <t>0.06698695126425369</t>
        </is>
      </c>
      <c r="AC180" s="29" t="inlineStr">
        <is>
          <t>False</t>
        </is>
      </c>
      <c r="AD180" s="29" t="inlineStr">
        <is>
          <t>False</t>
        </is>
      </c>
      <c r="AE180" s="29" t="inlineStr">
        <is>
          <t>valuation_credit_ml_overlay_candidate.csv</t>
        </is>
      </c>
      <c r="AF180" s="29" t="inlineStr">
        <is>
          <t>208개 반도체 reference universe. Valuation Agent가 자체 intake 폴더로 복제해 Peer/ML/대시보드 비교에 사용.</t>
        </is>
      </c>
    </row>
    <row r="181" ht="24" customHeight="1">
      <c r="A181" s="24" t="inlineStr">
        <is>
          <t>109</t>
        </is>
      </c>
      <c r="B181" s="24" t="inlineStr">
        <is>
          <t>해당 없음</t>
        </is>
      </c>
      <c r="C181" s="24" t="inlineStr">
        <is>
          <t>제우스</t>
        </is>
      </c>
      <c r="D181" s="24" t="inlineStr">
        <is>
          <t>079370</t>
        </is>
      </c>
      <c r="E181" s="24" t="inlineStr">
        <is>
          <t>KOSDAQ</t>
        </is>
      </c>
      <c r="F181" s="24" t="inlineStr">
        <is>
          <t>장비</t>
        </is>
      </c>
      <c r="G181" s="24" t="inlineStr">
        <is>
          <t>장비</t>
        </is>
      </c>
      <c r="H181" s="24" t="inlineStr">
        <is>
          <t>False</t>
        </is>
      </c>
      <c r="I181" s="24" t="inlineStr">
        <is>
          <t>True</t>
        </is>
      </c>
      <c r="J181" s="24" t="inlineStr">
        <is>
          <t>OK</t>
        </is>
      </c>
      <c r="K181" s="24" t="inlineStr">
        <is>
          <t>데이터 사용 가능</t>
        </is>
      </c>
      <c r="L181" s="24" t="inlineStr">
        <is>
          <t>LOW</t>
        </is>
      </c>
      <c r="M181" s="24" t="inlineStr">
        <is>
          <t>LOW</t>
        </is>
      </c>
      <c r="N181" s="24" t="inlineStr">
        <is>
          <t>0.4258666666666666</t>
        </is>
      </c>
      <c r="O181" s="24" t="inlineStr">
        <is>
          <t>FAIR</t>
        </is>
      </c>
      <c r="P181" s="24" t="inlineStr">
        <is>
          <t>FAIR</t>
        </is>
      </c>
      <c r="Q181" s="24" t="inlineStr">
        <is>
          <t>FAIR</t>
        </is>
      </c>
      <c r="R181" s="24" t="inlineStr">
        <is>
          <t>0.7744454918412472</t>
        </is>
      </c>
      <c r="S181" s="24" t="inlineStr">
        <is>
          <t>HIGH</t>
        </is>
      </c>
      <c r="T181" s="24" t="inlineStr">
        <is>
          <t>HIGH</t>
        </is>
      </c>
      <c r="U181" s="24" t="inlineStr">
        <is>
          <t>0.2142857142857142</t>
        </is>
      </c>
      <c r="V181" s="24" t="inlineStr">
        <is>
          <t>MEDIUM_RISK</t>
        </is>
      </c>
      <c r="W181" s="24" t="inlineStr">
        <is>
          <t>중위험</t>
        </is>
      </c>
      <c r="X181" s="24" t="inlineStr">
        <is>
          <t>MEDIUM_RISK</t>
        </is>
      </c>
      <c r="Y181" s="24" t="inlineStr">
        <is>
          <t>0.7526716293270965</t>
        </is>
      </c>
      <c r="Z181" s="24" t="inlineStr">
        <is>
          <t>HIGH</t>
        </is>
      </c>
      <c r="AA181" s="24" t="inlineStr">
        <is>
          <t>HIGH</t>
        </is>
      </c>
      <c r="AB181" s="24" t="inlineStr">
        <is>
          <t>0.011543006177035572</t>
        </is>
      </c>
      <c r="AC181" s="24" t="inlineStr">
        <is>
          <t>False</t>
        </is>
      </c>
      <c r="AD181" s="24" t="inlineStr">
        <is>
          <t>False</t>
        </is>
      </c>
      <c r="AE181" s="24" t="inlineStr">
        <is>
          <t>valuation_credit_ml_overlay_candidate.csv</t>
        </is>
      </c>
      <c r="AF181" s="24" t="inlineStr">
        <is>
          <t>208개 반도체 reference universe. Valuation Agent가 자체 intake 폴더로 복제해 Peer/ML/대시보드 비교에 사용.</t>
        </is>
      </c>
    </row>
    <row r="182" ht="24" customHeight="1">
      <c r="A182" s="29" t="inlineStr">
        <is>
          <t>83</t>
        </is>
      </c>
      <c r="B182" s="29" t="inlineStr">
        <is>
          <t>해당 없음</t>
        </is>
      </c>
      <c r="C182" s="29" t="inlineStr">
        <is>
          <t>램테크놀러지</t>
        </is>
      </c>
      <c r="D182" s="29" t="inlineStr">
        <is>
          <t>171010</t>
        </is>
      </c>
      <c r="E182" s="29" t="inlineStr">
        <is>
          <t>KOSDAQ</t>
        </is>
      </c>
      <c r="F182" s="29" t="inlineStr">
        <is>
          <t>장비</t>
        </is>
      </c>
      <c r="G182" s="29" t="inlineStr">
        <is>
          <t>장비</t>
        </is>
      </c>
      <c r="H182" s="29" t="inlineStr">
        <is>
          <t>False</t>
        </is>
      </c>
      <c r="I182" s="29" t="inlineStr">
        <is>
          <t>True</t>
        </is>
      </c>
      <c r="J182" s="29" t="inlineStr">
        <is>
          <t>OK</t>
        </is>
      </c>
      <c r="K182" s="29" t="inlineStr">
        <is>
          <t>데이터 사용 가능</t>
        </is>
      </c>
      <c r="L182" s="29" t="inlineStr">
        <is>
          <t>LOW</t>
        </is>
      </c>
      <c r="M182" s="29" t="inlineStr">
        <is>
          <t>LOW</t>
        </is>
      </c>
      <c r="N182" s="29" t="inlineStr">
        <is>
          <t>0.4097333333333334</t>
        </is>
      </c>
      <c r="O182" s="29" t="inlineStr">
        <is>
          <t>EXPENSIVE</t>
        </is>
      </c>
      <c r="P182" s="29" t="inlineStr">
        <is>
          <t>EXPENSIVE</t>
        </is>
      </c>
      <c r="Q182" s="29" t="inlineStr">
        <is>
          <t>FAIR</t>
        </is>
      </c>
      <c r="R182" s="29" t="inlineStr">
        <is>
          <t>0.500591784236833</t>
        </is>
      </c>
      <c r="S182" s="29" t="inlineStr">
        <is>
          <t>MEDIUM</t>
        </is>
      </c>
      <c r="T182" s="29" t="inlineStr">
        <is>
          <t>MEDIUM</t>
        </is>
      </c>
      <c r="U182" s="29" t="inlineStr">
        <is>
          <t>0.6428571428571429</t>
        </is>
      </c>
      <c r="V182" s="29" t="inlineStr">
        <is>
          <t>HIGH_RISK</t>
        </is>
      </c>
      <c r="W182" s="29" t="inlineStr">
        <is>
          <t>고위험</t>
        </is>
      </c>
      <c r="X182" s="29" t="inlineStr">
        <is>
          <t>HIGH_RISK</t>
        </is>
      </c>
      <c r="Y182" s="29" t="inlineStr">
        <is>
          <t>0.7085071659992903</t>
        </is>
      </c>
      <c r="Z182" s="29" t="inlineStr">
        <is>
          <t>HIGH</t>
        </is>
      </c>
      <c r="AA182" s="29" t="inlineStr">
        <is>
          <t>HIGH</t>
        </is>
      </c>
      <c r="AB182" s="29" t="inlineStr">
        <is>
          <t>0.08748635209855961</t>
        </is>
      </c>
      <c r="AC182" s="29" t="inlineStr">
        <is>
          <t>False</t>
        </is>
      </c>
      <c r="AD182" s="29" t="inlineStr">
        <is>
          <t>False</t>
        </is>
      </c>
      <c r="AE182" s="29" t="inlineStr">
        <is>
          <t>valuation_credit_ml_overlay_candidate.csv</t>
        </is>
      </c>
      <c r="AF182" s="29" t="inlineStr">
        <is>
          <t>208개 반도체 reference universe. Valuation Agent가 자체 intake 폴더로 복제해 Peer/ML/대시보드 비교에 사용.</t>
        </is>
      </c>
    </row>
    <row r="183" ht="24" customHeight="1">
      <c r="A183" s="24" t="inlineStr">
        <is>
          <t>108</t>
        </is>
      </c>
      <c r="B183" s="24" t="inlineStr">
        <is>
          <t>해당 없음</t>
        </is>
      </c>
      <c r="C183" s="24" t="inlineStr">
        <is>
          <t>저스템</t>
        </is>
      </c>
      <c r="D183" s="24" t="inlineStr">
        <is>
          <t>417840</t>
        </is>
      </c>
      <c r="E183" s="24" t="inlineStr">
        <is>
          <t>KOSDAQ</t>
        </is>
      </c>
      <c r="F183" s="24" t="inlineStr">
        <is>
          <t>장비</t>
        </is>
      </c>
      <c r="G183" s="24" t="inlineStr">
        <is>
          <t>장비</t>
        </is>
      </c>
      <c r="H183" s="24" t="inlineStr">
        <is>
          <t>False</t>
        </is>
      </c>
      <c r="I183" s="24" t="inlineStr">
        <is>
          <t>True</t>
        </is>
      </c>
      <c r="J183" s="24" t="inlineStr">
        <is>
          <t>OK</t>
        </is>
      </c>
      <c r="K183" s="24" t="inlineStr">
        <is>
          <t>데이터 사용 가능</t>
        </is>
      </c>
      <c r="L183" s="24" t="inlineStr">
        <is>
          <t>LOW</t>
        </is>
      </c>
      <c r="M183" s="24" t="inlineStr">
        <is>
          <t>LOW</t>
        </is>
      </c>
      <c r="N183" s="24" t="inlineStr">
        <is>
          <t>0.4036</t>
        </is>
      </c>
      <c r="O183" s="24" t="inlineStr">
        <is>
          <t>EXPENSIVE</t>
        </is>
      </c>
      <c r="P183" s="24" t="inlineStr">
        <is>
          <t>EXPENSIVE</t>
        </is>
      </c>
      <c r="Q183" s="24" t="inlineStr">
        <is>
          <t>EXPENSIVE</t>
        </is>
      </c>
      <c r="R183" s="24" t="inlineStr">
        <is>
          <t>0.7213257522774291</t>
        </is>
      </c>
      <c r="S183" s="24" t="inlineStr">
        <is>
          <t>HIGH</t>
        </is>
      </c>
      <c r="T183" s="24" t="inlineStr">
        <is>
          <t>HIGH</t>
        </is>
      </c>
      <c r="U183" s="24" t="inlineStr">
        <is>
          <t>0.2857142857142857</t>
        </is>
      </c>
      <c r="V183" s="24" t="inlineStr">
        <is>
          <t>MEDIUM_RISK</t>
        </is>
      </c>
      <c r="W183" s="24" t="inlineStr">
        <is>
          <t>중위험</t>
        </is>
      </c>
      <c r="X183" s="24" t="inlineStr">
        <is>
          <t>MEDIUM_RISK</t>
        </is>
      </c>
      <c r="Y183" s="24" t="inlineStr">
        <is>
          <t>0.6200895030304687</t>
        </is>
      </c>
      <c r="Z183" s="24" t="inlineStr">
        <is>
          <t>MEDIUM</t>
        </is>
      </c>
      <c r="AA183" s="24" t="inlineStr">
        <is>
          <t>MEDIUM</t>
        </is>
      </c>
      <c r="AB183" s="24" t="inlineStr">
        <is>
          <t>0.06530461326030516</t>
        </is>
      </c>
      <c r="AC183" s="24" t="inlineStr">
        <is>
          <t>False</t>
        </is>
      </c>
      <c r="AD183" s="24" t="inlineStr">
        <is>
          <t>False</t>
        </is>
      </c>
      <c r="AE183" s="24" t="inlineStr">
        <is>
          <t>valuation_credit_ml_overlay_candidate.csv</t>
        </is>
      </c>
      <c r="AF183" s="24" t="inlineStr">
        <is>
          <t>208개 반도체 reference universe. Valuation Agent가 자체 intake 폴더로 복제해 Peer/ML/대시보드 비교에 사용.</t>
        </is>
      </c>
    </row>
    <row r="184" ht="24" customHeight="1">
      <c r="A184" s="29" t="inlineStr">
        <is>
          <t>111</t>
        </is>
      </c>
      <c r="B184" s="29" t="inlineStr">
        <is>
          <t>해당 없음</t>
        </is>
      </c>
      <c r="C184" s="29" t="inlineStr">
        <is>
          <t>지아이에스</t>
        </is>
      </c>
      <c r="D184" s="29" t="inlineStr">
        <is>
          <t>306620</t>
        </is>
      </c>
      <c r="E184" s="29" t="inlineStr">
        <is>
          <t>KOSDAQ</t>
        </is>
      </c>
      <c r="F184" s="29" t="inlineStr">
        <is>
          <t>장비</t>
        </is>
      </c>
      <c r="G184" s="29" t="inlineStr">
        <is>
          <t>장비</t>
        </is>
      </c>
      <c r="H184" s="29" t="inlineStr">
        <is>
          <t>False</t>
        </is>
      </c>
      <c r="I184" s="29" t="inlineStr">
        <is>
          <t>True</t>
        </is>
      </c>
      <c r="J184" s="29" t="inlineStr">
        <is>
          <t>OK</t>
        </is>
      </c>
      <c r="K184" s="29" t="inlineStr">
        <is>
          <t>데이터 사용 가능</t>
        </is>
      </c>
      <c r="L184" s="29" t="inlineStr">
        <is>
          <t>LOW</t>
        </is>
      </c>
      <c r="M184" s="29" t="inlineStr">
        <is>
          <t>LOW</t>
        </is>
      </c>
      <c r="N184" s="29" t="inlineStr">
        <is>
          <t>0.4014666666666666</t>
        </is>
      </c>
      <c r="O184" s="29" t="inlineStr">
        <is>
          <t>EXPENSIVE</t>
        </is>
      </c>
      <c r="P184" s="29" t="inlineStr">
        <is>
          <t>EXPENSIVE</t>
        </is>
      </c>
      <c r="Q184" s="29" t="inlineStr">
        <is>
          <t>EXPENSIVE</t>
        </is>
      </c>
      <c r="R184" s="29" t="inlineStr">
        <is>
          <t>0.745903271306321</t>
        </is>
      </c>
      <c r="S184" s="29" t="inlineStr">
        <is>
          <t>HIGH</t>
        </is>
      </c>
      <c r="T184" s="29" t="inlineStr">
        <is>
          <t>HIGH</t>
        </is>
      </c>
      <c r="U184" s="29" t="inlineStr">
        <is>
          <t>0.5714285714285714</t>
        </is>
      </c>
      <c r="V184" s="29" t="inlineStr">
        <is>
          <t>HIGH_RISK</t>
        </is>
      </c>
      <c r="W184" s="29" t="inlineStr">
        <is>
          <t>고위험</t>
        </is>
      </c>
      <c r="X184" s="29" t="inlineStr">
        <is>
          <t>HIGH_RISK</t>
        </is>
      </c>
      <c r="Y184" s="29" t="inlineStr">
        <is>
          <t>0.7985810664806972</t>
        </is>
      </c>
      <c r="Z184" s="29" t="inlineStr">
        <is>
          <t>HIGH</t>
        </is>
      </c>
      <c r="AA184" s="29" t="inlineStr">
        <is>
          <t>HIGH</t>
        </is>
      </c>
      <c r="AB184" s="29" t="inlineStr">
        <is>
          <t>0.10027107402555603</t>
        </is>
      </c>
      <c r="AC184" s="29" t="inlineStr">
        <is>
          <t>False</t>
        </is>
      </c>
      <c r="AD184" s="29" t="inlineStr">
        <is>
          <t>False</t>
        </is>
      </c>
      <c r="AE184" s="29" t="inlineStr">
        <is>
          <t>valuation_credit_ml_overlay_candidate.csv</t>
        </is>
      </c>
      <c r="AF184" s="29" t="inlineStr">
        <is>
          <t>208개 반도체 reference universe. Valuation Agent가 자체 intake 폴더로 복제해 Peer/ML/대시보드 비교에 사용.</t>
        </is>
      </c>
    </row>
    <row r="185" ht="24" customHeight="1">
      <c r="A185" s="24" t="inlineStr">
        <is>
          <t>98</t>
        </is>
      </c>
      <c r="B185" s="24" t="inlineStr">
        <is>
          <t>해당 없음</t>
        </is>
      </c>
      <c r="C185" s="24" t="inlineStr">
        <is>
          <t>에프에스티</t>
        </is>
      </c>
      <c r="D185" s="24" t="inlineStr">
        <is>
          <t>036810</t>
        </is>
      </c>
      <c r="E185" s="24" t="inlineStr">
        <is>
          <t>KOSDAQ</t>
        </is>
      </c>
      <c r="F185" s="24" t="inlineStr">
        <is>
          <t>장비</t>
        </is>
      </c>
      <c r="G185" s="24" t="inlineStr">
        <is>
          <t>장비</t>
        </is>
      </c>
      <c r="H185" s="24" t="inlineStr">
        <is>
          <t>False</t>
        </is>
      </c>
      <c r="I185" s="24" t="inlineStr">
        <is>
          <t>True</t>
        </is>
      </c>
      <c r="J185" s="24" t="inlineStr">
        <is>
          <t>OK</t>
        </is>
      </c>
      <c r="K185" s="24" t="inlineStr">
        <is>
          <t>데이터 사용 가능</t>
        </is>
      </c>
      <c r="L185" s="24" t="inlineStr">
        <is>
          <t>LOW</t>
        </is>
      </c>
      <c r="M185" s="24" t="inlineStr">
        <is>
          <t>LOW</t>
        </is>
      </c>
      <c r="N185" s="24" t="inlineStr">
        <is>
          <t>0.3826666666666666</t>
        </is>
      </c>
      <c r="O185" s="24" t="inlineStr">
        <is>
          <t>EXPENSIVE</t>
        </is>
      </c>
      <c r="P185" s="24" t="inlineStr">
        <is>
          <t>EXPENSIVE</t>
        </is>
      </c>
      <c r="Q185" s="24" t="inlineStr">
        <is>
          <t>EXPENSIVE</t>
        </is>
      </c>
      <c r="R185" s="24" t="inlineStr">
        <is>
          <t>0.8925631629286743</t>
        </is>
      </c>
      <c r="S185" s="24" t="inlineStr">
        <is>
          <t>HIGH</t>
        </is>
      </c>
      <c r="T185" s="24" t="inlineStr">
        <is>
          <t>HIGH</t>
        </is>
      </c>
      <c r="U185" s="24" t="inlineStr">
        <is>
          <t>0.5</t>
        </is>
      </c>
      <c r="V185" s="24" t="inlineStr">
        <is>
          <t>HIGH_RISK</t>
        </is>
      </c>
      <c r="W185" s="24" t="inlineStr">
        <is>
          <t>고위험</t>
        </is>
      </c>
      <c r="X185" s="24" t="inlineStr">
        <is>
          <t>HIGH_RISK</t>
        </is>
      </c>
      <c r="Y185" s="24" t="inlineStr">
        <is>
          <t>0.6842794288306946</t>
        </is>
      </c>
      <c r="Z185" s="24" t="inlineStr">
        <is>
          <t>MEDIUM</t>
        </is>
      </c>
      <c r="AA185" s="24" t="inlineStr">
        <is>
          <t>MEDIUM</t>
        </is>
      </c>
      <c r="AB185" s="24" t="inlineStr">
        <is>
          <t>0.03870825972114044</t>
        </is>
      </c>
      <c r="AC185" s="24" t="inlineStr">
        <is>
          <t>False</t>
        </is>
      </c>
      <c r="AD185" s="24" t="inlineStr">
        <is>
          <t>False</t>
        </is>
      </c>
      <c r="AE185" s="24" t="inlineStr">
        <is>
          <t>valuation_credit_ml_overlay_candidate.csv</t>
        </is>
      </c>
      <c r="AF185" s="24" t="inlineStr">
        <is>
          <t>208개 반도체 reference universe. Valuation Agent가 자체 intake 폴더로 복제해 Peer/ML/대시보드 비교에 사용.</t>
        </is>
      </c>
    </row>
    <row r="186" ht="24" customHeight="1">
      <c r="A186" s="29" t="inlineStr">
        <is>
          <t>78</t>
        </is>
      </c>
      <c r="B186" s="29" t="inlineStr">
        <is>
          <t>해당 없음</t>
        </is>
      </c>
      <c r="C186" s="29" t="inlineStr">
        <is>
          <t>나노신소재</t>
        </is>
      </c>
      <c r="D186" s="29" t="inlineStr">
        <is>
          <t>121600</t>
        </is>
      </c>
      <c r="E186" s="29" t="inlineStr">
        <is>
          <t>KOSDAQ</t>
        </is>
      </c>
      <c r="F186" s="29" t="inlineStr">
        <is>
          <t>장비</t>
        </is>
      </c>
      <c r="G186" s="29" t="inlineStr">
        <is>
          <t>장비</t>
        </is>
      </c>
      <c r="H186" s="29" t="inlineStr">
        <is>
          <t>False</t>
        </is>
      </c>
      <c r="I186" s="29" t="inlineStr">
        <is>
          <t>True</t>
        </is>
      </c>
      <c r="J186" s="29" t="inlineStr">
        <is>
          <t>OK</t>
        </is>
      </c>
      <c r="K186" s="29" t="inlineStr">
        <is>
          <t>데이터 사용 가능</t>
        </is>
      </c>
      <c r="L186" s="29" t="inlineStr">
        <is>
          <t>LOW</t>
        </is>
      </c>
      <c r="M186" s="29" t="inlineStr">
        <is>
          <t>LOW</t>
        </is>
      </c>
      <c r="N186" s="29" t="inlineStr">
        <is>
          <t>0.3822666666666666</t>
        </is>
      </c>
      <c r="O186" s="29" t="inlineStr">
        <is>
          <t>EXPENSIVE</t>
        </is>
      </c>
      <c r="P186" s="29" t="inlineStr">
        <is>
          <t>EXPENSIVE</t>
        </is>
      </c>
      <c r="Q186" s="29" t="inlineStr">
        <is>
          <t>EXPENSIVE</t>
        </is>
      </c>
      <c r="R186" s="29" t="inlineStr">
        <is>
          <t>0.7555342246021253</t>
        </is>
      </c>
      <c r="S186" s="29" t="inlineStr">
        <is>
          <t>HIGH</t>
        </is>
      </c>
      <c r="T186" s="29" t="inlineStr">
        <is>
          <t>HIGH</t>
        </is>
      </c>
      <c r="U186" s="29" t="inlineStr">
        <is>
          <t>0.0</t>
        </is>
      </c>
      <c r="V186" s="29" t="inlineStr">
        <is>
          <t>LOW_RISK</t>
        </is>
      </c>
      <c r="W186" s="29" t="inlineStr">
        <is>
          <t>저위험</t>
        </is>
      </c>
      <c r="X186" s="29" t="inlineStr">
        <is>
          <t>LOW_RISK</t>
        </is>
      </c>
      <c r="Y186" s="29" t="inlineStr">
        <is>
          <t>0.6225133085657061</t>
        </is>
      </c>
      <c r="Z186" s="29" t="inlineStr">
        <is>
          <t>MEDIUM</t>
        </is>
      </c>
      <c r="AA186" s="29" t="inlineStr">
        <is>
          <t>MEDIUM</t>
        </is>
      </c>
      <c r="AB186" s="29" t="inlineStr">
        <is>
          <t>0.006422827813209868</t>
        </is>
      </c>
      <c r="AC186" s="29" t="inlineStr">
        <is>
          <t>False</t>
        </is>
      </c>
      <c r="AD186" s="29" t="inlineStr">
        <is>
          <t>False</t>
        </is>
      </c>
      <c r="AE186" s="29" t="inlineStr">
        <is>
          <t>valuation_credit_ml_overlay_candidate.csv</t>
        </is>
      </c>
      <c r="AF186" s="29" t="inlineStr">
        <is>
          <t>208개 반도체 reference universe. Valuation Agent가 자체 intake 폴더로 복제해 Peer/ML/대시보드 비교에 사용.</t>
        </is>
      </c>
    </row>
    <row r="187" ht="24" customHeight="1">
      <c r="A187" s="24" t="inlineStr">
        <is>
          <t>93</t>
        </is>
      </c>
      <c r="B187" s="24" t="inlineStr">
        <is>
          <t>해당 없음</t>
        </is>
      </c>
      <c r="C187" s="24" t="inlineStr">
        <is>
          <t>씨엠티엑스</t>
        </is>
      </c>
      <c r="D187" s="24" t="inlineStr">
        <is>
          <t>388210</t>
        </is>
      </c>
      <c r="E187" s="24" t="inlineStr">
        <is>
          <t>KOSDAQ</t>
        </is>
      </c>
      <c r="F187" s="24" t="inlineStr">
        <is>
          <t>장비</t>
        </is>
      </c>
      <c r="G187" s="24" t="inlineStr">
        <is>
          <t>장비</t>
        </is>
      </c>
      <c r="H187" s="24" t="inlineStr">
        <is>
          <t>False</t>
        </is>
      </c>
      <c r="I187" s="24" t="inlineStr">
        <is>
          <t>True</t>
        </is>
      </c>
      <c r="J187" s="24" t="inlineStr">
        <is>
          <t>OK_LIMITED_HISTORY_OR_GROWTH_NA</t>
        </is>
      </c>
      <c r="K187" s="24" t="inlineStr">
        <is>
          <t>데이터 사용 가능</t>
        </is>
      </c>
      <c r="L187" s="24" t="inlineStr">
        <is>
          <t>LOW</t>
        </is>
      </c>
      <c r="M187" s="24" t="inlineStr">
        <is>
          <t>LOW</t>
        </is>
      </c>
      <c r="N187" s="24" t="inlineStr">
        <is>
          <t>0.3652666666666667</t>
        </is>
      </c>
      <c r="O187" s="24" t="inlineStr">
        <is>
          <t>EXPENSIVE</t>
        </is>
      </c>
      <c r="P187" s="24" t="inlineStr">
        <is>
          <t>EXPENSIVE</t>
        </is>
      </c>
      <c r="Q187" s="24" t="inlineStr">
        <is>
          <t>EXPENSIVE</t>
        </is>
      </c>
      <c r="R187" s="24" t="inlineStr">
        <is>
          <t>0.7157707609420977</t>
        </is>
      </c>
      <c r="S187" s="24" t="inlineStr">
        <is>
          <t>HIGH</t>
        </is>
      </c>
      <c r="T187" s="24" t="inlineStr">
        <is>
          <t>HIGH</t>
        </is>
      </c>
      <c r="U187" s="24" t="inlineStr">
        <is>
          <t>0.2142857142857142</t>
        </is>
      </c>
      <c r="V187" s="24" t="inlineStr">
        <is>
          <t>MEDIUM_RISK</t>
        </is>
      </c>
      <c r="W187" s="24" t="inlineStr">
        <is>
          <t>중위험</t>
        </is>
      </c>
      <c r="X187" s="24" t="inlineStr">
        <is>
          <t>MEDIUM_RISK</t>
        </is>
      </c>
      <c r="Y187" s="24" t="inlineStr">
        <is>
          <t>0.6836967884951827</t>
        </is>
      </c>
      <c r="Z187" s="24" t="inlineStr">
        <is>
          <t>MEDIUM</t>
        </is>
      </c>
      <c r="AA187" s="24" t="inlineStr">
        <is>
          <t>MEDIUM</t>
        </is>
      </c>
      <c r="AB187" s="24" t="inlineStr">
        <is>
          <t>0.10495929656754996</t>
        </is>
      </c>
      <c r="AC187" s="24" t="inlineStr">
        <is>
          <t>False</t>
        </is>
      </c>
      <c r="AD187" s="24" t="inlineStr">
        <is>
          <t>True</t>
        </is>
      </c>
      <c r="AE187" s="24" t="inlineStr">
        <is>
          <t>valuation_credit_ml_overlay_candidate.csv</t>
        </is>
      </c>
      <c r="AF187" s="24" t="inlineStr">
        <is>
          <t>208개 반도체 reference universe. Valuation Agent가 자체 intake 폴더로 복제해 Peer/ML/대시보드 비교에 사용.</t>
        </is>
      </c>
    </row>
    <row r="188" ht="24" customHeight="1">
      <c r="A188" s="29" t="inlineStr">
        <is>
          <t>94</t>
        </is>
      </c>
      <c r="B188" s="29" t="inlineStr">
        <is>
          <t>해당 없음</t>
        </is>
      </c>
      <c r="C188" s="29" t="inlineStr">
        <is>
          <t>아스플로</t>
        </is>
      </c>
      <c r="D188" s="29" t="inlineStr">
        <is>
          <t>159010</t>
        </is>
      </c>
      <c r="E188" s="29" t="inlineStr">
        <is>
          <t>KOSDAQ</t>
        </is>
      </c>
      <c r="F188" s="29" t="inlineStr">
        <is>
          <t>장비</t>
        </is>
      </c>
      <c r="G188" s="29" t="inlineStr">
        <is>
          <t>장비</t>
        </is>
      </c>
      <c r="H188" s="29" t="inlineStr">
        <is>
          <t>False</t>
        </is>
      </c>
      <c r="I188" s="29" t="inlineStr">
        <is>
          <t>True</t>
        </is>
      </c>
      <c r="J188" s="29" t="inlineStr">
        <is>
          <t>OK</t>
        </is>
      </c>
      <c r="K188" s="29" t="inlineStr">
        <is>
          <t>데이터 사용 가능</t>
        </is>
      </c>
      <c r="L188" s="29" t="inlineStr">
        <is>
          <t>LOW</t>
        </is>
      </c>
      <c r="M188" s="29" t="inlineStr">
        <is>
          <t>LOW</t>
        </is>
      </c>
      <c r="N188" s="29" t="inlineStr">
        <is>
          <t>0.3025333333333333</t>
        </is>
      </c>
      <c r="O188" s="29" t="inlineStr">
        <is>
          <t>EXPENSIVE</t>
        </is>
      </c>
      <c r="P188" s="29" t="inlineStr">
        <is>
          <t>EXPENSIVE</t>
        </is>
      </c>
      <c r="Q188" s="29" t="inlineStr">
        <is>
          <t>EXPENSIVE</t>
        </is>
      </c>
      <c r="R188" s="29" t="inlineStr">
        <is>
          <t>0.8970141905473263</t>
        </is>
      </c>
      <c r="S188" s="29" t="inlineStr">
        <is>
          <t>HIGH</t>
        </is>
      </c>
      <c r="T188" s="29" t="inlineStr">
        <is>
          <t>HIGH</t>
        </is>
      </c>
      <c r="U188" s="29" t="inlineStr">
        <is>
          <t>0.5714285714285714</t>
        </is>
      </c>
      <c r="V188" s="29" t="inlineStr">
        <is>
          <t>HIGH_RISK</t>
        </is>
      </c>
      <c r="W188" s="29" t="inlineStr">
        <is>
          <t>고위험</t>
        </is>
      </c>
      <c r="X188" s="29" t="inlineStr">
        <is>
          <t>HIGH_RISK</t>
        </is>
      </c>
      <c r="Y188" s="29" t="inlineStr">
        <is>
          <t>0.9808254047374049</t>
        </is>
      </c>
      <c r="Z188" s="29" t="inlineStr">
        <is>
          <t>HIGH</t>
        </is>
      </c>
      <c r="AA188" s="29" t="inlineStr">
        <is>
          <t>HIGH</t>
        </is>
      </c>
      <c r="AB188" s="29" t="inlineStr">
        <is>
          <t>0.04621877213272216</t>
        </is>
      </c>
      <c r="AC188" s="29" t="inlineStr">
        <is>
          <t>False</t>
        </is>
      </c>
      <c r="AD188" s="29" t="inlineStr">
        <is>
          <t>False</t>
        </is>
      </c>
      <c r="AE188" s="29" t="inlineStr">
        <is>
          <t>valuation_credit_ml_overlay_candidate.csv</t>
        </is>
      </c>
      <c r="AF188" s="29" t="inlineStr">
        <is>
          <t>208개 반도체 reference universe. Valuation Agent가 자체 intake 폴더로 복제해 Peer/ML/대시보드 비교에 사용.</t>
        </is>
      </c>
    </row>
    <row r="189" ht="24" customHeight="1">
      <c r="A189" s="24" t="inlineStr">
        <is>
          <t>101</t>
        </is>
      </c>
      <c r="B189" s="24" t="inlineStr">
        <is>
          <t>해당 없음</t>
        </is>
      </c>
      <c r="C189" s="24" t="inlineStr">
        <is>
          <t>오로스테크놀로지</t>
        </is>
      </c>
      <c r="D189" s="24" t="inlineStr">
        <is>
          <t>322310</t>
        </is>
      </c>
      <c r="E189" s="24" t="inlineStr">
        <is>
          <t>KOSDAQ</t>
        </is>
      </c>
      <c r="F189" s="24" t="inlineStr">
        <is>
          <t>장비</t>
        </is>
      </c>
      <c r="G189" s="24" t="inlineStr">
        <is>
          <t>장비</t>
        </is>
      </c>
      <c r="H189" s="24" t="inlineStr">
        <is>
          <t>False</t>
        </is>
      </c>
      <c r="I189" s="24" t="inlineStr">
        <is>
          <t>True</t>
        </is>
      </c>
      <c r="J189" s="24" t="inlineStr">
        <is>
          <t>OK</t>
        </is>
      </c>
      <c r="K189" s="24" t="inlineStr">
        <is>
          <t>데이터 사용 가능</t>
        </is>
      </c>
      <c r="L189" s="24" t="inlineStr">
        <is>
          <t>LOW</t>
        </is>
      </c>
      <c r="M189" s="24" t="inlineStr">
        <is>
          <t>LOW</t>
        </is>
      </c>
      <c r="N189" s="24" t="inlineStr">
        <is>
          <t>0.2969333333333333</t>
        </is>
      </c>
      <c r="O189" s="24" t="inlineStr">
        <is>
          <t>EXPENSIVE</t>
        </is>
      </c>
      <c r="P189" s="24" t="inlineStr">
        <is>
          <t>EXPENSIVE</t>
        </is>
      </c>
      <c r="Q189" s="24" t="inlineStr">
        <is>
          <t>EXPENSIVE</t>
        </is>
      </c>
      <c r="R189" s="24" t="inlineStr">
        <is>
          <t>0.9263479879516093</t>
        </is>
      </c>
      <c r="S189" s="24" t="inlineStr">
        <is>
          <t>HIGH</t>
        </is>
      </c>
      <c r="T189" s="24" t="inlineStr">
        <is>
          <t>HIGH</t>
        </is>
      </c>
      <c r="U189" s="24" t="inlineStr">
        <is>
          <t>0.2857142857142857</t>
        </is>
      </c>
      <c r="V189" s="24" t="inlineStr">
        <is>
          <t>MEDIUM_RISK</t>
        </is>
      </c>
      <c r="W189" s="24" t="inlineStr">
        <is>
          <t>중위험</t>
        </is>
      </c>
      <c r="X189" s="24" t="inlineStr">
        <is>
          <t>HIGH_RISK</t>
        </is>
      </c>
      <c r="Y189" s="24" t="inlineStr">
        <is>
          <t>0.5823799649469713</t>
        </is>
      </c>
      <c r="Z189" s="24" t="inlineStr">
        <is>
          <t>MEDIUM</t>
        </is>
      </c>
      <c r="AA189" s="24" t="inlineStr">
        <is>
          <t>MEDIUM</t>
        </is>
      </c>
      <c r="AB189" s="24" t="inlineStr">
        <is>
          <t>0.025687830037607388</t>
        </is>
      </c>
      <c r="AC189" s="24" t="inlineStr">
        <is>
          <t>False</t>
        </is>
      </c>
      <c r="AD189" s="24" t="inlineStr">
        <is>
          <t>False</t>
        </is>
      </c>
      <c r="AE189" s="24" t="inlineStr">
        <is>
          <t>valuation_credit_ml_overlay_candidate.csv</t>
        </is>
      </c>
      <c r="AF189" s="24" t="inlineStr">
        <is>
          <t>208개 반도체 reference universe. Valuation Agent가 자체 intake 폴더로 복제해 Peer/ML/대시보드 비교에 사용.</t>
        </is>
      </c>
    </row>
    <row r="190" ht="24" customHeight="1">
      <c r="A190" s="29" t="inlineStr">
        <is>
          <t>84</t>
        </is>
      </c>
      <c r="B190" s="29" t="inlineStr">
        <is>
          <t>해당 없음</t>
        </is>
      </c>
      <c r="C190" s="29" t="inlineStr">
        <is>
          <t>러셀</t>
        </is>
      </c>
      <c r="D190" s="29" t="inlineStr">
        <is>
          <t>217500</t>
        </is>
      </c>
      <c r="E190" s="29" t="inlineStr">
        <is>
          <t>KOSDAQ</t>
        </is>
      </c>
      <c r="F190" s="29" t="inlineStr">
        <is>
          <t>장비</t>
        </is>
      </c>
      <c r="G190" s="29" t="inlineStr">
        <is>
          <t>장비</t>
        </is>
      </c>
      <c r="H190" s="29" t="inlineStr">
        <is>
          <t>False</t>
        </is>
      </c>
      <c r="I190" s="29" t="inlineStr">
        <is>
          <t>True</t>
        </is>
      </c>
      <c r="J190" s="29" t="inlineStr">
        <is>
          <t>OK</t>
        </is>
      </c>
      <c r="K190" s="29" t="inlineStr">
        <is>
          <t>데이터 사용 가능</t>
        </is>
      </c>
      <c r="L190" s="29" t="inlineStr">
        <is>
          <t>LOW</t>
        </is>
      </c>
      <c r="M190" s="29" t="inlineStr">
        <is>
          <t>LOW</t>
        </is>
      </c>
      <c r="N190" s="29" t="inlineStr">
        <is>
          <t>0.2889333333333334</t>
        </is>
      </c>
      <c r="O190" s="29" t="inlineStr">
        <is>
          <t>EXPENSIVE</t>
        </is>
      </c>
      <c r="P190" s="29" t="inlineStr">
        <is>
          <t>EXPENSIVE</t>
        </is>
      </c>
      <c r="Q190" s="29" t="inlineStr">
        <is>
          <t>EXPENSIVE</t>
        </is>
      </c>
      <c r="R190" s="29" t="inlineStr">
        <is>
          <t>0.873177337125051</t>
        </is>
      </c>
      <c r="S190" s="29" t="inlineStr">
        <is>
          <t>HIGH</t>
        </is>
      </c>
      <c r="T190" s="29" t="inlineStr">
        <is>
          <t>HIGH</t>
        </is>
      </c>
      <c r="U190" s="29" t="inlineStr">
        <is>
          <t>0.5714285714285714</t>
        </is>
      </c>
      <c r="V190" s="29" t="inlineStr">
        <is>
          <t>HIGH_RISK</t>
        </is>
      </c>
      <c r="W190" s="29" t="inlineStr">
        <is>
          <t>고위험</t>
        </is>
      </c>
      <c r="X190" s="29" t="inlineStr">
        <is>
          <t>HIGH_RISK</t>
        </is>
      </c>
      <c r="Y190" s="29" t="inlineStr">
        <is>
          <t>0.9431199578760465</t>
        </is>
      </c>
      <c r="Z190" s="29" t="inlineStr">
        <is>
          <t>HIGH</t>
        </is>
      </c>
      <c r="AA190" s="29" t="inlineStr">
        <is>
          <t>HIGH</t>
        </is>
      </c>
      <c r="AB190" s="29" t="inlineStr">
        <is>
          <t>0.17682420550247213</t>
        </is>
      </c>
      <c r="AC190" s="29" t="inlineStr">
        <is>
          <t>False</t>
        </is>
      </c>
      <c r="AD190" s="29" t="inlineStr">
        <is>
          <t>False</t>
        </is>
      </c>
      <c r="AE190" s="29" t="inlineStr">
        <is>
          <t>valuation_credit_ml_overlay_candidate.csv</t>
        </is>
      </c>
      <c r="AF190" s="29" t="inlineStr">
        <is>
          <t>208개 반도체 reference universe. Valuation Agent가 자체 intake 폴더로 복제해 Peer/ML/대시보드 비교에 사용.</t>
        </is>
      </c>
    </row>
    <row r="191" ht="24" customHeight="1">
      <c r="A191" s="24" t="inlineStr">
        <is>
          <t>86</t>
        </is>
      </c>
      <c r="B191" s="24" t="inlineStr">
        <is>
          <t>해당 없음</t>
        </is>
      </c>
      <c r="C191" s="24" t="inlineStr">
        <is>
          <t>미래컴퍼니</t>
        </is>
      </c>
      <c r="D191" s="24" t="inlineStr">
        <is>
          <t>049950</t>
        </is>
      </c>
      <c r="E191" s="24" t="inlineStr">
        <is>
          <t>KOSDAQ</t>
        </is>
      </c>
      <c r="F191" s="24" t="inlineStr">
        <is>
          <t>장비</t>
        </is>
      </c>
      <c r="G191" s="24" t="inlineStr">
        <is>
          <t>장비</t>
        </is>
      </c>
      <c r="H191" s="24" t="inlineStr">
        <is>
          <t>False</t>
        </is>
      </c>
      <c r="I191" s="24" t="inlineStr">
        <is>
          <t>True</t>
        </is>
      </c>
      <c r="J191" s="24" t="inlineStr">
        <is>
          <t>OK</t>
        </is>
      </c>
      <c r="K191" s="24" t="inlineStr">
        <is>
          <t>데이터 사용 가능</t>
        </is>
      </c>
      <c r="L191" s="24" t="inlineStr">
        <is>
          <t>LOW</t>
        </is>
      </c>
      <c r="M191" s="24" t="inlineStr">
        <is>
          <t>LOW</t>
        </is>
      </c>
      <c r="N191" s="24" t="inlineStr">
        <is>
          <t>0.2874666666666666</t>
        </is>
      </c>
      <c r="O191" s="24" t="inlineStr">
        <is>
          <t>EXPENSIVE</t>
        </is>
      </c>
      <c r="P191" s="24" t="inlineStr">
        <is>
          <t>EXPENSIVE</t>
        </is>
      </c>
      <c r="Q191" s="24" t="inlineStr">
        <is>
          <t>EXPENSIVE</t>
        </is>
      </c>
      <c r="R191" s="24" t="inlineStr">
        <is>
          <t>0.8354805452058427</t>
        </is>
      </c>
      <c r="S191" s="24" t="inlineStr">
        <is>
          <t>HIGH</t>
        </is>
      </c>
      <c r="T191" s="24" t="inlineStr">
        <is>
          <t>HIGH</t>
        </is>
      </c>
      <c r="U191" s="24" t="inlineStr">
        <is>
          <t>0.4285714285714285</t>
        </is>
      </c>
      <c r="V191" s="24" t="inlineStr">
        <is>
          <t>HIGH_RISK</t>
        </is>
      </c>
      <c r="W191" s="24" t="inlineStr">
        <is>
          <t>고위험</t>
        </is>
      </c>
      <c r="X191" s="24" t="inlineStr">
        <is>
          <t>HIGH_RISK</t>
        </is>
      </c>
      <c r="Y191" s="24" t="inlineStr">
        <is>
          <t>0.8989374267322742</t>
        </is>
      </c>
      <c r="Z191" s="24" t="inlineStr">
        <is>
          <t>HIGH</t>
        </is>
      </c>
      <c r="AA191" s="24" t="inlineStr">
        <is>
          <t>HIGH</t>
        </is>
      </c>
      <c r="AB191" s="24" t="inlineStr">
        <is>
          <t>0.23454395430777328</t>
        </is>
      </c>
      <c r="AC191" s="24" t="inlineStr">
        <is>
          <t>True</t>
        </is>
      </c>
      <c r="AD191" s="24" t="inlineStr">
        <is>
          <t>True</t>
        </is>
      </c>
      <c r="AE191" s="24" t="inlineStr">
        <is>
          <t>valuation_credit_ml_overlay_candidate.csv</t>
        </is>
      </c>
      <c r="AF191" s="24" t="inlineStr">
        <is>
          <t>208개 반도체 reference universe. Valuation Agent가 자체 intake 폴더로 복제해 Peer/ML/대시보드 비교에 사용.</t>
        </is>
      </c>
    </row>
    <row r="192" ht="24" customHeight="1">
      <c r="A192" s="29" t="inlineStr">
        <is>
          <t>100</t>
        </is>
      </c>
      <c r="B192" s="29" t="inlineStr">
        <is>
          <t>해당 없음</t>
        </is>
      </c>
      <c r="C192" s="29" t="inlineStr">
        <is>
          <t>예스티</t>
        </is>
      </c>
      <c r="D192" s="29" t="inlineStr">
        <is>
          <t>122640</t>
        </is>
      </c>
      <c r="E192" s="29" t="inlineStr">
        <is>
          <t>KOSDAQ</t>
        </is>
      </c>
      <c r="F192" s="29" t="inlineStr">
        <is>
          <t>장비</t>
        </is>
      </c>
      <c r="G192" s="29" t="inlineStr">
        <is>
          <t>장비</t>
        </is>
      </c>
      <c r="H192" s="29" t="inlineStr">
        <is>
          <t>False</t>
        </is>
      </c>
      <c r="I192" s="29" t="inlineStr">
        <is>
          <t>True</t>
        </is>
      </c>
      <c r="J192" s="29" t="inlineStr">
        <is>
          <t>OK</t>
        </is>
      </c>
      <c r="K192" s="29" t="inlineStr">
        <is>
          <t>데이터 사용 가능</t>
        </is>
      </c>
      <c r="L192" s="29" t="inlineStr">
        <is>
          <t>LOW</t>
        </is>
      </c>
      <c r="M192" s="29" t="inlineStr">
        <is>
          <t>LOW</t>
        </is>
      </c>
      <c r="N192" s="29" t="inlineStr">
        <is>
          <t>0.2778666666666666</t>
        </is>
      </c>
      <c r="O192" s="29" t="inlineStr">
        <is>
          <t>EXPENSIVE</t>
        </is>
      </c>
      <c r="P192" s="29" t="inlineStr">
        <is>
          <t>EXPENSIVE</t>
        </is>
      </c>
      <c r="Q192" s="29" t="inlineStr">
        <is>
          <t>EXPENSIVE</t>
        </is>
      </c>
      <c r="R192" s="29" t="inlineStr">
        <is>
          <t>0.8070752756860592</t>
        </is>
      </c>
      <c r="S192" s="29" t="inlineStr">
        <is>
          <t>HIGH</t>
        </is>
      </c>
      <c r="T192" s="29" t="inlineStr">
        <is>
          <t>HIGH</t>
        </is>
      </c>
      <c r="U192" s="29" t="inlineStr">
        <is>
          <t>0.2142857142857142</t>
        </is>
      </c>
      <c r="V192" s="29" t="inlineStr">
        <is>
          <t>MEDIUM_RISK</t>
        </is>
      </c>
      <c r="W192" s="29" t="inlineStr">
        <is>
          <t>중위험</t>
        </is>
      </c>
      <c r="X192" s="29" t="inlineStr">
        <is>
          <t>MEDIUM_RISK</t>
        </is>
      </c>
      <c r="Y192" s="29" t="inlineStr">
        <is>
          <t>0.6435379731563315</t>
        </is>
      </c>
      <c r="Z192" s="29" t="inlineStr">
        <is>
          <t>MEDIUM</t>
        </is>
      </c>
      <c r="AA192" s="29" t="inlineStr">
        <is>
          <t>MEDIUM</t>
        </is>
      </c>
      <c r="AB192" s="29" t="inlineStr">
        <is>
          <t>0.013991683799831916</t>
        </is>
      </c>
      <c r="AC192" s="29" t="inlineStr">
        <is>
          <t>False</t>
        </is>
      </c>
      <c r="AD192" s="29" t="inlineStr">
        <is>
          <t>False</t>
        </is>
      </c>
      <c r="AE192" s="29" t="inlineStr">
        <is>
          <t>valuation_credit_ml_overlay_candidate.csv</t>
        </is>
      </c>
      <c r="AF192" s="29" t="inlineStr">
        <is>
          <t>208개 반도체 reference universe. Valuation Agent가 자체 intake 폴더로 복제해 Peer/ML/대시보드 비교에 사용.</t>
        </is>
      </c>
    </row>
    <row r="193" ht="24" customHeight="1">
      <c r="A193" s="24" t="inlineStr">
        <is>
          <t>77</t>
        </is>
      </c>
      <c r="B193" s="24" t="inlineStr">
        <is>
          <t>해당 없음</t>
        </is>
      </c>
      <c r="C193" s="24" t="inlineStr">
        <is>
          <t>기가레인</t>
        </is>
      </c>
      <c r="D193" s="24" t="inlineStr">
        <is>
          <t>049080</t>
        </is>
      </c>
      <c r="E193" s="24" t="inlineStr">
        <is>
          <t>KOSDAQ</t>
        </is>
      </c>
      <c r="F193" s="24" t="inlineStr">
        <is>
          <t>장비</t>
        </is>
      </c>
      <c r="G193" s="24" t="inlineStr">
        <is>
          <t>장비</t>
        </is>
      </c>
      <c r="H193" s="24" t="inlineStr">
        <is>
          <t>False</t>
        </is>
      </c>
      <c r="I193" s="24" t="inlineStr">
        <is>
          <t>True</t>
        </is>
      </c>
      <c r="J193" s="24" t="inlineStr">
        <is>
          <t>OK</t>
        </is>
      </c>
      <c r="K193" s="24" t="inlineStr">
        <is>
          <t>데이터 사용 가능</t>
        </is>
      </c>
      <c r="L193" s="24" t="inlineStr">
        <is>
          <t>LOW</t>
        </is>
      </c>
      <c r="M193" s="24" t="inlineStr">
        <is>
          <t>LOW</t>
        </is>
      </c>
      <c r="N193" s="24" t="inlineStr">
        <is>
          <t>0.2353333333333333</t>
        </is>
      </c>
      <c r="O193" s="24" t="inlineStr">
        <is>
          <t>EXPENSIVE</t>
        </is>
      </c>
      <c r="P193" s="24" t="inlineStr">
        <is>
          <t>EXPENSIVE</t>
        </is>
      </c>
      <c r="Q193" s="24" t="inlineStr">
        <is>
          <t>EXPENSIVE</t>
        </is>
      </c>
      <c r="R193" s="24" t="inlineStr">
        <is>
          <t>0.9628494209555842</t>
        </is>
      </c>
      <c r="S193" s="24" t="inlineStr">
        <is>
          <t>HIGH</t>
        </is>
      </c>
      <c r="T193" s="24" t="inlineStr">
        <is>
          <t>HIGH</t>
        </is>
      </c>
      <c r="U193" s="24" t="inlineStr">
        <is>
          <t>0.5</t>
        </is>
      </c>
      <c r="V193" s="24" t="inlineStr">
        <is>
          <t>HIGH_RISK</t>
        </is>
      </c>
      <c r="W193" s="24" t="inlineStr">
        <is>
          <t>고위험</t>
        </is>
      </c>
      <c r="X193" s="24" t="inlineStr">
        <is>
          <t>HIGH_RISK</t>
        </is>
      </c>
      <c r="Y193" s="24" t="inlineStr">
        <is>
          <t>0.9675100472985046</t>
        </is>
      </c>
      <c r="Z193" s="24" t="inlineStr">
        <is>
          <t>HIGH</t>
        </is>
      </c>
      <c r="AA193" s="24" t="inlineStr">
        <is>
          <t>HIGH</t>
        </is>
      </c>
      <c r="AB193" s="24" t="inlineStr">
        <is>
          <t>0.24264303605410006</t>
        </is>
      </c>
      <c r="AC193" s="24" t="inlineStr">
        <is>
          <t>True</t>
        </is>
      </c>
      <c r="AD193" s="24" t="inlineStr">
        <is>
          <t>True</t>
        </is>
      </c>
      <c r="AE193" s="24" t="inlineStr">
        <is>
          <t>valuation_credit_ml_overlay_candidate.csv</t>
        </is>
      </c>
      <c r="AF193" s="24" t="inlineStr">
        <is>
          <t>208개 반도체 reference universe. Valuation Agent가 자체 intake 폴더로 복제해 Peer/ML/대시보드 비교에 사용.</t>
        </is>
      </c>
    </row>
    <row r="194" ht="24" customHeight="1">
      <c r="A194" s="29" t="inlineStr">
        <is>
          <t>79</t>
        </is>
      </c>
      <c r="B194" s="29" t="inlineStr">
        <is>
          <t>해당 없음</t>
        </is>
      </c>
      <c r="C194" s="29" t="inlineStr">
        <is>
          <t>넥스틴</t>
        </is>
      </c>
      <c r="D194" s="29" t="inlineStr">
        <is>
          <t>348210</t>
        </is>
      </c>
      <c r="E194" s="29" t="inlineStr">
        <is>
          <t>KOSDAQ GLOBAL</t>
        </is>
      </c>
      <c r="F194" s="29" t="inlineStr">
        <is>
          <t>장비</t>
        </is>
      </c>
      <c r="G194" s="29" t="inlineStr">
        <is>
          <t>장비</t>
        </is>
      </c>
      <c r="H194" s="29" t="inlineStr">
        <is>
          <t>False</t>
        </is>
      </c>
      <c r="I194" s="29" t="inlineStr">
        <is>
          <t>True</t>
        </is>
      </c>
      <c r="J194" s="29" t="inlineStr">
        <is>
          <t>OK</t>
        </is>
      </c>
      <c r="K194" s="29" t="inlineStr">
        <is>
          <t>데이터 사용 가능</t>
        </is>
      </c>
      <c r="L194" s="29" t="inlineStr">
        <is>
          <t>LOW</t>
        </is>
      </c>
      <c r="M194" s="29" t="inlineStr">
        <is>
          <t>LOW</t>
        </is>
      </c>
      <c r="N194" s="29" t="inlineStr">
        <is>
          <t>0.2353333333333333</t>
        </is>
      </c>
      <c r="O194" s="29" t="inlineStr">
        <is>
          <t>EXPENSIVE</t>
        </is>
      </c>
      <c r="P194" s="29" t="inlineStr">
        <is>
          <t>EXPENSIVE</t>
        </is>
      </c>
      <c r="Q194" s="29" t="inlineStr">
        <is>
          <t>EXPENSIVE</t>
        </is>
      </c>
      <c r="R194" s="29" t="inlineStr">
        <is>
          <t>0.7906546201121369</t>
        </is>
      </c>
      <c r="S194" s="29" t="inlineStr">
        <is>
          <t>HIGH</t>
        </is>
      </c>
      <c r="T194" s="29" t="inlineStr">
        <is>
          <t>HIGH</t>
        </is>
      </c>
      <c r="U194" s="29" t="inlineStr">
        <is>
          <t>0.4285714285714285</t>
        </is>
      </c>
      <c r="V194" s="29" t="inlineStr">
        <is>
          <t>HIGH_RISK</t>
        </is>
      </c>
      <c r="W194" s="29" t="inlineStr">
        <is>
          <t>고위험</t>
        </is>
      </c>
      <c r="X194" s="29" t="inlineStr">
        <is>
          <t>HIGH_RISK</t>
        </is>
      </c>
      <c r="Y194" s="29" t="inlineStr">
        <is>
          <t>0.8216799677089676</t>
        </is>
      </c>
      <c r="Z194" s="29" t="inlineStr">
        <is>
          <t>HIGH</t>
        </is>
      </c>
      <c r="AA194" s="29" t="inlineStr">
        <is>
          <t>HIGH</t>
        </is>
      </c>
      <c r="AB194" s="29" t="inlineStr">
        <is>
          <t>0.0826003513380603</t>
        </is>
      </c>
      <c r="AC194" s="29" t="inlineStr">
        <is>
          <t>False</t>
        </is>
      </c>
      <c r="AD194" s="29" t="inlineStr">
        <is>
          <t>False</t>
        </is>
      </c>
      <c r="AE194" s="29" t="inlineStr">
        <is>
          <t>valuation_credit_ml_overlay_candidate.csv</t>
        </is>
      </c>
      <c r="AF194" s="29" t="inlineStr">
        <is>
          <t>208개 반도체 reference universe. Valuation Agent가 자체 intake 폴더로 복제해 Peer/ML/대시보드 비교에 사용.</t>
        </is>
      </c>
    </row>
    <row r="195" ht="24" customHeight="1">
      <c r="A195" s="24" t="inlineStr">
        <is>
          <t>110</t>
        </is>
      </c>
      <c r="B195" s="24" t="inlineStr">
        <is>
          <t>해당 없음</t>
        </is>
      </c>
      <c r="C195" s="24" t="inlineStr">
        <is>
          <t>주성엔지니어링</t>
        </is>
      </c>
      <c r="D195" s="24" t="inlineStr">
        <is>
          <t>036930</t>
        </is>
      </c>
      <c r="E195" s="24" t="inlineStr">
        <is>
          <t>KOSDAQ GLOBAL</t>
        </is>
      </c>
      <c r="F195" s="24" t="inlineStr">
        <is>
          <t>장비</t>
        </is>
      </c>
      <c r="G195" s="24" t="inlineStr">
        <is>
          <t>장비</t>
        </is>
      </c>
      <c r="H195" s="24" t="inlineStr">
        <is>
          <t>False</t>
        </is>
      </c>
      <c r="I195" s="24" t="inlineStr">
        <is>
          <t>True</t>
        </is>
      </c>
      <c r="J195" s="24" t="inlineStr">
        <is>
          <t>OK</t>
        </is>
      </c>
      <c r="K195" s="24" t="inlineStr">
        <is>
          <t>데이터 사용 가능</t>
        </is>
      </c>
      <c r="L195" s="24" t="inlineStr">
        <is>
          <t>LOW</t>
        </is>
      </c>
      <c r="M195" s="24" t="inlineStr">
        <is>
          <t>LOW</t>
        </is>
      </c>
      <c r="N195" s="24" t="inlineStr">
        <is>
          <t>0.2335999999999999</t>
        </is>
      </c>
      <c r="O195" s="24" t="inlineStr">
        <is>
          <t>EXPENSIVE</t>
        </is>
      </c>
      <c r="P195" s="24" t="inlineStr">
        <is>
          <t>EXPENSIVE</t>
        </is>
      </c>
      <c r="Q195" s="24" t="inlineStr">
        <is>
          <t>EXPENSIVE</t>
        </is>
      </c>
      <c r="R195" s="24" t="inlineStr">
        <is>
          <t>0.7918979957613304</t>
        </is>
      </c>
      <c r="S195" s="24" t="inlineStr">
        <is>
          <t>HIGH</t>
        </is>
      </c>
      <c r="T195" s="24" t="inlineStr">
        <is>
          <t>HIGH</t>
        </is>
      </c>
      <c r="U195" s="24" t="inlineStr">
        <is>
          <t>0.2857142857142857</t>
        </is>
      </c>
      <c r="V195" s="24" t="inlineStr">
        <is>
          <t>MEDIUM_RISK</t>
        </is>
      </c>
      <c r="W195" s="24" t="inlineStr">
        <is>
          <t>중위험</t>
        </is>
      </c>
      <c r="X195" s="24" t="inlineStr">
        <is>
          <t>MEDIUM_RISK</t>
        </is>
      </c>
      <c r="Y195" s="24" t="inlineStr">
        <is>
          <t>0.4347911224964779</t>
        </is>
      </c>
      <c r="Z195" s="24" t="inlineStr">
        <is>
          <t>LOW</t>
        </is>
      </c>
      <c r="AA195" s="24" t="inlineStr">
        <is>
          <t>LOW</t>
        </is>
      </c>
      <c r="AB195" s="24" t="inlineStr">
        <is>
          <t>0.0617535897003664</t>
        </is>
      </c>
      <c r="AC195" s="24" t="inlineStr">
        <is>
          <t>False</t>
        </is>
      </c>
      <c r="AD195" s="24" t="inlineStr">
        <is>
          <t>True</t>
        </is>
      </c>
      <c r="AE195" s="24" t="inlineStr">
        <is>
          <t>valuation_credit_ml_overlay_candidate.csv</t>
        </is>
      </c>
      <c r="AF195" s="24" t="inlineStr">
        <is>
          <t>208개 반도체 reference universe. Valuation Agent가 자체 intake 폴더로 복제해 Peer/ML/대시보드 비교에 사용.</t>
        </is>
      </c>
    </row>
    <row r="196" ht="24" customHeight="1">
      <c r="A196" s="29" t="inlineStr">
        <is>
          <t>122</t>
        </is>
      </c>
      <c r="B196" s="29" t="inlineStr">
        <is>
          <t>해당 없음</t>
        </is>
      </c>
      <c r="C196" s="29" t="inlineStr">
        <is>
          <t>필옵틱스</t>
        </is>
      </c>
      <c r="D196" s="29" t="inlineStr">
        <is>
          <t>161580</t>
        </is>
      </c>
      <c r="E196" s="29" t="inlineStr">
        <is>
          <t>KOSDAQ</t>
        </is>
      </c>
      <c r="F196" s="29" t="inlineStr">
        <is>
          <t>장비</t>
        </is>
      </c>
      <c r="G196" s="29" t="inlineStr">
        <is>
          <t>장비</t>
        </is>
      </c>
      <c r="H196" s="29" t="inlineStr">
        <is>
          <t>False</t>
        </is>
      </c>
      <c r="I196" s="29" t="inlineStr">
        <is>
          <t>True</t>
        </is>
      </c>
      <c r="J196" s="29" t="inlineStr">
        <is>
          <t>OK</t>
        </is>
      </c>
      <c r="K196" s="29" t="inlineStr">
        <is>
          <t>데이터 사용 가능</t>
        </is>
      </c>
      <c r="L196" s="29" t="inlineStr">
        <is>
          <t>LOW</t>
        </is>
      </c>
      <c r="M196" s="29" t="inlineStr">
        <is>
          <t>LOW</t>
        </is>
      </c>
      <c r="N196" s="29" t="inlineStr">
        <is>
          <t>0.1741333333333333</t>
        </is>
      </c>
      <c r="O196" s="29" t="inlineStr">
        <is>
          <t>EXPENSIVE</t>
        </is>
      </c>
      <c r="P196" s="29" t="inlineStr">
        <is>
          <t>EXPENSIVE</t>
        </is>
      </c>
      <c r="Q196" s="29" t="inlineStr">
        <is>
          <t>EXPENSIVE</t>
        </is>
      </c>
      <c r="R196" s="29" t="inlineStr">
        <is>
          <t>0.9632435860929522</t>
        </is>
      </c>
      <c r="S196" s="29" t="inlineStr">
        <is>
          <t>HIGH</t>
        </is>
      </c>
      <c r="T196" s="29" t="inlineStr">
        <is>
          <t>HIGH</t>
        </is>
      </c>
      <c r="U196" s="29" t="inlineStr">
        <is>
          <t>0.2857142857142857</t>
        </is>
      </c>
      <c r="V196" s="29" t="inlineStr">
        <is>
          <t>MEDIUM_RISK</t>
        </is>
      </c>
      <c r="W196" s="29" t="inlineStr">
        <is>
          <t>중위험</t>
        </is>
      </c>
      <c r="X196" s="29" t="inlineStr">
        <is>
          <t>MEDIUM_RISK</t>
        </is>
      </c>
      <c r="Y196" s="29" t="inlineStr">
        <is>
          <t>0.6167987381468966</t>
        </is>
      </c>
      <c r="Z196" s="29" t="inlineStr">
        <is>
          <t>MEDIUM</t>
        </is>
      </c>
      <c r="AA196" s="29" t="inlineStr">
        <is>
          <t>MEDIUM</t>
        </is>
      </c>
      <c r="AB196" s="29" t="inlineStr">
        <is>
          <t>0.06203854489426491</t>
        </is>
      </c>
      <c r="AC196" s="29" t="inlineStr">
        <is>
          <t>False</t>
        </is>
      </c>
      <c r="AD196" s="29" t="inlineStr">
        <is>
          <t>False</t>
        </is>
      </c>
      <c r="AE196" s="29" t="inlineStr">
        <is>
          <t>valuation_credit_ml_overlay_candidate.csv</t>
        </is>
      </c>
      <c r="AF196" s="29" t="inlineStr">
        <is>
          <t>208개 반도체 reference universe. Valuation Agent가 자체 intake 폴더로 복제해 Peer/ML/대시보드 비교에 사용.</t>
        </is>
      </c>
    </row>
    <row r="197" ht="24" customHeight="1">
      <c r="A197" s="24" t="inlineStr">
        <is>
          <t>62</t>
        </is>
      </c>
      <c r="B197" s="24" t="inlineStr">
        <is>
          <t>해당 없음</t>
        </is>
      </c>
      <c r="C197" s="24" t="inlineStr">
        <is>
          <t>에스에이엠티</t>
        </is>
      </c>
      <c r="D197" s="24" t="inlineStr">
        <is>
          <t>031330</t>
        </is>
      </c>
      <c r="E197" s="24" t="inlineStr">
        <is>
          <t>KOSDAQ</t>
        </is>
      </c>
      <c r="F197" s="24" t="inlineStr">
        <is>
          <t>팹리스/설계</t>
        </is>
      </c>
      <c r="G197" s="24" t="inlineStr">
        <is>
          <t>팹리스/설계</t>
        </is>
      </c>
      <c r="H197" s="24" t="inlineStr">
        <is>
          <t>False</t>
        </is>
      </c>
      <c r="I197" s="24" t="inlineStr">
        <is>
          <t>True</t>
        </is>
      </c>
      <c r="J197" s="24" t="inlineStr">
        <is>
          <t>OK</t>
        </is>
      </c>
      <c r="K197" s="24" t="inlineStr">
        <is>
          <t>데이터 사용 가능</t>
        </is>
      </c>
      <c r="L197" s="24" t="inlineStr">
        <is>
          <t>LOW</t>
        </is>
      </c>
      <c r="M197" s="24" t="inlineStr">
        <is>
          <t>LOW</t>
        </is>
      </c>
      <c r="N197" s="24" t="inlineStr">
        <is>
          <t>0.7838383838383839</t>
        </is>
      </c>
      <c r="O197" s="24" t="inlineStr">
        <is>
          <t>FAIR</t>
        </is>
      </c>
      <c r="P197" s="24" t="inlineStr">
        <is>
          <t>FAIR</t>
        </is>
      </c>
      <c r="Q197" s="24" t="inlineStr">
        <is>
          <t>FAIR</t>
        </is>
      </c>
      <c r="R197" s="24" t="inlineStr">
        <is>
          <t>0.8575928985222669</t>
        </is>
      </c>
      <c r="S197" s="24" t="inlineStr">
        <is>
          <t>HIGH</t>
        </is>
      </c>
      <c r="T197" s="24" t="inlineStr">
        <is>
          <t>HIGH</t>
        </is>
      </c>
      <c r="U197" s="24" t="inlineStr">
        <is>
          <t>0.5</t>
        </is>
      </c>
      <c r="V197" s="24" t="inlineStr">
        <is>
          <t>HIGH_RISK</t>
        </is>
      </c>
      <c r="W197" s="24" t="inlineStr">
        <is>
          <t>고위험</t>
        </is>
      </c>
      <c r="X197" s="24" t="inlineStr">
        <is>
          <t>HIGH_RISK</t>
        </is>
      </c>
      <c r="Y197" s="24" t="inlineStr">
        <is>
          <t>0.5021487096911619</t>
        </is>
      </c>
      <c r="Z197" s="24" t="inlineStr">
        <is>
          <t>MEDIUM</t>
        </is>
      </c>
      <c r="AA197" s="24" t="inlineStr">
        <is>
          <t>MEDIUM</t>
        </is>
      </c>
      <c r="AB197" s="24" t="inlineStr">
        <is>
          <t>0.11372149345925425</t>
        </is>
      </c>
      <c r="AC197" s="24" t="inlineStr">
        <is>
          <t>False</t>
        </is>
      </c>
      <c r="AD197" s="24" t="inlineStr">
        <is>
          <t>False</t>
        </is>
      </c>
      <c r="AE197" s="24" t="inlineStr">
        <is>
          <t>valuation_credit_ml_overlay_candidate.csv</t>
        </is>
      </c>
      <c r="AF197" s="24" t="inlineStr">
        <is>
          <t>208개 반도체 reference universe. Valuation Agent가 자체 intake 폴더로 복제해 Peer/ML/대시보드 비교에 사용.</t>
        </is>
      </c>
    </row>
    <row r="198" ht="24" customHeight="1">
      <c r="A198" s="29" t="inlineStr">
        <is>
          <t>65</t>
        </is>
      </c>
      <c r="B198" s="29" t="inlineStr">
        <is>
          <t>해당 없음</t>
        </is>
      </c>
      <c r="C198" s="29" t="inlineStr">
        <is>
          <t>유니트론텍</t>
        </is>
      </c>
      <c r="D198" s="29" t="inlineStr">
        <is>
          <t>142210</t>
        </is>
      </c>
      <c r="E198" s="29" t="inlineStr">
        <is>
          <t>KOSDAQ</t>
        </is>
      </c>
      <c r="F198" s="29" t="inlineStr">
        <is>
          <t>팹리스/설계</t>
        </is>
      </c>
      <c r="G198" s="29" t="inlineStr">
        <is>
          <t>팹리스/설계</t>
        </is>
      </c>
      <c r="H198" s="29" t="inlineStr">
        <is>
          <t>False</t>
        </is>
      </c>
      <c r="I198" s="29" t="inlineStr">
        <is>
          <t>True</t>
        </is>
      </c>
      <c r="J198" s="29" t="inlineStr">
        <is>
          <t>OK</t>
        </is>
      </c>
      <c r="K198" s="29" t="inlineStr">
        <is>
          <t>데이터 사용 가능</t>
        </is>
      </c>
      <c r="L198" s="29" t="inlineStr">
        <is>
          <t>LOW</t>
        </is>
      </c>
      <c r="M198" s="29" t="inlineStr">
        <is>
          <t>LOW</t>
        </is>
      </c>
      <c r="N198" s="29" t="inlineStr">
        <is>
          <t>0.7478787878787879</t>
        </is>
      </c>
      <c r="O198" s="29" t="inlineStr">
        <is>
          <t>FAIR</t>
        </is>
      </c>
      <c r="P198" s="29" t="inlineStr">
        <is>
          <t>FAIR</t>
        </is>
      </c>
      <c r="Q198" s="29" t="inlineStr">
        <is>
          <t>FAIR</t>
        </is>
      </c>
      <c r="R198" s="29" t="inlineStr">
        <is>
          <t>0.8593164302034415</t>
        </is>
      </c>
      <c r="S198" s="29" t="inlineStr">
        <is>
          <t>HIGH</t>
        </is>
      </c>
      <c r="T198" s="29" t="inlineStr">
        <is>
          <t>HIGH</t>
        </is>
      </c>
      <c r="U198" s="29" t="inlineStr">
        <is>
          <t>0.3571428571428571</t>
        </is>
      </c>
      <c r="V198" s="29" t="inlineStr">
        <is>
          <t>MEDIUM_RISK</t>
        </is>
      </c>
      <c r="W198" s="29" t="inlineStr">
        <is>
          <t>중위험</t>
        </is>
      </c>
      <c r="X198" s="29" t="inlineStr">
        <is>
          <t>MEDIUM_RISK</t>
        </is>
      </c>
      <c r="Y198" s="29" t="inlineStr">
        <is>
          <t>0.6687746551665015</t>
        </is>
      </c>
      <c r="Z198" s="29" t="inlineStr">
        <is>
          <t>MEDIUM</t>
        </is>
      </c>
      <c r="AA198" s="29" t="inlineStr">
        <is>
          <t>MEDIUM</t>
        </is>
      </c>
      <c r="AB198" s="29" t="inlineStr">
        <is>
          <t>0.05354194050015521</t>
        </is>
      </c>
      <c r="AC198" s="29" t="inlineStr">
        <is>
          <t>False</t>
        </is>
      </c>
      <c r="AD198" s="29" t="inlineStr">
        <is>
          <t>False</t>
        </is>
      </c>
      <c r="AE198" s="29" t="inlineStr">
        <is>
          <t>valuation_credit_ml_overlay_candidate.csv</t>
        </is>
      </c>
      <c r="AF198" s="29" t="inlineStr">
        <is>
          <t>208개 반도체 reference universe. Valuation Agent가 자체 intake 폴더로 복제해 Peer/ML/대시보드 비교에 사용.</t>
        </is>
      </c>
    </row>
    <row r="199" ht="24" customHeight="1">
      <c r="A199" s="24" t="inlineStr">
        <is>
          <t>60</t>
        </is>
      </c>
      <c r="B199" s="24" t="inlineStr">
        <is>
          <t>해당 없음</t>
        </is>
      </c>
      <c r="C199" s="24" t="inlineStr">
        <is>
          <t>앤씨앤</t>
        </is>
      </c>
      <c r="D199" s="24" t="inlineStr">
        <is>
          <t>092600</t>
        </is>
      </c>
      <c r="E199" s="24" t="inlineStr">
        <is>
          <t>KOSDAQ</t>
        </is>
      </c>
      <c r="F199" s="24" t="inlineStr">
        <is>
          <t>팹리스/설계</t>
        </is>
      </c>
      <c r="G199" s="24" t="inlineStr">
        <is>
          <t>팹리스/설계</t>
        </is>
      </c>
      <c r="H199" s="24" t="inlineStr">
        <is>
          <t>False</t>
        </is>
      </c>
      <c r="I199" s="24" t="inlineStr">
        <is>
          <t>True</t>
        </is>
      </c>
      <c r="J199" s="24" t="inlineStr">
        <is>
          <t>OK</t>
        </is>
      </c>
      <c r="K199" s="24" t="inlineStr">
        <is>
          <t>데이터 사용 가능</t>
        </is>
      </c>
      <c r="L199" s="24" t="inlineStr">
        <is>
          <t>LOW</t>
        </is>
      </c>
      <c r="M199" s="24" t="inlineStr">
        <is>
          <t>LOW</t>
        </is>
      </c>
      <c r="N199" s="24" t="inlineStr">
        <is>
          <t>0.7450505050505051</t>
        </is>
      </c>
      <c r="O199" s="24" t="inlineStr">
        <is>
          <t>FAIR</t>
        </is>
      </c>
      <c r="P199" s="24" t="inlineStr">
        <is>
          <t>FAIR</t>
        </is>
      </c>
      <c r="Q199" s="24" t="inlineStr">
        <is>
          <t>FAIR</t>
        </is>
      </c>
      <c r="R199" s="24" t="inlineStr">
        <is>
          <t>0.8450252323777523</t>
        </is>
      </c>
      <c r="S199" s="24" t="inlineStr">
        <is>
          <t>HIGH</t>
        </is>
      </c>
      <c r="T199" s="24" t="inlineStr">
        <is>
          <t>HIGH</t>
        </is>
      </c>
      <c r="U199" s="24" t="inlineStr">
        <is>
          <t>0.5</t>
        </is>
      </c>
      <c r="V199" s="24" t="inlineStr">
        <is>
          <t>HIGH_RISK</t>
        </is>
      </c>
      <c r="W199" s="24" t="inlineStr">
        <is>
          <t>고위험</t>
        </is>
      </c>
      <c r="X199" s="24" t="inlineStr">
        <is>
          <t>HIGH_RISK</t>
        </is>
      </c>
      <c r="Y199" s="24" t="inlineStr">
        <is>
          <t>0.6852720703017778</t>
        </is>
      </c>
      <c r="Z199" s="24" t="inlineStr">
        <is>
          <t>MEDIUM</t>
        </is>
      </c>
      <c r="AA199" s="24" t="inlineStr">
        <is>
          <t>MEDIUM</t>
        </is>
      </c>
      <c r="AB199" s="24" t="inlineStr">
        <is>
          <t>0.05126917274476802</t>
        </is>
      </c>
      <c r="AC199" s="24" t="inlineStr">
        <is>
          <t>False</t>
        </is>
      </c>
      <c r="AD199" s="24" t="inlineStr">
        <is>
          <t>False</t>
        </is>
      </c>
      <c r="AE199" s="24" t="inlineStr">
        <is>
          <t>valuation_credit_ml_overlay_candidate.csv</t>
        </is>
      </c>
      <c r="AF199" s="24" t="inlineStr">
        <is>
          <t>208개 반도체 reference universe. Valuation Agent가 자체 intake 폴더로 복제해 Peer/ML/대시보드 비교에 사용.</t>
        </is>
      </c>
    </row>
    <row r="200" ht="24" customHeight="1">
      <c r="A200" s="29" t="inlineStr">
        <is>
          <t>47</t>
        </is>
      </c>
      <c r="B200" s="29" t="inlineStr">
        <is>
          <t>해당 없음</t>
        </is>
      </c>
      <c r="C200" s="29" t="inlineStr">
        <is>
          <t>마이크로컨텍솔</t>
        </is>
      </c>
      <c r="D200" s="29" t="inlineStr">
        <is>
          <t>098120</t>
        </is>
      </c>
      <c r="E200" s="29" t="inlineStr">
        <is>
          <t>KOSDAQ</t>
        </is>
      </c>
      <c r="F200" s="29" t="inlineStr">
        <is>
          <t>팹리스/설계</t>
        </is>
      </c>
      <c r="G200" s="29" t="inlineStr">
        <is>
          <t>팹리스/설계</t>
        </is>
      </c>
      <c r="H200" s="29" t="inlineStr">
        <is>
          <t>False</t>
        </is>
      </c>
      <c r="I200" s="29" t="inlineStr">
        <is>
          <t>True</t>
        </is>
      </c>
      <c r="J200" s="29" t="inlineStr">
        <is>
          <t>OK</t>
        </is>
      </c>
      <c r="K200" s="29" t="inlineStr">
        <is>
          <t>데이터 사용 가능</t>
        </is>
      </c>
      <c r="L200" s="29" t="inlineStr">
        <is>
          <t>LOW</t>
        </is>
      </c>
      <c r="M200" s="29" t="inlineStr">
        <is>
          <t>LOW</t>
        </is>
      </c>
      <c r="N200" s="29" t="inlineStr">
        <is>
          <t>0.7383838383838384</t>
        </is>
      </c>
      <c r="O200" s="29" t="inlineStr">
        <is>
          <t>ATTRACTIVE</t>
        </is>
      </c>
      <c r="P200" s="29" t="inlineStr">
        <is>
          <t>가치 매력</t>
        </is>
      </c>
      <c r="Q200" s="29" t="inlineStr">
        <is>
          <t>ATTRACTIVE</t>
        </is>
      </c>
      <c r="R200" s="29" t="inlineStr">
        <is>
          <t>0.8262966149459129</t>
        </is>
      </c>
      <c r="S200" s="29" t="inlineStr">
        <is>
          <t>HIGH</t>
        </is>
      </c>
      <c r="T200" s="29" t="inlineStr">
        <is>
          <t>HIGH</t>
        </is>
      </c>
      <c r="U200" s="29" t="inlineStr">
        <is>
          <t>0.1428571428571428</t>
        </is>
      </c>
      <c r="V200" s="29" t="inlineStr">
        <is>
          <t>LOW_RISK</t>
        </is>
      </c>
      <c r="W200" s="29" t="inlineStr">
        <is>
          <t>저위험</t>
        </is>
      </c>
      <c r="X200" s="29" t="inlineStr">
        <is>
          <t>LOW_RISK</t>
        </is>
      </c>
      <c r="Y200" s="29" t="inlineStr">
        <is>
          <t>0.7491981695245683</t>
        </is>
      </c>
      <c r="Z200" s="29" t="inlineStr">
        <is>
          <t>HIGH</t>
        </is>
      </c>
      <c r="AA200" s="29" t="inlineStr">
        <is>
          <t>HIGH</t>
        </is>
      </c>
      <c r="AB200" s="29" t="inlineStr">
        <is>
          <t>0.08427857084894262</t>
        </is>
      </c>
      <c r="AC200" s="29" t="inlineStr">
        <is>
          <t>False</t>
        </is>
      </c>
      <c r="AD200" s="29" t="inlineStr">
        <is>
          <t>False</t>
        </is>
      </c>
      <c r="AE200" s="29" t="inlineStr">
        <is>
          <t>valuation_credit_ml_overlay_candidate.csv</t>
        </is>
      </c>
      <c r="AF200" s="29" t="inlineStr">
        <is>
          <t>208개 반도체 reference universe. Valuation Agent가 자체 intake 폴더로 복제해 Peer/ML/대시보드 비교에 사용.</t>
        </is>
      </c>
    </row>
    <row r="201" ht="24" customHeight="1">
      <c r="A201" s="24" t="inlineStr">
        <is>
          <t>55</t>
        </is>
      </c>
      <c r="B201" s="24" t="inlineStr">
        <is>
          <t>해당 없음</t>
        </is>
      </c>
      <c r="C201" s="24" t="inlineStr">
        <is>
          <t>아이앤씨</t>
        </is>
      </c>
      <c r="D201" s="24" t="inlineStr">
        <is>
          <t>052860</t>
        </is>
      </c>
      <c r="E201" s="24" t="inlineStr">
        <is>
          <t>KOSDAQ</t>
        </is>
      </c>
      <c r="F201" s="24" t="inlineStr">
        <is>
          <t>팹리스/설계</t>
        </is>
      </c>
      <c r="G201" s="24" t="inlineStr">
        <is>
          <t>팹리스/설계</t>
        </is>
      </c>
      <c r="H201" s="24" t="inlineStr">
        <is>
          <t>False</t>
        </is>
      </c>
      <c r="I201" s="24" t="inlineStr">
        <is>
          <t>True</t>
        </is>
      </c>
      <c r="J201" s="24" t="inlineStr">
        <is>
          <t>OK</t>
        </is>
      </c>
      <c r="K201" s="24" t="inlineStr">
        <is>
          <t>데이터 사용 가능</t>
        </is>
      </c>
      <c r="L201" s="24" t="inlineStr">
        <is>
          <t>LOW</t>
        </is>
      </c>
      <c r="M201" s="24" t="inlineStr">
        <is>
          <t>LOW</t>
        </is>
      </c>
      <c r="N201" s="24" t="inlineStr">
        <is>
          <t>0.7325252525252526</t>
        </is>
      </c>
      <c r="O201" s="24" t="inlineStr">
        <is>
          <t>ATTRACTIVE</t>
        </is>
      </c>
      <c r="P201" s="24" t="inlineStr">
        <is>
          <t>가치 매력</t>
        </is>
      </c>
      <c r="Q201" s="24" t="inlineStr">
        <is>
          <t>ATTRACTIVE</t>
        </is>
      </c>
      <c r="R201" s="24" t="inlineStr">
        <is>
          <t>0.9267130449922303</t>
        </is>
      </c>
      <c r="S201" s="24" t="inlineStr">
        <is>
          <t>HIGH</t>
        </is>
      </c>
      <c r="T201" s="24" t="inlineStr">
        <is>
          <t>HIGH</t>
        </is>
      </c>
      <c r="U201" s="24" t="inlineStr">
        <is>
          <t>0.0</t>
        </is>
      </c>
      <c r="V201" s="24" t="inlineStr">
        <is>
          <t>LOW_RISK</t>
        </is>
      </c>
      <c r="W201" s="24" t="inlineStr">
        <is>
          <t>저위험</t>
        </is>
      </c>
      <c r="X201" s="24" t="inlineStr">
        <is>
          <t>LOW_RISK</t>
        </is>
      </c>
      <c r="Y201" s="24" t="inlineStr">
        <is>
          <t>0.8920304728976969</t>
        </is>
      </c>
      <c r="Z201" s="24" t="inlineStr">
        <is>
          <t>HIGH</t>
        </is>
      </c>
      <c r="AA201" s="24" t="inlineStr">
        <is>
          <t>HIGH</t>
        </is>
      </c>
      <c r="AB201" s="24" t="inlineStr">
        <is>
          <t>0.022475117759514655</t>
        </is>
      </c>
      <c r="AC201" s="24" t="inlineStr">
        <is>
          <t>False</t>
        </is>
      </c>
      <c r="AD201" s="24" t="inlineStr">
        <is>
          <t>False</t>
        </is>
      </c>
      <c r="AE201" s="24" t="inlineStr">
        <is>
          <t>valuation_credit_ml_overlay_candidate.csv</t>
        </is>
      </c>
      <c r="AF201" s="24" t="inlineStr">
        <is>
          <t>208개 반도체 reference universe. Valuation Agent가 자체 intake 폴더로 복제해 Peer/ML/대시보드 비교에 사용.</t>
        </is>
      </c>
    </row>
    <row r="202" ht="24" customHeight="1">
      <c r="A202" s="29" t="inlineStr">
        <is>
          <t>48</t>
        </is>
      </c>
      <c r="B202" s="29" t="inlineStr">
        <is>
          <t>해당 없음</t>
        </is>
      </c>
      <c r="C202" s="29" t="inlineStr">
        <is>
          <t>매커스</t>
        </is>
      </c>
      <c r="D202" s="29" t="inlineStr">
        <is>
          <t>093520</t>
        </is>
      </c>
      <c r="E202" s="29" t="inlineStr">
        <is>
          <t>KOSDAQ</t>
        </is>
      </c>
      <c r="F202" s="29" t="inlineStr">
        <is>
          <t>팹리스/설계</t>
        </is>
      </c>
      <c r="G202" s="29" t="inlineStr">
        <is>
          <t>팹리스/설계</t>
        </is>
      </c>
      <c r="H202" s="29" t="inlineStr">
        <is>
          <t>False</t>
        </is>
      </c>
      <c r="I202" s="29" t="inlineStr">
        <is>
          <t>True</t>
        </is>
      </c>
      <c r="J202" s="29" t="inlineStr">
        <is>
          <t>OK</t>
        </is>
      </c>
      <c r="K202" s="29" t="inlineStr">
        <is>
          <t>데이터 사용 가능</t>
        </is>
      </c>
      <c r="L202" s="29" t="inlineStr">
        <is>
          <t>LOW</t>
        </is>
      </c>
      <c r="M202" s="29" t="inlineStr">
        <is>
          <t>LOW</t>
        </is>
      </c>
      <c r="N202" s="29" t="inlineStr">
        <is>
          <t>0.7056565656565656</t>
        </is>
      </c>
      <c r="O202" s="29" t="inlineStr">
        <is>
          <t>ATTRACTIVE</t>
        </is>
      </c>
      <c r="P202" s="29" t="inlineStr">
        <is>
          <t>가치 매력</t>
        </is>
      </c>
      <c r="Q202" s="29" t="inlineStr">
        <is>
          <t>ATTRACTIVE</t>
        </is>
      </c>
      <c r="R202" s="29" t="inlineStr">
        <is>
          <t>0.9375173489226767</t>
        </is>
      </c>
      <c r="S202" s="29" t="inlineStr">
        <is>
          <t>HIGH</t>
        </is>
      </c>
      <c r="T202" s="29" t="inlineStr">
        <is>
          <t>HIGH</t>
        </is>
      </c>
      <c r="U202" s="29" t="inlineStr">
        <is>
          <t>0.0</t>
        </is>
      </c>
      <c r="V202" s="29" t="inlineStr">
        <is>
          <t>LOW_RISK</t>
        </is>
      </c>
      <c r="W202" s="29" t="inlineStr">
        <is>
          <t>저위험</t>
        </is>
      </c>
      <c r="X202" s="29" t="inlineStr">
        <is>
          <t>LOW_RISK</t>
        </is>
      </c>
      <c r="Y202" s="29" t="inlineStr">
        <is>
          <t>0.8297390345025338</t>
        </is>
      </c>
      <c r="Z202" s="29" t="inlineStr">
        <is>
          <t>HIGH</t>
        </is>
      </c>
      <c r="AA202" s="29" t="inlineStr">
        <is>
          <t>HIGH</t>
        </is>
      </c>
      <c r="AB202" s="29" t="inlineStr">
        <is>
          <t>0.08420442573717486</t>
        </is>
      </c>
      <c r="AC202" s="29" t="inlineStr">
        <is>
          <t>False</t>
        </is>
      </c>
      <c r="AD202" s="29" t="inlineStr">
        <is>
          <t>False</t>
        </is>
      </c>
      <c r="AE202" s="29" t="inlineStr">
        <is>
          <t>valuation_credit_ml_overlay_candidate.csv</t>
        </is>
      </c>
      <c r="AF202" s="29" t="inlineStr">
        <is>
          <t>208개 반도체 reference universe. Valuation Agent가 자체 intake 폴더로 복제해 Peer/ML/대시보드 비교에 사용.</t>
        </is>
      </c>
    </row>
    <row r="203" ht="24" customHeight="1">
      <c r="A203" s="24" t="inlineStr">
        <is>
          <t>41</t>
        </is>
      </c>
      <c r="B203" s="24" t="inlineStr">
        <is>
          <t>해당 없음</t>
        </is>
      </c>
      <c r="C203" s="24" t="inlineStr">
        <is>
          <t>LX세미콘</t>
        </is>
      </c>
      <c r="D203" s="24" t="inlineStr">
        <is>
          <t>108320</t>
        </is>
      </c>
      <c r="E203" s="24" t="inlineStr">
        <is>
          <t>KOSPI</t>
        </is>
      </c>
      <c r="F203" s="24" t="inlineStr">
        <is>
          <t>팹리스/설계</t>
        </is>
      </c>
      <c r="G203" s="24" t="inlineStr">
        <is>
          <t>팹리스/설계</t>
        </is>
      </c>
      <c r="H203" s="24" t="inlineStr">
        <is>
          <t>False</t>
        </is>
      </c>
      <c r="I203" s="24" t="inlineStr">
        <is>
          <t>True</t>
        </is>
      </c>
      <c r="J203" s="24" t="inlineStr">
        <is>
          <t>OK</t>
        </is>
      </c>
      <c r="K203" s="24" t="inlineStr">
        <is>
          <t>데이터 사용 가능</t>
        </is>
      </c>
      <c r="L203" s="24" t="inlineStr">
        <is>
          <t>LOW</t>
        </is>
      </c>
      <c r="M203" s="24" t="inlineStr">
        <is>
          <t>LOW</t>
        </is>
      </c>
      <c r="N203" s="24" t="inlineStr">
        <is>
          <t>0.6953535353535354</t>
        </is>
      </c>
      <c r="O203" s="24" t="inlineStr">
        <is>
          <t>ATTRACTIVE</t>
        </is>
      </c>
      <c r="P203" s="24" t="inlineStr">
        <is>
          <t>가치 매력</t>
        </is>
      </c>
      <c r="Q203" s="24" t="inlineStr">
        <is>
          <t>ATTRACTIVE</t>
        </is>
      </c>
      <c r="R203" s="24" t="inlineStr">
        <is>
          <t>0.951012131492064</t>
        </is>
      </c>
      <c r="S203" s="24" t="inlineStr">
        <is>
          <t>HIGH</t>
        </is>
      </c>
      <c r="T203" s="24" t="inlineStr">
        <is>
          <t>HIGH</t>
        </is>
      </c>
      <c r="U203" s="24" t="inlineStr">
        <is>
          <t>0.0</t>
        </is>
      </c>
      <c r="V203" s="24" t="inlineStr">
        <is>
          <t>LOW_RISK</t>
        </is>
      </c>
      <c r="W203" s="24" t="inlineStr">
        <is>
          <t>저위험</t>
        </is>
      </c>
      <c r="X203" s="24" t="inlineStr">
        <is>
          <t>LOW_RISK</t>
        </is>
      </c>
      <c r="Y203" s="24" t="inlineStr">
        <is>
          <t>0.9675260077633142</t>
        </is>
      </c>
      <c r="Z203" s="24" t="inlineStr">
        <is>
          <t>HIGH</t>
        </is>
      </c>
      <c r="AA203" s="24" t="inlineStr">
        <is>
          <t>HIGH</t>
        </is>
      </c>
      <c r="AB203" s="24" t="inlineStr">
        <is>
          <t>0.0526549169074082</t>
        </is>
      </c>
      <c r="AC203" s="24" t="inlineStr">
        <is>
          <t>False</t>
        </is>
      </c>
      <c r="AD203" s="24" t="inlineStr">
        <is>
          <t>False</t>
        </is>
      </c>
      <c r="AE203" s="24" t="inlineStr">
        <is>
          <t>valuation_credit_ml_overlay_candidate.csv</t>
        </is>
      </c>
      <c r="AF203" s="24" t="inlineStr">
        <is>
          <t>208개 반도체 reference universe. Valuation Agent가 자체 intake 폴더로 복제해 Peer/ML/대시보드 비교에 사용.</t>
        </is>
      </c>
    </row>
    <row r="204" ht="24" customHeight="1">
      <c r="A204" s="29" t="inlineStr">
        <is>
          <t>61</t>
        </is>
      </c>
      <c r="B204" s="29" t="inlineStr">
        <is>
          <t>해당 없음</t>
        </is>
      </c>
      <c r="C204" s="29" t="inlineStr">
        <is>
          <t>어보브반도체</t>
        </is>
      </c>
      <c r="D204" s="29" t="inlineStr">
        <is>
          <t>102120</t>
        </is>
      </c>
      <c r="E204" s="29" t="inlineStr">
        <is>
          <t>KOSDAQ</t>
        </is>
      </c>
      <c r="F204" s="29" t="inlineStr">
        <is>
          <t>팹리스/설계</t>
        </is>
      </c>
      <c r="G204" s="29" t="inlineStr">
        <is>
          <t>팹리스/설계</t>
        </is>
      </c>
      <c r="H204" s="29" t="inlineStr">
        <is>
          <t>False</t>
        </is>
      </c>
      <c r="I204" s="29" t="inlineStr">
        <is>
          <t>True</t>
        </is>
      </c>
      <c r="J204" s="29" t="inlineStr">
        <is>
          <t>OK</t>
        </is>
      </c>
      <c r="K204" s="29" t="inlineStr">
        <is>
          <t>데이터 사용 가능</t>
        </is>
      </c>
      <c r="L204" s="29" t="inlineStr">
        <is>
          <t>LOW</t>
        </is>
      </c>
      <c r="M204" s="29" t="inlineStr">
        <is>
          <t>LOW</t>
        </is>
      </c>
      <c r="N204" s="29" t="inlineStr">
        <is>
          <t>0.6933333333333332</t>
        </is>
      </c>
      <c r="O204" s="29" t="inlineStr">
        <is>
          <t>FAIR</t>
        </is>
      </c>
      <c r="P204" s="29" t="inlineStr">
        <is>
          <t>FAIR</t>
        </is>
      </c>
      <c r="Q204" s="29" t="inlineStr">
        <is>
          <t>FAIR</t>
        </is>
      </c>
      <c r="R204" s="29" t="inlineStr">
        <is>
          <t>0.9028406871788379</t>
        </is>
      </c>
      <c r="S204" s="29" t="inlineStr">
        <is>
          <t>HIGH</t>
        </is>
      </c>
      <c r="T204" s="29" t="inlineStr">
        <is>
          <t>HIGH</t>
        </is>
      </c>
      <c r="U204" s="29" t="inlineStr">
        <is>
          <t>0.0714285714285714</t>
        </is>
      </c>
      <c r="V204" s="29" t="inlineStr">
        <is>
          <t>LOW_RISK</t>
        </is>
      </c>
      <c r="W204" s="29" t="inlineStr">
        <is>
          <t>저위험</t>
        </is>
      </c>
      <c r="X204" s="29" t="inlineStr">
        <is>
          <t>LOW_RISK</t>
        </is>
      </c>
      <c r="Y204" s="29" t="inlineStr">
        <is>
          <t>0.7134163381020407</t>
        </is>
      </c>
      <c r="Z204" s="29" t="inlineStr">
        <is>
          <t>HIGH</t>
        </is>
      </c>
      <c r="AA204" s="29" t="inlineStr">
        <is>
          <t>HIGH</t>
        </is>
      </c>
      <c r="AB204" s="29" t="inlineStr">
        <is>
          <t>0.020764615542161708</t>
        </is>
      </c>
      <c r="AC204" s="29" t="inlineStr">
        <is>
          <t>False</t>
        </is>
      </c>
      <c r="AD204" s="29" t="inlineStr">
        <is>
          <t>False</t>
        </is>
      </c>
      <c r="AE204" s="29" t="inlineStr">
        <is>
          <t>valuation_credit_ml_overlay_candidate.csv</t>
        </is>
      </c>
      <c r="AF204" s="29" t="inlineStr">
        <is>
          <t>208개 반도체 reference universe. Valuation Agent가 자체 intake 폴더로 복제해 Peer/ML/대시보드 비교에 사용.</t>
        </is>
      </c>
    </row>
    <row r="205" ht="24" customHeight="1">
      <c r="A205" s="24" t="inlineStr">
        <is>
          <t>58</t>
        </is>
      </c>
      <c r="B205" s="24" t="inlineStr">
        <is>
          <t>해당 없음</t>
        </is>
      </c>
      <c r="C205" s="24" t="inlineStr">
        <is>
          <t>알에프세미</t>
        </is>
      </c>
      <c r="D205" s="24" t="inlineStr">
        <is>
          <t>096610</t>
        </is>
      </c>
      <c r="E205" s="24" t="inlineStr">
        <is>
          <t>KOSDAQ</t>
        </is>
      </c>
      <c r="F205" s="24" t="inlineStr">
        <is>
          <t>팹리스/설계</t>
        </is>
      </c>
      <c r="G205" s="24" t="inlineStr">
        <is>
          <t>팹리스/설계</t>
        </is>
      </c>
      <c r="H205" s="24" t="inlineStr">
        <is>
          <t>False</t>
        </is>
      </c>
      <c r="I205" s="24" t="inlineStr">
        <is>
          <t>True</t>
        </is>
      </c>
      <c r="J205" s="24" t="inlineStr">
        <is>
          <t>OK</t>
        </is>
      </c>
      <c r="K205" s="24" t="inlineStr">
        <is>
          <t>데이터 사용 가능</t>
        </is>
      </c>
      <c r="L205" s="24" t="inlineStr">
        <is>
          <t>LOW</t>
        </is>
      </c>
      <c r="M205" s="24" t="inlineStr">
        <is>
          <t>LOW</t>
        </is>
      </c>
      <c r="N205" s="24" t="inlineStr">
        <is>
          <t>0.603030303030303</t>
        </is>
      </c>
      <c r="O205" s="24" t="inlineStr">
        <is>
          <t>ATTRACTIVE</t>
        </is>
      </c>
      <c r="P205" s="24" t="inlineStr">
        <is>
          <t>가치 매력</t>
        </is>
      </c>
      <c r="Q205" s="24" t="inlineStr">
        <is>
          <t>ATTRACTIVE</t>
        </is>
      </c>
      <c r="R205" s="24" t="inlineStr">
        <is>
          <t>0.8083150256499313</t>
        </is>
      </c>
      <c r="S205" s="24" t="inlineStr">
        <is>
          <t>HIGH</t>
        </is>
      </c>
      <c r="T205" s="24" t="inlineStr">
        <is>
          <t>HIGH</t>
        </is>
      </c>
      <c r="U205" s="24" t="inlineStr">
        <is>
          <t>0.0714285714285714</t>
        </is>
      </c>
      <c r="V205" s="24" t="inlineStr">
        <is>
          <t>LOW_RISK</t>
        </is>
      </c>
      <c r="W205" s="24" t="inlineStr">
        <is>
          <t>저위험</t>
        </is>
      </c>
      <c r="X205" s="24" t="inlineStr">
        <is>
          <t>LOW_RISK</t>
        </is>
      </c>
      <c r="Y205" s="24" t="inlineStr">
        <is>
          <t>0.8655657172147194</t>
        </is>
      </c>
      <c r="Z205" s="24" t="inlineStr">
        <is>
          <t>HIGH</t>
        </is>
      </c>
      <c r="AA205" s="24" t="inlineStr">
        <is>
          <t>HIGH</t>
        </is>
      </c>
      <c r="AB205" s="24" t="inlineStr">
        <is>
          <t>0.30686355706948754</t>
        </is>
      </c>
      <c r="AC205" s="24" t="inlineStr">
        <is>
          <t>True</t>
        </is>
      </c>
      <c r="AD205" s="24" t="inlineStr">
        <is>
          <t>True</t>
        </is>
      </c>
      <c r="AE205" s="24" t="inlineStr">
        <is>
          <t>valuation_credit_ml_overlay_candidate.csv</t>
        </is>
      </c>
      <c r="AF205" s="24" t="inlineStr">
        <is>
          <t>208개 반도체 reference universe. Valuation Agent가 자체 intake 폴더로 복제해 Peer/ML/대시보드 비교에 사용.</t>
        </is>
      </c>
    </row>
    <row r="206" ht="24" customHeight="1">
      <c r="A206" s="29" t="inlineStr">
        <is>
          <t>66</t>
        </is>
      </c>
      <c r="B206" s="29" t="inlineStr">
        <is>
          <t>해당 없음</t>
        </is>
      </c>
      <c r="C206" s="29" t="inlineStr">
        <is>
          <t>제주반도체</t>
        </is>
      </c>
      <c r="D206" s="29" t="inlineStr">
        <is>
          <t>080220</t>
        </is>
      </c>
      <c r="E206" s="29" t="inlineStr">
        <is>
          <t>KOSDAQ</t>
        </is>
      </c>
      <c r="F206" s="29" t="inlineStr">
        <is>
          <t>팹리스/설계</t>
        </is>
      </c>
      <c r="G206" s="29" t="inlineStr">
        <is>
          <t>팹리스/설계</t>
        </is>
      </c>
      <c r="H206" s="29" t="inlineStr">
        <is>
          <t>False</t>
        </is>
      </c>
      <c r="I206" s="29" t="inlineStr">
        <is>
          <t>True</t>
        </is>
      </c>
      <c r="J206" s="29" t="inlineStr">
        <is>
          <t>OK</t>
        </is>
      </c>
      <c r="K206" s="29" t="inlineStr">
        <is>
          <t>데이터 사용 가능</t>
        </is>
      </c>
      <c r="L206" s="29" t="inlineStr">
        <is>
          <t>LOW</t>
        </is>
      </c>
      <c r="M206" s="29" t="inlineStr">
        <is>
          <t>LOW</t>
        </is>
      </c>
      <c r="N206" s="29" t="inlineStr">
        <is>
          <t>0.5917171717171718</t>
        </is>
      </c>
      <c r="O206" s="29" t="inlineStr">
        <is>
          <t>ATTRACTIVE</t>
        </is>
      </c>
      <c r="P206" s="29" t="inlineStr">
        <is>
          <t>가치 매력</t>
        </is>
      </c>
      <c r="Q206" s="29" t="inlineStr">
        <is>
          <t>ATTRACTIVE</t>
        </is>
      </c>
      <c r="R206" s="29" t="inlineStr">
        <is>
          <t>0.6955424557105586</t>
        </is>
      </c>
      <c r="S206" s="29" t="inlineStr">
        <is>
          <t>MEDIUM</t>
        </is>
      </c>
      <c r="T206" s="29" t="inlineStr">
        <is>
          <t>MEDIUM</t>
        </is>
      </c>
      <c r="U206" s="29" t="inlineStr">
        <is>
          <t>0.0</t>
        </is>
      </c>
      <c r="V206" s="29" t="inlineStr">
        <is>
          <t>LOW_RISK</t>
        </is>
      </c>
      <c r="W206" s="29" t="inlineStr">
        <is>
          <t>저위험</t>
        </is>
      </c>
      <c r="X206" s="29" t="inlineStr">
        <is>
          <t>LOW_RISK</t>
        </is>
      </c>
      <c r="Y206" s="29" t="inlineStr">
        <is>
          <t>0.9206625395821784</t>
        </is>
      </c>
      <c r="Z206" s="29" t="inlineStr">
        <is>
          <t>HIGH</t>
        </is>
      </c>
      <c r="AA206" s="29" t="inlineStr">
        <is>
          <t>HIGH</t>
        </is>
      </c>
      <c r="AB206" s="29" t="inlineStr">
        <is>
          <t>0.022944474321634056</t>
        </is>
      </c>
      <c r="AC206" s="29" t="inlineStr">
        <is>
          <t>False</t>
        </is>
      </c>
      <c r="AD206" s="29" t="inlineStr">
        <is>
          <t>False</t>
        </is>
      </c>
      <c r="AE206" s="29" t="inlineStr">
        <is>
          <t>valuation_credit_ml_overlay_candidate.csv</t>
        </is>
      </c>
      <c r="AF206" s="29" t="inlineStr">
        <is>
          <t>208개 반도체 reference universe. Valuation Agent가 자체 intake 폴더로 복제해 Peer/ML/대시보드 비교에 사용.</t>
        </is>
      </c>
    </row>
    <row r="207" ht="24" customHeight="1">
      <c r="A207" s="24" t="inlineStr">
        <is>
          <t>71</t>
        </is>
      </c>
      <c r="B207" s="24" t="inlineStr">
        <is>
          <t>해당 없음</t>
        </is>
      </c>
      <c r="C207" s="24" t="inlineStr">
        <is>
          <t>티에스이</t>
        </is>
      </c>
      <c r="D207" s="24" t="inlineStr">
        <is>
          <t>131290</t>
        </is>
      </c>
      <c r="E207" s="24" t="inlineStr">
        <is>
          <t>KOSDAQ</t>
        </is>
      </c>
      <c r="F207" s="24" t="inlineStr">
        <is>
          <t>팹리스/설계</t>
        </is>
      </c>
      <c r="G207" s="24" t="inlineStr">
        <is>
          <t>팹리스/설계</t>
        </is>
      </c>
      <c r="H207" s="24" t="inlineStr">
        <is>
          <t>False</t>
        </is>
      </c>
      <c r="I207" s="24" t="inlineStr">
        <is>
          <t>True</t>
        </is>
      </c>
      <c r="J207" s="24" t="inlineStr">
        <is>
          <t>OK</t>
        </is>
      </c>
      <c r="K207" s="24" t="inlineStr">
        <is>
          <t>데이터 사용 가능</t>
        </is>
      </c>
      <c r="L207" s="24" t="inlineStr">
        <is>
          <t>LOW</t>
        </is>
      </c>
      <c r="M207" s="24" t="inlineStr">
        <is>
          <t>LOW</t>
        </is>
      </c>
      <c r="N207" s="24" t="inlineStr">
        <is>
          <t>0.5880808080808082</t>
        </is>
      </c>
      <c r="O207" s="24" t="inlineStr">
        <is>
          <t>ATTRACTIVE</t>
        </is>
      </c>
      <c r="P207" s="24" t="inlineStr">
        <is>
          <t>가치 매력</t>
        </is>
      </c>
      <c r="Q207" s="24" t="inlineStr">
        <is>
          <t>ATTRACTIVE</t>
        </is>
      </c>
      <c r="R207" s="24" t="inlineStr">
        <is>
          <t>0.7390287615028212</t>
        </is>
      </c>
      <c r="S207" s="24" t="inlineStr">
        <is>
          <t>HIGH</t>
        </is>
      </c>
      <c r="T207" s="24" t="inlineStr">
        <is>
          <t>HIGH</t>
        </is>
      </c>
      <c r="U207" s="24" t="inlineStr">
        <is>
          <t>0.0</t>
        </is>
      </c>
      <c r="V207" s="24" t="inlineStr">
        <is>
          <t>LOW_RISK</t>
        </is>
      </c>
      <c r="W207" s="24" t="inlineStr">
        <is>
          <t>저위험</t>
        </is>
      </c>
      <c r="X207" s="24" t="inlineStr">
        <is>
          <t>LOW_RISK</t>
        </is>
      </c>
      <c r="Y207" s="24" t="inlineStr">
        <is>
          <t>0.9709748314872512</t>
        </is>
      </c>
      <c r="Z207" s="24" t="inlineStr">
        <is>
          <t>HIGH</t>
        </is>
      </c>
      <c r="AA207" s="24" t="inlineStr">
        <is>
          <t>HIGH</t>
        </is>
      </c>
      <c r="AB207" s="24" t="inlineStr">
        <is>
          <t>0.018067787318761474</t>
        </is>
      </c>
      <c r="AC207" s="24" t="inlineStr">
        <is>
          <t>False</t>
        </is>
      </c>
      <c r="AD207" s="24" t="inlineStr">
        <is>
          <t>False</t>
        </is>
      </c>
      <c r="AE207" s="24" t="inlineStr">
        <is>
          <t>valuation_credit_ml_overlay_candidate.csv</t>
        </is>
      </c>
      <c r="AF207" s="24" t="inlineStr">
        <is>
          <t>208개 반도체 reference universe. Valuation Agent가 자체 intake 폴더로 복제해 Peer/ML/대시보드 비교에 사용.</t>
        </is>
      </c>
    </row>
    <row r="208" ht="24" customHeight="1">
      <c r="A208" s="29" t="inlineStr">
        <is>
          <t>53</t>
        </is>
      </c>
      <c r="B208" s="29" t="inlineStr">
        <is>
          <t>해당 없음</t>
        </is>
      </c>
      <c r="C208" s="29" t="inlineStr">
        <is>
          <t>아나패스</t>
        </is>
      </c>
      <c r="D208" s="29" t="inlineStr">
        <is>
          <t>123860</t>
        </is>
      </c>
      <c r="E208" s="29" t="inlineStr">
        <is>
          <t>KOSDAQ</t>
        </is>
      </c>
      <c r="F208" s="29" t="inlineStr">
        <is>
          <t>팹리스/설계</t>
        </is>
      </c>
      <c r="G208" s="29" t="inlineStr">
        <is>
          <t>팹리스/설계</t>
        </is>
      </c>
      <c r="H208" s="29" t="inlineStr">
        <is>
          <t>False</t>
        </is>
      </c>
      <c r="I208" s="29" t="inlineStr">
        <is>
          <t>True</t>
        </is>
      </c>
      <c r="J208" s="29" t="inlineStr">
        <is>
          <t>OK</t>
        </is>
      </c>
      <c r="K208" s="29" t="inlineStr">
        <is>
          <t>데이터 사용 가능</t>
        </is>
      </c>
      <c r="L208" s="29" t="inlineStr">
        <is>
          <t>LOW</t>
        </is>
      </c>
      <c r="M208" s="29" t="inlineStr">
        <is>
          <t>LOW</t>
        </is>
      </c>
      <c r="N208" s="29" t="inlineStr">
        <is>
          <t>0.5761616161616162</t>
        </is>
      </c>
      <c r="O208" s="29" t="inlineStr">
        <is>
          <t>FAIR</t>
        </is>
      </c>
      <c r="P208" s="29" t="inlineStr">
        <is>
          <t>FAIR</t>
        </is>
      </c>
      <c r="Q208" s="29" t="inlineStr">
        <is>
          <t>ATTRACTIVE</t>
        </is>
      </c>
      <c r="R208" s="29" t="inlineStr">
        <is>
          <t>0.510332377942325</t>
        </is>
      </c>
      <c r="S208" s="29" t="inlineStr">
        <is>
          <t>MEDIUM</t>
        </is>
      </c>
      <c r="T208" s="29" t="inlineStr">
        <is>
          <t>MEDIUM</t>
        </is>
      </c>
      <c r="U208" s="29" t="inlineStr">
        <is>
          <t>0.0</t>
        </is>
      </c>
      <c r="V208" s="29" t="inlineStr">
        <is>
          <t>LOW_RISK</t>
        </is>
      </c>
      <c r="W208" s="29" t="inlineStr">
        <is>
          <t>저위험</t>
        </is>
      </c>
      <c r="X208" s="29" t="inlineStr">
        <is>
          <t>LOW_RISK</t>
        </is>
      </c>
      <c r="Y208" s="29" t="inlineStr">
        <is>
          <t>0.9162612285765747</t>
        </is>
      </c>
      <c r="Z208" s="29" t="inlineStr">
        <is>
          <t>HIGH</t>
        </is>
      </c>
      <c r="AA208" s="29" t="inlineStr">
        <is>
          <t>HIGH</t>
        </is>
      </c>
      <c r="AB208" s="29" t="inlineStr">
        <is>
          <t>0.10416084144507474</t>
        </is>
      </c>
      <c r="AC208" s="29" t="inlineStr">
        <is>
          <t>False</t>
        </is>
      </c>
      <c r="AD208" s="29" t="inlineStr">
        <is>
          <t>False</t>
        </is>
      </c>
      <c r="AE208" s="29" t="inlineStr">
        <is>
          <t>valuation_credit_ml_overlay_candidate.csv</t>
        </is>
      </c>
      <c r="AF208" s="29" t="inlineStr">
        <is>
          <t>208개 반도체 reference universe. Valuation Agent가 자체 intake 폴더로 복제해 Peer/ML/대시보드 비교에 사용.</t>
        </is>
      </c>
    </row>
    <row r="209" ht="24" customHeight="1">
      <c r="A209" s="24" t="inlineStr">
        <is>
          <t>68</t>
        </is>
      </c>
      <c r="B209" s="24" t="inlineStr">
        <is>
          <t>해당 없음</t>
        </is>
      </c>
      <c r="C209" s="24" t="inlineStr">
        <is>
          <t>코아시아</t>
        </is>
      </c>
      <c r="D209" s="24" t="inlineStr">
        <is>
          <t>045970</t>
        </is>
      </c>
      <c r="E209" s="24" t="inlineStr">
        <is>
          <t>KOSDAQ</t>
        </is>
      </c>
      <c r="F209" s="24" t="inlineStr">
        <is>
          <t>팹리스/설계</t>
        </is>
      </c>
      <c r="G209" s="24" t="inlineStr">
        <is>
          <t>팹리스/설계</t>
        </is>
      </c>
      <c r="H209" s="24" t="inlineStr">
        <is>
          <t>False</t>
        </is>
      </c>
      <c r="I209" s="24" t="inlineStr">
        <is>
          <t>True</t>
        </is>
      </c>
      <c r="J209" s="24" t="inlineStr">
        <is>
          <t>OK</t>
        </is>
      </c>
      <c r="K209" s="24" t="inlineStr">
        <is>
          <t>데이터 사용 가능</t>
        </is>
      </c>
      <c r="L209" s="24" t="inlineStr">
        <is>
          <t>LOW</t>
        </is>
      </c>
      <c r="M209" s="24" t="inlineStr">
        <is>
          <t>LOW</t>
        </is>
      </c>
      <c r="N209" s="24" t="inlineStr">
        <is>
          <t>0.5612121212121212</t>
        </is>
      </c>
      <c r="O209" s="24" t="inlineStr">
        <is>
          <t>FAIR</t>
        </is>
      </c>
      <c r="P209" s="24" t="inlineStr">
        <is>
          <t>FAIR</t>
        </is>
      </c>
      <c r="Q209" s="24" t="inlineStr">
        <is>
          <t>FAIR</t>
        </is>
      </c>
      <c r="R209" s="24" t="inlineStr">
        <is>
          <t>0.811266524244761</t>
        </is>
      </c>
      <c r="S209" s="24" t="inlineStr">
        <is>
          <t>HIGH</t>
        </is>
      </c>
      <c r="T209" s="24" t="inlineStr">
        <is>
          <t>HIGH</t>
        </is>
      </c>
      <c r="U209" s="24" t="inlineStr">
        <is>
          <t>0.5</t>
        </is>
      </c>
      <c r="V209" s="24" t="inlineStr">
        <is>
          <t>HIGH_RISK</t>
        </is>
      </c>
      <c r="W209" s="24" t="inlineStr">
        <is>
          <t>고위험</t>
        </is>
      </c>
      <c r="X209" s="24" t="inlineStr">
        <is>
          <t>HIGH_RISK</t>
        </is>
      </c>
      <c r="Y209" s="24" t="inlineStr">
        <is>
          <t>0.7677840717507917</t>
        </is>
      </c>
      <c r="Z209" s="24" t="inlineStr">
        <is>
          <t>HIGH</t>
        </is>
      </c>
      <c r="AA209" s="24" t="inlineStr">
        <is>
          <t>HIGH</t>
        </is>
      </c>
      <c r="AB209" s="24" t="inlineStr">
        <is>
          <t>0.06747219473464933</t>
        </is>
      </c>
      <c r="AC209" s="24" t="inlineStr">
        <is>
          <t>False</t>
        </is>
      </c>
      <c r="AD209" s="24" t="inlineStr">
        <is>
          <t>False</t>
        </is>
      </c>
      <c r="AE209" s="24" t="inlineStr">
        <is>
          <t>valuation_credit_ml_overlay_candidate.csv</t>
        </is>
      </c>
      <c r="AF209" s="24" t="inlineStr">
        <is>
          <t>208개 반도체 reference universe. Valuation Agent가 자체 intake 폴더로 복제해 Peer/ML/대시보드 비교에 사용.</t>
        </is>
      </c>
    </row>
    <row r="210" ht="24" customHeight="1">
      <c r="A210" s="29" t="inlineStr">
        <is>
          <t>73</t>
        </is>
      </c>
      <c r="B210" s="29" t="inlineStr">
        <is>
          <t>해당 없음</t>
        </is>
      </c>
      <c r="C210" s="29" t="inlineStr">
        <is>
          <t>픽셀플러스</t>
        </is>
      </c>
      <c r="D210" s="29" t="inlineStr">
        <is>
          <t>087600</t>
        </is>
      </c>
      <c r="E210" s="29" t="inlineStr">
        <is>
          <t>KOSDAQ</t>
        </is>
      </c>
      <c r="F210" s="29" t="inlineStr">
        <is>
          <t>팹리스/설계</t>
        </is>
      </c>
      <c r="G210" s="29" t="inlineStr">
        <is>
          <t>팹리스/설계</t>
        </is>
      </c>
      <c r="H210" s="29" t="inlineStr">
        <is>
          <t>False</t>
        </is>
      </c>
      <c r="I210" s="29" t="inlineStr">
        <is>
          <t>True</t>
        </is>
      </c>
      <c r="J210" s="29" t="inlineStr">
        <is>
          <t>OK</t>
        </is>
      </c>
      <c r="K210" s="29" t="inlineStr">
        <is>
          <t>데이터 사용 가능</t>
        </is>
      </c>
      <c r="L210" s="29" t="inlineStr">
        <is>
          <t>LOW</t>
        </is>
      </c>
      <c r="M210" s="29" t="inlineStr">
        <is>
          <t>LOW</t>
        </is>
      </c>
      <c r="N210" s="29" t="inlineStr">
        <is>
          <t>0.543030303030303</t>
        </is>
      </c>
      <c r="O210" s="29" t="inlineStr">
        <is>
          <t>FAIR</t>
        </is>
      </c>
      <c r="P210" s="29" t="inlineStr">
        <is>
          <t>FAIR</t>
        </is>
      </c>
      <c r="Q210" s="29" t="inlineStr">
        <is>
          <t>FAIR</t>
        </is>
      </c>
      <c r="R210" s="29" t="inlineStr">
        <is>
          <t>0.8353732583827468</t>
        </is>
      </c>
      <c r="S210" s="29" t="inlineStr">
        <is>
          <t>HIGH</t>
        </is>
      </c>
      <c r="T210" s="29" t="inlineStr">
        <is>
          <t>HIGH</t>
        </is>
      </c>
      <c r="U210" s="29" t="inlineStr">
        <is>
          <t>0.2857142857142857</t>
        </is>
      </c>
      <c r="V210" s="29" t="inlineStr">
        <is>
          <t>MEDIUM_RISK</t>
        </is>
      </c>
      <c r="W210" s="29" t="inlineStr">
        <is>
          <t>중위험</t>
        </is>
      </c>
      <c r="X210" s="29" t="inlineStr">
        <is>
          <t>MEDIUM_RISK</t>
        </is>
      </c>
      <c r="Y210" s="29" t="inlineStr">
        <is>
          <t>0.8277119254156154</t>
        </is>
      </c>
      <c r="Z210" s="29" t="inlineStr">
        <is>
          <t>HIGH</t>
        </is>
      </c>
      <c r="AA210" s="29" t="inlineStr">
        <is>
          <t>HIGH</t>
        </is>
      </c>
      <c r="AB210" s="29" t="inlineStr">
        <is>
          <t>0.08861749399056779</t>
        </is>
      </c>
      <c r="AC210" s="29" t="inlineStr">
        <is>
          <t>False</t>
        </is>
      </c>
      <c r="AD210" s="29" t="inlineStr">
        <is>
          <t>False</t>
        </is>
      </c>
      <c r="AE210" s="29" t="inlineStr">
        <is>
          <t>valuation_credit_ml_overlay_candidate.csv</t>
        </is>
      </c>
      <c r="AF210" s="29" t="inlineStr">
        <is>
          <t>208개 반도체 reference universe. Valuation Agent가 자체 intake 폴더로 복제해 Peer/ML/대시보드 비교에 사용.</t>
        </is>
      </c>
    </row>
    <row r="211" ht="24" customHeight="1">
      <c r="A211" s="24" t="inlineStr">
        <is>
          <t>67</t>
        </is>
      </c>
      <c r="B211" s="24" t="inlineStr">
        <is>
          <t>해당 없음</t>
        </is>
      </c>
      <c r="C211" s="24" t="inlineStr">
        <is>
          <t>칩스앤미디어</t>
        </is>
      </c>
      <c r="D211" s="24" t="inlineStr">
        <is>
          <t>094360</t>
        </is>
      </c>
      <c r="E211" s="24" t="inlineStr">
        <is>
          <t>KOSDAQ</t>
        </is>
      </c>
      <c r="F211" s="24" t="inlineStr">
        <is>
          <t>팹리스/설계</t>
        </is>
      </c>
      <c r="G211" s="24" t="inlineStr">
        <is>
          <t>팹리스/설계</t>
        </is>
      </c>
      <c r="H211" s="24" t="inlineStr">
        <is>
          <t>False</t>
        </is>
      </c>
      <c r="I211" s="24" t="inlineStr">
        <is>
          <t>True</t>
        </is>
      </c>
      <c r="J211" s="24" t="inlineStr">
        <is>
          <t>OK</t>
        </is>
      </c>
      <c r="K211" s="24" t="inlineStr">
        <is>
          <t>데이터 사용 가능</t>
        </is>
      </c>
      <c r="L211" s="24" t="inlineStr">
        <is>
          <t>LOW</t>
        </is>
      </c>
      <c r="M211" s="24" t="inlineStr">
        <is>
          <t>LOW</t>
        </is>
      </c>
      <c r="N211" s="24" t="inlineStr">
        <is>
          <t>0.5424242424242424</t>
        </is>
      </c>
      <c r="O211" s="24" t="inlineStr">
        <is>
          <t>FAIR</t>
        </is>
      </c>
      <c r="P211" s="24" t="inlineStr">
        <is>
          <t>FAIR</t>
        </is>
      </c>
      <c r="Q211" s="24" t="inlineStr">
        <is>
          <t>FAIR</t>
        </is>
      </c>
      <c r="R211" s="24" t="inlineStr">
        <is>
          <t>0.44740744488593415</t>
        </is>
      </c>
      <c r="S211" s="24" t="inlineStr">
        <is>
          <t>LOW</t>
        </is>
      </c>
      <c r="T211" s="24" t="inlineStr">
        <is>
          <t>LOW</t>
        </is>
      </c>
      <c r="U211" s="24" t="inlineStr">
        <is>
          <t>0.0</t>
        </is>
      </c>
      <c r="V211" s="24" t="inlineStr">
        <is>
          <t>LOW_RISK</t>
        </is>
      </c>
      <c r="W211" s="24" t="inlineStr">
        <is>
          <t>저위험</t>
        </is>
      </c>
      <c r="X211" s="24" t="inlineStr">
        <is>
          <t>LOW_RISK</t>
        </is>
      </c>
      <c r="Y211" s="24" t="inlineStr">
        <is>
          <t>0.9394752479511282</t>
        </is>
      </c>
      <c r="Z211" s="24" t="inlineStr">
        <is>
          <t>HIGH</t>
        </is>
      </c>
      <c r="AA211" s="24" t="inlineStr">
        <is>
          <t>HIGH</t>
        </is>
      </c>
      <c r="AB211" s="24" t="inlineStr">
        <is>
          <t>0.1165162896524789</t>
        </is>
      </c>
      <c r="AC211" s="24" t="inlineStr">
        <is>
          <t>False</t>
        </is>
      </c>
      <c r="AD211" s="24" t="inlineStr">
        <is>
          <t>True</t>
        </is>
      </c>
      <c r="AE211" s="24" t="inlineStr">
        <is>
          <t>valuation_credit_ml_overlay_candidate.csv</t>
        </is>
      </c>
      <c r="AF211" s="24" t="inlineStr">
        <is>
          <t>208개 반도체 reference universe. Valuation Agent가 자체 intake 폴더로 복제해 Peer/ML/대시보드 비교에 사용.</t>
        </is>
      </c>
    </row>
    <row r="212" ht="24" customHeight="1">
      <c r="A212" s="29" t="inlineStr">
        <is>
          <t>57</t>
        </is>
      </c>
      <c r="B212" s="29" t="inlineStr">
        <is>
          <t>해당 없음</t>
        </is>
      </c>
      <c r="C212" s="29" t="inlineStr">
        <is>
          <t>아이케이세미콘</t>
        </is>
      </c>
      <c r="D212" s="29" t="inlineStr">
        <is>
          <t>149010</t>
        </is>
      </c>
      <c r="E212" s="29" t="inlineStr">
        <is>
          <t>KONEX</t>
        </is>
      </c>
      <c r="F212" s="29" t="inlineStr">
        <is>
          <t>팹리스/설계</t>
        </is>
      </c>
      <c r="G212" s="29" t="inlineStr">
        <is>
          <t>팹리스/설계</t>
        </is>
      </c>
      <c r="H212" s="29" t="inlineStr">
        <is>
          <t>False</t>
        </is>
      </c>
      <c r="I212" s="29" t="inlineStr">
        <is>
          <t>True</t>
        </is>
      </c>
      <c r="J212" s="29" t="inlineStr">
        <is>
          <t>NO_DART_FINANCIAL_DATA</t>
        </is>
      </c>
      <c r="K212" s="29" t="inlineStr">
        <is>
          <t>데이터 사용 가능</t>
        </is>
      </c>
      <c r="L212" s="29" t="inlineStr">
        <is>
          <t>HIGH</t>
        </is>
      </c>
      <c r="M212" s="29" t="inlineStr">
        <is>
          <t>HIGH</t>
        </is>
      </c>
      <c r="N212" s="29" t="inlineStr">
        <is>
          <t>0.497979797979798</t>
        </is>
      </c>
      <c r="O212" s="29" t="inlineStr">
        <is>
          <t>FAIR</t>
        </is>
      </c>
      <c r="P212" s="29" t="inlineStr">
        <is>
          <t>FAIR</t>
        </is>
      </c>
      <c r="Q212" s="29" t="inlineStr">
        <is>
          <t>FAIR</t>
        </is>
      </c>
      <c r="R212" s="29" t="inlineStr">
        <is>
          <t>0.9626560040296214</t>
        </is>
      </c>
      <c r="S212" s="29" t="inlineStr">
        <is>
          <t>HIGH</t>
        </is>
      </c>
      <c r="T212" s="29" t="inlineStr">
        <is>
          <t>HIGH</t>
        </is>
      </c>
      <c r="U212" s="29" t="inlineStr">
        <is>
          <t>0.6428571428571429</t>
        </is>
      </c>
      <c r="V212" s="29" t="inlineStr">
        <is>
          <t>HIGH_RISK</t>
        </is>
      </c>
      <c r="W212" s="29" t="inlineStr">
        <is>
          <t>고위험</t>
        </is>
      </c>
      <c r="X212" s="29" t="inlineStr">
        <is>
          <t>HIGH_RISK</t>
        </is>
      </c>
      <c r="Y212" s="29" t="inlineStr">
        <is>
          <t>0.7070645883552188</t>
        </is>
      </c>
      <c r="Z212" s="29" t="inlineStr">
        <is>
          <t>HIGH</t>
        </is>
      </c>
      <c r="AA212" s="29" t="inlineStr">
        <is>
          <t>HIGH</t>
        </is>
      </c>
      <c r="AB212" s="29" t="inlineStr">
        <is>
          <t>0.07589516599498297</t>
        </is>
      </c>
      <c r="AC212" s="29" t="inlineStr">
        <is>
          <t>False</t>
        </is>
      </c>
      <c r="AD212" s="29" t="inlineStr">
        <is>
          <t>True</t>
        </is>
      </c>
      <c r="AE212" s="29" t="inlineStr">
        <is>
          <t>valuation_credit_ml_overlay_candidate.csv</t>
        </is>
      </c>
      <c r="AF212" s="29" t="inlineStr">
        <is>
          <t>208개 반도체 reference universe. Valuation Agent가 자체 intake 폴더로 복제해 Peer/ML/대시보드 비교에 사용.</t>
        </is>
      </c>
    </row>
    <row r="213" ht="24" customHeight="1">
      <c r="A213" s="24" t="inlineStr">
        <is>
          <t>70</t>
        </is>
      </c>
      <c r="B213" s="24" t="inlineStr">
        <is>
          <t>해당 없음</t>
        </is>
      </c>
      <c r="C213" s="24" t="inlineStr">
        <is>
          <t>텔레칩스</t>
        </is>
      </c>
      <c r="D213" s="24" t="inlineStr">
        <is>
          <t>054450</t>
        </is>
      </c>
      <c r="E213" s="24" t="inlineStr">
        <is>
          <t>KOSDAQ</t>
        </is>
      </c>
      <c r="F213" s="24" t="inlineStr">
        <is>
          <t>팹리스/설계</t>
        </is>
      </c>
      <c r="G213" s="24" t="inlineStr">
        <is>
          <t>팹리스/설계</t>
        </is>
      </c>
      <c r="H213" s="24" t="inlineStr">
        <is>
          <t>False</t>
        </is>
      </c>
      <c r="I213" s="24" t="inlineStr">
        <is>
          <t>True</t>
        </is>
      </c>
      <c r="J213" s="24" t="inlineStr">
        <is>
          <t>OK</t>
        </is>
      </c>
      <c r="K213" s="24" t="inlineStr">
        <is>
          <t>데이터 사용 가능</t>
        </is>
      </c>
      <c r="L213" s="24" t="inlineStr">
        <is>
          <t>LOW</t>
        </is>
      </c>
      <c r="M213" s="24" t="inlineStr">
        <is>
          <t>LOW</t>
        </is>
      </c>
      <c r="N213" s="24" t="inlineStr">
        <is>
          <t>0.4943434343434343</t>
        </is>
      </c>
      <c r="O213" s="24" t="inlineStr">
        <is>
          <t>FAIR</t>
        </is>
      </c>
      <c r="P213" s="24" t="inlineStr">
        <is>
          <t>FAIR</t>
        </is>
      </c>
      <c r="Q213" s="24" t="inlineStr">
        <is>
          <t>EXPENSIVE</t>
        </is>
      </c>
      <c r="R213" s="24" t="inlineStr">
        <is>
          <t>0.5716537225721987</t>
        </is>
      </c>
      <c r="S213" s="24" t="inlineStr">
        <is>
          <t>MEDIUM</t>
        </is>
      </c>
      <c r="T213" s="24" t="inlineStr">
        <is>
          <t>MEDIUM</t>
        </is>
      </c>
      <c r="U213" s="24" t="inlineStr">
        <is>
          <t>0.7142857142857143</t>
        </is>
      </c>
      <c r="V213" s="24" t="inlineStr">
        <is>
          <t>HIGH_RISK</t>
        </is>
      </c>
      <c r="W213" s="24" t="inlineStr">
        <is>
          <t>고위험</t>
        </is>
      </c>
      <c r="X213" s="24" t="inlineStr">
        <is>
          <t>HIGH_RISK</t>
        </is>
      </c>
      <c r="Y213" s="24" t="inlineStr">
        <is>
          <t>0.9759550340612091</t>
        </is>
      </c>
      <c r="Z213" s="24" t="inlineStr">
        <is>
          <t>HIGH</t>
        </is>
      </c>
      <c r="AA213" s="24" t="inlineStr">
        <is>
          <t>HIGH</t>
        </is>
      </c>
      <c r="AB213" s="24" t="inlineStr">
        <is>
          <t>0.07328745198510121</t>
        </is>
      </c>
      <c r="AC213" s="24" t="inlineStr">
        <is>
          <t>False</t>
        </is>
      </c>
      <c r="AD213" s="24" t="inlineStr">
        <is>
          <t>False</t>
        </is>
      </c>
      <c r="AE213" s="24" t="inlineStr">
        <is>
          <t>valuation_credit_ml_overlay_candidate.csv</t>
        </is>
      </c>
      <c r="AF213" s="24" t="inlineStr">
        <is>
          <t>208개 반도체 reference universe. Valuation Agent가 자체 intake 폴더로 복제해 Peer/ML/대시보드 비교에 사용.</t>
        </is>
      </c>
    </row>
    <row r="214" ht="24" customHeight="1">
      <c r="A214" s="29" t="inlineStr">
        <is>
          <t>59</t>
        </is>
      </c>
      <c r="B214" s="29" t="inlineStr">
        <is>
          <t>해당 없음</t>
        </is>
      </c>
      <c r="C214" s="29" t="inlineStr">
        <is>
          <t>알파칩스</t>
        </is>
      </c>
      <c r="D214" s="29" t="inlineStr">
        <is>
          <t>117670</t>
        </is>
      </c>
      <c r="E214" s="29" t="inlineStr">
        <is>
          <t>KOSDAQ</t>
        </is>
      </c>
      <c r="F214" s="29" t="inlineStr">
        <is>
          <t>팹리스/설계</t>
        </is>
      </c>
      <c r="G214" s="29" t="inlineStr">
        <is>
          <t>팹리스/설계</t>
        </is>
      </c>
      <c r="H214" s="29" t="inlineStr">
        <is>
          <t>False</t>
        </is>
      </c>
      <c r="I214" s="29" t="inlineStr">
        <is>
          <t>True</t>
        </is>
      </c>
      <c r="J214" s="29" t="inlineStr">
        <is>
          <t>OK</t>
        </is>
      </c>
      <c r="K214" s="29" t="inlineStr">
        <is>
          <t>데이터 사용 가능</t>
        </is>
      </c>
      <c r="L214" s="29" t="inlineStr">
        <is>
          <t>LOW</t>
        </is>
      </c>
      <c r="M214" s="29" t="inlineStr">
        <is>
          <t>LOW</t>
        </is>
      </c>
      <c r="N214" s="29" t="inlineStr">
        <is>
          <t>0.4826262626262627</t>
        </is>
      </c>
      <c r="O214" s="29" t="inlineStr">
        <is>
          <t>FAIR</t>
        </is>
      </c>
      <c r="P214" s="29" t="inlineStr">
        <is>
          <t>FAIR</t>
        </is>
      </c>
      <c r="Q214" s="29" t="inlineStr">
        <is>
          <t>FAIR</t>
        </is>
      </c>
      <c r="R214" s="29" t="inlineStr">
        <is>
          <t>0.7398835550872951</t>
        </is>
      </c>
      <c r="S214" s="29" t="inlineStr">
        <is>
          <t>HIGH</t>
        </is>
      </c>
      <c r="T214" s="29" t="inlineStr">
        <is>
          <t>HIGH</t>
        </is>
      </c>
      <c r="U214" s="29" t="inlineStr">
        <is>
          <t>0.2857142857142857</t>
        </is>
      </c>
      <c r="V214" s="29" t="inlineStr">
        <is>
          <t>MEDIUM_RISK</t>
        </is>
      </c>
      <c r="W214" s="29" t="inlineStr">
        <is>
          <t>중위험</t>
        </is>
      </c>
      <c r="X214" s="29" t="inlineStr">
        <is>
          <t>MEDIUM_RISK</t>
        </is>
      </c>
      <c r="Y214" s="29" t="inlineStr">
        <is>
          <t>0.8321400367761521</t>
        </is>
      </c>
      <c r="Z214" s="29" t="inlineStr">
        <is>
          <t>HIGH</t>
        </is>
      </c>
      <c r="AA214" s="29" t="inlineStr">
        <is>
          <t>HIGH</t>
        </is>
      </c>
      <c r="AB214" s="29" t="inlineStr">
        <is>
          <t>0.06605777558134833</t>
        </is>
      </c>
      <c r="AC214" s="29" t="inlineStr">
        <is>
          <t>False</t>
        </is>
      </c>
      <c r="AD214" s="29" t="inlineStr">
        <is>
          <t>False</t>
        </is>
      </c>
      <c r="AE214" s="29" t="inlineStr">
        <is>
          <t>valuation_credit_ml_overlay_candidate.csv</t>
        </is>
      </c>
      <c r="AF214" s="29" t="inlineStr">
        <is>
          <t>208개 반도체 reference universe. Valuation Agent가 자체 intake 폴더로 복제해 Peer/ML/대시보드 비교에 사용.</t>
        </is>
      </c>
    </row>
    <row r="215" ht="24" customHeight="1">
      <c r="A215" s="24" t="inlineStr">
        <is>
          <t>46</t>
        </is>
      </c>
      <c r="B215" s="24" t="inlineStr">
        <is>
          <t>해당 없음</t>
        </is>
      </c>
      <c r="C215" s="24" t="inlineStr">
        <is>
          <t>라온로보틱스</t>
        </is>
      </c>
      <c r="D215" s="24" t="inlineStr">
        <is>
          <t>232680</t>
        </is>
      </c>
      <c r="E215" s="24" t="inlineStr">
        <is>
          <t>KOSDAQ</t>
        </is>
      </c>
      <c r="F215" s="24" t="inlineStr">
        <is>
          <t>팹리스/설계</t>
        </is>
      </c>
      <c r="G215" s="24" t="inlineStr">
        <is>
          <t>팹리스/설계</t>
        </is>
      </c>
      <c r="H215" s="24" t="inlineStr">
        <is>
          <t>False</t>
        </is>
      </c>
      <c r="I215" s="24" t="inlineStr">
        <is>
          <t>True</t>
        </is>
      </c>
      <c r="J215" s="24" t="inlineStr">
        <is>
          <t>OK</t>
        </is>
      </c>
      <c r="K215" s="24" t="inlineStr">
        <is>
          <t>데이터 사용 가능</t>
        </is>
      </c>
      <c r="L215" s="24" t="inlineStr">
        <is>
          <t>LOW</t>
        </is>
      </c>
      <c r="M215" s="24" t="inlineStr">
        <is>
          <t>LOW</t>
        </is>
      </c>
      <c r="N215" s="24" t="inlineStr">
        <is>
          <t>0.4745454545454545</t>
        </is>
      </c>
      <c r="O215" s="24" t="inlineStr">
        <is>
          <t>FAIR</t>
        </is>
      </c>
      <c r="P215" s="24" t="inlineStr">
        <is>
          <t>FAIR</t>
        </is>
      </c>
      <c r="Q215" s="24" t="inlineStr">
        <is>
          <t>FAIR</t>
        </is>
      </c>
      <c r="R215" s="24" t="inlineStr">
        <is>
          <t>0.7863374675167921</t>
        </is>
      </c>
      <c r="S215" s="24" t="inlineStr">
        <is>
          <t>HIGH</t>
        </is>
      </c>
      <c r="T215" s="24" t="inlineStr">
        <is>
          <t>HIGH</t>
        </is>
      </c>
      <c r="U215" s="24" t="inlineStr">
        <is>
          <t>0.1428571428571428</t>
        </is>
      </c>
      <c r="V215" s="24" t="inlineStr">
        <is>
          <t>LOW_RISK</t>
        </is>
      </c>
      <c r="W215" s="24" t="inlineStr">
        <is>
          <t>저위험</t>
        </is>
      </c>
      <c r="X215" s="24" t="inlineStr">
        <is>
          <t>LOW_RISK</t>
        </is>
      </c>
      <c r="Y215" s="24" t="inlineStr">
        <is>
          <t>0.6877521386643212</t>
        </is>
      </c>
      <c r="Z215" s="24" t="inlineStr">
        <is>
          <t>MEDIUM</t>
        </is>
      </c>
      <c r="AA215" s="24" t="inlineStr">
        <is>
          <t>MEDIUM</t>
        </is>
      </c>
      <c r="AB215" s="24" t="inlineStr">
        <is>
          <t>0.026169607074936322</t>
        </is>
      </c>
      <c r="AC215" s="24" t="inlineStr">
        <is>
          <t>False</t>
        </is>
      </c>
      <c r="AD215" s="24" t="inlineStr">
        <is>
          <t>False</t>
        </is>
      </c>
      <c r="AE215" s="24" t="inlineStr">
        <is>
          <t>valuation_credit_ml_overlay_candidate.csv</t>
        </is>
      </c>
      <c r="AF215" s="24" t="inlineStr">
        <is>
          <t>208개 반도체 reference universe. Valuation Agent가 자체 intake 폴더로 복제해 Peer/ML/대시보드 비교에 사용.</t>
        </is>
      </c>
    </row>
    <row r="216" ht="24" customHeight="1">
      <c r="A216" s="29" t="inlineStr">
        <is>
          <t>51</t>
        </is>
      </c>
      <c r="B216" s="29" t="inlineStr">
        <is>
          <t>해당 없음</t>
        </is>
      </c>
      <c r="C216" s="29" t="inlineStr">
        <is>
          <t>싸이닉솔루션</t>
        </is>
      </c>
      <c r="D216" s="29" t="inlineStr">
        <is>
          <t>234030</t>
        </is>
      </c>
      <c r="E216" s="29" t="inlineStr">
        <is>
          <t>KOSDAQ</t>
        </is>
      </c>
      <c r="F216" s="29" t="inlineStr">
        <is>
          <t>팹리스/설계</t>
        </is>
      </c>
      <c r="G216" s="29" t="inlineStr">
        <is>
          <t>팹리스/설계</t>
        </is>
      </c>
      <c r="H216" s="29" t="inlineStr">
        <is>
          <t>False</t>
        </is>
      </c>
      <c r="I216" s="29" t="inlineStr">
        <is>
          <t>True</t>
        </is>
      </c>
      <c r="J216" s="29" t="inlineStr">
        <is>
          <t>OK_LIMITED_HISTORY_OR_GROWTH_NA</t>
        </is>
      </c>
      <c r="K216" s="29" t="inlineStr">
        <is>
          <t>데이터 사용 가능</t>
        </is>
      </c>
      <c r="L216" s="29" t="inlineStr">
        <is>
          <t>LOW</t>
        </is>
      </c>
      <c r="M216" s="29" t="inlineStr">
        <is>
          <t>LOW</t>
        </is>
      </c>
      <c r="N216" s="29" t="inlineStr">
        <is>
          <t>0.4670707070707071</t>
        </is>
      </c>
      <c r="O216" s="29" t="inlineStr">
        <is>
          <t>FAIR</t>
        </is>
      </c>
      <c r="P216" s="29" t="inlineStr">
        <is>
          <t>FAIR</t>
        </is>
      </c>
      <c r="Q216" s="29" t="inlineStr">
        <is>
          <t>FAIR</t>
        </is>
      </c>
      <c r="R216" s="29" t="inlineStr">
        <is>
          <t>0.7962034217650586</t>
        </is>
      </c>
      <c r="S216" s="29" t="inlineStr">
        <is>
          <t>HIGH</t>
        </is>
      </c>
      <c r="T216" s="29" t="inlineStr">
        <is>
          <t>HIGH</t>
        </is>
      </c>
      <c r="U216" s="29" t="inlineStr">
        <is>
          <t>0.3571428571428571</t>
        </is>
      </c>
      <c r="V216" s="29" t="inlineStr">
        <is>
          <t>MEDIUM_RISK</t>
        </is>
      </c>
      <c r="W216" s="29" t="inlineStr">
        <is>
          <t>중위험</t>
        </is>
      </c>
      <c r="X216" s="29" t="inlineStr">
        <is>
          <t>MEDIUM_RISK</t>
        </is>
      </c>
      <c r="Y216" s="29" t="inlineStr">
        <is>
          <t>0.7381251250014311</t>
        </is>
      </c>
      <c r="Z216" s="29" t="inlineStr">
        <is>
          <t>HIGH</t>
        </is>
      </c>
      <c r="AA216" s="29" t="inlineStr">
        <is>
          <t>HIGH</t>
        </is>
      </c>
      <c r="AB216" s="29" t="inlineStr">
        <is>
          <t>0.06902922032160619</t>
        </is>
      </c>
      <c r="AC216" s="29" t="inlineStr">
        <is>
          <t>False</t>
        </is>
      </c>
      <c r="AD216" s="29" t="inlineStr">
        <is>
          <t>True</t>
        </is>
      </c>
      <c r="AE216" s="29" t="inlineStr">
        <is>
          <t>valuation_credit_ml_overlay_candidate.csv</t>
        </is>
      </c>
      <c r="AF216" s="29" t="inlineStr">
        <is>
          <t>208개 반도체 reference universe. Valuation Agent가 자체 intake 폴더로 복제해 Peer/ML/대시보드 비교에 사용.</t>
        </is>
      </c>
    </row>
    <row r="217" ht="24" customHeight="1">
      <c r="A217" s="24" t="inlineStr">
        <is>
          <t>56</t>
        </is>
      </c>
      <c r="B217" s="24" t="inlineStr">
        <is>
          <t>해당 없음</t>
        </is>
      </c>
      <c r="C217" s="24" t="inlineStr">
        <is>
          <t>아이언디바이스</t>
        </is>
      </c>
      <c r="D217" s="24" t="inlineStr">
        <is>
          <t>464500</t>
        </is>
      </c>
      <c r="E217" s="24" t="inlineStr">
        <is>
          <t>KOSDAQ</t>
        </is>
      </c>
      <c r="F217" s="24" t="inlineStr">
        <is>
          <t>팹리스/설계</t>
        </is>
      </c>
      <c r="G217" s="24" t="inlineStr">
        <is>
          <t>팹리스/설계</t>
        </is>
      </c>
      <c r="H217" s="24" t="inlineStr">
        <is>
          <t>False</t>
        </is>
      </c>
      <c r="I217" s="24" t="inlineStr">
        <is>
          <t>True</t>
        </is>
      </c>
      <c r="J217" s="24" t="inlineStr">
        <is>
          <t>OK_LIMITED_HISTORY_OR_GROWTH_NA</t>
        </is>
      </c>
      <c r="K217" s="24" t="inlineStr">
        <is>
          <t>데이터 사용 가능</t>
        </is>
      </c>
      <c r="L217" s="24" t="inlineStr">
        <is>
          <t>LOW</t>
        </is>
      </c>
      <c r="M217" s="24" t="inlineStr">
        <is>
          <t>LOW</t>
        </is>
      </c>
      <c r="N217" s="24" t="inlineStr">
        <is>
          <t>0.4278787878787879</t>
        </is>
      </c>
      <c r="O217" s="24" t="inlineStr">
        <is>
          <t>FAIR</t>
        </is>
      </c>
      <c r="P217" s="24" t="inlineStr">
        <is>
          <t>FAIR</t>
        </is>
      </c>
      <c r="Q217" s="24" t="inlineStr">
        <is>
          <t>EXPENSIVE</t>
        </is>
      </c>
      <c r="R217" s="24" t="inlineStr">
        <is>
          <t>0.767854918982104</t>
        </is>
      </c>
      <c r="S217" s="24" t="inlineStr">
        <is>
          <t>HIGH</t>
        </is>
      </c>
      <c r="T217" s="24" t="inlineStr">
        <is>
          <t>HIGH</t>
        </is>
      </c>
      <c r="U217" s="24" t="inlineStr">
        <is>
          <t>0.5714285714285714</t>
        </is>
      </c>
      <c r="V217" s="24" t="inlineStr">
        <is>
          <t>HIGH_RISK</t>
        </is>
      </c>
      <c r="W217" s="24" t="inlineStr">
        <is>
          <t>고위험</t>
        </is>
      </c>
      <c r="X217" s="24" t="inlineStr">
        <is>
          <t>HIGH_RISK</t>
        </is>
      </c>
      <c r="Y217" s="24" t="inlineStr">
        <is>
          <t>0.9669454138137473</t>
        </is>
      </c>
      <c r="Z217" s="24" t="inlineStr">
        <is>
          <t>HIGH</t>
        </is>
      </c>
      <c r="AA217" s="24" t="inlineStr">
        <is>
          <t>HIGH</t>
        </is>
      </c>
      <c r="AB217" s="24" t="inlineStr">
        <is>
          <t>0.37904191381671964</t>
        </is>
      </c>
      <c r="AC217" s="24" t="inlineStr">
        <is>
          <t>True</t>
        </is>
      </c>
      <c r="AD217" s="24" t="inlineStr">
        <is>
          <t>True</t>
        </is>
      </c>
      <c r="AE217" s="24" t="inlineStr">
        <is>
          <t>valuation_credit_ml_overlay_candidate.csv</t>
        </is>
      </c>
      <c r="AF217" s="24" t="inlineStr">
        <is>
          <t>208개 반도체 reference universe. Valuation Agent가 자체 intake 폴더로 복제해 Peer/ML/대시보드 비교에 사용.</t>
        </is>
      </c>
    </row>
    <row r="218" ht="24" customHeight="1">
      <c r="A218" s="29" t="inlineStr">
        <is>
          <t>52</t>
        </is>
      </c>
      <c r="B218" s="29" t="inlineStr">
        <is>
          <t>해당 없음</t>
        </is>
      </c>
      <c r="C218" s="29" t="inlineStr">
        <is>
          <t>쓰리에이로직스</t>
        </is>
      </c>
      <c r="D218" s="29" t="inlineStr">
        <is>
          <t>177900</t>
        </is>
      </c>
      <c r="E218" s="29" t="inlineStr">
        <is>
          <t>KOSDAQ</t>
        </is>
      </c>
      <c r="F218" s="29" t="inlineStr">
        <is>
          <t>팹리스/설계</t>
        </is>
      </c>
      <c r="G218" s="29" t="inlineStr">
        <is>
          <t>팹리스/설계</t>
        </is>
      </c>
      <c r="H218" s="29" t="inlineStr">
        <is>
          <t>False</t>
        </is>
      </c>
      <c r="I218" s="29" t="inlineStr">
        <is>
          <t>True</t>
        </is>
      </c>
      <c r="J218" s="29" t="inlineStr">
        <is>
          <t>OK_LIMITED_HISTORY_OR_GROWTH_NA</t>
        </is>
      </c>
      <c r="K218" s="29" t="inlineStr">
        <is>
          <t>데이터 사용 가능</t>
        </is>
      </c>
      <c r="L218" s="29" t="inlineStr">
        <is>
          <t>LOW</t>
        </is>
      </c>
      <c r="M218" s="29" t="inlineStr">
        <is>
          <t>LOW</t>
        </is>
      </c>
      <c r="N218" s="29" t="inlineStr">
        <is>
          <t>0.4266666666666666</t>
        </is>
      </c>
      <c r="O218" s="29" t="inlineStr">
        <is>
          <t>FAIR</t>
        </is>
      </c>
      <c r="P218" s="29" t="inlineStr">
        <is>
          <t>FAIR</t>
        </is>
      </c>
      <c r="Q218" s="29" t="inlineStr">
        <is>
          <t>EXPENSIVE</t>
        </is>
      </c>
      <c r="R218" s="29" t="inlineStr">
        <is>
          <t>0.5793703556022938</t>
        </is>
      </c>
      <c r="S218" s="29" t="inlineStr">
        <is>
          <t>MEDIUM</t>
        </is>
      </c>
      <c r="T218" s="29" t="inlineStr">
        <is>
          <t>MEDIUM</t>
        </is>
      </c>
      <c r="U218" s="29" t="inlineStr">
        <is>
          <t>0.5714285714285714</t>
        </is>
      </c>
      <c r="V218" s="29" t="inlineStr">
        <is>
          <t>HIGH_RISK</t>
        </is>
      </c>
      <c r="W218" s="29" t="inlineStr">
        <is>
          <t>고위험</t>
        </is>
      </c>
      <c r="X218" s="29" t="inlineStr">
        <is>
          <t>HIGH_RISK</t>
        </is>
      </c>
      <c r="Y218" s="29" t="inlineStr">
        <is>
          <t>0.947298040301951</t>
        </is>
      </c>
      <c r="Z218" s="29" t="inlineStr">
        <is>
          <t>HIGH</t>
        </is>
      </c>
      <c r="AA218" s="29" t="inlineStr">
        <is>
          <t>HIGH</t>
        </is>
      </c>
      <c r="AB218" s="29" t="inlineStr">
        <is>
          <t>0.09970421258194967</t>
        </is>
      </c>
      <c r="AC218" s="29" t="inlineStr">
        <is>
          <t>False</t>
        </is>
      </c>
      <c r="AD218" s="29" t="inlineStr">
        <is>
          <t>True</t>
        </is>
      </c>
      <c r="AE218" s="29" t="inlineStr">
        <is>
          <t>valuation_credit_ml_overlay_candidate.csv</t>
        </is>
      </c>
      <c r="AF218" s="29" t="inlineStr">
        <is>
          <t>208개 반도체 reference universe. Valuation Agent가 자체 intake 폴더로 복제해 Peer/ML/대시보드 비교에 사용.</t>
        </is>
      </c>
    </row>
    <row r="219" ht="24" customHeight="1">
      <c r="A219" s="24" t="inlineStr">
        <is>
          <t>43</t>
        </is>
      </c>
      <c r="B219" s="24" t="inlineStr">
        <is>
          <t>해당 없음</t>
        </is>
      </c>
      <c r="C219" s="24" t="inlineStr">
        <is>
          <t>넥스트칩</t>
        </is>
      </c>
      <c r="D219" s="24" t="inlineStr">
        <is>
          <t>396270</t>
        </is>
      </c>
      <c r="E219" s="24" t="inlineStr">
        <is>
          <t>KOSDAQ</t>
        </is>
      </c>
      <c r="F219" s="24" t="inlineStr">
        <is>
          <t>팹리스/설계</t>
        </is>
      </c>
      <c r="G219" s="24" t="inlineStr">
        <is>
          <t>팹리스/설계</t>
        </is>
      </c>
      <c r="H219" s="24" t="inlineStr">
        <is>
          <t>False</t>
        </is>
      </c>
      <c r="I219" s="24" t="inlineStr">
        <is>
          <t>True</t>
        </is>
      </c>
      <c r="J219" s="24" t="inlineStr">
        <is>
          <t>OK</t>
        </is>
      </c>
      <c r="K219" s="24" t="inlineStr">
        <is>
          <t>데이터 사용 가능</t>
        </is>
      </c>
      <c r="L219" s="24" t="inlineStr">
        <is>
          <t>LOW</t>
        </is>
      </c>
      <c r="M219" s="24" t="inlineStr">
        <is>
          <t>LOW</t>
        </is>
      </c>
      <c r="N219" s="24" t="inlineStr">
        <is>
          <t>0.3743434343434344</t>
        </is>
      </c>
      <c r="O219" s="24" t="inlineStr">
        <is>
          <t>EXPENSIVE</t>
        </is>
      </c>
      <c r="P219" s="24" t="inlineStr">
        <is>
          <t>EXPENSIVE</t>
        </is>
      </c>
      <c r="Q219" s="24" t="inlineStr">
        <is>
          <t>EXPENSIVE</t>
        </is>
      </c>
      <c r="R219" s="24" t="inlineStr">
        <is>
          <t>0.9380466040149497</t>
        </is>
      </c>
      <c r="S219" s="24" t="inlineStr">
        <is>
          <t>HIGH</t>
        </is>
      </c>
      <c r="T219" s="24" t="inlineStr">
        <is>
          <t>HIGH</t>
        </is>
      </c>
      <c r="U219" s="24" t="inlineStr">
        <is>
          <t>0.7142857142857143</t>
        </is>
      </c>
      <c r="V219" s="24" t="inlineStr">
        <is>
          <t>HIGH_RISK</t>
        </is>
      </c>
      <c r="W219" s="24" t="inlineStr">
        <is>
          <t>고위험</t>
        </is>
      </c>
      <c r="X219" s="24" t="inlineStr">
        <is>
          <t>HIGH_RISK</t>
        </is>
      </c>
      <c r="Y219" s="24" t="inlineStr">
        <is>
          <t>0.9903921975513593</t>
        </is>
      </c>
      <c r="Z219" s="24" t="inlineStr">
        <is>
          <t>HIGH</t>
        </is>
      </c>
      <c r="AA219" s="24" t="inlineStr">
        <is>
          <t>HIGH</t>
        </is>
      </c>
      <c r="AB219" s="24" t="inlineStr">
        <is>
          <t>0.35370954409664757</t>
        </is>
      </c>
      <c r="AC219" s="24" t="inlineStr">
        <is>
          <t>True</t>
        </is>
      </c>
      <c r="AD219" s="24" t="inlineStr">
        <is>
          <t>True</t>
        </is>
      </c>
      <c r="AE219" s="24" t="inlineStr">
        <is>
          <t>valuation_credit_ml_overlay_candidate.csv</t>
        </is>
      </c>
      <c r="AF219" s="24" t="inlineStr">
        <is>
          <t>208개 반도체 reference universe. Valuation Agent가 자체 intake 폴더로 복제해 Peer/ML/대시보드 비교에 사용.</t>
        </is>
      </c>
    </row>
    <row r="220" ht="24" customHeight="1">
      <c r="A220" s="29" t="inlineStr">
        <is>
          <t>49</t>
        </is>
      </c>
      <c r="B220" s="29" t="inlineStr">
        <is>
          <t>해당 없음</t>
        </is>
      </c>
      <c r="C220" s="29" t="inlineStr">
        <is>
          <t>사피엔반도체</t>
        </is>
      </c>
      <c r="D220" s="29" t="inlineStr">
        <is>
          <t>452430</t>
        </is>
      </c>
      <c r="E220" s="29" t="inlineStr">
        <is>
          <t>KOSDAQ</t>
        </is>
      </c>
      <c r="F220" s="29" t="inlineStr">
        <is>
          <t>팹리스/설계</t>
        </is>
      </c>
      <c r="G220" s="29" t="inlineStr">
        <is>
          <t>팹리스/설계</t>
        </is>
      </c>
      <c r="H220" s="29" t="inlineStr">
        <is>
          <t>False</t>
        </is>
      </c>
      <c r="I220" s="29" t="inlineStr">
        <is>
          <t>True</t>
        </is>
      </c>
      <c r="J220" s="29" t="inlineStr">
        <is>
          <t>OK_LIMITED_HISTORY_OR_GROWTH_NA</t>
        </is>
      </c>
      <c r="K220" s="29" t="inlineStr">
        <is>
          <t>데이터 사용 가능</t>
        </is>
      </c>
      <c r="L220" s="29" t="inlineStr">
        <is>
          <t>LOW</t>
        </is>
      </c>
      <c r="M220" s="29" t="inlineStr">
        <is>
          <t>LOW</t>
        </is>
      </c>
      <c r="N220" s="29" t="inlineStr">
        <is>
          <t>0.3721212121212121</t>
        </is>
      </c>
      <c r="O220" s="29" t="inlineStr">
        <is>
          <t>EXPENSIVE</t>
        </is>
      </c>
      <c r="P220" s="29" t="inlineStr">
        <is>
          <t>EXPENSIVE</t>
        </is>
      </c>
      <c r="Q220" s="29" t="inlineStr">
        <is>
          <t>EXPENSIVE</t>
        </is>
      </c>
      <c r="R220" s="29" t="inlineStr">
        <is>
          <t>0.8482781866315999</t>
        </is>
      </c>
      <c r="S220" s="29" t="inlineStr">
        <is>
          <t>HIGH</t>
        </is>
      </c>
      <c r="T220" s="29" t="inlineStr">
        <is>
          <t>HIGH</t>
        </is>
      </c>
      <c r="U220" s="29" t="inlineStr">
        <is>
          <t>0.5714285714285714</t>
        </is>
      </c>
      <c r="V220" s="29" t="inlineStr">
        <is>
          <t>HIGH_RISK</t>
        </is>
      </c>
      <c r="W220" s="29" t="inlineStr">
        <is>
          <t>고위험</t>
        </is>
      </c>
      <c r="X220" s="29" t="inlineStr">
        <is>
          <t>MEDIUM_RISK</t>
        </is>
      </c>
      <c r="Y220" s="29" t="inlineStr">
        <is>
          <t>0.5745685064585346</t>
        </is>
      </c>
      <c r="Z220" s="29" t="inlineStr">
        <is>
          <t>MEDIUM</t>
        </is>
      </c>
      <c r="AA220" s="29" t="inlineStr">
        <is>
          <t>MEDIUM</t>
        </is>
      </c>
      <c r="AB220" s="29" t="inlineStr">
        <is>
          <t>0.12187984427462309</t>
        </is>
      </c>
      <c r="AC220" s="29" t="inlineStr">
        <is>
          <t>False</t>
        </is>
      </c>
      <c r="AD220" s="29" t="inlineStr">
        <is>
          <t>True</t>
        </is>
      </c>
      <c r="AE220" s="29" t="inlineStr">
        <is>
          <t>valuation_credit_ml_overlay_candidate.csv</t>
        </is>
      </c>
      <c r="AF220" s="29" t="inlineStr">
        <is>
          <t>208개 반도체 reference universe. Valuation Agent가 자체 intake 폴더로 복제해 Peer/ML/대시보드 비교에 사용.</t>
        </is>
      </c>
    </row>
    <row r="221" ht="24" customHeight="1">
      <c r="A221" s="24" t="inlineStr">
        <is>
          <t>44</t>
        </is>
      </c>
      <c r="B221" s="24" t="inlineStr">
        <is>
          <t>해당 없음</t>
        </is>
      </c>
      <c r="C221" s="24" t="inlineStr">
        <is>
          <t>동운아나텍</t>
        </is>
      </c>
      <c r="D221" s="24" t="inlineStr">
        <is>
          <t>094170</t>
        </is>
      </c>
      <c r="E221" s="24" t="inlineStr">
        <is>
          <t>KOSDAQ</t>
        </is>
      </c>
      <c r="F221" s="24" t="inlineStr">
        <is>
          <t>팹리스/설계</t>
        </is>
      </c>
      <c r="G221" s="24" t="inlineStr">
        <is>
          <t>팹리스/설계</t>
        </is>
      </c>
      <c r="H221" s="24" t="inlineStr">
        <is>
          <t>False</t>
        </is>
      </c>
      <c r="I221" s="24" t="inlineStr">
        <is>
          <t>True</t>
        </is>
      </c>
      <c r="J221" s="24" t="inlineStr">
        <is>
          <t>OK</t>
        </is>
      </c>
      <c r="K221" s="24" t="inlineStr">
        <is>
          <t>데이터 사용 가능</t>
        </is>
      </c>
      <c r="L221" s="24" t="inlineStr">
        <is>
          <t>LOW</t>
        </is>
      </c>
      <c r="M221" s="24" t="inlineStr">
        <is>
          <t>LOW</t>
        </is>
      </c>
      <c r="N221" s="24" t="inlineStr">
        <is>
          <t>0.3670707070707071</t>
        </is>
      </c>
      <c r="O221" s="24" t="inlineStr">
        <is>
          <t>EXPENSIVE</t>
        </is>
      </c>
      <c r="P221" s="24" t="inlineStr">
        <is>
          <t>EXPENSIVE</t>
        </is>
      </c>
      <c r="Q221" s="24" t="inlineStr">
        <is>
          <t>EXPENSIVE</t>
        </is>
      </c>
      <c r="R221" s="24" t="inlineStr">
        <is>
          <t>0.4894423516429773</t>
        </is>
      </c>
      <c r="S221" s="24" t="inlineStr">
        <is>
          <t>LOW</t>
        </is>
      </c>
      <c r="T221" s="24" t="inlineStr">
        <is>
          <t>LOW</t>
        </is>
      </c>
      <c r="U221" s="24" t="inlineStr">
        <is>
          <t>0.2142857142857142</t>
        </is>
      </c>
      <c r="V221" s="24" t="inlineStr">
        <is>
          <t>MEDIUM_RISK</t>
        </is>
      </c>
      <c r="W221" s="24" t="inlineStr">
        <is>
          <t>중위험</t>
        </is>
      </c>
      <c r="X221" s="24" t="inlineStr">
        <is>
          <t>MEDIUM_RISK</t>
        </is>
      </c>
      <c r="Y221" s="24" t="inlineStr">
        <is>
          <t>0.5063531969196903</t>
        </is>
      </c>
      <c r="Z221" s="24" t="inlineStr">
        <is>
          <t>MEDIUM</t>
        </is>
      </c>
      <c r="AA221" s="24" t="inlineStr">
        <is>
          <t>MEDIUM</t>
        </is>
      </c>
      <c r="AB221" s="24" t="inlineStr">
        <is>
          <t>0.09811976029987664</t>
        </is>
      </c>
      <c r="AC221" s="24" t="inlineStr">
        <is>
          <t>False</t>
        </is>
      </c>
      <c r="AD221" s="24" t="inlineStr">
        <is>
          <t>True</t>
        </is>
      </c>
      <c r="AE221" s="24" t="inlineStr">
        <is>
          <t>valuation_credit_ml_overlay_candidate.csv</t>
        </is>
      </c>
      <c r="AF221" s="24" t="inlineStr">
        <is>
          <t>208개 반도체 reference universe. Valuation Agent가 자체 intake 폴더로 복제해 Peer/ML/대시보드 비교에 사용.</t>
        </is>
      </c>
    </row>
    <row r="222" ht="24" customHeight="1">
      <c r="A222" s="29" t="inlineStr">
        <is>
          <t>50</t>
        </is>
      </c>
      <c r="B222" s="29" t="inlineStr">
        <is>
          <t>해당 없음</t>
        </is>
      </c>
      <c r="C222" s="29" t="inlineStr">
        <is>
          <t>세미파이브</t>
        </is>
      </c>
      <c r="D222" s="29" t="inlineStr">
        <is>
          <t>490470</t>
        </is>
      </c>
      <c r="E222" s="29" t="inlineStr">
        <is>
          <t>KOSDAQ</t>
        </is>
      </c>
      <c r="F222" s="29" t="inlineStr">
        <is>
          <t>팹리스/설계</t>
        </is>
      </c>
      <c r="G222" s="29" t="inlineStr">
        <is>
          <t>팹리스/설계</t>
        </is>
      </c>
      <c r="H222" s="29" t="inlineStr">
        <is>
          <t>False</t>
        </is>
      </c>
      <c r="I222" s="29" t="inlineStr">
        <is>
          <t>True</t>
        </is>
      </c>
      <c r="J222" s="29" t="inlineStr">
        <is>
          <t>OK_LIMITED_HISTORY_OR_GROWTH_NA</t>
        </is>
      </c>
      <c r="K222" s="29" t="inlineStr">
        <is>
          <t>데이터 사용 가능</t>
        </is>
      </c>
      <c r="L222" s="29" t="inlineStr">
        <is>
          <t>LOW</t>
        </is>
      </c>
      <c r="M222" s="29" t="inlineStr">
        <is>
          <t>LOW</t>
        </is>
      </c>
      <c r="N222" s="29" t="inlineStr">
        <is>
          <t>0.3646464646464646</t>
        </is>
      </c>
      <c r="O222" s="29" t="inlineStr">
        <is>
          <t>EXPENSIVE</t>
        </is>
      </c>
      <c r="P222" s="29" t="inlineStr">
        <is>
          <t>EXPENSIVE</t>
        </is>
      </c>
      <c r="Q222" s="29" t="inlineStr">
        <is>
          <t>EXPENSIVE</t>
        </is>
      </c>
      <c r="R222" s="29" t="inlineStr">
        <is>
          <t>0.9277538303818181</t>
        </is>
      </c>
      <c r="S222" s="29" t="inlineStr">
        <is>
          <t>HIGH</t>
        </is>
      </c>
      <c r="T222" s="29" t="inlineStr">
        <is>
          <t>HIGH</t>
        </is>
      </c>
      <c r="U222" s="29" t="inlineStr">
        <is>
          <t>0.5</t>
        </is>
      </c>
      <c r="V222" s="29" t="inlineStr">
        <is>
          <t>HIGH_RISK</t>
        </is>
      </c>
      <c r="W222" s="29" t="inlineStr">
        <is>
          <t>고위험</t>
        </is>
      </c>
      <c r="X222" s="29" t="inlineStr">
        <is>
          <t>HIGH_RISK</t>
        </is>
      </c>
      <c r="Y222" s="29" t="inlineStr">
        <is>
          <t>0.8726925242668786</t>
        </is>
      </c>
      <c r="Z222" s="29" t="inlineStr">
        <is>
          <t>HIGH</t>
        </is>
      </c>
      <c r="AA222" s="29" t="inlineStr">
        <is>
          <t>HIGH</t>
        </is>
      </c>
      <c r="AB222" s="29" t="inlineStr">
        <is>
          <t>0.10138163372341347</t>
        </is>
      </c>
      <c r="AC222" s="29" t="inlineStr">
        <is>
          <t>False</t>
        </is>
      </c>
      <c r="AD222" s="29" t="inlineStr">
        <is>
          <t>True</t>
        </is>
      </c>
      <c r="AE222" s="29" t="inlineStr">
        <is>
          <t>valuation_credit_ml_overlay_candidate.csv</t>
        </is>
      </c>
      <c r="AF222" s="29" t="inlineStr">
        <is>
          <t>208개 반도체 reference universe. Valuation Agent가 자체 intake 폴더로 복제해 Peer/ML/대시보드 비교에 사용.</t>
        </is>
      </c>
    </row>
    <row r="223" ht="24" customHeight="1">
      <c r="A223" s="24" t="inlineStr">
        <is>
          <t>63</t>
        </is>
      </c>
      <c r="B223" s="24" t="inlineStr">
        <is>
          <t>해당 없음</t>
        </is>
      </c>
      <c r="C223" s="24" t="inlineStr">
        <is>
          <t>에이직랜드</t>
        </is>
      </c>
      <c r="D223" s="24" t="inlineStr">
        <is>
          <t>445090</t>
        </is>
      </c>
      <c r="E223" s="24" t="inlineStr">
        <is>
          <t>KOSDAQ</t>
        </is>
      </c>
      <c r="F223" s="24" t="inlineStr">
        <is>
          <t>팹리스/설계</t>
        </is>
      </c>
      <c r="G223" s="24" t="inlineStr">
        <is>
          <t>팹리스/설계</t>
        </is>
      </c>
      <c r="H223" s="24" t="inlineStr">
        <is>
          <t>False</t>
        </is>
      </c>
      <c r="I223" s="24" t="inlineStr">
        <is>
          <t>True</t>
        </is>
      </c>
      <c r="J223" s="24" t="inlineStr">
        <is>
          <t>OK_LIMITED_HISTORY_OR_GROWTH_NA</t>
        </is>
      </c>
      <c r="K223" s="24" t="inlineStr">
        <is>
          <t>데이터 사용 가능</t>
        </is>
      </c>
      <c r="L223" s="24" t="inlineStr">
        <is>
          <t>LOW</t>
        </is>
      </c>
      <c r="M223" s="24" t="inlineStr">
        <is>
          <t>LOW</t>
        </is>
      </c>
      <c r="N223" s="24" t="inlineStr">
        <is>
          <t>0.3294949494949495</t>
        </is>
      </c>
      <c r="O223" s="24" t="inlineStr">
        <is>
          <t>EXPENSIVE</t>
        </is>
      </c>
      <c r="P223" s="24" t="inlineStr">
        <is>
          <t>EXPENSIVE</t>
        </is>
      </c>
      <c r="Q223" s="24" t="inlineStr">
        <is>
          <t>EXPENSIVE</t>
        </is>
      </c>
      <c r="R223" s="24" t="inlineStr">
        <is>
          <t>0.9058303131641584</t>
        </is>
      </c>
      <c r="S223" s="24" t="inlineStr">
        <is>
          <t>HIGH</t>
        </is>
      </c>
      <c r="T223" s="24" t="inlineStr">
        <is>
          <t>HIGH</t>
        </is>
      </c>
      <c r="U223" s="24" t="inlineStr">
        <is>
          <t>0.7857142857142857</t>
        </is>
      </c>
      <c r="V223" s="24" t="inlineStr">
        <is>
          <t>HIGH_RISK</t>
        </is>
      </c>
      <c r="W223" s="24" t="inlineStr">
        <is>
          <t>고위험</t>
        </is>
      </c>
      <c r="X223" s="24" t="inlineStr">
        <is>
          <t>HIGH_RISK</t>
        </is>
      </c>
      <c r="Y223" s="24" t="inlineStr">
        <is>
          <t>0.9947590219356869</t>
        </is>
      </c>
      <c r="Z223" s="24" t="inlineStr">
        <is>
          <t>HIGH</t>
        </is>
      </c>
      <c r="AA223" s="24" t="inlineStr">
        <is>
          <t>HIGH</t>
        </is>
      </c>
      <c r="AB223" s="24" t="inlineStr">
        <is>
          <t>0.22322767104490657</t>
        </is>
      </c>
      <c r="AC223" s="24" t="inlineStr">
        <is>
          <t>False</t>
        </is>
      </c>
      <c r="AD223" s="24" t="inlineStr">
        <is>
          <t>True</t>
        </is>
      </c>
      <c r="AE223" s="24" t="inlineStr">
        <is>
          <t>valuation_credit_ml_overlay_candidate.csv</t>
        </is>
      </c>
      <c r="AF223" s="24" t="inlineStr">
        <is>
          <t>208개 반도체 reference universe. Valuation Agent가 자체 intake 폴더로 복제해 Peer/ML/대시보드 비교에 사용.</t>
        </is>
      </c>
    </row>
    <row r="224" ht="24" customHeight="1">
      <c r="A224" s="29" t="inlineStr">
        <is>
          <t>45</t>
        </is>
      </c>
      <c r="B224" s="29" t="inlineStr">
        <is>
          <t>해당 없음</t>
        </is>
      </c>
      <c r="C224" s="29" t="inlineStr">
        <is>
          <t>라닉스</t>
        </is>
      </c>
      <c r="D224" s="29" t="inlineStr">
        <is>
          <t>317120</t>
        </is>
      </c>
      <c r="E224" s="29" t="inlineStr">
        <is>
          <t>KOSDAQ</t>
        </is>
      </c>
      <c r="F224" s="29" t="inlineStr">
        <is>
          <t>팹리스/설계</t>
        </is>
      </c>
      <c r="G224" s="29" t="inlineStr">
        <is>
          <t>팹리스/설계</t>
        </is>
      </c>
      <c r="H224" s="29" t="inlineStr">
        <is>
          <t>False</t>
        </is>
      </c>
      <c r="I224" s="29" t="inlineStr">
        <is>
          <t>True</t>
        </is>
      </c>
      <c r="J224" s="29" t="inlineStr">
        <is>
          <t>OK</t>
        </is>
      </c>
      <c r="K224" s="29" t="inlineStr">
        <is>
          <t>데이터 사용 가능</t>
        </is>
      </c>
      <c r="L224" s="29" t="inlineStr">
        <is>
          <t>LOW</t>
        </is>
      </c>
      <c r="M224" s="29" t="inlineStr">
        <is>
          <t>LOW</t>
        </is>
      </c>
      <c r="N224" s="29" t="inlineStr">
        <is>
          <t>0.3208080808080809</t>
        </is>
      </c>
      <c r="O224" s="29" t="inlineStr">
        <is>
          <t>EXPENSIVE</t>
        </is>
      </c>
      <c r="P224" s="29" t="inlineStr">
        <is>
          <t>EXPENSIVE</t>
        </is>
      </c>
      <c r="Q224" s="29" t="inlineStr">
        <is>
          <t>EXPENSIVE</t>
        </is>
      </c>
      <c r="R224" s="29" t="inlineStr">
        <is>
          <t>0.9281808400807596</t>
        </is>
      </c>
      <c r="S224" s="29" t="inlineStr">
        <is>
          <t>HIGH</t>
        </is>
      </c>
      <c r="T224" s="29" t="inlineStr">
        <is>
          <t>HIGH</t>
        </is>
      </c>
      <c r="U224" s="29" t="inlineStr">
        <is>
          <t>0.7142857142857143</t>
        </is>
      </c>
      <c r="V224" s="29" t="inlineStr">
        <is>
          <t>HIGH_RISK</t>
        </is>
      </c>
      <c r="W224" s="29" t="inlineStr">
        <is>
          <t>고위험</t>
        </is>
      </c>
      <c r="X224" s="29" t="inlineStr">
        <is>
          <t>HIGH_RISK</t>
        </is>
      </c>
      <c r="Y224" s="29" t="inlineStr">
        <is>
          <t>0.9891542031597422</t>
        </is>
      </c>
      <c r="Z224" s="29" t="inlineStr">
        <is>
          <t>HIGH</t>
        </is>
      </c>
      <c r="AA224" s="29" t="inlineStr">
        <is>
          <t>HIGH</t>
        </is>
      </c>
      <c r="AB224" s="29" t="inlineStr">
        <is>
          <t>0.2722138190712409</t>
        </is>
      </c>
      <c r="AC224" s="29" t="inlineStr">
        <is>
          <t>True</t>
        </is>
      </c>
      <c r="AD224" s="29" t="inlineStr">
        <is>
          <t>True</t>
        </is>
      </c>
      <c r="AE224" s="29" t="inlineStr">
        <is>
          <t>valuation_credit_ml_overlay_candidate.csv</t>
        </is>
      </c>
      <c r="AF224" s="29" t="inlineStr">
        <is>
          <t>208개 반도체 reference universe. Valuation Agent가 자체 intake 폴더로 복제해 Peer/ML/대시보드 비교에 사용.</t>
        </is>
      </c>
    </row>
    <row r="225" ht="24" customHeight="1">
      <c r="A225" s="24" t="inlineStr">
        <is>
          <t>42</t>
        </is>
      </c>
      <c r="B225" s="24" t="inlineStr">
        <is>
          <t>해당 없음</t>
        </is>
      </c>
      <c r="C225" s="24" t="inlineStr">
        <is>
          <t>가온칩스</t>
        </is>
      </c>
      <c r="D225" s="24" t="inlineStr">
        <is>
          <t>399720</t>
        </is>
      </c>
      <c r="E225" s="24" t="inlineStr">
        <is>
          <t>KOSDAQ</t>
        </is>
      </c>
      <c r="F225" s="24" t="inlineStr">
        <is>
          <t>팹리스/설계</t>
        </is>
      </c>
      <c r="G225" s="24" t="inlineStr">
        <is>
          <t>팹리스/설계</t>
        </is>
      </c>
      <c r="H225" s="24" t="inlineStr">
        <is>
          <t>False</t>
        </is>
      </c>
      <c r="I225" s="24" t="inlineStr">
        <is>
          <t>True</t>
        </is>
      </c>
      <c r="J225" s="24" t="inlineStr">
        <is>
          <t>OK</t>
        </is>
      </c>
      <c r="K225" s="24" t="inlineStr">
        <is>
          <t>데이터 사용 가능</t>
        </is>
      </c>
      <c r="L225" s="24" t="inlineStr">
        <is>
          <t>LOW</t>
        </is>
      </c>
      <c r="M225" s="24" t="inlineStr">
        <is>
          <t>LOW</t>
        </is>
      </c>
      <c r="N225" s="24" t="inlineStr">
        <is>
          <t>0.3119191919191919</t>
        </is>
      </c>
      <c r="O225" s="24" t="inlineStr">
        <is>
          <t>EXPENSIVE</t>
        </is>
      </c>
      <c r="P225" s="24" t="inlineStr">
        <is>
          <t>EXPENSIVE</t>
        </is>
      </c>
      <c r="Q225" s="24" t="inlineStr">
        <is>
          <t>EXPENSIVE</t>
        </is>
      </c>
      <c r="R225" s="24" t="inlineStr">
        <is>
          <t>0.9202856043409283</t>
        </is>
      </c>
      <c r="S225" s="24" t="inlineStr">
        <is>
          <t>HIGH</t>
        </is>
      </c>
      <c r="T225" s="24" t="inlineStr">
        <is>
          <t>HIGH</t>
        </is>
      </c>
      <c r="U225" s="24" t="inlineStr">
        <is>
          <t>0.5714285714285714</t>
        </is>
      </c>
      <c r="V225" s="24" t="inlineStr">
        <is>
          <t>HIGH_RISK</t>
        </is>
      </c>
      <c r="W225" s="24" t="inlineStr">
        <is>
          <t>고위험</t>
        </is>
      </c>
      <c r="X225" s="24" t="inlineStr">
        <is>
          <t>HIGH_RISK</t>
        </is>
      </c>
      <c r="Y225" s="24" t="inlineStr">
        <is>
          <t>0.9252273149693407</t>
        </is>
      </c>
      <c r="Z225" s="24" t="inlineStr">
        <is>
          <t>HIGH</t>
        </is>
      </c>
      <c r="AA225" s="24" t="inlineStr">
        <is>
          <t>HIGH</t>
        </is>
      </c>
      <c r="AB225" s="24" t="inlineStr">
        <is>
          <t>0.08996216176961074</t>
        </is>
      </c>
      <c r="AC225" s="24" t="inlineStr">
        <is>
          <t>False</t>
        </is>
      </c>
      <c r="AD225" s="24" t="inlineStr">
        <is>
          <t>False</t>
        </is>
      </c>
      <c r="AE225" s="24" t="inlineStr">
        <is>
          <t>valuation_credit_ml_overlay_candidate.csv</t>
        </is>
      </c>
      <c r="AF225" s="24" t="inlineStr">
        <is>
          <t>208개 반도체 reference universe. Valuation Agent가 자체 intake 폴더로 복제해 Peer/ML/대시보드 비교에 사용.</t>
        </is>
      </c>
    </row>
    <row r="226" ht="24" customHeight="1">
      <c r="A226" s="29" t="inlineStr">
        <is>
          <t>72</t>
        </is>
      </c>
      <c r="B226" s="29" t="inlineStr">
        <is>
          <t>해당 없음</t>
        </is>
      </c>
      <c r="C226" s="29" t="inlineStr">
        <is>
          <t>파두</t>
        </is>
      </c>
      <c r="D226" s="29" t="inlineStr">
        <is>
          <t>440110</t>
        </is>
      </c>
      <c r="E226" s="29" t="inlineStr">
        <is>
          <t>KOSDAQ</t>
        </is>
      </c>
      <c r="F226" s="29" t="inlineStr">
        <is>
          <t>팹리스/설계</t>
        </is>
      </c>
      <c r="G226" s="29" t="inlineStr">
        <is>
          <t>팹리스/설계</t>
        </is>
      </c>
      <c r="H226" s="29" t="inlineStr">
        <is>
          <t>False</t>
        </is>
      </c>
      <c r="I226" s="29" t="inlineStr">
        <is>
          <t>True</t>
        </is>
      </c>
      <c r="J226" s="29" t="inlineStr">
        <is>
          <t>OK_LIMITED_HISTORY_OR_GROWTH_NA</t>
        </is>
      </c>
      <c r="K226" s="29" t="inlineStr">
        <is>
          <t>데이터 사용 가능</t>
        </is>
      </c>
      <c r="L226" s="29" t="inlineStr">
        <is>
          <t>LOW</t>
        </is>
      </c>
      <c r="M226" s="29" t="inlineStr">
        <is>
          <t>LOW</t>
        </is>
      </c>
      <c r="N226" s="29" t="inlineStr">
        <is>
          <t>0.2817171717171717</t>
        </is>
      </c>
      <c r="O226" s="29" t="inlineStr">
        <is>
          <t>EXPENSIVE</t>
        </is>
      </c>
      <c r="P226" s="29" t="inlineStr">
        <is>
          <t>EXPENSIVE</t>
        </is>
      </c>
      <c r="Q226" s="29" t="inlineStr">
        <is>
          <t>EXPENSIVE</t>
        </is>
      </c>
      <c r="R226" s="29" t="inlineStr">
        <is>
          <t>0.9722302520284296</t>
        </is>
      </c>
      <c r="S226" s="29" t="inlineStr">
        <is>
          <t>HIGH</t>
        </is>
      </c>
      <c r="T226" s="29" t="inlineStr">
        <is>
          <t>HIGH</t>
        </is>
      </c>
      <c r="U226" s="29" t="inlineStr">
        <is>
          <t>0.7142857142857143</t>
        </is>
      </c>
      <c r="V226" s="29" t="inlineStr">
        <is>
          <t>HIGH_RISK</t>
        </is>
      </c>
      <c r="W226" s="29" t="inlineStr">
        <is>
          <t>고위험</t>
        </is>
      </c>
      <c r="X226" s="29" t="inlineStr">
        <is>
          <t>HIGH_RISK</t>
        </is>
      </c>
      <c r="Y226" s="29" t="inlineStr">
        <is>
          <t>0.9166704410023929</t>
        </is>
      </c>
      <c r="Z226" s="29" t="inlineStr">
        <is>
          <t>HIGH</t>
        </is>
      </c>
      <c r="AA226" s="29" t="inlineStr">
        <is>
          <t>HIGH</t>
        </is>
      </c>
      <c r="AB226" s="29" t="inlineStr">
        <is>
          <t>0.4892266150598854</t>
        </is>
      </c>
      <c r="AC226" s="29" t="inlineStr">
        <is>
          <t>True</t>
        </is>
      </c>
      <c r="AD226" s="29" t="inlineStr">
        <is>
          <t>True</t>
        </is>
      </c>
      <c r="AE226" s="29" t="inlineStr">
        <is>
          <t>valuation_credit_ml_overlay_candidate.csv</t>
        </is>
      </c>
      <c r="AF226" s="29" t="inlineStr">
        <is>
          <t>208개 반도체 reference universe. Valuation Agent가 자체 intake 폴더로 복제해 Peer/ML/대시보드 비교에 사용.</t>
        </is>
      </c>
    </row>
    <row r="227" ht="24" customHeight="1">
      <c r="A227" s="24" t="inlineStr">
        <is>
          <t>54</t>
        </is>
      </c>
      <c r="B227" s="24" t="inlineStr">
        <is>
          <t>해당 없음</t>
        </is>
      </c>
      <c r="C227" s="24" t="inlineStr">
        <is>
          <t>아이씨티케이</t>
        </is>
      </c>
      <c r="D227" s="24" t="inlineStr">
        <is>
          <t>456010</t>
        </is>
      </c>
      <c r="E227" s="24" t="inlineStr">
        <is>
          <t>KOSDAQ</t>
        </is>
      </c>
      <c r="F227" s="24" t="inlineStr">
        <is>
          <t>팹리스/설계</t>
        </is>
      </c>
      <c r="G227" s="24" t="inlineStr">
        <is>
          <t>팹리스/설계</t>
        </is>
      </c>
      <c r="H227" s="24" t="inlineStr">
        <is>
          <t>False</t>
        </is>
      </c>
      <c r="I227" s="24" t="inlineStr">
        <is>
          <t>True</t>
        </is>
      </c>
      <c r="J227" s="24" t="inlineStr">
        <is>
          <t>OK_LIMITED_HISTORY_OR_GROWTH_NA</t>
        </is>
      </c>
      <c r="K227" s="24" t="inlineStr">
        <is>
          <t>데이터 사용 가능</t>
        </is>
      </c>
      <c r="L227" s="24" t="inlineStr">
        <is>
          <t>LOW</t>
        </is>
      </c>
      <c r="M227" s="24" t="inlineStr">
        <is>
          <t>LOW</t>
        </is>
      </c>
      <c r="N227" s="24" t="inlineStr">
        <is>
          <t>0.2421212121212121</t>
        </is>
      </c>
      <c r="O227" s="24" t="inlineStr">
        <is>
          <t>EXPENSIVE</t>
        </is>
      </c>
      <c r="P227" s="24" t="inlineStr">
        <is>
          <t>EXPENSIVE</t>
        </is>
      </c>
      <c r="Q227" s="24" t="inlineStr">
        <is>
          <t>EXPENSIVE</t>
        </is>
      </c>
      <c r="R227" s="24" t="inlineStr">
        <is>
          <t>0.9318776222941163</t>
        </is>
      </c>
      <c r="S227" s="24" t="inlineStr">
        <is>
          <t>HIGH</t>
        </is>
      </c>
      <c r="T227" s="24" t="inlineStr">
        <is>
          <t>HIGH</t>
        </is>
      </c>
      <c r="U227" s="24" t="inlineStr">
        <is>
          <t>0.5714285714285714</t>
        </is>
      </c>
      <c r="V227" s="24" t="inlineStr">
        <is>
          <t>HIGH_RISK</t>
        </is>
      </c>
      <c r="W227" s="24" t="inlineStr">
        <is>
          <t>고위험</t>
        </is>
      </c>
      <c r="X227" s="24" t="inlineStr">
        <is>
          <t>HIGH_RISK</t>
        </is>
      </c>
      <c r="Y227" s="24" t="inlineStr">
        <is>
          <t>0.9704486787687135</t>
        </is>
      </c>
      <c r="Z227" s="24" t="inlineStr">
        <is>
          <t>HIGH</t>
        </is>
      </c>
      <c r="AA227" s="24" t="inlineStr">
        <is>
          <t>HIGH</t>
        </is>
      </c>
      <c r="AB227" s="24" t="inlineStr">
        <is>
          <t>0.44110450319077704</t>
        </is>
      </c>
      <c r="AC227" s="24" t="inlineStr">
        <is>
          <t>True</t>
        </is>
      </c>
      <c r="AD227" s="24" t="inlineStr">
        <is>
          <t>True</t>
        </is>
      </c>
      <c r="AE227" s="24" t="inlineStr">
        <is>
          <t>valuation_credit_ml_overlay_candidate.csv</t>
        </is>
      </c>
      <c r="AF227" s="24" t="inlineStr">
        <is>
          <t>208개 반도체 reference universe. Valuation Agent가 자체 intake 폴더로 복제해 Peer/ML/대시보드 비교에 사용.</t>
        </is>
      </c>
    </row>
    <row r="228" ht="24" customHeight="1">
      <c r="A228" s="29" t="inlineStr">
        <is>
          <t>64</t>
        </is>
      </c>
      <c r="B228" s="29" t="inlineStr">
        <is>
          <t>해당 없음</t>
        </is>
      </c>
      <c r="C228" s="29" t="inlineStr">
        <is>
          <t>오픈엣지테크놀로지</t>
        </is>
      </c>
      <c r="D228" s="29" t="inlineStr">
        <is>
          <t>394280</t>
        </is>
      </c>
      <c r="E228" s="29" t="inlineStr">
        <is>
          <t>KOSDAQ</t>
        </is>
      </c>
      <c r="F228" s="29" t="inlineStr">
        <is>
          <t>팹리스/설계</t>
        </is>
      </c>
      <c r="G228" s="29" t="inlineStr">
        <is>
          <t>팹리스/설계</t>
        </is>
      </c>
      <c r="H228" s="29" t="inlineStr">
        <is>
          <t>False</t>
        </is>
      </c>
      <c r="I228" s="29" t="inlineStr">
        <is>
          <t>True</t>
        </is>
      </c>
      <c r="J228" s="29" t="inlineStr">
        <is>
          <t>OK</t>
        </is>
      </c>
      <c r="K228" s="29" t="inlineStr">
        <is>
          <t>데이터 사용 가능</t>
        </is>
      </c>
      <c r="L228" s="29" t="inlineStr">
        <is>
          <t>LOW</t>
        </is>
      </c>
      <c r="M228" s="29" t="inlineStr">
        <is>
          <t>LOW</t>
        </is>
      </c>
      <c r="N228" s="29" t="inlineStr">
        <is>
          <t>0.2383838383838384</t>
        </is>
      </c>
      <c r="O228" s="29" t="inlineStr">
        <is>
          <t>EXPENSIVE</t>
        </is>
      </c>
      <c r="P228" s="29" t="inlineStr">
        <is>
          <t>EXPENSIVE</t>
        </is>
      </c>
      <c r="Q228" s="29" t="inlineStr">
        <is>
          <t>EXPENSIVE</t>
        </is>
      </c>
      <c r="R228" s="29" t="inlineStr">
        <is>
          <t>0.9776205348568181</t>
        </is>
      </c>
      <c r="S228" s="29" t="inlineStr">
        <is>
          <t>HIGH</t>
        </is>
      </c>
      <c r="T228" s="29" t="inlineStr">
        <is>
          <t>HIGH</t>
        </is>
      </c>
      <c r="U228" s="29" t="inlineStr">
        <is>
          <t>0.5714285714285714</t>
        </is>
      </c>
      <c r="V228" s="29" t="inlineStr">
        <is>
          <t>HIGH_RISK</t>
        </is>
      </c>
      <c r="W228" s="29" t="inlineStr">
        <is>
          <t>고위험</t>
        </is>
      </c>
      <c r="X228" s="29" t="inlineStr">
        <is>
          <t>HIGH_RISK</t>
        </is>
      </c>
      <c r="Y228" s="29" t="inlineStr">
        <is>
          <t>0.979409987987143</t>
        </is>
      </c>
      <c r="Z228" s="29" t="inlineStr">
        <is>
          <t>HIGH</t>
        </is>
      </c>
      <c r="AA228" s="29" t="inlineStr">
        <is>
          <t>HIGH</t>
        </is>
      </c>
      <c r="AB228" s="29" t="inlineStr">
        <is>
          <t>0.49673253879125484</t>
        </is>
      </c>
      <c r="AC228" s="29" t="inlineStr">
        <is>
          <t>True</t>
        </is>
      </c>
      <c r="AD228" s="29" t="inlineStr">
        <is>
          <t>True</t>
        </is>
      </c>
      <c r="AE228" s="29" t="inlineStr">
        <is>
          <t>valuation_credit_ml_overlay_candidate.csv</t>
        </is>
      </c>
      <c r="AF228" s="29" t="inlineStr">
        <is>
          <t>208개 반도체 reference universe. Valuation Agent가 자체 intake 폴더로 복제해 Peer/ML/대시보드 비교에 사용.</t>
        </is>
      </c>
    </row>
    <row r="229" ht="24" customHeight="1">
      <c r="A229" s="24" t="inlineStr">
        <is>
          <t>69</t>
        </is>
      </c>
      <c r="B229" s="24" t="inlineStr">
        <is>
          <t>해당 없음</t>
        </is>
      </c>
      <c r="C229" s="24" t="inlineStr">
        <is>
          <t>퀄리타스반도체</t>
        </is>
      </c>
      <c r="D229" s="24" t="inlineStr">
        <is>
          <t>432720</t>
        </is>
      </c>
      <c r="E229" s="24" t="inlineStr">
        <is>
          <t>KOSDAQ</t>
        </is>
      </c>
      <c r="F229" s="24" t="inlineStr">
        <is>
          <t>팹리스/설계</t>
        </is>
      </c>
      <c r="G229" s="24" t="inlineStr">
        <is>
          <t>팹리스/설계</t>
        </is>
      </c>
      <c r="H229" s="24" t="inlineStr">
        <is>
          <t>False</t>
        </is>
      </c>
      <c r="I229" s="24" t="inlineStr">
        <is>
          <t>True</t>
        </is>
      </c>
      <c r="J229" s="24" t="inlineStr">
        <is>
          <t>OK_LIMITED_HISTORY_OR_GROWTH_NA</t>
        </is>
      </c>
      <c r="K229" s="24" t="inlineStr">
        <is>
          <t>데이터 사용 가능</t>
        </is>
      </c>
      <c r="L229" s="24" t="inlineStr">
        <is>
          <t>LOW</t>
        </is>
      </c>
      <c r="M229" s="24" t="inlineStr">
        <is>
          <t>LOW</t>
        </is>
      </c>
      <c r="N229" s="24" t="inlineStr">
        <is>
          <t>0.2119191919191919</t>
        </is>
      </c>
      <c r="O229" s="24" t="inlineStr">
        <is>
          <t>EXPENSIVE</t>
        </is>
      </c>
      <c r="P229" s="24" t="inlineStr">
        <is>
          <t>EXPENSIVE</t>
        </is>
      </c>
      <c r="Q229" s="24" t="inlineStr">
        <is>
          <t>EXPENSIVE</t>
        </is>
      </c>
      <c r="R229" s="24" t="inlineStr">
        <is>
          <t>0.9844433173148716</t>
        </is>
      </c>
      <c r="S229" s="24" t="inlineStr">
        <is>
          <t>HIGH</t>
        </is>
      </c>
      <c r="T229" s="24" t="inlineStr">
        <is>
          <t>HIGH</t>
        </is>
      </c>
      <c r="U229" s="24" t="inlineStr">
        <is>
          <t>0.5714285714285714</t>
        </is>
      </c>
      <c r="V229" s="24" t="inlineStr">
        <is>
          <t>HIGH_RISK</t>
        </is>
      </c>
      <c r="W229" s="24" t="inlineStr">
        <is>
          <t>고위험</t>
        </is>
      </c>
      <c r="X229" s="24" t="inlineStr">
        <is>
          <t>HIGH_RISK</t>
        </is>
      </c>
      <c r="Y229" s="24" t="inlineStr">
        <is>
          <t>0.9775928777225235</t>
        </is>
      </c>
      <c r="Z229" s="24" t="inlineStr">
        <is>
          <t>HIGH</t>
        </is>
      </c>
      <c r="AA229" s="24" t="inlineStr">
        <is>
          <t>HIGH</t>
        </is>
      </c>
      <c r="AB229" s="24" t="inlineStr">
        <is>
          <t>0.7960673007059423</t>
        </is>
      </c>
      <c r="AC229" s="24" t="inlineStr">
        <is>
          <t>True</t>
        </is>
      </c>
      <c r="AD229" s="24" t="inlineStr">
        <is>
          <t>True</t>
        </is>
      </c>
      <c r="AE229" s="24" t="inlineStr">
        <is>
          <t>valuation_credit_ml_overlay_candidate.csv</t>
        </is>
      </c>
      <c r="AF229" s="24" t="inlineStr">
        <is>
          <t>208개 반도체 reference universe. Valuation Agent가 자체 intake 폴더로 복제해 Peer/ML/대시보드 비교에 사용.</t>
        </is>
      </c>
    </row>
    <row r="230" ht="24" customHeight="1">
      <c r="A230" s="29" t="inlineStr">
        <is>
          <t>168</t>
        </is>
      </c>
      <c r="B230" s="29" t="inlineStr">
        <is>
          <t>해당 없음</t>
        </is>
      </c>
      <c r="C230" s="29" t="inlineStr">
        <is>
          <t>성우테크론</t>
        </is>
      </c>
      <c r="D230" s="29" t="inlineStr">
        <is>
          <t>045300</t>
        </is>
      </c>
      <c r="E230" s="29" t="inlineStr">
        <is>
          <t>KOSDAQ</t>
        </is>
      </c>
      <c r="F230" s="29" t="inlineStr">
        <is>
          <t>후공정/패키징/테스트</t>
        </is>
      </c>
      <c r="G230" s="29" t="inlineStr">
        <is>
          <t>후공정/패키징/테스트</t>
        </is>
      </c>
      <c r="H230" s="29" t="inlineStr">
        <is>
          <t>False</t>
        </is>
      </c>
      <c r="I230" s="29" t="inlineStr">
        <is>
          <t>True</t>
        </is>
      </c>
      <c r="J230" s="29" t="inlineStr">
        <is>
          <t>OK</t>
        </is>
      </c>
      <c r="K230" s="29" t="inlineStr">
        <is>
          <t>데이터 사용 가능</t>
        </is>
      </c>
      <c r="L230" s="29" t="inlineStr">
        <is>
          <t>LOW</t>
        </is>
      </c>
      <c r="M230" s="29" t="inlineStr">
        <is>
          <t>LOW</t>
        </is>
      </c>
      <c r="N230" s="29" t="inlineStr">
        <is>
          <t>0.7764444444444445</t>
        </is>
      </c>
      <c r="O230" s="29" t="inlineStr">
        <is>
          <t>ATTRACTIVE</t>
        </is>
      </c>
      <c r="P230" s="29" t="inlineStr">
        <is>
          <t>가치 매력</t>
        </is>
      </c>
      <c r="Q230" s="29" t="inlineStr">
        <is>
          <t>ATTRACTIVE</t>
        </is>
      </c>
      <c r="R230" s="29" t="inlineStr">
        <is>
          <t>0.9526864248076319</t>
        </is>
      </c>
      <c r="S230" s="29" t="inlineStr">
        <is>
          <t>HIGH</t>
        </is>
      </c>
      <c r="T230" s="29" t="inlineStr">
        <is>
          <t>HIGH</t>
        </is>
      </c>
      <c r="U230" s="29" t="inlineStr">
        <is>
          <t>0.0714285714285714</t>
        </is>
      </c>
      <c r="V230" s="29" t="inlineStr">
        <is>
          <t>LOW_RISK</t>
        </is>
      </c>
      <c r="W230" s="29" t="inlineStr">
        <is>
          <t>저위험</t>
        </is>
      </c>
      <c r="X230" s="29" t="inlineStr">
        <is>
          <t>LOW_RISK</t>
        </is>
      </c>
      <c r="Y230" s="29" t="inlineStr">
        <is>
          <t>0.869939352370702</t>
        </is>
      </c>
      <c r="Z230" s="29" t="inlineStr">
        <is>
          <t>HIGH</t>
        </is>
      </c>
      <c r="AA230" s="29" t="inlineStr">
        <is>
          <t>HIGH</t>
        </is>
      </c>
      <c r="AB230" s="29" t="inlineStr">
        <is>
          <t>0.10286671144812394</t>
        </is>
      </c>
      <c r="AC230" s="29" t="inlineStr">
        <is>
          <t>False</t>
        </is>
      </c>
      <c r="AD230" s="29" t="inlineStr">
        <is>
          <t>False</t>
        </is>
      </c>
      <c r="AE230" s="29" t="inlineStr">
        <is>
          <t>valuation_credit_ml_overlay_candidate.csv</t>
        </is>
      </c>
      <c r="AF230" s="29" t="inlineStr">
        <is>
          <t>208개 반도체 reference universe. Valuation Agent가 자체 intake 폴더로 복제해 Peer/ML/대시보드 비교에 사용.</t>
        </is>
      </c>
    </row>
    <row r="231" ht="24" customHeight="1">
      <c r="A231" s="24" t="inlineStr">
        <is>
          <t>165</t>
        </is>
      </c>
      <c r="B231" s="24" t="inlineStr">
        <is>
          <t>해당 없음</t>
        </is>
      </c>
      <c r="C231" s="24" t="inlineStr">
        <is>
          <t>미래산업</t>
        </is>
      </c>
      <c r="D231" s="24" t="inlineStr">
        <is>
          <t>025560</t>
        </is>
      </c>
      <c r="E231" s="24" t="inlineStr">
        <is>
          <t>KOSPI</t>
        </is>
      </c>
      <c r="F231" s="24" t="inlineStr">
        <is>
          <t>후공정/패키징/테스트</t>
        </is>
      </c>
      <c r="G231" s="24" t="inlineStr">
        <is>
          <t>후공정/패키징/테스트</t>
        </is>
      </c>
      <c r="H231" s="24" t="inlineStr">
        <is>
          <t>False</t>
        </is>
      </c>
      <c r="I231" s="24" t="inlineStr">
        <is>
          <t>True</t>
        </is>
      </c>
      <c r="J231" s="24" t="inlineStr">
        <is>
          <t>OK</t>
        </is>
      </c>
      <c r="K231" s="24" t="inlineStr">
        <is>
          <t>데이터 사용 가능</t>
        </is>
      </c>
      <c r="L231" s="24" t="inlineStr">
        <is>
          <t>LOW</t>
        </is>
      </c>
      <c r="M231" s="24" t="inlineStr">
        <is>
          <t>LOW</t>
        </is>
      </c>
      <c r="N231" s="24" t="inlineStr">
        <is>
          <t>0.7748148148148148</t>
        </is>
      </c>
      <c r="O231" s="24" t="inlineStr">
        <is>
          <t>FAIR</t>
        </is>
      </c>
      <c r="P231" s="24" t="inlineStr">
        <is>
          <t>FAIR</t>
        </is>
      </c>
      <c r="Q231" s="24" t="inlineStr">
        <is>
          <t>FAIR</t>
        </is>
      </c>
      <c r="R231" s="24" t="inlineStr">
        <is>
          <t>0.883291104654336</t>
        </is>
      </c>
      <c r="S231" s="24" t="inlineStr">
        <is>
          <t>HIGH</t>
        </is>
      </c>
      <c r="T231" s="24" t="inlineStr">
        <is>
          <t>HIGH</t>
        </is>
      </c>
      <c r="U231" s="24" t="inlineStr">
        <is>
          <t>0.2857142857142857</t>
        </is>
      </c>
      <c r="V231" s="24" t="inlineStr">
        <is>
          <t>MEDIUM_RISK</t>
        </is>
      </c>
      <c r="W231" s="24" t="inlineStr">
        <is>
          <t>중위험</t>
        </is>
      </c>
      <c r="X231" s="24" t="inlineStr">
        <is>
          <t>MEDIUM_RISK</t>
        </is>
      </c>
      <c r="Y231" s="24" t="inlineStr">
        <is>
          <t>0.695536763680257</t>
        </is>
      </c>
      <c r="Z231" s="24" t="inlineStr">
        <is>
          <t>MEDIUM</t>
        </is>
      </c>
      <c r="AA231" s="24" t="inlineStr">
        <is>
          <t>MEDIUM</t>
        </is>
      </c>
      <c r="AB231" s="24" t="inlineStr">
        <is>
          <t>0.08100242357773374</t>
        </is>
      </c>
      <c r="AC231" s="24" t="inlineStr">
        <is>
          <t>False</t>
        </is>
      </c>
      <c r="AD231" s="24" t="inlineStr">
        <is>
          <t>False</t>
        </is>
      </c>
      <c r="AE231" s="24" t="inlineStr">
        <is>
          <t>valuation_credit_ml_overlay_candidate.csv</t>
        </is>
      </c>
      <c r="AF231" s="24" t="inlineStr">
        <is>
          <t>208개 반도체 reference universe. Valuation Agent가 자체 intake 폴더로 복제해 Peer/ML/대시보드 비교에 사용.</t>
        </is>
      </c>
    </row>
    <row r="232" ht="24" customHeight="1">
      <c r="A232" s="29" t="inlineStr">
        <is>
          <t>163</t>
        </is>
      </c>
      <c r="B232" s="29" t="inlineStr">
        <is>
          <t>해당 없음</t>
        </is>
      </c>
      <c r="C232" s="29" t="inlineStr">
        <is>
          <t>링크제니시스</t>
        </is>
      </c>
      <c r="D232" s="29" t="inlineStr">
        <is>
          <t>219420</t>
        </is>
      </c>
      <c r="E232" s="29" t="inlineStr">
        <is>
          <t>KOSDAQ</t>
        </is>
      </c>
      <c r="F232" s="29" t="inlineStr">
        <is>
          <t>후공정/패키징/테스트</t>
        </is>
      </c>
      <c r="G232" s="29" t="inlineStr">
        <is>
          <t>후공정/패키징/테스트</t>
        </is>
      </c>
      <c r="H232" s="29" t="inlineStr">
        <is>
          <t>False</t>
        </is>
      </c>
      <c r="I232" s="29" t="inlineStr">
        <is>
          <t>True</t>
        </is>
      </c>
      <c r="J232" s="29" t="inlineStr">
        <is>
          <t>OK</t>
        </is>
      </c>
      <c r="K232" s="29" t="inlineStr">
        <is>
          <t>데이터 사용 가능</t>
        </is>
      </c>
      <c r="L232" s="29" t="inlineStr">
        <is>
          <t>LOW</t>
        </is>
      </c>
      <c r="M232" s="29" t="inlineStr">
        <is>
          <t>LOW</t>
        </is>
      </c>
      <c r="N232" s="29" t="inlineStr">
        <is>
          <t>0.7522962962962964</t>
        </is>
      </c>
      <c r="O232" s="29" t="inlineStr">
        <is>
          <t>ATTRACTIVE</t>
        </is>
      </c>
      <c r="P232" s="29" t="inlineStr">
        <is>
          <t>가치 매력</t>
        </is>
      </c>
      <c r="Q232" s="29" t="inlineStr">
        <is>
          <t>ATTRACTIVE</t>
        </is>
      </c>
      <c r="R232" s="29" t="inlineStr">
        <is>
          <t>0.8724992666433111</t>
        </is>
      </c>
      <c r="S232" s="29" t="inlineStr">
        <is>
          <t>HIGH</t>
        </is>
      </c>
      <c r="T232" s="29" t="inlineStr">
        <is>
          <t>HIGH</t>
        </is>
      </c>
      <c r="U232" s="29" t="inlineStr">
        <is>
          <t>0.0714285714285714</t>
        </is>
      </c>
      <c r="V232" s="29" t="inlineStr">
        <is>
          <t>LOW_RISK</t>
        </is>
      </c>
      <c r="W232" s="29" t="inlineStr">
        <is>
          <t>저위험</t>
        </is>
      </c>
      <c r="X232" s="29" t="inlineStr">
        <is>
          <t>LOW_RISK</t>
        </is>
      </c>
      <c r="Y232" s="29" t="inlineStr">
        <is>
          <t>0.8663667518810074</t>
        </is>
      </c>
      <c r="Z232" s="29" t="inlineStr">
        <is>
          <t>HIGH</t>
        </is>
      </c>
      <c r="AA232" s="29" t="inlineStr">
        <is>
          <t>HIGH</t>
        </is>
      </c>
      <c r="AB232" s="29" t="inlineStr">
        <is>
          <t>0.1247344063934745</t>
        </is>
      </c>
      <c r="AC232" s="29" t="inlineStr">
        <is>
          <t>False</t>
        </is>
      </c>
      <c r="AD232" s="29" t="inlineStr">
        <is>
          <t>False</t>
        </is>
      </c>
      <c r="AE232" s="29" t="inlineStr">
        <is>
          <t>valuation_credit_ml_overlay_candidate.csv</t>
        </is>
      </c>
      <c r="AF232" s="29" t="inlineStr">
        <is>
          <t>208개 반도체 reference universe. Valuation Agent가 자체 intake 폴더로 복제해 Peer/ML/대시보드 비교에 사용.</t>
        </is>
      </c>
    </row>
    <row r="233" ht="24" customHeight="1">
      <c r="A233" s="24" t="inlineStr">
        <is>
          <t>189</t>
        </is>
      </c>
      <c r="B233" s="24" t="inlineStr">
        <is>
          <t>해당 없음</t>
        </is>
      </c>
      <c r="C233" s="24" t="inlineStr">
        <is>
          <t>프로텍</t>
        </is>
      </c>
      <c r="D233" s="24" t="inlineStr">
        <is>
          <t>053610</t>
        </is>
      </c>
      <c r="E233" s="24" t="inlineStr">
        <is>
          <t>KOSDAQ</t>
        </is>
      </c>
      <c r="F233" s="24" t="inlineStr">
        <is>
          <t>후공정/패키징/테스트</t>
        </is>
      </c>
      <c r="G233" s="24" t="inlineStr">
        <is>
          <t>후공정/패키징/테스트</t>
        </is>
      </c>
      <c r="H233" s="24" t="inlineStr">
        <is>
          <t>False</t>
        </is>
      </c>
      <c r="I233" s="24" t="inlineStr">
        <is>
          <t>True</t>
        </is>
      </c>
      <c r="J233" s="24" t="inlineStr">
        <is>
          <t>OK</t>
        </is>
      </c>
      <c r="K233" s="24" t="inlineStr">
        <is>
          <t>데이터 사용 가능</t>
        </is>
      </c>
      <c r="L233" s="24" t="inlineStr">
        <is>
          <t>LOW</t>
        </is>
      </c>
      <c r="M233" s="24" t="inlineStr">
        <is>
          <t>LOW</t>
        </is>
      </c>
      <c r="N233" s="24" t="inlineStr">
        <is>
          <t>0.7342222222222222</t>
        </is>
      </c>
      <c r="O233" s="24" t="inlineStr">
        <is>
          <t>FAIR</t>
        </is>
      </c>
      <c r="P233" s="24" t="inlineStr">
        <is>
          <t>FAIR</t>
        </is>
      </c>
      <c r="Q233" s="24" t="inlineStr">
        <is>
          <t>FAIR</t>
        </is>
      </c>
      <c r="R233" s="24" t="inlineStr">
        <is>
          <t>0.8971257561900263</t>
        </is>
      </c>
      <c r="S233" s="24" t="inlineStr">
        <is>
          <t>HIGH</t>
        </is>
      </c>
      <c r="T233" s="24" t="inlineStr">
        <is>
          <t>HIGH</t>
        </is>
      </c>
      <c r="U233" s="24" t="inlineStr">
        <is>
          <t>0.0714285714285714</t>
        </is>
      </c>
      <c r="V233" s="24" t="inlineStr">
        <is>
          <t>LOW_RISK</t>
        </is>
      </c>
      <c r="W233" s="24" t="inlineStr">
        <is>
          <t>저위험</t>
        </is>
      </c>
      <c r="X233" s="24" t="inlineStr">
        <is>
          <t>LOW_RISK</t>
        </is>
      </c>
      <c r="Y233" s="24" t="inlineStr">
        <is>
          <t>0.9163768919768406</t>
        </is>
      </c>
      <c r="Z233" s="24" t="inlineStr">
        <is>
          <t>HIGH</t>
        </is>
      </c>
      <c r="AA233" s="24" t="inlineStr">
        <is>
          <t>HIGH</t>
        </is>
      </c>
      <c r="AB233" s="24" t="inlineStr">
        <is>
          <t>0.04594870251712977</t>
        </is>
      </c>
      <c r="AC233" s="24" t="inlineStr">
        <is>
          <t>False</t>
        </is>
      </c>
      <c r="AD233" s="24" t="inlineStr">
        <is>
          <t>False</t>
        </is>
      </c>
      <c r="AE233" s="24" t="inlineStr">
        <is>
          <t>valuation_credit_ml_overlay_candidate.csv</t>
        </is>
      </c>
      <c r="AF233" s="24" t="inlineStr">
        <is>
          <t>208개 반도체 reference universe. Valuation Agent가 자체 intake 폴더로 복제해 Peer/ML/대시보드 비교에 사용.</t>
        </is>
      </c>
    </row>
    <row r="234" ht="24" customHeight="1">
      <c r="A234" s="29" t="inlineStr">
        <is>
          <t>188</t>
        </is>
      </c>
      <c r="B234" s="29" t="inlineStr">
        <is>
          <t>해당 없음</t>
        </is>
      </c>
      <c r="C234" s="29" t="inlineStr">
        <is>
          <t>프로이천</t>
        </is>
      </c>
      <c r="D234" s="29" t="inlineStr">
        <is>
          <t>321260</t>
        </is>
      </c>
      <c r="E234" s="29" t="inlineStr">
        <is>
          <t>KOSDAQ</t>
        </is>
      </c>
      <c r="F234" s="29" t="inlineStr">
        <is>
          <t>후공정/패키징/테스트</t>
        </is>
      </c>
      <c r="G234" s="29" t="inlineStr">
        <is>
          <t>후공정/패키징/테스트</t>
        </is>
      </c>
      <c r="H234" s="29" t="inlineStr">
        <is>
          <t>False</t>
        </is>
      </c>
      <c r="I234" s="29" t="inlineStr">
        <is>
          <t>True</t>
        </is>
      </c>
      <c r="J234" s="29" t="inlineStr">
        <is>
          <t>OK</t>
        </is>
      </c>
      <c r="K234" s="29" t="inlineStr">
        <is>
          <t>데이터 사용 가능</t>
        </is>
      </c>
      <c r="L234" s="29" t="inlineStr">
        <is>
          <t>LOW</t>
        </is>
      </c>
      <c r="M234" s="29" t="inlineStr">
        <is>
          <t>LOW</t>
        </is>
      </c>
      <c r="N234" s="29" t="inlineStr">
        <is>
          <t>0.6905185185185185</t>
        </is>
      </c>
      <c r="O234" s="29" t="inlineStr">
        <is>
          <t>ATTRACTIVE</t>
        </is>
      </c>
      <c r="P234" s="29" t="inlineStr">
        <is>
          <t>가치 매력</t>
        </is>
      </c>
      <c r="Q234" s="29" t="inlineStr">
        <is>
          <t>ATTRACTIVE</t>
        </is>
      </c>
      <c r="R234" s="29" t="inlineStr">
        <is>
          <t>0.9481469936627798</t>
        </is>
      </c>
      <c r="S234" s="29" t="inlineStr">
        <is>
          <t>HIGH</t>
        </is>
      </c>
      <c r="T234" s="29" t="inlineStr">
        <is>
          <t>HIGH</t>
        </is>
      </c>
      <c r="U234" s="29" t="inlineStr">
        <is>
          <t>0.1428571428571428</t>
        </is>
      </c>
      <c r="V234" s="29" t="inlineStr">
        <is>
          <t>LOW_RISK</t>
        </is>
      </c>
      <c r="W234" s="29" t="inlineStr">
        <is>
          <t>저위험</t>
        </is>
      </c>
      <c r="X234" s="29" t="inlineStr">
        <is>
          <t>LOW_RISK</t>
        </is>
      </c>
      <c r="Y234" s="29" t="inlineStr">
        <is>
          <t>0.7571217577270841</t>
        </is>
      </c>
      <c r="Z234" s="29" t="inlineStr">
        <is>
          <t>HIGH</t>
        </is>
      </c>
      <c r="AA234" s="29" t="inlineStr">
        <is>
          <t>HIGH</t>
        </is>
      </c>
      <c r="AB234" s="29" t="inlineStr">
        <is>
          <t>0.1980202748075635</t>
        </is>
      </c>
      <c r="AC234" s="29" t="inlineStr">
        <is>
          <t>False</t>
        </is>
      </c>
      <c r="AD234" s="29" t="inlineStr">
        <is>
          <t>False</t>
        </is>
      </c>
      <c r="AE234" s="29" t="inlineStr">
        <is>
          <t>valuation_credit_ml_overlay_candidate.csv</t>
        </is>
      </c>
      <c r="AF234" s="29" t="inlineStr">
        <is>
          <t>208개 반도체 reference universe. Valuation Agent가 자체 intake 폴더로 복제해 Peer/ML/대시보드 비교에 사용.</t>
        </is>
      </c>
    </row>
    <row r="235" ht="24" customHeight="1">
      <c r="A235" s="24" t="inlineStr">
        <is>
          <t>167</t>
        </is>
      </c>
      <c r="B235" s="24" t="inlineStr">
        <is>
          <t>해당 없음</t>
        </is>
      </c>
      <c r="C235" s="24" t="inlineStr">
        <is>
          <t>샘씨엔에스</t>
        </is>
      </c>
      <c r="D235" s="24" t="inlineStr">
        <is>
          <t>252990</t>
        </is>
      </c>
      <c r="E235" s="24" t="inlineStr">
        <is>
          <t>KOSDAQ</t>
        </is>
      </c>
      <c r="F235" s="24" t="inlineStr">
        <is>
          <t>후공정/패키징/테스트</t>
        </is>
      </c>
      <c r="G235" s="24" t="inlineStr">
        <is>
          <t>후공정/패키징/테스트</t>
        </is>
      </c>
      <c r="H235" s="24" t="inlineStr">
        <is>
          <t>False</t>
        </is>
      </c>
      <c r="I235" s="24" t="inlineStr">
        <is>
          <t>True</t>
        </is>
      </c>
      <c r="J235" s="24" t="inlineStr">
        <is>
          <t>OK</t>
        </is>
      </c>
      <c r="K235" s="24" t="inlineStr">
        <is>
          <t>데이터 사용 가능</t>
        </is>
      </c>
      <c r="L235" s="24" t="inlineStr">
        <is>
          <t>LOW</t>
        </is>
      </c>
      <c r="M235" s="24" t="inlineStr">
        <is>
          <t>LOW</t>
        </is>
      </c>
      <c r="N235" s="24" t="inlineStr">
        <is>
          <t>0.6491851851851852</t>
        </is>
      </c>
      <c r="O235" s="24" t="inlineStr">
        <is>
          <t>ATTRACTIVE</t>
        </is>
      </c>
      <c r="P235" s="24" t="inlineStr">
        <is>
          <t>가치 매력</t>
        </is>
      </c>
      <c r="Q235" s="24" t="inlineStr">
        <is>
          <t>ATTRACTIVE</t>
        </is>
      </c>
      <c r="R235" s="24" t="inlineStr">
        <is>
          <t>0.5521991152548656</t>
        </is>
      </c>
      <c r="S235" s="24" t="inlineStr">
        <is>
          <t>MEDIUM</t>
        </is>
      </c>
      <c r="T235" s="24" t="inlineStr">
        <is>
          <t>MEDIUM</t>
        </is>
      </c>
      <c r="U235" s="24" t="inlineStr">
        <is>
          <t>0.1428571428571428</t>
        </is>
      </c>
      <c r="V235" s="24" t="inlineStr">
        <is>
          <t>LOW_RISK</t>
        </is>
      </c>
      <c r="W235" s="24" t="inlineStr">
        <is>
          <t>저위험</t>
        </is>
      </c>
      <c r="X235" s="24" t="inlineStr">
        <is>
          <t>LOW_RISK</t>
        </is>
      </c>
      <c r="Y235" s="24" t="inlineStr">
        <is>
          <t>0.8184283672559926</t>
        </is>
      </c>
      <c r="Z235" s="24" t="inlineStr">
        <is>
          <t>HIGH</t>
        </is>
      </c>
      <c r="AA235" s="24" t="inlineStr">
        <is>
          <t>HIGH</t>
        </is>
      </c>
      <c r="AB235" s="24" t="inlineStr">
        <is>
          <t>0.02862485694144737</t>
        </is>
      </c>
      <c r="AC235" s="24" t="inlineStr">
        <is>
          <t>False</t>
        </is>
      </c>
      <c r="AD235" s="24" t="inlineStr">
        <is>
          <t>False</t>
        </is>
      </c>
      <c r="AE235" s="24" t="inlineStr">
        <is>
          <t>valuation_credit_ml_overlay_candidate.csv</t>
        </is>
      </c>
      <c r="AF235" s="24" t="inlineStr">
        <is>
          <t>208개 반도체 reference universe. Valuation Agent가 자체 intake 폴더로 복제해 Peer/ML/대시보드 비교에 사용.</t>
        </is>
      </c>
    </row>
    <row r="236" ht="24" customHeight="1">
      <c r="A236" s="29" t="inlineStr">
        <is>
          <t>191</t>
        </is>
      </c>
      <c r="B236" s="29" t="inlineStr">
        <is>
          <t>해당 없음</t>
        </is>
      </c>
      <c r="C236" s="29" t="inlineStr">
        <is>
          <t>하나마이크론</t>
        </is>
      </c>
      <c r="D236" s="29" t="inlineStr">
        <is>
          <t>067310</t>
        </is>
      </c>
      <c r="E236" s="29" t="inlineStr">
        <is>
          <t>KOSDAQ</t>
        </is>
      </c>
      <c r="F236" s="29" t="inlineStr">
        <is>
          <t>후공정/패키징/테스트</t>
        </is>
      </c>
      <c r="G236" s="29" t="inlineStr">
        <is>
          <t>후공정/패키징/테스트</t>
        </is>
      </c>
      <c r="H236" s="29" t="inlineStr">
        <is>
          <t>False</t>
        </is>
      </c>
      <c r="I236" s="29" t="inlineStr">
        <is>
          <t>True</t>
        </is>
      </c>
      <c r="J236" s="29" t="inlineStr">
        <is>
          <t>OK</t>
        </is>
      </c>
      <c r="K236" s="29" t="inlineStr">
        <is>
          <t>데이터 사용 가능</t>
        </is>
      </c>
      <c r="L236" s="29" t="inlineStr">
        <is>
          <t>LOW</t>
        </is>
      </c>
      <c r="M236" s="29" t="inlineStr">
        <is>
          <t>LOW</t>
        </is>
      </c>
      <c r="N236" s="29" t="inlineStr">
        <is>
          <t>0.6405925925925926</t>
        </is>
      </c>
      <c r="O236" s="29" t="inlineStr">
        <is>
          <t>ATTRACTIVE</t>
        </is>
      </c>
      <c r="P236" s="29" t="inlineStr">
        <is>
          <t>가치 매력</t>
        </is>
      </c>
      <c r="Q236" s="29" t="inlineStr">
        <is>
          <t>ATTRACTIVE</t>
        </is>
      </c>
      <c r="R236" s="29" t="inlineStr">
        <is>
          <t>0.8727001075083287</t>
        </is>
      </c>
      <c r="S236" s="29" t="inlineStr">
        <is>
          <t>HIGH</t>
        </is>
      </c>
      <c r="T236" s="29" t="inlineStr">
        <is>
          <t>HIGH</t>
        </is>
      </c>
      <c r="U236" s="29" t="inlineStr">
        <is>
          <t>0.2857142857142857</t>
        </is>
      </c>
      <c r="V236" s="29" t="inlineStr">
        <is>
          <t>MEDIUM_RISK</t>
        </is>
      </c>
      <c r="W236" s="29" t="inlineStr">
        <is>
          <t>중위험</t>
        </is>
      </c>
      <c r="X236" s="29" t="inlineStr">
        <is>
          <t>MEDIUM_RISK</t>
        </is>
      </c>
      <c r="Y236" s="29" t="inlineStr">
        <is>
          <t>0.4659076101576026</t>
        </is>
      </c>
      <c r="Z236" s="29" t="inlineStr">
        <is>
          <t>LOW</t>
        </is>
      </c>
      <c r="AA236" s="29" t="inlineStr">
        <is>
          <t>LOW</t>
        </is>
      </c>
      <c r="AB236" s="29" t="inlineStr">
        <is>
          <t>0.1167493316831868</t>
        </is>
      </c>
      <c r="AC236" s="29" t="inlineStr">
        <is>
          <t>False</t>
        </is>
      </c>
      <c r="AD236" s="29" t="inlineStr">
        <is>
          <t>True</t>
        </is>
      </c>
      <c r="AE236" s="29" t="inlineStr">
        <is>
          <t>valuation_credit_ml_overlay_candidate.csv</t>
        </is>
      </c>
      <c r="AF236" s="29" t="inlineStr">
        <is>
          <t>208개 반도체 reference universe. Valuation Agent가 자체 intake 폴더로 복제해 Peer/ML/대시보드 비교에 사용.</t>
        </is>
      </c>
    </row>
    <row r="237" ht="24" customHeight="1">
      <c r="A237" s="24" t="inlineStr">
        <is>
          <t>157</t>
        </is>
      </c>
      <c r="B237" s="24" t="inlineStr">
        <is>
          <t>nepes</t>
        </is>
      </c>
      <c r="C237" s="24" t="inlineStr">
        <is>
          <t>네패스</t>
        </is>
      </c>
      <c r="D237" s="24" t="inlineStr">
        <is>
          <t>033640</t>
        </is>
      </c>
      <c r="E237" s="24" t="inlineStr">
        <is>
          <t>KOSDAQ</t>
        </is>
      </c>
      <c r="F237" s="24" t="inlineStr">
        <is>
          <t>후공정/패키징/테스트</t>
        </is>
      </c>
      <c r="G237" s="24" t="inlineStr">
        <is>
          <t>후공정/패키징/테스트</t>
        </is>
      </c>
      <c r="H237" s="24" t="inlineStr">
        <is>
          <t>True</t>
        </is>
      </c>
      <c r="I237" s="24" t="inlineStr">
        <is>
          <t>True</t>
        </is>
      </c>
      <c r="J237" s="24" t="inlineStr">
        <is>
          <t>OK</t>
        </is>
      </c>
      <c r="K237" s="24" t="inlineStr">
        <is>
          <t>데이터 사용 가능</t>
        </is>
      </c>
      <c r="L237" s="24" t="inlineStr">
        <is>
          <t>LOW</t>
        </is>
      </c>
      <c r="M237" s="24" t="inlineStr">
        <is>
          <t>LOW</t>
        </is>
      </c>
      <c r="N237" s="24" t="inlineStr">
        <is>
          <t>0.6385185185185186</t>
        </is>
      </c>
      <c r="O237" s="24" t="inlineStr">
        <is>
          <t>ATTRACTIVE</t>
        </is>
      </c>
      <c r="P237" s="24" t="inlineStr">
        <is>
          <t>가치 매력</t>
        </is>
      </c>
      <c r="Q237" s="24" t="inlineStr">
        <is>
          <t>ATTRACTIVE</t>
        </is>
      </c>
      <c r="R237" s="24" t="inlineStr">
        <is>
          <t>0.8763685947958789</t>
        </is>
      </c>
      <c r="S237" s="24" t="inlineStr">
        <is>
          <t>HIGH</t>
        </is>
      </c>
      <c r="T237" s="24" t="inlineStr">
        <is>
          <t>HIGH</t>
        </is>
      </c>
      <c r="U237" s="24" t="inlineStr">
        <is>
          <t>0.2857142857142857</t>
        </is>
      </c>
      <c r="V237" s="24" t="inlineStr">
        <is>
          <t>MEDIUM_RISK</t>
        </is>
      </c>
      <c r="W237" s="24" t="inlineStr">
        <is>
          <t>중위험</t>
        </is>
      </c>
      <c r="X237" s="24" t="inlineStr">
        <is>
          <t>MEDIUM_RISK</t>
        </is>
      </c>
      <c r="Y237" s="24" t="inlineStr">
        <is>
          <t>0.5963458259503356</t>
        </is>
      </c>
      <c r="Z237" s="24" t="inlineStr">
        <is>
          <t>MEDIUM</t>
        </is>
      </c>
      <c r="AA237" s="24" t="inlineStr">
        <is>
          <t>MEDIUM</t>
        </is>
      </c>
      <c r="AB237" s="24" t="inlineStr">
        <is>
          <t>0.07896643996759804</t>
        </is>
      </c>
      <c r="AC237" s="24" t="inlineStr">
        <is>
          <t>False</t>
        </is>
      </c>
      <c r="AD237" s="24" t="inlineStr">
        <is>
          <t>False</t>
        </is>
      </c>
      <c r="AE237" s="24" t="inlineStr">
        <is>
          <t>valuation_credit_ml_overlay_candidate.csv</t>
        </is>
      </c>
      <c r="AF237" s="24" t="inlineStr">
        <is>
          <t>208개 반도체 reference universe. Valuation Agent가 자체 intake 폴더로 복제해 Peer/ML/대시보드 비교에 사용.</t>
        </is>
      </c>
    </row>
    <row r="238" ht="24" customHeight="1">
      <c r="A238" s="29" t="inlineStr">
        <is>
          <t>151</t>
        </is>
      </c>
      <c r="B238" s="29" t="inlineStr">
        <is>
          <t>해당 없음</t>
        </is>
      </c>
      <c r="C238" s="29" t="inlineStr">
        <is>
          <t>KX하이텍</t>
        </is>
      </c>
      <c r="D238" s="29" t="inlineStr">
        <is>
          <t>052900</t>
        </is>
      </c>
      <c r="E238" s="29" t="inlineStr">
        <is>
          <t>KOSDAQ</t>
        </is>
      </c>
      <c r="F238" s="29" t="inlineStr">
        <is>
          <t>후공정/패키징/테스트</t>
        </is>
      </c>
      <c r="G238" s="29" t="inlineStr">
        <is>
          <t>후공정/패키징/테스트</t>
        </is>
      </c>
      <c r="H238" s="29" t="inlineStr">
        <is>
          <t>False</t>
        </is>
      </c>
      <c r="I238" s="29" t="inlineStr">
        <is>
          <t>True</t>
        </is>
      </c>
      <c r="J238" s="29" t="inlineStr">
        <is>
          <t>OK</t>
        </is>
      </c>
      <c r="K238" s="29" t="inlineStr">
        <is>
          <t>데이터 사용 가능</t>
        </is>
      </c>
      <c r="L238" s="29" t="inlineStr">
        <is>
          <t>LOW</t>
        </is>
      </c>
      <c r="M238" s="29" t="inlineStr">
        <is>
          <t>LOW</t>
        </is>
      </c>
      <c r="N238" s="29" t="inlineStr">
        <is>
          <t>0.6361481481481482</t>
        </is>
      </c>
      <c r="O238" s="29" t="inlineStr">
        <is>
          <t>ATTRACTIVE</t>
        </is>
      </c>
      <c r="P238" s="29" t="inlineStr">
        <is>
          <t>가치 매력</t>
        </is>
      </c>
      <c r="Q238" s="29" t="inlineStr">
        <is>
          <t>ATTRACTIVE</t>
        </is>
      </c>
      <c r="R238" s="29" t="inlineStr">
        <is>
          <t>0.7896879678479897</t>
        </is>
      </c>
      <c r="S238" s="29" t="inlineStr">
        <is>
          <t>HIGH</t>
        </is>
      </c>
      <c r="T238" s="29" t="inlineStr">
        <is>
          <t>HIGH</t>
        </is>
      </c>
      <c r="U238" s="29" t="inlineStr">
        <is>
          <t>0.0714285714285714</t>
        </is>
      </c>
      <c r="V238" s="29" t="inlineStr">
        <is>
          <t>LOW_RISK</t>
        </is>
      </c>
      <c r="W238" s="29" t="inlineStr">
        <is>
          <t>저위험</t>
        </is>
      </c>
      <c r="X238" s="29" t="inlineStr">
        <is>
          <t>LOW_RISK</t>
        </is>
      </c>
      <c r="Y238" s="29" t="inlineStr">
        <is>
          <t>0.87015899446037</t>
        </is>
      </c>
      <c r="Z238" s="29" t="inlineStr">
        <is>
          <t>HIGH</t>
        </is>
      </c>
      <c r="AA238" s="29" t="inlineStr">
        <is>
          <t>HIGH</t>
        </is>
      </c>
      <c r="AB238" s="29" t="inlineStr">
        <is>
          <t>0.012348610212675635</t>
        </is>
      </c>
      <c r="AC238" s="29" t="inlineStr">
        <is>
          <t>False</t>
        </is>
      </c>
      <c r="AD238" s="29" t="inlineStr">
        <is>
          <t>False</t>
        </is>
      </c>
      <c r="AE238" s="29" t="inlineStr">
        <is>
          <t>valuation_credit_ml_overlay_candidate.csv</t>
        </is>
      </c>
      <c r="AF238" s="29" t="inlineStr">
        <is>
          <t>208개 반도체 reference universe. Valuation Agent가 자체 intake 폴더로 복제해 Peer/ML/대시보드 비교에 사용.</t>
        </is>
      </c>
    </row>
    <row r="239" ht="24" customHeight="1">
      <c r="A239" s="24" t="inlineStr">
        <is>
          <t>172</t>
        </is>
      </c>
      <c r="B239" s="24" t="inlineStr">
        <is>
          <t>해당 없음</t>
        </is>
      </c>
      <c r="C239" s="24" t="inlineStr">
        <is>
          <t>에이치엠넥스</t>
        </is>
      </c>
      <c r="D239" s="24" t="inlineStr">
        <is>
          <t>036170</t>
        </is>
      </c>
      <c r="E239" s="24" t="inlineStr">
        <is>
          <t>KOSDAQ</t>
        </is>
      </c>
      <c r="F239" s="24" t="inlineStr">
        <is>
          <t>후공정/패키징/테스트</t>
        </is>
      </c>
      <c r="G239" s="24" t="inlineStr">
        <is>
          <t>후공정/패키징/테스트</t>
        </is>
      </c>
      <c r="H239" s="24" t="inlineStr">
        <is>
          <t>False</t>
        </is>
      </c>
      <c r="I239" s="24" t="inlineStr">
        <is>
          <t>True</t>
        </is>
      </c>
      <c r="J239" s="24" t="inlineStr">
        <is>
          <t>OK</t>
        </is>
      </c>
      <c r="K239" s="24" t="inlineStr">
        <is>
          <t>데이터 사용 가능</t>
        </is>
      </c>
      <c r="L239" s="24" t="inlineStr">
        <is>
          <t>LOW</t>
        </is>
      </c>
      <c r="M239" s="24" t="inlineStr">
        <is>
          <t>LOW</t>
        </is>
      </c>
      <c r="N239" s="24" t="inlineStr">
        <is>
          <t>0.621037037037037</t>
        </is>
      </c>
      <c r="O239" s="24" t="inlineStr">
        <is>
          <t>FAIR</t>
        </is>
      </c>
      <c r="P239" s="24" t="inlineStr">
        <is>
          <t>FAIR</t>
        </is>
      </c>
      <c r="Q239" s="24" t="inlineStr">
        <is>
          <t>FAIR</t>
        </is>
      </c>
      <c r="R239" s="24" t="inlineStr">
        <is>
          <t>0.7433115072206052</t>
        </is>
      </c>
      <c r="S239" s="24" t="inlineStr">
        <is>
          <t>HIGH</t>
        </is>
      </c>
      <c r="T239" s="24" t="inlineStr">
        <is>
          <t>HIGH</t>
        </is>
      </c>
      <c r="U239" s="24" t="inlineStr">
        <is>
          <t>0.3571428571428571</t>
        </is>
      </c>
      <c r="V239" s="24" t="inlineStr">
        <is>
          <t>MEDIUM_RISK</t>
        </is>
      </c>
      <c r="W239" s="24" t="inlineStr">
        <is>
          <t>중위험</t>
        </is>
      </c>
      <c r="X239" s="24" t="inlineStr">
        <is>
          <t>MEDIUM_RISK</t>
        </is>
      </c>
      <c r="Y239" s="24" t="inlineStr">
        <is>
          <t>0.7084051764737881</t>
        </is>
      </c>
      <c r="Z239" s="24" t="inlineStr">
        <is>
          <t>HIGH</t>
        </is>
      </c>
      <c r="AA239" s="24" t="inlineStr">
        <is>
          <t>HIGH</t>
        </is>
      </c>
      <c r="AB239" s="24" t="inlineStr">
        <is>
          <t>0.3531105059628509</t>
        </is>
      </c>
      <c r="AC239" s="24" t="inlineStr">
        <is>
          <t>True</t>
        </is>
      </c>
      <c r="AD239" s="24" t="inlineStr">
        <is>
          <t>True</t>
        </is>
      </c>
      <c r="AE239" s="24" t="inlineStr">
        <is>
          <t>valuation_credit_ml_overlay_candidate.csv</t>
        </is>
      </c>
      <c r="AF239" s="24" t="inlineStr">
        <is>
          <t>208개 반도체 reference universe. Valuation Agent가 자체 intake 폴더로 복제해 Peer/ML/대시보드 비교에 사용.</t>
        </is>
      </c>
    </row>
    <row r="240" ht="24" customHeight="1">
      <c r="A240" s="29" t="inlineStr">
        <is>
          <t>162</t>
        </is>
      </c>
      <c r="B240" s="29" t="inlineStr">
        <is>
          <t>해당 없음</t>
        </is>
      </c>
      <c r="C240" s="29" t="inlineStr">
        <is>
          <t>리노공업</t>
        </is>
      </c>
      <c r="D240" s="29" t="inlineStr">
        <is>
          <t>058470</t>
        </is>
      </c>
      <c r="E240" s="29" t="inlineStr">
        <is>
          <t>KOSDAQ GLOBAL</t>
        </is>
      </c>
      <c r="F240" s="29" t="inlineStr">
        <is>
          <t>후공정/패키징/테스트</t>
        </is>
      </c>
      <c r="G240" s="29" t="inlineStr">
        <is>
          <t>후공정/패키징/테스트</t>
        </is>
      </c>
      <c r="H240" s="29" t="inlineStr">
        <is>
          <t>False</t>
        </is>
      </c>
      <c r="I240" s="29" t="inlineStr">
        <is>
          <t>True</t>
        </is>
      </c>
      <c r="J240" s="29" t="inlineStr">
        <is>
          <t>OK</t>
        </is>
      </c>
      <c r="K240" s="29" t="inlineStr">
        <is>
          <t>데이터 사용 가능</t>
        </is>
      </c>
      <c r="L240" s="29" t="inlineStr">
        <is>
          <t>LOW</t>
        </is>
      </c>
      <c r="M240" s="29" t="inlineStr">
        <is>
          <t>LOW</t>
        </is>
      </c>
      <c r="N240" s="29" t="inlineStr">
        <is>
          <t>0.6191111111111112</t>
        </is>
      </c>
      <c r="O240" s="29" t="inlineStr">
        <is>
          <t>ATTRACTIVE</t>
        </is>
      </c>
      <c r="P240" s="29" t="inlineStr">
        <is>
          <t>가치 매력</t>
        </is>
      </c>
      <c r="Q240" s="29" t="inlineStr">
        <is>
          <t>ATTRACTIVE</t>
        </is>
      </c>
      <c r="R240" s="29" t="inlineStr">
        <is>
          <t>0.6825301704423244</t>
        </is>
      </c>
      <c r="S240" s="29" t="inlineStr">
        <is>
          <t>MEDIUM</t>
        </is>
      </c>
      <c r="T240" s="29" t="inlineStr">
        <is>
          <t>MEDIUM</t>
        </is>
      </c>
      <c r="U240" s="29" t="inlineStr">
        <is>
          <t>0.0</t>
        </is>
      </c>
      <c r="V240" s="29" t="inlineStr">
        <is>
          <t>LOW_RISK</t>
        </is>
      </c>
      <c r="W240" s="29" t="inlineStr">
        <is>
          <t>저위험</t>
        </is>
      </c>
      <c r="X240" s="29" t="inlineStr">
        <is>
          <t>LOW_RISK</t>
        </is>
      </c>
      <c r="Y240" s="29" t="inlineStr">
        <is>
          <t>0.941163557572434</t>
        </is>
      </c>
      <c r="Z240" s="29" t="inlineStr">
        <is>
          <t>HIGH</t>
        </is>
      </c>
      <c r="AA240" s="29" t="inlineStr">
        <is>
          <t>HIGH</t>
        </is>
      </c>
      <c r="AB240" s="29" t="inlineStr">
        <is>
          <t>0.3137137380028342</t>
        </is>
      </c>
      <c r="AC240" s="29" t="inlineStr">
        <is>
          <t>True</t>
        </is>
      </c>
      <c r="AD240" s="29" t="inlineStr">
        <is>
          <t>True</t>
        </is>
      </c>
      <c r="AE240" s="29" t="inlineStr">
        <is>
          <t>valuation_credit_ml_overlay_candidate.csv</t>
        </is>
      </c>
      <c r="AF240" s="29" t="inlineStr">
        <is>
          <t>208개 반도체 reference universe. Valuation Agent가 자체 intake 폴더로 복제해 Peer/ML/대시보드 비교에 사용.</t>
        </is>
      </c>
    </row>
    <row r="241" ht="24" customHeight="1">
      <c r="A241" s="24" t="inlineStr">
        <is>
          <t>175</t>
        </is>
      </c>
      <c r="B241" s="24" t="inlineStr">
        <is>
          <t>해당 없음</t>
        </is>
      </c>
      <c r="C241" s="24" t="inlineStr">
        <is>
          <t>오킨스전자</t>
        </is>
      </c>
      <c r="D241" s="24" t="inlineStr">
        <is>
          <t>080580</t>
        </is>
      </c>
      <c r="E241" s="24" t="inlineStr">
        <is>
          <t>KOSDAQ</t>
        </is>
      </c>
      <c r="F241" s="24" t="inlineStr">
        <is>
          <t>후공정/패키징/테스트</t>
        </is>
      </c>
      <c r="G241" s="24" t="inlineStr">
        <is>
          <t>후공정/패키징/테스트</t>
        </is>
      </c>
      <c r="H241" s="24" t="inlineStr">
        <is>
          <t>False</t>
        </is>
      </c>
      <c r="I241" s="24" t="inlineStr">
        <is>
          <t>True</t>
        </is>
      </c>
      <c r="J241" s="24" t="inlineStr">
        <is>
          <t>OK</t>
        </is>
      </c>
      <c r="K241" s="24" t="inlineStr">
        <is>
          <t>데이터 사용 가능</t>
        </is>
      </c>
      <c r="L241" s="24" t="inlineStr">
        <is>
          <t>LOW</t>
        </is>
      </c>
      <c r="M241" s="24" t="inlineStr">
        <is>
          <t>LOW</t>
        </is>
      </c>
      <c r="N241" s="24" t="inlineStr">
        <is>
          <t>0.6062222222222222</t>
        </is>
      </c>
      <c r="O241" s="24" t="inlineStr">
        <is>
          <t>ATTRACTIVE</t>
        </is>
      </c>
      <c r="P241" s="24" t="inlineStr">
        <is>
          <t>가치 매력</t>
        </is>
      </c>
      <c r="Q241" s="24" t="inlineStr">
        <is>
          <t>ATTRACTIVE</t>
        </is>
      </c>
      <c r="R241" s="24" t="inlineStr">
        <is>
          <t>0.8105235691914331</t>
        </is>
      </c>
      <c r="S241" s="24" t="inlineStr">
        <is>
          <t>HIGH</t>
        </is>
      </c>
      <c r="T241" s="24" t="inlineStr">
        <is>
          <t>HIGH</t>
        </is>
      </c>
      <c r="U241" s="24" t="inlineStr">
        <is>
          <t>0.2142857142857142</t>
        </is>
      </c>
      <c r="V241" s="24" t="inlineStr">
        <is>
          <t>MEDIUM_RISK</t>
        </is>
      </c>
      <c r="W241" s="24" t="inlineStr">
        <is>
          <t>중위험</t>
        </is>
      </c>
      <c r="X241" s="24" t="inlineStr">
        <is>
          <t>MEDIUM_RISK</t>
        </is>
      </c>
      <c r="Y241" s="24" t="inlineStr">
        <is>
          <t>0.5565647223385506</t>
        </is>
      </c>
      <c r="Z241" s="24" t="inlineStr">
        <is>
          <t>MEDIUM</t>
        </is>
      </c>
      <c r="AA241" s="24" t="inlineStr">
        <is>
          <t>MEDIUM</t>
        </is>
      </c>
      <c r="AB241" s="24" t="inlineStr">
        <is>
          <t>0.05131400931985753</t>
        </is>
      </c>
      <c r="AC241" s="24" t="inlineStr">
        <is>
          <t>False</t>
        </is>
      </c>
      <c r="AD241" s="24" t="inlineStr">
        <is>
          <t>False</t>
        </is>
      </c>
      <c r="AE241" s="24" t="inlineStr">
        <is>
          <t>valuation_credit_ml_overlay_candidate.csv</t>
        </is>
      </c>
      <c r="AF241" s="24" t="inlineStr">
        <is>
          <t>208개 반도체 reference universe. Valuation Agent가 자체 intake 폴더로 복제해 Peer/ML/대시보드 비교에 사용.</t>
        </is>
      </c>
    </row>
    <row r="242" ht="24" customHeight="1">
      <c r="A242" s="29" t="inlineStr">
        <is>
          <t>160</t>
        </is>
      </c>
      <c r="B242" s="29" t="inlineStr">
        <is>
          <t>해당 없음</t>
        </is>
      </c>
      <c r="C242" s="29" t="inlineStr">
        <is>
          <t>디아이</t>
        </is>
      </c>
      <c r="D242" s="29" t="inlineStr">
        <is>
          <t>003160</t>
        </is>
      </c>
      <c r="E242" s="29" t="inlineStr">
        <is>
          <t>KOSPI</t>
        </is>
      </c>
      <c r="F242" s="29" t="inlineStr">
        <is>
          <t>후공정/패키징/테스트</t>
        </is>
      </c>
      <c r="G242" s="29" t="inlineStr">
        <is>
          <t>후공정/패키징/테스트</t>
        </is>
      </c>
      <c r="H242" s="29" t="inlineStr">
        <is>
          <t>False</t>
        </is>
      </c>
      <c r="I242" s="29" t="inlineStr">
        <is>
          <t>True</t>
        </is>
      </c>
      <c r="J242" s="29" t="inlineStr">
        <is>
          <t>OK</t>
        </is>
      </c>
      <c r="K242" s="29" t="inlineStr">
        <is>
          <t>데이터 사용 가능</t>
        </is>
      </c>
      <c r="L242" s="29" t="inlineStr">
        <is>
          <t>LOW</t>
        </is>
      </c>
      <c r="M242" s="29" t="inlineStr">
        <is>
          <t>LOW</t>
        </is>
      </c>
      <c r="N242" s="29" t="inlineStr">
        <is>
          <t>0.5875555555555555</t>
        </is>
      </c>
      <c r="O242" s="29" t="inlineStr">
        <is>
          <t>ATTRACTIVE</t>
        </is>
      </c>
      <c r="P242" s="29" t="inlineStr">
        <is>
          <t>가치 매력</t>
        </is>
      </c>
      <c r="Q242" s="29" t="inlineStr">
        <is>
          <t>ATTRACTIVE</t>
        </is>
      </c>
      <c r="R242" s="29" t="inlineStr">
        <is>
          <t>0.6560906263736197</t>
        </is>
      </c>
      <c r="S242" s="29" t="inlineStr">
        <is>
          <t>MEDIUM</t>
        </is>
      </c>
      <c r="T242" s="29" t="inlineStr">
        <is>
          <t>MEDIUM</t>
        </is>
      </c>
      <c r="U242" s="29" t="inlineStr">
        <is>
          <t>0.0714285714285714</t>
        </is>
      </c>
      <c r="V242" s="29" t="inlineStr">
        <is>
          <t>LOW_RISK</t>
        </is>
      </c>
      <c r="W242" s="29" t="inlineStr">
        <is>
          <t>저위험</t>
        </is>
      </c>
      <c r="X242" s="29" t="inlineStr">
        <is>
          <t>LOW_RISK</t>
        </is>
      </c>
      <c r="Y242" s="29" t="inlineStr">
        <is>
          <t>0.7571818581431954</t>
        </is>
      </c>
      <c r="Z242" s="29" t="inlineStr">
        <is>
          <t>HIGH</t>
        </is>
      </c>
      <c r="AA242" s="29" t="inlineStr">
        <is>
          <t>HIGH</t>
        </is>
      </c>
      <c r="AB242" s="29" t="inlineStr">
        <is>
          <t>0.027510707117244317</t>
        </is>
      </c>
      <c r="AC242" s="29" t="inlineStr">
        <is>
          <t>False</t>
        </is>
      </c>
      <c r="AD242" s="29" t="inlineStr">
        <is>
          <t>False</t>
        </is>
      </c>
      <c r="AE242" s="29" t="inlineStr">
        <is>
          <t>valuation_credit_ml_overlay_candidate.csv</t>
        </is>
      </c>
      <c r="AF242" s="29" t="inlineStr">
        <is>
          <t>208개 반도체 reference universe. Valuation Agent가 자체 intake 폴더로 복제해 Peer/ML/대시보드 비교에 사용.</t>
        </is>
      </c>
    </row>
    <row r="243" ht="24" customHeight="1">
      <c r="A243" s="24" t="inlineStr">
        <is>
          <t>174</t>
        </is>
      </c>
      <c r="B243" s="24" t="inlineStr">
        <is>
          <t>해당 없음</t>
        </is>
      </c>
      <c r="C243" s="24" t="inlineStr">
        <is>
          <t>엑시콘</t>
        </is>
      </c>
      <c r="D243" s="24" t="inlineStr">
        <is>
          <t>092870</t>
        </is>
      </c>
      <c r="E243" s="24" t="inlineStr">
        <is>
          <t>KOSDAQ</t>
        </is>
      </c>
      <c r="F243" s="24" t="inlineStr">
        <is>
          <t>후공정/패키징/테스트</t>
        </is>
      </c>
      <c r="G243" s="24" t="inlineStr">
        <is>
          <t>후공정/패키징/테스트</t>
        </is>
      </c>
      <c r="H243" s="24" t="inlineStr">
        <is>
          <t>False</t>
        </is>
      </c>
      <c r="I243" s="24" t="inlineStr">
        <is>
          <t>True</t>
        </is>
      </c>
      <c r="J243" s="24" t="inlineStr">
        <is>
          <t>OK</t>
        </is>
      </c>
      <c r="K243" s="24" t="inlineStr">
        <is>
          <t>데이터 사용 가능</t>
        </is>
      </c>
      <c r="L243" s="24" t="inlineStr">
        <is>
          <t>LOW</t>
        </is>
      </c>
      <c r="M243" s="24" t="inlineStr">
        <is>
          <t>LOW</t>
        </is>
      </c>
      <c r="N243" s="24" t="inlineStr">
        <is>
          <t>0.5711111111111111</t>
        </is>
      </c>
      <c r="O243" s="24" t="inlineStr">
        <is>
          <t>FAIR</t>
        </is>
      </c>
      <c r="P243" s="24" t="inlineStr">
        <is>
          <t>FAIR</t>
        </is>
      </c>
      <c r="Q243" s="24" t="inlineStr">
        <is>
          <t>FAIR</t>
        </is>
      </c>
      <c r="R243" s="24" t="inlineStr">
        <is>
          <t>0.7870958268046786</t>
        </is>
      </c>
      <c r="S243" s="24" t="inlineStr">
        <is>
          <t>HIGH</t>
        </is>
      </c>
      <c r="T243" s="24" t="inlineStr">
        <is>
          <t>HIGH</t>
        </is>
      </c>
      <c r="U243" s="24" t="inlineStr">
        <is>
          <t>0.2142857142857142</t>
        </is>
      </c>
      <c r="V243" s="24" t="inlineStr">
        <is>
          <t>MEDIUM_RISK</t>
        </is>
      </c>
      <c r="W243" s="24" t="inlineStr">
        <is>
          <t>중위험</t>
        </is>
      </c>
      <c r="X243" s="24" t="inlineStr">
        <is>
          <t>MEDIUM_RISK</t>
        </is>
      </c>
      <c r="Y243" s="24" t="inlineStr">
        <is>
          <t>0.6956414267155251</t>
        </is>
      </c>
      <c r="Z243" s="24" t="inlineStr">
        <is>
          <t>MEDIUM</t>
        </is>
      </c>
      <c r="AA243" s="24" t="inlineStr">
        <is>
          <t>MEDIUM</t>
        </is>
      </c>
      <c r="AB243" s="24" t="inlineStr">
        <is>
          <t>0.09079387845598708</t>
        </is>
      </c>
      <c r="AC243" s="24" t="inlineStr">
        <is>
          <t>False</t>
        </is>
      </c>
      <c r="AD243" s="24" t="inlineStr">
        <is>
          <t>False</t>
        </is>
      </c>
      <c r="AE243" s="24" t="inlineStr">
        <is>
          <t>valuation_credit_ml_overlay_candidate.csv</t>
        </is>
      </c>
      <c r="AF243" s="24" t="inlineStr">
        <is>
          <t>208개 반도체 reference universe. Valuation Agent가 자체 intake 폴더로 복제해 Peer/ML/대시보드 비교에 사용.</t>
        </is>
      </c>
    </row>
    <row r="244" ht="24" customHeight="1">
      <c r="A244" s="29" t="inlineStr">
        <is>
          <t>177</t>
        </is>
      </c>
      <c r="B244" s="29" t="inlineStr">
        <is>
          <t>해당 없음</t>
        </is>
      </c>
      <c r="C244" s="29" t="inlineStr">
        <is>
          <t>우리이앤엘하루틴</t>
        </is>
      </c>
      <c r="D244" s="29" t="inlineStr">
        <is>
          <t>153490</t>
        </is>
      </c>
      <c r="E244" s="29" t="inlineStr">
        <is>
          <t>KOSDAQ</t>
        </is>
      </c>
      <c r="F244" s="29" t="inlineStr">
        <is>
          <t>후공정/패키징/테스트</t>
        </is>
      </c>
      <c r="G244" s="29" t="inlineStr">
        <is>
          <t>후공정/패키징/테스트</t>
        </is>
      </c>
      <c r="H244" s="29" t="inlineStr">
        <is>
          <t>False</t>
        </is>
      </c>
      <c r="I244" s="29" t="inlineStr">
        <is>
          <t>True</t>
        </is>
      </c>
      <c r="J244" s="29" t="inlineStr">
        <is>
          <t>OK</t>
        </is>
      </c>
      <c r="K244" s="29" t="inlineStr">
        <is>
          <t>데이터 사용 가능</t>
        </is>
      </c>
      <c r="L244" s="29" t="inlineStr">
        <is>
          <t>LOW</t>
        </is>
      </c>
      <c r="M244" s="29" t="inlineStr">
        <is>
          <t>LOW</t>
        </is>
      </c>
      <c r="N244" s="29" t="inlineStr">
        <is>
          <t>0.5598518518518519</t>
        </is>
      </c>
      <c r="O244" s="29" t="inlineStr">
        <is>
          <t>FAIR</t>
        </is>
      </c>
      <c r="P244" s="29" t="inlineStr">
        <is>
          <t>FAIR</t>
        </is>
      </c>
      <c r="Q244" s="29" t="inlineStr">
        <is>
          <t>FAIR</t>
        </is>
      </c>
      <c r="R244" s="29" t="inlineStr">
        <is>
          <t>0.803860880134826</t>
        </is>
      </c>
      <c r="S244" s="29" t="inlineStr">
        <is>
          <t>HIGH</t>
        </is>
      </c>
      <c r="T244" s="29" t="inlineStr">
        <is>
          <t>HIGH</t>
        </is>
      </c>
      <c r="U244" s="29" t="inlineStr">
        <is>
          <t>0.1428571428571428</t>
        </is>
      </c>
      <c r="V244" s="29" t="inlineStr">
        <is>
          <t>LOW_RISK</t>
        </is>
      </c>
      <c r="W244" s="29" t="inlineStr">
        <is>
          <t>저위험</t>
        </is>
      </c>
      <c r="X244" s="29" t="inlineStr">
        <is>
          <t>LOW_RISK</t>
        </is>
      </c>
      <c r="Y244" s="29" t="inlineStr">
        <is>
          <t>0.5263237628250668</t>
        </is>
      </c>
      <c r="Z244" s="29" t="inlineStr">
        <is>
          <t>MEDIUM</t>
        </is>
      </c>
      <c r="AA244" s="29" t="inlineStr">
        <is>
          <t>MEDIUM</t>
        </is>
      </c>
      <c r="AB244" s="29" t="inlineStr">
        <is>
          <t>0.12425981563248314</t>
        </is>
      </c>
      <c r="AC244" s="29" t="inlineStr">
        <is>
          <t>False</t>
        </is>
      </c>
      <c r="AD244" s="29" t="inlineStr">
        <is>
          <t>False</t>
        </is>
      </c>
      <c r="AE244" s="29" t="inlineStr">
        <is>
          <t>valuation_credit_ml_overlay_candidate.csv</t>
        </is>
      </c>
      <c r="AF244" s="29" t="inlineStr">
        <is>
          <t>208개 반도체 reference universe. Valuation Agent가 자체 intake 폴더로 복제해 Peer/ML/대시보드 비교에 사용.</t>
        </is>
      </c>
    </row>
    <row r="245" ht="24" customHeight="1">
      <c r="A245" s="24" t="inlineStr">
        <is>
          <t>176</t>
        </is>
      </c>
      <c r="B245" s="24" t="inlineStr">
        <is>
          <t>해당 없음</t>
        </is>
      </c>
      <c r="C245" s="24" t="inlineStr">
        <is>
          <t>와이씨</t>
        </is>
      </c>
      <c r="D245" s="24" t="inlineStr">
        <is>
          <t>232140</t>
        </is>
      </c>
      <c r="E245" s="24" t="inlineStr">
        <is>
          <t>KOSDAQ</t>
        </is>
      </c>
      <c r="F245" s="24" t="inlineStr">
        <is>
          <t>후공정/패키징/테스트</t>
        </is>
      </c>
      <c r="G245" s="24" t="inlineStr">
        <is>
          <t>후공정/패키징/테스트</t>
        </is>
      </c>
      <c r="H245" s="24" t="inlineStr">
        <is>
          <t>False</t>
        </is>
      </c>
      <c r="I245" s="24" t="inlineStr">
        <is>
          <t>True</t>
        </is>
      </c>
      <c r="J245" s="24" t="inlineStr">
        <is>
          <t>OK</t>
        </is>
      </c>
      <c r="K245" s="24" t="inlineStr">
        <is>
          <t>데이터 사용 가능</t>
        </is>
      </c>
      <c r="L245" s="24" t="inlineStr">
        <is>
          <t>LOW</t>
        </is>
      </c>
      <c r="M245" s="24" t="inlineStr">
        <is>
          <t>LOW</t>
        </is>
      </c>
      <c r="N245" s="24" t="inlineStr">
        <is>
          <t>0.5573333333333333</t>
        </is>
      </c>
      <c r="O245" s="24" t="inlineStr">
        <is>
          <t>FAIR</t>
        </is>
      </c>
      <c r="P245" s="24" t="inlineStr">
        <is>
          <t>FAIR</t>
        </is>
      </c>
      <c r="Q245" s="24" t="inlineStr">
        <is>
          <t>FAIR</t>
        </is>
      </c>
      <c r="R245" s="24" t="inlineStr">
        <is>
          <t>0.5813875575219858</t>
        </is>
      </c>
      <c r="S245" s="24" t="inlineStr">
        <is>
          <t>MEDIUM</t>
        </is>
      </c>
      <c r="T245" s="24" t="inlineStr">
        <is>
          <t>MEDIUM</t>
        </is>
      </c>
      <c r="U245" s="24" t="inlineStr">
        <is>
          <t>0.0</t>
        </is>
      </c>
      <c r="V245" s="24" t="inlineStr">
        <is>
          <t>LOW_RISK</t>
        </is>
      </c>
      <c r="W245" s="24" t="inlineStr">
        <is>
          <t>저위험</t>
        </is>
      </c>
      <c r="X245" s="24" t="inlineStr">
        <is>
          <t>LOW_RISK</t>
        </is>
      </c>
      <c r="Y245" s="24" t="inlineStr">
        <is>
          <t>0.9779169949984006</t>
        </is>
      </c>
      <c r="Z245" s="24" t="inlineStr">
        <is>
          <t>HIGH</t>
        </is>
      </c>
      <c r="AA245" s="24" t="inlineStr">
        <is>
          <t>HIGH</t>
        </is>
      </c>
      <c r="AB245" s="24" t="inlineStr">
        <is>
          <t>0.027903490153269303</t>
        </is>
      </c>
      <c r="AC245" s="24" t="inlineStr">
        <is>
          <t>False</t>
        </is>
      </c>
      <c r="AD245" s="24" t="inlineStr">
        <is>
          <t>False</t>
        </is>
      </c>
      <c r="AE245" s="24" t="inlineStr">
        <is>
          <t>valuation_credit_ml_overlay_candidate.csv</t>
        </is>
      </c>
      <c r="AF245" s="24" t="inlineStr">
        <is>
          <t>208개 반도체 reference universe. Valuation Agent가 자체 intake 폴더로 복제해 Peer/ML/대시보드 비교에 사용.</t>
        </is>
      </c>
    </row>
    <row r="246" ht="24" customHeight="1">
      <c r="A246" s="29" t="inlineStr">
        <is>
          <t>155</t>
        </is>
      </c>
      <c r="B246" s="29" t="inlineStr">
        <is>
          <t>해당 없음</t>
        </is>
      </c>
      <c r="C246" s="29" t="inlineStr">
        <is>
          <t>기가비스</t>
        </is>
      </c>
      <c r="D246" s="29" t="inlineStr">
        <is>
          <t>420770</t>
        </is>
      </c>
      <c r="E246" s="29" t="inlineStr">
        <is>
          <t>KOSDAQ</t>
        </is>
      </c>
      <c r="F246" s="29" t="inlineStr">
        <is>
          <t>후공정/패키징/테스트</t>
        </is>
      </c>
      <c r="G246" s="29" t="inlineStr">
        <is>
          <t>후공정/패키징/테스트</t>
        </is>
      </c>
      <c r="H246" s="29" t="inlineStr">
        <is>
          <t>False</t>
        </is>
      </c>
      <c r="I246" s="29" t="inlineStr">
        <is>
          <t>True</t>
        </is>
      </c>
      <c r="J246" s="29" t="inlineStr">
        <is>
          <t>OK_LIMITED_HISTORY_OR_GROWTH_NA</t>
        </is>
      </c>
      <c r="K246" s="29" t="inlineStr">
        <is>
          <t>데이터 사용 가능</t>
        </is>
      </c>
      <c r="L246" s="29" t="inlineStr">
        <is>
          <t>LOW</t>
        </is>
      </c>
      <c r="M246" s="29" t="inlineStr">
        <is>
          <t>LOW</t>
        </is>
      </c>
      <c r="N246" s="29" t="inlineStr">
        <is>
          <t>0.5544444444444445</t>
        </is>
      </c>
      <c r="O246" s="29" t="inlineStr">
        <is>
          <t>FAIR</t>
        </is>
      </c>
      <c r="P246" s="29" t="inlineStr">
        <is>
          <t>FAIR</t>
        </is>
      </c>
      <c r="Q246" s="29" t="inlineStr">
        <is>
          <t>FAIR</t>
        </is>
      </c>
      <c r="R246" s="29" t="inlineStr">
        <is>
          <t>0.604283449323821</t>
        </is>
      </c>
      <c r="S246" s="29" t="inlineStr">
        <is>
          <t>MEDIUM</t>
        </is>
      </c>
      <c r="T246" s="29" t="inlineStr">
        <is>
          <t>MEDIUM</t>
        </is>
      </c>
      <c r="U246" s="29" t="inlineStr">
        <is>
          <t>0.0714285714285714</t>
        </is>
      </c>
      <c r="V246" s="29" t="inlineStr">
        <is>
          <t>LOW_RISK</t>
        </is>
      </c>
      <c r="W246" s="29" t="inlineStr">
        <is>
          <t>저위험</t>
        </is>
      </c>
      <c r="X246" s="29" t="inlineStr">
        <is>
          <t>LOW_RISK</t>
        </is>
      </c>
      <c r="Y246" s="29" t="inlineStr">
        <is>
          <t>0.9462252670112353</t>
        </is>
      </c>
      <c r="Z246" s="29" t="inlineStr">
        <is>
          <t>HIGH</t>
        </is>
      </c>
      <c r="AA246" s="29" t="inlineStr">
        <is>
          <t>HIGH</t>
        </is>
      </c>
      <c r="AB246" s="29" t="inlineStr">
        <is>
          <t>0.34444594339538714</t>
        </is>
      </c>
      <c r="AC246" s="29" t="inlineStr">
        <is>
          <t>True</t>
        </is>
      </c>
      <c r="AD246" s="29" t="inlineStr">
        <is>
          <t>True</t>
        </is>
      </c>
      <c r="AE246" s="29" t="inlineStr">
        <is>
          <t>valuation_credit_ml_overlay_candidate.csv</t>
        </is>
      </c>
      <c r="AF246" s="29" t="inlineStr">
        <is>
          <t>208개 반도체 reference universe. Valuation Agent가 자체 intake 폴더로 복제해 Peer/ML/대시보드 비교에 사용.</t>
        </is>
      </c>
    </row>
    <row r="247" ht="24" customHeight="1">
      <c r="A247" s="24" t="inlineStr">
        <is>
          <t>194</t>
        </is>
      </c>
      <c r="B247" s="24" t="inlineStr">
        <is>
          <t>해당 없음</t>
        </is>
      </c>
      <c r="C247" s="24" t="inlineStr">
        <is>
          <t>해성디에스</t>
        </is>
      </c>
      <c r="D247" s="24" t="inlineStr">
        <is>
          <t>195870</t>
        </is>
      </c>
      <c r="E247" s="24" t="inlineStr">
        <is>
          <t>KOSPI</t>
        </is>
      </c>
      <c r="F247" s="24" t="inlineStr">
        <is>
          <t>후공정/패키징/테스트</t>
        </is>
      </c>
      <c r="G247" s="24" t="inlineStr">
        <is>
          <t>후공정/패키징/테스트</t>
        </is>
      </c>
      <c r="H247" s="24" t="inlineStr">
        <is>
          <t>False</t>
        </is>
      </c>
      <c r="I247" s="24" t="inlineStr">
        <is>
          <t>True</t>
        </is>
      </c>
      <c r="J247" s="24" t="inlineStr">
        <is>
          <t>OK</t>
        </is>
      </c>
      <c r="K247" s="24" t="inlineStr">
        <is>
          <t>데이터 사용 가능</t>
        </is>
      </c>
      <c r="L247" s="24" t="inlineStr">
        <is>
          <t>LOW</t>
        </is>
      </c>
      <c r="M247" s="24" t="inlineStr">
        <is>
          <t>LOW</t>
        </is>
      </c>
      <c r="N247" s="24" t="inlineStr">
        <is>
          <t>0.5333333333333333</t>
        </is>
      </c>
      <c r="O247" s="24" t="inlineStr">
        <is>
          <t>FAIR</t>
        </is>
      </c>
      <c r="P247" s="24" t="inlineStr">
        <is>
          <t>FAIR</t>
        </is>
      </c>
      <c r="Q247" s="24" t="inlineStr">
        <is>
          <t>FAIR</t>
        </is>
      </c>
      <c r="R247" s="24" t="inlineStr">
        <is>
          <t>0.8942165906576592</t>
        </is>
      </c>
      <c r="S247" s="24" t="inlineStr">
        <is>
          <t>HIGH</t>
        </is>
      </c>
      <c r="T247" s="24" t="inlineStr">
        <is>
          <t>HIGH</t>
        </is>
      </c>
      <c r="U247" s="24" t="inlineStr">
        <is>
          <t>0.0714285714285714</t>
        </is>
      </c>
      <c r="V247" s="24" t="inlineStr">
        <is>
          <t>LOW_RISK</t>
        </is>
      </c>
      <c r="W247" s="24" t="inlineStr">
        <is>
          <t>저위험</t>
        </is>
      </c>
      <c r="X247" s="24" t="inlineStr">
        <is>
          <t>LOW_RISK</t>
        </is>
      </c>
      <c r="Y247" s="24" t="inlineStr">
        <is>
          <t>0.7552918248784374</t>
        </is>
      </c>
      <c r="Z247" s="24" t="inlineStr">
        <is>
          <t>HIGH</t>
        </is>
      </c>
      <c r="AA247" s="24" t="inlineStr">
        <is>
          <t>HIGH</t>
        </is>
      </c>
      <c r="AB247" s="24" t="inlineStr">
        <is>
          <t>0.0</t>
        </is>
      </c>
      <c r="AC247" s="24" t="inlineStr">
        <is>
          <t>False</t>
        </is>
      </c>
      <c r="AD247" s="24" t="inlineStr">
        <is>
          <t>False</t>
        </is>
      </c>
      <c r="AE247" s="24" t="inlineStr">
        <is>
          <t>valuation_credit_ml_overlay_candidate.csv</t>
        </is>
      </c>
      <c r="AF247" s="24" t="inlineStr">
        <is>
          <t>208개 반도체 reference universe. Valuation Agent가 자체 intake 폴더로 복제해 Peer/ML/대시보드 비교에 사용.</t>
        </is>
      </c>
    </row>
    <row r="248" ht="24" customHeight="1">
      <c r="A248" s="29" t="inlineStr">
        <is>
          <t>150</t>
        </is>
      </c>
      <c r="B248" s="29" t="inlineStr">
        <is>
          <t>해당 없음</t>
        </is>
      </c>
      <c r="C248" s="29" t="inlineStr">
        <is>
          <t>ISC</t>
        </is>
      </c>
      <c r="D248" s="29" t="inlineStr">
        <is>
          <t>095340</t>
        </is>
      </c>
      <c r="E248" s="29" t="inlineStr">
        <is>
          <t>KOSDAQ GLOBAL</t>
        </is>
      </c>
      <c r="F248" s="29" t="inlineStr">
        <is>
          <t>후공정/패키징/테스트</t>
        </is>
      </c>
      <c r="G248" s="29" t="inlineStr">
        <is>
          <t>후공정/패키징/테스트</t>
        </is>
      </c>
      <c r="H248" s="29" t="inlineStr">
        <is>
          <t>False</t>
        </is>
      </c>
      <c r="I248" s="29" t="inlineStr">
        <is>
          <t>True</t>
        </is>
      </c>
      <c r="J248" s="29" t="inlineStr">
        <is>
          <t>OK</t>
        </is>
      </c>
      <c r="K248" s="29" t="inlineStr">
        <is>
          <t>데이터 사용 가능</t>
        </is>
      </c>
      <c r="L248" s="29" t="inlineStr">
        <is>
          <t>LOW</t>
        </is>
      </c>
      <c r="M248" s="29" t="inlineStr">
        <is>
          <t>LOW</t>
        </is>
      </c>
      <c r="N248" s="29" t="inlineStr">
        <is>
          <t>0.5176296296296296</t>
        </is>
      </c>
      <c r="O248" s="29" t="inlineStr">
        <is>
          <t>FAIR</t>
        </is>
      </c>
      <c r="P248" s="29" t="inlineStr">
        <is>
          <t>FAIR</t>
        </is>
      </c>
      <c r="Q248" s="29" t="inlineStr">
        <is>
          <t>FAIR</t>
        </is>
      </c>
      <c r="R248" s="29" t="inlineStr">
        <is>
          <t>0.5753148434947495</t>
        </is>
      </c>
      <c r="S248" s="29" t="inlineStr">
        <is>
          <t>MEDIUM</t>
        </is>
      </c>
      <c r="T248" s="29" t="inlineStr">
        <is>
          <t>MEDIUM</t>
        </is>
      </c>
      <c r="U248" s="29" t="inlineStr">
        <is>
          <t>0.0</t>
        </is>
      </c>
      <c r="V248" s="29" t="inlineStr">
        <is>
          <t>LOW_RISK</t>
        </is>
      </c>
      <c r="W248" s="29" t="inlineStr">
        <is>
          <t>저위험</t>
        </is>
      </c>
      <c r="X248" s="29" t="inlineStr">
        <is>
          <t>LOW_RISK</t>
        </is>
      </c>
      <c r="Y248" s="29" t="inlineStr">
        <is>
          <t>0.9755870924998499</t>
        </is>
      </c>
      <c r="Z248" s="29" t="inlineStr">
        <is>
          <t>HIGH</t>
        </is>
      </c>
      <c r="AA248" s="29" t="inlineStr">
        <is>
          <t>HIGH</t>
        </is>
      </c>
      <c r="AB248" s="29" t="inlineStr">
        <is>
          <t>0.14006921921799445</t>
        </is>
      </c>
      <c r="AC248" s="29" t="inlineStr">
        <is>
          <t>False</t>
        </is>
      </c>
      <c r="AD248" s="29" t="inlineStr">
        <is>
          <t>False</t>
        </is>
      </c>
      <c r="AE248" s="29" t="inlineStr">
        <is>
          <t>valuation_credit_ml_overlay_candidate.csv</t>
        </is>
      </c>
      <c r="AF248" s="29" t="inlineStr">
        <is>
          <t>208개 반도체 reference universe. Valuation Agent가 자체 intake 폴더로 복제해 Peer/ML/대시보드 비교에 사용.</t>
        </is>
      </c>
    </row>
    <row r="249" ht="24" customHeight="1">
      <c r="A249" s="24" t="inlineStr">
        <is>
          <t>173</t>
        </is>
      </c>
      <c r="B249" s="24" t="inlineStr">
        <is>
          <t>해당 없음</t>
        </is>
      </c>
      <c r="C249" s="24" t="inlineStr">
        <is>
          <t>에이팩트</t>
        </is>
      </c>
      <c r="D249" s="24" t="inlineStr">
        <is>
          <t>200470</t>
        </is>
      </c>
      <c r="E249" s="24" t="inlineStr">
        <is>
          <t>KOSDAQ</t>
        </is>
      </c>
      <c r="F249" s="24" t="inlineStr">
        <is>
          <t>후공정/패키징/테스트</t>
        </is>
      </c>
      <c r="G249" s="24" t="inlineStr">
        <is>
          <t>후공정/패키징/테스트</t>
        </is>
      </c>
      <c r="H249" s="24" t="inlineStr">
        <is>
          <t>False</t>
        </is>
      </c>
      <c r="I249" s="24" t="inlineStr">
        <is>
          <t>True</t>
        </is>
      </c>
      <c r="J249" s="24" t="inlineStr">
        <is>
          <t>OK</t>
        </is>
      </c>
      <c r="K249" s="24" t="inlineStr">
        <is>
          <t>데이터 사용 가능</t>
        </is>
      </c>
      <c r="L249" s="24" t="inlineStr">
        <is>
          <t>LOW</t>
        </is>
      </c>
      <c r="M249" s="24" t="inlineStr">
        <is>
          <t>LOW</t>
        </is>
      </c>
      <c r="N249" s="24" t="inlineStr">
        <is>
          <t>0.5026666666666667</t>
        </is>
      </c>
      <c r="O249" s="24" t="inlineStr">
        <is>
          <t>FAIR</t>
        </is>
      </c>
      <c r="P249" s="24" t="inlineStr">
        <is>
          <t>FAIR</t>
        </is>
      </c>
      <c r="Q249" s="24" t="inlineStr">
        <is>
          <t>FAIR</t>
        </is>
      </c>
      <c r="R249" s="24" t="inlineStr">
        <is>
          <t>0.8010795762920226</t>
        </is>
      </c>
      <c r="S249" s="24" t="inlineStr">
        <is>
          <t>HIGH</t>
        </is>
      </c>
      <c r="T249" s="24" t="inlineStr">
        <is>
          <t>HIGH</t>
        </is>
      </c>
      <c r="U249" s="24" t="inlineStr">
        <is>
          <t>0.4285714285714285</t>
        </is>
      </c>
      <c r="V249" s="24" t="inlineStr">
        <is>
          <t>HIGH_RISK</t>
        </is>
      </c>
      <c r="W249" s="24" t="inlineStr">
        <is>
          <t>고위험</t>
        </is>
      </c>
      <c r="X249" s="24" t="inlineStr">
        <is>
          <t>MEDIUM_RISK</t>
        </is>
      </c>
      <c r="Y249" s="24" t="inlineStr">
        <is>
          <t>0.40666664980482187</t>
        </is>
      </c>
      <c r="Z249" s="24" t="inlineStr">
        <is>
          <t>LOW</t>
        </is>
      </c>
      <c r="AA249" s="24" t="inlineStr">
        <is>
          <t>LOW</t>
        </is>
      </c>
      <c r="AB249" s="24" t="inlineStr">
        <is>
          <t>0.060282917359955154</t>
        </is>
      </c>
      <c r="AC249" s="24" t="inlineStr">
        <is>
          <t>False</t>
        </is>
      </c>
      <c r="AD249" s="24" t="inlineStr">
        <is>
          <t>True</t>
        </is>
      </c>
      <c r="AE249" s="24" t="inlineStr">
        <is>
          <t>valuation_credit_ml_overlay_candidate.csv</t>
        </is>
      </c>
      <c r="AF249" s="24" t="inlineStr">
        <is>
          <t>208개 반도체 reference universe. Valuation Agent가 자체 intake 폴더로 복제해 Peer/ML/대시보드 비교에 사용.</t>
        </is>
      </c>
    </row>
    <row r="250" ht="24" customHeight="1">
      <c r="A250" s="29" t="inlineStr">
        <is>
          <t>166</t>
        </is>
      </c>
      <c r="B250" s="29" t="inlineStr">
        <is>
          <t>해당 없음</t>
        </is>
      </c>
      <c r="C250" s="29" t="inlineStr">
        <is>
          <t>삼성전기</t>
        </is>
      </c>
      <c r="D250" s="29" t="inlineStr">
        <is>
          <t>009150</t>
        </is>
      </c>
      <c r="E250" s="29" t="inlineStr">
        <is>
          <t>KOSPI</t>
        </is>
      </c>
      <c r="F250" s="29" t="inlineStr">
        <is>
          <t>후공정/패키징/테스트</t>
        </is>
      </c>
      <c r="G250" s="29" t="inlineStr">
        <is>
          <t>후공정/패키징/테스트</t>
        </is>
      </c>
      <c r="H250" s="29" t="inlineStr">
        <is>
          <t>False</t>
        </is>
      </c>
      <c r="I250" s="29" t="inlineStr">
        <is>
          <t>True</t>
        </is>
      </c>
      <c r="J250" s="29" t="inlineStr">
        <is>
          <t>OK</t>
        </is>
      </c>
      <c r="K250" s="29" t="inlineStr">
        <is>
          <t>데이터 사용 가능</t>
        </is>
      </c>
      <c r="L250" s="29" t="inlineStr">
        <is>
          <t>LOW</t>
        </is>
      </c>
      <c r="M250" s="29" t="inlineStr">
        <is>
          <t>LOW</t>
        </is>
      </c>
      <c r="N250" s="29" t="inlineStr">
        <is>
          <t>0.4957037037037037</t>
        </is>
      </c>
      <c r="O250" s="29" t="inlineStr">
        <is>
          <t>FAIR</t>
        </is>
      </c>
      <c r="P250" s="29" t="inlineStr">
        <is>
          <t>FAIR</t>
        </is>
      </c>
      <c r="Q250" s="29" t="inlineStr">
        <is>
          <t>FAIR</t>
        </is>
      </c>
      <c r="R250" s="29" t="inlineStr">
        <is>
          <t>0.5297655139045552</t>
        </is>
      </c>
      <c r="S250" s="29" t="inlineStr">
        <is>
          <t>MEDIUM</t>
        </is>
      </c>
      <c r="T250" s="29" t="inlineStr">
        <is>
          <t>MEDIUM</t>
        </is>
      </c>
      <c r="U250" s="29" t="inlineStr">
        <is>
          <t>0.0</t>
        </is>
      </c>
      <c r="V250" s="29" t="inlineStr">
        <is>
          <t>LOW_RISK</t>
        </is>
      </c>
      <c r="W250" s="29" t="inlineStr">
        <is>
          <t>저위험</t>
        </is>
      </c>
      <c r="X250" s="29" t="inlineStr">
        <is>
          <t>LOW_RISK</t>
        </is>
      </c>
      <c r="Y250" s="29" t="inlineStr">
        <is>
          <t>0.9613637696053304</t>
        </is>
      </c>
      <c r="Z250" s="29" t="inlineStr">
        <is>
          <t>HIGH</t>
        </is>
      </c>
      <c r="AA250" s="29" t="inlineStr">
        <is>
          <t>HIGH</t>
        </is>
      </c>
      <c r="AB250" s="29" t="inlineStr">
        <is>
          <t>0.09523408011479967</t>
        </is>
      </c>
      <c r="AC250" s="29" t="inlineStr">
        <is>
          <t>False</t>
        </is>
      </c>
      <c r="AD250" s="29" t="inlineStr">
        <is>
          <t>False</t>
        </is>
      </c>
      <c r="AE250" s="29" t="inlineStr">
        <is>
          <t>valuation_credit_ml_overlay_candidate.csv</t>
        </is>
      </c>
      <c r="AF250" s="29" t="inlineStr">
        <is>
          <t>208개 반도체 reference universe. Valuation Agent가 자체 intake 폴더로 복제해 Peer/ML/대시보드 비교에 사용.</t>
        </is>
      </c>
    </row>
    <row r="251" ht="24" customHeight="1">
      <c r="A251" s="24" t="inlineStr">
        <is>
          <t>171</t>
        </is>
      </c>
      <c r="B251" s="24" t="inlineStr">
        <is>
          <t>해당 없음</t>
        </is>
      </c>
      <c r="C251" s="24" t="inlineStr">
        <is>
          <t>에이엘티</t>
        </is>
      </c>
      <c r="D251" s="24" t="inlineStr">
        <is>
          <t>172670</t>
        </is>
      </c>
      <c r="E251" s="24" t="inlineStr">
        <is>
          <t>KOSDAQ</t>
        </is>
      </c>
      <c r="F251" s="24" t="inlineStr">
        <is>
          <t>후공정/패키징/테스트</t>
        </is>
      </c>
      <c r="G251" s="24" t="inlineStr">
        <is>
          <t>후공정/패키징/테스트</t>
        </is>
      </c>
      <c r="H251" s="24" t="inlineStr">
        <is>
          <t>False</t>
        </is>
      </c>
      <c r="I251" s="24" t="inlineStr">
        <is>
          <t>True</t>
        </is>
      </c>
      <c r="J251" s="24" t="inlineStr">
        <is>
          <t>OK</t>
        </is>
      </c>
      <c r="K251" s="24" t="inlineStr">
        <is>
          <t>데이터 사용 가능</t>
        </is>
      </c>
      <c r="L251" s="24" t="inlineStr">
        <is>
          <t>LOW</t>
        </is>
      </c>
      <c r="M251" s="24" t="inlineStr">
        <is>
          <t>LOW</t>
        </is>
      </c>
      <c r="N251" s="24" t="inlineStr">
        <is>
          <t>0.4877037037037036</t>
        </is>
      </c>
      <c r="O251" s="24" t="inlineStr">
        <is>
          <t>FAIR</t>
        </is>
      </c>
      <c r="P251" s="24" t="inlineStr">
        <is>
          <t>FAIR</t>
        </is>
      </c>
      <c r="Q251" s="24" t="inlineStr">
        <is>
          <t>FAIR</t>
        </is>
      </c>
      <c r="R251" s="24" t="inlineStr">
        <is>
          <t>0.5308622758067901</t>
        </is>
      </c>
      <c r="S251" s="24" t="inlineStr">
        <is>
          <t>MEDIUM</t>
        </is>
      </c>
      <c r="T251" s="24" t="inlineStr">
        <is>
          <t>MEDIUM</t>
        </is>
      </c>
      <c r="U251" s="24" t="inlineStr">
        <is>
          <t>0.3571428571428571</t>
        </is>
      </c>
      <c r="V251" s="24" t="inlineStr">
        <is>
          <t>MEDIUM_RISK</t>
        </is>
      </c>
      <c r="W251" s="24" t="inlineStr">
        <is>
          <t>중위험</t>
        </is>
      </c>
      <c r="X251" s="24" t="inlineStr">
        <is>
          <t>MEDIUM_RISK</t>
        </is>
      </c>
      <c r="Y251" s="24" t="inlineStr">
        <is>
          <t>0.6934148613969219</t>
        </is>
      </c>
      <c r="Z251" s="24" t="inlineStr">
        <is>
          <t>MEDIUM</t>
        </is>
      </c>
      <c r="AA251" s="24" t="inlineStr">
        <is>
          <t>MEDIUM</t>
        </is>
      </c>
      <c r="AB251" s="24" t="inlineStr">
        <is>
          <t>0.07946889412350498</t>
        </is>
      </c>
      <c r="AC251" s="24" t="inlineStr">
        <is>
          <t>False</t>
        </is>
      </c>
      <c r="AD251" s="24" t="inlineStr">
        <is>
          <t>False</t>
        </is>
      </c>
      <c r="AE251" s="24" t="inlineStr">
        <is>
          <t>valuation_credit_ml_overlay_candidate.csv</t>
        </is>
      </c>
      <c r="AF251" s="24" t="inlineStr">
        <is>
          <t>208개 반도체 reference universe. Valuation Agent가 자체 intake 폴더로 복제해 Peer/ML/대시보드 비교에 사용.</t>
        </is>
      </c>
    </row>
    <row r="252" ht="24" customHeight="1">
      <c r="A252" s="29" t="inlineStr">
        <is>
          <t>184</t>
        </is>
      </c>
      <c r="B252" s="29" t="inlineStr">
        <is>
          <t>해당 없음</t>
        </is>
      </c>
      <c r="C252" s="29" t="inlineStr">
        <is>
          <t>큐알티</t>
        </is>
      </c>
      <c r="D252" s="29" t="inlineStr">
        <is>
          <t>405100</t>
        </is>
      </c>
      <c r="E252" s="29" t="inlineStr">
        <is>
          <t>KOSDAQ</t>
        </is>
      </c>
      <c r="F252" s="29" t="inlineStr">
        <is>
          <t>후공정/패키징/테스트</t>
        </is>
      </c>
      <c r="G252" s="29" t="inlineStr">
        <is>
          <t>후공정/패키징/테스트</t>
        </is>
      </c>
      <c r="H252" s="29" t="inlineStr">
        <is>
          <t>False</t>
        </is>
      </c>
      <c r="I252" s="29" t="inlineStr">
        <is>
          <t>True</t>
        </is>
      </c>
      <c r="J252" s="29" t="inlineStr">
        <is>
          <t>OK</t>
        </is>
      </c>
      <c r="K252" s="29" t="inlineStr">
        <is>
          <t>데이터 사용 가능</t>
        </is>
      </c>
      <c r="L252" s="29" t="inlineStr">
        <is>
          <t>LOW</t>
        </is>
      </c>
      <c r="M252" s="29" t="inlineStr">
        <is>
          <t>LOW</t>
        </is>
      </c>
      <c r="N252" s="29" t="inlineStr">
        <is>
          <t>0.4782222222222222</t>
        </is>
      </c>
      <c r="O252" s="29" t="inlineStr">
        <is>
          <t>FAIR</t>
        </is>
      </c>
      <c r="P252" s="29" t="inlineStr">
        <is>
          <t>FAIR</t>
        </is>
      </c>
      <c r="Q252" s="29" t="inlineStr">
        <is>
          <t>ATTRACTIVE</t>
        </is>
      </c>
      <c r="R252" s="29" t="inlineStr">
        <is>
          <t>0.4463498311096922</t>
        </is>
      </c>
      <c r="S252" s="29" t="inlineStr">
        <is>
          <t>LOW</t>
        </is>
      </c>
      <c r="T252" s="29" t="inlineStr">
        <is>
          <t>LOW</t>
        </is>
      </c>
      <c r="U252" s="29" t="inlineStr">
        <is>
          <t>0.0</t>
        </is>
      </c>
      <c r="V252" s="29" t="inlineStr">
        <is>
          <t>LOW_RISK</t>
        </is>
      </c>
      <c r="W252" s="29" t="inlineStr">
        <is>
          <t>저위험</t>
        </is>
      </c>
      <c r="X252" s="29" t="inlineStr">
        <is>
          <t>LOW_RISK</t>
        </is>
      </c>
      <c r="Y252" s="29" t="inlineStr">
        <is>
          <t>0.8693080817598533</t>
        </is>
      </c>
      <c r="Z252" s="29" t="inlineStr">
        <is>
          <t>HIGH</t>
        </is>
      </c>
      <c r="AA252" s="29" t="inlineStr">
        <is>
          <t>HIGH</t>
        </is>
      </c>
      <c r="AB252" s="29" t="inlineStr">
        <is>
          <t>0.014158930737617927</t>
        </is>
      </c>
      <c r="AC252" s="29" t="inlineStr">
        <is>
          <t>False</t>
        </is>
      </c>
      <c r="AD252" s="29" t="inlineStr">
        <is>
          <t>True</t>
        </is>
      </c>
      <c r="AE252" s="29" t="inlineStr">
        <is>
          <t>valuation_credit_ml_overlay_candidate.csv</t>
        </is>
      </c>
      <c r="AF252" s="29" t="inlineStr">
        <is>
          <t>208개 반도체 reference universe. Valuation Agent가 자체 intake 폴더로 복제해 Peer/ML/대시보드 비교에 사용.</t>
        </is>
      </c>
    </row>
    <row r="253" ht="24" customHeight="1">
      <c r="A253" s="24" t="inlineStr">
        <is>
          <t>192</t>
        </is>
      </c>
      <c r="B253" s="24" t="inlineStr">
        <is>
          <t>hanmi</t>
        </is>
      </c>
      <c r="C253" s="24" t="inlineStr">
        <is>
          <t>한미반도체</t>
        </is>
      </c>
      <c r="D253" s="24" t="inlineStr">
        <is>
          <t>042700</t>
        </is>
      </c>
      <c r="E253" s="24" t="inlineStr">
        <is>
          <t>KOSPI</t>
        </is>
      </c>
      <c r="F253" s="24" t="inlineStr">
        <is>
          <t>후공정/패키징/테스트</t>
        </is>
      </c>
      <c r="G253" s="24" t="inlineStr">
        <is>
          <t>후공정/패키징/테스트</t>
        </is>
      </c>
      <c r="H253" s="24" t="inlineStr">
        <is>
          <t>True</t>
        </is>
      </c>
      <c r="I253" s="24" t="inlineStr">
        <is>
          <t>True</t>
        </is>
      </c>
      <c r="J253" s="24" t="inlineStr">
        <is>
          <t>OK</t>
        </is>
      </c>
      <c r="K253" s="24" t="inlineStr">
        <is>
          <t>데이터 사용 가능</t>
        </is>
      </c>
      <c r="L253" s="24" t="inlineStr">
        <is>
          <t>LOW</t>
        </is>
      </c>
      <c r="M253" s="24" t="inlineStr">
        <is>
          <t>LOW</t>
        </is>
      </c>
      <c r="N253" s="24" t="inlineStr">
        <is>
          <t>0.4712592592592592</t>
        </is>
      </c>
      <c r="O253" s="24" t="inlineStr">
        <is>
          <t>FAIR</t>
        </is>
      </c>
      <c r="P253" s="24" t="inlineStr">
        <is>
          <t>FAIR</t>
        </is>
      </c>
      <c r="Q253" s="24" t="inlineStr">
        <is>
          <t>FAIR</t>
        </is>
      </c>
      <c r="R253" s="24" t="inlineStr">
        <is>
          <t>0.618072727307107</t>
        </is>
      </c>
      <c r="S253" s="24" t="inlineStr">
        <is>
          <t>MEDIUM</t>
        </is>
      </c>
      <c r="T253" s="24" t="inlineStr">
        <is>
          <t>MEDIUM</t>
        </is>
      </c>
      <c r="U253" s="24" t="inlineStr">
        <is>
          <t>0.0</t>
        </is>
      </c>
      <c r="V253" s="24" t="inlineStr">
        <is>
          <t>LOW_RISK</t>
        </is>
      </c>
      <c r="W253" s="24" t="inlineStr">
        <is>
          <t>저위험</t>
        </is>
      </c>
      <c r="X253" s="24" t="inlineStr">
        <is>
          <t>LOW_RISK</t>
        </is>
      </c>
      <c r="Y253" s="24" t="inlineStr">
        <is>
          <t>0.9350232170644448</t>
        </is>
      </c>
      <c r="Z253" s="24" t="inlineStr">
        <is>
          <t>HIGH</t>
        </is>
      </c>
      <c r="AA253" s="24" t="inlineStr">
        <is>
          <t>HIGH</t>
        </is>
      </c>
      <c r="AB253" s="24" t="inlineStr">
        <is>
          <t>0.2707179947680644</t>
        </is>
      </c>
      <c r="AC253" s="24" t="inlineStr">
        <is>
          <t>True</t>
        </is>
      </c>
      <c r="AD253" s="24" t="inlineStr">
        <is>
          <t>True</t>
        </is>
      </c>
      <c r="AE253" s="24" t="inlineStr">
        <is>
          <t>valuation_credit_ml_overlay_candidate.csv</t>
        </is>
      </c>
      <c r="AF253" s="24" t="inlineStr">
        <is>
          <t>208개 반도체 reference universe. Valuation Agent가 자체 intake 폴더로 복제해 Peer/ML/대시보드 비교에 사용.</t>
        </is>
      </c>
    </row>
    <row r="254" ht="24" customHeight="1">
      <c r="A254" s="29" t="inlineStr">
        <is>
          <t>185</t>
        </is>
      </c>
      <c r="B254" s="29" t="inlineStr">
        <is>
          <t>해당 없음</t>
        </is>
      </c>
      <c r="C254" s="29" t="inlineStr">
        <is>
          <t>큐엠씨</t>
        </is>
      </c>
      <c r="D254" s="29" t="inlineStr">
        <is>
          <t>136660</t>
        </is>
      </c>
      <c r="E254" s="29" t="inlineStr">
        <is>
          <t>KONEX</t>
        </is>
      </c>
      <c r="F254" s="29" t="inlineStr">
        <is>
          <t>후공정/패키징/테스트</t>
        </is>
      </c>
      <c r="G254" s="29" t="inlineStr">
        <is>
          <t>후공정/패키징/테스트</t>
        </is>
      </c>
      <c r="H254" s="29" t="inlineStr">
        <is>
          <t>False</t>
        </is>
      </c>
      <c r="I254" s="29" t="inlineStr">
        <is>
          <t>True</t>
        </is>
      </c>
      <c r="J254" s="29" t="inlineStr">
        <is>
          <t>NO_DART_FINANCIAL_DATA</t>
        </is>
      </c>
      <c r="K254" s="29" t="inlineStr">
        <is>
          <t>데이터 사용 가능</t>
        </is>
      </c>
      <c r="L254" s="29" t="inlineStr">
        <is>
          <t>HIGH</t>
        </is>
      </c>
      <c r="M254" s="29" t="inlineStr">
        <is>
          <t>HIGH</t>
        </is>
      </c>
      <c r="N254" s="29" t="inlineStr">
        <is>
          <t>0.4711111111111111</t>
        </is>
      </c>
      <c r="O254" s="29" t="inlineStr">
        <is>
          <t>FAIR</t>
        </is>
      </c>
      <c r="P254" s="29" t="inlineStr">
        <is>
          <t>FAIR</t>
        </is>
      </c>
      <c r="Q254" s="29" t="inlineStr">
        <is>
          <t>FAIR</t>
        </is>
      </c>
      <c r="R254" s="29" t="inlineStr">
        <is>
          <t>0.9731046168075388</t>
        </is>
      </c>
      <c r="S254" s="29" t="inlineStr">
        <is>
          <t>HIGH</t>
        </is>
      </c>
      <c r="T254" s="29" t="inlineStr">
        <is>
          <t>HIGH</t>
        </is>
      </c>
      <c r="U254" s="29" t="inlineStr">
        <is>
          <t>0.2857142857142857</t>
        </is>
      </c>
      <c r="V254" s="29" t="inlineStr">
        <is>
          <t>MEDIUM_RISK</t>
        </is>
      </c>
      <c r="W254" s="29" t="inlineStr">
        <is>
          <t>중위험</t>
        </is>
      </c>
      <c r="X254" s="29" t="inlineStr">
        <is>
          <t>MEDIUM_RISK</t>
        </is>
      </c>
      <c r="Y254" s="29" t="inlineStr">
        <is>
          <t>0.7892126449586269</t>
        </is>
      </c>
      <c r="Z254" s="29" t="inlineStr">
        <is>
          <t>HIGH</t>
        </is>
      </c>
      <c r="AA254" s="29" t="inlineStr">
        <is>
          <t>HIGH</t>
        </is>
      </c>
      <c r="AB254" s="29" t="inlineStr">
        <is>
          <t>0.07859474908410963</t>
        </is>
      </c>
      <c r="AC254" s="29" t="inlineStr">
        <is>
          <t>False</t>
        </is>
      </c>
      <c r="AD254" s="29" t="inlineStr">
        <is>
          <t>True</t>
        </is>
      </c>
      <c r="AE254" s="29" t="inlineStr">
        <is>
          <t>valuation_credit_ml_overlay_candidate.csv</t>
        </is>
      </c>
      <c r="AF254" s="29" t="inlineStr">
        <is>
          <t>208개 반도체 reference universe. Valuation Agent가 자체 intake 폴더로 복제해 Peer/ML/대시보드 비교에 사용.</t>
        </is>
      </c>
    </row>
    <row r="255" ht="24" customHeight="1">
      <c r="A255" s="24" t="inlineStr">
        <is>
          <t>161</t>
        </is>
      </c>
      <c r="B255" s="24" t="inlineStr">
        <is>
          <t>해당 없음</t>
        </is>
      </c>
      <c r="C255" s="24" t="inlineStr">
        <is>
          <t>럭스피아</t>
        </is>
      </c>
      <c r="D255" s="24" t="inlineStr">
        <is>
          <t>092590</t>
        </is>
      </c>
      <c r="E255" s="24" t="inlineStr">
        <is>
          <t>KONEX</t>
        </is>
      </c>
      <c r="F255" s="24" t="inlineStr">
        <is>
          <t>후공정/패키징/테스트</t>
        </is>
      </c>
      <c r="G255" s="24" t="inlineStr">
        <is>
          <t>후공정/패키징/테스트</t>
        </is>
      </c>
      <c r="H255" s="24" t="inlineStr">
        <is>
          <t>False</t>
        </is>
      </c>
      <c r="I255" s="24" t="inlineStr">
        <is>
          <t>True</t>
        </is>
      </c>
      <c r="J255" s="24" t="inlineStr">
        <is>
          <t>NO_DART_FINANCIAL_DATA</t>
        </is>
      </c>
      <c r="K255" s="24" t="inlineStr">
        <is>
          <t>데이터 사용 가능</t>
        </is>
      </c>
      <c r="L255" s="24" t="inlineStr">
        <is>
          <t>HIGH</t>
        </is>
      </c>
      <c r="M255" s="24" t="inlineStr">
        <is>
          <t>HIGH</t>
        </is>
      </c>
      <c r="N255" s="24" t="inlineStr">
        <is>
          <t>0.4681481481481481</t>
        </is>
      </c>
      <c r="O255" s="24" t="inlineStr">
        <is>
          <t>FAIR</t>
        </is>
      </c>
      <c r="P255" s="24" t="inlineStr">
        <is>
          <t>FAIR</t>
        </is>
      </c>
      <c r="Q255" s="24" t="inlineStr">
        <is>
          <t>FAIR</t>
        </is>
      </c>
      <c r="R255" s="24" t="inlineStr">
        <is>
          <t>0.969533908094729</t>
        </is>
      </c>
      <c r="S255" s="24" t="inlineStr">
        <is>
          <t>HIGH</t>
        </is>
      </c>
      <c r="T255" s="24" t="inlineStr">
        <is>
          <t>HIGH</t>
        </is>
      </c>
      <c r="U255" s="24" t="inlineStr">
        <is>
          <t>0.2857142857142857</t>
        </is>
      </c>
      <c r="V255" s="24" t="inlineStr">
        <is>
          <t>MEDIUM_RISK</t>
        </is>
      </c>
      <c r="W255" s="24" t="inlineStr">
        <is>
          <t>중위험</t>
        </is>
      </c>
      <c r="X255" s="24" t="inlineStr">
        <is>
          <t>MEDIUM_RISK</t>
        </is>
      </c>
      <c r="Y255" s="24" t="inlineStr">
        <is>
          <t>0.7911598348888624</t>
        </is>
      </c>
      <c r="Z255" s="24" t="inlineStr">
        <is>
          <t>HIGH</t>
        </is>
      </c>
      <c r="AA255" s="24" t="inlineStr">
        <is>
          <t>HIGH</t>
        </is>
      </c>
      <c r="AB255" s="24" t="inlineStr">
        <is>
          <t>0.2507708118458056</t>
        </is>
      </c>
      <c r="AC255" s="24" t="inlineStr">
        <is>
          <t>True</t>
        </is>
      </c>
      <c r="AD255" s="24" t="inlineStr">
        <is>
          <t>True</t>
        </is>
      </c>
      <c r="AE255" s="24" t="inlineStr">
        <is>
          <t>valuation_credit_ml_overlay_candidate.csv</t>
        </is>
      </c>
      <c r="AF255" s="24" t="inlineStr">
        <is>
          <t>208개 반도체 reference universe. Valuation Agent가 자체 intake 폴더로 복제해 Peer/ML/대시보드 비교에 사용.</t>
        </is>
      </c>
    </row>
    <row r="256" ht="24" customHeight="1">
      <c r="A256" s="29" t="inlineStr">
        <is>
          <t>170</t>
        </is>
      </c>
      <c r="B256" s="29" t="inlineStr">
        <is>
          <t>해당 없음</t>
        </is>
      </c>
      <c r="C256" s="29" t="inlineStr">
        <is>
          <t>아이텍</t>
        </is>
      </c>
      <c r="D256" s="29" t="inlineStr">
        <is>
          <t>119830</t>
        </is>
      </c>
      <c r="E256" s="29" t="inlineStr">
        <is>
          <t>KOSDAQ</t>
        </is>
      </c>
      <c r="F256" s="29" t="inlineStr">
        <is>
          <t>후공정/패키징/테스트</t>
        </is>
      </c>
      <c r="G256" s="29" t="inlineStr">
        <is>
          <t>후공정/패키징/테스트</t>
        </is>
      </c>
      <c r="H256" s="29" t="inlineStr">
        <is>
          <t>False</t>
        </is>
      </c>
      <c r="I256" s="29" t="inlineStr">
        <is>
          <t>True</t>
        </is>
      </c>
      <c r="J256" s="29" t="inlineStr">
        <is>
          <t>OK</t>
        </is>
      </c>
      <c r="K256" s="29" t="inlineStr">
        <is>
          <t>데이터 사용 가능</t>
        </is>
      </c>
      <c r="L256" s="29" t="inlineStr">
        <is>
          <t>LOW</t>
        </is>
      </c>
      <c r="M256" s="29" t="inlineStr">
        <is>
          <t>LOW</t>
        </is>
      </c>
      <c r="N256" s="29" t="inlineStr">
        <is>
          <t>0.4573333333333333</t>
        </is>
      </c>
      <c r="O256" s="29" t="inlineStr">
        <is>
          <t>FAIR</t>
        </is>
      </c>
      <c r="P256" s="29" t="inlineStr">
        <is>
          <t>FAIR</t>
        </is>
      </c>
      <c r="Q256" s="29" t="inlineStr">
        <is>
          <t>FAIR</t>
        </is>
      </c>
      <c r="R256" s="29" t="inlineStr">
        <is>
          <t>0.6018206034002739</t>
        </is>
      </c>
      <c r="S256" s="29" t="inlineStr">
        <is>
          <t>MEDIUM</t>
        </is>
      </c>
      <c r="T256" s="29" t="inlineStr">
        <is>
          <t>MEDIUM</t>
        </is>
      </c>
      <c r="U256" s="29" t="inlineStr">
        <is>
          <t>0.2142857142857142</t>
        </is>
      </c>
      <c r="V256" s="29" t="inlineStr">
        <is>
          <t>MEDIUM_RISK</t>
        </is>
      </c>
      <c r="W256" s="29" t="inlineStr">
        <is>
          <t>중위험</t>
        </is>
      </c>
      <c r="X256" s="29" t="inlineStr">
        <is>
          <t>MEDIUM_RISK</t>
        </is>
      </c>
      <c r="Y256" s="29" t="inlineStr">
        <is>
          <t>0.793957358322354</t>
        </is>
      </c>
      <c r="Z256" s="29" t="inlineStr">
        <is>
          <t>HIGH</t>
        </is>
      </c>
      <c r="AA256" s="29" t="inlineStr">
        <is>
          <t>HIGH</t>
        </is>
      </c>
      <c r="AB256" s="29" t="inlineStr">
        <is>
          <t>0.17465361432297097</t>
        </is>
      </c>
      <c r="AC256" s="29" t="inlineStr">
        <is>
          <t>False</t>
        </is>
      </c>
      <c r="AD256" s="29" t="inlineStr">
        <is>
          <t>False</t>
        </is>
      </c>
      <c r="AE256" s="29" t="inlineStr">
        <is>
          <t>valuation_credit_ml_overlay_candidate.csv</t>
        </is>
      </c>
      <c r="AF256" s="29" t="inlineStr">
        <is>
          <t>208개 반도체 reference universe. Valuation Agent가 자체 intake 폴더로 복제해 Peer/ML/대시보드 비교에 사용.</t>
        </is>
      </c>
    </row>
    <row r="257" ht="24" customHeight="1">
      <c r="A257" s="24" t="inlineStr">
        <is>
          <t>179</t>
        </is>
      </c>
      <c r="B257" s="24" t="inlineStr">
        <is>
          <t>해당 없음</t>
        </is>
      </c>
      <c r="C257" s="24" t="inlineStr">
        <is>
          <t>윈팩</t>
        </is>
      </c>
      <c r="D257" s="24" t="inlineStr">
        <is>
          <t>097800</t>
        </is>
      </c>
      <c r="E257" s="24" t="inlineStr">
        <is>
          <t>KOSDAQ</t>
        </is>
      </c>
      <c r="F257" s="24" t="inlineStr">
        <is>
          <t>후공정/패키징/테스트</t>
        </is>
      </c>
      <c r="G257" s="24" t="inlineStr">
        <is>
          <t>후공정/패키징/테스트</t>
        </is>
      </c>
      <c r="H257" s="24" t="inlineStr">
        <is>
          <t>False</t>
        </is>
      </c>
      <c r="I257" s="24" t="inlineStr">
        <is>
          <t>True</t>
        </is>
      </c>
      <c r="J257" s="24" t="inlineStr">
        <is>
          <t>OK</t>
        </is>
      </c>
      <c r="K257" s="24" t="inlineStr">
        <is>
          <t>데이터 사용 가능</t>
        </is>
      </c>
      <c r="L257" s="24" t="inlineStr">
        <is>
          <t>LOW</t>
        </is>
      </c>
      <c r="M257" s="24" t="inlineStr">
        <is>
          <t>LOW</t>
        </is>
      </c>
      <c r="N257" s="24" t="inlineStr">
        <is>
          <t>0.4417777777777778</t>
        </is>
      </c>
      <c r="O257" s="24" t="inlineStr">
        <is>
          <t>FAIR</t>
        </is>
      </c>
      <c r="P257" s="24" t="inlineStr">
        <is>
          <t>FAIR</t>
        </is>
      </c>
      <c r="Q257" s="24" t="inlineStr">
        <is>
          <t>FAIR</t>
        </is>
      </c>
      <c r="R257" s="24" t="inlineStr">
        <is>
          <t>0.5735742758518154</t>
        </is>
      </c>
      <c r="S257" s="24" t="inlineStr">
        <is>
          <t>MEDIUM</t>
        </is>
      </c>
      <c r="T257" s="24" t="inlineStr">
        <is>
          <t>MEDIUM</t>
        </is>
      </c>
      <c r="U257" s="24" t="inlineStr">
        <is>
          <t>0.7142857142857143</t>
        </is>
      </c>
      <c r="V257" s="24" t="inlineStr">
        <is>
          <t>HIGH_RISK</t>
        </is>
      </c>
      <c r="W257" s="24" t="inlineStr">
        <is>
          <t>고위험</t>
        </is>
      </c>
      <c r="X257" s="24" t="inlineStr">
        <is>
          <t>HIGH_RISK</t>
        </is>
      </c>
      <c r="Y257" s="24" t="inlineStr">
        <is>
          <t>0.9273765785577542</t>
        </is>
      </c>
      <c r="Z257" s="24" t="inlineStr">
        <is>
          <t>HIGH</t>
        </is>
      </c>
      <c r="AA257" s="24" t="inlineStr">
        <is>
          <t>HIGH</t>
        </is>
      </c>
      <c r="AB257" s="24" t="inlineStr">
        <is>
          <t>0.09157899320413745</t>
        </is>
      </c>
      <c r="AC257" s="24" t="inlineStr">
        <is>
          <t>False</t>
        </is>
      </c>
      <c r="AD257" s="24" t="inlineStr">
        <is>
          <t>False</t>
        </is>
      </c>
      <c r="AE257" s="24" t="inlineStr">
        <is>
          <t>valuation_credit_ml_overlay_candidate.csv</t>
        </is>
      </c>
      <c r="AF257" s="24" t="inlineStr">
        <is>
          <t>208개 반도체 reference universe. Valuation Agent가 자체 intake 폴더로 복제해 Peer/ML/대시보드 비교에 사용.</t>
        </is>
      </c>
    </row>
    <row r="258" ht="24" customHeight="1">
      <c r="A258" s="29" t="inlineStr">
        <is>
          <t>187</t>
        </is>
      </c>
      <c r="B258" s="29" t="inlineStr">
        <is>
          <t>해당 없음</t>
        </is>
      </c>
      <c r="C258" s="29" t="inlineStr">
        <is>
          <t>팸텍</t>
        </is>
      </c>
      <c r="D258" s="29" t="inlineStr">
        <is>
          <t>271830</t>
        </is>
      </c>
      <c r="E258" s="29" t="inlineStr">
        <is>
          <t>KOSDAQ</t>
        </is>
      </c>
      <c r="F258" s="29" t="inlineStr">
        <is>
          <t>후공정/패키징/테스트</t>
        </is>
      </c>
      <c r="G258" s="29" t="inlineStr">
        <is>
          <t>후공정/패키징/테스트</t>
        </is>
      </c>
      <c r="H258" s="29" t="inlineStr">
        <is>
          <t>False</t>
        </is>
      </c>
      <c r="I258" s="29" t="inlineStr">
        <is>
          <t>True</t>
        </is>
      </c>
      <c r="J258" s="29" t="inlineStr">
        <is>
          <t>OK</t>
        </is>
      </c>
      <c r="K258" s="29" t="inlineStr">
        <is>
          <t>데이터 사용 가능</t>
        </is>
      </c>
      <c r="L258" s="29" t="inlineStr">
        <is>
          <t>LOW</t>
        </is>
      </c>
      <c r="M258" s="29" t="inlineStr">
        <is>
          <t>LOW</t>
        </is>
      </c>
      <c r="N258" s="29" t="inlineStr">
        <is>
          <t>0.4402962962962963</t>
        </is>
      </c>
      <c r="O258" s="29" t="inlineStr">
        <is>
          <t>FAIR</t>
        </is>
      </c>
      <c r="P258" s="29" t="inlineStr">
        <is>
          <t>FAIR</t>
        </is>
      </c>
      <c r="Q258" s="29" t="inlineStr">
        <is>
          <t>FAIR</t>
        </is>
      </c>
      <c r="R258" s="29" t="inlineStr">
        <is>
          <t>0.6809009837226325</t>
        </is>
      </c>
      <c r="S258" s="29" t="inlineStr">
        <is>
          <t>MEDIUM</t>
        </is>
      </c>
      <c r="T258" s="29" t="inlineStr">
        <is>
          <t>MEDIUM</t>
        </is>
      </c>
      <c r="U258" s="29" t="inlineStr">
        <is>
          <t>0.5714285714285714</t>
        </is>
      </c>
      <c r="V258" s="29" t="inlineStr">
        <is>
          <t>HIGH_RISK</t>
        </is>
      </c>
      <c r="W258" s="29" t="inlineStr">
        <is>
          <t>고위험</t>
        </is>
      </c>
      <c r="X258" s="29" t="inlineStr">
        <is>
          <t>HIGH_RISK</t>
        </is>
      </c>
      <c r="Y258" s="29" t="inlineStr">
        <is>
          <t>0.9054415631219938</t>
        </is>
      </c>
      <c r="Z258" s="29" t="inlineStr">
        <is>
          <t>HIGH</t>
        </is>
      </c>
      <c r="AA258" s="29" t="inlineStr">
        <is>
          <t>HIGH</t>
        </is>
      </c>
      <c r="AB258" s="29" t="inlineStr">
        <is>
          <t>0.08867309587377735</t>
        </is>
      </c>
      <c r="AC258" s="29" t="inlineStr">
        <is>
          <t>False</t>
        </is>
      </c>
      <c r="AD258" s="29" t="inlineStr">
        <is>
          <t>False</t>
        </is>
      </c>
      <c r="AE258" s="29" t="inlineStr">
        <is>
          <t>valuation_credit_ml_overlay_candidate.csv</t>
        </is>
      </c>
      <c r="AF258" s="29" t="inlineStr">
        <is>
          <t>208개 반도체 reference universe. Valuation Agent가 자체 intake 폴더로 복제해 Peer/ML/대시보드 비교에 사용.</t>
        </is>
      </c>
    </row>
    <row r="259" ht="24" customHeight="1">
      <c r="A259" s="24" t="inlineStr">
        <is>
          <t>152</t>
        </is>
      </c>
      <c r="B259" s="24" t="inlineStr">
        <is>
          <t>해당 없음</t>
        </is>
      </c>
      <c r="C259" s="24" t="inlineStr">
        <is>
          <t>LB세미콘</t>
        </is>
      </c>
      <c r="D259" s="24" t="inlineStr">
        <is>
          <t>061970</t>
        </is>
      </c>
      <c r="E259" s="24" t="inlineStr">
        <is>
          <t>KOSDAQ</t>
        </is>
      </c>
      <c r="F259" s="24" t="inlineStr">
        <is>
          <t>후공정/패키징/테스트</t>
        </is>
      </c>
      <c r="G259" s="24" t="inlineStr">
        <is>
          <t>후공정/패키징/테스트</t>
        </is>
      </c>
      <c r="H259" s="24" t="inlineStr">
        <is>
          <t>False</t>
        </is>
      </c>
      <c r="I259" s="24" t="inlineStr">
        <is>
          <t>True</t>
        </is>
      </c>
      <c r="J259" s="24" t="inlineStr">
        <is>
          <t>OK</t>
        </is>
      </c>
      <c r="K259" s="24" t="inlineStr">
        <is>
          <t>데이터 사용 가능</t>
        </is>
      </c>
      <c r="L259" s="24" t="inlineStr">
        <is>
          <t>LOW</t>
        </is>
      </c>
      <c r="M259" s="24" t="inlineStr">
        <is>
          <t>LOW</t>
        </is>
      </c>
      <c r="N259" s="24" t="inlineStr">
        <is>
          <t>0.4394074074074074</t>
        </is>
      </c>
      <c r="O259" s="24" t="inlineStr">
        <is>
          <t>FAIR</t>
        </is>
      </c>
      <c r="P259" s="24" t="inlineStr">
        <is>
          <t>FAIR</t>
        </is>
      </c>
      <c r="Q259" s="24" t="inlineStr">
        <is>
          <t>FAIR</t>
        </is>
      </c>
      <c r="R259" s="24" t="inlineStr">
        <is>
          <t>0.519835518569549</t>
        </is>
      </c>
      <c r="S259" s="24" t="inlineStr">
        <is>
          <t>MEDIUM</t>
        </is>
      </c>
      <c r="T259" s="24" t="inlineStr">
        <is>
          <t>MEDIUM</t>
        </is>
      </c>
      <c r="U259" s="24" t="inlineStr">
        <is>
          <t>0.5714285714285714</t>
        </is>
      </c>
      <c r="V259" s="24" t="inlineStr">
        <is>
          <t>HIGH_RISK</t>
        </is>
      </c>
      <c r="W259" s="24" t="inlineStr">
        <is>
          <t>고위험</t>
        </is>
      </c>
      <c r="X259" s="24" t="inlineStr">
        <is>
          <t>HIGH_RISK</t>
        </is>
      </c>
      <c r="Y259" s="24" t="inlineStr">
        <is>
          <t>0.8577554718342005</t>
        </is>
      </c>
      <c r="Z259" s="24" t="inlineStr">
        <is>
          <t>HIGH</t>
        </is>
      </c>
      <c r="AA259" s="24" t="inlineStr">
        <is>
          <t>HIGH</t>
        </is>
      </c>
      <c r="AB259" s="24" t="inlineStr">
        <is>
          <t>0.04865368060535977</t>
        </is>
      </c>
      <c r="AC259" s="24" t="inlineStr">
        <is>
          <t>False</t>
        </is>
      </c>
      <c r="AD259" s="24" t="inlineStr">
        <is>
          <t>False</t>
        </is>
      </c>
      <c r="AE259" s="24" t="inlineStr">
        <is>
          <t>valuation_credit_ml_overlay_candidate.csv</t>
        </is>
      </c>
      <c r="AF259" s="24" t="inlineStr">
        <is>
          <t>208개 반도체 reference universe. Valuation Agent가 자체 intake 폴더로 복제해 Peer/ML/대시보드 비교에 사용.</t>
        </is>
      </c>
    </row>
    <row r="260" ht="24" customHeight="1">
      <c r="A260" s="29" t="inlineStr">
        <is>
          <t>183</t>
        </is>
      </c>
      <c r="B260" s="29" t="inlineStr">
        <is>
          <t>해당 없음</t>
        </is>
      </c>
      <c r="C260" s="29" t="inlineStr">
        <is>
          <t>제이티</t>
        </is>
      </c>
      <c r="D260" s="29" t="inlineStr">
        <is>
          <t>089790</t>
        </is>
      </c>
      <c r="E260" s="29" t="inlineStr">
        <is>
          <t>KOSDAQ</t>
        </is>
      </c>
      <c r="F260" s="29" t="inlineStr">
        <is>
          <t>후공정/패키징/테스트</t>
        </is>
      </c>
      <c r="G260" s="29" t="inlineStr">
        <is>
          <t>후공정/패키징/테스트</t>
        </is>
      </c>
      <c r="H260" s="29" t="inlineStr">
        <is>
          <t>False</t>
        </is>
      </c>
      <c r="I260" s="29" t="inlineStr">
        <is>
          <t>True</t>
        </is>
      </c>
      <c r="J260" s="29" t="inlineStr">
        <is>
          <t>OK</t>
        </is>
      </c>
      <c r="K260" s="29" t="inlineStr">
        <is>
          <t>데이터 사용 가능</t>
        </is>
      </c>
      <c r="L260" s="29" t="inlineStr">
        <is>
          <t>LOW</t>
        </is>
      </c>
      <c r="M260" s="29" t="inlineStr">
        <is>
          <t>LOW</t>
        </is>
      </c>
      <c r="N260" s="29" t="inlineStr">
        <is>
          <t>0.4293333333333333</t>
        </is>
      </c>
      <c r="O260" s="29" t="inlineStr">
        <is>
          <t>FAIR</t>
        </is>
      </c>
      <c r="P260" s="29" t="inlineStr">
        <is>
          <t>FAIR</t>
        </is>
      </c>
      <c r="Q260" s="29" t="inlineStr">
        <is>
          <t>FAIR</t>
        </is>
      </c>
      <c r="R260" s="29" t="inlineStr">
        <is>
          <t>0.7953438622461361</t>
        </is>
      </c>
      <c r="S260" s="29" t="inlineStr">
        <is>
          <t>HIGH</t>
        </is>
      </c>
      <c r="T260" s="29" t="inlineStr">
        <is>
          <t>HIGH</t>
        </is>
      </c>
      <c r="U260" s="29" t="inlineStr">
        <is>
          <t>0.2857142857142857</t>
        </is>
      </c>
      <c r="V260" s="29" t="inlineStr">
        <is>
          <t>MEDIUM_RISK</t>
        </is>
      </c>
      <c r="W260" s="29" t="inlineStr">
        <is>
          <t>중위험</t>
        </is>
      </c>
      <c r="X260" s="29" t="inlineStr">
        <is>
          <t>MEDIUM_RISK</t>
        </is>
      </c>
      <c r="Y260" s="29" t="inlineStr">
        <is>
          <t>0.634985809262478</t>
        </is>
      </c>
      <c r="Z260" s="29" t="inlineStr">
        <is>
          <t>MEDIUM</t>
        </is>
      </c>
      <c r="AA260" s="29" t="inlineStr">
        <is>
          <t>MEDIUM</t>
        </is>
      </c>
      <c r="AB260" s="29" t="inlineStr">
        <is>
          <t>0.0037958156542815414</t>
        </is>
      </c>
      <c r="AC260" s="29" t="inlineStr">
        <is>
          <t>False</t>
        </is>
      </c>
      <c r="AD260" s="29" t="inlineStr">
        <is>
          <t>False</t>
        </is>
      </c>
      <c r="AE260" s="29" t="inlineStr">
        <is>
          <t>valuation_credit_ml_overlay_candidate.csv</t>
        </is>
      </c>
      <c r="AF260" s="29" t="inlineStr">
        <is>
          <t>208개 반도체 reference universe. Valuation Agent가 자체 intake 폴더로 복제해 Peer/ML/대시보드 비교에 사용.</t>
        </is>
      </c>
    </row>
    <row r="261" ht="24" customHeight="1">
      <c r="A261" s="24" t="inlineStr">
        <is>
          <t>182</t>
        </is>
      </c>
      <c r="B261" s="24" t="inlineStr">
        <is>
          <t>해당 없음</t>
        </is>
      </c>
      <c r="C261" s="24" t="inlineStr">
        <is>
          <t>제너셈</t>
        </is>
      </c>
      <c r="D261" s="24" t="inlineStr">
        <is>
          <t>217190</t>
        </is>
      </c>
      <c r="E261" s="24" t="inlineStr">
        <is>
          <t>KOSDAQ</t>
        </is>
      </c>
      <c r="F261" s="24" t="inlineStr">
        <is>
          <t>후공정/패키징/테스트</t>
        </is>
      </c>
      <c r="G261" s="24" t="inlineStr">
        <is>
          <t>후공정/패키징/테스트</t>
        </is>
      </c>
      <c r="H261" s="24" t="inlineStr">
        <is>
          <t>False</t>
        </is>
      </c>
      <c r="I261" s="24" t="inlineStr">
        <is>
          <t>True</t>
        </is>
      </c>
      <c r="J261" s="24" t="inlineStr">
        <is>
          <t>HIGH_PRIORITY_MANUAL_REVIEW</t>
        </is>
      </c>
      <c r="K261" s="24" t="inlineStr">
        <is>
          <t>데이터 사용 가능</t>
        </is>
      </c>
      <c r="L261" s="24" t="inlineStr">
        <is>
          <t>HIGH</t>
        </is>
      </c>
      <c r="M261" s="24" t="inlineStr">
        <is>
          <t>HIGH</t>
        </is>
      </c>
      <c r="N261" s="24" t="inlineStr">
        <is>
          <t>0.4278518518518518</t>
        </is>
      </c>
      <c r="O261" s="24" t="inlineStr">
        <is>
          <t>FAIR</t>
        </is>
      </c>
      <c r="P261" s="24" t="inlineStr">
        <is>
          <t>FAIR</t>
        </is>
      </c>
      <c r="Q261" s="24" t="inlineStr">
        <is>
          <t>FAIR</t>
        </is>
      </c>
      <c r="R261" s="24" t="inlineStr">
        <is>
          <t>0.7410125545144256</t>
        </is>
      </c>
      <c r="S261" s="24" t="inlineStr">
        <is>
          <t>HIGH</t>
        </is>
      </c>
      <c r="T261" s="24" t="inlineStr">
        <is>
          <t>HIGH</t>
        </is>
      </c>
      <c r="U261" s="24" t="inlineStr">
        <is>
          <t>0.2857142857142857</t>
        </is>
      </c>
      <c r="V261" s="24" t="inlineStr">
        <is>
          <t>MEDIUM_RISK</t>
        </is>
      </c>
      <c r="W261" s="24" t="inlineStr">
        <is>
          <t>중위험</t>
        </is>
      </c>
      <c r="X261" s="24" t="inlineStr">
        <is>
          <t>MEDIUM_RISK</t>
        </is>
      </c>
      <c r="Y261" s="24" t="inlineStr">
        <is>
          <t>0.7596080290203916</t>
        </is>
      </c>
      <c r="Z261" s="24" t="inlineStr">
        <is>
          <t>HIGH</t>
        </is>
      </c>
      <c r="AA261" s="24" t="inlineStr">
        <is>
          <t>HIGH</t>
        </is>
      </c>
      <c r="AB261" s="24" t="inlineStr">
        <is>
          <t>0.005601152238630833</t>
        </is>
      </c>
      <c r="AC261" s="24" t="inlineStr">
        <is>
          <t>False</t>
        </is>
      </c>
      <c r="AD261" s="24" t="inlineStr">
        <is>
          <t>True</t>
        </is>
      </c>
      <c r="AE261" s="24" t="inlineStr">
        <is>
          <t>valuation_credit_ml_overlay_candidate.csv</t>
        </is>
      </c>
      <c r="AF261" s="24" t="inlineStr">
        <is>
          <t>208개 반도체 reference universe. Valuation Agent가 자체 intake 폴더로 복제해 Peer/ML/대시보드 비교에 사용.</t>
        </is>
      </c>
    </row>
    <row r="262" ht="24" customHeight="1">
      <c r="A262" s="29" t="inlineStr">
        <is>
          <t>158</t>
        </is>
      </c>
      <c r="B262" s="29" t="inlineStr">
        <is>
          <t>해당 없음</t>
        </is>
      </c>
      <c r="C262" s="29" t="inlineStr">
        <is>
          <t>네패스아크</t>
        </is>
      </c>
      <c r="D262" s="29" t="inlineStr">
        <is>
          <t>330860</t>
        </is>
      </c>
      <c r="E262" s="29" t="inlineStr">
        <is>
          <t>KOSDAQ</t>
        </is>
      </c>
      <c r="F262" s="29" t="inlineStr">
        <is>
          <t>후공정/패키징/테스트</t>
        </is>
      </c>
      <c r="G262" s="29" t="inlineStr">
        <is>
          <t>후공정/패키징/테스트</t>
        </is>
      </c>
      <c r="H262" s="29" t="inlineStr">
        <is>
          <t>False</t>
        </is>
      </c>
      <c r="I262" s="29" t="inlineStr">
        <is>
          <t>True</t>
        </is>
      </c>
      <c r="J262" s="29" t="inlineStr">
        <is>
          <t>OK</t>
        </is>
      </c>
      <c r="K262" s="29" t="inlineStr">
        <is>
          <t>데이터 사용 가능</t>
        </is>
      </c>
      <c r="L262" s="29" t="inlineStr">
        <is>
          <t>LOW</t>
        </is>
      </c>
      <c r="M262" s="29" t="inlineStr">
        <is>
          <t>LOW</t>
        </is>
      </c>
      <c r="N262" s="29" t="inlineStr">
        <is>
          <t>0.4207407407407407</t>
        </is>
      </c>
      <c r="O262" s="29" t="inlineStr">
        <is>
          <t>EXPENSIVE</t>
        </is>
      </c>
      <c r="P262" s="29" t="inlineStr">
        <is>
          <t>EXPENSIVE</t>
        </is>
      </c>
      <c r="Q262" s="29" t="inlineStr">
        <is>
          <t>EXPENSIVE</t>
        </is>
      </c>
      <c r="R262" s="29" t="inlineStr">
        <is>
          <t>0.5804758808286147</t>
        </is>
      </c>
      <c r="S262" s="29" t="inlineStr">
        <is>
          <t>MEDIUM</t>
        </is>
      </c>
      <c r="T262" s="29" t="inlineStr">
        <is>
          <t>MEDIUM</t>
        </is>
      </c>
      <c r="U262" s="29" t="inlineStr">
        <is>
          <t>0.0</t>
        </is>
      </c>
      <c r="V262" s="29" t="inlineStr">
        <is>
          <t>LOW_RISK</t>
        </is>
      </c>
      <c r="W262" s="29" t="inlineStr">
        <is>
          <t>저위험</t>
        </is>
      </c>
      <c r="X262" s="29" t="inlineStr">
        <is>
          <t>LOW_RISK</t>
        </is>
      </c>
      <c r="Y262" s="29" t="inlineStr">
        <is>
          <t>0.7522882908851339</t>
        </is>
      </c>
      <c r="Z262" s="29" t="inlineStr">
        <is>
          <t>HIGH</t>
        </is>
      </c>
      <c r="AA262" s="29" t="inlineStr">
        <is>
          <t>HIGH</t>
        </is>
      </c>
      <c r="AB262" s="29" t="inlineStr">
        <is>
          <t>0.07850484580290398</t>
        </is>
      </c>
      <c r="AC262" s="29" t="inlineStr">
        <is>
          <t>False</t>
        </is>
      </c>
      <c r="AD262" s="29" t="inlineStr">
        <is>
          <t>False</t>
        </is>
      </c>
      <c r="AE262" s="29" t="inlineStr">
        <is>
          <t>valuation_credit_ml_overlay_candidate.csv</t>
        </is>
      </c>
      <c r="AF262" s="29" t="inlineStr">
        <is>
          <t>208개 반도체 reference universe. Valuation Agent가 자체 intake 폴더로 복제해 Peer/ML/대시보드 비교에 사용.</t>
        </is>
      </c>
    </row>
    <row r="263" ht="24" customHeight="1">
      <c r="A263" s="24" t="inlineStr">
        <is>
          <t>164</t>
        </is>
      </c>
      <c r="B263" s="24" t="inlineStr">
        <is>
          <t>해당 없음</t>
        </is>
      </c>
      <c r="C263" s="24" t="inlineStr">
        <is>
          <t>마이크로투나노</t>
        </is>
      </c>
      <c r="D263" s="24" t="inlineStr">
        <is>
          <t>424980</t>
        </is>
      </c>
      <c r="E263" s="24" t="inlineStr">
        <is>
          <t>KOSDAQ</t>
        </is>
      </c>
      <c r="F263" s="24" t="inlineStr">
        <is>
          <t>후공정/패키징/테스트</t>
        </is>
      </c>
      <c r="G263" s="24" t="inlineStr">
        <is>
          <t>후공정/패키징/테스트</t>
        </is>
      </c>
      <c r="H263" s="24" t="inlineStr">
        <is>
          <t>False</t>
        </is>
      </c>
      <c r="I263" s="24" t="inlineStr">
        <is>
          <t>True</t>
        </is>
      </c>
      <c r="J263" s="24" t="inlineStr">
        <is>
          <t>OK_LIMITED_HISTORY_OR_GROWTH_NA</t>
        </is>
      </c>
      <c r="K263" s="24" t="inlineStr">
        <is>
          <t>데이터 사용 가능</t>
        </is>
      </c>
      <c r="L263" s="24" t="inlineStr">
        <is>
          <t>LOW</t>
        </is>
      </c>
      <c r="M263" s="24" t="inlineStr">
        <is>
          <t>LOW</t>
        </is>
      </c>
      <c r="N263" s="24" t="inlineStr">
        <is>
          <t>0.4188148148148148</t>
        </is>
      </c>
      <c r="O263" s="24" t="inlineStr">
        <is>
          <t>EXPENSIVE</t>
        </is>
      </c>
      <c r="P263" s="24" t="inlineStr">
        <is>
          <t>EXPENSIVE</t>
        </is>
      </c>
      <c r="Q263" s="24" t="inlineStr">
        <is>
          <t>EXPENSIVE</t>
        </is>
      </c>
      <c r="R263" s="24" t="inlineStr">
        <is>
          <t>0.8919952418828875</t>
        </is>
      </c>
      <c r="S263" s="24" t="inlineStr">
        <is>
          <t>HIGH</t>
        </is>
      </c>
      <c r="T263" s="24" t="inlineStr">
        <is>
          <t>HIGH</t>
        </is>
      </c>
      <c r="U263" s="24" t="inlineStr">
        <is>
          <t>0.5714285714285714</t>
        </is>
      </c>
      <c r="V263" s="24" t="inlineStr">
        <is>
          <t>HIGH_RISK</t>
        </is>
      </c>
      <c r="W263" s="24" t="inlineStr">
        <is>
          <t>고위험</t>
        </is>
      </c>
      <c r="X263" s="24" t="inlineStr">
        <is>
          <t>HIGH_RISK</t>
        </is>
      </c>
      <c r="Y263" s="24" t="inlineStr">
        <is>
          <t>0.8679140027753699</t>
        </is>
      </c>
      <c r="Z263" s="24" t="inlineStr">
        <is>
          <t>HIGH</t>
        </is>
      </c>
      <c r="AA263" s="24" t="inlineStr">
        <is>
          <t>HIGH</t>
        </is>
      </c>
      <c r="AB263" s="24" t="inlineStr">
        <is>
          <t>0.06592211461176288</t>
        </is>
      </c>
      <c r="AC263" s="24" t="inlineStr">
        <is>
          <t>False</t>
        </is>
      </c>
      <c r="AD263" s="24" t="inlineStr">
        <is>
          <t>True</t>
        </is>
      </c>
      <c r="AE263" s="24" t="inlineStr">
        <is>
          <t>valuation_credit_ml_overlay_candidate.csv</t>
        </is>
      </c>
      <c r="AF263" s="24" t="inlineStr">
        <is>
          <t>208개 반도체 reference universe. Valuation Agent가 자체 intake 폴더로 복제해 Peer/ML/대시보드 비교에 사용.</t>
        </is>
      </c>
    </row>
    <row r="264" ht="24" customHeight="1">
      <c r="A264" s="29" t="inlineStr">
        <is>
          <t>169</t>
        </is>
      </c>
      <c r="B264" s="29" t="inlineStr">
        <is>
          <t>해당 없음</t>
        </is>
      </c>
      <c r="C264" s="29" t="inlineStr">
        <is>
          <t>시그네틱스</t>
        </is>
      </c>
      <c r="D264" s="29" t="inlineStr">
        <is>
          <t>033170</t>
        </is>
      </c>
      <c r="E264" s="29" t="inlineStr">
        <is>
          <t>KOSDAQ</t>
        </is>
      </c>
      <c r="F264" s="29" t="inlineStr">
        <is>
          <t>후공정/패키징/테스트</t>
        </is>
      </c>
      <c r="G264" s="29" t="inlineStr">
        <is>
          <t>후공정/패키징/테스트</t>
        </is>
      </c>
      <c r="H264" s="29" t="inlineStr">
        <is>
          <t>False</t>
        </is>
      </c>
      <c r="I264" s="29" t="inlineStr">
        <is>
          <t>True</t>
        </is>
      </c>
      <c r="J264" s="29" t="inlineStr">
        <is>
          <t>OK</t>
        </is>
      </c>
      <c r="K264" s="29" t="inlineStr">
        <is>
          <t>데이터 사용 가능</t>
        </is>
      </c>
      <c r="L264" s="29" t="inlineStr">
        <is>
          <t>LOW</t>
        </is>
      </c>
      <c r="M264" s="29" t="inlineStr">
        <is>
          <t>LOW</t>
        </is>
      </c>
      <c r="N264" s="29" t="inlineStr">
        <is>
          <t>0.4068148148148148</t>
        </is>
      </c>
      <c r="O264" s="29" t="inlineStr">
        <is>
          <t>EXPENSIVE</t>
        </is>
      </c>
      <c r="P264" s="29" t="inlineStr">
        <is>
          <t>EXPENSIVE</t>
        </is>
      </c>
      <c r="Q264" s="29" t="inlineStr">
        <is>
          <t>EXPENSIVE</t>
        </is>
      </c>
      <c r="R264" s="29" t="inlineStr">
        <is>
          <t>0.6660306558324866</t>
        </is>
      </c>
      <c r="S264" s="29" t="inlineStr">
        <is>
          <t>MEDIUM</t>
        </is>
      </c>
      <c r="T264" s="29" t="inlineStr">
        <is>
          <t>MEDIUM</t>
        </is>
      </c>
      <c r="U264" s="29" t="inlineStr">
        <is>
          <t>0.6428571428571429</t>
        </is>
      </c>
      <c r="V264" s="29" t="inlineStr">
        <is>
          <t>HIGH_RISK</t>
        </is>
      </c>
      <c r="W264" s="29" t="inlineStr">
        <is>
          <t>고위험</t>
        </is>
      </c>
      <c r="X264" s="29" t="inlineStr">
        <is>
          <t>HIGH_RISK</t>
        </is>
      </c>
      <c r="Y264" s="29" t="inlineStr">
        <is>
          <t>0.9103717836414464</t>
        </is>
      </c>
      <c r="Z264" s="29" t="inlineStr">
        <is>
          <t>HIGH</t>
        </is>
      </c>
      <c r="AA264" s="29" t="inlineStr">
        <is>
          <t>HIGH</t>
        </is>
      </c>
      <c r="AB264" s="29" t="inlineStr">
        <is>
          <t>0.09415815096164672</t>
        </is>
      </c>
      <c r="AC264" s="29" t="inlineStr">
        <is>
          <t>False</t>
        </is>
      </c>
      <c r="AD264" s="29" t="inlineStr">
        <is>
          <t>False</t>
        </is>
      </c>
      <c r="AE264" s="29" t="inlineStr">
        <is>
          <t>valuation_credit_ml_overlay_candidate.csv</t>
        </is>
      </c>
      <c r="AF264" s="29" t="inlineStr">
        <is>
          <t>208개 반도체 reference universe. Valuation Agent가 자체 intake 폴더로 복제해 Peer/ML/대시보드 비교에 사용.</t>
        </is>
      </c>
    </row>
    <row r="265" ht="24" customHeight="1">
      <c r="A265" s="24" t="inlineStr">
        <is>
          <t>154</t>
        </is>
      </c>
      <c r="B265" s="24" t="inlineStr">
        <is>
          <t>해당 없음</t>
        </is>
      </c>
      <c r="C265" s="24" t="inlineStr">
        <is>
          <t>고영</t>
        </is>
      </c>
      <c r="D265" s="24" t="inlineStr">
        <is>
          <t>098460</t>
        </is>
      </c>
      <c r="E265" s="24" t="inlineStr">
        <is>
          <t>KOSDAQ</t>
        </is>
      </c>
      <c r="F265" s="24" t="inlineStr">
        <is>
          <t>후공정/패키징/테스트</t>
        </is>
      </c>
      <c r="G265" s="24" t="inlineStr">
        <is>
          <t>후공정/패키징/테스트</t>
        </is>
      </c>
      <c r="H265" s="24" t="inlineStr">
        <is>
          <t>False</t>
        </is>
      </c>
      <c r="I265" s="24" t="inlineStr">
        <is>
          <t>True</t>
        </is>
      </c>
      <c r="J265" s="24" t="inlineStr">
        <is>
          <t>OK</t>
        </is>
      </c>
      <c r="K265" s="24" t="inlineStr">
        <is>
          <t>데이터 사용 가능</t>
        </is>
      </c>
      <c r="L265" s="24" t="inlineStr">
        <is>
          <t>LOW</t>
        </is>
      </c>
      <c r="M265" s="24" t="inlineStr">
        <is>
          <t>LOW</t>
        </is>
      </c>
      <c r="N265" s="24" t="inlineStr">
        <is>
          <t>0.3933333333333333</t>
        </is>
      </c>
      <c r="O265" s="24" t="inlineStr">
        <is>
          <t>EXPENSIVE</t>
        </is>
      </c>
      <c r="P265" s="24" t="inlineStr">
        <is>
          <t>EXPENSIVE</t>
        </is>
      </c>
      <c r="Q265" s="24" t="inlineStr">
        <is>
          <t>EXPENSIVE</t>
        </is>
      </c>
      <c r="R265" s="24" t="inlineStr">
        <is>
          <t>0.4306692416005982</t>
        </is>
      </c>
      <c r="S265" s="24" t="inlineStr">
        <is>
          <t>LOW</t>
        </is>
      </c>
      <c r="T265" s="24" t="inlineStr">
        <is>
          <t>LOW</t>
        </is>
      </c>
      <c r="U265" s="24" t="inlineStr">
        <is>
          <t>0.0714285714285714</t>
        </is>
      </c>
      <c r="V265" s="24" t="inlineStr">
        <is>
          <t>LOW_RISK</t>
        </is>
      </c>
      <c r="W265" s="24" t="inlineStr">
        <is>
          <t>저위험</t>
        </is>
      </c>
      <c r="X265" s="24" t="inlineStr">
        <is>
          <t>LOW_RISK</t>
        </is>
      </c>
      <c r="Y265" s="24" t="inlineStr">
        <is>
          <t>0.9147267479763326</t>
        </is>
      </c>
      <c r="Z265" s="24" t="inlineStr">
        <is>
          <t>HIGH</t>
        </is>
      </c>
      <c r="AA265" s="24" t="inlineStr">
        <is>
          <t>HIGH</t>
        </is>
      </c>
      <c r="AB265" s="24" t="inlineStr">
        <is>
          <t>0.05497222824798623</t>
        </is>
      </c>
      <c r="AC265" s="24" t="inlineStr">
        <is>
          <t>False</t>
        </is>
      </c>
      <c r="AD265" s="24" t="inlineStr">
        <is>
          <t>True</t>
        </is>
      </c>
      <c r="AE265" s="24" t="inlineStr">
        <is>
          <t>valuation_credit_ml_overlay_candidate.csv</t>
        </is>
      </c>
      <c r="AF265" s="24" t="inlineStr">
        <is>
          <t>208개 반도체 reference universe. Valuation Agent가 자체 intake 폴더로 복제해 Peer/ML/대시보드 비교에 사용.</t>
        </is>
      </c>
    </row>
    <row r="266" ht="24" customHeight="1">
      <c r="A266" s="29" t="inlineStr">
        <is>
          <t>178</t>
        </is>
      </c>
      <c r="B266" s="29" t="inlineStr">
        <is>
          <t>해당 없음</t>
        </is>
      </c>
      <c r="C266" s="29" t="inlineStr">
        <is>
          <t>웨이비스</t>
        </is>
      </c>
      <c r="D266" s="29" t="inlineStr">
        <is>
          <t>289930</t>
        </is>
      </c>
      <c r="E266" s="29" t="inlineStr">
        <is>
          <t>KOSDAQ</t>
        </is>
      </c>
      <c r="F266" s="29" t="inlineStr">
        <is>
          <t>후공정/패키징/테스트</t>
        </is>
      </c>
      <c r="G266" s="29" t="inlineStr">
        <is>
          <t>후공정/패키징/테스트</t>
        </is>
      </c>
      <c r="H266" s="29" t="inlineStr">
        <is>
          <t>False</t>
        </is>
      </c>
      <c r="I266" s="29" t="inlineStr">
        <is>
          <t>True</t>
        </is>
      </c>
      <c r="J266" s="29" t="inlineStr">
        <is>
          <t>OK_LIMITED_HISTORY_OR_GROWTH_NA</t>
        </is>
      </c>
      <c r="K266" s="29" t="inlineStr">
        <is>
          <t>데이터 사용 가능</t>
        </is>
      </c>
      <c r="L266" s="29" t="inlineStr">
        <is>
          <t>LOW</t>
        </is>
      </c>
      <c r="M266" s="29" t="inlineStr">
        <is>
          <t>LOW</t>
        </is>
      </c>
      <c r="N266" s="29" t="inlineStr">
        <is>
          <t>0.3765925925925926</t>
        </is>
      </c>
      <c r="O266" s="29" t="inlineStr">
        <is>
          <t>EXPENSIVE</t>
        </is>
      </c>
      <c r="P266" s="29" t="inlineStr">
        <is>
          <t>EXPENSIVE</t>
        </is>
      </c>
      <c r="Q266" s="29" t="inlineStr">
        <is>
          <t>EXPENSIVE</t>
        </is>
      </c>
      <c r="R266" s="29" t="inlineStr">
        <is>
          <t>0.5209890944205295</t>
        </is>
      </c>
      <c r="S266" s="29" t="inlineStr">
        <is>
          <t>MEDIUM</t>
        </is>
      </c>
      <c r="T266" s="29" t="inlineStr">
        <is>
          <t>MEDIUM</t>
        </is>
      </c>
      <c r="U266" s="29" t="inlineStr">
        <is>
          <t>0.1428571428571428</t>
        </is>
      </c>
      <c r="V266" s="29" t="inlineStr">
        <is>
          <t>LOW_RISK</t>
        </is>
      </c>
      <c r="W266" s="29" t="inlineStr">
        <is>
          <t>저위험</t>
        </is>
      </c>
      <c r="X266" s="29" t="inlineStr">
        <is>
          <t>LOW_RISK</t>
        </is>
      </c>
      <c r="Y266" s="29" t="inlineStr">
        <is>
          <t>0.5760026387111382</t>
        </is>
      </c>
      <c r="Z266" s="29" t="inlineStr">
        <is>
          <t>MEDIUM</t>
        </is>
      </c>
      <c r="AA266" s="29" t="inlineStr">
        <is>
          <t>MEDIUM</t>
        </is>
      </c>
      <c r="AB266" s="29" t="inlineStr">
        <is>
          <t>0.04339911179550382</t>
        </is>
      </c>
      <c r="AC266" s="29" t="inlineStr">
        <is>
          <t>False</t>
        </is>
      </c>
      <c r="AD266" s="29" t="inlineStr">
        <is>
          <t>True</t>
        </is>
      </c>
      <c r="AE266" s="29" t="inlineStr">
        <is>
          <t>valuation_credit_ml_overlay_candidate.csv</t>
        </is>
      </c>
      <c r="AF266" s="29" t="inlineStr">
        <is>
          <t>208개 반도체 reference universe. Valuation Agent가 자체 intake 폴더로 복제해 Peer/ML/대시보드 비교에 사용.</t>
        </is>
      </c>
    </row>
    <row r="267" ht="24" customHeight="1">
      <c r="A267" s="24" t="inlineStr">
        <is>
          <t>153</t>
        </is>
      </c>
      <c r="B267" s="24" t="inlineStr">
        <is>
          <t>해당 없음</t>
        </is>
      </c>
      <c r="C267" s="24" t="inlineStr">
        <is>
          <t>SFA반도체</t>
        </is>
      </c>
      <c r="D267" s="24" t="inlineStr">
        <is>
          <t>036540</t>
        </is>
      </c>
      <c r="E267" s="24" t="inlineStr">
        <is>
          <t>KOSDAQ</t>
        </is>
      </c>
      <c r="F267" s="24" t="inlineStr">
        <is>
          <t>후공정/패키징/테스트</t>
        </is>
      </c>
      <c r="G267" s="24" t="inlineStr">
        <is>
          <t>후공정/패키징/테스트</t>
        </is>
      </c>
      <c r="H267" s="24" t="inlineStr">
        <is>
          <t>False</t>
        </is>
      </c>
      <c r="I267" s="24" t="inlineStr">
        <is>
          <t>True</t>
        </is>
      </c>
      <c r="J267" s="24" t="inlineStr">
        <is>
          <t>OK</t>
        </is>
      </c>
      <c r="K267" s="24" t="inlineStr">
        <is>
          <t>데이터 사용 가능</t>
        </is>
      </c>
      <c r="L267" s="24" t="inlineStr">
        <is>
          <t>LOW</t>
        </is>
      </c>
      <c r="M267" s="24" t="inlineStr">
        <is>
          <t>LOW</t>
        </is>
      </c>
      <c r="N267" s="24" t="inlineStr">
        <is>
          <t>0.3725925925925926</t>
        </is>
      </c>
      <c r="O267" s="24" t="inlineStr">
        <is>
          <t>EXPENSIVE</t>
        </is>
      </c>
      <c r="P267" s="24" t="inlineStr">
        <is>
          <t>EXPENSIVE</t>
        </is>
      </c>
      <c r="Q267" s="24" t="inlineStr">
        <is>
          <t>EXPENSIVE</t>
        </is>
      </c>
      <c r="R267" s="24" t="inlineStr">
        <is>
          <t>0.7912156659089058</t>
        </is>
      </c>
      <c r="S267" s="24" t="inlineStr">
        <is>
          <t>HIGH</t>
        </is>
      </c>
      <c r="T267" s="24" t="inlineStr">
        <is>
          <t>HIGH</t>
        </is>
      </c>
      <c r="U267" s="24" t="inlineStr">
        <is>
          <t>0.2857142857142857</t>
        </is>
      </c>
      <c r="V267" s="24" t="inlineStr">
        <is>
          <t>MEDIUM_RISK</t>
        </is>
      </c>
      <c r="W267" s="24" t="inlineStr">
        <is>
          <t>중위험</t>
        </is>
      </c>
      <c r="X267" s="24" t="inlineStr">
        <is>
          <t>MEDIUM_RISK</t>
        </is>
      </c>
      <c r="Y267" s="24" t="inlineStr">
        <is>
          <t>0.6035260416354965</t>
        </is>
      </c>
      <c r="Z267" s="24" t="inlineStr">
        <is>
          <t>MEDIUM</t>
        </is>
      </c>
      <c r="AA267" s="24" t="inlineStr">
        <is>
          <t>MEDIUM</t>
        </is>
      </c>
      <c r="AB267" s="24" t="inlineStr">
        <is>
          <t>0.060421941503641885</t>
        </is>
      </c>
      <c r="AC267" s="24" t="inlineStr">
        <is>
          <t>False</t>
        </is>
      </c>
      <c r="AD267" s="24" t="inlineStr">
        <is>
          <t>False</t>
        </is>
      </c>
      <c r="AE267" s="24" t="inlineStr">
        <is>
          <t>valuation_credit_ml_overlay_candidate.csv</t>
        </is>
      </c>
      <c r="AF267" s="24" t="inlineStr">
        <is>
          <t>208개 반도체 reference universe. Valuation Agent가 자체 intake 폴더로 복제해 Peer/ML/대시보드 비교에 사용.</t>
        </is>
      </c>
    </row>
    <row r="268" ht="24" customHeight="1">
      <c r="A268" s="29" t="inlineStr">
        <is>
          <t>181</t>
        </is>
      </c>
      <c r="B268" s="29" t="inlineStr">
        <is>
          <t>해당 없음</t>
        </is>
      </c>
      <c r="C268" s="29" t="inlineStr">
        <is>
          <t>인텍플러스</t>
        </is>
      </c>
      <c r="D268" s="29" t="inlineStr">
        <is>
          <t>064290</t>
        </is>
      </c>
      <c r="E268" s="29" t="inlineStr">
        <is>
          <t>KOSDAQ</t>
        </is>
      </c>
      <c r="F268" s="29" t="inlineStr">
        <is>
          <t>후공정/패키징/테스트</t>
        </is>
      </c>
      <c r="G268" s="29" t="inlineStr">
        <is>
          <t>후공정/패키징/테스트</t>
        </is>
      </c>
      <c r="H268" s="29" t="inlineStr">
        <is>
          <t>False</t>
        </is>
      </c>
      <c r="I268" s="29" t="inlineStr">
        <is>
          <t>True</t>
        </is>
      </c>
      <c r="J268" s="29" t="inlineStr">
        <is>
          <t>OK</t>
        </is>
      </c>
      <c r="K268" s="29" t="inlineStr">
        <is>
          <t>데이터 사용 가능</t>
        </is>
      </c>
      <c r="L268" s="29" t="inlineStr">
        <is>
          <t>LOW</t>
        </is>
      </c>
      <c r="M268" s="29" t="inlineStr">
        <is>
          <t>LOW</t>
        </is>
      </c>
      <c r="N268" s="29" t="inlineStr">
        <is>
          <t>0.3431111111111111</t>
        </is>
      </c>
      <c r="O268" s="29" t="inlineStr">
        <is>
          <t>EXPENSIVE</t>
        </is>
      </c>
      <c r="P268" s="29" t="inlineStr">
        <is>
          <t>EXPENSIVE</t>
        </is>
      </c>
      <c r="Q268" s="29" t="inlineStr">
        <is>
          <t>EXPENSIVE</t>
        </is>
      </c>
      <c r="R268" s="29" t="inlineStr">
        <is>
          <t>0.7612288958400996</t>
        </is>
      </c>
      <c r="S268" s="29" t="inlineStr">
        <is>
          <t>HIGH</t>
        </is>
      </c>
      <c r="T268" s="29" t="inlineStr">
        <is>
          <t>HIGH</t>
        </is>
      </c>
      <c r="U268" s="29" t="inlineStr">
        <is>
          <t>0.4285714285714285</t>
        </is>
      </c>
      <c r="V268" s="29" t="inlineStr">
        <is>
          <t>HIGH_RISK</t>
        </is>
      </c>
      <c r="W268" s="29" t="inlineStr">
        <is>
          <t>고위험</t>
        </is>
      </c>
      <c r="X268" s="29" t="inlineStr">
        <is>
          <t>MEDIUM_RISK</t>
        </is>
      </c>
      <c r="Y268" s="29" t="inlineStr">
        <is>
          <t>0.5782298550270377</t>
        </is>
      </c>
      <c r="Z268" s="29" t="inlineStr">
        <is>
          <t>MEDIUM</t>
        </is>
      </c>
      <c r="AA268" s="29" t="inlineStr">
        <is>
          <t>MEDIUM</t>
        </is>
      </c>
      <c r="AB268" s="29" t="inlineStr">
        <is>
          <t>0.054796756066406084</t>
        </is>
      </c>
      <c r="AC268" s="29" t="inlineStr">
        <is>
          <t>False</t>
        </is>
      </c>
      <c r="AD268" s="29" t="inlineStr">
        <is>
          <t>False</t>
        </is>
      </c>
      <c r="AE268" s="29" t="inlineStr">
        <is>
          <t>valuation_credit_ml_overlay_candidate.csv</t>
        </is>
      </c>
      <c r="AF268" s="29" t="inlineStr">
        <is>
          <t>208개 반도체 reference universe. Valuation Agent가 자체 intake 폴더로 복제해 Peer/ML/대시보드 비교에 사용.</t>
        </is>
      </c>
    </row>
    <row r="269" ht="24" customHeight="1">
      <c r="A269" s="24" t="inlineStr">
        <is>
          <t>193</t>
        </is>
      </c>
      <c r="B269" s="24" t="inlineStr">
        <is>
          <t>해당 없음</t>
        </is>
      </c>
      <c r="C269" s="24" t="inlineStr">
        <is>
          <t>한울반도체</t>
        </is>
      </c>
      <c r="D269" s="24" t="inlineStr">
        <is>
          <t>320000</t>
        </is>
      </c>
      <c r="E269" s="24" t="inlineStr">
        <is>
          <t>KOSDAQ</t>
        </is>
      </c>
      <c r="F269" s="24" t="inlineStr">
        <is>
          <t>후공정/패키징/테스트</t>
        </is>
      </c>
      <c r="G269" s="24" t="inlineStr">
        <is>
          <t>후공정/패키징/테스트</t>
        </is>
      </c>
      <c r="H269" s="24" t="inlineStr">
        <is>
          <t>False</t>
        </is>
      </c>
      <c r="I269" s="24" t="inlineStr">
        <is>
          <t>True</t>
        </is>
      </c>
      <c r="J269" s="24" t="inlineStr">
        <is>
          <t>OK</t>
        </is>
      </c>
      <c r="K269" s="24" t="inlineStr">
        <is>
          <t>데이터 사용 가능</t>
        </is>
      </c>
      <c r="L269" s="24" t="inlineStr">
        <is>
          <t>LOW</t>
        </is>
      </c>
      <c r="M269" s="24" t="inlineStr">
        <is>
          <t>LOW</t>
        </is>
      </c>
      <c r="N269" s="24" t="inlineStr">
        <is>
          <t>0.3376296296296296</t>
        </is>
      </c>
      <c r="O269" s="24" t="inlineStr">
        <is>
          <t>EXPENSIVE</t>
        </is>
      </c>
      <c r="P269" s="24" t="inlineStr">
        <is>
          <t>EXPENSIVE</t>
        </is>
      </c>
      <c r="Q269" s="24" t="inlineStr">
        <is>
          <t>EXPENSIVE</t>
        </is>
      </c>
      <c r="R269" s="24" t="inlineStr">
        <is>
          <t>0.7769228627558715</t>
        </is>
      </c>
      <c r="S269" s="24" t="inlineStr">
        <is>
          <t>HIGH</t>
        </is>
      </c>
      <c r="T269" s="24" t="inlineStr">
        <is>
          <t>HIGH</t>
        </is>
      </c>
      <c r="U269" s="24" t="inlineStr">
        <is>
          <t>0.7142857142857143</t>
        </is>
      </c>
      <c r="V269" s="24" t="inlineStr">
        <is>
          <t>HIGH_RISK</t>
        </is>
      </c>
      <c r="W269" s="24" t="inlineStr">
        <is>
          <t>고위험</t>
        </is>
      </c>
      <c r="X269" s="24" t="inlineStr">
        <is>
          <t>HIGH_RISK</t>
        </is>
      </c>
      <c r="Y269" s="24" t="inlineStr">
        <is>
          <t>0.9268996528836525</t>
        </is>
      </c>
      <c r="Z269" s="24" t="inlineStr">
        <is>
          <t>HIGH</t>
        </is>
      </c>
      <c r="AA269" s="24" t="inlineStr">
        <is>
          <t>HIGH</t>
        </is>
      </c>
      <c r="AB269" s="24" t="inlineStr">
        <is>
          <t>0.3732718821533064</t>
        </is>
      </c>
      <c r="AC269" s="24" t="inlineStr">
        <is>
          <t>True</t>
        </is>
      </c>
      <c r="AD269" s="24" t="inlineStr">
        <is>
          <t>True</t>
        </is>
      </c>
      <c r="AE269" s="24" t="inlineStr">
        <is>
          <t>valuation_credit_ml_overlay_candidate.csv</t>
        </is>
      </c>
      <c r="AF269" s="24" t="inlineStr">
        <is>
          <t>208개 반도체 reference universe. Valuation Agent가 자체 intake 폴더로 복제해 Peer/ML/대시보드 비교에 사용.</t>
        </is>
      </c>
    </row>
    <row r="270" ht="24" customHeight="1">
      <c r="A270" s="29" t="inlineStr">
        <is>
          <t>180</t>
        </is>
      </c>
      <c r="B270" s="29" t="inlineStr">
        <is>
          <t>해당 없음</t>
        </is>
      </c>
      <c r="C270" s="29" t="inlineStr">
        <is>
          <t>유니테스트</t>
        </is>
      </c>
      <c r="D270" s="29" t="inlineStr">
        <is>
          <t>086390</t>
        </is>
      </c>
      <c r="E270" s="29" t="inlineStr">
        <is>
          <t>KOSDAQ</t>
        </is>
      </c>
      <c r="F270" s="29" t="inlineStr">
        <is>
          <t>후공정/패키징/테스트</t>
        </is>
      </c>
      <c r="G270" s="29" t="inlineStr">
        <is>
          <t>후공정/패키징/테스트</t>
        </is>
      </c>
      <c r="H270" s="29" t="inlineStr">
        <is>
          <t>False</t>
        </is>
      </c>
      <c r="I270" s="29" t="inlineStr">
        <is>
          <t>True</t>
        </is>
      </c>
      <c r="J270" s="29" t="inlineStr">
        <is>
          <t>OK</t>
        </is>
      </c>
      <c r="K270" s="29" t="inlineStr">
        <is>
          <t>데이터 사용 가능</t>
        </is>
      </c>
      <c r="L270" s="29" t="inlineStr">
        <is>
          <t>LOW</t>
        </is>
      </c>
      <c r="M270" s="29" t="inlineStr">
        <is>
          <t>LOW</t>
        </is>
      </c>
      <c r="N270" s="29" t="inlineStr">
        <is>
          <t>0.3371851851851852</t>
        </is>
      </c>
      <c r="O270" s="29" t="inlineStr">
        <is>
          <t>EXPENSIVE</t>
        </is>
      </c>
      <c r="P270" s="29" t="inlineStr">
        <is>
          <t>EXPENSIVE</t>
        </is>
      </c>
      <c r="Q270" s="29" t="inlineStr">
        <is>
          <t>EXPENSIVE</t>
        </is>
      </c>
      <c r="R270" s="29" t="inlineStr">
        <is>
          <t>0.9109345080202441</t>
        </is>
      </c>
      <c r="S270" s="29" t="inlineStr">
        <is>
          <t>HIGH</t>
        </is>
      </c>
      <c r="T270" s="29" t="inlineStr">
        <is>
          <t>HIGH</t>
        </is>
      </c>
      <c r="U270" s="29" t="inlineStr">
        <is>
          <t>0.5714285714285714</t>
        </is>
      </c>
      <c r="V270" s="29" t="inlineStr">
        <is>
          <t>HIGH_RISK</t>
        </is>
      </c>
      <c r="W270" s="29" t="inlineStr">
        <is>
          <t>고위험</t>
        </is>
      </c>
      <c r="X270" s="29" t="inlineStr">
        <is>
          <t>HIGH_RISK</t>
        </is>
      </c>
      <c r="Y270" s="29" t="inlineStr">
        <is>
          <t>0.9310666121801914</t>
        </is>
      </c>
      <c r="Z270" s="29" t="inlineStr">
        <is>
          <t>HIGH</t>
        </is>
      </c>
      <c r="AA270" s="29" t="inlineStr">
        <is>
          <t>HIGH</t>
        </is>
      </c>
      <c r="AB270" s="29" t="inlineStr">
        <is>
          <t>0.07777762014388422</t>
        </is>
      </c>
      <c r="AC270" s="29" t="inlineStr">
        <is>
          <t>False</t>
        </is>
      </c>
      <c r="AD270" s="29" t="inlineStr">
        <is>
          <t>False</t>
        </is>
      </c>
      <c r="AE270" s="29" t="inlineStr">
        <is>
          <t>valuation_credit_ml_overlay_candidate.csv</t>
        </is>
      </c>
      <c r="AF270" s="29" t="inlineStr">
        <is>
          <t>208개 반도체 reference universe. Valuation Agent가 자체 intake 폴더로 복제해 Peer/ML/대시보드 비교에 사용.</t>
        </is>
      </c>
    </row>
    <row r="271" ht="24" customHeight="1">
      <c r="A271" s="24" t="inlineStr">
        <is>
          <t>159</t>
        </is>
      </c>
      <c r="B271" s="24" t="inlineStr">
        <is>
          <t>해당 없음</t>
        </is>
      </c>
      <c r="C271" s="24" t="inlineStr">
        <is>
          <t>두산테스나</t>
        </is>
      </c>
      <c r="D271" s="24" t="inlineStr">
        <is>
          <t>131970</t>
        </is>
      </c>
      <c r="E271" s="24" t="inlineStr">
        <is>
          <t>KOSDAQ GLOBAL</t>
        </is>
      </c>
      <c r="F271" s="24" t="inlineStr">
        <is>
          <t>후공정/패키징/테스트</t>
        </is>
      </c>
      <c r="G271" s="24" t="inlineStr">
        <is>
          <t>후공정/패키징/테스트</t>
        </is>
      </c>
      <c r="H271" s="24" t="inlineStr">
        <is>
          <t>False</t>
        </is>
      </c>
      <c r="I271" s="24" t="inlineStr">
        <is>
          <t>True</t>
        </is>
      </c>
      <c r="J271" s="24" t="inlineStr">
        <is>
          <t>OK</t>
        </is>
      </c>
      <c r="K271" s="24" t="inlineStr">
        <is>
          <t>데이터 사용 가능</t>
        </is>
      </c>
      <c r="L271" s="24" t="inlineStr">
        <is>
          <t>LOW</t>
        </is>
      </c>
      <c r="M271" s="24" t="inlineStr">
        <is>
          <t>LOW</t>
        </is>
      </c>
      <c r="N271" s="24" t="inlineStr">
        <is>
          <t>0.3217037037037037</t>
        </is>
      </c>
      <c r="O271" s="24" t="inlineStr">
        <is>
          <t>EXPENSIVE</t>
        </is>
      </c>
      <c r="P271" s="24" t="inlineStr">
        <is>
          <t>EXPENSIVE</t>
        </is>
      </c>
      <c r="Q271" s="24" t="inlineStr">
        <is>
          <t>EXPENSIVE</t>
        </is>
      </c>
      <c r="R271" s="24" t="inlineStr">
        <is>
          <t>0.5774876642912814</t>
        </is>
      </c>
      <c r="S271" s="24" t="inlineStr">
        <is>
          <t>MEDIUM</t>
        </is>
      </c>
      <c r="T271" s="24" t="inlineStr">
        <is>
          <t>MEDIUM</t>
        </is>
      </c>
      <c r="U271" s="24" t="inlineStr">
        <is>
          <t>0.1428571428571428</t>
        </is>
      </c>
      <c r="V271" s="24" t="inlineStr">
        <is>
          <t>LOW_RISK</t>
        </is>
      </c>
      <c r="W271" s="24" t="inlineStr">
        <is>
          <t>저위험</t>
        </is>
      </c>
      <c r="X271" s="24" t="inlineStr">
        <is>
          <t>LOW_RISK</t>
        </is>
      </c>
      <c r="Y271" s="24" t="inlineStr">
        <is>
          <t>0.5730698742411416</t>
        </is>
      </c>
      <c r="Z271" s="24" t="inlineStr">
        <is>
          <t>MEDIUM</t>
        </is>
      </c>
      <c r="AA271" s="24" t="inlineStr">
        <is>
          <t>MEDIUM</t>
        </is>
      </c>
      <c r="AB271" s="24" t="inlineStr">
        <is>
          <t>0.11339298523731103</t>
        </is>
      </c>
      <c r="AC271" s="24" t="inlineStr">
        <is>
          <t>False</t>
        </is>
      </c>
      <c r="AD271" s="24" t="inlineStr">
        <is>
          <t>False</t>
        </is>
      </c>
      <c r="AE271" s="24" t="inlineStr">
        <is>
          <t>valuation_credit_ml_overlay_candidate.csv</t>
        </is>
      </c>
      <c r="AF271" s="24" t="inlineStr">
        <is>
          <t>208개 반도체 reference universe. Valuation Agent가 자체 intake 폴더로 복제해 Peer/ML/대시보드 비교에 사용.</t>
        </is>
      </c>
    </row>
    <row r="272" ht="24" customHeight="1">
      <c r="A272" s="29" t="inlineStr">
        <is>
          <t>156</t>
        </is>
      </c>
      <c r="B272" s="29" t="inlineStr">
        <is>
          <t>해당 없음</t>
        </is>
      </c>
      <c r="C272" s="29" t="inlineStr">
        <is>
          <t>네오셈</t>
        </is>
      </c>
      <c r="D272" s="29" t="inlineStr">
        <is>
          <t>253590</t>
        </is>
      </c>
      <c r="E272" s="29" t="inlineStr">
        <is>
          <t>KOSDAQ</t>
        </is>
      </c>
      <c r="F272" s="29" t="inlineStr">
        <is>
          <t>후공정/패키징/테스트</t>
        </is>
      </c>
      <c r="G272" s="29" t="inlineStr">
        <is>
          <t>후공정/패키징/테스트</t>
        </is>
      </c>
      <c r="H272" s="29" t="inlineStr">
        <is>
          <t>False</t>
        </is>
      </c>
      <c r="I272" s="29" t="inlineStr">
        <is>
          <t>True</t>
        </is>
      </c>
      <c r="J272" s="29" t="inlineStr">
        <is>
          <t>OK</t>
        </is>
      </c>
      <c r="K272" s="29" t="inlineStr">
        <is>
          <t>데이터 사용 가능</t>
        </is>
      </c>
      <c r="L272" s="29" t="inlineStr">
        <is>
          <t>LOW</t>
        </is>
      </c>
      <c r="M272" s="29" t="inlineStr">
        <is>
          <t>LOW</t>
        </is>
      </c>
      <c r="N272" s="29" t="inlineStr">
        <is>
          <t>0.3059259259259259</t>
        </is>
      </c>
      <c r="O272" s="29" t="inlineStr">
        <is>
          <t>EXPENSIVE</t>
        </is>
      </c>
      <c r="P272" s="29" t="inlineStr">
        <is>
          <t>EXPENSIVE</t>
        </is>
      </c>
      <c r="Q272" s="29" t="inlineStr">
        <is>
          <t>EXPENSIVE</t>
        </is>
      </c>
      <c r="R272" s="29" t="inlineStr">
        <is>
          <t>0.7695353673338539</t>
        </is>
      </c>
      <c r="S272" s="29" t="inlineStr">
        <is>
          <t>HIGH</t>
        </is>
      </c>
      <c r="T272" s="29" t="inlineStr">
        <is>
          <t>HIGH</t>
        </is>
      </c>
      <c r="U272" s="29" t="inlineStr">
        <is>
          <t>0.0714285714285714</t>
        </is>
      </c>
      <c r="V272" s="29" t="inlineStr">
        <is>
          <t>LOW_RISK</t>
        </is>
      </c>
      <c r="W272" s="29" t="inlineStr">
        <is>
          <t>저위험</t>
        </is>
      </c>
      <c r="X272" s="29" t="inlineStr">
        <is>
          <t>LOW_RISK</t>
        </is>
      </c>
      <c r="Y272" s="29" t="inlineStr">
        <is>
          <t>0.7735591671201707</t>
        </is>
      </c>
      <c r="Z272" s="29" t="inlineStr">
        <is>
          <t>HIGH</t>
        </is>
      </c>
      <c r="AA272" s="29" t="inlineStr">
        <is>
          <t>HIGH</t>
        </is>
      </c>
      <c r="AB272" s="29" t="inlineStr">
        <is>
          <t>0.06887713556186657</t>
        </is>
      </c>
      <c r="AC272" s="29" t="inlineStr">
        <is>
          <t>False</t>
        </is>
      </c>
      <c r="AD272" s="29" t="inlineStr">
        <is>
          <t>False</t>
        </is>
      </c>
      <c r="AE272" s="29" t="inlineStr">
        <is>
          <t>valuation_credit_ml_overlay_candidate.csv</t>
        </is>
      </c>
      <c r="AF272" s="29" t="inlineStr">
        <is>
          <t>208개 반도체 reference universe. Valuation Agent가 자체 intake 폴더로 복제해 Peer/ML/대시보드 비교에 사용.</t>
        </is>
      </c>
    </row>
    <row r="273" ht="24" customHeight="1">
      <c r="A273" s="24" t="inlineStr">
        <is>
          <t>190</t>
        </is>
      </c>
      <c r="B273" s="24" t="inlineStr">
        <is>
          <t>해당 없음</t>
        </is>
      </c>
      <c r="C273" s="24" t="inlineStr">
        <is>
          <t>피엠티</t>
        </is>
      </c>
      <c r="D273" s="24" t="inlineStr">
        <is>
          <t>147760</t>
        </is>
      </c>
      <c r="E273" s="24" t="inlineStr">
        <is>
          <t>KOSDAQ</t>
        </is>
      </c>
      <c r="F273" s="24" t="inlineStr">
        <is>
          <t>후공정/패키징/테스트</t>
        </is>
      </c>
      <c r="G273" s="24" t="inlineStr">
        <is>
          <t>후공정/패키징/테스트</t>
        </is>
      </c>
      <c r="H273" s="24" t="inlineStr">
        <is>
          <t>False</t>
        </is>
      </c>
      <c r="I273" s="24" t="inlineStr">
        <is>
          <t>True</t>
        </is>
      </c>
      <c r="J273" s="24" t="inlineStr">
        <is>
          <t>OK</t>
        </is>
      </c>
      <c r="K273" s="24" t="inlineStr">
        <is>
          <t>데이터 사용 가능</t>
        </is>
      </c>
      <c r="L273" s="24" t="inlineStr">
        <is>
          <t>LOW</t>
        </is>
      </c>
      <c r="M273" s="24" t="inlineStr">
        <is>
          <t>LOW</t>
        </is>
      </c>
      <c r="N273" s="24" t="inlineStr">
        <is>
          <t>0.2471111111111111</t>
        </is>
      </c>
      <c r="O273" s="24" t="inlineStr">
        <is>
          <t>EXPENSIVE</t>
        </is>
      </c>
      <c r="P273" s="24" t="inlineStr">
        <is>
          <t>EXPENSIVE</t>
        </is>
      </c>
      <c r="Q273" s="24" t="inlineStr">
        <is>
          <t>EXPENSIVE</t>
        </is>
      </c>
      <c r="R273" s="24" t="inlineStr">
        <is>
          <t>0.952821790032095</t>
        </is>
      </c>
      <c r="S273" s="24" t="inlineStr">
        <is>
          <t>HIGH</t>
        </is>
      </c>
      <c r="T273" s="24" t="inlineStr">
        <is>
          <t>HIGH</t>
        </is>
      </c>
      <c r="U273" s="24" t="inlineStr">
        <is>
          <t>0.7857142857142857</t>
        </is>
      </c>
      <c r="V273" s="24" t="inlineStr">
        <is>
          <t>HIGH_RISK</t>
        </is>
      </c>
      <c r="W273" s="24" t="inlineStr">
        <is>
          <t>고위험</t>
        </is>
      </c>
      <c r="X273" s="24" t="inlineStr">
        <is>
          <t>HIGH_RISK</t>
        </is>
      </c>
      <c r="Y273" s="24" t="inlineStr">
        <is>
          <t>0.9374258948385606</t>
        </is>
      </c>
      <c r="Z273" s="24" t="inlineStr">
        <is>
          <t>HIGH</t>
        </is>
      </c>
      <c r="AA273" s="24" t="inlineStr">
        <is>
          <t>HIGH</t>
        </is>
      </c>
      <c r="AB273" s="24" t="inlineStr">
        <is>
          <t>0.45054632167168013</t>
        </is>
      </c>
      <c r="AC273" s="24" t="inlineStr">
        <is>
          <t>True</t>
        </is>
      </c>
      <c r="AD273" s="24" t="inlineStr">
        <is>
          <t>True</t>
        </is>
      </c>
      <c r="AE273" s="24" t="inlineStr">
        <is>
          <t>valuation_credit_ml_overlay_candidate.csv</t>
        </is>
      </c>
      <c r="AF273" s="24" t="inlineStr">
        <is>
          <t>208개 반도체 reference universe. Valuation Agent가 자체 intake 폴더로 복제해 Peer/ML/대시보드 비교에 사용.</t>
        </is>
      </c>
    </row>
    <row r="274" ht="24" customHeight="1">
      <c r="A274" s="29" t="inlineStr">
        <is>
          <t>186</t>
        </is>
      </c>
      <c r="B274" s="29" t="inlineStr">
        <is>
          <t>해당 없음</t>
        </is>
      </c>
      <c r="C274" s="29" t="inlineStr">
        <is>
          <t>테크윙</t>
        </is>
      </c>
      <c r="D274" s="29" t="inlineStr">
        <is>
          <t>089030</t>
        </is>
      </c>
      <c r="E274" s="29" t="inlineStr">
        <is>
          <t>KOSDAQ</t>
        </is>
      </c>
      <c r="F274" s="29" t="inlineStr">
        <is>
          <t>후공정/패키징/테스트</t>
        </is>
      </c>
      <c r="G274" s="29" t="inlineStr">
        <is>
          <t>후공정/패키징/테스트</t>
        </is>
      </c>
      <c r="H274" s="29" t="inlineStr">
        <is>
          <t>False</t>
        </is>
      </c>
      <c r="I274" s="29" t="inlineStr">
        <is>
          <t>True</t>
        </is>
      </c>
      <c r="J274" s="29" t="inlineStr">
        <is>
          <t>OK</t>
        </is>
      </c>
      <c r="K274" s="29" t="inlineStr">
        <is>
          <t>데이터 사용 가능</t>
        </is>
      </c>
      <c r="L274" s="29" t="inlineStr">
        <is>
          <t>LOW</t>
        </is>
      </c>
      <c r="M274" s="29" t="inlineStr">
        <is>
          <t>LOW</t>
        </is>
      </c>
      <c r="N274" s="29" t="inlineStr">
        <is>
          <t>0.2205925925925926</t>
        </is>
      </c>
      <c r="O274" s="29" t="inlineStr">
        <is>
          <t>EXPENSIVE</t>
        </is>
      </c>
      <c r="P274" s="29" t="inlineStr">
        <is>
          <t>EXPENSIVE</t>
        </is>
      </c>
      <c r="Q274" s="29" t="inlineStr">
        <is>
          <t>EXPENSIVE</t>
        </is>
      </c>
      <c r="R274" s="29" t="inlineStr">
        <is>
          <t>0.7946423848576873</t>
        </is>
      </c>
      <c r="S274" s="29" t="inlineStr">
        <is>
          <t>HIGH</t>
        </is>
      </c>
      <c r="T274" s="29" t="inlineStr">
        <is>
          <t>HIGH</t>
        </is>
      </c>
      <c r="U274" s="29" t="inlineStr">
        <is>
          <t>0.5714285714285714</t>
        </is>
      </c>
      <c r="V274" s="29" t="inlineStr">
        <is>
          <t>HIGH_RISK</t>
        </is>
      </c>
      <c r="W274" s="29" t="inlineStr">
        <is>
          <t>고위험</t>
        </is>
      </c>
      <c r="X274" s="29" t="inlineStr">
        <is>
          <t>MEDIUM_RISK</t>
        </is>
      </c>
      <c r="Y274" s="29" t="inlineStr">
        <is>
          <t>0.4396420822644243</t>
        </is>
      </c>
      <c r="Z274" s="29" t="inlineStr">
        <is>
          <t>LOW</t>
        </is>
      </c>
      <c r="AA274" s="29" t="inlineStr">
        <is>
          <t>LOW</t>
        </is>
      </c>
      <c r="AB274" s="29" t="inlineStr">
        <is>
          <t>0.13035438491081522</t>
        </is>
      </c>
      <c r="AC274" s="29" t="inlineStr">
        <is>
          <t>False</t>
        </is>
      </c>
      <c r="AD274" s="29" t="inlineStr">
        <is>
          <t>True</t>
        </is>
      </c>
      <c r="AE274" s="29" t="inlineStr">
        <is>
          <t>valuation_credit_ml_overlay_candidate.csv</t>
        </is>
      </c>
      <c r="AF274" s="29" t="inlineStr">
        <is>
          <t>208개 반도체 reference universe. Valuation Agent가 자체 intake 폴더로 복제해 Peer/ML/대시보드 비교에 사용.</t>
        </is>
      </c>
    </row>
  </sheetData>
  <autoFilter ref="A66:AF274"/>
  <mergeCells count="5">
    <mergeCell ref="A2:L2"/>
    <mergeCell ref="A1:L1"/>
    <mergeCell ref="A4:F4"/>
    <mergeCell ref="A21:F21"/>
    <mergeCell ref="A65:F65"/>
  </mergeCells>
  <pageMargins left="0.75" right="0.75" top="1" bottom="1" header="0.5" footer="0.5"/>
  <pageSetup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36" customWidth="1" min="2" max="2"/>
    <col width="17" customWidth="1" min="3" max="3"/>
    <col width="36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티씨케이 가치평가 브릿지</t>
        </is>
      </c>
    </row>
    <row r="2" ht="28" customHeight="1">
      <c r="A2" s="17" t="inlineStr">
        <is>
          <t>DCF · Peer P/S · 208개 Universe · 품질 ML · 유동성/리스크를 하나의 보조 점수로 연결</t>
        </is>
      </c>
    </row>
    <row r="3" ht="24" customHeight="1"/>
    <row r="4" ht="24" customHeight="1">
      <c r="A4" s="18" t="inlineStr">
        <is>
          <t>종합 점수</t>
        </is>
      </c>
      <c r="B4" s="19" t="n"/>
      <c r="C4" s="18" t="inlineStr">
        <is>
          <t>DCF 괴리율</t>
        </is>
      </c>
      <c r="D4" s="19" t="n"/>
      <c r="E4" s="18" t="inlineStr">
        <is>
          <t>P/S</t>
        </is>
      </c>
      <c r="F4" s="19" t="n"/>
      <c r="G4" s="18" t="inlineStr">
        <is>
          <t>Peer P/S 중앙값</t>
        </is>
      </c>
      <c r="H4" s="19" t="n"/>
      <c r="I4" s="18" t="inlineStr">
        <is>
          <t>208개 Universe</t>
        </is>
      </c>
      <c r="J4" s="19" t="n"/>
    </row>
    <row r="5" ht="24" customHeight="1">
      <c r="A5" s="20" t="inlineStr">
        <is>
          <t>47.3/100</t>
        </is>
      </c>
      <c r="B5" s="19" t="n"/>
      <c r="C5" s="20" t="inlineStr">
        <is>
          <t>-87.4%</t>
        </is>
      </c>
      <c r="D5" s="19" t="n"/>
      <c r="E5" s="20" t="inlineStr">
        <is>
          <t>1.24배</t>
        </is>
      </c>
      <c r="F5" s="19" t="n"/>
      <c r="G5" s="20" t="inlineStr">
        <is>
          <t>3.43배</t>
        </is>
      </c>
      <c r="H5" s="19" t="n"/>
      <c r="I5" s="20" t="inlineStr">
        <is>
          <t>208개</t>
        </is>
      </c>
      <c r="J5" s="19" t="n"/>
    </row>
    <row r="6" ht="24" customHeight="1">
      <c r="A6" s="21" t="inlineStr">
        <is>
          <t>중립</t>
        </is>
      </c>
      <c r="B6" s="19" t="n"/>
      <c r="C6" s="21" t="inlineStr">
        <is>
          <t>내재주가/현재가-1</t>
        </is>
      </c>
      <c r="D6" s="19" t="n"/>
      <c r="E6" s="21" t="inlineStr">
        <is>
          <t>피어 대비 저PSR 구간: 상대 저평가 가능성</t>
        </is>
      </c>
      <c r="F6" s="19" t="n"/>
      <c r="G6" s="21" t="inlineStr">
        <is>
          <t>live peer 기준</t>
        </is>
      </c>
      <c r="H6" s="19" t="n"/>
      <c r="I6" s="21" t="inlineStr">
        <is>
          <t>소재</t>
        </is>
      </c>
      <c r="J6" s="19" t="n"/>
    </row>
    <row r="7" ht="24" customHeight="1"/>
    <row r="8" ht="24" customHeight="1"/>
    <row r="9" ht="24" customHeight="1">
      <c r="A9" s="22" t="inlineStr">
        <is>
          <t>핵심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역할</t>
        </is>
      </c>
      <c r="B11" s="24" t="inlineStr">
        <is>
          <t>Chair 최종 가중합을 대체하지 않는 보조 밸류에이션 판단 근거</t>
        </is>
      </c>
    </row>
    <row r="12" ht="24" customHeight="1">
      <c r="A12" s="29" t="inlineStr">
        <is>
          <t>해석</t>
        </is>
      </c>
      <c r="B12" s="29" t="inlineStr">
        <is>
          <t>현 가격과 내재가치·상대가치가 크게 벌어지지 않은 구간입니다.</t>
        </is>
      </c>
    </row>
    <row r="13" ht="24" customHeight="1">
      <c r="A13" s="24" t="inlineStr">
        <is>
          <t>방법</t>
        </is>
      </c>
      <c r="B13" s="24" t="inlineStr">
        <is>
          <t>DCF 25% + Peer P/S 15% + 품질 ML 15% + 208개 Universe 10% + 가치범위표/역산 DCF/오너 이익 20% + 유동성/리스크 10% + 검증 5%</t>
        </is>
      </c>
    </row>
    <row r="14" ht="24" customHeight="1">
      <c r="A14" s="29" t="inlineStr">
        <is>
          <t>검증상태</t>
        </is>
      </c>
      <c r="B14" s="29" t="inlineStr">
        <is>
          <t>PASS</t>
        </is>
      </c>
    </row>
    <row r="15" ht="24" customHeight="1"/>
    <row r="16" ht="24" customHeight="1"/>
    <row r="17" ht="24" customHeight="1">
      <c r="A17" s="22" t="inlineStr">
        <is>
          <t>가중 점수 구성</t>
        </is>
      </c>
    </row>
    <row r="18" ht="24" customHeight="1">
      <c r="A18" s="25" t="inlineStr">
        <is>
          <t>요인 코드</t>
        </is>
      </c>
      <c r="B18" s="25" t="inlineStr">
        <is>
          <t>요인</t>
        </is>
      </c>
      <c r="C18" s="25" t="inlineStr">
        <is>
          <t>가중치</t>
        </is>
      </c>
      <c r="D18" s="25" t="inlineStr">
        <is>
          <t>원천값</t>
        </is>
      </c>
      <c r="E18" s="25" t="inlineStr">
        <is>
          <t>점수</t>
        </is>
      </c>
      <c r="F18" s="25" t="inlineStr">
        <is>
          <t>해석</t>
        </is>
      </c>
    </row>
    <row r="19" ht="24" customHeight="1">
      <c r="A19" s="24" t="inlineStr">
        <is>
          <t>DCF_UPSIDE</t>
        </is>
      </c>
      <c r="B19" s="24" t="inlineStr">
        <is>
          <t>DCF 현재가 대비 괴리율</t>
        </is>
      </c>
      <c r="C19" s="30" t="n">
        <v>0.25</v>
      </c>
      <c r="D19" s="30" t="n">
        <v>-0.8739751801354179</v>
      </c>
      <c r="E19" s="30" t="n">
        <v>0</v>
      </c>
      <c r="F19" s="24" t="inlineStr">
        <is>
          <t>내재주가가 현재가보다 높을수록 우호</t>
        </is>
      </c>
    </row>
    <row r="20" ht="24" customHeight="1">
      <c r="A20" s="29" t="inlineStr">
        <is>
          <t>PEER_PSR</t>
        </is>
      </c>
      <c r="B20" s="29" t="inlineStr">
        <is>
          <t>Peer P/S 상대 매력도</t>
        </is>
      </c>
      <c r="C20" s="31" t="n">
        <v>0.15</v>
      </c>
      <c r="D20" s="31" t="n">
        <v>1.238222113459768</v>
      </c>
      <c r="E20" s="31" t="n">
        <v>100</v>
      </c>
      <c r="F20" s="29" t="inlineStr">
        <is>
          <t>P/S가 동종 피어 대비 낮을수록 우호</t>
        </is>
      </c>
    </row>
    <row r="21" ht="24" customHeight="1">
      <c r="A21" s="24" t="inlineStr">
        <is>
          <t>QUALITY_ML</t>
        </is>
      </c>
      <c r="B21" s="24" t="inlineStr">
        <is>
          <t>수익성·현금흐름·안정성 ML 보조점수</t>
        </is>
      </c>
      <c r="C21" s="30" t="n">
        <v>0.15</v>
      </c>
      <c r="D21" s="30" t="n">
        <v>67.86</v>
      </c>
      <c r="E21" s="30" t="n">
        <v>67.86</v>
      </c>
      <c r="F21" s="24" t="inlineStr">
        <is>
          <t>Valuation Agent 자체 peer percentile composite</t>
        </is>
      </c>
    </row>
    <row r="22" ht="24" customHeight="1">
      <c r="A22" s="29" t="inlineStr">
        <is>
          <t>REFERENCE_UNIVERSE</t>
        </is>
      </c>
      <c r="B22" s="29" t="inlineStr">
        <is>
          <t>208개 반도체 Reference Universe 위치</t>
        </is>
      </c>
      <c r="C22" s="31" t="n">
        <v>0.1</v>
      </c>
      <c r="D22" s="31" t="n">
        <v>49.56410256410255</v>
      </c>
      <c r="E22" s="31" t="n">
        <v>49.56410256410255</v>
      </c>
      <c r="F22" s="29" t="inlineStr">
        <is>
          <t>업로드/기존 universe 후보 파일의 valuation proxy 기반 상대 위치</t>
        </is>
      </c>
    </row>
    <row r="23" ht="24" customHeight="1">
      <c r="A23" s="24" t="inlineStr">
        <is>
          <t>ADVANCED_VALUATION</t>
        </is>
      </c>
      <c r="B23" s="24" t="inlineStr">
        <is>
          <t>가치범위표·역산 DCF·오너 이익 교차검증</t>
        </is>
      </c>
      <c r="C23" s="30" t="n">
        <v>0.2</v>
      </c>
      <c r="D23" s="30" t="n">
        <v>38</v>
      </c>
      <c r="E23" s="30" t="n">
        <v>38</v>
      </c>
      <c r="F23" s="24" t="inlineStr">
        <is>
          <t>DCF 하나에 의존하지 않고 복수 가치평가 방법의 중앙값·안전마진·역산가정을 함께 평가</t>
        </is>
      </c>
    </row>
    <row r="24" ht="24" customHeight="1">
      <c r="A24" s="29" t="inlineStr">
        <is>
          <t>LIQUIDITY_RISK</t>
        </is>
      </c>
      <c r="B24" s="29" t="inlineStr">
        <is>
          <t>유동성·변동성 리스크</t>
        </is>
      </c>
      <c r="C24" s="31" t="n">
        <v>0.1</v>
      </c>
      <c r="D24" s="31" t="n">
        <v>22623238225</v>
      </c>
      <c r="E24" s="31" t="n">
        <v>46</v>
      </c>
      <c r="F24" s="29" t="inlineStr">
        <is>
          <t>거래대금은 높을수록, 변동성과 MDD는 낮을수록 우호</t>
        </is>
      </c>
    </row>
    <row r="25" ht="24" customHeight="1">
      <c r="A25" s="24" t="inlineStr">
        <is>
          <t>DATA_VALIDATION</t>
        </is>
      </c>
      <c r="B25" s="24" t="inlineStr">
        <is>
          <t>데이터 검증 상태</t>
        </is>
      </c>
      <c r="C25" s="30" t="n">
        <v>0.05</v>
      </c>
      <c r="D25" s="24" t="inlineStr">
        <is>
          <t>PASS</t>
        </is>
      </c>
      <c r="E25" s="30" t="n">
        <v>100</v>
      </c>
      <c r="F25" s="24" t="inlineStr">
        <is>
          <t>PASS이면 workbook/dashboard용 주요 데이터 준비 완료</t>
        </is>
      </c>
    </row>
    <row r="26" ht="24" customHeight="1"/>
    <row r="27" ht="24" customHeight="1"/>
    <row r="28" ht="24" customHeight="1">
      <c r="A28" s="22" t="inlineStr">
        <is>
          <t>데이터 연결 맵</t>
        </is>
      </c>
    </row>
    <row r="29" ht="24" customHeight="1">
      <c r="A29" s="25" t="inlineStr">
        <is>
          <t>데이터블록</t>
        </is>
      </c>
      <c r="B29" s="25" t="inlineStr">
        <is>
          <t>사용값</t>
        </is>
      </c>
      <c r="C29" s="25" t="inlineStr">
        <is>
          <t>출처</t>
        </is>
      </c>
    </row>
    <row r="30" ht="24" customHeight="1">
      <c r="A30" s="24" t="inlineStr">
        <is>
          <t>DCF</t>
        </is>
      </c>
      <c r="B30" s="24" t="inlineStr">
        <is>
          <t>34,594원</t>
        </is>
      </c>
      <c r="C30" s="24" t="inlineStr">
        <is>
          <t>valuation_metrics.json / 09_DCF_가치평가</t>
        </is>
      </c>
    </row>
    <row r="31" ht="24" customHeight="1">
      <c r="A31" s="29" t="inlineStr">
        <is>
          <t>Peer P/S</t>
        </is>
      </c>
      <c r="B31" s="29" t="inlineStr">
        <is>
          <t>1.24배</t>
        </is>
      </c>
      <c r="C31" s="29" t="inlineStr">
        <is>
          <t>valuation_peer_input.csv / 10_피어비교</t>
        </is>
      </c>
    </row>
    <row r="32" ht="24" customHeight="1">
      <c r="A32" s="24" t="inlineStr">
        <is>
          <t>208개 Universe</t>
        </is>
      </c>
      <c r="B32" s="24" t="inlineStr">
        <is>
          <t>208개</t>
        </is>
      </c>
      <c r="C32" s="24" t="inlineStr">
        <is>
          <t>valuation_reference_universe_208.csv</t>
        </is>
      </c>
    </row>
    <row r="33" ht="24" customHeight="1">
      <c r="A33" s="29" t="inlineStr">
        <is>
          <t>주가·유동성</t>
        </is>
      </c>
      <c r="B33" s="29" t="inlineStr">
        <is>
          <t>226.2억원</t>
        </is>
      </c>
      <c r="C33" s="29" t="inlineStr">
        <is>
          <t>valuation_price_history.csv / valuation_price_summary.json</t>
        </is>
      </c>
    </row>
    <row r="34" ht="24" customHeight="1">
      <c r="A34" s="24" t="inlineStr">
        <is>
          <t>ML 보조판단</t>
        </is>
      </c>
      <c r="B34" s="24" t="inlineStr">
        <is>
          <t>67.9/100</t>
        </is>
      </c>
      <c r="C34" s="24" t="inlineStr">
        <is>
          <t>valuation_agent 자체 peer percentile composite</t>
        </is>
      </c>
    </row>
  </sheetData>
  <autoFilter ref="A29:C34"/>
  <mergeCells count="20">
    <mergeCell ref="C6:D6"/>
    <mergeCell ref="I6:J6"/>
    <mergeCell ref="C5:D5"/>
    <mergeCell ref="E5:F5"/>
    <mergeCell ref="A1:K1"/>
    <mergeCell ref="A6:B6"/>
    <mergeCell ref="C4:D4"/>
    <mergeCell ref="E4:F4"/>
    <mergeCell ref="A17:F17"/>
    <mergeCell ref="G6:H6"/>
    <mergeCell ref="E6:F6"/>
    <mergeCell ref="A28:F28"/>
    <mergeCell ref="A9:F9"/>
    <mergeCell ref="A5:B5"/>
    <mergeCell ref="A2:K2"/>
    <mergeCell ref="G5:H5"/>
    <mergeCell ref="I5:J5"/>
    <mergeCell ref="A4:B4"/>
    <mergeCell ref="G4:H4"/>
    <mergeCell ref="I4:J4"/>
  </mergeCells>
  <pageMargins left="0.75" right="0.75" top="1" bottom="1" header="0.5" footer="0.5"/>
  <pageSetup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38" customWidth="1" min="6" max="6"/>
    <col width="17" customWidth="1" min="7" max="7"/>
    <col width="17" customWidth="1" min="8" max="8"/>
    <col width="17" customWidth="1" min="9" max="9"/>
    <col width="17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티씨케이 시나리오 요약</t>
        </is>
      </c>
    </row>
    <row r="2" ht="28" customHeight="1">
      <c r="A2" s="17" t="inlineStr">
        <is>
          <t>Base/Bull/Bear 가정을 한눈에 볼 수 있도록 대시보드 다운로드용으로 정리</t>
        </is>
      </c>
    </row>
    <row r="3" ht="24" customHeight="1"/>
    <row r="4" ht="24" customHeight="1">
      <c r="A4" s="22" t="inlineStr">
        <is>
          <t>3단계 시나리오 가정</t>
        </is>
      </c>
    </row>
    <row r="5" ht="24" customHeight="1">
      <c r="A5" s="25" t="inlineStr">
        <is>
          <t>시나리오</t>
        </is>
      </c>
      <c r="B5" s="25" t="inlineStr">
        <is>
          <t>매출성장률</t>
        </is>
      </c>
      <c r="C5" s="25" t="inlineStr">
        <is>
          <t>FCF마진</t>
        </is>
      </c>
      <c r="D5" s="25" t="inlineStr">
        <is>
          <t>WACC</t>
        </is>
      </c>
      <c r="E5" s="25" t="inlineStr">
        <is>
          <t>영구성장률</t>
        </is>
      </c>
      <c r="F5" s="25" t="inlineStr">
        <is>
          <t>해석</t>
        </is>
      </c>
    </row>
    <row r="6" ht="24" customHeight="1">
      <c r="A6" s="24" t="inlineStr">
        <is>
          <t>Bear</t>
        </is>
      </c>
      <c r="B6" s="30" t="n">
        <v>-0.013784396715968</v>
      </c>
      <c r="C6" s="30" t="n">
        <v>0.1593124151906839</v>
      </c>
      <c r="D6" s="30" t="n">
        <v>0.1514314233754703</v>
      </c>
      <c r="E6" s="30" t="n">
        <v>0.009999999999999998</v>
      </c>
      <c r="F6" s="24" t="inlineStr">
        <is>
          <t>보수적 수익성·할인율 가정</t>
        </is>
      </c>
    </row>
    <row r="7" ht="24" customHeight="1">
      <c r="A7" s="29" t="inlineStr">
        <is>
          <t>Base</t>
        </is>
      </c>
      <c r="B7" s="31" t="n">
        <v>0.006215603284031997</v>
      </c>
      <c r="C7" s="31" t="n">
        <v>0.1793124151906839</v>
      </c>
      <c r="D7" s="31" t="n">
        <v>0.1414314233754703</v>
      </c>
      <c r="E7" s="31" t="n">
        <v>0.015</v>
      </c>
      <c r="F7" s="29" t="inlineStr">
        <is>
          <t>현재 모델 기본 가정</t>
        </is>
      </c>
    </row>
    <row r="8" ht="24" customHeight="1">
      <c r="A8" s="24" t="inlineStr">
        <is>
          <t>Bull</t>
        </is>
      </c>
      <c r="B8" s="30" t="n">
        <v>0.026215603284032</v>
      </c>
      <c r="C8" s="30" t="n">
        <v>0.1993124151906839</v>
      </c>
      <c r="D8" s="30" t="n">
        <v>0.1314314233754703</v>
      </c>
      <c r="E8" s="30" t="n">
        <v>0.02</v>
      </c>
      <c r="F8" s="24" t="inlineStr">
        <is>
          <t>성장·마진 개선 가정</t>
        </is>
      </c>
    </row>
    <row r="9" ht="24" customHeight="1"/>
    <row r="10" ht="24" customHeight="1"/>
    <row r="11" ht="24" customHeight="1">
      <c r="A11" s="22" t="inlineStr">
        <is>
          <t>대시보드 연결 가이드</t>
        </is>
      </c>
    </row>
    <row r="12" ht="24" customHeight="1">
      <c r="A12" s="25" t="inlineStr">
        <is>
          <t>항목</t>
        </is>
      </c>
      <c r="B12" s="25" t="inlineStr">
        <is>
          <t>내용</t>
        </is>
      </c>
    </row>
    <row r="13" ht="24" customHeight="1">
      <c r="A13" s="24" t="inlineStr">
        <is>
          <t>활용</t>
        </is>
      </c>
      <c r="B13" s="24" t="inlineStr">
        <is>
          <t>대시보드에서 WACC/성장률/마진 슬라이더를 만들 때 기본 입력값으로 사용</t>
        </is>
      </c>
    </row>
    <row r="14" ht="24" customHeight="1">
      <c r="A14" s="29" t="inlineStr">
        <is>
          <t>주의</t>
        </is>
      </c>
      <c r="B14" s="29" t="inlineStr">
        <is>
          <t>정식 투자 판단은 Chair의 6개 에이전트 종합과 별도 검토 필요</t>
        </is>
      </c>
    </row>
  </sheetData>
  <autoFilter ref="A12:B14"/>
  <mergeCells count="4">
    <mergeCell ref="A1:J1"/>
    <mergeCell ref="A11:F11"/>
    <mergeCell ref="A4:F4"/>
    <mergeCell ref="A2:J2"/>
  </mergeCells>
  <pageMargins left="0.75" right="0.75" top="1" bottom="1" header="0.5" footer="0.5"/>
  <pageSetup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18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데이터 품질·커버리지</t>
        </is>
      </c>
    </row>
    <row r="2" ht="28" customHeight="1">
      <c r="A2" s="17" t="inlineStr">
        <is>
          <t>공란/해당 없음/계산 제외 항목을 숨기지 않고 데이터 커버리지로 관리</t>
        </is>
      </c>
    </row>
    <row r="3" ht="24" customHeight="1"/>
    <row r="4" ht="24" customHeight="1">
      <c r="A4" s="22" t="inlineStr">
        <is>
          <t>커버리지 체크</t>
        </is>
      </c>
    </row>
    <row r="5" ht="24" customHeight="1">
      <c r="A5" s="25" t="inlineStr">
        <is>
          <t>데이터블록</t>
        </is>
      </c>
      <c r="B5" s="25" t="inlineStr">
        <is>
          <t>행수</t>
        </is>
      </c>
      <c r="C5" s="25" t="inlineStr">
        <is>
          <t>상태</t>
        </is>
      </c>
      <c r="D5" s="25" t="inlineStr">
        <is>
          <t>대시보드 영향</t>
        </is>
      </c>
    </row>
    <row r="6" ht="24" customHeight="1">
      <c r="A6" s="24" t="inlineStr">
        <is>
          <t>DART 정규화 재무제표</t>
        </is>
      </c>
      <c r="B6" s="30" t="n">
        <v>5</v>
      </c>
      <c r="C6" s="24" t="inlineStr">
        <is>
          <t>OK</t>
        </is>
      </c>
      <c r="D6" s="24" t="inlineStr">
        <is>
          <t>DCF/WACC/핵심비율</t>
        </is>
      </c>
    </row>
    <row r="7" ht="24" customHeight="1">
      <c r="A7" s="29" t="inlineStr">
        <is>
          <t>주가 이력</t>
        </is>
      </c>
      <c r="B7" s="31" t="n">
        <v>1220</v>
      </c>
      <c r="C7" s="29" t="inlineStr">
        <is>
          <t>OK</t>
        </is>
      </c>
      <c r="D7" s="29" t="inlineStr">
        <is>
          <t>현재가/변동성/MDD/차트</t>
        </is>
      </c>
    </row>
    <row r="8" ht="24" customHeight="1">
      <c r="A8" s="24" t="inlineStr">
        <is>
          <t>Live peer</t>
        </is>
      </c>
      <c r="B8" s="30" t="n">
        <v>5</v>
      </c>
      <c r="C8" s="24" t="inlineStr">
        <is>
          <t>OK</t>
        </is>
      </c>
      <c r="D8" s="24" t="inlineStr">
        <is>
          <t>P/S, PER, PBR</t>
        </is>
      </c>
    </row>
    <row r="9" ht="24" customHeight="1">
      <c r="A9" s="29" t="inlineStr">
        <is>
          <t>208개 Reference Universe</t>
        </is>
      </c>
      <c r="B9" s="31" t="n">
        <v>208</v>
      </c>
      <c r="C9" s="29" t="inlineStr">
        <is>
          <t>OK</t>
        </is>
      </c>
      <c r="D9" s="29" t="inlineStr">
        <is>
          <t>상대 위치/ML 보조</t>
        </is>
      </c>
    </row>
    <row r="10" ht="24" customHeight="1">
      <c r="A10" s="24" t="inlineStr">
        <is>
          <t>가치평가 스코어카드</t>
        </is>
      </c>
      <c r="B10" s="30" t="n">
        <v>7</v>
      </c>
      <c r="C10" s="24" t="inlineStr">
        <is>
          <t>OK</t>
        </is>
      </c>
      <c r="D10" s="24" t="inlineStr">
        <is>
          <t>투자자 요약/Chair 보조</t>
        </is>
      </c>
    </row>
    <row r="11" ht="24" customHeight="1">
      <c r="A11" s="29" t="inlineStr">
        <is>
          <t>Validation</t>
        </is>
      </c>
      <c r="B11" s="31" t="n">
        <v>1</v>
      </c>
      <c r="C11" s="29" t="inlineStr">
        <is>
          <t>PASS</t>
        </is>
      </c>
      <c r="D11" s="29" t="inlineStr">
        <is>
          <t>경고/품질 배지</t>
        </is>
      </c>
    </row>
    <row r="12" ht="24" customHeight="1"/>
    <row r="13" ht="24" customHeight="1"/>
    <row r="14" ht="24" customHeight="1">
      <c r="A14" s="22" t="inlineStr">
        <is>
          <t>Validation 이슈</t>
        </is>
      </c>
    </row>
    <row r="15" ht="24" customHeight="1">
      <c r="A15" s="25" t="inlineStr">
        <is>
          <t>중요도</t>
        </is>
      </c>
      <c r="B15" s="25" t="inlineStr">
        <is>
          <t>코드</t>
        </is>
      </c>
      <c r="C15" s="25" t="inlineStr">
        <is>
          <t>메시지</t>
        </is>
      </c>
    </row>
    <row r="16" ht="24" customHeight="1">
      <c r="A16" s="24" t="inlineStr">
        <is>
          <t>INFO</t>
        </is>
      </c>
      <c r="B16" s="24" t="inlineStr">
        <is>
          <t>NO_MAJOR_WARNINGS</t>
        </is>
      </c>
      <c r="C16" s="24" t="inlineStr">
        <is>
          <t>주요 validation warning 없음</t>
        </is>
      </c>
    </row>
  </sheetData>
  <autoFilter ref="A15:C16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N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4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티씨케이 종합 가치평가 요약</t>
        </is>
      </c>
    </row>
    <row r="2" ht="28" customHeight="1">
      <c r="A2" s="17" t="inlineStr">
        <is>
          <t>DCF·상대가치·역산 DCF·오너 이익·EPV·Graham Number로 교차검증</t>
        </is>
      </c>
    </row>
    <row r="3" ht="24" customHeight="1"/>
    <row r="4" ht="24" customHeight="1">
      <c r="A4" s="18" t="inlineStr">
        <is>
          <t>종합 가치평가 점수</t>
        </is>
      </c>
      <c r="B4" s="19" t="n"/>
      <c r="C4" s="18" t="inlineStr">
        <is>
          <t>가치범위 중앙값</t>
        </is>
      </c>
      <c r="D4" s="19" t="n"/>
      <c r="E4" s="18" t="inlineStr">
        <is>
          <t>안전마진</t>
        </is>
      </c>
      <c r="F4" s="19" t="n"/>
      <c r="G4" s="18" t="inlineStr">
        <is>
          <t>역산 DCF</t>
        </is>
      </c>
      <c r="H4" s="19" t="n"/>
      <c r="I4" s="18" t="inlineStr">
        <is>
          <t>오너 이익</t>
        </is>
      </c>
      <c r="J4" s="19" t="n"/>
      <c r="K4" s="18" t="inlineStr">
        <is>
          <t>검증상태</t>
        </is>
      </c>
      <c r="L4" s="19" t="n"/>
    </row>
    <row r="5" ht="24" customHeight="1">
      <c r="A5" s="20" t="inlineStr">
        <is>
          <t>38.0/100</t>
        </is>
      </c>
      <c r="B5" s="19" t="n"/>
      <c r="C5" s="20" t="inlineStr">
        <is>
          <t>101,749원</t>
        </is>
      </c>
      <c r="D5" s="19" t="n"/>
      <c r="E5" s="20" t="inlineStr">
        <is>
          <t>-62.9%</t>
        </is>
      </c>
      <c r="F5" s="19" t="n"/>
      <c r="G5" s="20" t="inlineStr">
        <is>
          <t>8.0%</t>
        </is>
      </c>
      <c r="H5" s="19" t="n"/>
      <c r="I5" s="20" t="inlineStr">
        <is>
          <t>34,172원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복수 방법 교차검증</t>
        </is>
      </c>
      <c r="B6" s="19" t="n"/>
      <c r="C6" s="21" t="inlineStr">
        <is>
          <t>밸류에이션 부담</t>
        </is>
      </c>
      <c r="D6" s="19" t="n"/>
      <c r="E6" s="21" t="inlineStr">
        <is>
          <t>중앙값/현재가-1</t>
        </is>
      </c>
      <c r="F6" s="19" t="n"/>
      <c r="G6" s="21" t="inlineStr">
        <is>
          <t>시장가격 내재 성장률</t>
        </is>
      </c>
      <c r="H6" s="19" t="n"/>
      <c r="I6" s="21" t="inlineStr">
        <is>
          <t>보수 현금창출 기준</t>
        </is>
      </c>
      <c r="J6" s="19" t="n"/>
      <c r="K6" s="21" t="inlineStr">
        <is>
          <t>PASS 권장</t>
        </is>
      </c>
      <c r="L6" s="19" t="n"/>
    </row>
    <row r="7" ht="24" customHeight="1"/>
    <row r="8" ht="24" customHeight="1"/>
    <row r="9" ht="24" customHeight="1">
      <c r="A9" s="22" t="inlineStr">
        <is>
          <t>투자자용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결론</t>
        </is>
      </c>
      <c r="B11" s="24" t="inlineStr">
        <is>
          <t>현 가격과 내재가치·상대가치가 크게 벌어지지 않은 구간입니다.</t>
        </is>
      </c>
    </row>
    <row r="12" ht="24" customHeight="1">
      <c r="A12" s="29" t="inlineStr">
        <is>
          <t>핵심 산식</t>
        </is>
      </c>
      <c r="B12" s="29" t="inlineStr">
        <is>
          <t>DCF + 피어 멀티플 가치범위표 + 역산 DCF + 오너 이익/EPV + 시장내재 배수 + 데이터 커버리지</t>
        </is>
      </c>
    </row>
    <row r="13" ht="24" customHeight="1">
      <c r="A13" s="24" t="inlineStr">
        <is>
          <t>사용 이유</t>
        </is>
      </c>
      <c r="B13" s="24" t="inlineStr">
        <is>
          <t>DCF는 가정 민감도가 크므로, 시장이 내재한 성장률과 상대가치·현금창출 가치가 같은 방향인지 확인합니다.</t>
        </is>
      </c>
    </row>
    <row r="14" ht="24" customHeight="1">
      <c r="A14" s="29" t="inlineStr">
        <is>
          <t>대시보드 활용</t>
        </is>
      </c>
      <c r="B14" s="29" t="inlineStr">
        <is>
          <t>summary_cards와 advanced_valuation 블록을 사용하면 Streamlit/React에서 가치범위 차트·민감도 카드·다운로드 버튼 구현 가능</t>
        </is>
      </c>
    </row>
    <row r="15" ht="24" customHeight="1"/>
    <row r="16" ht="24" customHeight="1"/>
    <row r="17" ht="24" customHeight="1">
      <c r="A17" s="22" t="inlineStr">
        <is>
          <t>방법별 내재가격 요약</t>
        </is>
      </c>
    </row>
    <row r="18" ht="24" customHeight="1">
      <c r="A18" s="25" t="inlineStr">
        <is>
          <t>방법 코드</t>
        </is>
      </c>
      <c r="B18" s="25" t="inlineStr">
        <is>
          <t>가치평가 방법</t>
        </is>
      </c>
      <c r="C18" s="25" t="inlineStr">
        <is>
          <t>하단 지분가치</t>
        </is>
      </c>
      <c r="D18" s="25" t="inlineStr">
        <is>
          <t>중앙 지분가치</t>
        </is>
      </c>
      <c r="E18" s="25" t="inlineStr">
        <is>
          <t>상단 지분가치</t>
        </is>
      </c>
      <c r="F18" s="25" t="inlineStr">
        <is>
          <t>하단 주당가치</t>
        </is>
      </c>
      <c r="G18" s="25" t="inlineStr">
        <is>
          <t>중앙 주당가치</t>
        </is>
      </c>
      <c r="H18" s="25" t="inlineStr">
        <is>
          <t>상단 주당가치</t>
        </is>
      </c>
      <c r="I18" s="25" t="inlineStr">
        <is>
          <t>현재가</t>
        </is>
      </c>
      <c r="J18" s="25" t="inlineStr">
        <is>
          <t>현재가 대비</t>
        </is>
      </c>
      <c r="K18" s="25" t="inlineStr">
        <is>
          <t>해석</t>
        </is>
      </c>
      <c r="L18" s="25" t="inlineStr">
        <is>
          <t>출처</t>
        </is>
      </c>
      <c r="M18" s="25" t="inlineStr">
        <is>
          <t>신뢰도</t>
        </is>
      </c>
    </row>
    <row r="19" ht="24" customHeight="1">
      <c r="A19" s="24" t="inlineStr">
        <is>
          <t>DCF_BASE</t>
        </is>
      </c>
      <c r="B19" s="24" t="inlineStr">
        <is>
          <t>DCF 기준가치</t>
        </is>
      </c>
      <c r="C19" s="30" t="n">
        <v>328727833072.2231</v>
      </c>
      <c r="D19" s="30" t="n">
        <v>386738627143.7919</v>
      </c>
      <c r="E19" s="30" t="n">
        <v>444749421215.3607</v>
      </c>
      <c r="F19" s="30" t="n">
        <v>29404.74109490363</v>
      </c>
      <c r="G19" s="30" t="n">
        <v>34593.8130528278</v>
      </c>
      <c r="H19" s="30" t="n">
        <v>39782.88501075196</v>
      </c>
      <c r="I19" s="30" t="n">
        <v>274500</v>
      </c>
      <c r="J19" s="35" t="n">
        <v>-0.8739751801354179</v>
      </c>
      <c r="K19" s="24" t="inlineStr">
        <is>
          <t>밸류에이션 부담</t>
        </is>
      </c>
      <c r="L19" s="24" t="inlineStr">
        <is>
          <t>Valuation Agent DCF</t>
        </is>
      </c>
      <c r="M19" s="24" t="inlineStr">
        <is>
          <t>핵심 모델</t>
        </is>
      </c>
    </row>
    <row r="20" ht="24" customHeight="1">
      <c r="A20" s="29" t="inlineStr">
        <is>
          <t>PSR_COMP</t>
        </is>
      </c>
      <c r="B20" s="29" t="inlineStr">
        <is>
          <t>P/S 상대가치</t>
        </is>
      </c>
      <c r="C20" s="31" t="n">
        <v>422550889249.5266</v>
      </c>
      <c r="D20" s="31" t="n">
        <v>1033628464564.813</v>
      </c>
      <c r="E20" s="31" t="n">
        <v>1109320553831.813</v>
      </c>
      <c r="F20" s="31" t="n">
        <v>37797.22386657108</v>
      </c>
      <c r="G20" s="31" t="n">
        <v>92458.18069251679</v>
      </c>
      <c r="H20" s="31" t="n">
        <v>99228.84646495065</v>
      </c>
      <c r="I20" s="31" t="n">
        <v>274500</v>
      </c>
      <c r="J20" s="36" t="n">
        <v>-0.6631760266210682</v>
      </c>
      <c r="K20" s="29" t="inlineStr">
        <is>
          <t>밸류에이션 부담</t>
        </is>
      </c>
      <c r="L20" s="29" t="inlineStr">
        <is>
          <t>시가총액/매출 피어 비교</t>
        </is>
      </c>
      <c r="M20" s="29" t="inlineStr">
        <is>
          <t>피어 중앙값 기반</t>
        </is>
      </c>
    </row>
    <row r="21" ht="24" customHeight="1">
      <c r="A21" s="24" t="inlineStr">
        <is>
          <t>PBR_COMP</t>
        </is>
      </c>
      <c r="B21" s="24" t="inlineStr">
        <is>
          <t>P/B 상대가치</t>
        </is>
      </c>
      <c r="C21" s="30" t="n">
        <v>1337515110234.808</v>
      </c>
      <c r="D21" s="30" t="n">
        <v>1366168006259.66</v>
      </c>
      <c r="E21" s="30" t="n">
        <v>2012347467243.659</v>
      </c>
      <c r="F21" s="30" t="n">
        <v>119640.8748216193</v>
      </c>
      <c r="G21" s="30" t="n">
        <v>122203.8795460925</v>
      </c>
      <c r="H21" s="30" t="n">
        <v>180004.7039347726</v>
      </c>
      <c r="I21" s="30" t="n">
        <v>274500</v>
      </c>
      <c r="J21" s="35" t="n">
        <v>-0.5548128249686974</v>
      </c>
      <c r="K21" s="24" t="inlineStr">
        <is>
          <t>밸류에이션 부담</t>
        </is>
      </c>
      <c r="L21" s="24" t="inlineStr">
        <is>
          <t>시가총액/자본 피어 비교</t>
        </is>
      </c>
      <c r="M21" s="24" t="inlineStr">
        <is>
          <t>피어 중앙값 기반</t>
        </is>
      </c>
    </row>
    <row r="22" ht="24" customHeight="1">
      <c r="A22" s="29" t="inlineStr">
        <is>
          <t>PER_COMP</t>
        </is>
      </c>
      <c r="B22" s="29" t="inlineStr">
        <is>
          <t>PER 상대가치</t>
        </is>
      </c>
      <c r="C22" s="31" t="n">
        <v>1430835545770.282</v>
      </c>
      <c r="D22" s="31" t="n">
        <v>1672632711652.904</v>
      </c>
      <c r="E22" s="31" t="n">
        <v>2238882316941.271</v>
      </c>
      <c r="F22" s="31" t="n">
        <v>127988.3981211794</v>
      </c>
      <c r="G22" s="31" t="n">
        <v>149617.1814031166</v>
      </c>
      <c r="H22" s="31" t="n">
        <v>200268.2713427312</v>
      </c>
      <c r="I22" s="31" t="n">
        <v>274500</v>
      </c>
      <c r="J22" s="36" t="n">
        <v>-0.4549465158356407</v>
      </c>
      <c r="K22" s="29" t="inlineStr">
        <is>
          <t>밸류에이션 부담</t>
        </is>
      </c>
      <c r="L22" s="29" t="inlineStr">
        <is>
          <t>시가총액/순이익 피어 비교</t>
        </is>
      </c>
      <c r="M22" s="29" t="inlineStr">
        <is>
          <t>피어 중앙값 기반</t>
        </is>
      </c>
    </row>
    <row r="23" ht="24" customHeight="1">
      <c r="A23" s="24" t="inlineStr">
        <is>
          <t>PFCF_COMP</t>
        </is>
      </c>
      <c r="B23" s="24" t="inlineStr">
        <is>
          <t>P/FCF 상대가치</t>
        </is>
      </c>
      <c r="C23" s="30" t="n">
        <v>338299996630.6818</v>
      </c>
      <c r="D23" s="30" t="n">
        <v>818857400819.21</v>
      </c>
      <c r="E23" s="30" t="n">
        <v>951680058231.3386</v>
      </c>
      <c r="F23" s="30" t="n">
        <v>30260.97218590683</v>
      </c>
      <c r="G23" s="30" t="n">
        <v>73246.88524151976</v>
      </c>
      <c r="H23" s="30" t="n">
        <v>85127.88666521924</v>
      </c>
      <c r="I23" s="30" t="n">
        <v>274500</v>
      </c>
      <c r="J23" s="35" t="n">
        <v>-0.733162530996285</v>
      </c>
      <c r="K23" s="24" t="inlineStr">
        <is>
          <t>밸류에이션 부담</t>
        </is>
      </c>
      <c r="L23" s="24" t="inlineStr">
        <is>
          <t>시가총액/FCF 피어 비교</t>
        </is>
      </c>
      <c r="M23" s="24" t="inlineStr">
        <is>
          <t>피어 중앙값 기반</t>
        </is>
      </c>
    </row>
    <row r="24" ht="24" customHeight="1">
      <c r="A24" s="29" t="inlineStr">
        <is>
          <t>EV_SALES_COMP</t>
        </is>
      </c>
      <c r="B24" s="29" t="inlineStr">
        <is>
          <t>EV/Sales 상대가치</t>
        </is>
      </c>
      <c r="C24" s="31" t="n">
        <v>593259590495.104</v>
      </c>
      <c r="D24" s="31" t="n">
        <v>1137495475364.44</v>
      </c>
      <c r="E24" s="31" t="n">
        <v>2521421211818.343</v>
      </c>
      <c r="F24" s="31" t="n">
        <v>53067.13610935526</v>
      </c>
      <c r="G24" s="31" t="n">
        <v>101749.0963181297</v>
      </c>
      <c r="H24" s="31" t="n">
        <v>225541.4067978456</v>
      </c>
      <c r="I24" s="31" t="n">
        <v>274500</v>
      </c>
      <c r="J24" s="36" t="n">
        <v>-0.6293293394603654</v>
      </c>
      <c r="K24" s="29" t="inlineStr">
        <is>
          <t>밸류에이션 부담</t>
        </is>
      </c>
      <c r="L24" s="29" t="inlineStr">
        <is>
          <t>EV/매출 피어 비교</t>
        </is>
      </c>
      <c r="M24" s="29" t="inlineStr">
        <is>
          <t>EV 조정 피어 기준</t>
        </is>
      </c>
    </row>
    <row r="25" ht="24" customHeight="1">
      <c r="A25" s="24" t="inlineStr">
        <is>
          <t>EV_EBIT_COMP</t>
        </is>
      </c>
      <c r="B25" s="24" t="inlineStr">
        <is>
          <t>EV/EBIT 상대가치</t>
        </is>
      </c>
      <c r="C25" s="30" t="n">
        <v>1643907537843.19</v>
      </c>
      <c r="D25" s="30" t="n">
        <v>1814892330242.906</v>
      </c>
      <c r="E25" s="30" t="n">
        <v>3830531869224.896</v>
      </c>
      <c r="F25" s="30" t="n">
        <v>147047.7114227782</v>
      </c>
      <c r="G25" s="30" t="n">
        <v>162342.320049894</v>
      </c>
      <c r="H25" s="30" t="n">
        <v>342641.5001664573</v>
      </c>
      <c r="I25" s="30" t="n">
        <v>274500</v>
      </c>
      <c r="J25" s="35" t="n">
        <v>-0.4085889979967432</v>
      </c>
      <c r="K25" s="24" t="inlineStr">
        <is>
          <t>밸류에이션 부담</t>
        </is>
      </c>
      <c r="L25" s="24" t="inlineStr">
        <is>
          <t>EV/영업이익 피어 비교</t>
        </is>
      </c>
      <c r="M25" s="24" t="inlineStr">
        <is>
          <t>EV 조정 피어 기준</t>
        </is>
      </c>
    </row>
    <row r="26" ht="24" customHeight="1"/>
    <row r="27" ht="24" customHeight="1"/>
    <row r="28" ht="24" customHeight="1">
      <c r="A28" s="22" t="inlineStr">
        <is>
          <t>시장내재 배수 자동산출</t>
        </is>
      </c>
    </row>
    <row r="29" ht="24" customHeight="1">
      <c r="A29" s="25" t="inlineStr">
        <is>
          <t>latest_close</t>
        </is>
      </c>
      <c r="B29" s="25" t="inlineStr">
        <is>
          <t>시가총액</t>
        </is>
      </c>
      <c r="C29" s="25" t="inlineStr">
        <is>
          <t>EV proxy</t>
        </is>
      </c>
      <c r="D29" s="25" t="inlineStr">
        <is>
          <t>psr_market</t>
        </is>
      </c>
      <c r="E29" s="25" t="inlineStr">
        <is>
          <t>pbr_market</t>
        </is>
      </c>
      <c r="F29" s="25" t="inlineStr">
        <is>
          <t>per_market</t>
        </is>
      </c>
      <c r="G29" s="25" t="inlineStr">
        <is>
          <t>p_fcf_market</t>
        </is>
      </c>
      <c r="H29" s="25" t="inlineStr">
        <is>
          <t>ev_sales_market</t>
        </is>
      </c>
      <c r="I29" s="25" t="inlineStr">
        <is>
          <t>ev_ebit_market</t>
        </is>
      </c>
      <c r="J29" s="25" t="inlineStr">
        <is>
          <t>eps_derived</t>
        </is>
      </c>
      <c r="K29" s="25" t="inlineStr">
        <is>
          <t>bps_derived</t>
        </is>
      </c>
      <c r="L29" s="25" t="inlineStr">
        <is>
          <t>fcf_yield_market</t>
        </is>
      </c>
      <c r="M29" s="25" t="inlineStr">
        <is>
          <t>sales_yield_market</t>
        </is>
      </c>
      <c r="N29" s="25" t="inlineStr">
        <is>
          <t>source_kr</t>
        </is>
      </c>
    </row>
    <row r="30" ht="24" customHeight="1">
      <c r="A30" s="30" t="n">
        <v>274500</v>
      </c>
      <c r="B30" s="30" t="n">
        <v>3068749692000</v>
      </c>
      <c r="C30" s="30" t="n">
        <v>3109106141607</v>
      </c>
      <c r="D30" s="42" t="n">
        <v>10.18387107951889</v>
      </c>
      <c r="E30" s="42" t="n">
        <v>5.909364873733661</v>
      </c>
      <c r="F30" s="42" t="n">
        <v>43.90028731594267</v>
      </c>
      <c r="G30" s="42" t="n">
        <v>56.79767322709387</v>
      </c>
      <c r="H30" s="42" t="n">
        <v>10.31779691944523</v>
      </c>
      <c r="I30" s="42" t="n">
        <v>37.06288584753999</v>
      </c>
      <c r="J30" s="30" t="n">
        <v>6252.806457153039</v>
      </c>
      <c r="K30" s="30" t="n">
        <v>46451.69250254217</v>
      </c>
      <c r="L30" s="35" t="n">
        <v>0.01760635503503295</v>
      </c>
      <c r="M30" s="35" t="n">
        <v>0.09819448736061984</v>
      </c>
      <c r="N30" s="24" t="inlineStr">
        <is>
          <t>DART 정규화 재무제표 + Valuation Agent 주가/발행주식 수 intake로 자동 산출</t>
        </is>
      </c>
    </row>
    <row r="31" ht="24" customHeight="1"/>
    <row r="32" ht="24" customHeight="1"/>
    <row r="33" ht="24" customHeight="1">
      <c r="A33" s="22" t="inlineStr">
        <is>
          <t>품질 진단 체크</t>
        </is>
      </c>
    </row>
    <row r="34" ht="24" customHeight="1">
      <c r="A34" s="25" t="inlineStr">
        <is>
          <t>진단항목</t>
        </is>
      </c>
      <c r="B34" s="25" t="inlineStr">
        <is>
          <t>상태</t>
        </is>
      </c>
      <c r="C34" s="25" t="inlineStr">
        <is>
          <t>근거값</t>
        </is>
      </c>
      <c r="D34" s="25" t="inlineStr">
        <is>
          <t>해석</t>
        </is>
      </c>
    </row>
    <row r="35" ht="24" customHeight="1">
      <c r="A35" s="24" t="inlineStr">
        <is>
          <t>재무제표 기간</t>
        </is>
      </c>
      <c r="B35" s="24" t="inlineStr">
        <is>
          <t>충분</t>
        </is>
      </c>
      <c r="C35" s="30" t="n">
        <v>5</v>
      </c>
      <c r="D35" s="24" t="inlineStr">
        <is>
          <t>5개년이면 DCF 추세 가정과 CAGR 산정에 충분합니다.</t>
        </is>
      </c>
    </row>
    <row r="36" ht="24" customHeight="1">
      <c r="A36" s="29" t="inlineStr">
        <is>
          <t>주가 이력</t>
        </is>
      </c>
      <c r="B36" s="29" t="inlineStr">
        <is>
          <t>충분</t>
        </is>
      </c>
      <c r="C36" s="31" t="n">
        <v>1220</v>
      </c>
      <c r="D36" s="29" t="inlineStr">
        <is>
          <t>현재가, 52주 범위, MDD, 변동성, 거래대금 지표 품질을 좌우합니다.</t>
        </is>
      </c>
    </row>
    <row r="37" ht="24" customHeight="1">
      <c r="A37" s="24" t="inlineStr">
        <is>
          <t>가치평가 방법 수</t>
        </is>
      </c>
      <c r="B37" s="24" t="inlineStr">
        <is>
          <t>충분</t>
        </is>
      </c>
      <c r="C37" s="30" t="n">
        <v>7</v>
      </c>
      <c r="D37" s="24" t="inlineStr">
        <is>
          <t>DCF 하나가 아니라 상대가치·EV 멀티플·현금창출 지표까지 교차검증합니다.</t>
        </is>
      </c>
    </row>
    <row r="38" ht="24" customHeight="1">
      <c r="A38" s="29" t="inlineStr">
        <is>
          <t>수익성</t>
        </is>
      </c>
      <c r="B38" s="29" t="inlineStr">
        <is>
          <t>우호</t>
        </is>
      </c>
      <c r="C38" s="31" t="n">
        <v>0.2783862260992843</v>
      </c>
      <c r="D38" s="29" t="inlineStr">
        <is>
          <t>영업이익률이 높을수록 DCF의 현금흐름 안정성이 높습니다.</t>
        </is>
      </c>
    </row>
    <row r="39" ht="24" customHeight="1">
      <c r="A39" s="24" t="inlineStr">
        <is>
          <t>현금창출</t>
        </is>
      </c>
      <c r="B39" s="24" t="inlineStr">
        <is>
          <t>우호</t>
        </is>
      </c>
      <c r="C39" s="30" t="n">
        <v>0.1793008498570139</v>
      </c>
      <c r="D39" s="24" t="inlineStr">
        <is>
          <t>FCF margin과 오너 이익 수익률이 DCF 품질의 핵심입니다.</t>
        </is>
      </c>
    </row>
    <row r="40" ht="24" customHeight="1">
      <c r="A40" s="29" t="inlineStr">
        <is>
          <t>재무 레버리지</t>
        </is>
      </c>
      <c r="B40" s="29" t="inlineStr">
        <is>
          <t>보수적</t>
        </is>
      </c>
      <c r="C40" s="31" t="n">
        <v>0.09303582436861688</v>
      </c>
      <c r="D40" s="29" t="inlineStr">
        <is>
          <t>부채/자본이 높으면 WACC와 지분가치 산정에 보수 가정을 적용합니다.</t>
        </is>
      </c>
    </row>
    <row r="41" ht="24" customHeight="1">
      <c r="A41" s="24" t="inlineStr">
        <is>
          <t>시장 내재가정</t>
        </is>
      </c>
      <c r="B41" s="24" t="inlineStr">
        <is>
          <t>계산 완료</t>
        </is>
      </c>
      <c r="C41" s="30" t="n">
        <v>0.08</v>
      </c>
      <c r="D41" s="24" t="inlineStr">
        <is>
          <t>현재 시가총액이 요구하는 영구성장률을 역산해 과도한 기대가 반영됐는지 확인합니다.</t>
        </is>
      </c>
    </row>
    <row r="42" ht="24" customHeight="1">
      <c r="A42" s="29" t="inlineStr">
        <is>
          <t>오너 이익</t>
        </is>
      </c>
      <c r="B42" s="29" t="inlineStr">
        <is>
          <t>계산 완료</t>
        </is>
      </c>
      <c r="C42" s="31" t="n">
        <v>34171.64546443194</v>
      </c>
      <c r="D42" s="29" t="inlineStr">
        <is>
          <t>CFO-CAPEX 또는 FCF 기반 보수 가치가 DCF와 같은 방향인지 확인합니다.</t>
        </is>
      </c>
    </row>
  </sheetData>
  <autoFilter ref="A34:D42"/>
  <mergeCells count="24">
    <mergeCell ref="C6:D6"/>
    <mergeCell ref="I6:J6"/>
    <mergeCell ref="C5:D5"/>
    <mergeCell ref="E5:F5"/>
    <mergeCell ref="K5:L5"/>
    <mergeCell ref="A6:B6"/>
    <mergeCell ref="C4:D4"/>
    <mergeCell ref="A33:F33"/>
    <mergeCell ref="A2:L2"/>
    <mergeCell ref="E4:F4"/>
    <mergeCell ref="A17:F17"/>
    <mergeCell ref="G6:H6"/>
    <mergeCell ref="E6:F6"/>
    <mergeCell ref="A28:F28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4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티씨케이 가치범위표</t>
        </is>
      </c>
    </row>
    <row r="2" ht="28" customHeight="1">
      <c r="A2" s="17" t="inlineStr">
        <is>
          <t>DCF, P/S, P/B, PER, P/FCF, EV/Sales, EV/EBIT 기준 내재가격 범위를 한 화면에서 비교</t>
        </is>
      </c>
    </row>
    <row r="3" ht="24" customHeight="1"/>
    <row r="4" ht="24" customHeight="1">
      <c r="A4" s="18" t="inlineStr">
        <is>
          <t>현재가</t>
        </is>
      </c>
      <c r="B4" s="19" t="n"/>
      <c r="C4" s="18" t="inlineStr">
        <is>
          <t>하단값</t>
        </is>
      </c>
      <c r="D4" s="19" t="n"/>
      <c r="E4" s="18" t="inlineStr">
        <is>
          <t>중앙값</t>
        </is>
      </c>
      <c r="F4" s="19" t="n"/>
      <c r="G4" s="18" t="inlineStr">
        <is>
          <t>상단값</t>
        </is>
      </c>
      <c r="H4" s="19" t="n"/>
      <c r="I4" s="18" t="inlineStr">
        <is>
          <t>방법 수</t>
        </is>
      </c>
      <c r="J4" s="19" t="n"/>
      <c r="K4" s="18" t="inlineStr">
        <is>
          <t>안전마진</t>
        </is>
      </c>
      <c r="L4" s="19" t="n"/>
    </row>
    <row r="5" ht="24" customHeight="1">
      <c r="A5" s="20" t="inlineStr">
        <is>
          <t>274,500원</t>
        </is>
      </c>
      <c r="B5" s="19" t="n"/>
      <c r="C5" s="20" t="inlineStr">
        <is>
          <t>82,853원</t>
        </is>
      </c>
      <c r="D5" s="19" t="n"/>
      <c r="E5" s="20" t="inlineStr">
        <is>
          <t>101,749원</t>
        </is>
      </c>
      <c r="F5" s="19" t="n"/>
      <c r="G5" s="20" t="inlineStr">
        <is>
          <t>135,911원</t>
        </is>
      </c>
      <c r="H5" s="19" t="n"/>
      <c r="I5" s="20" t="inlineStr">
        <is>
          <t>7</t>
        </is>
      </c>
      <c r="J5" s="19" t="n"/>
      <c r="K5" s="20" t="inlineStr">
        <is>
          <t>-62.9%</t>
        </is>
      </c>
      <c r="L5" s="19" t="n"/>
    </row>
    <row r="6" ht="24" customHeight="1">
      <c r="A6" s="21" t="inlineStr">
        <is>
          <t>시장 기준</t>
        </is>
      </c>
      <c r="B6" s="19" t="n"/>
      <c r="C6" s="21" t="inlineStr">
        <is>
          <t>25% 분위</t>
        </is>
      </c>
      <c r="D6" s="19" t="n"/>
      <c r="E6" s="21" t="inlineStr">
        <is>
          <t>50% 분위</t>
        </is>
      </c>
      <c r="F6" s="19" t="n"/>
      <c r="G6" s="21" t="inlineStr">
        <is>
          <t>75% 분위</t>
        </is>
      </c>
      <c r="H6" s="19" t="n"/>
      <c r="I6" s="21" t="inlineStr">
        <is>
          <t>산출 가능한 방법</t>
        </is>
      </c>
      <c r="J6" s="19" t="n"/>
      <c r="K6" s="21" t="inlineStr">
        <is>
          <t>중앙값 기준</t>
        </is>
      </c>
      <c r="L6" s="19" t="n"/>
    </row>
    <row r="7" ht="24" customHeight="1"/>
    <row r="8" ht="24" customHeight="1"/>
    <row r="9" ht="24" customHeight="1">
      <c r="A9" s="22" t="inlineStr">
        <is>
          <t>가치평가 방법별 Low/Base/High</t>
        </is>
      </c>
    </row>
    <row r="10" ht="24" customHeight="1">
      <c r="A10" s="25" t="inlineStr">
        <is>
          <t>방법 코드</t>
        </is>
      </c>
      <c r="B10" s="25" t="inlineStr">
        <is>
          <t>가치평가 방법</t>
        </is>
      </c>
      <c r="C10" s="25" t="inlineStr">
        <is>
          <t>하단 지분가치</t>
        </is>
      </c>
      <c r="D10" s="25" t="inlineStr">
        <is>
          <t>중앙 지분가치</t>
        </is>
      </c>
      <c r="E10" s="25" t="inlineStr">
        <is>
          <t>상단 지분가치</t>
        </is>
      </c>
      <c r="F10" s="25" t="inlineStr">
        <is>
          <t>하단 주당가치</t>
        </is>
      </c>
      <c r="G10" s="25" t="inlineStr">
        <is>
          <t>중앙 주당가치</t>
        </is>
      </c>
      <c r="H10" s="25" t="inlineStr">
        <is>
          <t>상단 주당가치</t>
        </is>
      </c>
      <c r="I10" s="25" t="inlineStr">
        <is>
          <t>현재가</t>
        </is>
      </c>
      <c r="J10" s="25" t="inlineStr">
        <is>
          <t>현재가 대비</t>
        </is>
      </c>
      <c r="K10" s="25" t="inlineStr">
        <is>
          <t>해석</t>
        </is>
      </c>
      <c r="L10" s="25" t="inlineStr">
        <is>
          <t>출처</t>
        </is>
      </c>
      <c r="M10" s="25" t="inlineStr">
        <is>
          <t>신뢰도</t>
        </is>
      </c>
    </row>
    <row r="11" ht="24" customHeight="1">
      <c r="A11" s="24" t="inlineStr">
        <is>
          <t>DCF_BASE</t>
        </is>
      </c>
      <c r="B11" s="24" t="inlineStr">
        <is>
          <t>DCF 기준가치</t>
        </is>
      </c>
      <c r="C11" s="30" t="n">
        <v>328727833072.2231</v>
      </c>
      <c r="D11" s="30" t="n">
        <v>386738627143.7919</v>
      </c>
      <c r="E11" s="30" t="n">
        <v>444749421215.3607</v>
      </c>
      <c r="F11" s="30" t="n">
        <v>29404.74109490363</v>
      </c>
      <c r="G11" s="30" t="n">
        <v>34593.8130528278</v>
      </c>
      <c r="H11" s="30" t="n">
        <v>39782.88501075196</v>
      </c>
      <c r="I11" s="30" t="n">
        <v>274500</v>
      </c>
      <c r="J11" s="35" t="n">
        <v>-0.8739751801354179</v>
      </c>
      <c r="K11" s="24" t="inlineStr">
        <is>
          <t>밸류에이션 부담</t>
        </is>
      </c>
      <c r="L11" s="24" t="inlineStr">
        <is>
          <t>Valuation Agent DCF</t>
        </is>
      </c>
      <c r="M11" s="24" t="inlineStr">
        <is>
          <t>핵심 모델</t>
        </is>
      </c>
    </row>
    <row r="12" ht="24" customHeight="1">
      <c r="A12" s="29" t="inlineStr">
        <is>
          <t>PSR_COMP</t>
        </is>
      </c>
      <c r="B12" s="29" t="inlineStr">
        <is>
          <t>P/S 상대가치</t>
        </is>
      </c>
      <c r="C12" s="31" t="n">
        <v>422550889249.5266</v>
      </c>
      <c r="D12" s="31" t="n">
        <v>1033628464564.813</v>
      </c>
      <c r="E12" s="31" t="n">
        <v>1109320553831.813</v>
      </c>
      <c r="F12" s="31" t="n">
        <v>37797.22386657108</v>
      </c>
      <c r="G12" s="31" t="n">
        <v>92458.18069251679</v>
      </c>
      <c r="H12" s="31" t="n">
        <v>99228.84646495065</v>
      </c>
      <c r="I12" s="31" t="n">
        <v>274500</v>
      </c>
      <c r="J12" s="36" t="n">
        <v>-0.6631760266210682</v>
      </c>
      <c r="K12" s="29" t="inlineStr">
        <is>
          <t>밸류에이션 부담</t>
        </is>
      </c>
      <c r="L12" s="29" t="inlineStr">
        <is>
          <t>시가총액/매출 피어 비교</t>
        </is>
      </c>
      <c r="M12" s="29" t="inlineStr">
        <is>
          <t>피어 중앙값 기반</t>
        </is>
      </c>
    </row>
    <row r="13" ht="24" customHeight="1">
      <c r="A13" s="24" t="inlineStr">
        <is>
          <t>PBR_COMP</t>
        </is>
      </c>
      <c r="B13" s="24" t="inlineStr">
        <is>
          <t>P/B 상대가치</t>
        </is>
      </c>
      <c r="C13" s="30" t="n">
        <v>1337515110234.808</v>
      </c>
      <c r="D13" s="30" t="n">
        <v>1366168006259.66</v>
      </c>
      <c r="E13" s="30" t="n">
        <v>2012347467243.659</v>
      </c>
      <c r="F13" s="30" t="n">
        <v>119640.8748216193</v>
      </c>
      <c r="G13" s="30" t="n">
        <v>122203.8795460925</v>
      </c>
      <c r="H13" s="30" t="n">
        <v>180004.7039347726</v>
      </c>
      <c r="I13" s="30" t="n">
        <v>274500</v>
      </c>
      <c r="J13" s="35" t="n">
        <v>-0.5548128249686974</v>
      </c>
      <c r="K13" s="24" t="inlineStr">
        <is>
          <t>밸류에이션 부담</t>
        </is>
      </c>
      <c r="L13" s="24" t="inlineStr">
        <is>
          <t>시가총액/자본 피어 비교</t>
        </is>
      </c>
      <c r="M13" s="24" t="inlineStr">
        <is>
          <t>피어 중앙값 기반</t>
        </is>
      </c>
    </row>
    <row r="14" ht="24" customHeight="1">
      <c r="A14" s="29" t="inlineStr">
        <is>
          <t>PER_COMP</t>
        </is>
      </c>
      <c r="B14" s="29" t="inlineStr">
        <is>
          <t>PER 상대가치</t>
        </is>
      </c>
      <c r="C14" s="31" t="n">
        <v>1430835545770.282</v>
      </c>
      <c r="D14" s="31" t="n">
        <v>1672632711652.904</v>
      </c>
      <c r="E14" s="31" t="n">
        <v>2238882316941.271</v>
      </c>
      <c r="F14" s="31" t="n">
        <v>127988.3981211794</v>
      </c>
      <c r="G14" s="31" t="n">
        <v>149617.1814031166</v>
      </c>
      <c r="H14" s="31" t="n">
        <v>200268.2713427312</v>
      </c>
      <c r="I14" s="31" t="n">
        <v>274500</v>
      </c>
      <c r="J14" s="36" t="n">
        <v>-0.4549465158356407</v>
      </c>
      <c r="K14" s="29" t="inlineStr">
        <is>
          <t>밸류에이션 부담</t>
        </is>
      </c>
      <c r="L14" s="29" t="inlineStr">
        <is>
          <t>시가총액/순이익 피어 비교</t>
        </is>
      </c>
      <c r="M14" s="29" t="inlineStr">
        <is>
          <t>피어 중앙값 기반</t>
        </is>
      </c>
    </row>
    <row r="15" ht="24" customHeight="1">
      <c r="A15" s="24" t="inlineStr">
        <is>
          <t>PFCF_COMP</t>
        </is>
      </c>
      <c r="B15" s="24" t="inlineStr">
        <is>
          <t>P/FCF 상대가치</t>
        </is>
      </c>
      <c r="C15" s="30" t="n">
        <v>338299996630.6818</v>
      </c>
      <c r="D15" s="30" t="n">
        <v>818857400819.21</v>
      </c>
      <c r="E15" s="30" t="n">
        <v>951680058231.3386</v>
      </c>
      <c r="F15" s="30" t="n">
        <v>30260.97218590683</v>
      </c>
      <c r="G15" s="30" t="n">
        <v>73246.88524151976</v>
      </c>
      <c r="H15" s="30" t="n">
        <v>85127.88666521924</v>
      </c>
      <c r="I15" s="30" t="n">
        <v>274500</v>
      </c>
      <c r="J15" s="35" t="n">
        <v>-0.733162530996285</v>
      </c>
      <c r="K15" s="24" t="inlineStr">
        <is>
          <t>밸류에이션 부담</t>
        </is>
      </c>
      <c r="L15" s="24" t="inlineStr">
        <is>
          <t>시가총액/FCF 피어 비교</t>
        </is>
      </c>
      <c r="M15" s="24" t="inlineStr">
        <is>
          <t>피어 중앙값 기반</t>
        </is>
      </c>
    </row>
    <row r="16" ht="24" customHeight="1">
      <c r="A16" s="29" t="inlineStr">
        <is>
          <t>EV_SALES_COMP</t>
        </is>
      </c>
      <c r="B16" s="29" t="inlineStr">
        <is>
          <t>EV/Sales 상대가치</t>
        </is>
      </c>
      <c r="C16" s="31" t="n">
        <v>593259590495.104</v>
      </c>
      <c r="D16" s="31" t="n">
        <v>1137495475364.44</v>
      </c>
      <c r="E16" s="31" t="n">
        <v>2521421211818.343</v>
      </c>
      <c r="F16" s="31" t="n">
        <v>53067.13610935526</v>
      </c>
      <c r="G16" s="31" t="n">
        <v>101749.0963181297</v>
      </c>
      <c r="H16" s="31" t="n">
        <v>225541.4067978456</v>
      </c>
      <c r="I16" s="31" t="n">
        <v>274500</v>
      </c>
      <c r="J16" s="36" t="n">
        <v>-0.6293293394603654</v>
      </c>
      <c r="K16" s="29" t="inlineStr">
        <is>
          <t>밸류에이션 부담</t>
        </is>
      </c>
      <c r="L16" s="29" t="inlineStr">
        <is>
          <t>EV/매출 피어 비교</t>
        </is>
      </c>
      <c r="M16" s="29" t="inlineStr">
        <is>
          <t>EV 조정 피어 기준</t>
        </is>
      </c>
    </row>
    <row r="17" ht="24" customHeight="1">
      <c r="A17" s="24" t="inlineStr">
        <is>
          <t>EV_EBIT_COMP</t>
        </is>
      </c>
      <c r="B17" s="24" t="inlineStr">
        <is>
          <t>EV/EBIT 상대가치</t>
        </is>
      </c>
      <c r="C17" s="30" t="n">
        <v>1643907537843.19</v>
      </c>
      <c r="D17" s="30" t="n">
        <v>1814892330242.906</v>
      </c>
      <c r="E17" s="30" t="n">
        <v>3830531869224.896</v>
      </c>
      <c r="F17" s="30" t="n">
        <v>147047.7114227782</v>
      </c>
      <c r="G17" s="30" t="n">
        <v>162342.320049894</v>
      </c>
      <c r="H17" s="30" t="n">
        <v>342641.5001664573</v>
      </c>
      <c r="I17" s="30" t="n">
        <v>274500</v>
      </c>
      <c r="J17" s="35" t="n">
        <v>-0.4085889979967432</v>
      </c>
      <c r="K17" s="24" t="inlineStr">
        <is>
          <t>밸류에이션 부담</t>
        </is>
      </c>
      <c r="L17" s="24" t="inlineStr">
        <is>
          <t>EV/영업이익 피어 비교</t>
        </is>
      </c>
      <c r="M17" s="24" t="inlineStr">
        <is>
          <t>EV 조정 피어 기준</t>
        </is>
      </c>
    </row>
    <row r="18" ht="24" customHeight="1"/>
    <row r="19" ht="24" customHeight="1"/>
    <row r="20" ht="24" customHeight="1">
      <c r="A20" s="22" t="inlineStr">
        <is>
          <t>사용 가이드</t>
        </is>
      </c>
    </row>
    <row r="21" ht="24" customHeight="1">
      <c r="A21" s="25" t="inlineStr">
        <is>
          <t>항목</t>
        </is>
      </c>
      <c r="B21" s="25" t="inlineStr">
        <is>
          <t>내용</t>
        </is>
      </c>
    </row>
    <row r="22" ht="24" customHeight="1">
      <c r="A22" s="24" t="inlineStr">
        <is>
          <t>해석 방법</t>
        </is>
      </c>
      <c r="B22" s="24" t="inlineStr">
        <is>
          <t>한 방법만 우호적이면 확신도가 낮고, 여러 방법의 중앙값이 현재가보다 높으면 상대적으로 우호적입니다.</t>
        </is>
      </c>
    </row>
    <row r="23" ht="24" customHeight="1">
      <c r="A23" s="29" t="inlineStr">
        <is>
          <t>주의</t>
        </is>
      </c>
      <c r="B23" s="29" t="inlineStr">
        <is>
          <t>PER/PBR/EV/EBIT는 적자·음수 지표에서 자동 제외됩니다. 제외 사유는 빈칸이 아니라 해당 없음으로 표시됩니다.</t>
        </is>
      </c>
    </row>
  </sheetData>
  <autoFilter ref="A21:B23"/>
  <mergeCells count="22">
    <mergeCell ref="C6:D6"/>
    <mergeCell ref="I6:J6"/>
    <mergeCell ref="C5:D5"/>
    <mergeCell ref="E5:F5"/>
    <mergeCell ref="K5:L5"/>
    <mergeCell ref="A6:B6"/>
    <mergeCell ref="C4:D4"/>
    <mergeCell ref="A2:L2"/>
    <mergeCell ref="E4:F4"/>
    <mergeCell ref="G6:H6"/>
    <mergeCell ref="A20:F20"/>
    <mergeCell ref="E6:F6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0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티씨케이 역산 DCF·오너 이익</t>
        </is>
      </c>
    </row>
    <row r="2" ht="28" customHeight="1">
      <c r="A2" s="17" t="inlineStr">
        <is>
          <t>현재 주가가 요구하는 성장률과 현금창출 기준 보수 가치를 점검</t>
        </is>
      </c>
    </row>
    <row r="3" ht="24" customHeight="1"/>
    <row r="4" ht="24" customHeight="1">
      <c r="A4" s="18" t="inlineStr">
        <is>
          <t>시장 내재 EV</t>
        </is>
      </c>
      <c r="B4" s="19" t="n"/>
      <c r="C4" s="18" t="inlineStr">
        <is>
          <t>모델 EV</t>
        </is>
      </c>
      <c r="D4" s="19" t="n"/>
      <c r="E4" s="18" t="inlineStr">
        <is>
          <t>EV 괴리</t>
        </is>
      </c>
      <c r="F4" s="19" t="n"/>
      <c r="G4" s="18" t="inlineStr">
        <is>
          <t>요구 FCF 수익률</t>
        </is>
      </c>
      <c r="H4" s="19" t="n"/>
      <c r="I4" s="18" t="inlineStr">
        <is>
          <t>역산 성장률</t>
        </is>
      </c>
      <c r="J4" s="19" t="n"/>
    </row>
    <row r="5" ht="24" customHeight="1">
      <c r="A5" s="20" t="inlineStr">
        <is>
          <t>31,091.1억원</t>
        </is>
      </c>
      <c r="B5" s="19" t="n"/>
      <c r="C5" s="20" t="inlineStr">
        <is>
          <t>4,271.0억원</t>
        </is>
      </c>
      <c r="D5" s="19" t="n"/>
      <c r="E5" s="20" t="inlineStr">
        <is>
          <t>628.0%</t>
        </is>
      </c>
      <c r="F5" s="19" t="n"/>
      <c r="G5" s="20" t="inlineStr">
        <is>
          <t>1.7%</t>
        </is>
      </c>
      <c r="H5" s="19" t="n"/>
      <c r="I5" s="20" t="inlineStr">
        <is>
          <t>8.0%</t>
        </is>
      </c>
      <c r="J5" s="19" t="n"/>
    </row>
    <row r="6" ht="24" customHeight="1">
      <c r="A6" s="21" t="inlineStr">
        <is>
          <t>시가총액+부채-현금</t>
        </is>
      </c>
      <c r="B6" s="19" t="n"/>
      <c r="C6" s="21" t="inlineStr">
        <is>
          <t>DCF 산출 EV</t>
        </is>
      </c>
      <c r="D6" s="19" t="n"/>
      <c r="E6" s="21" t="inlineStr">
        <is>
          <t>시장/모델-1</t>
        </is>
      </c>
      <c r="F6" s="19" t="n"/>
      <c r="G6" s="21" t="inlineStr">
        <is>
          <t>FCF/시장내재 EV</t>
        </is>
      </c>
      <c r="H6" s="19" t="n"/>
      <c r="I6" s="21" t="inlineStr">
        <is>
          <t>시장가격 내재</t>
        </is>
      </c>
      <c r="J6" s="19" t="n"/>
    </row>
    <row r="7" ht="24" customHeight="1"/>
    <row r="8" ht="24" customHeight="1"/>
    <row r="9" ht="24" customHeight="1">
      <c r="A9" s="22" t="inlineStr">
        <is>
          <t>역산 DCF 핵심값</t>
        </is>
      </c>
    </row>
    <row r="10" ht="24" customHeight="1">
      <c r="A10" s="25" t="inlineStr">
        <is>
          <t>현재가</t>
        </is>
      </c>
      <c r="B10" s="25" t="inlineStr">
        <is>
          <t>시가총액</t>
        </is>
      </c>
      <c r="C10" s="25" t="inlineStr">
        <is>
          <t>시장 내재 EV</t>
        </is>
      </c>
      <c r="D10" s="25" t="inlineStr">
        <is>
          <t>모델 EV</t>
        </is>
      </c>
      <c r="E10" s="25" t="inlineStr">
        <is>
          <t>시장/모델 EV 괴리</t>
        </is>
      </c>
      <c r="F10" s="25" t="inlineStr">
        <is>
          <t>요구 FCF 수익률</t>
        </is>
      </c>
      <c r="G10" s="25" t="inlineStr">
        <is>
          <t>역산 영구성장률</t>
        </is>
      </c>
      <c r="H10" s="25" t="inlineStr">
        <is>
          <t>wacc_used</t>
        </is>
      </c>
      <c r="I10" s="25" t="inlineStr">
        <is>
          <t>해석</t>
        </is>
      </c>
    </row>
    <row r="11" ht="24" customHeight="1">
      <c r="A11" s="30" t="n">
        <v>274500</v>
      </c>
      <c r="B11" s="30" t="n">
        <v>3068749692000</v>
      </c>
      <c r="C11" s="30" t="n">
        <v>3109106141607</v>
      </c>
      <c r="D11" s="30" t="n">
        <v>427095076750.7919</v>
      </c>
      <c r="E11" s="35" t="n">
        <v>6.279658115612392</v>
      </c>
      <c r="F11" s="35" t="n">
        <v>0.01737782312027271</v>
      </c>
      <c r="G11" s="35" t="n">
        <v>0.08</v>
      </c>
      <c r="H11" s="30" t="n">
        <v>0.1414314233754703</v>
      </c>
      <c r="I11" s="24" t="inlineStr">
        <is>
          <t>현재 주가가 요구하는 FCF yield와 영구성장률을 역산해 DCF 가정의 현실성을 점검합니다.</t>
        </is>
      </c>
    </row>
    <row r="12" ht="24" customHeight="1"/>
    <row r="13" ht="24" customHeight="1"/>
    <row r="14" ht="24" customHeight="1">
      <c r="A14" s="22" t="inlineStr">
        <is>
          <t>오너 이익 / EPV / Graham Number</t>
        </is>
      </c>
    </row>
    <row r="15" ht="24" customHeight="1">
      <c r="A15" s="25" t="inlineStr">
        <is>
          <t>오너 이익</t>
        </is>
      </c>
      <c r="B15" s="25" t="inlineStr">
        <is>
          <t>owner_earnings_method_kr</t>
        </is>
      </c>
      <c r="C15" s="25" t="inlineStr">
        <is>
          <t>오너 이익 수익률</t>
        </is>
      </c>
      <c r="D15" s="25" t="inlineStr">
        <is>
          <t>owner_earnings_value</t>
        </is>
      </c>
      <c r="E15" s="25" t="inlineStr">
        <is>
          <t>오너 이익 주당가치</t>
        </is>
      </c>
      <c r="F15" s="25" t="inlineStr">
        <is>
          <t>epv_equity_value</t>
        </is>
      </c>
      <c r="G15" s="25" t="inlineStr">
        <is>
          <t>EPV 주당가치</t>
        </is>
      </c>
      <c r="H15" s="25" t="inlineStr">
        <is>
          <t>eps</t>
        </is>
      </c>
      <c r="I15" s="25" t="inlineStr">
        <is>
          <t>bps</t>
        </is>
      </c>
      <c r="J15" s="25" t="inlineStr">
        <is>
          <t>Graham Number</t>
        </is>
      </c>
      <c r="K15" s="25" t="inlineStr">
        <is>
          <t>method_note_kr</t>
        </is>
      </c>
    </row>
    <row r="16" ht="24" customHeight="1">
      <c r="A16" s="30" t="n">
        <v>54029496591</v>
      </c>
      <c r="B16" s="24" t="inlineStr">
        <is>
          <t>FCF = CFO - CAPEX</t>
        </is>
      </c>
      <c r="C16" s="35" t="n">
        <v>0.01760635503503295</v>
      </c>
      <c r="D16" s="30" t="n">
        <v>382019040051.3978</v>
      </c>
      <c r="E16" s="30" t="n">
        <v>34171.64546443194</v>
      </c>
      <c r="F16" s="30" t="n">
        <v>410422883544.6274</v>
      </c>
      <c r="G16" s="30" t="n">
        <v>36712.37241235386</v>
      </c>
      <c r="H16" s="30" t="n">
        <v>6252.806457153039</v>
      </c>
      <c r="I16" s="30" t="n">
        <v>46451.69250254217</v>
      </c>
      <c r="J16" s="30" t="n">
        <v>80840.59910450701</v>
      </c>
      <c r="K16" s="24" t="inlineStr">
        <is>
          <t>오너 이익, EPV, Graham Number는 DCF를 보완하는 보수적 교차검증 지표입니다.</t>
        </is>
      </c>
    </row>
    <row r="17" ht="24" customHeight="1"/>
    <row r="18" ht="24" customHeight="1"/>
    <row r="19" ht="24" customHeight="1">
      <c r="A19" s="22" t="inlineStr">
        <is>
          <t>해석 가이드</t>
        </is>
      </c>
    </row>
    <row r="20" ht="24" customHeight="1">
      <c r="A20" s="25" t="inlineStr">
        <is>
          <t>항목</t>
        </is>
      </c>
      <c r="B20" s="25" t="inlineStr">
        <is>
          <t>내용</t>
        </is>
      </c>
    </row>
    <row r="21" ht="24" customHeight="1">
      <c r="A21" s="24" t="inlineStr">
        <is>
          <t>역산 DCF</t>
        </is>
      </c>
      <c r="B21" s="24" t="inlineStr">
        <is>
          <t>현재 주가를 정당화하려면 어떤 영구성장률·FCF 수익률이 필요한지 역산합니다.</t>
        </is>
      </c>
    </row>
    <row r="22" ht="24" customHeight="1">
      <c r="A22" s="29" t="inlineStr">
        <is>
          <t>오너 이익</t>
        </is>
      </c>
      <c r="B22" s="29" t="inlineStr">
        <is>
          <t>CFO-CAPEX 또는 FCF를 기반으로 보수적 현금창출 가치를 계산합니다.</t>
        </is>
      </c>
    </row>
    <row r="23" ht="24" customHeight="1">
      <c r="A23" s="24" t="inlineStr">
        <is>
          <t>EPV</t>
        </is>
      </c>
      <c r="B23" s="24" t="inlineStr">
        <is>
          <t>영업이익의 지속가능성을 가정해 현재 수익력 기준 기업가치를 확인합니다.</t>
        </is>
      </c>
    </row>
  </sheetData>
  <autoFilter ref="A20:B23"/>
  <mergeCells count="20">
    <mergeCell ref="C6:D6"/>
    <mergeCell ref="I6:J6"/>
    <mergeCell ref="C5:D5"/>
    <mergeCell ref="E5:F5"/>
    <mergeCell ref="A6:B6"/>
    <mergeCell ref="C4:D4"/>
    <mergeCell ref="E4:F4"/>
    <mergeCell ref="A14:F14"/>
    <mergeCell ref="G6:H6"/>
    <mergeCell ref="A1:J1"/>
    <mergeCell ref="E6:F6"/>
    <mergeCell ref="A19:F19"/>
    <mergeCell ref="A9:F9"/>
    <mergeCell ref="A5:B5"/>
    <mergeCell ref="G5:H5"/>
    <mergeCell ref="I5:J5"/>
    <mergeCell ref="A4:B4"/>
    <mergeCell ref="G4:H4"/>
    <mergeCell ref="I4:J4"/>
    <mergeCell ref="A2:J2"/>
  </mergeCells>
  <pageMargins left="0.75" right="0.75" top="1" bottom="1" header="0.5" footer="0.5"/>
  <pageSetup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30" customWidth="1" min="2" max="2"/>
    <col width="4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티씨케이 데이터 수집현황·보강경로</t>
        </is>
      </c>
    </row>
    <row r="2" ht="28" customHeight="1">
      <c r="A2" s="17" t="inlineStr">
        <is>
          <t>원천 제공 여부와 대체 산출 경로를 분리해 Chair·대시보드에서 그대로 확인</t>
        </is>
      </c>
    </row>
    <row r="3" ht="24" customHeight="1"/>
    <row r="4" ht="24" customHeight="1">
      <c r="A4" s="22" t="inlineStr">
        <is>
          <t>데이터 블록별 확보 상태</t>
        </is>
      </c>
    </row>
    <row r="5" ht="24" customHeight="1">
      <c r="A5" s="25" t="inlineStr">
        <is>
          <t>데이터블록</t>
        </is>
      </c>
      <c r="B5" s="25" t="inlineStr">
        <is>
          <t>상태</t>
        </is>
      </c>
      <c r="C5" s="25" t="inlineStr">
        <is>
          <t>수집경로</t>
        </is>
      </c>
      <c r="D5" s="25" t="inlineStr">
        <is>
          <t>가치평가 활용</t>
        </is>
      </c>
      <c r="E5" s="25" t="inlineStr">
        <is>
          <t>대시보드 표시</t>
        </is>
      </c>
    </row>
    <row r="6" ht="24" customHeight="1">
      <c r="A6" s="24" t="inlineStr">
        <is>
          <t>DART 재무제표</t>
        </is>
      </c>
      <c r="B6" s="24" t="inlineStr">
        <is>
          <t>확보</t>
        </is>
      </c>
      <c r="C6" s="24" t="inlineStr">
        <is>
          <t>OpenDART fnlttSinglAcntAll/fnlttSinglAcnt</t>
        </is>
      </c>
      <c r="D6" s="24" t="inlineStr">
        <is>
          <t>매출·자본·순이익·현금흐름 확보</t>
        </is>
      </c>
      <c r="E6" s="24" t="inlineStr">
        <is>
          <t>표시 가능</t>
        </is>
      </c>
    </row>
    <row r="7" ht="24" customHeight="1">
      <c r="A7" s="29" t="inlineStr">
        <is>
          <t>주가 이력</t>
        </is>
      </c>
      <c r="B7" s="29" t="inlineStr">
        <is>
          <t>확보</t>
        </is>
      </c>
      <c r="C7" s="29" t="inlineStr">
        <is>
          <t>yfinance → Yahoo chart → Naver 일별시세 fallback</t>
        </is>
      </c>
      <c r="D7" s="29" t="inlineStr">
        <is>
          <t>현재가·변동성·MDD·거래대금 확보</t>
        </is>
      </c>
      <c r="E7" s="29" t="inlineStr">
        <is>
          <t>표시 가능</t>
        </is>
      </c>
    </row>
    <row r="8" ht="24" customHeight="1">
      <c r="A8" s="24" t="inlineStr">
        <is>
          <t>발행주식 수</t>
        </is>
      </c>
      <c r="B8" s="24" t="inlineStr">
        <is>
          <t>확보</t>
        </is>
      </c>
      <c r="C8" s="24" t="inlineStr">
        <is>
          <t>OpenDART stockTotqySttus</t>
        </is>
      </c>
      <c r="D8" s="24" t="inlineStr">
        <is>
          <t>내재주가·시가총액 계산</t>
        </is>
      </c>
      <c r="E8" s="24" t="inlineStr">
        <is>
          <t>표시 가능</t>
        </is>
      </c>
    </row>
    <row r="9" ht="24" customHeight="1">
      <c r="A9" s="29" t="inlineStr">
        <is>
          <t>피어 멀티플</t>
        </is>
      </c>
      <c r="B9" s="29" t="inlineStr">
        <is>
          <t>확보</t>
        </is>
      </c>
      <c r="C9" s="29" t="inlineStr">
        <is>
          <t>Valuation 전용 live peer intake</t>
        </is>
      </c>
      <c r="D9" s="29" t="inlineStr">
        <is>
          <t>P/S·PER·PBR·EV/Sales 비교</t>
        </is>
      </c>
      <c r="E9" s="29" t="inlineStr">
        <is>
          <t>표시 가능</t>
        </is>
      </c>
    </row>
    <row r="10" ht="24" customHeight="1">
      <c r="A10" s="24" t="inlineStr">
        <is>
          <t>208개 Universe</t>
        </is>
      </c>
      <c r="B10" s="24" t="inlineStr">
        <is>
          <t>확보</t>
        </is>
      </c>
      <c r="C10" s="24" t="inlineStr">
        <is>
          <t>Tech universe 축 복제 + valuation proxy</t>
        </is>
      </c>
      <c r="D10" s="24" t="inlineStr">
        <is>
          <t>대규모 상대 위치 비교</t>
        </is>
      </c>
      <c r="E10" s="24" t="inlineStr">
        <is>
          <t>표시 가능</t>
        </is>
      </c>
    </row>
    <row r="11" ht="24" customHeight="1">
      <c r="A11" s="29" t="inlineStr">
        <is>
          <t>보조 투자지표</t>
        </is>
      </c>
      <c r="B11" s="29" t="inlineStr">
        <is>
          <t>확보</t>
        </is>
      </c>
      <c r="C11" s="29" t="inlineStr">
        <is>
          <t>Naver finance live + DART/주가 자동 산출 fallback</t>
        </is>
      </c>
      <c r="D11" s="29" t="inlineStr">
        <is>
          <t>외부 표시 PER/PBR/EPS/BPS 또는 자체 산출값</t>
        </is>
      </c>
      <c r="E11" s="29" t="inlineStr">
        <is>
          <t>표시 가능</t>
        </is>
      </c>
    </row>
    <row r="12" ht="24" customHeight="1"/>
    <row r="13" ht="24" customHeight="1"/>
    <row r="14" ht="24" customHeight="1">
      <c r="A14" s="22" t="inlineStr">
        <is>
          <t>자동 생성/참조 파일 경로</t>
        </is>
      </c>
    </row>
    <row r="15" ht="24" customHeight="1">
      <c r="A15" s="25" t="inlineStr">
        <is>
          <t>파일구분</t>
        </is>
      </c>
      <c r="B15" s="25" t="inlineStr">
        <is>
          <t>경로</t>
        </is>
      </c>
      <c r="C15" s="25" t="inlineStr">
        <is>
          <t>활용</t>
        </is>
      </c>
    </row>
    <row r="16" ht="24" customHeight="1">
      <c r="A16" s="24" t="inlineStr">
        <is>
          <t>template_catalog_csv</t>
        </is>
      </c>
      <c r="B16" s="24" t="inlineStr">
        <is>
          <t>data/반도체/티씨케이/valuation/intake/valuation_modeling_template_catalog.csv</t>
        </is>
      </c>
      <c r="C16" s="24" t="inlineStr">
        <is>
          <t>Valuation Agent intake/output</t>
        </is>
      </c>
    </row>
    <row r="17" ht="24" customHeight="1">
      <c r="A17" s="29" t="inlineStr">
        <is>
          <t>template_catalog_json</t>
        </is>
      </c>
      <c r="B17" s="29" t="inlineStr">
        <is>
          <t>data/반도체/티씨케이/valuation/intake/valuation_modeling_template_catalog.json</t>
        </is>
      </c>
      <c r="C17" s="29" t="inlineStr">
        <is>
          <t>Valuation Agent intake/output</t>
        </is>
      </c>
    </row>
    <row r="18" ht="24" customHeight="1">
      <c r="A18" s="24" t="inlineStr">
        <is>
          <t>raw_dart_accounts_csv</t>
        </is>
      </c>
      <c r="B18" s="24" t="inlineStr">
        <is>
          <t>data/반도체/티씨케이/valuation/intake/valuation_raw_dart_accounts.csv</t>
        </is>
      </c>
      <c r="C18" s="24" t="inlineStr">
        <is>
          <t>Valuation Agent intake/output</t>
        </is>
      </c>
    </row>
    <row r="19" ht="24" customHeight="1">
      <c r="A19" s="29" t="inlineStr">
        <is>
          <t>normalized_financials_csv</t>
        </is>
      </c>
      <c r="B19" s="29" t="inlineStr">
        <is>
          <t>data/반도체/티씨케이/valuation/intake/valuation_normalized_financials.csv</t>
        </is>
      </c>
      <c r="C19" s="29" t="inlineStr">
        <is>
          <t>Valuation Agent intake/output</t>
        </is>
      </c>
    </row>
    <row r="20" ht="24" customHeight="1">
      <c r="A20" s="24" t="inlineStr">
        <is>
          <t>price_history_csv</t>
        </is>
      </c>
      <c r="B20" s="24" t="inlineStr">
        <is>
          <t>data/반도체/티씨케이/valuation/intake/valuation_price_history.csv</t>
        </is>
      </c>
      <c r="C20" s="24" t="inlineStr">
        <is>
          <t>Valuation Agent intake/output</t>
        </is>
      </c>
    </row>
    <row r="21" ht="24" customHeight="1">
      <c r="A21" s="29" t="inlineStr">
        <is>
          <t>share_count_csv</t>
        </is>
      </c>
      <c r="B21" s="29" t="inlineStr">
        <is>
          <t>data/반도체/티씨케이/valuation/intake/valuation_share_count.csv</t>
        </is>
      </c>
      <c r="C21" s="29" t="inlineStr">
        <is>
          <t>Valuation Agent intake/output</t>
        </is>
      </c>
    </row>
    <row r="22" ht="24" customHeight="1">
      <c r="A22" s="24" t="inlineStr">
        <is>
          <t>price_summary_json</t>
        </is>
      </c>
      <c r="B22" s="24" t="inlineStr">
        <is>
          <t>data/반도체/티씨케이/valuation/intake/valuation_price_summary.json</t>
        </is>
      </c>
      <c r="C22" s="24" t="inlineStr">
        <is>
          <t>Valuation Agent intake/output</t>
        </is>
      </c>
    </row>
    <row r="23" ht="24" customHeight="1">
      <c r="A23" s="29" t="inlineStr">
        <is>
          <t>market_snapshot_json</t>
        </is>
      </c>
      <c r="B23" s="29" t="inlineStr">
        <is>
          <t>data/반도체/티씨케이/valuation/intake/valuation_market_snapshot.json</t>
        </is>
      </c>
      <c r="C23" s="29" t="inlineStr">
        <is>
          <t>Valuation Agent intake/output</t>
        </is>
      </c>
    </row>
    <row r="24" ht="24" customHeight="1">
      <c r="A24" s="24" t="inlineStr">
        <is>
          <t>market_snapshot_csv</t>
        </is>
      </c>
      <c r="B24" s="24" t="inlineStr">
        <is>
          <t>data/반도체/티씨케이/valuation/intake/valuation_market_snapshot.csv</t>
        </is>
      </c>
      <c r="C24" s="24" t="inlineStr">
        <is>
          <t>Valuation Agent intake/output</t>
        </is>
      </c>
    </row>
    <row r="25" ht="24" customHeight="1">
      <c r="A25" s="29" t="inlineStr">
        <is>
          <t>peer_input_csv</t>
        </is>
      </c>
      <c r="B25" s="29" t="inlineStr">
        <is>
          <t>data/반도체/티씨케이/valuation/intake/valuation_peer_input.csv</t>
        </is>
      </c>
      <c r="C25" s="29" t="inlineStr">
        <is>
          <t>Valuation Agent intake/output</t>
        </is>
      </c>
    </row>
    <row r="26" ht="24" customHeight="1">
      <c r="A26" s="24" t="inlineStr">
        <is>
          <t>assumptions_json</t>
        </is>
      </c>
      <c r="B26" s="24" t="inlineStr">
        <is>
          <t>data/반도체/티씨케이/valuation/intake/valuation_assumptions.json</t>
        </is>
      </c>
      <c r="C26" s="24" t="inlineStr">
        <is>
          <t>Valuation Agent intake/output</t>
        </is>
      </c>
    </row>
    <row r="27" ht="24" customHeight="1">
      <c r="A27" s="29" t="inlineStr">
        <is>
          <t>reference_universe_208_csv</t>
        </is>
      </c>
      <c r="B27" s="29" t="inlineStr">
        <is>
          <t>data/반도체/티씨케이/valuation/intake/valuation_reference_universe_208.csv</t>
        </is>
      </c>
      <c r="C27" s="29" t="inlineStr">
        <is>
          <t>Valuation Agent intake/output</t>
        </is>
      </c>
    </row>
    <row r="28" ht="24" customHeight="1">
      <c r="A28" s="24" t="inlineStr">
        <is>
          <t>reference_universe_focus_csv</t>
        </is>
      </c>
      <c r="B28" s="24" t="inlineStr">
        <is>
          <t>data/반도체/티씨케이/valuation/intake/valuation_reference_universe_focus.csv</t>
        </is>
      </c>
      <c r="C28" s="24" t="inlineStr">
        <is>
          <t>Valuation Agent intake/output</t>
        </is>
      </c>
    </row>
    <row r="29" ht="24" customHeight="1">
      <c r="A29" s="29" t="inlineStr">
        <is>
          <t>reference_universe_summary_json</t>
        </is>
      </c>
      <c r="B29" s="29" t="inlineStr">
        <is>
          <t>data/반도체/티씨케이/valuation/intake/valuation_reference_universe_summary.json</t>
        </is>
      </c>
      <c r="C29" s="29" t="inlineStr">
        <is>
          <t>Valuation Agent intake/output</t>
        </is>
      </c>
    </row>
  </sheetData>
  <autoFilter ref="A15:C29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티씨케이 투자판단 요약</t>
        </is>
      </c>
      <c r="B1" t="inlineStr"/>
      <c r="C1" t="inlineStr"/>
      <c r="D1" t="inlineStr"/>
      <c r="E1" t="inlineStr"/>
      <c r="F1" t="inlineStr"/>
    </row>
    <row r="2">
      <c r="A2" t="inlineStr">
        <is>
          <t>목적</t>
        </is>
      </c>
      <c r="B2" t="inlineStr">
        <is>
          <t>DCF·상대가치·주가역산·오너이익·208개 기준 비교군을 한 장에서 확인하는 투자자용 요약입니다.</t>
        </is>
      </c>
      <c r="C2" t="inlineStr"/>
      <c r="D2" t="inlineStr"/>
      <c r="E2" t="inlineStr"/>
      <c r="F2" t="inlineStr"/>
    </row>
    <row r="3">
      <c r="A3" t="inlineStr">
        <is>
          <t>최종 가치평가 관점</t>
        </is>
      </c>
      <c r="B3" t="inlineStr">
        <is>
          <t>가치평가 관점 보수</t>
        </is>
      </c>
      <c r="C3" t="inlineStr">
        <is>
          <t>근거</t>
        </is>
      </c>
      <c r="D3" t="inlineStr">
        <is>
          <t>DCF 기준 현재가 부담이 큽니다. 종합 가치평가 점수가 45점 미만으로 보수적 해석이 필요합니다.</t>
        </is>
      </c>
      <c r="E3" t="inlineStr">
        <is>
          <t>검증 상태</t>
        </is>
      </c>
      <c r="F3" t="inlineStr">
        <is>
          <t>통과</t>
        </is>
      </c>
    </row>
    <row r="4">
      <c r="A4" t="inlineStr">
        <is>
          <t>핵심 지표</t>
        </is>
      </c>
      <c r="B4" t="inlineStr">
        <is>
          <t>값</t>
        </is>
      </c>
      <c r="C4" t="inlineStr">
        <is>
          <t>해석</t>
        </is>
      </c>
      <c r="D4" t="inlineStr">
        <is>
          <t>원천/산식</t>
        </is>
      </c>
      <c r="E4" t="inlineStr">
        <is>
          <t>대시보드 활용</t>
        </is>
      </c>
      <c r="F4" t="inlineStr">
        <is>
          <t>주의사항</t>
        </is>
      </c>
    </row>
    <row r="5">
      <c r="A5" t="inlineStr">
        <is>
          <t>현재가</t>
        </is>
      </c>
      <c r="B5" t="inlineStr">
        <is>
          <t>274,500원</t>
        </is>
      </c>
      <c r="C5" t="inlineStr">
        <is>
          <t>시장 기준점</t>
        </is>
      </c>
      <c r="D5" t="inlineStr">
        <is>
          <t>가치평가 전용 주가 수집</t>
        </is>
      </c>
      <c r="E5" t="inlineStr">
        <is>
          <t>주가 카드</t>
        </is>
      </c>
      <c r="F5" t="inlineStr">
        <is>
          <t>수집일 기준 변동 가능</t>
        </is>
      </c>
    </row>
    <row r="6">
      <c r="A6" t="inlineStr">
        <is>
          <t>DCF 내재주가</t>
        </is>
      </c>
      <c r="B6" t="inlineStr">
        <is>
          <t>34,594원</t>
        </is>
      </c>
      <c r="C6" t="inlineStr">
        <is>
          <t>절대가치 기준</t>
        </is>
      </c>
      <c r="D6" t="inlineStr">
        <is>
          <t>FCF 추정 + WACC + 영구성장률</t>
        </is>
      </c>
      <c r="E6" t="inlineStr">
        <is>
          <t>DCF 카드</t>
        </is>
      </c>
      <c r="F6" t="inlineStr">
        <is>
          <t>가정 민감도 확인 필요</t>
        </is>
      </c>
    </row>
    <row r="7">
      <c r="A7" t="inlineStr">
        <is>
          <t>현재가 대비 괴리율</t>
        </is>
      </c>
      <c r="B7" t="inlineStr">
        <is>
          <t>-87.4%</t>
        </is>
      </c>
      <c r="C7" t="inlineStr">
        <is>
          <t>안전마진 확인</t>
        </is>
      </c>
      <c r="D7" t="inlineStr">
        <is>
          <t>내재주가/현재가 - 1</t>
        </is>
      </c>
      <c r="E7" t="inlineStr">
        <is>
          <t>안전마진 배지</t>
        </is>
      </c>
      <c r="F7" t="inlineStr">
        <is>
          <t>절대 투자판단 단독 사용 금지</t>
        </is>
      </c>
    </row>
    <row r="8">
      <c r="A8" t="inlineStr">
        <is>
          <t>WACC</t>
        </is>
      </c>
      <c r="B8" t="inlineStr">
        <is>
          <t>14.1%</t>
        </is>
      </c>
      <c r="C8" t="inlineStr">
        <is>
          <t>할인율</t>
        </is>
      </c>
      <c r="D8" t="inlineStr">
        <is>
          <t>무위험이자율·시장위험프리미엄·베타·타인자본비용</t>
        </is>
      </c>
      <c r="E8" t="inlineStr">
        <is>
          <t>가정 슬라이더</t>
        </is>
      </c>
      <c r="F8" t="inlineStr">
        <is>
          <t>금리 변화 민감</t>
        </is>
      </c>
    </row>
    <row r="9">
      <c r="A9" t="inlineStr">
        <is>
          <t>P/S</t>
        </is>
      </c>
      <c r="B9" t="inlineStr">
        <is>
          <t>1.24배</t>
        </is>
      </c>
      <c r="C9" t="inlineStr">
        <is>
          <t>매출 대비 시장가치</t>
        </is>
      </c>
      <c r="D9" t="inlineStr">
        <is>
          <t>시가총액/매출액</t>
        </is>
      </c>
      <c r="E9" t="inlineStr">
        <is>
          <t>상대가치 카드</t>
        </is>
      </c>
      <c r="F9" t="inlineStr">
        <is>
          <t>적자기업에도 활용 가능</t>
        </is>
      </c>
    </row>
    <row r="10">
      <c r="A10" t="inlineStr">
        <is>
          <t>비교기업 P/S 중앙값</t>
        </is>
      </c>
      <c r="B10" t="inlineStr">
        <is>
          <t>3.43배</t>
        </is>
      </c>
      <c r="C10" t="inlineStr">
        <is>
          <t>5개 비교기업 기준</t>
        </is>
      </c>
      <c r="D10" t="inlineStr">
        <is>
          <t>피어 입력 자동 생성</t>
        </is>
      </c>
      <c r="E10" t="inlineStr">
        <is>
          <t>비교기업 차트</t>
        </is>
      </c>
      <c r="F10" t="inlineStr">
        <is>
          <t>비교기업 품질 확인 필요</t>
        </is>
      </c>
    </row>
    <row r="11">
      <c r="A11" t="inlineStr">
        <is>
          <t>가치범위 중앙값</t>
        </is>
      </c>
      <c r="B11" t="inlineStr">
        <is>
          <t>101,749원</t>
        </is>
      </c>
      <c r="C11" t="inlineStr">
        <is>
          <t>여러 방식의 교차검증</t>
        </is>
      </c>
      <c r="D11" t="inlineStr">
        <is>
          <t>DCF·P/S·P/B·PER·P/FCF 등</t>
        </is>
      </c>
      <c r="E11" t="inlineStr">
        <is>
          <t>가치범위표</t>
        </is>
      </c>
      <c r="F11" t="inlineStr">
        <is>
          <t>일부 방식은 손실기업에서 제외</t>
        </is>
      </c>
    </row>
    <row r="12">
      <c r="A12" t="inlineStr">
        <is>
          <t>주가역산 영구성장률</t>
        </is>
      </c>
      <c r="B12" t="inlineStr">
        <is>
          <t>8.0%</t>
        </is>
      </c>
      <c r="C12" t="inlineStr">
        <is>
          <t>현재 주가가 요구하는 장기 성장률</t>
        </is>
      </c>
      <c r="D12" t="inlineStr">
        <is>
          <t>현재가 기준 역산</t>
        </is>
      </c>
      <c r="E12" t="inlineStr">
        <is>
          <t>역산 DCF</t>
        </is>
      </c>
      <c r="F12" t="inlineStr">
        <is>
          <t>음수/과도한 값은 보수 해석</t>
        </is>
      </c>
    </row>
    <row r="13">
      <c r="A13" t="inlineStr">
        <is>
          <t>오너이익 주당가치</t>
        </is>
      </c>
      <c r="B13" t="inlineStr">
        <is>
          <t>34,172원</t>
        </is>
      </c>
      <c r="C13" t="inlineStr">
        <is>
          <t>현금창출력 기반 교차검증</t>
        </is>
      </c>
      <c r="D13" t="inlineStr">
        <is>
          <t>CFO - CAPEX 또는 FCF</t>
        </is>
      </c>
      <c r="E13" t="inlineStr">
        <is>
          <t>오너이익 카드</t>
        </is>
      </c>
      <c r="F13" t="inlineStr">
        <is>
          <t>CAPEX 변동성 반영 필요</t>
        </is>
      </c>
    </row>
    <row r="14">
      <c r="A14" t="inlineStr">
        <is>
          <t>시장내재 P/S</t>
        </is>
      </c>
      <c r="B14" t="inlineStr">
        <is>
          <t>10.18배</t>
        </is>
      </c>
      <c r="C14" t="inlineStr">
        <is>
          <t>현재 시장이 부여한 매출 배수</t>
        </is>
      </c>
      <c r="D14" t="inlineStr">
        <is>
          <t>시가총액/매출</t>
        </is>
      </c>
      <c r="E14" t="inlineStr">
        <is>
          <t>시장내재 배수</t>
        </is>
      </c>
      <c r="F14" t="inlineStr">
        <is>
          <t>순환 업종에서는 변동 가능</t>
        </is>
      </c>
    </row>
    <row r="15">
      <c r="A15" t="inlineStr">
        <is>
          <t>208개 비교군</t>
        </is>
      </c>
      <c r="B15" t="inlineStr">
        <is>
          <t>208개 기준</t>
        </is>
      </c>
      <c r="C15" t="inlineStr">
        <is>
          <t>섹터 내부 상대 위치</t>
        </is>
      </c>
      <c r="D15" t="inlineStr">
        <is>
          <t>Tech 기준 비교군 파일 활용</t>
        </is>
      </c>
      <c r="E15" t="inlineStr">
        <is>
          <t>분포/랭킹</t>
        </is>
      </c>
      <c r="F15" t="inlineStr">
        <is>
          <t>데이터 원천 업데이트 필요</t>
        </is>
      </c>
    </row>
    <row r="16">
      <c r="A16" t="inlineStr">
        <is>
          <t>검증 결과</t>
        </is>
      </c>
      <c r="B16" t="inlineStr">
        <is>
          <t>통과</t>
        </is>
      </c>
      <c r="C16" t="inlineStr">
        <is>
          <t>모델 완성도</t>
        </is>
      </c>
      <c r="D16" t="inlineStr">
        <is>
          <t>검증 JSON</t>
        </is>
      </c>
      <c r="E16" t="inlineStr">
        <is>
          <t>검증 배지</t>
        </is>
      </c>
      <c r="F16" t="inlineStr">
        <is>
          <t>경고 발생 시 점검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티씨케이 데이터 보강 내역</t>
        </is>
      </c>
      <c r="B1" t="inlineStr"/>
      <c r="C1" t="inlineStr"/>
      <c r="D1" t="inlineStr"/>
      <c r="E1" t="inlineStr"/>
      <c r="F1" t="inlineStr"/>
    </row>
    <row r="2">
      <c r="A2" t="inlineStr">
        <is>
          <t>원칙</t>
        </is>
      </c>
      <c r="B2" t="inlineStr">
        <is>
          <t>공란을 반복 문구로 채우지 않고, DART·주가·발행주식 수·네이버금융·208개 기준 비교군 중 확인 가능한 원천 또는 명시적 대체 산식만 표시합니다.</t>
        </is>
      </c>
      <c r="C2" t="inlineStr"/>
      <c r="D2" t="inlineStr"/>
      <c r="E2" t="inlineStr"/>
      <c r="F2" t="inlineStr"/>
    </row>
    <row r="3">
      <c r="A3" t="inlineStr">
        <is>
          <t>항목</t>
        </is>
      </c>
      <c r="B3" t="inlineStr">
        <is>
          <t>보강 방식</t>
        </is>
      </c>
      <c r="C3" t="inlineStr">
        <is>
          <t>현재 값</t>
        </is>
      </c>
      <c r="D3" t="inlineStr">
        <is>
          <t>사용 원천</t>
        </is>
      </c>
      <c r="E3" t="inlineStr">
        <is>
          <t>계산/확인 방식</t>
        </is>
      </c>
      <c r="F3" t="inlineStr">
        <is>
          <t>비고</t>
        </is>
      </c>
    </row>
    <row r="4">
      <c r="A4" t="inlineStr">
        <is>
          <t>PER</t>
        </is>
      </c>
      <c r="B4" t="inlineStr">
        <is>
          <t>네이버금융 값 우선, 없으면 DART 순이익과 시가총액으로 자동 산출</t>
        </is>
      </c>
      <c r="C4" t="inlineStr">
        <is>
          <t>45.86배</t>
        </is>
      </c>
      <c r="D4" t="inlineStr">
        <is>
          <t>네이버금융 / DART / 주가</t>
        </is>
      </c>
      <c r="E4" t="inlineStr">
        <is>
          <t>시가총액 ÷ 순이익</t>
        </is>
      </c>
      <c r="F4" t="inlineStr">
        <is>
          <t>순손실이면 계산 제외</t>
        </is>
      </c>
    </row>
    <row r="5">
      <c r="A5" t="inlineStr">
        <is>
          <t>PBR</t>
        </is>
      </c>
      <c r="B5" t="inlineStr">
        <is>
          <t>네이버금융 값 우선, 없으면 DART 자본총계와 시가총액으로 자동 산출</t>
        </is>
      </c>
      <c r="C5" t="inlineStr">
        <is>
          <t>5.92배</t>
        </is>
      </c>
      <c r="D5" t="inlineStr">
        <is>
          <t>네이버금융 / DART / 주가</t>
        </is>
      </c>
      <c r="E5" t="inlineStr">
        <is>
          <t>시가총액 ÷ 자본총계</t>
        </is>
      </c>
      <c r="F5" t="inlineStr">
        <is>
          <t>자본잠식이면 보수 해석</t>
        </is>
      </c>
    </row>
    <row r="6">
      <c r="A6" t="inlineStr">
        <is>
          <t>PSR</t>
        </is>
      </c>
      <c r="B6" t="inlineStr">
        <is>
          <t>주가와 매출액으로 자동 산출</t>
        </is>
      </c>
      <c r="C6" t="inlineStr">
        <is>
          <t>1.24배</t>
        </is>
      </c>
      <c r="D6" t="inlineStr">
        <is>
          <t>DART 매출액 / 주가 / 발행주식 수</t>
        </is>
      </c>
      <c r="E6" t="inlineStr">
        <is>
          <t>시가총액 ÷ 매출액</t>
        </is>
      </c>
      <c r="F6" t="inlineStr">
        <is>
          <t>적자기업 비교에 유용</t>
        </is>
      </c>
    </row>
    <row r="7">
      <c r="A7" t="inlineStr">
        <is>
          <t>P/FCF</t>
        </is>
      </c>
      <c r="B7" t="inlineStr">
        <is>
          <t>FCF가 양수이면 자동 산출</t>
        </is>
      </c>
      <c r="C7" t="inlineStr">
        <is>
          <t>56.80배</t>
        </is>
      </c>
      <c r="D7" t="inlineStr">
        <is>
          <t>DART 영업현금흐름·CAPEX / 주가</t>
        </is>
      </c>
      <c r="E7" t="inlineStr">
        <is>
          <t>시가총액 ÷ FCF</t>
        </is>
      </c>
      <c r="F7" t="inlineStr">
        <is>
          <t>FCF 음수이면 계산 제외</t>
        </is>
      </c>
    </row>
    <row r="8">
      <c r="A8" t="inlineStr">
        <is>
          <t>EV/Sales</t>
        </is>
      </c>
      <c r="B8" t="inlineStr">
        <is>
          <t>기업가치와 매출액으로 자동 산출</t>
        </is>
      </c>
      <c r="C8" t="inlineStr">
        <is>
          <t>10.32배</t>
        </is>
      </c>
      <c r="D8" t="inlineStr">
        <is>
          <t>DART 현금·부채 / 주가</t>
        </is>
      </c>
      <c r="E8" t="inlineStr">
        <is>
          <t>EV ÷ 매출액</t>
        </is>
      </c>
      <c r="F8" t="inlineStr">
        <is>
          <t>현금/부채 원천계정 확인</t>
        </is>
      </c>
    </row>
    <row r="9">
      <c r="A9" t="inlineStr">
        <is>
          <t>EV/EBIT</t>
        </is>
      </c>
      <c r="B9" t="inlineStr">
        <is>
          <t>영업이익이 양수이면 자동 산출</t>
        </is>
      </c>
      <c r="C9" t="inlineStr">
        <is>
          <t>37.06배</t>
        </is>
      </c>
      <c r="D9" t="inlineStr">
        <is>
          <t>DART 영업이익 / 주가</t>
        </is>
      </c>
      <c r="E9" t="inlineStr">
        <is>
          <t>EV ÷ 영업이익</t>
        </is>
      </c>
      <c r="F9" t="inlineStr">
        <is>
          <t>적자이면 계산 제외</t>
        </is>
      </c>
    </row>
    <row r="10">
      <c r="A10" t="inlineStr">
        <is>
          <t>발행주식 수</t>
        </is>
      </c>
      <c r="B10" t="inlineStr">
        <is>
          <t>DART 주식총수 현황에서 보강</t>
        </is>
      </c>
      <c r="C10" t="inlineStr">
        <is>
          <t>11,179,416주</t>
        </is>
      </c>
      <c r="D10" t="inlineStr">
        <is>
          <t>OpenDART stockTotqySttus</t>
        </is>
      </c>
      <c r="E10" t="inlineStr">
        <is>
          <t>최신 보고서 기준</t>
        </is>
      </c>
      <c r="F10" t="inlineStr">
        <is>
          <t>자기주식/증자 반영 필요</t>
        </is>
      </c>
    </row>
    <row r="11">
      <c r="A11" t="inlineStr">
        <is>
          <t>시가총액</t>
        </is>
      </c>
      <c r="B11" t="inlineStr">
        <is>
          <t>현재가와 발행주식 수로 자동 산출</t>
        </is>
      </c>
      <c r="C11" t="inlineStr">
        <is>
          <t>30,687.5억원</t>
        </is>
      </c>
      <c r="D11" t="inlineStr">
        <is>
          <t>주가 provider / DART 발행주식 수</t>
        </is>
      </c>
      <c r="E11" t="inlineStr">
        <is>
          <t>현재가 × 발행주식 수</t>
        </is>
      </c>
      <c r="F11" t="inlineStr">
        <is>
          <t>주가 기준일 확인</t>
        </is>
      </c>
    </row>
    <row r="12">
      <c r="A12" t="inlineStr">
        <is>
          <t>유동성</t>
        </is>
      </c>
      <c r="B12" t="inlineStr">
        <is>
          <t>거래대금·거래회전율로 보강</t>
        </is>
      </c>
      <c r="C12" t="inlineStr">
        <is>
          <t>226.2억원</t>
        </is>
      </c>
      <c r="D12" t="inlineStr">
        <is>
          <t>주가 데이터</t>
        </is>
      </c>
      <c r="E12" t="inlineStr">
        <is>
          <t>20일 평균 거래대금</t>
        </is>
      </c>
      <c r="F12" t="inlineStr">
        <is>
          <t>대시보드 필터 활용</t>
        </is>
      </c>
    </row>
    <row r="13">
      <c r="A13" t="inlineStr">
        <is>
          <t>208개 기준 비교군</t>
        </is>
      </c>
      <c r="B13" t="inlineStr">
        <is>
          <t>Tech 기준 비교군 파일을 Valuation 비교군으로 재활용</t>
        </is>
      </c>
      <c r="C13" t="inlineStr">
        <is>
          <t>208</t>
        </is>
      </c>
      <c r="D13" t="inlineStr">
        <is>
          <t>valuation_기준_비교군_208.csv</t>
        </is>
      </c>
      <c r="E13" t="inlineStr">
        <is>
          <t>동일 섹터 상대 위치</t>
        </is>
      </c>
      <c r="F13" t="inlineStr">
        <is>
          <t>상대가치 확장용</t>
        </is>
      </c>
    </row>
    <row r="14">
      <c r="A14" t="inlineStr">
        <is>
          <t>후속 보강 계획</t>
        </is>
      </c>
      <c r="B14" t="inlineStr">
        <is>
          <t>항목</t>
        </is>
      </c>
      <c r="C14" t="inlineStr">
        <is>
          <t>현재 처리</t>
        </is>
      </c>
      <c r="D14" t="inlineStr">
        <is>
          <t>권장 원천</t>
        </is>
      </c>
      <c r="E14" t="inlineStr">
        <is>
          <t>목적</t>
        </is>
      </c>
      <c r="F14" t="inlineStr">
        <is>
          <t>비고</t>
        </is>
      </c>
    </row>
    <row r="15">
      <c r="A15" t="inlineStr">
        <is>
          <t>후속 보강 계획</t>
        </is>
      </c>
      <c r="B15" t="inlineStr">
        <is>
          <t>항목</t>
        </is>
      </c>
      <c r="C15" t="inlineStr">
        <is>
          <t>보조 산출</t>
        </is>
      </c>
      <c r="D15" t="inlineStr">
        <is>
          <t>DART/주가/공시</t>
        </is>
      </c>
      <c r="E15" t="inlineStr">
        <is>
          <t>가치평가 정확도 개선</t>
        </is>
      </c>
      <c r="F15" t="inlineStr">
        <is>
          <t>대체 산식 유지</t>
        </is>
      </c>
    </row>
    <row r="16">
      <c r="A16" t="inlineStr">
        <is>
          <t>후속 보강 계획</t>
        </is>
      </c>
      <c r="B16" t="inlineStr">
        <is>
          <t>항목</t>
        </is>
      </c>
      <c r="C16" t="inlineStr">
        <is>
          <t>보조 산출</t>
        </is>
      </c>
      <c r="D16" t="inlineStr">
        <is>
          <t>DART/주가/공시</t>
        </is>
      </c>
      <c r="E16" t="inlineStr">
        <is>
          <t>가치평가 정확도 개선</t>
        </is>
      </c>
      <c r="F16" t="inlineStr">
        <is>
          <t>대체 산식 유지</t>
        </is>
      </c>
    </row>
    <row r="17">
      <c r="A17" t="inlineStr">
        <is>
          <t>후속 보강 계획</t>
        </is>
      </c>
      <c r="B17" t="inlineStr">
        <is>
          <t>항목</t>
        </is>
      </c>
      <c r="C17" t="inlineStr">
        <is>
          <t>보조 산출</t>
        </is>
      </c>
      <c r="D17" t="inlineStr">
        <is>
          <t>DART/주가/공시</t>
        </is>
      </c>
      <c r="E17" t="inlineStr">
        <is>
          <t>가치평가 정확도 개선</t>
        </is>
      </c>
      <c r="F17" t="inlineStr">
        <is>
          <t>대체 산식 유지</t>
        </is>
      </c>
    </row>
    <row r="18">
      <c r="A18" t="inlineStr">
        <is>
          <t>후속 보강 계획</t>
        </is>
      </c>
      <c r="B18" t="inlineStr">
        <is>
          <t>항목</t>
        </is>
      </c>
      <c r="C18" t="inlineStr">
        <is>
          <t>보조 산출</t>
        </is>
      </c>
      <c r="D18" t="inlineStr">
        <is>
          <t>DART/주가/공시</t>
        </is>
      </c>
      <c r="E18" t="inlineStr">
        <is>
          <t>가치평가 정확도 개선</t>
        </is>
      </c>
      <c r="F18" t="inlineStr">
        <is>
          <t>대체 산식 유지</t>
        </is>
      </c>
    </row>
    <row r="19">
      <c r="A19" t="inlineStr">
        <is>
          <t>후속 보강 계획</t>
        </is>
      </c>
      <c r="B19" t="inlineStr">
        <is>
          <t>항목</t>
        </is>
      </c>
      <c r="C19" t="inlineStr">
        <is>
          <t>보조 산출</t>
        </is>
      </c>
      <c r="D19" t="inlineStr">
        <is>
          <t>DART/주가/공시</t>
        </is>
      </c>
      <c r="E19" t="inlineStr">
        <is>
          <t>가치평가 정확도 개선</t>
        </is>
      </c>
      <c r="F19" t="inlineStr">
        <is>
          <t>대체 산식 유지</t>
        </is>
      </c>
    </row>
    <row r="20">
      <c r="A20" t="inlineStr">
        <is>
          <t>후속 보강 계획</t>
        </is>
      </c>
      <c r="B20" t="inlineStr">
        <is>
          <t>항목</t>
        </is>
      </c>
      <c r="C20" t="inlineStr">
        <is>
          <t>보조 산출</t>
        </is>
      </c>
      <c r="D20" t="inlineStr">
        <is>
          <t>DART/주가/공시</t>
        </is>
      </c>
      <c r="E20" t="inlineStr">
        <is>
          <t>가치평가 정확도 개선</t>
        </is>
      </c>
      <c r="F20" t="inlineStr">
        <is>
          <t>대체 산식 유지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대시보드 연동키</t>
        </is>
      </c>
      <c r="B1" t="inlineStr"/>
      <c r="C1" t="inlineStr"/>
      <c r="D1" t="inlineStr"/>
      <c r="E1" t="inlineStr"/>
    </row>
    <row r="2">
      <c r="A2" t="inlineStr">
        <is>
          <t>설명</t>
        </is>
      </c>
      <c r="B2" t="inlineStr">
        <is>
          <t>React/Streamlit 대시보드에서 바로 사용할 수 있는 주요 JSON 키와 표시명을 정리합니다.</t>
        </is>
      </c>
      <c r="C2" t="inlineStr"/>
      <c r="D2" t="inlineStr"/>
      <c r="E2" t="inlineStr"/>
    </row>
    <row r="3">
      <c r="A3" t="inlineStr">
        <is>
          <t>JSON 키</t>
        </is>
      </c>
      <c r="B3" t="inlineStr">
        <is>
          <t>표시명</t>
        </is>
      </c>
      <c r="C3" t="inlineStr">
        <is>
          <t>값</t>
        </is>
      </c>
      <c r="D3" t="inlineStr">
        <is>
          <t>형식</t>
        </is>
      </c>
      <c r="E3" t="inlineStr">
        <is>
          <t>활용 위치</t>
        </is>
      </c>
    </row>
    <row r="4">
      <c r="A4" t="inlineStr">
        <is>
          <t>wacc</t>
        </is>
      </c>
      <c r="B4" t="inlineStr">
        <is>
          <t>WACC</t>
        </is>
      </c>
      <c r="C4" t="n">
        <v>0.1414314233754703</v>
      </c>
      <c r="D4" t="inlineStr">
        <is>
          <t>percent</t>
        </is>
      </c>
      <c r="E4" t="inlineStr">
        <is>
          <t>핵심 카드</t>
        </is>
      </c>
    </row>
    <row r="5">
      <c r="A5" t="inlineStr">
        <is>
          <t>enterprise_value</t>
        </is>
      </c>
      <c r="B5" t="inlineStr">
        <is>
          <t>DCF 기업가치</t>
        </is>
      </c>
      <c r="C5" t="n">
        <v>427095076750.7919</v>
      </c>
      <c r="D5" t="inlineStr">
        <is>
          <t>krw</t>
        </is>
      </c>
      <c r="E5" t="inlineStr">
        <is>
          <t>핵심 카드</t>
        </is>
      </c>
    </row>
    <row r="6">
      <c r="A6" t="inlineStr">
        <is>
          <t>equity_value</t>
        </is>
      </c>
      <c r="B6" t="inlineStr">
        <is>
          <t>DCF 지분가치</t>
        </is>
      </c>
      <c r="C6" t="n">
        <v>386738627143.7919</v>
      </c>
      <c r="D6" t="inlineStr">
        <is>
          <t>krw</t>
        </is>
      </c>
      <c r="E6" t="inlineStr">
        <is>
          <t>핵심 카드</t>
        </is>
      </c>
    </row>
    <row r="7">
      <c r="A7" t="inlineStr">
        <is>
          <t>latest_close</t>
        </is>
      </c>
      <c r="B7" t="inlineStr">
        <is>
          <t>현재가</t>
        </is>
      </c>
      <c r="C7" t="n">
        <v>274500</v>
      </c>
      <c r="D7" t="inlineStr">
        <is>
          <t>krw_per_share</t>
        </is>
      </c>
      <c r="E7" t="inlineStr">
        <is>
          <t>핵심 카드</t>
        </is>
      </c>
    </row>
    <row r="8">
      <c r="A8" t="inlineStr">
        <is>
          <t>implied_price</t>
        </is>
      </c>
      <c r="B8" t="inlineStr">
        <is>
          <t>DCF 내재주가</t>
        </is>
      </c>
      <c r="C8" t="n">
        <v>34593.8130528278</v>
      </c>
      <c r="D8" t="inlineStr">
        <is>
          <t>krw_per_share</t>
        </is>
      </c>
      <c r="E8" t="inlineStr">
        <is>
          <t>핵심 카드</t>
        </is>
      </c>
    </row>
    <row r="9">
      <c r="A9" t="inlineStr">
        <is>
          <t>upside_downside_pct</t>
        </is>
      </c>
      <c r="B9" t="inlineStr">
        <is>
          <t>현재가 대비 괴리율</t>
        </is>
      </c>
      <c r="C9" t="n">
        <v>-0.8739751801354179</v>
      </c>
      <c r="D9" t="inlineStr">
        <is>
          <t>percent</t>
        </is>
      </c>
      <c r="E9" t="inlineStr">
        <is>
          <t>핵심 카드</t>
        </is>
      </c>
    </row>
    <row r="10">
      <c r="A10" t="inlineStr">
        <is>
          <t>target_psr</t>
        </is>
      </c>
      <c r="B10" t="inlineStr">
        <is>
          <t>P/S</t>
        </is>
      </c>
      <c r="C10" t="n">
        <v>1.238222113459768</v>
      </c>
      <c r="D10" t="inlineStr">
        <is>
          <t>multiple</t>
        </is>
      </c>
      <c r="E10" t="inlineStr">
        <is>
          <t>핵심 카드</t>
        </is>
      </c>
    </row>
    <row r="11">
      <c r="A11" t="inlineStr">
        <is>
          <t>median_psr</t>
        </is>
      </c>
      <c r="B11" t="inlineStr">
        <is>
          <t>비교기업 P/S 중앙값</t>
        </is>
      </c>
      <c r="C11" t="n">
        <v>3.430171921382347</v>
      </c>
      <c r="D11" t="inlineStr">
        <is>
          <t>multiple</t>
        </is>
      </c>
      <c r="E11" t="inlineStr">
        <is>
          <t>핵심 카드</t>
        </is>
      </c>
    </row>
    <row r="12">
      <c r="A12" t="inlineStr">
        <is>
          <t>psr_gap</t>
        </is>
      </c>
      <c r="B12" t="inlineStr">
        <is>
          <t>P/S 중앙값 대비</t>
        </is>
      </c>
      <c r="C12" t="n">
        <v>-0.6390203926103014</v>
      </c>
      <c r="D12" t="inlineStr">
        <is>
          <t>percent</t>
        </is>
      </c>
      <c r="E12" t="inlineStr">
        <is>
          <t>핵심 카드</t>
        </is>
      </c>
    </row>
    <row r="13">
      <c r="A13" t="inlineStr">
        <is>
          <t>기준_rows</t>
        </is>
      </c>
      <c r="B13" t="inlineStr">
        <is>
          <t>208개 반도체 비교군</t>
        </is>
      </c>
      <c r="C13" t="n">
        <v>208</v>
      </c>
      <c r="D13" t="inlineStr">
        <is>
          <t>count</t>
        </is>
      </c>
      <c r="E13" t="inlineStr">
        <is>
          <t>핵심 카드</t>
        </is>
      </c>
    </row>
    <row r="14">
      <c r="A14" t="inlineStr">
        <is>
          <t>기준_비교기업_group</t>
        </is>
      </c>
      <c r="B14" t="inlineStr">
        <is>
          <t>기준 비교군 그룹</t>
        </is>
      </c>
      <c r="C14" t="inlineStr">
        <is>
          <t>소재</t>
        </is>
      </c>
      <c r="D14" t="inlineStr">
        <is>
          <t>text</t>
        </is>
      </c>
      <c r="E14" t="inlineStr">
        <is>
          <t>핵심 카드</t>
        </is>
      </c>
    </row>
    <row r="15">
      <c r="A15" t="inlineStr">
        <is>
          <t>return_1y</t>
        </is>
      </c>
      <c r="B15" t="inlineStr">
        <is>
          <t>1년 수익률</t>
        </is>
      </c>
      <c r="C15" t="n">
        <v>1.877358490566038</v>
      </c>
      <c r="D15" t="inlineStr">
        <is>
          <t>percent</t>
        </is>
      </c>
      <c r="E15" t="inlineStr">
        <is>
          <t>핵심 카드</t>
        </is>
      </c>
    </row>
    <row r="16">
      <c r="A16" t="inlineStr">
        <is>
          <t>mdd</t>
        </is>
      </c>
      <c r="B16" t="inlineStr">
        <is>
          <t>MDD</t>
        </is>
      </c>
      <c r="C16" t="n">
        <v>-0.6708922476840565</v>
      </c>
      <c r="D16" t="inlineStr">
        <is>
          <t>percent</t>
        </is>
      </c>
      <c r="E16" t="inlineStr">
        <is>
          <t>핵심 카드</t>
        </is>
      </c>
    </row>
    <row r="17">
      <c r="A17" t="inlineStr">
        <is>
          <t>volatility</t>
        </is>
      </c>
      <c r="B17" t="inlineStr">
        <is>
          <t>연환산 변동성</t>
        </is>
      </c>
      <c r="C17" t="n">
        <v>0.5065281396657912</v>
      </c>
      <c r="D17" t="inlineStr">
        <is>
          <t>percent</t>
        </is>
      </c>
      <c r="E17" t="inlineStr">
        <is>
          <t>핵심 카드</t>
        </is>
      </c>
    </row>
    <row r="18">
      <c r="A18" t="inlineStr">
        <is>
          <t>market_cap</t>
        </is>
      </c>
      <c r="B18" t="inlineStr">
        <is>
          <t>시가총액</t>
        </is>
      </c>
      <c r="C18" t="n">
        <v>3068749692000</v>
      </c>
      <c r="D18" t="inlineStr">
        <is>
          <t>krw</t>
        </is>
      </c>
      <c r="E18" t="inlineStr">
        <is>
          <t>핵심 카드</t>
        </is>
      </c>
    </row>
    <row r="19">
      <c r="A19" t="inlineStr">
        <is>
          <t>shares_outstanding</t>
        </is>
      </c>
      <c r="B19" t="inlineStr">
        <is>
          <t>발행주식 수</t>
        </is>
      </c>
      <c r="C19" t="n">
        <v>11179416</v>
      </c>
      <c r="D19" t="inlineStr">
        <is>
          <t>shares</t>
        </is>
      </c>
      <c r="E19" t="inlineStr">
        <is>
          <t>핵심 카드</t>
        </is>
      </c>
    </row>
    <row r="20">
      <c r="A20" t="inlineStr">
        <is>
          <t>avg_trading_value_20d</t>
        </is>
      </c>
      <c r="B20" t="inlineStr">
        <is>
          <t>20일 평균 거래대금</t>
        </is>
      </c>
      <c r="C20" t="n">
        <v>22623238225</v>
      </c>
      <c r="D20" t="inlineStr">
        <is>
          <t>krw</t>
        </is>
      </c>
      <c r="E20" t="inlineStr">
        <is>
          <t>핵심 카드</t>
        </is>
      </c>
    </row>
    <row r="21">
      <c r="A21" t="inlineStr">
        <is>
          <t>turnover_latest</t>
        </is>
      </c>
      <c r="B21" t="inlineStr">
        <is>
          <t>최근 거래회전율</t>
        </is>
      </c>
      <c r="C21" t="n">
        <v>0.004063629084023709</v>
      </c>
      <c r="D21" t="inlineStr">
        <is>
          <t>percent</t>
        </is>
      </c>
      <c r="E21" t="inlineStr">
        <is>
          <t>핵심 카드</t>
        </is>
      </c>
    </row>
    <row r="22">
      <c r="A22" t="inlineStr">
        <is>
          <t>ml_composite_score</t>
        </is>
      </c>
      <c r="B22" t="inlineStr">
        <is>
          <t>ML 보조 품질점수</t>
        </is>
      </c>
      <c r="C22" t="n">
        <v>67.86</v>
      </c>
      <c r="D22" t="inlineStr">
        <is>
          <t>score</t>
        </is>
      </c>
      <c r="E22" t="inlineStr">
        <is>
          <t>핵심 카드</t>
        </is>
      </c>
    </row>
    <row r="23">
      <c r="A23" t="inlineStr">
        <is>
          <t>ml_label</t>
        </is>
      </c>
      <c r="B23" t="inlineStr">
        <is>
          <t>ML 보조 라벨</t>
        </is>
      </c>
      <c r="C23" t="inlineStr">
        <is>
          <t>가치평가 보조근거 중립</t>
        </is>
      </c>
      <c r="D23" t="inlineStr">
        <is>
          <t>text</t>
        </is>
      </c>
      <c r="E23" t="inlineStr">
        <is>
          <t>핵심 카드</t>
        </is>
      </c>
    </row>
    <row r="24">
      <c r="A24" t="inlineStr">
        <is>
          <t>valuation_점수판</t>
        </is>
      </c>
      <c r="B24" t="inlineStr">
        <is>
          <t>보조 가치평가 점수</t>
        </is>
      </c>
      <c r="C24" t="n">
        <v>47.34</v>
      </c>
      <c r="D24" t="inlineStr">
        <is>
          <t>score</t>
        </is>
      </c>
      <c r="E24" t="inlineStr">
        <is>
          <t>핵심 카드</t>
        </is>
      </c>
    </row>
    <row r="25">
      <c r="A25" t="inlineStr">
        <is>
          <t>valuation_점수판_label</t>
        </is>
      </c>
      <c r="B25" t="inlineStr">
        <is>
          <t>보조 가치평가 라벨</t>
        </is>
      </c>
      <c r="C25" t="inlineStr">
        <is>
          <t>중립</t>
        </is>
      </c>
      <c r="D25" t="inlineStr">
        <is>
          <t>text</t>
        </is>
      </c>
      <c r="E25" t="inlineStr">
        <is>
          <t>핵심 카드</t>
        </is>
      </c>
    </row>
    <row r="26">
      <c r="A26" t="inlineStr">
        <is>
          <t>advanced_valuation_score</t>
        </is>
      </c>
      <c r="B26" t="inlineStr">
        <is>
          <t>종합 가치평가 점수</t>
        </is>
      </c>
      <c r="C26" t="n">
        <v>38</v>
      </c>
      <c r="D26" t="inlineStr">
        <is>
          <t>score</t>
        </is>
      </c>
      <c r="E26" t="inlineStr">
        <is>
          <t>핵심 카드</t>
        </is>
      </c>
    </row>
    <row r="27">
      <c r="A27" t="inlineStr">
        <is>
          <t>valuation_range_base_price</t>
        </is>
      </c>
      <c r="B27" t="inlineStr">
        <is>
          <t>가치범위 중앙값</t>
        </is>
      </c>
      <c r="C27" t="n">
        <v>101749.0963181297</v>
      </c>
      <c r="D27" t="inlineStr">
        <is>
          <t>krw_per_share</t>
        </is>
      </c>
      <c r="E27" t="inlineStr">
        <is>
          <t>핵심 카드</t>
        </is>
      </c>
    </row>
    <row r="28">
      <c r="A28" t="inlineStr">
        <is>
          <t>valuation_range_margin</t>
        </is>
      </c>
      <c r="B28" t="inlineStr">
        <is>
          <t>가치범위 안전마진</t>
        </is>
      </c>
      <c r="C28" t="n">
        <v>-0.6293293394603654</v>
      </c>
      <c r="D28" t="inlineStr">
        <is>
          <t>percent</t>
        </is>
      </c>
      <c r="E28" t="inlineStr">
        <is>
          <t>핵심 카드</t>
        </is>
      </c>
    </row>
    <row r="29">
      <c r="A29" t="inlineStr">
        <is>
          <t>reverse_dcf_growth</t>
        </is>
      </c>
      <c r="B29" t="inlineStr">
        <is>
          <t>역산 영구성장률</t>
        </is>
      </c>
      <c r="C29" t="n">
        <v>0.08</v>
      </c>
      <c r="D29" t="inlineStr">
        <is>
          <t>percent</t>
        </is>
      </c>
      <c r="E29" t="inlineStr">
        <is>
          <t>핵심 카드</t>
        </is>
      </c>
    </row>
    <row r="30">
      <c r="A30" t="inlineStr">
        <is>
          <t>owner_earnings_price</t>
        </is>
      </c>
      <c r="B30" t="inlineStr">
        <is>
          <t>오너 이익 주당가치</t>
        </is>
      </c>
      <c r="C30" t="n">
        <v>34171.64546443194</v>
      </c>
      <c r="D30" t="inlineStr">
        <is>
          <t>krw_per_share</t>
        </is>
      </c>
      <c r="E30" t="inlineStr">
        <is>
          <t>핵심 카드</t>
        </is>
      </c>
    </row>
    <row r="31">
      <c r="A31" t="inlineStr">
        <is>
          <t>market_psr</t>
        </is>
      </c>
      <c r="B31" t="inlineStr">
        <is>
          <t>시장내재 P/S</t>
        </is>
      </c>
      <c r="C31" t="n">
        <v>10.18387107951889</v>
      </c>
      <c r="D31" t="inlineStr">
        <is>
          <t>multiple</t>
        </is>
      </c>
      <c r="E31" t="inlineStr">
        <is>
          <t>핵심 카드</t>
        </is>
      </c>
    </row>
    <row r="32">
      <c r="A32" t="inlineStr">
        <is>
          <t>market_pbr</t>
        </is>
      </c>
      <c r="B32" t="inlineStr">
        <is>
          <t>시장내재 P/B</t>
        </is>
      </c>
      <c r="C32" t="n">
        <v>5.909364873733661</v>
      </c>
      <c r="D32" t="inlineStr">
        <is>
          <t>multiple</t>
        </is>
      </c>
      <c r="E32" t="inlineStr">
        <is>
          <t>핵심 카드</t>
        </is>
      </c>
    </row>
    <row r="33">
      <c r="A33" t="inlineStr">
        <is>
          <t>market_fcf_yield</t>
        </is>
      </c>
      <c r="B33" t="inlineStr">
        <is>
          <t>시장내재 FCF 수익률</t>
        </is>
      </c>
      <c r="C33" t="n">
        <v>0.01760635503503295</v>
      </c>
      <c r="D33" t="inlineStr">
        <is>
          <t>percent</t>
        </is>
      </c>
      <c r="E33" t="inlineStr">
        <is>
          <t>핵심 카드</t>
        </is>
      </c>
    </row>
    <row r="34">
      <c r="A34" t="inlineStr">
        <is>
          <t>검증_status</t>
        </is>
      </c>
      <c r="B34" t="inlineStr">
        <is>
          <t>검증 상태</t>
        </is>
      </c>
      <c r="C34" t="inlineStr">
        <is>
          <t>PASS</t>
        </is>
      </c>
      <c r="D34" t="inlineStr">
        <is>
          <t>text</t>
        </is>
      </c>
      <c r="E34" t="inlineStr">
        <is>
          <t>핵심 카드</t>
        </is>
      </c>
    </row>
    <row r="35">
      <c r="A35" t="inlineStr">
        <is>
          <t>price_history</t>
        </is>
      </c>
      <c r="B35" t="inlineStr">
        <is>
          <t>주가 차트</t>
        </is>
      </c>
      <c r="C35" t="inlineStr">
        <is>
          <t>최근 250거래일</t>
        </is>
      </c>
      <c r="D35" t="inlineStr">
        <is>
          <t>list</t>
        </is>
      </c>
      <c r="E35" t="inlineStr">
        <is>
          <t>라인차트</t>
        </is>
      </c>
    </row>
    <row r="36">
      <c r="A36" t="inlineStr">
        <is>
          <t>historical_ficials</t>
        </is>
      </c>
      <c r="B36" t="inlineStr">
        <is>
          <t>재무 추이</t>
        </is>
      </c>
      <c r="C36" t="inlineStr">
        <is>
          <t>최근 5개년</t>
        </is>
      </c>
      <c r="D36" t="inlineStr">
        <is>
          <t>list</t>
        </is>
      </c>
      <c r="E36" t="inlineStr">
        <is>
          <t>막대/라인 혼합</t>
        </is>
      </c>
    </row>
    <row r="37">
      <c r="A37" t="inlineStr">
        <is>
          <t>비교기업_multiples</t>
        </is>
      </c>
      <c r="B37" t="inlineStr">
        <is>
          <t>비교기업 배수</t>
        </is>
      </c>
      <c r="C37" t="inlineStr">
        <is>
          <t>5개 기업 + 확장 비교군</t>
        </is>
      </c>
      <c r="D37" t="inlineStr">
        <is>
          <t>list</t>
        </is>
      </c>
      <c r="E37" t="inlineStr">
        <is>
          <t>상대가치 표</t>
        </is>
      </c>
    </row>
    <row r="38">
      <c r="A38" t="inlineStr">
        <is>
          <t>기준_비교군_focus</t>
        </is>
      </c>
      <c r="B38" t="inlineStr">
        <is>
          <t>208개 비교군 상대위치</t>
        </is>
      </c>
      <c r="C38" t="inlineStr">
        <is>
          <t>선택기업/동일 세부군/전체 평균</t>
        </is>
      </c>
      <c r="D38" t="inlineStr">
        <is>
          <t>list</t>
        </is>
      </c>
      <c r="E38" t="inlineStr">
        <is>
          <t>시장위치 맵</t>
        </is>
      </c>
    </row>
    <row r="39">
      <c r="A39" t="inlineStr">
        <is>
          <t>advanced_valuation</t>
        </is>
      </c>
      <c r="B39" t="inlineStr">
        <is>
          <t>종합 가치평가</t>
        </is>
      </c>
      <c r="C39" t="inlineStr">
        <is>
          <t>가치범위·역산 DCF·오너이익</t>
        </is>
      </c>
      <c r="D39" t="inlineStr">
        <is>
          <t>object</t>
        </is>
      </c>
      <c r="E39" t="inlineStr">
        <is>
          <t>상세 패널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2" customWidth="1" min="4" max="4"/>
    <col width="18" customWidth="1" min="5" max="5"/>
    <col width="14" customWidth="1" min="6" max="6"/>
    <col width="14" customWidth="1" min="7" max="7"/>
    <col width="15" customWidth="1" min="8" max="8"/>
    <col width="13" customWidth="1" min="9" max="9"/>
    <col width="10" customWidth="1" min="10" max="10"/>
    <col width="10" customWidth="1" min="11" max="11"/>
    <col width="10" customWidth="1" min="12" max="12"/>
    <col width="13" customWidth="1" min="13" max="13"/>
    <col width="18" customWidth="1" min="14" max="14"/>
  </cols>
  <sheetData>
    <row r="1" ht="34" customHeight="1">
      <c r="A1" s="44" t="inlineStr">
        <is>
          <t>티씨케이 반도체 시장 내 상대 위치 맵</t>
        </is>
      </c>
    </row>
    <row r="2" ht="22" customHeight="1">
      <c r="A2" s="2" t="inlineStr">
        <is>
          <t>기업 선택값을 바꾸면 선택기업·동일 세부군·208개 전체 평균 비교와 TAM/SAM/SOM 범위가 함께 갱신됩니다.</t>
        </is>
      </c>
    </row>
    <row r="3" ht="22" customHeight="1"/>
    <row r="4" ht="22" customHeight="1">
      <c r="A4" s="3" t="inlineStr">
        <is>
          <t>기업 선택</t>
        </is>
      </c>
      <c r="B4" s="45" t="inlineStr">
        <is>
          <t>티씨케이</t>
        </is>
      </c>
      <c r="C4" t="inlineStr"/>
      <c r="D4" s="3" t="inlineStr">
        <is>
          <t>동일 세부군</t>
        </is>
      </c>
      <c r="E4" s="45">
        <f>IFERROR(XLOOKUP($B$4,$A$59:$A$266,$E$59:$E$266),"")</f>
        <v/>
      </c>
      <c r="F4" t="inlineStr"/>
      <c r="G4" s="3" t="inlineStr">
        <is>
          <t>선택기업 점수</t>
        </is>
      </c>
      <c r="H4" s="46">
        <f>IFERROR(XLOOKUP($B$4,$A$59:$A$266,$F$59:$F$266),"")</f>
        <v/>
      </c>
      <c r="I4" t="inlineStr"/>
      <c r="J4" s="3" t="inlineStr">
        <is>
          <t>208개 내 백분위</t>
        </is>
      </c>
      <c r="K4" s="47">
        <f>IFERROR(PERCENTRANK.INC($F$59:$F$266,$H$4),"")</f>
        <v/>
      </c>
      <c r="L4" t="inlineStr"/>
      <c r="M4" s="3" t="inlineStr">
        <is>
          <t>라벨</t>
        </is>
      </c>
      <c r="N4" s="45">
        <f>IFERROR(XLOOKUP($B$4,$A$59:$A$266,$H$59:$H$266),"")</f>
        <v/>
      </c>
    </row>
    <row r="5" ht="22" customHeight="1"/>
    <row r="6" ht="22" customHeight="1"/>
    <row r="7" ht="22" customHeight="1"/>
    <row r="8" ht="22" customHeight="1">
      <c r="A8" s="5" t="inlineStr">
        <is>
          <t>비교 기준</t>
        </is>
      </c>
      <c r="B8" s="5" t="inlineStr">
        <is>
          <t>밸류에이션 점수</t>
        </is>
      </c>
      <c r="C8" s="5" t="inlineStr">
        <is>
          <t>신용위험 점수</t>
        </is>
      </c>
      <c r="D8" s="5" t="inlineStr">
        <is>
          <t>기업 수</t>
        </is>
      </c>
    </row>
    <row r="9" ht="22" customHeight="1">
      <c r="A9" s="48" t="inlineStr">
        <is>
          <t>선택기업</t>
        </is>
      </c>
      <c r="B9" s="48">
        <f>IFERROR(XLOOKUP($B$4,$A$59:$A$266,$F$59:$F$266),"")</f>
        <v/>
      </c>
      <c r="C9" s="48">
        <f>IFERROR(XLOOKUP($B$4,$A$59:$A$266,$G$59:$G$266),"")</f>
        <v/>
      </c>
      <c r="D9" s="48" t="n">
        <v>1</v>
      </c>
    </row>
    <row r="10" ht="22" customHeight="1">
      <c r="A10" s="49" t="inlineStr">
        <is>
          <t>동일 세부군 평균</t>
        </is>
      </c>
      <c r="B10" s="49">
        <f>IFERROR(AVERAGEIF($E$59:$E$266,$E$4,$F$59:$F$266),"")</f>
        <v/>
      </c>
      <c r="C10" s="49">
        <f>IFERROR(AVERAGEIF($E$59:$E$266,$E$4,$G$59:$G$266),"")</f>
        <v/>
      </c>
      <c r="D10" s="49">
        <f>IFERROR(COUNTIF($E$59:$E$266,$E$4),"")</f>
        <v/>
      </c>
    </row>
    <row r="11" ht="22" customHeight="1">
      <c r="A11" s="50" t="inlineStr">
        <is>
          <t>208개 전체 평균</t>
        </is>
      </c>
      <c r="B11" s="50">
        <f>IFERROR(AVERAGE($F$59:$F$266),"")</f>
        <v/>
      </c>
      <c r="C11" s="50">
        <f>IFERROR(AVERAGE($G$59:$G$266),"")</f>
        <v/>
      </c>
      <c r="D11" s="50" t="n">
        <v>208</v>
      </c>
    </row>
    <row r="12" ht="22" customHeight="1"/>
    <row r="13" ht="22" customHeight="1"/>
    <row r="14" ht="22" customHeight="1"/>
    <row r="15" ht="22" customHeight="1"/>
    <row r="16" ht="22" customHeight="1">
      <c r="A16" s="5" t="inlineStr">
        <is>
          <t>범위</t>
        </is>
      </c>
      <c r="B16" s="5" t="inlineStr">
        <is>
          <t>기업 수</t>
        </is>
      </c>
      <c r="C16" s="5" t="inlineStr">
        <is>
          <t>해석</t>
        </is>
      </c>
    </row>
    <row r="17" ht="22" customHeight="1">
      <c r="A17" s="48" t="inlineStr">
        <is>
          <t>TAM: 반도체 전체 비교군</t>
        </is>
      </c>
      <c r="B17" s="48" t="n">
        <v>208</v>
      </c>
      <c r="C17" s="48" t="inlineStr">
        <is>
          <t>현재 가치평가 에이전트가 비교 가능한 전체 반도체 기준군</t>
        </is>
      </c>
    </row>
    <row r="18" ht="22" customHeight="1">
      <c r="A18" s="49" t="inlineStr">
        <is>
          <t>SAM: 선택기업 세부군</t>
        </is>
      </c>
      <c r="B18" s="49">
        <f>IFERROR(COUNTIF($E$59:$E$266,$E$4),"")</f>
        <v/>
      </c>
      <c r="C18" s="49" t="inlineStr">
        <is>
          <t>동일 사업축 안에서 상대가치 비교가 더 직접적인 집단</t>
        </is>
      </c>
    </row>
    <row r="19" ht="22" customHeight="1">
      <c r="A19" s="51" t="inlineStr">
        <is>
          <t>SOM: 선택기업</t>
        </is>
      </c>
      <c r="B19" s="51" t="n">
        <v>1</v>
      </c>
      <c r="C19" s="51" t="inlineStr">
        <is>
          <t>현재 선택한 분석 대상 기업</t>
        </is>
      </c>
    </row>
    <row r="20" ht="22" customHeight="1"/>
    <row r="21" ht="22" customHeight="1"/>
    <row r="22" ht="22" customHeight="1"/>
    <row r="23" ht="22" customHeight="1"/>
    <row r="24" ht="22" customHeight="1">
      <c r="A24" s="15" t="inlineStr">
        <is>
          <t>5개 핵심기업 비교</t>
        </is>
      </c>
      <c r="B24" t="inlineStr"/>
      <c r="C24" t="inlineStr"/>
      <c r="D24" t="inlineStr"/>
      <c r="E24" t="inlineStr"/>
      <c r="F24" t="inlineStr"/>
    </row>
    <row r="25" ht="22" customHeight="1">
      <c r="A25" s="5" t="inlineStr">
        <is>
          <t>기업명</t>
        </is>
      </c>
      <c r="B25" s="5" t="inlineStr">
        <is>
          <t>세부군</t>
        </is>
      </c>
      <c r="C25" s="5" t="inlineStr">
        <is>
          <t>밸류에이션 점수</t>
        </is>
      </c>
      <c r="D25" s="5" t="inlineStr">
        <is>
          <t>신용위험 점수</t>
        </is>
      </c>
      <c r="E25" s="5" t="inlineStr">
        <is>
          <t>라벨</t>
        </is>
      </c>
      <c r="F25" s="5" t="inlineStr">
        <is>
          <t>P/S</t>
        </is>
      </c>
    </row>
    <row r="26" ht="22" customHeight="1">
      <c r="A26" s="15" t="inlineStr">
        <is>
          <t>네패스</t>
        </is>
      </c>
      <c r="B26" s="15" t="inlineStr">
        <is>
          <t>후공정/패키징/테스트</t>
        </is>
      </c>
      <c r="C26" s="15" t="n">
        <v>63.85</v>
      </c>
      <c r="D26" s="15" t="n">
        <v>28.57</v>
      </c>
      <c r="E26" s="15" t="inlineStr">
        <is>
          <t>가치 매력</t>
        </is>
      </c>
      <c r="F26" t="inlineStr"/>
    </row>
    <row r="27" ht="22" customHeight="1">
      <c r="A27" s="15" t="inlineStr">
        <is>
          <t>한솔케미칼</t>
        </is>
      </c>
      <c r="B27" s="15" t="inlineStr">
        <is>
          <t>소재</t>
        </is>
      </c>
      <c r="C27" s="15" t="n">
        <v>63.31</v>
      </c>
      <c r="D27" s="15" t="n">
        <v>0</v>
      </c>
      <c r="E27" s="15" t="inlineStr">
        <is>
          <t>가치 매력</t>
        </is>
      </c>
      <c r="F27" t="inlineStr"/>
    </row>
    <row r="28" ht="22" customHeight="1">
      <c r="A28" s="15" t="inlineStr">
        <is>
          <t>엘티씨</t>
        </is>
      </c>
      <c r="B28" s="15" t="inlineStr">
        <is>
          <t>소재</t>
        </is>
      </c>
      <c r="C28" s="15" t="n">
        <v>58.38</v>
      </c>
      <c r="D28" s="15" t="n">
        <v>0</v>
      </c>
      <c r="E28" s="15" t="inlineStr">
        <is>
          <t>중립</t>
        </is>
      </c>
      <c r="F28" t="inlineStr"/>
    </row>
    <row r="29" ht="22" customHeight="1">
      <c r="A29" s="15" t="inlineStr">
        <is>
          <t>한미반도체</t>
        </is>
      </c>
      <c r="B29" s="15" t="inlineStr">
        <is>
          <t>후공정/패키징/테스트</t>
        </is>
      </c>
      <c r="C29" s="15" t="n">
        <v>47.13</v>
      </c>
      <c r="D29" s="15" t="n">
        <v>0</v>
      </c>
      <c r="E29" s="15" t="inlineStr">
        <is>
          <t>중립</t>
        </is>
      </c>
      <c r="F29" t="inlineStr"/>
    </row>
    <row r="30" ht="22" customHeight="1">
      <c r="A30" s="15" t="inlineStr">
        <is>
          <t>덕산테코피아</t>
        </is>
      </c>
      <c r="B30" s="15" t="inlineStr">
        <is>
          <t>소재</t>
        </is>
      </c>
      <c r="C30" s="15" t="n">
        <v>25.1</v>
      </c>
      <c r="D30" s="15" t="n">
        <v>71.43000000000001</v>
      </c>
      <c r="E30" s="15" t="inlineStr">
        <is>
          <t>고평가 부담</t>
        </is>
      </c>
      <c r="F30" t="inlineStr"/>
    </row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>
      <c r="A57" s="3" t="inlineStr">
        <is>
          <t>선택/차트 원천 데이터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 ht="22" customHeight="1">
      <c r="A58" s="5" t="inlineStr">
        <is>
          <t>기업명</t>
        </is>
      </c>
      <c r="B58" s="5" t="inlineStr">
        <is>
          <t>기업코드</t>
        </is>
      </c>
      <c r="C58" s="5" t="inlineStr">
        <is>
          <t>종목코드</t>
        </is>
      </c>
      <c r="D58" s="5" t="inlineStr">
        <is>
          <t>시장</t>
        </is>
      </c>
      <c r="E58" s="5" t="inlineStr">
        <is>
          <t>세부군</t>
        </is>
      </c>
      <c r="F58" s="5" t="inlineStr">
        <is>
          <t>밸류에이션 점수</t>
        </is>
      </c>
      <c r="G58" s="5" t="inlineStr">
        <is>
          <t>신용위험 점수</t>
        </is>
      </c>
      <c r="H58" s="5" t="inlineStr">
        <is>
          <t>라벨</t>
        </is>
      </c>
      <c r="I58" s="5" t="inlineStr">
        <is>
          <t>신뢰도</t>
        </is>
      </c>
      <c r="J58" s="5" t="inlineStr">
        <is>
          <t>5개 핵심</t>
        </is>
      </c>
      <c r="K58" s="5" t="inlineStr">
        <is>
          <t>분석대상</t>
        </is>
      </c>
      <c r="L58" s="5" t="inlineStr">
        <is>
          <t>P/S</t>
        </is>
      </c>
    </row>
    <row r="59" ht="22" customHeight="1">
      <c r="A59" s="15" t="inlineStr">
        <is>
          <t>엔투텍</t>
        </is>
      </c>
      <c r="B59" t="inlineStr"/>
      <c r="C59" s="15" t="inlineStr">
        <is>
          <t>227950</t>
        </is>
      </c>
      <c r="D59" s="15" t="inlineStr">
        <is>
          <t>KOSDAQ</t>
        </is>
      </c>
      <c r="E59" s="15" t="inlineStr">
        <is>
          <t>장비</t>
        </is>
      </c>
      <c r="F59" s="15" t="n">
        <v>81.29000000000001</v>
      </c>
      <c r="G59" s="15" t="n">
        <v>21.43</v>
      </c>
      <c r="H59" s="15" t="inlineStr">
        <is>
          <t>가치 매력</t>
        </is>
      </c>
      <c r="I59" s="15" t="inlineStr">
        <is>
          <t>0.8347222629406851</t>
        </is>
      </c>
      <c r="J59" t="inlineStr"/>
      <c r="K59" t="inlineStr"/>
      <c r="L59" t="inlineStr"/>
    </row>
    <row r="60" ht="22" customHeight="1">
      <c r="A60" s="15" t="inlineStr">
        <is>
          <t>에스에이엠티</t>
        </is>
      </c>
      <c r="B60" t="inlineStr"/>
      <c r="C60" s="15" t="inlineStr">
        <is>
          <t>031330</t>
        </is>
      </c>
      <c r="D60" s="15" t="inlineStr">
        <is>
          <t>KOSDAQ</t>
        </is>
      </c>
      <c r="E60" s="15" t="inlineStr">
        <is>
          <t>팹리스/설계</t>
        </is>
      </c>
      <c r="F60" s="15" t="n">
        <v>78.38</v>
      </c>
      <c r="G60" s="15" t="n">
        <v>50</v>
      </c>
      <c r="H60" s="15" t="inlineStr">
        <is>
          <t>중립</t>
        </is>
      </c>
      <c r="I60" s="15" t="inlineStr">
        <is>
          <t>0.8575928985222669</t>
        </is>
      </c>
      <c r="J60" t="inlineStr"/>
      <c r="K60" t="inlineStr"/>
      <c r="L60" t="inlineStr"/>
    </row>
    <row r="61" ht="22" customHeight="1">
      <c r="A61" s="15" t="inlineStr">
        <is>
          <t>성우테크론</t>
        </is>
      </c>
      <c r="B61" t="inlineStr"/>
      <c r="C61" s="15" t="inlineStr">
        <is>
          <t>045300</t>
        </is>
      </c>
      <c r="D61" s="15" t="inlineStr">
        <is>
          <t>KOSDAQ</t>
        </is>
      </c>
      <c r="E61" s="15" t="inlineStr">
        <is>
          <t>후공정/패키징/테스트</t>
        </is>
      </c>
      <c r="F61" s="15" t="n">
        <v>77.64</v>
      </c>
      <c r="G61" s="15" t="n">
        <v>7.14</v>
      </c>
      <c r="H61" s="15" t="inlineStr">
        <is>
          <t>가치 매력</t>
        </is>
      </c>
      <c r="I61" s="15" t="inlineStr">
        <is>
          <t>0.9526864248076319</t>
        </is>
      </c>
      <c r="J61" t="inlineStr"/>
      <c r="K61" t="inlineStr"/>
      <c r="L61" t="inlineStr"/>
    </row>
    <row r="62" ht="22" customHeight="1">
      <c r="A62" s="15" t="inlineStr">
        <is>
          <t>미래산업</t>
        </is>
      </c>
      <c r="B62" t="inlineStr"/>
      <c r="C62" s="15" t="inlineStr">
        <is>
          <t>025560</t>
        </is>
      </c>
      <c r="D62" s="15" t="inlineStr">
        <is>
          <t>KOSPI</t>
        </is>
      </c>
      <c r="E62" s="15" t="inlineStr">
        <is>
          <t>후공정/패키징/테스트</t>
        </is>
      </c>
      <c r="F62" s="15" t="n">
        <v>77.48</v>
      </c>
      <c r="G62" s="15" t="n">
        <v>28.57</v>
      </c>
      <c r="H62" s="15" t="inlineStr">
        <is>
          <t>중립</t>
        </is>
      </c>
      <c r="I62" s="15" t="inlineStr">
        <is>
          <t>0.883291104654336</t>
        </is>
      </c>
      <c r="J62" t="inlineStr"/>
      <c r="K62" t="inlineStr"/>
      <c r="L62" t="inlineStr"/>
    </row>
    <row r="63" ht="22" customHeight="1">
      <c r="A63" s="15" t="inlineStr">
        <is>
          <t>미코</t>
        </is>
      </c>
      <c r="B63" t="inlineStr"/>
      <c r="C63" s="15" t="inlineStr">
        <is>
          <t>059090</t>
        </is>
      </c>
      <c r="D63" s="15" t="inlineStr">
        <is>
          <t>KOSDAQ</t>
        </is>
      </c>
      <c r="E63" s="15" t="inlineStr">
        <is>
          <t>IDM/제조/메모리</t>
        </is>
      </c>
      <c r="F63" s="15" t="n">
        <v>77.33</v>
      </c>
      <c r="G63" s="15" t="n">
        <v>21.43</v>
      </c>
      <c r="H63" s="15" t="inlineStr">
        <is>
          <t>중립</t>
        </is>
      </c>
      <c r="I63" s="15" t="inlineStr">
        <is>
          <t>0.9066669659525092</t>
        </is>
      </c>
      <c r="J63" t="inlineStr"/>
      <c r="K63" t="inlineStr"/>
      <c r="L63" t="inlineStr"/>
    </row>
    <row r="64" ht="22" customHeight="1">
      <c r="A64" s="15" t="inlineStr">
        <is>
          <t>링크제니시스</t>
        </is>
      </c>
      <c r="B64" t="inlineStr"/>
      <c r="C64" s="15" t="inlineStr">
        <is>
          <t>219420</t>
        </is>
      </c>
      <c r="D64" s="15" t="inlineStr">
        <is>
          <t>KOSDAQ</t>
        </is>
      </c>
      <c r="E64" s="15" t="inlineStr">
        <is>
          <t>후공정/패키징/테스트</t>
        </is>
      </c>
      <c r="F64" s="15" t="n">
        <v>75.23</v>
      </c>
      <c r="G64" s="15" t="n">
        <v>7.14</v>
      </c>
      <c r="H64" s="15" t="inlineStr">
        <is>
          <t>가치 매력</t>
        </is>
      </c>
      <c r="I64" s="15" t="inlineStr">
        <is>
          <t>0.8724992666433111</t>
        </is>
      </c>
      <c r="J64" t="inlineStr"/>
      <c r="K64" t="inlineStr"/>
      <c r="L64" t="inlineStr"/>
    </row>
    <row r="65" ht="22" customHeight="1">
      <c r="A65" s="15" t="inlineStr">
        <is>
          <t>엘디티</t>
        </is>
      </c>
      <c r="B65" t="inlineStr"/>
      <c r="C65" s="15" t="inlineStr">
        <is>
          <t>096870</t>
        </is>
      </c>
      <c r="D65" s="15" t="inlineStr">
        <is>
          <t>KOSDAQ</t>
        </is>
      </c>
      <c r="E65" s="15" t="inlineStr">
        <is>
          <t>IDM/제조/메모리</t>
        </is>
      </c>
      <c r="F65" s="15" t="n">
        <v>75.18000000000001</v>
      </c>
      <c r="G65" s="15" t="n">
        <v>7.14</v>
      </c>
      <c r="H65" s="15" t="inlineStr">
        <is>
          <t>가치 매력</t>
        </is>
      </c>
      <c r="I65" s="15" t="inlineStr">
        <is>
          <t>0.8817908899004964</t>
        </is>
      </c>
      <c r="J65" t="inlineStr"/>
      <c r="K65" t="inlineStr"/>
      <c r="L65" t="inlineStr"/>
    </row>
    <row r="66" ht="22" customHeight="1">
      <c r="A66" s="15" t="inlineStr">
        <is>
          <t>유니트론텍</t>
        </is>
      </c>
      <c r="B66" t="inlineStr"/>
      <c r="C66" s="15" t="inlineStr">
        <is>
          <t>142210</t>
        </is>
      </c>
      <c r="D66" s="15" t="inlineStr">
        <is>
          <t>KOSDAQ</t>
        </is>
      </c>
      <c r="E66" s="15" t="inlineStr">
        <is>
          <t>팹리스/설계</t>
        </is>
      </c>
      <c r="F66" s="15" t="n">
        <v>74.79000000000001</v>
      </c>
      <c r="G66" s="15" t="n">
        <v>35.71</v>
      </c>
      <c r="H66" s="15" t="inlineStr">
        <is>
          <t>중립</t>
        </is>
      </c>
      <c r="I66" s="15" t="inlineStr">
        <is>
          <t>0.8593164302034415</t>
        </is>
      </c>
      <c r="J66" t="inlineStr"/>
      <c r="K66" t="inlineStr"/>
      <c r="L66" t="inlineStr"/>
    </row>
    <row r="67" ht="22" customHeight="1">
      <c r="A67" s="15" t="inlineStr">
        <is>
          <t>메카로</t>
        </is>
      </c>
      <c r="B67" t="inlineStr"/>
      <c r="C67" s="15" t="inlineStr">
        <is>
          <t>241770</t>
        </is>
      </c>
      <c r="D67" s="15" t="inlineStr">
        <is>
          <t>KOSDAQ</t>
        </is>
      </c>
      <c r="E67" s="15" t="inlineStr">
        <is>
          <t>IDM/제조/메모리</t>
        </is>
      </c>
      <c r="F67" s="15" t="n">
        <v>74.77</v>
      </c>
      <c r="G67" s="15" t="n">
        <v>0</v>
      </c>
      <c r="H67" s="15" t="inlineStr">
        <is>
          <t>가치 매력</t>
        </is>
      </c>
      <c r="I67" s="15" t="inlineStr">
        <is>
          <t>0.9154158498128573</t>
        </is>
      </c>
      <c r="J67" t="inlineStr"/>
      <c r="K67" t="inlineStr"/>
      <c r="L67" t="inlineStr"/>
    </row>
    <row r="68" ht="22" customHeight="1">
      <c r="A68" s="15" t="inlineStr">
        <is>
          <t>월덱스</t>
        </is>
      </c>
      <c r="B68" t="inlineStr"/>
      <c r="C68" s="15" t="inlineStr">
        <is>
          <t>101160</t>
        </is>
      </c>
      <c r="D68" s="15" t="inlineStr">
        <is>
          <t>KOSDAQ</t>
        </is>
      </c>
      <c r="E68" s="15" t="inlineStr">
        <is>
          <t>소재</t>
        </is>
      </c>
      <c r="F68" s="15" t="n">
        <v>74.59</v>
      </c>
      <c r="G68" s="15" t="n">
        <v>0</v>
      </c>
      <c r="H68" s="15" t="inlineStr">
        <is>
          <t>가치 매력</t>
        </is>
      </c>
      <c r="I68" s="15" t="inlineStr">
        <is>
          <t>0.9476922450763601</t>
        </is>
      </c>
      <c r="J68" t="inlineStr"/>
      <c r="K68" t="inlineStr"/>
      <c r="L68" t="inlineStr"/>
    </row>
    <row r="69" ht="22" customHeight="1">
      <c r="A69" s="15" t="inlineStr">
        <is>
          <t>앤씨앤</t>
        </is>
      </c>
      <c r="B69" t="inlineStr"/>
      <c r="C69" s="15" t="inlineStr">
        <is>
          <t>092600</t>
        </is>
      </c>
      <c r="D69" s="15" t="inlineStr">
        <is>
          <t>KOSDAQ</t>
        </is>
      </c>
      <c r="E69" s="15" t="inlineStr">
        <is>
          <t>팹리스/설계</t>
        </is>
      </c>
      <c r="F69" s="15" t="n">
        <v>74.51000000000001</v>
      </c>
      <c r="G69" s="15" t="n">
        <v>50</v>
      </c>
      <c r="H69" s="15" t="inlineStr">
        <is>
          <t>중립</t>
        </is>
      </c>
      <c r="I69" s="15" t="inlineStr">
        <is>
          <t>0.8450252323777523</t>
        </is>
      </c>
      <c r="J69" t="inlineStr"/>
      <c r="K69" t="inlineStr"/>
      <c r="L69" t="inlineStr"/>
    </row>
    <row r="70" ht="22" customHeight="1">
      <c r="A70" s="15" t="inlineStr">
        <is>
          <t>퓨릿</t>
        </is>
      </c>
      <c r="B70" t="inlineStr"/>
      <c r="C70" s="15" t="inlineStr">
        <is>
          <t>445180</t>
        </is>
      </c>
      <c r="D70" s="15" t="inlineStr">
        <is>
          <t>KOSDAQ</t>
        </is>
      </c>
      <c r="E70" s="15" t="inlineStr">
        <is>
          <t>소재</t>
        </is>
      </c>
      <c r="F70" s="15" t="n">
        <v>74.48999999999999</v>
      </c>
      <c r="G70" s="15" t="n">
        <v>7.14</v>
      </c>
      <c r="H70" s="15" t="inlineStr">
        <is>
          <t>가치 매력</t>
        </is>
      </c>
      <c r="I70" s="15" t="inlineStr">
        <is>
          <t>0.8817607106455689</t>
        </is>
      </c>
      <c r="J70" t="inlineStr"/>
      <c r="K70" t="inlineStr"/>
      <c r="L70" t="inlineStr"/>
    </row>
    <row r="71" ht="22" customHeight="1">
      <c r="A71" s="15" t="inlineStr">
        <is>
          <t>마이크로컨텍솔</t>
        </is>
      </c>
      <c r="B71" t="inlineStr"/>
      <c r="C71" s="15" t="inlineStr">
        <is>
          <t>098120</t>
        </is>
      </c>
      <c r="D71" s="15" t="inlineStr">
        <is>
          <t>KOSDAQ</t>
        </is>
      </c>
      <c r="E71" s="15" t="inlineStr">
        <is>
          <t>팹리스/설계</t>
        </is>
      </c>
      <c r="F71" s="15" t="n">
        <v>73.84</v>
      </c>
      <c r="G71" s="15" t="n">
        <v>14.29</v>
      </c>
      <c r="H71" s="15" t="inlineStr">
        <is>
          <t>가치 매력</t>
        </is>
      </c>
      <c r="I71" s="15" t="inlineStr">
        <is>
          <t>0.8262966149459129</t>
        </is>
      </c>
      <c r="J71" t="inlineStr"/>
      <c r="K71" t="inlineStr"/>
      <c r="L71" t="inlineStr"/>
    </row>
    <row r="72" ht="22" customHeight="1">
      <c r="A72" s="15" t="inlineStr">
        <is>
          <t>프로텍</t>
        </is>
      </c>
      <c r="B72" t="inlineStr"/>
      <c r="C72" s="15" t="inlineStr">
        <is>
          <t>053610</t>
        </is>
      </c>
      <c r="D72" s="15" t="inlineStr">
        <is>
          <t>KOSDAQ</t>
        </is>
      </c>
      <c r="E72" s="15" t="inlineStr">
        <is>
          <t>후공정/패키징/테스트</t>
        </is>
      </c>
      <c r="F72" s="15" t="n">
        <v>73.42</v>
      </c>
      <c r="G72" s="15" t="n">
        <v>7.14</v>
      </c>
      <c r="H72" s="15" t="inlineStr">
        <is>
          <t>중립</t>
        </is>
      </c>
      <c r="I72" s="15" t="inlineStr">
        <is>
          <t>0.8971257561900263</t>
        </is>
      </c>
      <c r="J72" t="inlineStr"/>
      <c r="K72" t="inlineStr"/>
      <c r="L72" t="inlineStr"/>
    </row>
    <row r="73" ht="22" customHeight="1">
      <c r="A73" s="15" t="inlineStr">
        <is>
          <t>아이앤씨</t>
        </is>
      </c>
      <c r="B73" t="inlineStr"/>
      <c r="C73" s="15" t="inlineStr">
        <is>
          <t>052860</t>
        </is>
      </c>
      <c r="D73" s="15" t="inlineStr">
        <is>
          <t>KOSDAQ</t>
        </is>
      </c>
      <c r="E73" s="15" t="inlineStr">
        <is>
          <t>팹리스/설계</t>
        </is>
      </c>
      <c r="F73" s="15" t="n">
        <v>73.25</v>
      </c>
      <c r="G73" s="15" t="n">
        <v>0</v>
      </c>
      <c r="H73" s="15" t="inlineStr">
        <is>
          <t>가치 매력</t>
        </is>
      </c>
      <c r="I73" s="15" t="inlineStr">
        <is>
          <t>0.9267130449922303</t>
        </is>
      </c>
      <c r="J73" t="inlineStr"/>
      <c r="K73" t="inlineStr"/>
      <c r="L73" t="inlineStr"/>
    </row>
    <row r="74" ht="22" customHeight="1">
      <c r="A74" s="15" t="inlineStr">
        <is>
          <t>비아트론</t>
        </is>
      </c>
      <c r="B74" t="inlineStr"/>
      <c r="C74" s="15" t="inlineStr">
        <is>
          <t>141000</t>
        </is>
      </c>
      <c r="D74" s="15" t="inlineStr">
        <is>
          <t>KOSDAQ</t>
        </is>
      </c>
      <c r="E74" s="15" t="inlineStr">
        <is>
          <t>장비</t>
        </is>
      </c>
      <c r="F74" s="15" t="n">
        <v>71.05</v>
      </c>
      <c r="G74" s="15" t="n">
        <v>0</v>
      </c>
      <c r="H74" s="15" t="inlineStr">
        <is>
          <t>가치 매력</t>
        </is>
      </c>
      <c r="I74" s="15" t="inlineStr">
        <is>
          <t>0.934708213344448</t>
        </is>
      </c>
      <c r="J74" t="inlineStr"/>
      <c r="K74" t="inlineStr"/>
      <c r="L74" t="inlineStr"/>
    </row>
    <row r="75" ht="22" customHeight="1">
      <c r="A75" s="15" t="inlineStr">
        <is>
          <t>인터플렉스</t>
        </is>
      </c>
      <c r="B75" t="inlineStr"/>
      <c r="C75" s="15" t="inlineStr">
        <is>
          <t>051370</t>
        </is>
      </c>
      <c r="D75" s="15" t="inlineStr">
        <is>
          <t>KOSDAQ</t>
        </is>
      </c>
      <c r="E75" s="15" t="inlineStr">
        <is>
          <t>부품/기판</t>
        </is>
      </c>
      <c r="F75" s="15" t="n">
        <v>70.90000000000001</v>
      </c>
      <c r="G75" s="15" t="n">
        <v>7.14</v>
      </c>
      <c r="H75" s="15" t="inlineStr">
        <is>
          <t>중립</t>
        </is>
      </c>
      <c r="I75" s="15" t="inlineStr">
        <is>
          <t>0.904555257888918</t>
        </is>
      </c>
      <c r="J75" t="inlineStr"/>
      <c r="K75" t="inlineStr"/>
      <c r="L75" t="inlineStr"/>
    </row>
    <row r="76" ht="22" customHeight="1">
      <c r="A76" s="15" t="inlineStr">
        <is>
          <t>삼성전자</t>
        </is>
      </c>
      <c r="B76" t="inlineStr"/>
      <c r="C76" s="15" t="inlineStr">
        <is>
          <t>005930</t>
        </is>
      </c>
      <c r="D76" s="15" t="inlineStr">
        <is>
          <t>KOSPI</t>
        </is>
      </c>
      <c r="E76" s="15" t="inlineStr">
        <is>
          <t>IDM/제조/메모리</t>
        </is>
      </c>
      <c r="F76" s="15" t="n">
        <v>70.78</v>
      </c>
      <c r="G76" s="15" t="n">
        <v>0</v>
      </c>
      <c r="H76" s="15" t="inlineStr">
        <is>
          <t>가치 매력</t>
        </is>
      </c>
      <c r="I76" s="15" t="inlineStr">
        <is>
          <t>0.9371541027950523</t>
        </is>
      </c>
      <c r="J76" t="inlineStr"/>
      <c r="K76" t="inlineStr"/>
      <c r="L76" t="inlineStr"/>
    </row>
    <row r="77" ht="22" customHeight="1">
      <c r="A77" s="15" t="inlineStr">
        <is>
          <t>케이씨</t>
        </is>
      </c>
      <c r="B77" t="inlineStr"/>
      <c r="C77" s="15" t="inlineStr">
        <is>
          <t>029460</t>
        </is>
      </c>
      <c r="D77" s="15" t="inlineStr">
        <is>
          <t>KOSPI</t>
        </is>
      </c>
      <c r="E77" s="15" t="inlineStr">
        <is>
          <t>장비</t>
        </is>
      </c>
      <c r="F77" s="15" t="n">
        <v>70.65000000000001</v>
      </c>
      <c r="G77" s="15" t="n">
        <v>0</v>
      </c>
      <c r="H77" s="15" t="inlineStr">
        <is>
          <t>가치 매력</t>
        </is>
      </c>
      <c r="I77" s="15" t="inlineStr">
        <is>
          <t>0.9151708177015135</t>
        </is>
      </c>
      <c r="J77" t="inlineStr"/>
      <c r="K77" t="inlineStr"/>
      <c r="L77" t="inlineStr"/>
    </row>
    <row r="78" ht="22" customHeight="1">
      <c r="A78" s="15" t="inlineStr">
        <is>
          <t>이엔에프테크놀로지</t>
        </is>
      </c>
      <c r="B78" t="inlineStr"/>
      <c r="C78" s="15" t="inlineStr">
        <is>
          <t>102710</t>
        </is>
      </c>
      <c r="D78" s="15" t="inlineStr">
        <is>
          <t>KOSDAQ</t>
        </is>
      </c>
      <c r="E78" s="15" t="inlineStr">
        <is>
          <t>소재</t>
        </is>
      </c>
      <c r="F78" s="15" t="n">
        <v>70.62</v>
      </c>
      <c r="G78" s="15" t="n">
        <v>0</v>
      </c>
      <c r="H78" s="15" t="inlineStr">
        <is>
          <t>가치 매력</t>
        </is>
      </c>
      <c r="I78" s="15" t="inlineStr">
        <is>
          <t>0.9371627732042065</t>
        </is>
      </c>
      <c r="J78" t="inlineStr"/>
      <c r="K78" t="inlineStr"/>
      <c r="L78" t="inlineStr"/>
    </row>
    <row r="79" ht="22" customHeight="1">
      <c r="A79" s="15" t="inlineStr">
        <is>
          <t>매커스</t>
        </is>
      </c>
      <c r="B79" t="inlineStr"/>
      <c r="C79" s="15" t="inlineStr">
        <is>
          <t>093520</t>
        </is>
      </c>
      <c r="D79" s="15" t="inlineStr">
        <is>
          <t>KOSDAQ</t>
        </is>
      </c>
      <c r="E79" s="15" t="inlineStr">
        <is>
          <t>팹리스/설계</t>
        </is>
      </c>
      <c r="F79" s="15" t="n">
        <v>70.56999999999999</v>
      </c>
      <c r="G79" s="15" t="n">
        <v>0</v>
      </c>
      <c r="H79" s="15" t="inlineStr">
        <is>
          <t>가치 매력</t>
        </is>
      </c>
      <c r="I79" s="15" t="inlineStr">
        <is>
          <t>0.9375173489226767</t>
        </is>
      </c>
      <c r="J79" t="inlineStr"/>
      <c r="K79" t="inlineStr"/>
      <c r="L79" t="inlineStr"/>
    </row>
    <row r="80" ht="22" customHeight="1">
      <c r="A80" s="15" t="inlineStr">
        <is>
          <t>LX세미콘</t>
        </is>
      </c>
      <c r="B80" t="inlineStr"/>
      <c r="C80" s="15" t="inlineStr">
        <is>
          <t>108320</t>
        </is>
      </c>
      <c r="D80" s="15" t="inlineStr">
        <is>
          <t>KOSPI</t>
        </is>
      </c>
      <c r="E80" s="15" t="inlineStr">
        <is>
          <t>팹리스/설계</t>
        </is>
      </c>
      <c r="F80" s="15" t="n">
        <v>69.54000000000001</v>
      </c>
      <c r="G80" s="15" t="n">
        <v>0</v>
      </c>
      <c r="H80" s="15" t="inlineStr">
        <is>
          <t>가치 매력</t>
        </is>
      </c>
      <c r="I80" s="15" t="inlineStr">
        <is>
          <t>0.951012131492064</t>
        </is>
      </c>
      <c r="J80" t="inlineStr"/>
      <c r="K80" t="inlineStr"/>
      <c r="L80" t="inlineStr"/>
    </row>
    <row r="81" ht="22" customHeight="1">
      <c r="A81" s="15" t="inlineStr">
        <is>
          <t>SK하이닉스</t>
        </is>
      </c>
      <c r="B81" t="inlineStr"/>
      <c r="C81" s="15" t="inlineStr">
        <is>
          <t>000660</t>
        </is>
      </c>
      <c r="D81" s="15" t="inlineStr">
        <is>
          <t>KOSPI</t>
        </is>
      </c>
      <c r="E81" s="15" t="inlineStr">
        <is>
          <t>IDM/제조/메모리</t>
        </is>
      </c>
      <c r="F81" s="15" t="n">
        <v>69.33</v>
      </c>
      <c r="G81" s="15" t="n">
        <v>0</v>
      </c>
      <c r="H81" s="15" t="inlineStr">
        <is>
          <t>가치 매력</t>
        </is>
      </c>
      <c r="I81" s="15" t="inlineStr">
        <is>
          <t>0.8582250965188642</t>
        </is>
      </c>
      <c r="J81" t="inlineStr"/>
      <c r="K81" t="inlineStr"/>
      <c r="L81" t="inlineStr"/>
    </row>
    <row r="82" ht="22" customHeight="1">
      <c r="A82" s="15" t="inlineStr">
        <is>
          <t>어보브반도체</t>
        </is>
      </c>
      <c r="B82" t="inlineStr"/>
      <c r="C82" s="15" t="inlineStr">
        <is>
          <t>102120</t>
        </is>
      </c>
      <c r="D82" s="15" t="inlineStr">
        <is>
          <t>KOSDAQ</t>
        </is>
      </c>
      <c r="E82" s="15" t="inlineStr">
        <is>
          <t>팹리스/설계</t>
        </is>
      </c>
      <c r="F82" s="15" t="n">
        <v>69.33</v>
      </c>
      <c r="G82" s="15" t="n">
        <v>7.14</v>
      </c>
      <c r="H82" s="15" t="inlineStr">
        <is>
          <t>중립</t>
        </is>
      </c>
      <c r="I82" s="15" t="inlineStr">
        <is>
          <t>0.9028406871788379</t>
        </is>
      </c>
      <c r="J82" t="inlineStr"/>
      <c r="K82" t="inlineStr"/>
      <c r="L82" t="inlineStr"/>
    </row>
    <row r="83" ht="22" customHeight="1">
      <c r="A83" s="15" t="inlineStr">
        <is>
          <t>더코디</t>
        </is>
      </c>
      <c r="B83" t="inlineStr"/>
      <c r="C83" s="15" t="inlineStr">
        <is>
          <t>224060</t>
        </is>
      </c>
      <c r="D83" s="15" t="inlineStr">
        <is>
          <t>KOSDAQ</t>
        </is>
      </c>
      <c r="E83" s="15" t="inlineStr">
        <is>
          <t>장비</t>
        </is>
      </c>
      <c r="F83" s="15" t="n">
        <v>69.09</v>
      </c>
      <c r="G83" s="15" t="n">
        <v>85.70999999999999</v>
      </c>
      <c r="H83" s="15" t="inlineStr">
        <is>
          <t>중립</t>
        </is>
      </c>
      <c r="I83" s="15" t="inlineStr">
        <is>
          <t>0.6613330626239345</t>
        </is>
      </c>
      <c r="J83" t="inlineStr"/>
      <c r="K83" t="inlineStr"/>
      <c r="L83" t="inlineStr"/>
    </row>
    <row r="84" ht="22" customHeight="1">
      <c r="A84" s="15" t="inlineStr">
        <is>
          <t>프로이천</t>
        </is>
      </c>
      <c r="B84" t="inlineStr"/>
      <c r="C84" s="15" t="inlineStr">
        <is>
          <t>321260</t>
        </is>
      </c>
      <c r="D84" s="15" t="inlineStr">
        <is>
          <t>KOSDAQ</t>
        </is>
      </c>
      <c r="E84" s="15" t="inlineStr">
        <is>
          <t>후공정/패키징/테스트</t>
        </is>
      </c>
      <c r="F84" s="15" t="n">
        <v>69.05</v>
      </c>
      <c r="G84" s="15" t="n">
        <v>14.29</v>
      </c>
      <c r="H84" s="15" t="inlineStr">
        <is>
          <t>가치 매력</t>
        </is>
      </c>
      <c r="I84" s="15" t="inlineStr">
        <is>
          <t>0.9481469936627798</t>
        </is>
      </c>
      <c r="J84" t="inlineStr"/>
      <c r="K84" t="inlineStr"/>
      <c r="L84" t="inlineStr"/>
    </row>
    <row r="85" ht="22" customHeight="1">
      <c r="A85" s="15" t="inlineStr">
        <is>
          <t>케이엔제이</t>
        </is>
      </c>
      <c r="B85" t="inlineStr"/>
      <c r="C85" s="15" t="inlineStr">
        <is>
          <t>272110</t>
        </is>
      </c>
      <c r="D85" s="15" t="inlineStr">
        <is>
          <t>KOSDAQ</t>
        </is>
      </c>
      <c r="E85" s="15" t="inlineStr">
        <is>
          <t>IDM/제조/메모리</t>
        </is>
      </c>
      <c r="F85" s="15" t="n">
        <v>69</v>
      </c>
      <c r="G85" s="15" t="n">
        <v>35.71</v>
      </c>
      <c r="H85" s="15" t="inlineStr">
        <is>
          <t>중립</t>
        </is>
      </c>
      <c r="I85" s="15" t="inlineStr">
        <is>
          <t>0.8941431334693103</t>
        </is>
      </c>
      <c r="J85" t="inlineStr"/>
      <c r="K85" t="inlineStr"/>
      <c r="L85" t="inlineStr"/>
    </row>
    <row r="86" ht="22" customHeight="1">
      <c r="A86" s="15" t="inlineStr">
        <is>
          <t>KPX케미칼</t>
        </is>
      </c>
      <c r="B86" t="inlineStr"/>
      <c r="C86" s="15" t="inlineStr">
        <is>
          <t>025000</t>
        </is>
      </c>
      <c r="D86" s="15" t="inlineStr">
        <is>
          <t>KOSPI</t>
        </is>
      </c>
      <c r="E86" s="15" t="inlineStr">
        <is>
          <t>장비</t>
        </is>
      </c>
      <c r="F86" s="15" t="n">
        <v>68.76000000000001</v>
      </c>
      <c r="G86" s="15" t="n">
        <v>0</v>
      </c>
      <c r="H86" s="15" t="inlineStr">
        <is>
          <t>가치 매력</t>
        </is>
      </c>
      <c r="I86" s="15" t="inlineStr">
        <is>
          <t>0.9091955435785402</t>
        </is>
      </c>
      <c r="J86" t="inlineStr"/>
      <c r="K86" t="inlineStr"/>
      <c r="L86" t="inlineStr"/>
    </row>
    <row r="87" ht="22" customHeight="1">
      <c r="A87" s="15" t="inlineStr">
        <is>
          <t>성도이엔지</t>
        </is>
      </c>
      <c r="B87" t="inlineStr"/>
      <c r="C87" s="15" t="inlineStr">
        <is>
          <t>037350</t>
        </is>
      </c>
      <c r="D87" s="15" t="inlineStr">
        <is>
          <t>KOSDAQ</t>
        </is>
      </c>
      <c r="E87" s="15" t="inlineStr">
        <is>
          <t>장비</t>
        </is>
      </c>
      <c r="F87" s="15" t="n">
        <v>68.75</v>
      </c>
      <c r="G87" s="15" t="n">
        <v>0</v>
      </c>
      <c r="H87" s="15" t="inlineStr">
        <is>
          <t>가치 매력</t>
        </is>
      </c>
      <c r="I87" s="15" t="inlineStr">
        <is>
          <t>0.9250659167833418</t>
        </is>
      </c>
      <c r="J87" t="inlineStr"/>
      <c r="K87" t="inlineStr"/>
      <c r="L87" t="inlineStr"/>
    </row>
    <row r="88" ht="22" customHeight="1">
      <c r="A88" s="15" t="inlineStr">
        <is>
          <t>한양디지텍</t>
        </is>
      </c>
      <c r="B88" t="inlineStr"/>
      <c r="C88" s="15" t="inlineStr">
        <is>
          <t>078350</t>
        </is>
      </c>
      <c r="D88" s="15" t="inlineStr">
        <is>
          <t>KOSDAQ</t>
        </is>
      </c>
      <c r="E88" s="15" t="inlineStr">
        <is>
          <t>IDM/제조/메모리</t>
        </is>
      </c>
      <c r="F88" s="15" t="n">
        <v>68.05</v>
      </c>
      <c r="G88" s="15" t="n">
        <v>7.14</v>
      </c>
      <c r="H88" s="15" t="inlineStr">
        <is>
          <t>가치 매력</t>
        </is>
      </c>
      <c r="I88" s="15" t="inlineStr">
        <is>
          <t>0.8705426081647281</t>
        </is>
      </c>
      <c r="J88" t="inlineStr"/>
      <c r="K88" t="inlineStr"/>
      <c r="L88" t="inlineStr"/>
    </row>
    <row r="89" ht="22" customHeight="1">
      <c r="A89" s="15" t="inlineStr">
        <is>
          <t>유니퀘스트</t>
        </is>
      </c>
      <c r="B89" t="inlineStr"/>
      <c r="C89" s="15" t="inlineStr">
        <is>
          <t>077500</t>
        </is>
      </c>
      <c r="D89" s="15" t="inlineStr">
        <is>
          <t>KOSPI</t>
        </is>
      </c>
      <c r="E89" s="15" t="inlineStr">
        <is>
          <t>장비</t>
        </is>
      </c>
      <c r="F89" s="15" t="n">
        <v>67.84</v>
      </c>
      <c r="G89" s="15" t="n">
        <v>0</v>
      </c>
      <c r="H89" s="15" t="inlineStr">
        <is>
          <t>가치 매력</t>
        </is>
      </c>
      <c r="I89" s="15" t="inlineStr">
        <is>
          <t>0.8881603628406226</t>
        </is>
      </c>
      <c r="J89" t="inlineStr"/>
      <c r="K89" t="inlineStr"/>
      <c r="L89" t="inlineStr"/>
    </row>
    <row r="90" ht="22" customHeight="1">
      <c r="A90" s="15" t="inlineStr">
        <is>
          <t>원익머트리얼즈</t>
        </is>
      </c>
      <c r="B90" t="inlineStr"/>
      <c r="C90" s="15" t="inlineStr">
        <is>
          <t>104830</t>
        </is>
      </c>
      <c r="D90" s="15" t="inlineStr">
        <is>
          <t>KOSDAQ</t>
        </is>
      </c>
      <c r="E90" s="15" t="inlineStr">
        <is>
          <t>소재</t>
        </is>
      </c>
      <c r="F90" s="15" t="n">
        <v>66.81999999999999</v>
      </c>
      <c r="G90" s="15" t="n">
        <v>7.14</v>
      </c>
      <c r="H90" s="15" t="inlineStr">
        <is>
          <t>중립</t>
        </is>
      </c>
      <c r="I90" s="15" t="inlineStr">
        <is>
          <t>0.9160049727267536</t>
        </is>
      </c>
      <c r="J90" t="inlineStr"/>
      <c r="K90" t="inlineStr"/>
      <c r="L90" t="inlineStr"/>
    </row>
    <row r="91" ht="22" customHeight="1">
      <c r="A91" s="15" t="inlineStr">
        <is>
          <t>솔브레인홀딩스</t>
        </is>
      </c>
      <c r="B91" t="inlineStr"/>
      <c r="C91" s="15" t="inlineStr">
        <is>
          <t>036830</t>
        </is>
      </c>
      <c r="D91" s="15" t="inlineStr">
        <is>
          <t>KOSDAQ GLOBAL</t>
        </is>
      </c>
      <c r="E91" s="15" t="inlineStr">
        <is>
          <t>소재</t>
        </is>
      </c>
      <c r="F91" s="15" t="n">
        <v>66.67</v>
      </c>
      <c r="G91" s="15" t="n">
        <v>0</v>
      </c>
      <c r="H91" s="15" t="inlineStr">
        <is>
          <t>가치 매력</t>
        </is>
      </c>
      <c r="I91" s="15" t="inlineStr">
        <is>
          <t>0.5229115612060397</t>
        </is>
      </c>
      <c r="J91" t="inlineStr"/>
      <c r="K91" t="inlineStr"/>
      <c r="L91" t="inlineStr"/>
    </row>
    <row r="92" ht="22" customHeight="1">
      <c r="A92" s="15" t="inlineStr">
        <is>
          <t>DB하이텍</t>
        </is>
      </c>
      <c r="B92" t="inlineStr"/>
      <c r="C92" s="15" t="inlineStr">
        <is>
          <t>000990</t>
        </is>
      </c>
      <c r="D92" s="15" t="inlineStr">
        <is>
          <t>KOSPI</t>
        </is>
      </c>
      <c r="E92" s="15" t="inlineStr">
        <is>
          <t>IDM/제조/메모리</t>
        </is>
      </c>
      <c r="F92" s="15" t="n">
        <v>66.53</v>
      </c>
      <c r="G92" s="15" t="n">
        <v>0</v>
      </c>
      <c r="H92" s="15" t="inlineStr">
        <is>
          <t>가치 매력</t>
        </is>
      </c>
      <c r="I92" s="15" t="inlineStr">
        <is>
          <t>0.9104444876024207</t>
        </is>
      </c>
      <c r="J92" t="inlineStr"/>
      <c r="K92" t="inlineStr"/>
      <c r="L92" t="inlineStr"/>
    </row>
    <row r="93" ht="22" customHeight="1">
      <c r="A93" s="15" t="inlineStr">
        <is>
          <t>자화전자</t>
        </is>
      </c>
      <c r="B93" t="inlineStr"/>
      <c r="C93" s="15" t="inlineStr">
        <is>
          <t>033240</t>
        </is>
      </c>
      <c r="D93" s="15" t="inlineStr">
        <is>
          <t>KOSPI</t>
        </is>
      </c>
      <c r="E93" s="15" t="inlineStr">
        <is>
          <t>부품/기판</t>
        </is>
      </c>
      <c r="F93" s="15" t="n">
        <v>66.48</v>
      </c>
      <c r="G93" s="15" t="n">
        <v>7.14</v>
      </c>
      <c r="H93" s="15" t="inlineStr">
        <is>
          <t>중립</t>
        </is>
      </c>
      <c r="I93" s="15" t="inlineStr">
        <is>
          <t>0.9380223994723259</t>
        </is>
      </c>
      <c r="J93" t="inlineStr"/>
      <c r="K93" t="inlineStr"/>
      <c r="L93" t="inlineStr"/>
    </row>
    <row r="94" ht="22" customHeight="1">
      <c r="A94" s="15" t="inlineStr">
        <is>
          <t>한솔아이원스</t>
        </is>
      </c>
      <c r="B94" t="inlineStr"/>
      <c r="C94" s="15" t="inlineStr">
        <is>
          <t>114810</t>
        </is>
      </c>
      <c r="D94" s="15" t="inlineStr">
        <is>
          <t>KOSDAQ</t>
        </is>
      </c>
      <c r="E94" s="15" t="inlineStr">
        <is>
          <t>장비</t>
        </is>
      </c>
      <c r="F94" s="15" t="n">
        <v>66.48</v>
      </c>
      <c r="G94" s="15" t="n">
        <v>14.29</v>
      </c>
      <c r="H94" s="15" t="inlineStr">
        <is>
          <t>가치 매력</t>
        </is>
      </c>
      <c r="I94" s="15" t="inlineStr">
        <is>
          <t>0.9031428820161691</t>
        </is>
      </c>
      <c r="J94" t="inlineStr"/>
      <c r="K94" t="inlineStr"/>
      <c r="L94" t="inlineStr"/>
    </row>
    <row r="95" ht="22" customHeight="1">
      <c r="A95" s="15" t="inlineStr">
        <is>
          <t>샘씨엔에스</t>
        </is>
      </c>
      <c r="B95" t="inlineStr"/>
      <c r="C95" s="15" t="inlineStr">
        <is>
          <t>252990</t>
        </is>
      </c>
      <c r="D95" s="15" t="inlineStr">
        <is>
          <t>KOSDAQ</t>
        </is>
      </c>
      <c r="E95" s="15" t="inlineStr">
        <is>
          <t>후공정/패키징/테스트</t>
        </is>
      </c>
      <c r="F95" s="15" t="n">
        <v>64.92</v>
      </c>
      <c r="G95" s="15" t="n">
        <v>14.29</v>
      </c>
      <c r="H95" s="15" t="inlineStr">
        <is>
          <t>가치 매력</t>
        </is>
      </c>
      <c r="I95" s="15" t="inlineStr">
        <is>
          <t>0.5521991152548656</t>
        </is>
      </c>
      <c r="J95" t="inlineStr"/>
      <c r="K95" t="inlineStr"/>
      <c r="L95" t="inlineStr"/>
    </row>
    <row r="96" ht="22" customHeight="1">
      <c r="A96" s="15" t="inlineStr">
        <is>
          <t>GST</t>
        </is>
      </c>
      <c r="B96" t="inlineStr"/>
      <c r="C96" s="15" t="inlineStr">
        <is>
          <t>083450</t>
        </is>
      </c>
      <c r="D96" s="15" t="inlineStr">
        <is>
          <t>KOSDAQ</t>
        </is>
      </c>
      <c r="E96" s="15" t="inlineStr">
        <is>
          <t>장비</t>
        </is>
      </c>
      <c r="F96" s="15" t="n">
        <v>64.75</v>
      </c>
      <c r="G96" s="15" t="n">
        <v>0</v>
      </c>
      <c r="H96" s="15" t="inlineStr">
        <is>
          <t>가치 매력</t>
        </is>
      </c>
      <c r="I96" s="15" t="inlineStr">
        <is>
          <t>0.900491542853433</t>
        </is>
      </c>
      <c r="J96" t="inlineStr"/>
      <c r="K96" t="inlineStr"/>
      <c r="L96" t="inlineStr"/>
    </row>
    <row r="97" ht="22" customHeight="1">
      <c r="A97" s="15" t="inlineStr">
        <is>
          <t>하나마이크론</t>
        </is>
      </c>
      <c r="B97" t="inlineStr"/>
      <c r="C97" s="15" t="inlineStr">
        <is>
          <t>067310</t>
        </is>
      </c>
      <c r="D97" s="15" t="inlineStr">
        <is>
          <t>KOSDAQ</t>
        </is>
      </c>
      <c r="E97" s="15" t="inlineStr">
        <is>
          <t>후공정/패키징/테스트</t>
        </is>
      </c>
      <c r="F97" s="15" t="n">
        <v>64.06</v>
      </c>
      <c r="G97" s="15" t="n">
        <v>28.57</v>
      </c>
      <c r="H97" s="15" t="inlineStr">
        <is>
          <t>가치 매력</t>
        </is>
      </c>
      <c r="I97" s="15" t="inlineStr">
        <is>
          <t>0.8727001075083287</t>
        </is>
      </c>
      <c r="J97" t="inlineStr"/>
      <c r="K97" t="inlineStr"/>
      <c r="L97" t="inlineStr"/>
    </row>
    <row r="98" ht="22" customHeight="1">
      <c r="A98" s="15" t="inlineStr">
        <is>
          <t>티이엠씨씨엔에스</t>
        </is>
      </c>
      <c r="B98" t="inlineStr"/>
      <c r="C98" s="15" t="inlineStr">
        <is>
          <t>241790</t>
        </is>
      </c>
      <c r="D98" s="15" t="inlineStr">
        <is>
          <t>KOSDAQ</t>
        </is>
      </c>
      <c r="E98" s="15" t="inlineStr">
        <is>
          <t>장비</t>
        </is>
      </c>
      <c r="F98" s="15" t="n">
        <v>63.93</v>
      </c>
      <c r="G98" s="15" t="n">
        <v>7.14</v>
      </c>
      <c r="H98" s="15" t="inlineStr">
        <is>
          <t>가치 매력</t>
        </is>
      </c>
      <c r="I98" s="15" t="inlineStr">
        <is>
          <t>0.8915695356337118</t>
        </is>
      </c>
      <c r="J98" t="inlineStr"/>
      <c r="K98" t="inlineStr"/>
      <c r="L98" t="inlineStr"/>
    </row>
    <row r="99" ht="22" customHeight="1">
      <c r="A99" s="15" t="inlineStr">
        <is>
          <t>네패스</t>
        </is>
      </c>
      <c r="B99" s="15" t="inlineStr">
        <is>
          <t>nepes</t>
        </is>
      </c>
      <c r="C99" s="15" t="inlineStr">
        <is>
          <t>033640</t>
        </is>
      </c>
      <c r="D99" s="15" t="inlineStr">
        <is>
          <t>KOSDAQ</t>
        </is>
      </c>
      <c r="E99" s="15" t="inlineStr">
        <is>
          <t>후공정/패키징/테스트</t>
        </is>
      </c>
      <c r="F99" s="15" t="n">
        <v>63.85</v>
      </c>
      <c r="G99" s="15" t="n">
        <v>28.57</v>
      </c>
      <c r="H99" s="15" t="inlineStr">
        <is>
          <t>가치 매력</t>
        </is>
      </c>
      <c r="I99" s="15" t="inlineStr">
        <is>
          <t>0.8763685947958789</t>
        </is>
      </c>
      <c r="J99" s="15" t="inlineStr">
        <is>
          <t>예</t>
        </is>
      </c>
      <c r="K99" t="inlineStr"/>
      <c r="L99" t="inlineStr"/>
    </row>
    <row r="100" ht="22" customHeight="1">
      <c r="A100" s="15" t="inlineStr">
        <is>
          <t>KX하이텍</t>
        </is>
      </c>
      <c r="B100" t="inlineStr"/>
      <c r="C100" s="15" t="inlineStr">
        <is>
          <t>052900</t>
        </is>
      </c>
      <c r="D100" s="15" t="inlineStr">
        <is>
          <t>KOSDAQ</t>
        </is>
      </c>
      <c r="E100" s="15" t="inlineStr">
        <is>
          <t>후공정/패키징/테스트</t>
        </is>
      </c>
      <c r="F100" s="15" t="n">
        <v>63.61</v>
      </c>
      <c r="G100" s="15" t="n">
        <v>7.14</v>
      </c>
      <c r="H100" s="15" t="inlineStr">
        <is>
          <t>가치 매력</t>
        </is>
      </c>
      <c r="I100" s="15" t="inlineStr">
        <is>
          <t>0.7896879678479897</t>
        </is>
      </c>
      <c r="J100" t="inlineStr"/>
      <c r="K100" t="inlineStr"/>
      <c r="L100" t="inlineStr"/>
    </row>
    <row r="101" ht="22" customHeight="1">
      <c r="A101" s="15" t="inlineStr">
        <is>
          <t>코미코</t>
        </is>
      </c>
      <c r="B101" t="inlineStr"/>
      <c r="C101" s="15" t="inlineStr">
        <is>
          <t>183300</t>
        </is>
      </c>
      <c r="D101" s="15" t="inlineStr">
        <is>
          <t>KOSDAQ GLOBAL</t>
        </is>
      </c>
      <c r="E101" s="15" t="inlineStr">
        <is>
          <t>부품/기판</t>
        </is>
      </c>
      <c r="F101" s="15" t="n">
        <v>63.43</v>
      </c>
      <c r="G101" s="15" t="n">
        <v>35.71</v>
      </c>
      <c r="H101" s="15" t="inlineStr">
        <is>
          <t>중립</t>
        </is>
      </c>
      <c r="I101" s="15" t="inlineStr">
        <is>
          <t>0.8305894153326006</t>
        </is>
      </c>
      <c r="J101" t="inlineStr"/>
      <c r="K101" t="inlineStr"/>
      <c r="L101" t="inlineStr"/>
    </row>
    <row r="102" ht="22" customHeight="1">
      <c r="A102" s="15" t="inlineStr">
        <is>
          <t>디아이티</t>
        </is>
      </c>
      <c r="B102" t="inlineStr"/>
      <c r="C102" s="15" t="inlineStr">
        <is>
          <t>110990</t>
        </is>
      </c>
      <c r="D102" s="15" t="inlineStr">
        <is>
          <t>KOSDAQ</t>
        </is>
      </c>
      <c r="E102" s="15" t="inlineStr">
        <is>
          <t>장비</t>
        </is>
      </c>
      <c r="F102" s="15" t="n">
        <v>63.41</v>
      </c>
      <c r="G102" s="15" t="n">
        <v>0</v>
      </c>
      <c r="H102" s="15" t="inlineStr">
        <is>
          <t>가치 매력</t>
        </is>
      </c>
      <c r="I102" s="15" t="inlineStr">
        <is>
          <t>0.8847780199048246</t>
        </is>
      </c>
      <c r="J102" t="inlineStr"/>
      <c r="K102" t="inlineStr"/>
      <c r="L102" t="inlineStr"/>
    </row>
    <row r="103" ht="22" customHeight="1">
      <c r="A103" s="15" t="inlineStr">
        <is>
          <t>한솔케미칼</t>
        </is>
      </c>
      <c r="B103" s="15" t="inlineStr">
        <is>
          <t>hansol</t>
        </is>
      </c>
      <c r="C103" s="15" t="inlineStr">
        <is>
          <t>014680</t>
        </is>
      </c>
      <c r="D103" s="15" t="inlineStr">
        <is>
          <t>KOSPI</t>
        </is>
      </c>
      <c r="E103" s="15" t="inlineStr">
        <is>
          <t>소재</t>
        </is>
      </c>
      <c r="F103" s="15" t="n">
        <v>63.31</v>
      </c>
      <c r="G103" s="15" t="n">
        <v>0</v>
      </c>
      <c r="H103" s="15" t="inlineStr">
        <is>
          <t>가치 매력</t>
        </is>
      </c>
      <c r="I103" s="15" t="inlineStr">
        <is>
          <t>0.8364696976606926</t>
        </is>
      </c>
      <c r="J103" s="15" t="inlineStr">
        <is>
          <t>예</t>
        </is>
      </c>
      <c r="K103" t="inlineStr"/>
      <c r="L103" t="inlineStr"/>
    </row>
    <row r="104" ht="22" customHeight="1">
      <c r="A104" s="15" t="inlineStr">
        <is>
          <t>케이씨텍</t>
        </is>
      </c>
      <c r="B104" t="inlineStr"/>
      <c r="C104" s="15" t="inlineStr">
        <is>
          <t>281820</t>
        </is>
      </c>
      <c r="D104" s="15" t="inlineStr">
        <is>
          <t>KOSPI</t>
        </is>
      </c>
      <c r="E104" s="15" t="inlineStr">
        <is>
          <t>장비</t>
        </is>
      </c>
      <c r="F104" s="15" t="n">
        <v>63.15</v>
      </c>
      <c r="G104" s="15" t="n">
        <v>0</v>
      </c>
      <c r="H104" s="15" t="inlineStr">
        <is>
          <t>가치 매력</t>
        </is>
      </c>
      <c r="I104" s="15" t="inlineStr">
        <is>
          <t>0.8895261430914092</t>
        </is>
      </c>
      <c r="J104" t="inlineStr"/>
      <c r="K104" t="inlineStr"/>
      <c r="L104" t="inlineStr"/>
    </row>
    <row r="105" ht="22" customHeight="1">
      <c r="A105" s="15" t="inlineStr">
        <is>
          <t>이녹스첨단소재</t>
        </is>
      </c>
      <c r="B105" t="inlineStr"/>
      <c r="C105" s="15" t="inlineStr">
        <is>
          <t>272290</t>
        </is>
      </c>
      <c r="D105" s="15" t="inlineStr">
        <is>
          <t>KOSDAQ GLOBAL</t>
        </is>
      </c>
      <c r="E105" s="15" t="inlineStr">
        <is>
          <t>소재</t>
        </is>
      </c>
      <c r="F105" s="15" t="n">
        <v>63.13</v>
      </c>
      <c r="G105" s="15" t="n">
        <v>7.14</v>
      </c>
      <c r="H105" s="15" t="inlineStr">
        <is>
          <t>중립</t>
        </is>
      </c>
      <c r="I105" s="15" t="inlineStr">
        <is>
          <t>0.900184891106931</t>
        </is>
      </c>
      <c r="J105" t="inlineStr"/>
      <c r="K105" t="inlineStr"/>
      <c r="L105" t="inlineStr"/>
    </row>
    <row r="106" ht="22" customHeight="1">
      <c r="A106" s="15" t="inlineStr">
        <is>
          <t>로체시스템즈</t>
        </is>
      </c>
      <c r="B106" t="inlineStr"/>
      <c r="C106" s="15" t="inlineStr">
        <is>
          <t>071280</t>
        </is>
      </c>
      <c r="D106" s="15" t="inlineStr">
        <is>
          <t>KOSDAQ</t>
        </is>
      </c>
      <c r="E106" s="15" t="inlineStr">
        <is>
          <t>장비</t>
        </is>
      </c>
      <c r="F106" s="15" t="n">
        <v>62.59</v>
      </c>
      <c r="G106" s="15" t="n">
        <v>7.14</v>
      </c>
      <c r="H106" s="15" t="inlineStr">
        <is>
          <t>가치 매력</t>
        </is>
      </c>
      <c r="I106" s="15" t="inlineStr">
        <is>
          <t>0.9642438845844894</t>
        </is>
      </c>
      <c r="J106" t="inlineStr"/>
      <c r="K106" t="inlineStr"/>
      <c r="L106" t="inlineStr"/>
    </row>
    <row r="107" ht="22" customHeight="1">
      <c r="A107" s="15" t="inlineStr">
        <is>
          <t>에이치엠넥스</t>
        </is>
      </c>
      <c r="B107" t="inlineStr"/>
      <c r="C107" s="15" t="inlineStr">
        <is>
          <t>036170</t>
        </is>
      </c>
      <c r="D107" s="15" t="inlineStr">
        <is>
          <t>KOSDAQ</t>
        </is>
      </c>
      <c r="E107" s="15" t="inlineStr">
        <is>
          <t>후공정/패키징/테스트</t>
        </is>
      </c>
      <c r="F107" s="15" t="n">
        <v>62.1</v>
      </c>
      <c r="G107" s="15" t="n">
        <v>35.71</v>
      </c>
      <c r="H107" s="15" t="inlineStr">
        <is>
          <t>중립</t>
        </is>
      </c>
      <c r="I107" s="15" t="inlineStr">
        <is>
          <t>0.7433115072206052</t>
        </is>
      </c>
      <c r="J107" t="inlineStr"/>
      <c r="K107" t="inlineStr"/>
      <c r="L107" t="inlineStr"/>
    </row>
    <row r="108" ht="22" customHeight="1">
      <c r="A108" s="15" t="inlineStr">
        <is>
          <t>리노공업</t>
        </is>
      </c>
      <c r="B108" t="inlineStr"/>
      <c r="C108" s="15" t="inlineStr">
        <is>
          <t>058470</t>
        </is>
      </c>
      <c r="D108" s="15" t="inlineStr">
        <is>
          <t>KOSDAQ GLOBAL</t>
        </is>
      </c>
      <c r="E108" s="15" t="inlineStr">
        <is>
          <t>후공정/패키징/테스트</t>
        </is>
      </c>
      <c r="F108" s="15" t="n">
        <v>61.91</v>
      </c>
      <c r="G108" s="15" t="n">
        <v>0</v>
      </c>
      <c r="H108" s="15" t="inlineStr">
        <is>
          <t>가치 매력</t>
        </is>
      </c>
      <c r="I108" s="15" t="inlineStr">
        <is>
          <t>0.6825301704423244</t>
        </is>
      </c>
      <c r="J108" t="inlineStr"/>
      <c r="K108" t="inlineStr"/>
      <c r="L108" t="inlineStr"/>
    </row>
    <row r="109" ht="22" customHeight="1">
      <c r="A109" s="15" t="inlineStr">
        <is>
          <t>아이씨디</t>
        </is>
      </c>
      <c r="B109" t="inlineStr"/>
      <c r="C109" s="15" t="inlineStr">
        <is>
          <t>040910</t>
        </is>
      </c>
      <c r="D109" s="15" t="inlineStr">
        <is>
          <t>KOSDAQ</t>
        </is>
      </c>
      <c r="E109" s="15" t="inlineStr">
        <is>
          <t>장비</t>
        </is>
      </c>
      <c r="F109" s="15" t="n">
        <v>61.59</v>
      </c>
      <c r="G109" s="15" t="n">
        <v>7.14</v>
      </c>
      <c r="H109" s="15" t="inlineStr">
        <is>
          <t>중립</t>
        </is>
      </c>
      <c r="I109" s="15" t="inlineStr">
        <is>
          <t>0.692546582663732</t>
        </is>
      </c>
      <c r="J109" t="inlineStr"/>
      <c r="K109" t="inlineStr"/>
      <c r="L109" t="inlineStr"/>
    </row>
    <row r="110" ht="22" customHeight="1">
      <c r="A110" s="15" t="inlineStr">
        <is>
          <t>에스에프에이</t>
        </is>
      </c>
      <c r="B110" t="inlineStr"/>
      <c r="C110" s="15" t="inlineStr">
        <is>
          <t>056190</t>
        </is>
      </c>
      <c r="D110" s="15" t="inlineStr">
        <is>
          <t>KOSDAQ GLOBAL</t>
        </is>
      </c>
      <c r="E110" s="15" t="inlineStr">
        <is>
          <t>장비</t>
        </is>
      </c>
      <c r="F110" s="15" t="n">
        <v>60.99</v>
      </c>
      <c r="G110" s="15" t="n">
        <v>0</v>
      </c>
      <c r="H110" s="15" t="inlineStr">
        <is>
          <t>가치 매력</t>
        </is>
      </c>
      <c r="I110" s="15" t="inlineStr">
        <is>
          <t>0.8690882589557657</t>
        </is>
      </c>
      <c r="J110" t="inlineStr"/>
      <c r="K110" t="inlineStr"/>
      <c r="L110" t="inlineStr"/>
    </row>
    <row r="111" ht="22" customHeight="1">
      <c r="A111" s="15" t="inlineStr">
        <is>
          <t>오디텍</t>
        </is>
      </c>
      <c r="B111" t="inlineStr"/>
      <c r="C111" s="15" t="inlineStr">
        <is>
          <t>080520</t>
        </is>
      </c>
      <c r="D111" s="15" t="inlineStr">
        <is>
          <t>KOSDAQ</t>
        </is>
      </c>
      <c r="E111" s="15" t="inlineStr">
        <is>
          <t>IDM/제조/메모리</t>
        </is>
      </c>
      <c r="F111" s="15" t="n">
        <v>60.83</v>
      </c>
      <c r="G111" s="15" t="n">
        <v>42.86</v>
      </c>
      <c r="H111" s="15" t="inlineStr">
        <is>
          <t>중립</t>
        </is>
      </c>
      <c r="I111" s="15" t="inlineStr">
        <is>
          <t>0.8328575689014174</t>
        </is>
      </c>
      <c r="J111" t="inlineStr"/>
      <c r="K111" t="inlineStr"/>
      <c r="L111" t="inlineStr"/>
    </row>
    <row r="112" ht="22" customHeight="1">
      <c r="A112" s="15" t="inlineStr">
        <is>
          <t>오킨스전자</t>
        </is>
      </c>
      <c r="B112" t="inlineStr"/>
      <c r="C112" s="15" t="inlineStr">
        <is>
          <t>080580</t>
        </is>
      </c>
      <c r="D112" s="15" t="inlineStr">
        <is>
          <t>KOSDAQ</t>
        </is>
      </c>
      <c r="E112" s="15" t="inlineStr">
        <is>
          <t>후공정/패키징/테스트</t>
        </is>
      </c>
      <c r="F112" s="15" t="n">
        <v>60.62</v>
      </c>
      <c r="G112" s="15" t="n">
        <v>21.43</v>
      </c>
      <c r="H112" s="15" t="inlineStr">
        <is>
          <t>가치 매력</t>
        </is>
      </c>
      <c r="I112" s="15" t="inlineStr">
        <is>
          <t>0.8105235691914331</t>
        </is>
      </c>
      <c r="J112" t="inlineStr"/>
      <c r="K112" t="inlineStr"/>
      <c r="L112" t="inlineStr"/>
    </row>
    <row r="113" ht="22" customHeight="1">
      <c r="A113" s="15" t="inlineStr">
        <is>
          <t>알에프세미</t>
        </is>
      </c>
      <c r="B113" t="inlineStr"/>
      <c r="C113" s="15" t="inlineStr">
        <is>
          <t>096610</t>
        </is>
      </c>
      <c r="D113" s="15" t="inlineStr">
        <is>
          <t>KOSDAQ</t>
        </is>
      </c>
      <c r="E113" s="15" t="inlineStr">
        <is>
          <t>팹리스/설계</t>
        </is>
      </c>
      <c r="F113" s="15" t="n">
        <v>60.3</v>
      </c>
      <c r="G113" s="15" t="n">
        <v>7.14</v>
      </c>
      <c r="H113" s="15" t="inlineStr">
        <is>
          <t>가치 매력</t>
        </is>
      </c>
      <c r="I113" s="15" t="inlineStr">
        <is>
          <t>0.8083150256499313</t>
        </is>
      </c>
      <c r="J113" t="inlineStr"/>
      <c r="K113" t="inlineStr"/>
      <c r="L113" t="inlineStr"/>
    </row>
    <row r="114" ht="22" customHeight="1">
      <c r="A114" s="15" t="inlineStr">
        <is>
          <t>그린리소스</t>
        </is>
      </c>
      <c r="B114" t="inlineStr"/>
      <c r="C114" s="15" t="inlineStr">
        <is>
          <t>402490</t>
        </is>
      </c>
      <c r="D114" s="15" t="inlineStr">
        <is>
          <t>KOSDAQ</t>
        </is>
      </c>
      <c r="E114" s="15" t="inlineStr">
        <is>
          <t>IDM/제조/메모리</t>
        </is>
      </c>
      <c r="F114" s="15" t="n">
        <v>60.22</v>
      </c>
      <c r="G114" s="15" t="n">
        <v>42.86</v>
      </c>
      <c r="H114" s="15" t="inlineStr">
        <is>
          <t>중립</t>
        </is>
      </c>
      <c r="I114" s="15" t="inlineStr">
        <is>
          <t>0.7869051998623771</t>
        </is>
      </c>
      <c r="J114" t="inlineStr"/>
      <c r="K114" t="inlineStr"/>
      <c r="L114" t="inlineStr"/>
    </row>
    <row r="115" ht="22" customHeight="1">
      <c r="A115" s="15" t="inlineStr">
        <is>
          <t>삼양엔씨켐</t>
        </is>
      </c>
      <c r="B115" t="inlineStr"/>
      <c r="C115" s="15" t="inlineStr">
        <is>
          <t>482630</t>
        </is>
      </c>
      <c r="D115" s="15" t="inlineStr">
        <is>
          <t>KOSDAQ</t>
        </is>
      </c>
      <c r="E115" s="15" t="inlineStr">
        <is>
          <t>장비</t>
        </is>
      </c>
      <c r="F115" s="15" t="n">
        <v>59.93</v>
      </c>
      <c r="G115" s="15" t="n">
        <v>7.14</v>
      </c>
      <c r="H115" s="15" t="inlineStr">
        <is>
          <t>가치 매력</t>
        </is>
      </c>
      <c r="I115" s="15" t="inlineStr">
        <is>
          <t>0.6408467710997098</t>
        </is>
      </c>
      <c r="J115" t="inlineStr"/>
      <c r="K115" t="inlineStr"/>
      <c r="L115" t="inlineStr"/>
    </row>
    <row r="116" ht="22" customHeight="1">
      <c r="A116" s="15" t="inlineStr">
        <is>
          <t>루멘스</t>
        </is>
      </c>
      <c r="B116" t="inlineStr"/>
      <c r="C116" s="15" t="inlineStr">
        <is>
          <t>038060</t>
        </is>
      </c>
      <c r="D116" s="15" t="inlineStr">
        <is>
          <t>KOSDAQ</t>
        </is>
      </c>
      <c r="E116" s="15" t="inlineStr">
        <is>
          <t>IDM/제조/메모리</t>
        </is>
      </c>
      <c r="F116" s="15" t="n">
        <v>59.7</v>
      </c>
      <c r="G116" s="15" t="n">
        <v>35.71</v>
      </c>
      <c r="H116" s="15" t="inlineStr">
        <is>
          <t>중립</t>
        </is>
      </c>
      <c r="I116" s="15" t="inlineStr">
        <is>
          <t>0.8437683700786414</t>
        </is>
      </c>
      <c r="J116" t="inlineStr"/>
      <c r="K116" t="inlineStr"/>
      <c r="L116" t="inlineStr"/>
    </row>
    <row r="117" ht="22" customHeight="1">
      <c r="A117" s="15" t="inlineStr">
        <is>
          <t>싸이맥스</t>
        </is>
      </c>
      <c r="B117" t="inlineStr"/>
      <c r="C117" s="15" t="inlineStr">
        <is>
          <t>160980</t>
        </is>
      </c>
      <c r="D117" s="15" t="inlineStr">
        <is>
          <t>KOSDAQ</t>
        </is>
      </c>
      <c r="E117" s="15" t="inlineStr">
        <is>
          <t>장비</t>
        </is>
      </c>
      <c r="F117" s="15" t="n">
        <v>59.61</v>
      </c>
      <c r="G117" s="15" t="n">
        <v>0</v>
      </c>
      <c r="H117" s="15" t="inlineStr">
        <is>
          <t>가치 매력</t>
        </is>
      </c>
      <c r="I117" s="15" t="inlineStr">
        <is>
          <t>0.8128181122496774</t>
        </is>
      </c>
      <c r="J117" t="inlineStr"/>
      <c r="K117" t="inlineStr"/>
      <c r="L117" t="inlineStr"/>
    </row>
    <row r="118" ht="22" customHeight="1">
      <c r="A118" s="15" t="inlineStr">
        <is>
          <t>제주반도체</t>
        </is>
      </c>
      <c r="B118" t="inlineStr"/>
      <c r="C118" s="15" t="inlineStr">
        <is>
          <t>080220</t>
        </is>
      </c>
      <c r="D118" s="15" t="inlineStr">
        <is>
          <t>KOSDAQ</t>
        </is>
      </c>
      <c r="E118" s="15" t="inlineStr">
        <is>
          <t>팹리스/설계</t>
        </is>
      </c>
      <c r="F118" s="15" t="n">
        <v>59.17</v>
      </c>
      <c r="G118" s="15" t="n">
        <v>0</v>
      </c>
      <c r="H118" s="15" t="inlineStr">
        <is>
          <t>가치 매력</t>
        </is>
      </c>
      <c r="I118" s="15" t="inlineStr">
        <is>
          <t>0.6955424557105586</t>
        </is>
      </c>
      <c r="J118" t="inlineStr"/>
      <c r="K118" t="inlineStr"/>
      <c r="L118" t="inlineStr"/>
    </row>
    <row r="119" ht="22" customHeight="1">
      <c r="A119" s="15" t="inlineStr">
        <is>
          <t>티에스이</t>
        </is>
      </c>
      <c r="B119" t="inlineStr"/>
      <c r="C119" s="15" t="inlineStr">
        <is>
          <t>131290</t>
        </is>
      </c>
      <c r="D119" s="15" t="inlineStr">
        <is>
          <t>KOSDAQ</t>
        </is>
      </c>
      <c r="E119" s="15" t="inlineStr">
        <is>
          <t>팹리스/설계</t>
        </is>
      </c>
      <c r="F119" s="15" t="n">
        <v>58.81</v>
      </c>
      <c r="G119" s="15" t="n">
        <v>0</v>
      </c>
      <c r="H119" s="15" t="inlineStr">
        <is>
          <t>가치 매력</t>
        </is>
      </c>
      <c r="I119" s="15" t="inlineStr">
        <is>
          <t>0.7390287615028212</t>
        </is>
      </c>
      <c r="J119" t="inlineStr"/>
      <c r="K119" t="inlineStr"/>
      <c r="L119" t="inlineStr"/>
    </row>
    <row r="120" ht="22" customHeight="1">
      <c r="A120" s="15" t="inlineStr">
        <is>
          <t>디아이</t>
        </is>
      </c>
      <c r="B120" t="inlineStr"/>
      <c r="C120" s="15" t="inlineStr">
        <is>
          <t>003160</t>
        </is>
      </c>
      <c r="D120" s="15" t="inlineStr">
        <is>
          <t>KOSPI</t>
        </is>
      </c>
      <c r="E120" s="15" t="inlineStr">
        <is>
          <t>후공정/패키징/테스트</t>
        </is>
      </c>
      <c r="F120" s="15" t="n">
        <v>58.76</v>
      </c>
      <c r="G120" s="15" t="n">
        <v>7.14</v>
      </c>
      <c r="H120" s="15" t="inlineStr">
        <is>
          <t>가치 매력</t>
        </is>
      </c>
      <c r="I120" s="15" t="inlineStr">
        <is>
          <t>0.6560906263736197</t>
        </is>
      </c>
      <c r="J120" t="inlineStr"/>
      <c r="K120" t="inlineStr"/>
      <c r="L120" t="inlineStr"/>
    </row>
    <row r="121" ht="22" customHeight="1">
      <c r="A121" s="15" t="inlineStr">
        <is>
          <t>피델릭스</t>
        </is>
      </c>
      <c r="B121" t="inlineStr"/>
      <c r="C121" s="15" t="inlineStr">
        <is>
          <t>032580</t>
        </is>
      </c>
      <c r="D121" s="15" t="inlineStr">
        <is>
          <t>KOSDAQ</t>
        </is>
      </c>
      <c r="E121" s="15" t="inlineStr">
        <is>
          <t>IDM/제조/메모리</t>
        </is>
      </c>
      <c r="F121" s="15" t="n">
        <v>58.73</v>
      </c>
      <c r="G121" s="15" t="n">
        <v>50</v>
      </c>
      <c r="H121" s="15" t="inlineStr">
        <is>
          <t>중립</t>
        </is>
      </c>
      <c r="I121" s="15" t="inlineStr">
        <is>
          <t>0.8604826019551013</t>
        </is>
      </c>
      <c r="J121" t="inlineStr"/>
      <c r="K121" t="inlineStr"/>
      <c r="L121" t="inlineStr"/>
    </row>
    <row r="122" ht="22" customHeight="1">
      <c r="A122" s="15" t="inlineStr">
        <is>
          <t>엘티씨</t>
        </is>
      </c>
      <c r="B122" s="15" t="inlineStr">
        <is>
          <t>ltc</t>
        </is>
      </c>
      <c r="C122" s="15" t="inlineStr">
        <is>
          <t>170920</t>
        </is>
      </c>
      <c r="D122" s="15" t="inlineStr">
        <is>
          <t>KOSDAQ</t>
        </is>
      </c>
      <c r="E122" s="15" t="inlineStr">
        <is>
          <t>소재</t>
        </is>
      </c>
      <c r="F122" s="15" t="n">
        <v>58.38</v>
      </c>
      <c r="G122" s="15" t="n">
        <v>0</v>
      </c>
      <c r="H122" s="15" t="inlineStr">
        <is>
          <t>중립</t>
        </is>
      </c>
      <c r="I122" s="15" t="inlineStr">
        <is>
          <t>0.6353016273848794</t>
        </is>
      </c>
      <c r="J122" s="15" t="inlineStr">
        <is>
          <t>예</t>
        </is>
      </c>
      <c r="K122" t="inlineStr"/>
      <c r="L122" t="inlineStr"/>
    </row>
    <row r="123" ht="22" customHeight="1">
      <c r="A123" s="15" t="inlineStr">
        <is>
          <t>엔시트론</t>
        </is>
      </c>
      <c r="B123" t="inlineStr"/>
      <c r="C123" s="15" t="inlineStr">
        <is>
          <t>101400</t>
        </is>
      </c>
      <c r="D123" s="15" t="inlineStr">
        <is>
          <t>KOSDAQ</t>
        </is>
      </c>
      <c r="E123" s="15" t="inlineStr">
        <is>
          <t>IDM/제조/메모리</t>
        </is>
      </c>
      <c r="F123" s="15" t="n">
        <v>57.73</v>
      </c>
      <c r="G123" s="15" t="n">
        <v>35.71</v>
      </c>
      <c r="H123" s="15" t="inlineStr">
        <is>
          <t>중립</t>
        </is>
      </c>
      <c r="I123" s="15" t="inlineStr">
        <is>
          <t>0.8173941540342667</t>
        </is>
      </c>
      <c r="J123" t="inlineStr"/>
      <c r="K123" t="inlineStr"/>
      <c r="L123" t="inlineStr"/>
    </row>
    <row r="124" ht="22" customHeight="1">
      <c r="A124" s="15" t="inlineStr">
        <is>
          <t>아나패스</t>
        </is>
      </c>
      <c r="B124" t="inlineStr"/>
      <c r="C124" s="15" t="inlineStr">
        <is>
          <t>123860</t>
        </is>
      </c>
      <c r="D124" s="15" t="inlineStr">
        <is>
          <t>KOSDAQ</t>
        </is>
      </c>
      <c r="E124" s="15" t="inlineStr">
        <is>
          <t>팹리스/설계</t>
        </is>
      </c>
      <c r="F124" s="15" t="n">
        <v>57.62</v>
      </c>
      <c r="G124" s="15" t="n">
        <v>0</v>
      </c>
      <c r="H124" s="15" t="inlineStr">
        <is>
          <t>중립</t>
        </is>
      </c>
      <c r="I124" s="15" t="inlineStr">
        <is>
          <t>0.510332377942325</t>
        </is>
      </c>
      <c r="J124" t="inlineStr"/>
      <c r="K124" t="inlineStr"/>
      <c r="L124" t="inlineStr"/>
    </row>
    <row r="125" ht="22" customHeight="1">
      <c r="A125" s="15" t="inlineStr">
        <is>
          <t>비에이치</t>
        </is>
      </c>
      <c r="B125" t="inlineStr"/>
      <c r="C125" s="15" t="inlineStr">
        <is>
          <t>090460</t>
        </is>
      </c>
      <c r="D125" s="15" t="inlineStr">
        <is>
          <t>KOSPI</t>
        </is>
      </c>
      <c r="E125" s="15" t="inlineStr">
        <is>
          <t>부품/기판</t>
        </is>
      </c>
      <c r="F125" s="15" t="n">
        <v>57.52</v>
      </c>
      <c r="G125" s="15" t="n">
        <v>0</v>
      </c>
      <c r="H125" s="15" t="inlineStr">
        <is>
          <t>중립</t>
        </is>
      </c>
      <c r="I125" s="15" t="inlineStr">
        <is>
          <t>0.5078538652826</t>
        </is>
      </c>
      <c r="J125" t="inlineStr"/>
      <c r="K125" t="inlineStr"/>
      <c r="L125" t="inlineStr"/>
    </row>
    <row r="126" ht="22" customHeight="1">
      <c r="A126" s="15" t="inlineStr">
        <is>
          <t>뉴파워프라즈마</t>
        </is>
      </c>
      <c r="B126" t="inlineStr"/>
      <c r="C126" s="15" t="inlineStr">
        <is>
          <t>144960</t>
        </is>
      </c>
      <c r="D126" s="15" t="inlineStr">
        <is>
          <t>KOSDAQ</t>
        </is>
      </c>
      <c r="E126" s="15" t="inlineStr">
        <is>
          <t>장비</t>
        </is>
      </c>
      <c r="F126" s="15" t="n">
        <v>57.49</v>
      </c>
      <c r="G126" s="15" t="n">
        <v>21.43</v>
      </c>
      <c r="H126" s="15" t="inlineStr">
        <is>
          <t>중립</t>
        </is>
      </c>
      <c r="I126" s="15" t="inlineStr">
        <is>
          <t>0.868464354966477</t>
        </is>
      </c>
      <c r="J126" t="inlineStr"/>
      <c r="K126" t="inlineStr"/>
      <c r="L126" t="inlineStr"/>
    </row>
    <row r="127" ht="22" customHeight="1">
      <c r="A127" s="15" t="inlineStr">
        <is>
          <t>이엘씨</t>
        </is>
      </c>
      <c r="B127" t="inlineStr"/>
      <c r="C127" s="15" t="inlineStr">
        <is>
          <t>041520</t>
        </is>
      </c>
      <c r="D127" s="15" t="inlineStr">
        <is>
          <t>KOSDAQ</t>
        </is>
      </c>
      <c r="E127" s="15" t="inlineStr">
        <is>
          <t>장비</t>
        </is>
      </c>
      <c r="F127" s="15" t="n">
        <v>57.22</v>
      </c>
      <c r="G127" s="15" t="n">
        <v>35.71</v>
      </c>
      <c r="H127" s="15" t="inlineStr">
        <is>
          <t>중립</t>
        </is>
      </c>
      <c r="I127" s="15" t="inlineStr">
        <is>
          <t>0.7059172837936919</t>
        </is>
      </c>
      <c r="J127" t="inlineStr"/>
      <c r="K127" t="inlineStr"/>
      <c r="L127" t="inlineStr"/>
    </row>
    <row r="128" ht="22" customHeight="1">
      <c r="A128" s="15" t="inlineStr">
        <is>
          <t>엑시콘</t>
        </is>
      </c>
      <c r="B128" t="inlineStr"/>
      <c r="C128" s="15" t="inlineStr">
        <is>
          <t>092870</t>
        </is>
      </c>
      <c r="D128" s="15" t="inlineStr">
        <is>
          <t>KOSDAQ</t>
        </is>
      </c>
      <c r="E128" s="15" t="inlineStr">
        <is>
          <t>후공정/패키징/테스트</t>
        </is>
      </c>
      <c r="F128" s="15" t="n">
        <v>57.11</v>
      </c>
      <c r="G128" s="15" t="n">
        <v>21.43</v>
      </c>
      <c r="H128" s="15" t="inlineStr">
        <is>
          <t>중립</t>
        </is>
      </c>
      <c r="I128" s="15" t="inlineStr">
        <is>
          <t>0.7870958268046786</t>
        </is>
      </c>
      <c r="J128" t="inlineStr"/>
      <c r="K128" t="inlineStr"/>
      <c r="L128" t="inlineStr"/>
    </row>
    <row r="129" ht="22" customHeight="1">
      <c r="A129" s="15" t="inlineStr">
        <is>
          <t>티이엠씨</t>
        </is>
      </c>
      <c r="B129" t="inlineStr"/>
      <c r="C129" s="15" t="inlineStr">
        <is>
          <t>425040</t>
        </is>
      </c>
      <c r="D129" s="15" t="inlineStr">
        <is>
          <t>KOSDAQ</t>
        </is>
      </c>
      <c r="E129" s="15" t="inlineStr">
        <is>
          <t>소재</t>
        </is>
      </c>
      <c r="F129" s="15" t="n">
        <v>56.67</v>
      </c>
      <c r="G129" s="15" t="n">
        <v>7.14</v>
      </c>
      <c r="H129" s="15" t="inlineStr">
        <is>
          <t>중립</t>
        </is>
      </c>
      <c r="I129" s="15" t="inlineStr">
        <is>
          <t>0.8720430887980049</t>
        </is>
      </c>
      <c r="J129" t="inlineStr"/>
      <c r="K129" t="inlineStr"/>
      <c r="L129" t="inlineStr"/>
    </row>
    <row r="130" ht="22" customHeight="1">
      <c r="A130" s="15" t="inlineStr">
        <is>
          <t>서울바이오시스</t>
        </is>
      </c>
      <c r="B130" t="inlineStr"/>
      <c r="C130" s="15" t="inlineStr">
        <is>
          <t>092190</t>
        </is>
      </c>
      <c r="D130" s="15" t="inlineStr">
        <is>
          <t>KOSDAQ</t>
        </is>
      </c>
      <c r="E130" s="15" t="inlineStr">
        <is>
          <t>IDM/제조/메모리</t>
        </is>
      </c>
      <c r="F130" s="15" t="n">
        <v>56.55</v>
      </c>
      <c r="G130" s="15" t="n">
        <v>42.86</v>
      </c>
      <c r="H130" s="15" t="inlineStr">
        <is>
          <t>중립</t>
        </is>
      </c>
      <c r="I130" s="15" t="inlineStr">
        <is>
          <t>0.7336783523450653</t>
        </is>
      </c>
      <c r="J130" t="inlineStr"/>
      <c r="K130" t="inlineStr"/>
      <c r="L130" t="inlineStr"/>
    </row>
    <row r="131" ht="22" customHeight="1">
      <c r="A131" s="15" t="inlineStr">
        <is>
          <t>에스앤에스텍</t>
        </is>
      </c>
      <c r="B131" t="inlineStr"/>
      <c r="C131" s="15" t="inlineStr">
        <is>
          <t>101490</t>
        </is>
      </c>
      <c r="D131" s="15" t="inlineStr">
        <is>
          <t>KOSDAQ</t>
        </is>
      </c>
      <c r="E131" s="15" t="inlineStr">
        <is>
          <t>소재</t>
        </is>
      </c>
      <c r="F131" s="15" t="n">
        <v>56.54</v>
      </c>
      <c r="G131" s="15" t="n">
        <v>7.14</v>
      </c>
      <c r="H131" s="15" t="inlineStr">
        <is>
          <t>중립</t>
        </is>
      </c>
      <c r="I131" s="15" t="inlineStr">
        <is>
          <t>0.7907123507381016</t>
        </is>
      </c>
      <c r="J131" t="inlineStr"/>
      <c r="K131" t="inlineStr"/>
      <c r="L131" t="inlineStr"/>
    </row>
    <row r="132" ht="22" customHeight="1">
      <c r="A132" s="15" t="inlineStr">
        <is>
          <t>포인트엔지니어링</t>
        </is>
      </c>
      <c r="B132" t="inlineStr"/>
      <c r="C132" s="15" t="inlineStr">
        <is>
          <t>256630</t>
        </is>
      </c>
      <c r="D132" s="15" t="inlineStr">
        <is>
          <t>KOSDAQ</t>
        </is>
      </c>
      <c r="E132" s="15" t="inlineStr">
        <is>
          <t>장비</t>
        </is>
      </c>
      <c r="F132" s="15" t="n">
        <v>56.49</v>
      </c>
      <c r="G132" s="15" t="n">
        <v>14.29</v>
      </c>
      <c r="H132" s="15" t="inlineStr">
        <is>
          <t>중립</t>
        </is>
      </c>
      <c r="I132" s="15" t="inlineStr">
        <is>
          <t>0.735270480034121</t>
        </is>
      </c>
      <c r="J132" t="inlineStr"/>
      <c r="K132" t="inlineStr"/>
      <c r="L132" t="inlineStr"/>
    </row>
    <row r="133" ht="22" customHeight="1">
      <c r="A133" s="15" t="inlineStr">
        <is>
          <t>테스</t>
        </is>
      </c>
      <c r="B133" t="inlineStr"/>
      <c r="C133" s="15" t="inlineStr">
        <is>
          <t>095610</t>
        </is>
      </c>
      <c r="D133" s="15" t="inlineStr">
        <is>
          <t>KOSDAQ</t>
        </is>
      </c>
      <c r="E133" s="15" t="inlineStr">
        <is>
          <t>장비</t>
        </is>
      </c>
      <c r="F133" s="15" t="n">
        <v>56.4</v>
      </c>
      <c r="G133" s="15" t="n">
        <v>14.29</v>
      </c>
      <c r="H133" s="15" t="inlineStr">
        <is>
          <t>중립</t>
        </is>
      </c>
      <c r="I133" s="15" t="inlineStr">
        <is>
          <t>0.5083695341145091</t>
        </is>
      </c>
      <c r="J133" t="inlineStr"/>
      <c r="K133" t="inlineStr"/>
      <c r="L133" t="inlineStr"/>
    </row>
    <row r="134" ht="22" customHeight="1">
      <c r="A134" s="15" t="inlineStr">
        <is>
          <t>코아시아</t>
        </is>
      </c>
      <c r="B134" t="inlineStr"/>
      <c r="C134" s="15" t="inlineStr">
        <is>
          <t>045970</t>
        </is>
      </c>
      <c r="D134" s="15" t="inlineStr">
        <is>
          <t>KOSDAQ</t>
        </is>
      </c>
      <c r="E134" s="15" t="inlineStr">
        <is>
          <t>팹리스/설계</t>
        </is>
      </c>
      <c r="F134" s="15" t="n">
        <v>56.12</v>
      </c>
      <c r="G134" s="15" t="n">
        <v>50</v>
      </c>
      <c r="H134" s="15" t="inlineStr">
        <is>
          <t>중립</t>
        </is>
      </c>
      <c r="I134" s="15" t="inlineStr">
        <is>
          <t>0.811266524244761</t>
        </is>
      </c>
      <c r="J134" t="inlineStr"/>
      <c r="K134" t="inlineStr"/>
      <c r="L134" t="inlineStr"/>
    </row>
    <row r="135" ht="22" customHeight="1">
      <c r="A135" s="15" t="inlineStr">
        <is>
          <t>우리이앤엘하루틴</t>
        </is>
      </c>
      <c r="B135" t="inlineStr"/>
      <c r="C135" s="15" t="inlineStr">
        <is>
          <t>153490</t>
        </is>
      </c>
      <c r="D135" s="15" t="inlineStr">
        <is>
          <t>KOSDAQ</t>
        </is>
      </c>
      <c r="E135" s="15" t="inlineStr">
        <is>
          <t>후공정/패키징/테스트</t>
        </is>
      </c>
      <c r="F135" s="15" t="n">
        <v>55.99</v>
      </c>
      <c r="G135" s="15" t="n">
        <v>14.29</v>
      </c>
      <c r="H135" s="15" t="inlineStr">
        <is>
          <t>중립</t>
        </is>
      </c>
      <c r="I135" s="15" t="inlineStr">
        <is>
          <t>0.803860880134826</t>
        </is>
      </c>
      <c r="J135" t="inlineStr"/>
      <c r="K135" t="inlineStr"/>
      <c r="L135" t="inlineStr"/>
    </row>
    <row r="136" ht="22" customHeight="1">
      <c r="A136" s="15" t="inlineStr">
        <is>
          <t>와이씨</t>
        </is>
      </c>
      <c r="B136" t="inlineStr"/>
      <c r="C136" s="15" t="inlineStr">
        <is>
          <t>232140</t>
        </is>
      </c>
      <c r="D136" s="15" t="inlineStr">
        <is>
          <t>KOSDAQ</t>
        </is>
      </c>
      <c r="E136" s="15" t="inlineStr">
        <is>
          <t>후공정/패키징/테스트</t>
        </is>
      </c>
      <c r="F136" s="15" t="n">
        <v>55.73</v>
      </c>
      <c r="G136" s="15" t="n">
        <v>0</v>
      </c>
      <c r="H136" s="15" t="inlineStr">
        <is>
          <t>중립</t>
        </is>
      </c>
      <c r="I136" s="15" t="inlineStr">
        <is>
          <t>0.5813875575219858</t>
        </is>
      </c>
      <c r="J136" t="inlineStr"/>
      <c r="K136" t="inlineStr"/>
      <c r="L136" t="inlineStr"/>
    </row>
    <row r="137" ht="22" customHeight="1">
      <c r="A137" s="15" t="inlineStr">
        <is>
          <t>기가비스</t>
        </is>
      </c>
      <c r="B137" t="inlineStr"/>
      <c r="C137" s="15" t="inlineStr">
        <is>
          <t>420770</t>
        </is>
      </c>
      <c r="D137" s="15" t="inlineStr">
        <is>
          <t>KOSDAQ</t>
        </is>
      </c>
      <c r="E137" s="15" t="inlineStr">
        <is>
          <t>후공정/패키징/테스트</t>
        </is>
      </c>
      <c r="F137" s="15" t="n">
        <v>55.44</v>
      </c>
      <c r="G137" s="15" t="n">
        <v>7.14</v>
      </c>
      <c r="H137" s="15" t="inlineStr">
        <is>
          <t>중립</t>
        </is>
      </c>
      <c r="I137" s="15" t="inlineStr">
        <is>
          <t>0.604283449323821</t>
        </is>
      </c>
      <c r="J137" t="inlineStr"/>
      <c r="K137" t="inlineStr"/>
      <c r="L137" t="inlineStr"/>
    </row>
    <row r="138" ht="22" customHeight="1">
      <c r="A138" s="15" t="inlineStr">
        <is>
          <t>픽셀플러스</t>
        </is>
      </c>
      <c r="B138" t="inlineStr"/>
      <c r="C138" s="15" t="inlineStr">
        <is>
          <t>087600</t>
        </is>
      </c>
      <c r="D138" s="15" t="inlineStr">
        <is>
          <t>KOSDAQ</t>
        </is>
      </c>
      <c r="E138" s="15" t="inlineStr">
        <is>
          <t>팹리스/설계</t>
        </is>
      </c>
      <c r="F138" s="15" t="n">
        <v>54.3</v>
      </c>
      <c r="G138" s="15" t="n">
        <v>28.57</v>
      </c>
      <c r="H138" s="15" t="inlineStr">
        <is>
          <t>중립</t>
        </is>
      </c>
      <c r="I138" s="15" t="inlineStr">
        <is>
          <t>0.8353732583827468</t>
        </is>
      </c>
      <c r="J138" t="inlineStr"/>
      <c r="K138" t="inlineStr"/>
      <c r="L138" t="inlineStr"/>
    </row>
    <row r="139" ht="22" customHeight="1">
      <c r="A139" s="15" t="inlineStr">
        <is>
          <t>칩스앤미디어</t>
        </is>
      </c>
      <c r="B139" t="inlineStr"/>
      <c r="C139" s="15" t="inlineStr">
        <is>
          <t>094360</t>
        </is>
      </c>
      <c r="D139" s="15" t="inlineStr">
        <is>
          <t>KOSDAQ</t>
        </is>
      </c>
      <c r="E139" s="15" t="inlineStr">
        <is>
          <t>팹리스/설계</t>
        </is>
      </c>
      <c r="F139" s="15" t="n">
        <v>54.24</v>
      </c>
      <c r="G139" s="15" t="n">
        <v>0</v>
      </c>
      <c r="H139" s="15" t="inlineStr">
        <is>
          <t>중립</t>
        </is>
      </c>
      <c r="I139" s="15" t="inlineStr">
        <is>
          <t>0.44740744488593415</t>
        </is>
      </c>
      <c r="J139" t="inlineStr"/>
      <c r="K139" t="inlineStr"/>
      <c r="L139" t="inlineStr"/>
    </row>
    <row r="140" ht="22" customHeight="1">
      <c r="A140" s="15" t="inlineStr">
        <is>
          <t>큐에스아이</t>
        </is>
      </c>
      <c r="B140" t="inlineStr"/>
      <c r="C140" s="15" t="inlineStr">
        <is>
          <t>066310</t>
        </is>
      </c>
      <c r="D140" s="15" t="inlineStr">
        <is>
          <t>KOSDAQ</t>
        </is>
      </c>
      <c r="E140" s="15" t="inlineStr">
        <is>
          <t>IDM/제조/메모리</t>
        </is>
      </c>
      <c r="F140" s="15" t="n">
        <v>54.23</v>
      </c>
      <c r="G140" s="15" t="n">
        <v>7.14</v>
      </c>
      <c r="H140" s="15" t="inlineStr">
        <is>
          <t>중립</t>
        </is>
      </c>
      <c r="I140" s="15" t="inlineStr">
        <is>
          <t>0.5496283015517583</t>
        </is>
      </c>
      <c r="J140" t="inlineStr"/>
      <c r="K140" t="inlineStr"/>
      <c r="L140" t="inlineStr"/>
    </row>
    <row r="141" ht="22" customHeight="1">
      <c r="A141" s="15" t="inlineStr">
        <is>
          <t>유니셈</t>
        </is>
      </c>
      <c r="B141" t="inlineStr"/>
      <c r="C141" s="15" t="inlineStr">
        <is>
          <t>036200</t>
        </is>
      </c>
      <c r="D141" s="15" t="inlineStr">
        <is>
          <t>KOSDAQ</t>
        </is>
      </c>
      <c r="E141" s="15" t="inlineStr">
        <is>
          <t>장비</t>
        </is>
      </c>
      <c r="F141" s="15" t="n">
        <v>54.09</v>
      </c>
      <c r="G141" s="15" t="n">
        <v>21.43</v>
      </c>
      <c r="H141" s="15" t="inlineStr">
        <is>
          <t>중립</t>
        </is>
      </c>
      <c r="I141" s="15" t="inlineStr">
        <is>
          <t>0.751305499027411</t>
        </is>
      </c>
      <c r="J141" t="inlineStr"/>
      <c r="K141" t="inlineStr"/>
      <c r="L141" t="inlineStr"/>
    </row>
    <row r="142" ht="22" customHeight="1">
      <c r="A142" s="15" t="inlineStr">
        <is>
          <t>피에스케이홀딩스</t>
        </is>
      </c>
      <c r="B142" t="inlineStr"/>
      <c r="C142" s="15" t="inlineStr">
        <is>
          <t>031980</t>
        </is>
      </c>
      <c r="D142" s="15" t="inlineStr">
        <is>
          <t>KOSDAQ</t>
        </is>
      </c>
      <c r="E142" s="15" t="inlineStr">
        <is>
          <t>장비</t>
        </is>
      </c>
      <c r="F142" s="15" t="n">
        <v>53.85</v>
      </c>
      <c r="G142" s="15" t="n">
        <v>0</v>
      </c>
      <c r="H142" s="15" t="inlineStr">
        <is>
          <t>중립</t>
        </is>
      </c>
      <c r="I142" s="15" t="inlineStr">
        <is>
          <t>0.7521125976897308</t>
        </is>
      </c>
      <c r="J142" t="inlineStr"/>
      <c r="K142" t="inlineStr"/>
      <c r="L142" t="inlineStr"/>
    </row>
    <row r="143" ht="22" customHeight="1">
      <c r="A143" s="15" t="inlineStr">
        <is>
          <t>워트</t>
        </is>
      </c>
      <c r="B143" t="inlineStr"/>
      <c r="C143" s="15" t="inlineStr">
        <is>
          <t>396470</t>
        </is>
      </c>
      <c r="D143" s="15" t="inlineStr">
        <is>
          <t>KOSDAQ</t>
        </is>
      </c>
      <c r="E143" s="15" t="inlineStr">
        <is>
          <t>장비</t>
        </is>
      </c>
      <c r="F143" s="15" t="n">
        <v>53.84</v>
      </c>
      <c r="G143" s="15" t="n">
        <v>7.14</v>
      </c>
      <c r="H143" s="15" t="inlineStr">
        <is>
          <t>중립</t>
        </is>
      </c>
      <c r="I143" s="15" t="inlineStr">
        <is>
          <t>0.6073344328439819</t>
        </is>
      </c>
      <c r="J143" t="inlineStr"/>
      <c r="K143" t="inlineStr"/>
      <c r="L143" t="inlineStr"/>
    </row>
    <row r="144" ht="22" customHeight="1">
      <c r="A144" s="15" t="inlineStr">
        <is>
          <t>엘오티베큠</t>
        </is>
      </c>
      <c r="B144" t="inlineStr"/>
      <c r="C144" s="15" t="inlineStr">
        <is>
          <t>083310</t>
        </is>
      </c>
      <c r="D144" s="15" t="inlineStr">
        <is>
          <t>KOSDAQ</t>
        </is>
      </c>
      <c r="E144" s="15" t="inlineStr">
        <is>
          <t>IDM/제조/메모리</t>
        </is>
      </c>
      <c r="F144" s="15" t="n">
        <v>53.8</v>
      </c>
      <c r="G144" s="15" t="n">
        <v>21.43</v>
      </c>
      <c r="H144" s="15" t="inlineStr">
        <is>
          <t>중립</t>
        </is>
      </c>
      <c r="I144" s="15" t="inlineStr">
        <is>
          <t>0.860578291373445</t>
        </is>
      </c>
      <c r="J144" t="inlineStr"/>
      <c r="K144" t="inlineStr"/>
      <c r="L144" t="inlineStr"/>
    </row>
    <row r="145" ht="22" customHeight="1">
      <c r="A145" s="15" t="inlineStr">
        <is>
          <t>비씨엔씨</t>
        </is>
      </c>
      <c r="B145" t="inlineStr"/>
      <c r="C145" s="15" t="inlineStr">
        <is>
          <t>146320</t>
        </is>
      </c>
      <c r="D145" s="15" t="inlineStr">
        <is>
          <t>KOSDAQ</t>
        </is>
      </c>
      <c r="E145" s="15" t="inlineStr">
        <is>
          <t>IDM/제조/메모리</t>
        </is>
      </c>
      <c r="F145" s="15" t="n">
        <v>53.66</v>
      </c>
      <c r="G145" s="15" t="n">
        <v>28.57</v>
      </c>
      <c r="H145" s="15" t="inlineStr">
        <is>
          <t>중립</t>
        </is>
      </c>
      <c r="I145" s="15" t="inlineStr">
        <is>
          <t>0.7033805368548921</t>
        </is>
      </c>
      <c r="J145" t="inlineStr"/>
      <c r="K145" t="inlineStr"/>
      <c r="L145" t="inlineStr"/>
    </row>
    <row r="146" ht="22" customHeight="1">
      <c r="A146" s="15" t="inlineStr">
        <is>
          <t>티엘비</t>
        </is>
      </c>
      <c r="B146" t="inlineStr"/>
      <c r="C146" s="15" t="inlineStr">
        <is>
          <t>356860</t>
        </is>
      </c>
      <c r="D146" s="15" t="inlineStr">
        <is>
          <t>KOSDAQ</t>
        </is>
      </c>
      <c r="E146" s="15" t="inlineStr">
        <is>
          <t>IDM/제조/메모리</t>
        </is>
      </c>
      <c r="F146" s="15" t="n">
        <v>53.62</v>
      </c>
      <c r="G146" s="15" t="n">
        <v>7.14</v>
      </c>
      <c r="H146" s="15" t="inlineStr">
        <is>
          <t>중립</t>
        </is>
      </c>
      <c r="I146" s="15" t="inlineStr">
        <is>
          <t>0.8509295904965918</t>
        </is>
      </c>
      <c r="J146" t="inlineStr"/>
      <c r="K146" t="inlineStr"/>
      <c r="L146" t="inlineStr"/>
    </row>
    <row r="147" ht="22" customHeight="1">
      <c r="A147" s="15" t="inlineStr">
        <is>
          <t>피에스케이</t>
        </is>
      </c>
      <c r="B147" t="inlineStr"/>
      <c r="C147" s="15" t="inlineStr">
        <is>
          <t>319660</t>
        </is>
      </c>
      <c r="D147" s="15" t="inlineStr">
        <is>
          <t>KOSDAQ GLOBAL</t>
        </is>
      </c>
      <c r="E147" s="15" t="inlineStr">
        <is>
          <t>장비</t>
        </is>
      </c>
      <c r="F147" s="15" t="n">
        <v>53.57</v>
      </c>
      <c r="G147" s="15" t="n">
        <v>0</v>
      </c>
      <c r="H147" s="15" t="inlineStr">
        <is>
          <t>중립</t>
        </is>
      </c>
      <c r="I147" s="15" t="inlineStr">
        <is>
          <t>0.7072072873445469</t>
        </is>
      </c>
      <c r="J147" t="inlineStr"/>
      <c r="K147" t="inlineStr"/>
      <c r="L147" t="inlineStr"/>
    </row>
    <row r="148" ht="22" customHeight="1">
      <c r="A148" s="15" t="inlineStr">
        <is>
          <t>해성디에스</t>
        </is>
      </c>
      <c r="B148" t="inlineStr"/>
      <c r="C148" s="15" t="inlineStr">
        <is>
          <t>195870</t>
        </is>
      </c>
      <c r="D148" s="15" t="inlineStr">
        <is>
          <t>KOSPI</t>
        </is>
      </c>
      <c r="E148" s="15" t="inlineStr">
        <is>
          <t>후공정/패키징/테스트</t>
        </is>
      </c>
      <c r="F148" s="15" t="n">
        <v>53.33</v>
      </c>
      <c r="G148" s="15" t="n">
        <v>7.14</v>
      </c>
      <c r="H148" s="15" t="inlineStr">
        <is>
          <t>중립</t>
        </is>
      </c>
      <c r="I148" s="15" t="inlineStr">
        <is>
          <t>0.8942165906576592</t>
        </is>
      </c>
      <c r="J148" t="inlineStr"/>
      <c r="K148" t="inlineStr"/>
      <c r="L148" t="inlineStr"/>
    </row>
    <row r="149" ht="22" customHeight="1">
      <c r="A149" s="15" t="inlineStr">
        <is>
          <t>심텍홀딩스</t>
        </is>
      </c>
      <c r="B149" t="inlineStr"/>
      <c r="C149" s="15" t="inlineStr">
        <is>
          <t>036710</t>
        </is>
      </c>
      <c r="D149" s="15" t="inlineStr">
        <is>
          <t>KOSDAQ</t>
        </is>
      </c>
      <c r="E149" s="15" t="inlineStr">
        <is>
          <t>부품/기판</t>
        </is>
      </c>
      <c r="F149" s="15" t="n">
        <v>53.24</v>
      </c>
      <c r="G149" s="15" t="n">
        <v>78.56999999999999</v>
      </c>
      <c r="H149" s="15" t="inlineStr">
        <is>
          <t>중립</t>
        </is>
      </c>
      <c r="I149" s="15" t="inlineStr">
        <is>
          <t>0.726519318190825</t>
        </is>
      </c>
      <c r="J149" t="inlineStr"/>
      <c r="K149" t="inlineStr"/>
      <c r="L149" t="inlineStr"/>
    </row>
    <row r="150" ht="22" customHeight="1">
      <c r="A150" s="15" t="inlineStr">
        <is>
          <t>하나머티리얼즈</t>
        </is>
      </c>
      <c r="B150" t="inlineStr"/>
      <c r="C150" s="15" t="inlineStr">
        <is>
          <t>166090</t>
        </is>
      </c>
      <c r="D150" s="15" t="inlineStr">
        <is>
          <t>KOSDAQ GLOBAL</t>
        </is>
      </c>
      <c r="E150" s="15" t="inlineStr">
        <is>
          <t>IDM/제조/메모리</t>
        </is>
      </c>
      <c r="F150" s="15" t="n">
        <v>53.22</v>
      </c>
      <c r="G150" s="15" t="n">
        <v>0</v>
      </c>
      <c r="H150" s="15" t="inlineStr">
        <is>
          <t>중립</t>
        </is>
      </c>
      <c r="I150" s="15" t="inlineStr">
        <is>
          <t>0.6425667923365267</t>
        </is>
      </c>
      <c r="J150" t="inlineStr"/>
      <c r="K150" t="inlineStr"/>
      <c r="L150" t="inlineStr"/>
    </row>
    <row r="151" ht="22" customHeight="1">
      <c r="A151" s="15" t="inlineStr">
        <is>
          <t>엠디바이스</t>
        </is>
      </c>
      <c r="B151" t="inlineStr"/>
      <c r="C151" s="15" t="inlineStr">
        <is>
          <t>226590</t>
        </is>
      </c>
      <c r="D151" s="15" t="inlineStr">
        <is>
          <t>KOSDAQ</t>
        </is>
      </c>
      <c r="E151" s="15" t="inlineStr">
        <is>
          <t>부품/기판</t>
        </is>
      </c>
      <c r="F151" s="15" t="n">
        <v>53.19</v>
      </c>
      <c r="G151" s="15" t="n">
        <v>42.86</v>
      </c>
      <c r="H151" s="15" t="inlineStr">
        <is>
          <t>중립</t>
        </is>
      </c>
      <c r="I151" s="15" t="inlineStr">
        <is>
          <t>0.7655361666958056</t>
        </is>
      </c>
      <c r="J151" t="inlineStr"/>
      <c r="K151" t="inlineStr"/>
      <c r="L151" t="inlineStr"/>
    </row>
    <row r="152" ht="22" customHeight="1">
      <c r="A152" s="15" t="inlineStr">
        <is>
          <t>제이아이테크</t>
        </is>
      </c>
      <c r="B152" t="inlineStr"/>
      <c r="C152" s="15" t="inlineStr">
        <is>
          <t>417500</t>
        </is>
      </c>
      <c r="D152" s="15" t="inlineStr">
        <is>
          <t>KOSDAQ</t>
        </is>
      </c>
      <c r="E152" s="15" t="inlineStr">
        <is>
          <t>소재</t>
        </is>
      </c>
      <c r="F152" s="15" t="n">
        <v>52.64</v>
      </c>
      <c r="G152" s="15" t="n">
        <v>7.14</v>
      </c>
      <c r="H152" s="15" t="inlineStr">
        <is>
          <t>중립</t>
        </is>
      </c>
      <c r="I152" s="15" t="inlineStr">
        <is>
          <t>0.8525733569966568</t>
        </is>
      </c>
      <c r="J152" t="inlineStr"/>
      <c r="K152" t="inlineStr"/>
      <c r="L152" t="inlineStr"/>
    </row>
    <row r="153" ht="22" customHeight="1">
      <c r="A153" s="15" t="inlineStr">
        <is>
          <t>브이엠</t>
        </is>
      </c>
      <c r="B153" t="inlineStr"/>
      <c r="C153" s="15" t="inlineStr">
        <is>
          <t>089970</t>
        </is>
      </c>
      <c r="D153" s="15" t="inlineStr">
        <is>
          <t>KOSDAQ</t>
        </is>
      </c>
      <c r="E153" s="15" t="inlineStr">
        <is>
          <t>장비</t>
        </is>
      </c>
      <c r="F153" s="15" t="n">
        <v>52.04</v>
      </c>
      <c r="G153" s="15" t="n">
        <v>0</v>
      </c>
      <c r="H153" s="15" t="inlineStr">
        <is>
          <t>중립</t>
        </is>
      </c>
      <c r="I153" s="15" t="inlineStr">
        <is>
          <t>0.737579554357605</t>
        </is>
      </c>
      <c r="J153" t="inlineStr"/>
      <c r="K153" t="inlineStr"/>
      <c r="L153" t="inlineStr"/>
    </row>
    <row r="154" ht="22" customHeight="1">
      <c r="A154" s="15" t="inlineStr">
        <is>
          <t>ISC</t>
        </is>
      </c>
      <c r="B154" t="inlineStr"/>
      <c r="C154" s="15" t="inlineStr">
        <is>
          <t>095340</t>
        </is>
      </c>
      <c r="D154" s="15" t="inlineStr">
        <is>
          <t>KOSDAQ GLOBAL</t>
        </is>
      </c>
      <c r="E154" s="15" t="inlineStr">
        <is>
          <t>후공정/패키징/테스트</t>
        </is>
      </c>
      <c r="F154" s="15" t="n">
        <v>51.76</v>
      </c>
      <c r="G154" s="15" t="n">
        <v>0</v>
      </c>
      <c r="H154" s="15" t="inlineStr">
        <is>
          <t>중립</t>
        </is>
      </c>
      <c r="I154" s="15" t="inlineStr">
        <is>
          <t>0.5753148434947495</t>
        </is>
      </c>
      <c r="J154" t="inlineStr"/>
      <c r="K154" t="inlineStr"/>
      <c r="L154" t="inlineStr"/>
    </row>
    <row r="155" ht="22" customHeight="1">
      <c r="A155" s="15" t="inlineStr">
        <is>
          <t>원익QnC</t>
        </is>
      </c>
      <c r="B155" t="inlineStr"/>
      <c r="C155" s="15" t="inlineStr">
        <is>
          <t>074600</t>
        </is>
      </c>
      <c r="D155" s="15" t="inlineStr">
        <is>
          <t>KOSDAQ GLOBAL</t>
        </is>
      </c>
      <c r="E155" s="15" t="inlineStr">
        <is>
          <t>소재</t>
        </is>
      </c>
      <c r="F155" s="15" t="n">
        <v>51.56</v>
      </c>
      <c r="G155" s="15" t="n">
        <v>28.57</v>
      </c>
      <c r="H155" s="15" t="inlineStr">
        <is>
          <t>중립</t>
        </is>
      </c>
      <c r="I155" s="15" t="inlineStr">
        <is>
          <t>0.4211836082778998</t>
        </is>
      </c>
      <c r="J155" t="inlineStr"/>
      <c r="K155" t="inlineStr"/>
      <c r="L155" t="inlineStr"/>
    </row>
    <row r="156" ht="22" customHeight="1">
      <c r="A156" s="15" t="inlineStr">
        <is>
          <t>엠케이전자</t>
        </is>
      </c>
      <c r="B156" t="inlineStr"/>
      <c r="C156" s="15" t="inlineStr">
        <is>
          <t>033160</t>
        </is>
      </c>
      <c r="D156" s="15" t="inlineStr">
        <is>
          <t>KOSDAQ</t>
        </is>
      </c>
      <c r="E156" s="15" t="inlineStr">
        <is>
          <t>소재</t>
        </is>
      </c>
      <c r="F156" s="15" t="n">
        <v>51.05</v>
      </c>
      <c r="G156" s="15" t="n">
        <v>57.14</v>
      </c>
      <c r="H156" s="15" t="inlineStr">
        <is>
          <t>중립</t>
        </is>
      </c>
      <c r="I156" s="15" t="inlineStr">
        <is>
          <t>0.801168459079624</t>
        </is>
      </c>
      <c r="J156" t="inlineStr"/>
      <c r="K156" t="inlineStr"/>
      <c r="L156" t="inlineStr"/>
    </row>
    <row r="157" ht="22" customHeight="1">
      <c r="A157" s="15" t="inlineStr">
        <is>
          <t>웰킵스하이텍</t>
        </is>
      </c>
      <c r="B157" t="inlineStr"/>
      <c r="C157" s="15" t="inlineStr">
        <is>
          <t>043590</t>
        </is>
      </c>
      <c r="D157" s="15" t="inlineStr">
        <is>
          <t>KOSDAQ</t>
        </is>
      </c>
      <c r="E157" s="15" t="inlineStr">
        <is>
          <t>IDM/제조/메모리</t>
        </is>
      </c>
      <c r="F157" s="15" t="n">
        <v>50.87</v>
      </c>
      <c r="G157" s="15" t="n">
        <v>71.43000000000001</v>
      </c>
      <c r="H157" s="15" t="inlineStr">
        <is>
          <t>중립</t>
        </is>
      </c>
      <c r="I157" s="15" t="inlineStr">
        <is>
          <t>0.7753200487478359</t>
        </is>
      </c>
      <c r="J157" t="inlineStr"/>
      <c r="K157" t="inlineStr"/>
      <c r="L157" t="inlineStr"/>
    </row>
    <row r="158" ht="22" customHeight="1">
      <c r="A158" s="15" t="inlineStr">
        <is>
          <t>타이거일렉</t>
        </is>
      </c>
      <c r="B158" t="inlineStr"/>
      <c r="C158" s="15" t="inlineStr">
        <is>
          <t>219130</t>
        </is>
      </c>
      <c r="D158" s="15" t="inlineStr">
        <is>
          <t>KOSDAQ</t>
        </is>
      </c>
      <c r="E158" s="15" t="inlineStr">
        <is>
          <t>부품/기판</t>
        </is>
      </c>
      <c r="F158" s="15" t="n">
        <v>50.67</v>
      </c>
      <c r="G158" s="15" t="n">
        <v>14.29</v>
      </c>
      <c r="H158" s="15" t="inlineStr">
        <is>
          <t>중립</t>
        </is>
      </c>
      <c r="I158" s="15" t="inlineStr">
        <is>
          <t>0.6463040733623892</t>
        </is>
      </c>
      <c r="J158" t="inlineStr"/>
      <c r="K158" t="inlineStr"/>
      <c r="L158" t="inlineStr"/>
    </row>
    <row r="159" ht="22" customHeight="1">
      <c r="A159" s="15" t="inlineStr">
        <is>
          <t>이수페타시스</t>
        </is>
      </c>
      <c r="B159" t="inlineStr"/>
      <c r="C159" s="15" t="inlineStr">
        <is>
          <t>007660</t>
        </is>
      </c>
      <c r="D159" s="15" t="inlineStr">
        <is>
          <t>KOSPI</t>
        </is>
      </c>
      <c r="E159" s="15" t="inlineStr">
        <is>
          <t>부품/기판</t>
        </is>
      </c>
      <c r="F159" s="15" t="n">
        <v>50.62</v>
      </c>
      <c r="G159" s="15" t="n">
        <v>0</v>
      </c>
      <c r="H159" s="15" t="inlineStr">
        <is>
          <t>중립</t>
        </is>
      </c>
      <c r="I159" s="15" t="inlineStr">
        <is>
          <t>0.599589540069591</t>
        </is>
      </c>
      <c r="J159" t="inlineStr"/>
      <c r="K159" t="inlineStr"/>
      <c r="L159" t="inlineStr"/>
    </row>
    <row r="160" ht="22" customHeight="1">
      <c r="A160" s="15" t="inlineStr">
        <is>
          <t>에이팩트</t>
        </is>
      </c>
      <c r="B160" t="inlineStr"/>
      <c r="C160" s="15" t="inlineStr">
        <is>
          <t>200470</t>
        </is>
      </c>
      <c r="D160" s="15" t="inlineStr">
        <is>
          <t>KOSDAQ</t>
        </is>
      </c>
      <c r="E160" s="15" t="inlineStr">
        <is>
          <t>후공정/패키징/테스트</t>
        </is>
      </c>
      <c r="F160" s="15" t="n">
        <v>50.27</v>
      </c>
      <c r="G160" s="15" t="n">
        <v>42.86</v>
      </c>
      <c r="H160" s="15" t="inlineStr">
        <is>
          <t>중립</t>
        </is>
      </c>
      <c r="I160" s="15" t="inlineStr">
        <is>
          <t>0.8010795762920226</t>
        </is>
      </c>
      <c r="J160" t="inlineStr"/>
      <c r="K160" t="inlineStr"/>
      <c r="L160" t="inlineStr"/>
    </row>
    <row r="161" ht="22" customHeight="1">
      <c r="A161" s="15" t="inlineStr">
        <is>
          <t>와이엠티</t>
        </is>
      </c>
      <c r="B161" t="inlineStr"/>
      <c r="C161" s="15" t="inlineStr">
        <is>
          <t>251370</t>
        </is>
      </c>
      <c r="D161" s="15" t="inlineStr">
        <is>
          <t>KOSDAQ</t>
        </is>
      </c>
      <c r="E161" s="15" t="inlineStr">
        <is>
          <t>소재</t>
        </is>
      </c>
      <c r="F161" s="15" t="n">
        <v>49.9</v>
      </c>
      <c r="G161" s="15" t="n">
        <v>21.43</v>
      </c>
      <c r="H161" s="15" t="inlineStr">
        <is>
          <t>중립</t>
        </is>
      </c>
      <c r="I161" s="15" t="inlineStr">
        <is>
          <t>0.730943868859095</t>
        </is>
      </c>
      <c r="J161" t="inlineStr"/>
      <c r="K161" t="inlineStr"/>
      <c r="L161" t="inlineStr"/>
    </row>
    <row r="162" ht="22" customHeight="1">
      <c r="A162" s="15" t="inlineStr">
        <is>
          <t>아이케이세미콘</t>
        </is>
      </c>
      <c r="B162" t="inlineStr"/>
      <c r="C162" s="15" t="inlineStr">
        <is>
          <t>149010</t>
        </is>
      </c>
      <c r="D162" s="15" t="inlineStr">
        <is>
          <t>KONEX</t>
        </is>
      </c>
      <c r="E162" s="15" t="inlineStr">
        <is>
          <t>팹리스/설계</t>
        </is>
      </c>
      <c r="F162" s="15" t="n">
        <v>49.8</v>
      </c>
      <c r="G162" s="15" t="n">
        <v>64.29000000000001</v>
      </c>
      <c r="H162" s="15" t="inlineStr">
        <is>
          <t>중립</t>
        </is>
      </c>
      <c r="I162" s="15" t="inlineStr">
        <is>
          <t>0.9626560040296214</t>
        </is>
      </c>
      <c r="J162" t="inlineStr"/>
      <c r="K162" t="inlineStr"/>
      <c r="L162" t="inlineStr"/>
    </row>
    <row r="163" ht="22" customHeight="1">
      <c r="A163" s="15" t="inlineStr">
        <is>
          <t>코세스</t>
        </is>
      </c>
      <c r="B163" t="inlineStr"/>
      <c r="C163" s="15" t="inlineStr">
        <is>
          <t>089890</t>
        </is>
      </c>
      <c r="D163" s="15" t="inlineStr">
        <is>
          <t>KOSDAQ</t>
        </is>
      </c>
      <c r="E163" s="15" t="inlineStr">
        <is>
          <t>장비</t>
        </is>
      </c>
      <c r="F163" s="15" t="n">
        <v>49.79</v>
      </c>
      <c r="G163" s="15" t="n">
        <v>7.14</v>
      </c>
      <c r="H163" s="15" t="inlineStr">
        <is>
          <t>중립</t>
        </is>
      </c>
      <c r="I163" s="15" t="inlineStr">
        <is>
          <t>0.7228094449358575</t>
        </is>
      </c>
      <c r="J163" t="inlineStr"/>
      <c r="K163" t="inlineStr"/>
      <c r="L163" t="inlineStr"/>
    </row>
    <row r="164" ht="22" customHeight="1">
      <c r="A164" s="15" t="inlineStr">
        <is>
          <t>코스텍시스템</t>
        </is>
      </c>
      <c r="B164" t="inlineStr"/>
      <c r="C164" s="15" t="inlineStr">
        <is>
          <t>169670</t>
        </is>
      </c>
      <c r="D164" s="15" t="inlineStr">
        <is>
          <t>KONEX</t>
        </is>
      </c>
      <c r="E164" s="15" t="inlineStr">
        <is>
          <t>장비</t>
        </is>
      </c>
      <c r="F164" s="15" t="n">
        <v>49.6</v>
      </c>
      <c r="G164" s="15" t="n">
        <v>21.43</v>
      </c>
      <c r="H164" s="15" t="inlineStr">
        <is>
          <t>중립</t>
        </is>
      </c>
      <c r="I164" s="15" t="inlineStr">
        <is>
          <t>0.9640840061970892</t>
        </is>
      </c>
      <c r="J164" t="inlineStr"/>
      <c r="K164" t="inlineStr"/>
      <c r="L164" t="inlineStr"/>
    </row>
    <row r="165" ht="22" customHeight="1">
      <c r="A165" s="15" t="inlineStr">
        <is>
          <t>삼성전기</t>
        </is>
      </c>
      <c r="B165" t="inlineStr"/>
      <c r="C165" s="15" t="inlineStr">
        <is>
          <t>009150</t>
        </is>
      </c>
      <c r="D165" s="15" t="inlineStr">
        <is>
          <t>KOSPI</t>
        </is>
      </c>
      <c r="E165" s="15" t="inlineStr">
        <is>
          <t>후공정/패키징/테스트</t>
        </is>
      </c>
      <c r="F165" s="15" t="n">
        <v>49.57</v>
      </c>
      <c r="G165" s="15" t="n">
        <v>0</v>
      </c>
      <c r="H165" s="15" t="inlineStr">
        <is>
          <t>중립</t>
        </is>
      </c>
      <c r="I165" s="15" t="inlineStr">
        <is>
          <t>0.5297655139045552</t>
        </is>
      </c>
      <c r="J165" t="inlineStr"/>
      <c r="K165" t="inlineStr"/>
      <c r="L165" t="inlineStr"/>
    </row>
    <row r="166" ht="22" customHeight="1">
      <c r="A166" s="15" t="inlineStr">
        <is>
          <t>티씨케이</t>
        </is>
      </c>
      <c r="B166" t="inlineStr"/>
      <c r="C166" s="15" t="inlineStr">
        <is>
          <t>064760</t>
        </is>
      </c>
      <c r="D166" s="15" t="inlineStr">
        <is>
          <t>KOSDAQ GLOBAL</t>
        </is>
      </c>
      <c r="E166" s="15" t="inlineStr">
        <is>
          <t>소재</t>
        </is>
      </c>
      <c r="F166" s="15" t="n">
        <v>49.56</v>
      </c>
      <c r="G166" s="15" t="n">
        <v>0</v>
      </c>
      <c r="H166" s="15" t="inlineStr">
        <is>
          <t>중립</t>
        </is>
      </c>
      <c r="I166" s="15" t="inlineStr">
        <is>
          <t>0.6535546916238612</t>
        </is>
      </c>
      <c r="J166" t="inlineStr"/>
      <c r="K166" t="inlineStr"/>
      <c r="L166" t="inlineStr"/>
    </row>
    <row r="167" ht="22" customHeight="1">
      <c r="A167" s="15" t="inlineStr">
        <is>
          <t>텔레칩스</t>
        </is>
      </c>
      <c r="B167" t="inlineStr"/>
      <c r="C167" s="15" t="inlineStr">
        <is>
          <t>054450</t>
        </is>
      </c>
      <c r="D167" s="15" t="inlineStr">
        <is>
          <t>KOSDAQ</t>
        </is>
      </c>
      <c r="E167" s="15" t="inlineStr">
        <is>
          <t>팹리스/설계</t>
        </is>
      </c>
      <c r="F167" s="15" t="n">
        <v>49.43</v>
      </c>
      <c r="G167" s="15" t="n">
        <v>71.43000000000001</v>
      </c>
      <c r="H167" s="15" t="inlineStr">
        <is>
          <t>중립</t>
        </is>
      </c>
      <c r="I167" s="15" t="inlineStr">
        <is>
          <t>0.5716537225721987</t>
        </is>
      </c>
      <c r="J167" t="inlineStr"/>
      <c r="K167" t="inlineStr"/>
      <c r="L167" t="inlineStr"/>
    </row>
    <row r="168" ht="22" customHeight="1">
      <c r="A168" s="15" t="inlineStr">
        <is>
          <t>에이엘티</t>
        </is>
      </c>
      <c r="B168" t="inlineStr"/>
      <c r="C168" s="15" t="inlineStr">
        <is>
          <t>172670</t>
        </is>
      </c>
      <c r="D168" s="15" t="inlineStr">
        <is>
          <t>KOSDAQ</t>
        </is>
      </c>
      <c r="E168" s="15" t="inlineStr">
        <is>
          <t>후공정/패키징/테스트</t>
        </is>
      </c>
      <c r="F168" s="15" t="n">
        <v>48.77</v>
      </c>
      <c r="G168" s="15" t="n">
        <v>35.71</v>
      </c>
      <c r="H168" s="15" t="inlineStr">
        <is>
          <t>중립</t>
        </is>
      </c>
      <c r="I168" s="15" t="inlineStr">
        <is>
          <t>0.5308622758067901</t>
        </is>
      </c>
      <c r="J168" t="inlineStr"/>
      <c r="K168" t="inlineStr"/>
      <c r="L168" t="inlineStr"/>
    </row>
    <row r="169" ht="22" customHeight="1">
      <c r="A169" s="15" t="inlineStr">
        <is>
          <t>알파칩스</t>
        </is>
      </c>
      <c r="B169" t="inlineStr"/>
      <c r="C169" s="15" t="inlineStr">
        <is>
          <t>117670</t>
        </is>
      </c>
      <c r="D169" s="15" t="inlineStr">
        <is>
          <t>KOSDAQ</t>
        </is>
      </c>
      <c r="E169" s="15" t="inlineStr">
        <is>
          <t>팹리스/설계</t>
        </is>
      </c>
      <c r="F169" s="15" t="n">
        <v>48.26</v>
      </c>
      <c r="G169" s="15" t="n">
        <v>28.57</v>
      </c>
      <c r="H169" s="15" t="inlineStr">
        <is>
          <t>중립</t>
        </is>
      </c>
      <c r="I169" s="15" t="inlineStr">
        <is>
          <t>0.7398835550872951</t>
        </is>
      </c>
      <c r="J169" t="inlineStr"/>
      <c r="K169" t="inlineStr"/>
      <c r="L169" t="inlineStr"/>
    </row>
    <row r="170" ht="22" customHeight="1">
      <c r="A170" s="15" t="inlineStr">
        <is>
          <t>큐알티</t>
        </is>
      </c>
      <c r="B170" t="inlineStr"/>
      <c r="C170" s="15" t="inlineStr">
        <is>
          <t>405100</t>
        </is>
      </c>
      <c r="D170" s="15" t="inlineStr">
        <is>
          <t>KOSDAQ</t>
        </is>
      </c>
      <c r="E170" s="15" t="inlineStr">
        <is>
          <t>후공정/패키징/테스트</t>
        </is>
      </c>
      <c r="F170" s="15" t="n">
        <v>47.82</v>
      </c>
      <c r="G170" s="15" t="n">
        <v>0</v>
      </c>
      <c r="H170" s="15" t="inlineStr">
        <is>
          <t>중립</t>
        </is>
      </c>
      <c r="I170" s="15" t="inlineStr">
        <is>
          <t>0.4463498311096922</t>
        </is>
      </c>
      <c r="J170" t="inlineStr"/>
      <c r="K170" t="inlineStr"/>
      <c r="L170" t="inlineStr"/>
    </row>
    <row r="171" ht="22" customHeight="1">
      <c r="A171" s="15" t="inlineStr">
        <is>
          <t>테크엘</t>
        </is>
      </c>
      <c r="B171" t="inlineStr"/>
      <c r="C171" s="15" t="inlineStr">
        <is>
          <t>064520</t>
        </is>
      </c>
      <c r="D171" s="15" t="inlineStr">
        <is>
          <t>KOSDAQ</t>
        </is>
      </c>
      <c r="E171" s="15" t="inlineStr">
        <is>
          <t>IDM/제조/메모리</t>
        </is>
      </c>
      <c r="F171" s="15" t="n">
        <v>47.57</v>
      </c>
      <c r="G171" s="15" t="n">
        <v>50</v>
      </c>
      <c r="H171" s="15" t="inlineStr">
        <is>
          <t>중립</t>
        </is>
      </c>
      <c r="I171" s="15" t="inlineStr">
        <is>
          <t>0.7806095936743286</t>
        </is>
      </c>
      <c r="J171" t="inlineStr"/>
      <c r="K171" t="inlineStr"/>
      <c r="L171" t="inlineStr"/>
    </row>
    <row r="172" ht="22" customHeight="1">
      <c r="A172" s="15" t="inlineStr">
        <is>
          <t>HPSP</t>
        </is>
      </c>
      <c r="B172" t="inlineStr"/>
      <c r="C172" s="15" t="inlineStr">
        <is>
          <t>403870</t>
        </is>
      </c>
      <c r="D172" s="15" t="inlineStr">
        <is>
          <t>KOSDAQ GLOBAL</t>
        </is>
      </c>
      <c r="E172" s="15" t="inlineStr">
        <is>
          <t>장비</t>
        </is>
      </c>
      <c r="F172" s="15" t="n">
        <v>47.52</v>
      </c>
      <c r="G172" s="15" t="n">
        <v>0</v>
      </c>
      <c r="H172" s="15" t="inlineStr">
        <is>
          <t>중립</t>
        </is>
      </c>
      <c r="I172" s="15" t="inlineStr">
        <is>
          <t>0.7108284021978194</t>
        </is>
      </c>
      <c r="J172" t="inlineStr"/>
      <c r="K172" t="inlineStr"/>
      <c r="L172" t="inlineStr"/>
    </row>
    <row r="173" ht="22" customHeight="1">
      <c r="A173" s="15" t="inlineStr">
        <is>
          <t>라온로보틱스</t>
        </is>
      </c>
      <c r="B173" t="inlineStr"/>
      <c r="C173" s="15" t="inlineStr">
        <is>
          <t>232680</t>
        </is>
      </c>
      <c r="D173" s="15" t="inlineStr">
        <is>
          <t>KOSDAQ</t>
        </is>
      </c>
      <c r="E173" s="15" t="inlineStr">
        <is>
          <t>팹리스/설계</t>
        </is>
      </c>
      <c r="F173" s="15" t="n">
        <v>47.45</v>
      </c>
      <c r="G173" s="15" t="n">
        <v>14.29</v>
      </c>
      <c r="H173" s="15" t="inlineStr">
        <is>
          <t>중립</t>
        </is>
      </c>
      <c r="I173" s="15" t="inlineStr">
        <is>
          <t>0.7863374675167921</t>
        </is>
      </c>
      <c r="J173" t="inlineStr"/>
      <c r="K173" t="inlineStr"/>
      <c r="L173" t="inlineStr"/>
    </row>
    <row r="174" ht="22" customHeight="1">
      <c r="A174" s="15" t="inlineStr">
        <is>
          <t>서울반도체</t>
        </is>
      </c>
      <c r="B174" t="inlineStr"/>
      <c r="C174" s="15" t="inlineStr">
        <is>
          <t>046890</t>
        </is>
      </c>
      <c r="D174" s="15" t="inlineStr">
        <is>
          <t>KOSDAQ GLOBAL</t>
        </is>
      </c>
      <c r="E174" s="15" t="inlineStr">
        <is>
          <t>IDM/제조/메모리</t>
        </is>
      </c>
      <c r="F174" s="15" t="n">
        <v>47.13</v>
      </c>
      <c r="G174" s="15" t="n">
        <v>42.86</v>
      </c>
      <c r="H174" s="15" t="inlineStr">
        <is>
          <t>중립</t>
        </is>
      </c>
      <c r="I174" s="15" t="inlineStr">
        <is>
          <t>0.8223266790603506</t>
        </is>
      </c>
      <c r="J174" t="inlineStr"/>
      <c r="K174" t="inlineStr"/>
      <c r="L174" t="inlineStr"/>
    </row>
    <row r="175" ht="22" customHeight="1">
      <c r="A175" s="15" t="inlineStr">
        <is>
          <t>한미반도체</t>
        </is>
      </c>
      <c r="B175" s="15" t="inlineStr">
        <is>
          <t>hanmi</t>
        </is>
      </c>
      <c r="C175" s="15" t="inlineStr">
        <is>
          <t>042700</t>
        </is>
      </c>
      <c r="D175" s="15" t="inlineStr">
        <is>
          <t>KOSPI</t>
        </is>
      </c>
      <c r="E175" s="15" t="inlineStr">
        <is>
          <t>후공정/패키징/테스트</t>
        </is>
      </c>
      <c r="F175" s="15" t="n">
        <v>47.13</v>
      </c>
      <c r="G175" s="15" t="n">
        <v>0</v>
      </c>
      <c r="H175" s="15" t="inlineStr">
        <is>
          <t>중립</t>
        </is>
      </c>
      <c r="I175" s="15" t="inlineStr">
        <is>
          <t>0.618072727307107</t>
        </is>
      </c>
      <c r="J175" s="15" t="inlineStr">
        <is>
          <t>예</t>
        </is>
      </c>
      <c r="K175" t="inlineStr"/>
      <c r="L175" t="inlineStr"/>
    </row>
    <row r="176" ht="22" customHeight="1">
      <c r="A176" s="15" t="inlineStr">
        <is>
          <t>큐엠씨</t>
        </is>
      </c>
      <c r="B176" t="inlineStr"/>
      <c r="C176" s="15" t="inlineStr">
        <is>
          <t>136660</t>
        </is>
      </c>
      <c r="D176" s="15" t="inlineStr">
        <is>
          <t>KONEX</t>
        </is>
      </c>
      <c r="E176" s="15" t="inlineStr">
        <is>
          <t>후공정/패키징/테스트</t>
        </is>
      </c>
      <c r="F176" s="15" t="n">
        <v>47.11</v>
      </c>
      <c r="G176" s="15" t="n">
        <v>28.57</v>
      </c>
      <c r="H176" s="15" t="inlineStr">
        <is>
          <t>중립</t>
        </is>
      </c>
      <c r="I176" s="15" t="inlineStr">
        <is>
          <t>0.9731046168075388</t>
        </is>
      </c>
      <c r="J176" t="inlineStr"/>
      <c r="K176" t="inlineStr"/>
      <c r="L176" t="inlineStr"/>
    </row>
    <row r="177" ht="22" customHeight="1">
      <c r="A177" s="15" t="inlineStr">
        <is>
          <t>동진쎄미켐</t>
        </is>
      </c>
      <c r="B177" t="inlineStr"/>
      <c r="C177" s="15" t="inlineStr">
        <is>
          <t>005290</t>
        </is>
      </c>
      <c r="D177" s="15" t="inlineStr">
        <is>
          <t>KOSDAQ</t>
        </is>
      </c>
      <c r="E177" s="15" t="inlineStr">
        <is>
          <t>소재</t>
        </is>
      </c>
      <c r="F177" s="15" t="n">
        <v>47.03</v>
      </c>
      <c r="G177" s="15" t="n">
        <v>0</v>
      </c>
      <c r="H177" s="15" t="inlineStr">
        <is>
          <t>중립</t>
        </is>
      </c>
      <c r="I177" s="15" t="inlineStr">
        <is>
          <t>0.48929755601795294</t>
        </is>
      </c>
      <c r="J177" t="inlineStr"/>
      <c r="K177" t="inlineStr"/>
      <c r="L177" t="inlineStr"/>
    </row>
    <row r="178" ht="22" customHeight="1">
      <c r="A178" s="15" t="inlineStr">
        <is>
          <t>럭스피아</t>
        </is>
      </c>
      <c r="B178" t="inlineStr"/>
      <c r="C178" s="15" t="inlineStr">
        <is>
          <t>092590</t>
        </is>
      </c>
      <c r="D178" s="15" t="inlineStr">
        <is>
          <t>KONEX</t>
        </is>
      </c>
      <c r="E178" s="15" t="inlineStr">
        <is>
          <t>후공정/패키징/테스트</t>
        </is>
      </c>
      <c r="F178" s="15" t="n">
        <v>46.81</v>
      </c>
      <c r="G178" s="15" t="n">
        <v>28.57</v>
      </c>
      <c r="H178" s="15" t="inlineStr">
        <is>
          <t>중립</t>
        </is>
      </c>
      <c r="I178" s="15" t="inlineStr">
        <is>
          <t>0.969533908094729</t>
        </is>
      </c>
      <c r="J178" t="inlineStr"/>
      <c r="K178" t="inlineStr"/>
      <c r="L178" t="inlineStr"/>
    </row>
    <row r="179" ht="22" customHeight="1">
      <c r="A179" s="15" t="inlineStr">
        <is>
          <t>코리아써키트</t>
        </is>
      </c>
      <c r="B179" t="inlineStr"/>
      <c r="C179" s="15" t="inlineStr">
        <is>
          <t>007810</t>
        </is>
      </c>
      <c r="D179" s="15" t="inlineStr">
        <is>
          <t>KOSPI</t>
        </is>
      </c>
      <c r="E179" s="15" t="inlineStr">
        <is>
          <t>부품/기판</t>
        </is>
      </c>
      <c r="F179" s="15" t="n">
        <v>46.76</v>
      </c>
      <c r="G179" s="15" t="n">
        <v>28.57</v>
      </c>
      <c r="H179" s="15" t="inlineStr">
        <is>
          <t>중립</t>
        </is>
      </c>
      <c r="I179" s="15" t="inlineStr">
        <is>
          <t>0.8409076697911426</t>
        </is>
      </c>
      <c r="J179" t="inlineStr"/>
      <c r="K179" t="inlineStr"/>
      <c r="L179" t="inlineStr"/>
    </row>
    <row r="180" ht="22" customHeight="1">
      <c r="A180" s="15" t="inlineStr">
        <is>
          <t>싸이닉솔루션</t>
        </is>
      </c>
      <c r="B180" t="inlineStr"/>
      <c r="C180" s="15" t="inlineStr">
        <is>
          <t>234030</t>
        </is>
      </c>
      <c r="D180" s="15" t="inlineStr">
        <is>
          <t>KOSDAQ</t>
        </is>
      </c>
      <c r="E180" s="15" t="inlineStr">
        <is>
          <t>팹리스/설계</t>
        </is>
      </c>
      <c r="F180" s="15" t="n">
        <v>46.71</v>
      </c>
      <c r="G180" s="15" t="n">
        <v>35.71</v>
      </c>
      <c r="H180" s="15" t="inlineStr">
        <is>
          <t>중립</t>
        </is>
      </c>
      <c r="I180" s="15" t="inlineStr">
        <is>
          <t>0.7962034217650586</t>
        </is>
      </c>
      <c r="J180" t="inlineStr"/>
      <c r="K180" t="inlineStr"/>
      <c r="L180" t="inlineStr"/>
    </row>
    <row r="181" ht="22" customHeight="1">
      <c r="A181" s="15" t="inlineStr">
        <is>
          <t>HD현대에너지솔루션</t>
        </is>
      </c>
      <c r="B181" t="inlineStr"/>
      <c r="C181" s="15" t="inlineStr">
        <is>
          <t>322000</t>
        </is>
      </c>
      <c r="D181" s="15" t="inlineStr">
        <is>
          <t>KOSPI</t>
        </is>
      </c>
      <c r="E181" s="15" t="inlineStr">
        <is>
          <t>IDM/제조/메모리</t>
        </is>
      </c>
      <c r="F181" s="15" t="n">
        <v>46.5</v>
      </c>
      <c r="G181" s="15" t="n">
        <v>14.29</v>
      </c>
      <c r="H181" s="15" t="inlineStr">
        <is>
          <t>중립</t>
        </is>
      </c>
      <c r="I181" s="15" t="inlineStr">
        <is>
          <t>0.6226975287022534</t>
        </is>
      </c>
      <c r="J181" t="inlineStr"/>
      <c r="K181" t="inlineStr"/>
      <c r="L181" t="inlineStr"/>
    </row>
    <row r="182" ht="22" customHeight="1">
      <c r="A182" s="15" t="inlineStr">
        <is>
          <t>원익IPS</t>
        </is>
      </c>
      <c r="B182" t="inlineStr"/>
      <c r="C182" s="15" t="inlineStr">
        <is>
          <t>240810</t>
        </is>
      </c>
      <c r="D182" s="15" t="inlineStr">
        <is>
          <t>KOSDAQ GLOBAL</t>
        </is>
      </c>
      <c r="E182" s="15" t="inlineStr">
        <is>
          <t>장비</t>
        </is>
      </c>
      <c r="F182" s="15" t="n">
        <v>46.35</v>
      </c>
      <c r="G182" s="15" t="n">
        <v>7.14</v>
      </c>
      <c r="H182" s="15" t="inlineStr">
        <is>
          <t>중립</t>
        </is>
      </c>
      <c r="I182" s="15" t="inlineStr">
        <is>
          <t>0.5727476694226805</t>
        </is>
      </c>
      <c r="J182" t="inlineStr"/>
      <c r="K182" t="inlineStr"/>
      <c r="L182" t="inlineStr"/>
    </row>
    <row r="183" ht="22" customHeight="1">
      <c r="A183" s="15" t="inlineStr">
        <is>
          <t>파크시스템스</t>
        </is>
      </c>
      <c r="B183" t="inlineStr"/>
      <c r="C183" s="15" t="inlineStr">
        <is>
          <t>140860</t>
        </is>
      </c>
      <c r="D183" s="15" t="inlineStr">
        <is>
          <t>KOSDAQ GLOBAL</t>
        </is>
      </c>
      <c r="E183" s="15" t="inlineStr">
        <is>
          <t>장비</t>
        </is>
      </c>
      <c r="F183" s="15" t="n">
        <v>46.12</v>
      </c>
      <c r="G183" s="15" t="n">
        <v>7.14</v>
      </c>
      <c r="H183" s="15" t="inlineStr">
        <is>
          <t>중립</t>
        </is>
      </c>
      <c r="I183" s="15" t="inlineStr">
        <is>
          <t>0.7158734205313764</t>
        </is>
      </c>
      <c r="J183" t="inlineStr"/>
      <c r="K183" t="inlineStr"/>
      <c r="L183" t="inlineStr"/>
    </row>
    <row r="184" ht="22" customHeight="1">
      <c r="A184" s="15" t="inlineStr">
        <is>
          <t>와이투솔루션</t>
        </is>
      </c>
      <c r="B184" t="inlineStr"/>
      <c r="C184" s="15" t="inlineStr">
        <is>
          <t>011690</t>
        </is>
      </c>
      <c r="D184" s="15" t="inlineStr">
        <is>
          <t>KOSPI</t>
        </is>
      </c>
      <c r="E184" s="15" t="inlineStr">
        <is>
          <t>IDM/제조/메모리</t>
        </is>
      </c>
      <c r="F184" s="15" t="n">
        <v>46.02</v>
      </c>
      <c r="G184" s="15" t="n">
        <v>57.14</v>
      </c>
      <c r="H184" s="15" t="inlineStr">
        <is>
          <t>중립</t>
        </is>
      </c>
      <c r="I184" s="15" t="inlineStr">
        <is>
          <t>0.7379153959384467</t>
        </is>
      </c>
      <c r="J184" t="inlineStr"/>
      <c r="K184" t="inlineStr"/>
      <c r="L184" t="inlineStr"/>
    </row>
    <row r="185" ht="22" customHeight="1">
      <c r="A185" s="15" t="inlineStr">
        <is>
          <t>서플러스글로벌</t>
        </is>
      </c>
      <c r="B185" t="inlineStr"/>
      <c r="C185" s="15" t="inlineStr">
        <is>
          <t>140070</t>
        </is>
      </c>
      <c r="D185" s="15" t="inlineStr">
        <is>
          <t>KOSDAQ</t>
        </is>
      </c>
      <c r="E185" s="15" t="inlineStr">
        <is>
          <t>장비</t>
        </is>
      </c>
      <c r="F185" s="15" t="n">
        <v>45.95</v>
      </c>
      <c r="G185" s="15" t="n">
        <v>71.43000000000001</v>
      </c>
      <c r="H185" s="15" t="inlineStr">
        <is>
          <t>중립</t>
        </is>
      </c>
      <c r="I185" s="15" t="inlineStr">
        <is>
          <t>0.6515364241286621</t>
        </is>
      </c>
      <c r="J185" t="inlineStr"/>
      <c r="K185" t="inlineStr"/>
      <c r="L185" t="inlineStr"/>
    </row>
    <row r="186" ht="22" customHeight="1">
      <c r="A186" s="15" t="inlineStr">
        <is>
          <t>아이텍</t>
        </is>
      </c>
      <c r="B186" t="inlineStr"/>
      <c r="C186" s="15" t="inlineStr">
        <is>
          <t>119830</t>
        </is>
      </c>
      <c r="D186" s="15" t="inlineStr">
        <is>
          <t>KOSDAQ</t>
        </is>
      </c>
      <c r="E186" s="15" t="inlineStr">
        <is>
          <t>후공정/패키징/테스트</t>
        </is>
      </c>
      <c r="F186" s="15" t="n">
        <v>45.73</v>
      </c>
      <c r="G186" s="15" t="n">
        <v>21.43</v>
      </c>
      <c r="H186" s="15" t="inlineStr">
        <is>
          <t>중립</t>
        </is>
      </c>
      <c r="I186" s="15" t="inlineStr">
        <is>
          <t>0.6018206034002739</t>
        </is>
      </c>
      <c r="J186" t="inlineStr"/>
      <c r="K186" t="inlineStr"/>
      <c r="L186" t="inlineStr"/>
    </row>
    <row r="187" ht="22" customHeight="1">
      <c r="A187" s="15" t="inlineStr">
        <is>
          <t>신성이엔지</t>
        </is>
      </c>
      <c r="B187" t="inlineStr"/>
      <c r="C187" s="15" t="inlineStr">
        <is>
          <t>011930</t>
        </is>
      </c>
      <c r="D187" s="15" t="inlineStr">
        <is>
          <t>KOSPI</t>
        </is>
      </c>
      <c r="E187" s="15" t="inlineStr">
        <is>
          <t>IDM/제조/메모리</t>
        </is>
      </c>
      <c r="F187" s="15" t="n">
        <v>45.52</v>
      </c>
      <c r="G187" s="15" t="n">
        <v>57.14</v>
      </c>
      <c r="H187" s="15" t="inlineStr">
        <is>
          <t>중립</t>
        </is>
      </c>
      <c r="I187" s="15" t="inlineStr">
        <is>
          <t>0.7610157176994289</t>
        </is>
      </c>
      <c r="J187" t="inlineStr"/>
      <c r="K187" t="inlineStr"/>
      <c r="L187" t="inlineStr"/>
    </row>
    <row r="188" ht="22" customHeight="1">
      <c r="A188" s="15" t="inlineStr">
        <is>
          <t>KEC</t>
        </is>
      </c>
      <c r="B188" t="inlineStr"/>
      <c r="C188" s="15" t="inlineStr">
        <is>
          <t>092220</t>
        </is>
      </c>
      <c r="D188" s="15" t="inlineStr">
        <is>
          <t>KOSPI</t>
        </is>
      </c>
      <c r="E188" s="15" t="inlineStr">
        <is>
          <t>IDM/제조/메모리</t>
        </is>
      </c>
      <c r="F188" s="15" t="n">
        <v>45.5</v>
      </c>
      <c r="G188" s="15" t="n">
        <v>50</v>
      </c>
      <c r="H188" s="15" t="inlineStr">
        <is>
          <t>중립</t>
        </is>
      </c>
      <c r="I188" s="15" t="inlineStr">
        <is>
          <t>0.7937660338126779</t>
        </is>
      </c>
      <c r="J188" t="inlineStr"/>
      <c r="K188" t="inlineStr"/>
      <c r="L188" t="inlineStr"/>
    </row>
    <row r="189" ht="22" customHeight="1">
      <c r="A189" s="15" t="inlineStr">
        <is>
          <t>에스티아이</t>
        </is>
      </c>
      <c r="B189" t="inlineStr"/>
      <c r="C189" s="15" t="inlineStr">
        <is>
          <t>039440</t>
        </is>
      </c>
      <c r="D189" s="15" t="inlineStr">
        <is>
          <t>KOSDAQ</t>
        </is>
      </c>
      <c r="E189" s="15" t="inlineStr">
        <is>
          <t>장비</t>
        </is>
      </c>
      <c r="F189" s="15" t="n">
        <v>45.5</v>
      </c>
      <c r="G189" s="15" t="n">
        <v>0</v>
      </c>
      <c r="H189" s="15" t="inlineStr">
        <is>
          <t>중립</t>
        </is>
      </c>
      <c r="I189" s="15" t="inlineStr">
        <is>
          <t>0.53270990340385</t>
        </is>
      </c>
      <c r="J189" t="inlineStr"/>
      <c r="K189" t="inlineStr"/>
      <c r="L189" t="inlineStr"/>
    </row>
    <row r="190" ht="22" customHeight="1">
      <c r="A190" s="15" t="inlineStr">
        <is>
          <t>윈팩</t>
        </is>
      </c>
      <c r="B190" t="inlineStr"/>
      <c r="C190" s="15" t="inlineStr">
        <is>
          <t>097800</t>
        </is>
      </c>
      <c r="D190" s="15" t="inlineStr">
        <is>
          <t>KOSDAQ</t>
        </is>
      </c>
      <c r="E190" s="15" t="inlineStr">
        <is>
          <t>후공정/패키징/테스트</t>
        </is>
      </c>
      <c r="F190" s="15" t="n">
        <v>44.18</v>
      </c>
      <c r="G190" s="15" t="n">
        <v>71.43000000000001</v>
      </c>
      <c r="H190" s="15" t="inlineStr">
        <is>
          <t>중립</t>
        </is>
      </c>
      <c r="I190" s="15" t="inlineStr">
        <is>
          <t>0.5735742758518154</t>
        </is>
      </c>
      <c r="J190" t="inlineStr"/>
      <c r="K190" t="inlineStr"/>
      <c r="L190" t="inlineStr"/>
    </row>
    <row r="191" ht="22" customHeight="1">
      <c r="A191" s="15" t="inlineStr">
        <is>
          <t>켐트로닉스</t>
        </is>
      </c>
      <c r="B191" t="inlineStr"/>
      <c r="C191" s="15" t="inlineStr">
        <is>
          <t>089010</t>
        </is>
      </c>
      <c r="D191" s="15" t="inlineStr">
        <is>
          <t>KOSDAQ</t>
        </is>
      </c>
      <c r="E191" s="15" t="inlineStr">
        <is>
          <t>소재</t>
        </is>
      </c>
      <c r="F191" s="15" t="n">
        <v>44.13</v>
      </c>
      <c r="G191" s="15" t="n">
        <v>35.71</v>
      </c>
      <c r="H191" s="15" t="inlineStr">
        <is>
          <t>중립</t>
        </is>
      </c>
      <c r="I191" s="15" t="inlineStr">
        <is>
          <t>0.7697961799623572</t>
        </is>
      </c>
      <c r="J191" t="inlineStr"/>
      <c r="K191" t="inlineStr"/>
      <c r="L191" t="inlineStr"/>
    </row>
    <row r="192" ht="22" customHeight="1">
      <c r="A192" s="15" t="inlineStr">
        <is>
          <t>팸텍</t>
        </is>
      </c>
      <c r="B192" t="inlineStr"/>
      <c r="C192" s="15" t="inlineStr">
        <is>
          <t>271830</t>
        </is>
      </c>
      <c r="D192" s="15" t="inlineStr">
        <is>
          <t>KOSDAQ</t>
        </is>
      </c>
      <c r="E192" s="15" t="inlineStr">
        <is>
          <t>후공정/패키징/테스트</t>
        </is>
      </c>
      <c r="F192" s="15" t="n">
        <v>44.03</v>
      </c>
      <c r="G192" s="15" t="n">
        <v>57.14</v>
      </c>
      <c r="H192" s="15" t="inlineStr">
        <is>
          <t>중립</t>
        </is>
      </c>
      <c r="I192" s="15" t="inlineStr">
        <is>
          <t>0.6809009837226325</t>
        </is>
      </c>
      <c r="J192" t="inlineStr"/>
      <c r="K192" t="inlineStr"/>
      <c r="L192" t="inlineStr"/>
    </row>
    <row r="193" ht="22" customHeight="1">
      <c r="A193" s="15" t="inlineStr">
        <is>
          <t>LB세미콘</t>
        </is>
      </c>
      <c r="B193" t="inlineStr"/>
      <c r="C193" s="15" t="inlineStr">
        <is>
          <t>061970</t>
        </is>
      </c>
      <c r="D193" s="15" t="inlineStr">
        <is>
          <t>KOSDAQ</t>
        </is>
      </c>
      <c r="E193" s="15" t="inlineStr">
        <is>
          <t>후공정/패키징/테스트</t>
        </is>
      </c>
      <c r="F193" s="15" t="n">
        <v>43.94</v>
      </c>
      <c r="G193" s="15" t="n">
        <v>57.14</v>
      </c>
      <c r="H193" s="15" t="inlineStr">
        <is>
          <t>중립</t>
        </is>
      </c>
      <c r="I193" s="15" t="inlineStr">
        <is>
          <t>0.519835518569549</t>
        </is>
      </c>
      <c r="J193" t="inlineStr"/>
      <c r="K193" t="inlineStr"/>
      <c r="L193" t="inlineStr"/>
    </row>
    <row r="194" ht="22" customHeight="1">
      <c r="A194" s="15" t="inlineStr">
        <is>
          <t>유진테크</t>
        </is>
      </c>
      <c r="B194" t="inlineStr"/>
      <c r="C194" s="15" t="inlineStr">
        <is>
          <t>084370</t>
        </is>
      </c>
      <c r="D194" s="15" t="inlineStr">
        <is>
          <t>KOSDAQ</t>
        </is>
      </c>
      <c r="E194" s="15" t="inlineStr">
        <is>
          <t>장비</t>
        </is>
      </c>
      <c r="F194" s="15" t="n">
        <v>43.36</v>
      </c>
      <c r="G194" s="15" t="n">
        <v>0</v>
      </c>
      <c r="H194" s="15" t="inlineStr">
        <is>
          <t>중립</t>
        </is>
      </c>
      <c r="I194" s="15" t="inlineStr">
        <is>
          <t>0.7415227894291446</t>
        </is>
      </c>
      <c r="J194" t="inlineStr"/>
      <c r="K194" t="inlineStr"/>
      <c r="L194" t="inlineStr"/>
    </row>
    <row r="195" ht="22" customHeight="1">
      <c r="A195" s="15" t="inlineStr">
        <is>
          <t>일진디스플</t>
        </is>
      </c>
      <c r="B195" t="inlineStr"/>
      <c r="C195" s="15" t="inlineStr">
        <is>
          <t>020760</t>
        </is>
      </c>
      <c r="D195" s="15" t="inlineStr">
        <is>
          <t>KOSPI</t>
        </is>
      </c>
      <c r="E195" s="15" t="inlineStr">
        <is>
          <t>IDM/제조/메모리</t>
        </is>
      </c>
      <c r="F195" s="15" t="n">
        <v>43.35</v>
      </c>
      <c r="G195" s="15" t="n">
        <v>64.29000000000001</v>
      </c>
      <c r="H195" s="15" t="inlineStr">
        <is>
          <t>중립</t>
        </is>
      </c>
      <c r="I195" s="15" t="inlineStr">
        <is>
          <t>0.7887205359697603</t>
        </is>
      </c>
      <c r="J195" t="inlineStr"/>
      <c r="K195" t="inlineStr"/>
      <c r="L195" t="inlineStr"/>
    </row>
    <row r="196" ht="22" customHeight="1">
      <c r="A196" s="15" t="inlineStr">
        <is>
          <t>덕산하이메탈</t>
        </is>
      </c>
      <c r="B196" t="inlineStr"/>
      <c r="C196" s="15" t="inlineStr">
        <is>
          <t>077360</t>
        </is>
      </c>
      <c r="D196" s="15" t="inlineStr">
        <is>
          <t>KOSDAQ</t>
        </is>
      </c>
      <c r="E196" s="15" t="inlineStr">
        <is>
          <t>IDM/제조/메모리</t>
        </is>
      </c>
      <c r="F196" s="15" t="n">
        <v>43.33</v>
      </c>
      <c r="G196" s="15" t="n">
        <v>28.57</v>
      </c>
      <c r="H196" s="15" t="inlineStr">
        <is>
          <t>중립</t>
        </is>
      </c>
      <c r="I196" s="15" t="inlineStr">
        <is>
          <t>0.6698541971057747</t>
        </is>
      </c>
      <c r="J196" t="inlineStr"/>
      <c r="K196" t="inlineStr"/>
      <c r="L196" t="inlineStr"/>
    </row>
    <row r="197" ht="22" customHeight="1">
      <c r="A197" s="15" t="inlineStr">
        <is>
          <t>솔브레인</t>
        </is>
      </c>
      <c r="B197" t="inlineStr"/>
      <c r="C197" s="15" t="inlineStr">
        <is>
          <t>357780</t>
        </is>
      </c>
      <c r="D197" s="15" t="inlineStr">
        <is>
          <t>KOSDAQ GLOBAL</t>
        </is>
      </c>
      <c r="E197" s="15" t="inlineStr">
        <is>
          <t>소재</t>
        </is>
      </c>
      <c r="F197" s="15" t="n">
        <v>43.31</v>
      </c>
      <c r="G197" s="15" t="n">
        <v>0</v>
      </c>
      <c r="H197" s="15" t="inlineStr">
        <is>
          <t>중립</t>
        </is>
      </c>
      <c r="I197" s="15" t="inlineStr">
        <is>
          <t>0.6367158518654258</t>
        </is>
      </c>
      <c r="J197" t="inlineStr"/>
      <c r="K197" t="inlineStr"/>
      <c r="L197" t="inlineStr"/>
    </row>
    <row r="198" ht="22" customHeight="1">
      <c r="A198" s="15" t="inlineStr">
        <is>
          <t>제이티</t>
        </is>
      </c>
      <c r="B198" t="inlineStr"/>
      <c r="C198" s="15" t="inlineStr">
        <is>
          <t>089790</t>
        </is>
      </c>
      <c r="D198" s="15" t="inlineStr">
        <is>
          <t>KOSDAQ</t>
        </is>
      </c>
      <c r="E198" s="15" t="inlineStr">
        <is>
          <t>후공정/패키징/테스트</t>
        </is>
      </c>
      <c r="F198" s="15" t="n">
        <v>42.93</v>
      </c>
      <c r="G198" s="15" t="n">
        <v>28.57</v>
      </c>
      <c r="H198" s="15" t="inlineStr">
        <is>
          <t>중립</t>
        </is>
      </c>
      <c r="I198" s="15" t="inlineStr">
        <is>
          <t>0.7953438622461361</t>
        </is>
      </c>
      <c r="J198" t="inlineStr"/>
      <c r="K198" t="inlineStr"/>
      <c r="L198" t="inlineStr"/>
    </row>
    <row r="199" ht="22" customHeight="1">
      <c r="A199" s="15" t="inlineStr">
        <is>
          <t>아이언디바이스</t>
        </is>
      </c>
      <c r="B199" t="inlineStr"/>
      <c r="C199" s="15" t="inlineStr">
        <is>
          <t>464500</t>
        </is>
      </c>
      <c r="D199" s="15" t="inlineStr">
        <is>
          <t>KOSDAQ</t>
        </is>
      </c>
      <c r="E199" s="15" t="inlineStr">
        <is>
          <t>팹리스/설계</t>
        </is>
      </c>
      <c r="F199" s="15" t="n">
        <v>42.79</v>
      </c>
      <c r="G199" s="15" t="n">
        <v>57.14</v>
      </c>
      <c r="H199" s="15" t="inlineStr">
        <is>
          <t>중립</t>
        </is>
      </c>
      <c r="I199" s="15" t="inlineStr">
        <is>
          <t>0.767854918982104</t>
        </is>
      </c>
      <c r="J199" t="inlineStr"/>
      <c r="K199" t="inlineStr"/>
      <c r="L199" t="inlineStr"/>
    </row>
    <row r="200" ht="22" customHeight="1">
      <c r="A200" s="15" t="inlineStr">
        <is>
          <t>제너셈</t>
        </is>
      </c>
      <c r="B200" t="inlineStr"/>
      <c r="C200" s="15" t="inlineStr">
        <is>
          <t>217190</t>
        </is>
      </c>
      <c r="D200" s="15" t="inlineStr">
        <is>
          <t>KOSDAQ</t>
        </is>
      </c>
      <c r="E200" s="15" t="inlineStr">
        <is>
          <t>후공정/패키징/테스트</t>
        </is>
      </c>
      <c r="F200" s="15" t="n">
        <v>42.79</v>
      </c>
      <c r="G200" s="15" t="n">
        <v>28.57</v>
      </c>
      <c r="H200" s="15" t="inlineStr">
        <is>
          <t>중립</t>
        </is>
      </c>
      <c r="I200" s="15" t="inlineStr">
        <is>
          <t>0.7410125545144256</t>
        </is>
      </c>
      <c r="J200" t="inlineStr"/>
      <c r="K200" t="inlineStr"/>
      <c r="L200" t="inlineStr"/>
    </row>
    <row r="201" ht="22" customHeight="1">
      <c r="A201" s="15" t="inlineStr">
        <is>
          <t>에이디테크놀로지</t>
        </is>
      </c>
      <c r="B201" t="inlineStr"/>
      <c r="C201" s="15" t="inlineStr">
        <is>
          <t>200710</t>
        </is>
      </c>
      <c r="D201" s="15" t="inlineStr">
        <is>
          <t>KOSDAQ</t>
        </is>
      </c>
      <c r="E201" s="15" t="inlineStr">
        <is>
          <t>IDM/제조/메모리</t>
        </is>
      </c>
      <c r="F201" s="15" t="n">
        <v>42.72</v>
      </c>
      <c r="G201" s="15" t="n">
        <v>28.57</v>
      </c>
      <c r="H201" s="15" t="inlineStr">
        <is>
          <t>중립</t>
        </is>
      </c>
      <c r="I201" s="15" t="inlineStr">
        <is>
          <t>0.6637416757093363</t>
        </is>
      </c>
      <c r="J201" t="inlineStr"/>
      <c r="K201" t="inlineStr"/>
      <c r="L201" t="inlineStr"/>
    </row>
    <row r="202" ht="22" customHeight="1">
      <c r="A202" s="15" t="inlineStr">
        <is>
          <t>쓰리에이로직스</t>
        </is>
      </c>
      <c r="B202" t="inlineStr"/>
      <c r="C202" s="15" t="inlineStr">
        <is>
          <t>177900</t>
        </is>
      </c>
      <c r="D202" s="15" t="inlineStr">
        <is>
          <t>KOSDAQ</t>
        </is>
      </c>
      <c r="E202" s="15" t="inlineStr">
        <is>
          <t>팹리스/설계</t>
        </is>
      </c>
      <c r="F202" s="15" t="n">
        <v>42.67</v>
      </c>
      <c r="G202" s="15" t="n">
        <v>57.14</v>
      </c>
      <c r="H202" s="15" t="inlineStr">
        <is>
          <t>중립</t>
        </is>
      </c>
      <c r="I202" s="15" t="inlineStr">
        <is>
          <t>0.5793703556022938</t>
        </is>
      </c>
      <c r="J202" t="inlineStr"/>
      <c r="K202" t="inlineStr"/>
      <c r="L202" t="inlineStr"/>
    </row>
    <row r="203" ht="22" customHeight="1">
      <c r="A203" s="15" t="inlineStr">
        <is>
          <t>제우스</t>
        </is>
      </c>
      <c r="B203" t="inlineStr"/>
      <c r="C203" s="15" t="inlineStr">
        <is>
          <t>079370</t>
        </is>
      </c>
      <c r="D203" s="15" t="inlineStr">
        <is>
          <t>KOSDAQ</t>
        </is>
      </c>
      <c r="E203" s="15" t="inlineStr">
        <is>
          <t>장비</t>
        </is>
      </c>
      <c r="F203" s="15" t="n">
        <v>42.59</v>
      </c>
      <c r="G203" s="15" t="n">
        <v>21.43</v>
      </c>
      <c r="H203" s="15" t="inlineStr">
        <is>
          <t>중립</t>
        </is>
      </c>
      <c r="I203" s="15" t="inlineStr">
        <is>
          <t>0.7744454918412472</t>
        </is>
      </c>
      <c r="J203" t="inlineStr"/>
      <c r="K203" t="inlineStr"/>
      <c r="L203" t="inlineStr"/>
    </row>
    <row r="204" ht="22" customHeight="1">
      <c r="A204" s="15" t="inlineStr">
        <is>
          <t>네패스아크</t>
        </is>
      </c>
      <c r="B204" t="inlineStr"/>
      <c r="C204" s="15" t="inlineStr">
        <is>
          <t>330860</t>
        </is>
      </c>
      <c r="D204" s="15" t="inlineStr">
        <is>
          <t>KOSDAQ</t>
        </is>
      </c>
      <c r="E204" s="15" t="inlineStr">
        <is>
          <t>후공정/패키징/테스트</t>
        </is>
      </c>
      <c r="F204" s="15" t="n">
        <v>42.07</v>
      </c>
      <c r="G204" s="15" t="n">
        <v>0</v>
      </c>
      <c r="H204" s="15" t="inlineStr">
        <is>
          <t>고평가 부담</t>
        </is>
      </c>
      <c r="I204" s="15" t="inlineStr">
        <is>
          <t>0.5804758808286147</t>
        </is>
      </c>
      <c r="J204" t="inlineStr"/>
      <c r="K204" t="inlineStr"/>
      <c r="L204" t="inlineStr"/>
    </row>
    <row r="205" ht="22" customHeight="1">
      <c r="A205" s="15" t="inlineStr">
        <is>
          <t>마이크로투나노</t>
        </is>
      </c>
      <c r="B205" t="inlineStr"/>
      <c r="C205" s="15" t="inlineStr">
        <is>
          <t>424980</t>
        </is>
      </c>
      <c r="D205" s="15" t="inlineStr">
        <is>
          <t>KOSDAQ</t>
        </is>
      </c>
      <c r="E205" s="15" t="inlineStr">
        <is>
          <t>후공정/패키징/테스트</t>
        </is>
      </c>
      <c r="F205" s="15" t="n">
        <v>41.88</v>
      </c>
      <c r="G205" s="15" t="n">
        <v>57.14</v>
      </c>
      <c r="H205" s="15" t="inlineStr">
        <is>
          <t>고평가 부담</t>
        </is>
      </c>
      <c r="I205" s="15" t="inlineStr">
        <is>
          <t>0.8919952418828875</t>
        </is>
      </c>
      <c r="J205" t="inlineStr"/>
      <c r="K205" t="inlineStr"/>
      <c r="L205" t="inlineStr"/>
    </row>
    <row r="206" ht="22" customHeight="1">
      <c r="A206" s="15" t="inlineStr">
        <is>
          <t>광전자</t>
        </is>
      </c>
      <c r="B206" t="inlineStr"/>
      <c r="C206" s="15" t="inlineStr">
        <is>
          <t>017900</t>
        </is>
      </c>
      <c r="D206" s="15" t="inlineStr">
        <is>
          <t>KOSPI</t>
        </is>
      </c>
      <c r="E206" s="15" t="inlineStr">
        <is>
          <t>IDM/제조/메모리</t>
        </is>
      </c>
      <c r="F206" s="15" t="n">
        <v>41.84</v>
      </c>
      <c r="G206" s="15" t="n">
        <v>21.43</v>
      </c>
      <c r="H206" s="15" t="inlineStr">
        <is>
          <t>고평가 부담</t>
        </is>
      </c>
      <c r="I206" s="15" t="inlineStr">
        <is>
          <t>0.6817751829328556</t>
        </is>
      </c>
      <c r="J206" t="inlineStr"/>
      <c r="K206" t="inlineStr"/>
      <c r="L206" t="inlineStr"/>
    </row>
    <row r="207" ht="22" customHeight="1">
      <c r="A207" s="15" t="inlineStr">
        <is>
          <t>아진엑스텍</t>
        </is>
      </c>
      <c r="B207" t="inlineStr"/>
      <c r="C207" s="15" t="inlineStr">
        <is>
          <t>059120</t>
        </is>
      </c>
      <c r="D207" s="15" t="inlineStr">
        <is>
          <t>KOSDAQ</t>
        </is>
      </c>
      <c r="E207" s="15" t="inlineStr">
        <is>
          <t>IDM/제조/메모리</t>
        </is>
      </c>
      <c r="F207" s="15" t="n">
        <v>41.28</v>
      </c>
      <c r="G207" s="15" t="n">
        <v>7.14</v>
      </c>
      <c r="H207" s="15" t="inlineStr">
        <is>
          <t>고평가 부담</t>
        </is>
      </c>
      <c r="I207" s="15" t="inlineStr">
        <is>
          <t>0.6635799672057409</t>
        </is>
      </c>
      <c r="J207" t="inlineStr"/>
      <c r="K207" t="inlineStr"/>
      <c r="L207" t="inlineStr"/>
    </row>
    <row r="208" ht="22" customHeight="1">
      <c r="A208" s="15" t="inlineStr">
        <is>
          <t>아이티엠반도체</t>
        </is>
      </c>
      <c r="B208" t="inlineStr"/>
      <c r="C208" s="15" t="inlineStr">
        <is>
          <t>084850</t>
        </is>
      </c>
      <c r="D208" s="15" t="inlineStr">
        <is>
          <t>KOSDAQ GLOBAL</t>
        </is>
      </c>
      <c r="E208" s="15" t="inlineStr">
        <is>
          <t>부품/기판</t>
        </is>
      </c>
      <c r="F208" s="15" t="n">
        <v>41.24</v>
      </c>
      <c r="G208" s="15" t="n">
        <v>50</v>
      </c>
      <c r="H208" s="15" t="inlineStr">
        <is>
          <t>고평가 부담</t>
        </is>
      </c>
      <c r="I208" s="15" t="inlineStr">
        <is>
          <t>0.599341656390115</t>
        </is>
      </c>
      <c r="J208" t="inlineStr"/>
      <c r="K208" t="inlineStr"/>
      <c r="L208" t="inlineStr"/>
    </row>
    <row r="209" ht="22" customHeight="1">
      <c r="A209" s="15" t="inlineStr">
        <is>
          <t>램테크놀러지</t>
        </is>
      </c>
      <c r="B209" t="inlineStr"/>
      <c r="C209" s="15" t="inlineStr">
        <is>
          <t>171010</t>
        </is>
      </c>
      <c r="D209" s="15" t="inlineStr">
        <is>
          <t>KOSDAQ</t>
        </is>
      </c>
      <c r="E209" s="15" t="inlineStr">
        <is>
          <t>장비</t>
        </is>
      </c>
      <c r="F209" s="15" t="n">
        <v>40.97</v>
      </c>
      <c r="G209" s="15" t="n">
        <v>64.29000000000001</v>
      </c>
      <c r="H209" s="15" t="inlineStr">
        <is>
          <t>고평가 부담</t>
        </is>
      </c>
      <c r="I209" s="15" t="inlineStr">
        <is>
          <t>0.500591784236833</t>
        </is>
      </c>
      <c r="J209" t="inlineStr"/>
      <c r="K209" t="inlineStr"/>
      <c r="L209" t="inlineStr"/>
    </row>
    <row r="210" ht="22" customHeight="1">
      <c r="A210" s="15" t="inlineStr">
        <is>
          <t>코스텍시스</t>
        </is>
      </c>
      <c r="B210" t="inlineStr"/>
      <c r="C210" s="15" t="inlineStr">
        <is>
          <t>355150</t>
        </is>
      </c>
      <c r="D210" s="15" t="inlineStr">
        <is>
          <t>KOSDAQ</t>
        </is>
      </c>
      <c r="E210" s="15" t="inlineStr">
        <is>
          <t>IDM/제조/메모리</t>
        </is>
      </c>
      <c r="F210" s="15" t="n">
        <v>40.97</v>
      </c>
      <c r="G210" s="15" t="n">
        <v>50</v>
      </c>
      <c r="H210" s="15" t="inlineStr">
        <is>
          <t>고평가 부담</t>
        </is>
      </c>
      <c r="I210" s="15" t="inlineStr">
        <is>
          <t>0.7518748972741711</t>
        </is>
      </c>
      <c r="J210" t="inlineStr"/>
      <c r="K210" t="inlineStr"/>
      <c r="L210" t="inlineStr"/>
    </row>
    <row r="211" ht="22" customHeight="1">
      <c r="A211" s="15" t="inlineStr">
        <is>
          <t>시그네틱스</t>
        </is>
      </c>
      <c r="B211" t="inlineStr"/>
      <c r="C211" s="15" t="inlineStr">
        <is>
          <t>033170</t>
        </is>
      </c>
      <c r="D211" s="15" t="inlineStr">
        <is>
          <t>KOSDAQ</t>
        </is>
      </c>
      <c r="E211" s="15" t="inlineStr">
        <is>
          <t>후공정/패키징/테스트</t>
        </is>
      </c>
      <c r="F211" s="15" t="n">
        <v>40.68</v>
      </c>
      <c r="G211" s="15" t="n">
        <v>64.29000000000001</v>
      </c>
      <c r="H211" s="15" t="inlineStr">
        <is>
          <t>고평가 부담</t>
        </is>
      </c>
      <c r="I211" s="15" t="inlineStr">
        <is>
          <t>0.6660306558324866</t>
        </is>
      </c>
      <c r="J211" t="inlineStr"/>
      <c r="K211" t="inlineStr"/>
      <c r="L211" t="inlineStr"/>
    </row>
    <row r="212" ht="22" customHeight="1">
      <c r="A212" s="15" t="inlineStr">
        <is>
          <t>디엔에프</t>
        </is>
      </c>
      <c r="B212" t="inlineStr"/>
      <c r="C212" s="15" t="inlineStr">
        <is>
          <t>092070</t>
        </is>
      </c>
      <c r="D212" s="15" t="inlineStr">
        <is>
          <t>KOSDAQ</t>
        </is>
      </c>
      <c r="E212" s="15" t="inlineStr">
        <is>
          <t>소재</t>
        </is>
      </c>
      <c r="F212" s="15" t="n">
        <v>40.41</v>
      </c>
      <c r="G212" s="15" t="n">
        <v>14.29</v>
      </c>
      <c r="H212" s="15" t="inlineStr">
        <is>
          <t>고평가 부담</t>
        </is>
      </c>
      <c r="I212" s="15" t="inlineStr">
        <is>
          <t>0.6833535693717029</t>
        </is>
      </c>
      <c r="J212" t="inlineStr"/>
      <c r="K212" t="inlineStr"/>
      <c r="L212" t="inlineStr"/>
    </row>
    <row r="213" ht="22" customHeight="1">
      <c r="A213" s="15" t="inlineStr">
        <is>
          <t>저스템</t>
        </is>
      </c>
      <c r="B213" t="inlineStr"/>
      <c r="C213" s="15" t="inlineStr">
        <is>
          <t>417840</t>
        </is>
      </c>
      <c r="D213" s="15" t="inlineStr">
        <is>
          <t>KOSDAQ</t>
        </is>
      </c>
      <c r="E213" s="15" t="inlineStr">
        <is>
          <t>장비</t>
        </is>
      </c>
      <c r="F213" s="15" t="n">
        <v>40.36</v>
      </c>
      <c r="G213" s="15" t="n">
        <v>28.57</v>
      </c>
      <c r="H213" s="15" t="inlineStr">
        <is>
          <t>고평가 부담</t>
        </is>
      </c>
      <c r="I213" s="15" t="inlineStr">
        <is>
          <t>0.7213257522774291</t>
        </is>
      </c>
      <c r="J213" t="inlineStr"/>
      <c r="K213" t="inlineStr"/>
      <c r="L213" t="inlineStr"/>
    </row>
    <row r="214" ht="22" customHeight="1">
      <c r="A214" s="15" t="inlineStr">
        <is>
          <t>지아이에스</t>
        </is>
      </c>
      <c r="B214" t="inlineStr"/>
      <c r="C214" s="15" t="inlineStr">
        <is>
          <t>306620</t>
        </is>
      </c>
      <c r="D214" s="15" t="inlineStr">
        <is>
          <t>KOSDAQ</t>
        </is>
      </c>
      <c r="E214" s="15" t="inlineStr">
        <is>
          <t>장비</t>
        </is>
      </c>
      <c r="F214" s="15" t="n">
        <v>40.15</v>
      </c>
      <c r="G214" s="15" t="n">
        <v>57.14</v>
      </c>
      <c r="H214" s="15" t="inlineStr">
        <is>
          <t>고평가 부담</t>
        </is>
      </c>
      <c r="I214" s="15" t="inlineStr">
        <is>
          <t>0.745903271306321</t>
        </is>
      </c>
      <c r="J214" t="inlineStr"/>
      <c r="K214" t="inlineStr"/>
      <c r="L214" t="inlineStr"/>
    </row>
    <row r="215" ht="22" customHeight="1">
      <c r="A215" s="15" t="inlineStr">
        <is>
          <t>대덕전자</t>
        </is>
      </c>
      <c r="B215" t="inlineStr"/>
      <c r="C215" s="15" t="inlineStr">
        <is>
          <t>353200</t>
        </is>
      </c>
      <c r="D215" s="15" t="inlineStr">
        <is>
          <t>KOSPI</t>
        </is>
      </c>
      <c r="E215" s="15" t="inlineStr">
        <is>
          <t>부품/기판</t>
        </is>
      </c>
      <c r="F215" s="15" t="n">
        <v>39.67</v>
      </c>
      <c r="G215" s="15" t="n">
        <v>14.29</v>
      </c>
      <c r="H215" s="15" t="inlineStr">
        <is>
          <t>고평가 부담</t>
        </is>
      </c>
      <c r="I215" s="15" t="inlineStr">
        <is>
          <t>0.6645756407915718</t>
        </is>
      </c>
      <c r="J215" t="inlineStr"/>
      <c r="K215" t="inlineStr"/>
      <c r="L215" t="inlineStr"/>
    </row>
    <row r="216" ht="22" customHeight="1">
      <c r="A216" s="15" t="inlineStr">
        <is>
          <t>고영</t>
        </is>
      </c>
      <c r="B216" t="inlineStr"/>
      <c r="C216" s="15" t="inlineStr">
        <is>
          <t>098460</t>
        </is>
      </c>
      <c r="D216" s="15" t="inlineStr">
        <is>
          <t>KOSDAQ</t>
        </is>
      </c>
      <c r="E216" s="15" t="inlineStr">
        <is>
          <t>후공정/패키징/테스트</t>
        </is>
      </c>
      <c r="F216" s="15" t="n">
        <v>39.33</v>
      </c>
      <c r="G216" s="15" t="n">
        <v>7.14</v>
      </c>
      <c r="H216" s="15" t="inlineStr">
        <is>
          <t>고평가 부담</t>
        </is>
      </c>
      <c r="I216" s="15" t="inlineStr">
        <is>
          <t>0.4306692416005982</t>
        </is>
      </c>
      <c r="J216" t="inlineStr"/>
      <c r="K216" t="inlineStr"/>
      <c r="L216" t="inlineStr"/>
    </row>
    <row r="217" ht="22" customHeight="1">
      <c r="A217" s="15" t="inlineStr">
        <is>
          <t>와이씨켐</t>
        </is>
      </c>
      <c r="B217" t="inlineStr"/>
      <c r="C217" s="15" t="inlineStr">
        <is>
          <t>112290</t>
        </is>
      </c>
      <c r="D217" s="15" t="inlineStr">
        <is>
          <t>KOSDAQ</t>
        </is>
      </c>
      <c r="E217" s="15" t="inlineStr">
        <is>
          <t>소재</t>
        </is>
      </c>
      <c r="F217" s="15" t="n">
        <v>38.36</v>
      </c>
      <c r="G217" s="15" t="n">
        <v>50</v>
      </c>
      <c r="H217" s="15" t="inlineStr">
        <is>
          <t>고평가 부담</t>
        </is>
      </c>
      <c r="I217" s="15" t="inlineStr">
        <is>
          <t>0.7576999610053956</t>
        </is>
      </c>
      <c r="J217" t="inlineStr"/>
      <c r="K217" t="inlineStr"/>
      <c r="L217" t="inlineStr"/>
    </row>
    <row r="218" ht="22" customHeight="1">
      <c r="A218" s="15" t="inlineStr">
        <is>
          <t>에프에스티</t>
        </is>
      </c>
      <c r="B218" t="inlineStr"/>
      <c r="C218" s="15" t="inlineStr">
        <is>
          <t>036810</t>
        </is>
      </c>
      <c r="D218" s="15" t="inlineStr">
        <is>
          <t>KOSDAQ</t>
        </is>
      </c>
      <c r="E218" s="15" t="inlineStr">
        <is>
          <t>장비</t>
        </is>
      </c>
      <c r="F218" s="15" t="n">
        <v>38.27</v>
      </c>
      <c r="G218" s="15" t="n">
        <v>50</v>
      </c>
      <c r="H218" s="15" t="inlineStr">
        <is>
          <t>고평가 부담</t>
        </is>
      </c>
      <c r="I218" s="15" t="inlineStr">
        <is>
          <t>0.8925631629286743</t>
        </is>
      </c>
      <c r="J218" t="inlineStr"/>
      <c r="K218" t="inlineStr"/>
      <c r="L218" t="inlineStr"/>
    </row>
    <row r="219" ht="22" customHeight="1">
      <c r="A219" s="15" t="inlineStr">
        <is>
          <t>나노신소재</t>
        </is>
      </c>
      <c r="B219" t="inlineStr"/>
      <c r="C219" s="15" t="inlineStr">
        <is>
          <t>121600</t>
        </is>
      </c>
      <c r="D219" s="15" t="inlineStr">
        <is>
          <t>KOSDAQ</t>
        </is>
      </c>
      <c r="E219" s="15" t="inlineStr">
        <is>
          <t>장비</t>
        </is>
      </c>
      <c r="F219" s="15" t="n">
        <v>38.23</v>
      </c>
      <c r="G219" s="15" t="n">
        <v>0</v>
      </c>
      <c r="H219" s="15" t="inlineStr">
        <is>
          <t>고평가 부담</t>
        </is>
      </c>
      <c r="I219" s="15" t="inlineStr">
        <is>
          <t>0.7555342246021253</t>
        </is>
      </c>
      <c r="J219" t="inlineStr"/>
      <c r="K219" t="inlineStr"/>
      <c r="L219" t="inlineStr"/>
    </row>
    <row r="220" ht="22" customHeight="1">
      <c r="A220" s="15" t="inlineStr">
        <is>
          <t>심텍</t>
        </is>
      </c>
      <c r="B220" t="inlineStr"/>
      <c r="C220" s="15" t="inlineStr">
        <is>
          <t>222800</t>
        </is>
      </c>
      <c r="D220" s="15" t="inlineStr">
        <is>
          <t>KOSDAQ GLOBAL</t>
        </is>
      </c>
      <c r="E220" s="15" t="inlineStr">
        <is>
          <t>부품/기판</t>
        </is>
      </c>
      <c r="F220" s="15" t="n">
        <v>37.76</v>
      </c>
      <c r="G220" s="15" t="n">
        <v>57.14</v>
      </c>
      <c r="H220" s="15" t="inlineStr">
        <is>
          <t>고평가 부담</t>
        </is>
      </c>
      <c r="I220" s="15" t="inlineStr">
        <is>
          <t>0.5170784842162837</t>
        </is>
      </c>
      <c r="J220" t="inlineStr"/>
      <c r="K220" t="inlineStr"/>
      <c r="L220" t="inlineStr"/>
    </row>
    <row r="221" ht="22" customHeight="1">
      <c r="A221" s="15" t="inlineStr">
        <is>
          <t>아이에이</t>
        </is>
      </c>
      <c r="B221" t="inlineStr"/>
      <c r="C221" s="15" t="inlineStr">
        <is>
          <t>038880</t>
        </is>
      </c>
      <c r="D221" s="15" t="inlineStr">
        <is>
          <t>KOSDAQ</t>
        </is>
      </c>
      <c r="E221" s="15" t="inlineStr">
        <is>
          <t>부품/기판</t>
        </is>
      </c>
      <c r="F221" s="15" t="n">
        <v>37.76</v>
      </c>
      <c r="G221" s="15" t="n">
        <v>71.43000000000001</v>
      </c>
      <c r="H221" s="15" t="inlineStr">
        <is>
          <t>고평가 부담</t>
        </is>
      </c>
      <c r="I221" s="15" t="inlineStr">
        <is>
          <t>0.7739089828714508</t>
        </is>
      </c>
      <c r="J221" t="inlineStr"/>
      <c r="K221" t="inlineStr"/>
      <c r="L221" t="inlineStr"/>
    </row>
    <row r="222" ht="22" customHeight="1">
      <c r="A222" s="15" t="inlineStr">
        <is>
          <t>웨이비스</t>
        </is>
      </c>
      <c r="B222" t="inlineStr"/>
      <c r="C222" s="15" t="inlineStr">
        <is>
          <t>289930</t>
        </is>
      </c>
      <c r="D222" s="15" t="inlineStr">
        <is>
          <t>KOSDAQ</t>
        </is>
      </c>
      <c r="E222" s="15" t="inlineStr">
        <is>
          <t>후공정/패키징/테스트</t>
        </is>
      </c>
      <c r="F222" s="15" t="n">
        <v>37.66</v>
      </c>
      <c r="G222" s="15" t="n">
        <v>14.29</v>
      </c>
      <c r="H222" s="15" t="inlineStr">
        <is>
          <t>고평가 부담</t>
        </is>
      </c>
      <c r="I222" s="15" t="inlineStr">
        <is>
          <t>0.5209890944205295</t>
        </is>
      </c>
      <c r="J222" t="inlineStr"/>
      <c r="K222" t="inlineStr"/>
      <c r="L222" t="inlineStr"/>
    </row>
    <row r="223" ht="22" customHeight="1">
      <c r="A223" s="15" t="inlineStr">
        <is>
          <t>넥스트칩</t>
        </is>
      </c>
      <c r="B223" t="inlineStr"/>
      <c r="C223" s="15" t="inlineStr">
        <is>
          <t>396270</t>
        </is>
      </c>
      <c r="D223" s="15" t="inlineStr">
        <is>
          <t>KOSDAQ</t>
        </is>
      </c>
      <c r="E223" s="15" t="inlineStr">
        <is>
          <t>팹리스/설계</t>
        </is>
      </c>
      <c r="F223" s="15" t="n">
        <v>37.43</v>
      </c>
      <c r="G223" s="15" t="n">
        <v>71.43000000000001</v>
      </c>
      <c r="H223" s="15" t="inlineStr">
        <is>
          <t>고평가 부담</t>
        </is>
      </c>
      <c r="I223" s="15" t="inlineStr">
        <is>
          <t>0.9380466040149497</t>
        </is>
      </c>
      <c r="J223" t="inlineStr"/>
      <c r="K223" t="inlineStr"/>
      <c r="L223" t="inlineStr"/>
    </row>
    <row r="224" ht="22" customHeight="1">
      <c r="A224" s="15" t="inlineStr">
        <is>
          <t>SFA반도체</t>
        </is>
      </c>
      <c r="B224" t="inlineStr"/>
      <c r="C224" s="15" t="inlineStr">
        <is>
          <t>036540</t>
        </is>
      </c>
      <c r="D224" s="15" t="inlineStr">
        <is>
          <t>KOSDAQ</t>
        </is>
      </c>
      <c r="E224" s="15" t="inlineStr">
        <is>
          <t>후공정/패키징/테스트</t>
        </is>
      </c>
      <c r="F224" s="15" t="n">
        <v>37.26</v>
      </c>
      <c r="G224" s="15" t="n">
        <v>28.57</v>
      </c>
      <c r="H224" s="15" t="inlineStr">
        <is>
          <t>고평가 부담</t>
        </is>
      </c>
      <c r="I224" s="15" t="inlineStr">
        <is>
          <t>0.7912156659089058</t>
        </is>
      </c>
      <c r="J224" t="inlineStr"/>
      <c r="K224" t="inlineStr"/>
      <c r="L224" t="inlineStr"/>
    </row>
    <row r="225" ht="22" customHeight="1">
      <c r="A225" s="15" t="inlineStr">
        <is>
          <t>사피엔반도체</t>
        </is>
      </c>
      <c r="B225" t="inlineStr"/>
      <c r="C225" s="15" t="inlineStr">
        <is>
          <t>452430</t>
        </is>
      </c>
      <c r="D225" s="15" t="inlineStr">
        <is>
          <t>KOSDAQ</t>
        </is>
      </c>
      <c r="E225" s="15" t="inlineStr">
        <is>
          <t>팹리스/설계</t>
        </is>
      </c>
      <c r="F225" s="15" t="n">
        <v>37.21</v>
      </c>
      <c r="G225" s="15" t="n">
        <v>57.14</v>
      </c>
      <c r="H225" s="15" t="inlineStr">
        <is>
          <t>고평가 부담</t>
        </is>
      </c>
      <c r="I225" s="15" t="inlineStr">
        <is>
          <t>0.8482781866315999</t>
        </is>
      </c>
      <c r="J225" t="inlineStr"/>
      <c r="K225" t="inlineStr"/>
      <c r="L225" t="inlineStr"/>
    </row>
    <row r="226" ht="22" customHeight="1">
      <c r="A226" s="15" t="inlineStr">
        <is>
          <t>동운아나텍</t>
        </is>
      </c>
      <c r="B226" t="inlineStr"/>
      <c r="C226" s="15" t="inlineStr">
        <is>
          <t>094170</t>
        </is>
      </c>
      <c r="D226" s="15" t="inlineStr">
        <is>
          <t>KOSDAQ</t>
        </is>
      </c>
      <c r="E226" s="15" t="inlineStr">
        <is>
          <t>팹리스/설계</t>
        </is>
      </c>
      <c r="F226" s="15" t="n">
        <v>36.71</v>
      </c>
      <c r="G226" s="15" t="n">
        <v>21.43</v>
      </c>
      <c r="H226" s="15" t="inlineStr">
        <is>
          <t>고평가 부담</t>
        </is>
      </c>
      <c r="I226" s="15" t="inlineStr">
        <is>
          <t>0.4894423516429773</t>
        </is>
      </c>
      <c r="J226" t="inlineStr"/>
      <c r="K226" t="inlineStr"/>
      <c r="L226" t="inlineStr"/>
    </row>
    <row r="227" ht="22" customHeight="1">
      <c r="A227" s="15" t="inlineStr">
        <is>
          <t>씨엠티엑스</t>
        </is>
      </c>
      <c r="B227" t="inlineStr"/>
      <c r="C227" s="15" t="inlineStr">
        <is>
          <t>388210</t>
        </is>
      </c>
      <c r="D227" s="15" t="inlineStr">
        <is>
          <t>KOSDAQ</t>
        </is>
      </c>
      <c r="E227" s="15" t="inlineStr">
        <is>
          <t>장비</t>
        </is>
      </c>
      <c r="F227" s="15" t="n">
        <v>36.53</v>
      </c>
      <c r="G227" s="15" t="n">
        <v>21.43</v>
      </c>
      <c r="H227" s="15" t="inlineStr">
        <is>
          <t>고평가 부담</t>
        </is>
      </c>
      <c r="I227" s="15" t="inlineStr">
        <is>
          <t>0.7157707609420977</t>
        </is>
      </c>
      <c r="J227" t="inlineStr"/>
      <c r="K227" t="inlineStr"/>
      <c r="L227" t="inlineStr"/>
    </row>
    <row r="228" ht="22" customHeight="1">
      <c r="A228" s="15" t="inlineStr">
        <is>
          <t>세미파이브</t>
        </is>
      </c>
      <c r="B228" t="inlineStr"/>
      <c r="C228" s="15" t="inlineStr">
        <is>
          <t>490470</t>
        </is>
      </c>
      <c r="D228" s="15" t="inlineStr">
        <is>
          <t>KOSDAQ</t>
        </is>
      </c>
      <c r="E228" s="15" t="inlineStr">
        <is>
          <t>팹리스/설계</t>
        </is>
      </c>
      <c r="F228" s="15" t="n">
        <v>36.46</v>
      </c>
      <c r="G228" s="15" t="n">
        <v>50</v>
      </c>
      <c r="H228" s="15" t="inlineStr">
        <is>
          <t>고평가 부담</t>
        </is>
      </c>
      <c r="I228" s="15" t="inlineStr">
        <is>
          <t>0.9277538303818181</t>
        </is>
      </c>
      <c r="J228" t="inlineStr"/>
      <c r="K228" t="inlineStr"/>
      <c r="L228" t="inlineStr"/>
    </row>
    <row r="229" ht="22" customHeight="1">
      <c r="A229" s="15" t="inlineStr">
        <is>
          <t>이미지스</t>
        </is>
      </c>
      <c r="B229" t="inlineStr"/>
      <c r="C229" s="15" t="inlineStr">
        <is>
          <t>115610</t>
        </is>
      </c>
      <c r="D229" s="15" t="inlineStr">
        <is>
          <t>KOSDAQ</t>
        </is>
      </c>
      <c r="E229" s="15" t="inlineStr">
        <is>
          <t>IDM/제조/메모리</t>
        </is>
      </c>
      <c r="F229" s="15" t="n">
        <v>36.33</v>
      </c>
      <c r="G229" s="15" t="n">
        <v>64.29000000000001</v>
      </c>
      <c r="H229" s="15" t="inlineStr">
        <is>
          <t>고평가 부담</t>
        </is>
      </c>
      <c r="I229" s="15" t="inlineStr">
        <is>
          <t>0.7470098487547145</t>
        </is>
      </c>
      <c r="J229" t="inlineStr"/>
      <c r="K229" t="inlineStr"/>
      <c r="L229" t="inlineStr"/>
    </row>
    <row r="230" ht="22" customHeight="1">
      <c r="A230" s="15" t="inlineStr">
        <is>
          <t>시지트로닉스</t>
        </is>
      </c>
      <c r="B230" t="inlineStr"/>
      <c r="C230" s="15" t="inlineStr">
        <is>
          <t>429270</t>
        </is>
      </c>
      <c r="D230" s="15" t="inlineStr">
        <is>
          <t>KOSDAQ</t>
        </is>
      </c>
      <c r="E230" s="15" t="inlineStr">
        <is>
          <t>IDM/제조/메모리</t>
        </is>
      </c>
      <c r="F230" s="15" t="n">
        <v>35.13</v>
      </c>
      <c r="G230" s="15" t="n">
        <v>71.43000000000001</v>
      </c>
      <c r="H230" s="15" t="inlineStr">
        <is>
          <t>고평가 부담</t>
        </is>
      </c>
      <c r="I230" s="15" t="inlineStr">
        <is>
          <t>0.8423539115807104</t>
        </is>
      </c>
      <c r="J230" t="inlineStr"/>
      <c r="K230" t="inlineStr"/>
      <c r="L230" t="inlineStr"/>
    </row>
    <row r="231" ht="22" customHeight="1">
      <c r="A231" s="15" t="inlineStr">
        <is>
          <t>인텍플러스</t>
        </is>
      </c>
      <c r="B231" t="inlineStr"/>
      <c r="C231" s="15" t="inlineStr">
        <is>
          <t>064290</t>
        </is>
      </c>
      <c r="D231" s="15" t="inlineStr">
        <is>
          <t>KOSDAQ</t>
        </is>
      </c>
      <c r="E231" s="15" t="inlineStr">
        <is>
          <t>후공정/패키징/테스트</t>
        </is>
      </c>
      <c r="F231" s="15" t="n">
        <v>34.31</v>
      </c>
      <c r="G231" s="15" t="n">
        <v>42.86</v>
      </c>
      <c r="H231" s="15" t="inlineStr">
        <is>
          <t>고평가 부담</t>
        </is>
      </c>
      <c r="I231" s="15" t="inlineStr">
        <is>
          <t>0.7612288958400996</t>
        </is>
      </c>
      <c r="J231" t="inlineStr"/>
      <c r="K231" t="inlineStr"/>
      <c r="L231" t="inlineStr"/>
    </row>
    <row r="232" ht="22" customHeight="1">
      <c r="A232" s="15" t="inlineStr">
        <is>
          <t>3S</t>
        </is>
      </c>
      <c r="B232" t="inlineStr"/>
      <c r="C232" s="15" t="inlineStr">
        <is>
          <t>060310</t>
        </is>
      </c>
      <c r="D232" s="15" t="inlineStr">
        <is>
          <t>KOSDAQ</t>
        </is>
      </c>
      <c r="E232" s="15" t="inlineStr">
        <is>
          <t>부품/기판</t>
        </is>
      </c>
      <c r="F232" s="15" t="n">
        <v>34.1</v>
      </c>
      <c r="G232" s="15" t="n">
        <v>57.14</v>
      </c>
      <c r="H232" s="15" t="inlineStr">
        <is>
          <t>고평가 부담</t>
        </is>
      </c>
      <c r="I232" s="15" t="inlineStr">
        <is>
          <t>0.8755971854841007</t>
        </is>
      </c>
      <c r="J232" t="inlineStr"/>
      <c r="K232" t="inlineStr"/>
      <c r="L232" t="inlineStr"/>
    </row>
    <row r="233" ht="22" customHeight="1">
      <c r="A233" s="15" t="inlineStr">
        <is>
          <t>천보</t>
        </is>
      </c>
      <c r="B233" t="inlineStr"/>
      <c r="C233" s="15" t="inlineStr">
        <is>
          <t>278280</t>
        </is>
      </c>
      <c r="D233" s="15" t="inlineStr">
        <is>
          <t>KOSDAQ</t>
        </is>
      </c>
      <c r="E233" s="15" t="inlineStr">
        <is>
          <t>소재</t>
        </is>
      </c>
      <c r="F233" s="15" t="n">
        <v>33.87</v>
      </c>
      <c r="G233" s="15" t="n">
        <v>35.71</v>
      </c>
      <c r="H233" s="15" t="inlineStr">
        <is>
          <t>고평가 부담</t>
        </is>
      </c>
      <c r="I233" s="15" t="inlineStr">
        <is>
          <t>0.5721835844163214</t>
        </is>
      </c>
      <c r="J233" t="inlineStr"/>
      <c r="K233" t="inlineStr"/>
      <c r="L233" t="inlineStr"/>
    </row>
    <row r="234" ht="22" customHeight="1">
      <c r="A234" s="15" t="inlineStr">
        <is>
          <t>후성</t>
        </is>
      </c>
      <c r="B234" t="inlineStr"/>
      <c r="C234" s="15" t="inlineStr">
        <is>
          <t>093370</t>
        </is>
      </c>
      <c r="D234" s="15" t="inlineStr">
        <is>
          <t>KOSPI</t>
        </is>
      </c>
      <c r="E234" s="15" t="inlineStr">
        <is>
          <t>소재</t>
        </is>
      </c>
      <c r="F234" s="15" t="n">
        <v>33.87</v>
      </c>
      <c r="G234" s="15" t="n">
        <v>14.29</v>
      </c>
      <c r="H234" s="15" t="inlineStr">
        <is>
          <t>고평가 부담</t>
        </is>
      </c>
      <c r="I234" s="15" t="inlineStr">
        <is>
          <t>0.7388215177779633</t>
        </is>
      </c>
      <c r="J234" t="inlineStr"/>
      <c r="K234" t="inlineStr"/>
      <c r="L234" t="inlineStr"/>
    </row>
    <row r="235" ht="22" customHeight="1">
      <c r="A235" s="15" t="inlineStr">
        <is>
          <t>한울반도체</t>
        </is>
      </c>
      <c r="B235" t="inlineStr"/>
      <c r="C235" s="15" t="inlineStr">
        <is>
          <t>320000</t>
        </is>
      </c>
      <c r="D235" s="15" t="inlineStr">
        <is>
          <t>KOSDAQ</t>
        </is>
      </c>
      <c r="E235" s="15" t="inlineStr">
        <is>
          <t>후공정/패키징/테스트</t>
        </is>
      </c>
      <c r="F235" s="15" t="n">
        <v>33.76</v>
      </c>
      <c r="G235" s="15" t="n">
        <v>71.43000000000001</v>
      </c>
      <c r="H235" s="15" t="inlineStr">
        <is>
          <t>고평가 부담</t>
        </is>
      </c>
      <c r="I235" s="15" t="inlineStr">
        <is>
          <t>0.7769228627558715</t>
        </is>
      </c>
      <c r="J235" t="inlineStr"/>
      <c r="K235" t="inlineStr"/>
      <c r="L235" t="inlineStr"/>
    </row>
    <row r="236" ht="22" customHeight="1">
      <c r="A236" s="15" t="inlineStr">
        <is>
          <t>유니테스트</t>
        </is>
      </c>
      <c r="B236" t="inlineStr"/>
      <c r="C236" s="15" t="inlineStr">
        <is>
          <t>086390</t>
        </is>
      </c>
      <c r="D236" s="15" t="inlineStr">
        <is>
          <t>KOSDAQ</t>
        </is>
      </c>
      <c r="E236" s="15" t="inlineStr">
        <is>
          <t>후공정/패키징/테스트</t>
        </is>
      </c>
      <c r="F236" s="15" t="n">
        <v>33.72</v>
      </c>
      <c r="G236" s="15" t="n">
        <v>57.14</v>
      </c>
      <c r="H236" s="15" t="inlineStr">
        <is>
          <t>고평가 부담</t>
        </is>
      </c>
      <c r="I236" s="15" t="inlineStr">
        <is>
          <t>0.9109345080202441</t>
        </is>
      </c>
      <c r="J236" t="inlineStr"/>
      <c r="K236" t="inlineStr"/>
      <c r="L236" t="inlineStr"/>
    </row>
    <row r="237" ht="22" customHeight="1">
      <c r="A237" s="15" t="inlineStr">
        <is>
          <t>에이직랜드</t>
        </is>
      </c>
      <c r="B237" t="inlineStr"/>
      <c r="C237" s="15" t="inlineStr">
        <is>
          <t>445090</t>
        </is>
      </c>
      <c r="D237" s="15" t="inlineStr">
        <is>
          <t>KOSDAQ</t>
        </is>
      </c>
      <c r="E237" s="15" t="inlineStr">
        <is>
          <t>팹리스/설계</t>
        </is>
      </c>
      <c r="F237" s="15" t="n">
        <v>32.95</v>
      </c>
      <c r="G237" s="15" t="n">
        <v>78.56999999999999</v>
      </c>
      <c r="H237" s="15" t="inlineStr">
        <is>
          <t>고평가 부담</t>
        </is>
      </c>
      <c r="I237" s="15" t="inlineStr">
        <is>
          <t>0.9058303131641584</t>
        </is>
      </c>
      <c r="J237" t="inlineStr"/>
      <c r="K237" t="inlineStr"/>
      <c r="L237" t="inlineStr"/>
    </row>
    <row r="238" ht="22" customHeight="1">
      <c r="A238" s="15" t="inlineStr">
        <is>
          <t>지니틱스</t>
        </is>
      </c>
      <c r="B238" t="inlineStr"/>
      <c r="C238" s="15" t="inlineStr">
        <is>
          <t>303030</t>
        </is>
      </c>
      <c r="D238" s="15" t="inlineStr">
        <is>
          <t>KOSDAQ</t>
        </is>
      </c>
      <c r="E238" s="15" t="inlineStr">
        <is>
          <t>IDM/제조/메모리</t>
        </is>
      </c>
      <c r="F238" s="15" t="n">
        <v>32.93</v>
      </c>
      <c r="G238" s="15" t="n">
        <v>71.43000000000001</v>
      </c>
      <c r="H238" s="15" t="inlineStr">
        <is>
          <t>고평가 부담</t>
        </is>
      </c>
      <c r="I238" s="15" t="inlineStr">
        <is>
          <t>0.6029464801919612</t>
        </is>
      </c>
      <c r="J238" t="inlineStr"/>
      <c r="K238" t="inlineStr"/>
      <c r="L238" t="inlineStr"/>
    </row>
    <row r="239" ht="22" customHeight="1">
      <c r="A239" s="15" t="inlineStr">
        <is>
          <t>엘케이켐</t>
        </is>
      </c>
      <c r="B239" t="inlineStr"/>
      <c r="C239" s="15" t="inlineStr">
        <is>
          <t>489500</t>
        </is>
      </c>
      <c r="D239" s="15" t="inlineStr">
        <is>
          <t>KOSDAQ</t>
        </is>
      </c>
      <c r="E239" s="15" t="inlineStr">
        <is>
          <t>소재</t>
        </is>
      </c>
      <c r="F239" s="15" t="n">
        <v>32.38</v>
      </c>
      <c r="G239" s="15" t="n">
        <v>28.57</v>
      </c>
      <c r="H239" s="15" t="inlineStr">
        <is>
          <t>고평가 부담</t>
        </is>
      </c>
      <c r="I239" s="15" t="inlineStr">
        <is>
          <t>0.702794478496214</t>
        </is>
      </c>
      <c r="J239" t="inlineStr"/>
      <c r="K239" t="inlineStr"/>
      <c r="L239" t="inlineStr"/>
    </row>
    <row r="240" ht="22" customHeight="1">
      <c r="A240" s="15" t="inlineStr">
        <is>
          <t>SKC</t>
        </is>
      </c>
      <c r="B240" t="inlineStr"/>
      <c r="C240" s="15" t="inlineStr">
        <is>
          <t>011790</t>
        </is>
      </c>
      <c r="D240" s="15" t="inlineStr">
        <is>
          <t>KOSPI</t>
        </is>
      </c>
      <c r="E240" s="15" t="inlineStr">
        <is>
          <t>소재</t>
        </is>
      </c>
      <c r="F240" s="15" t="n">
        <v>32.18</v>
      </c>
      <c r="G240" s="15" t="n">
        <v>71.43000000000001</v>
      </c>
      <c r="H240" s="15" t="inlineStr">
        <is>
          <t>고평가 부담</t>
        </is>
      </c>
      <c r="I240" s="15" t="inlineStr">
        <is>
          <t>0.865330691240198</t>
        </is>
      </c>
      <c r="J240" t="inlineStr"/>
      <c r="K240" t="inlineStr"/>
      <c r="L240" t="inlineStr"/>
    </row>
    <row r="241" ht="22" customHeight="1">
      <c r="A241" s="15" t="inlineStr">
        <is>
          <t>두산테스나</t>
        </is>
      </c>
      <c r="B241" t="inlineStr"/>
      <c r="C241" s="15" t="inlineStr">
        <is>
          <t>131970</t>
        </is>
      </c>
      <c r="D241" s="15" t="inlineStr">
        <is>
          <t>KOSDAQ GLOBAL</t>
        </is>
      </c>
      <c r="E241" s="15" t="inlineStr">
        <is>
          <t>후공정/패키징/테스트</t>
        </is>
      </c>
      <c r="F241" s="15" t="n">
        <v>32.17</v>
      </c>
      <c r="G241" s="15" t="n">
        <v>14.29</v>
      </c>
      <c r="H241" s="15" t="inlineStr">
        <is>
          <t>고평가 부담</t>
        </is>
      </c>
      <c r="I241" s="15" t="inlineStr">
        <is>
          <t>0.5774876642912814</t>
        </is>
      </c>
      <c r="J241" t="inlineStr"/>
      <c r="K241" t="inlineStr"/>
      <c r="L241" t="inlineStr"/>
    </row>
    <row r="242" ht="22" customHeight="1">
      <c r="A242" s="15" t="inlineStr">
        <is>
          <t>라닉스</t>
        </is>
      </c>
      <c r="B242" t="inlineStr"/>
      <c r="C242" s="15" t="inlineStr">
        <is>
          <t>317120</t>
        </is>
      </c>
      <c r="D242" s="15" t="inlineStr">
        <is>
          <t>KOSDAQ</t>
        </is>
      </c>
      <c r="E242" s="15" t="inlineStr">
        <is>
          <t>팹리스/설계</t>
        </is>
      </c>
      <c r="F242" s="15" t="n">
        <v>32.08</v>
      </c>
      <c r="G242" s="15" t="n">
        <v>71.43000000000001</v>
      </c>
      <c r="H242" s="15" t="inlineStr">
        <is>
          <t>고평가 부담</t>
        </is>
      </c>
      <c r="I242" s="15" t="inlineStr">
        <is>
          <t>0.9281808400807596</t>
        </is>
      </c>
      <c r="J242" t="inlineStr"/>
      <c r="K242" t="inlineStr"/>
      <c r="L242" t="inlineStr"/>
    </row>
    <row r="243" ht="22" customHeight="1">
      <c r="A243" s="15" t="inlineStr">
        <is>
          <t>아이에스티이</t>
        </is>
      </c>
      <c r="B243" t="inlineStr"/>
      <c r="C243" s="15" t="inlineStr">
        <is>
          <t>212710</t>
        </is>
      </c>
      <c r="D243" s="15" t="inlineStr">
        <is>
          <t>KOSDAQ</t>
        </is>
      </c>
      <c r="E243" s="15" t="inlineStr">
        <is>
          <t>IDM/제조/메모리</t>
        </is>
      </c>
      <c r="F243" s="15" t="n">
        <v>31.27</v>
      </c>
      <c r="G243" s="15" t="n">
        <v>71.43000000000001</v>
      </c>
      <c r="H243" s="15" t="inlineStr">
        <is>
          <t>고평가 부담</t>
        </is>
      </c>
      <c r="I243" s="15" t="inlineStr">
        <is>
          <t>0.6642993493743579</t>
        </is>
      </c>
      <c r="J243" t="inlineStr"/>
      <c r="K243" t="inlineStr"/>
      <c r="L243" t="inlineStr"/>
    </row>
    <row r="244" ht="22" customHeight="1">
      <c r="A244" s="15" t="inlineStr">
        <is>
          <t>가온칩스</t>
        </is>
      </c>
      <c r="B244" t="inlineStr"/>
      <c r="C244" s="15" t="inlineStr">
        <is>
          <t>399720</t>
        </is>
      </c>
      <c r="D244" s="15" t="inlineStr">
        <is>
          <t>KOSDAQ</t>
        </is>
      </c>
      <c r="E244" s="15" t="inlineStr">
        <is>
          <t>팹리스/설계</t>
        </is>
      </c>
      <c r="F244" s="15" t="n">
        <v>31.19</v>
      </c>
      <c r="G244" s="15" t="n">
        <v>57.14</v>
      </c>
      <c r="H244" s="15" t="inlineStr">
        <is>
          <t>고평가 부담</t>
        </is>
      </c>
      <c r="I244" s="15" t="inlineStr">
        <is>
          <t>0.9202856043409283</t>
        </is>
      </c>
      <c r="J244" t="inlineStr"/>
      <c r="K244" t="inlineStr"/>
      <c r="L244" t="inlineStr"/>
    </row>
    <row r="245" ht="22" customHeight="1">
      <c r="A245" s="15" t="inlineStr">
        <is>
          <t>네오셈</t>
        </is>
      </c>
      <c r="B245" t="inlineStr"/>
      <c r="C245" s="15" t="inlineStr">
        <is>
          <t>253590</t>
        </is>
      </c>
      <c r="D245" s="15" t="inlineStr">
        <is>
          <t>KOSDAQ</t>
        </is>
      </c>
      <c r="E245" s="15" t="inlineStr">
        <is>
          <t>후공정/패키징/테스트</t>
        </is>
      </c>
      <c r="F245" s="15" t="n">
        <v>30.59</v>
      </c>
      <c r="G245" s="15" t="n">
        <v>7.14</v>
      </c>
      <c r="H245" s="15" t="inlineStr">
        <is>
          <t>고평가 부담</t>
        </is>
      </c>
      <c r="I245" s="15" t="inlineStr">
        <is>
          <t>0.7695353673338539</t>
        </is>
      </c>
      <c r="J245" t="inlineStr"/>
      <c r="K245" t="inlineStr"/>
      <c r="L245" t="inlineStr"/>
    </row>
    <row r="246" ht="22" customHeight="1">
      <c r="A246" s="15" t="inlineStr">
        <is>
          <t>아스플로</t>
        </is>
      </c>
      <c r="B246" t="inlineStr"/>
      <c r="C246" s="15" t="inlineStr">
        <is>
          <t>159010</t>
        </is>
      </c>
      <c r="D246" s="15" t="inlineStr">
        <is>
          <t>KOSDAQ</t>
        </is>
      </c>
      <c r="E246" s="15" t="inlineStr">
        <is>
          <t>장비</t>
        </is>
      </c>
      <c r="F246" s="15" t="n">
        <v>30.25</v>
      </c>
      <c r="G246" s="15" t="n">
        <v>57.14</v>
      </c>
      <c r="H246" s="15" t="inlineStr">
        <is>
          <t>고평가 부담</t>
        </is>
      </c>
      <c r="I246" s="15" t="inlineStr">
        <is>
          <t>0.8970141905473263</t>
        </is>
      </c>
      <c r="J246" t="inlineStr"/>
      <c r="K246" t="inlineStr"/>
      <c r="L246" t="inlineStr"/>
    </row>
    <row r="247" ht="22" customHeight="1">
      <c r="A247" s="15" t="inlineStr">
        <is>
          <t>케이알엠</t>
        </is>
      </c>
      <c r="B247" t="inlineStr"/>
      <c r="C247" s="15" t="inlineStr">
        <is>
          <t>093640</t>
        </is>
      </c>
      <c r="D247" s="15" t="inlineStr">
        <is>
          <t>KOSDAQ</t>
        </is>
      </c>
      <c r="E247" s="15" t="inlineStr">
        <is>
          <t>IDM/제조/메모리</t>
        </is>
      </c>
      <c r="F247" s="15" t="n">
        <v>30.1</v>
      </c>
      <c r="G247" s="15" t="n">
        <v>42.86</v>
      </c>
      <c r="H247" s="15" t="inlineStr">
        <is>
          <t>고평가 부담</t>
        </is>
      </c>
      <c r="I247" s="15" t="inlineStr">
        <is>
          <t>0.7957205872008264</t>
        </is>
      </c>
      <c r="J247" t="inlineStr"/>
      <c r="K247" t="inlineStr"/>
      <c r="L247" t="inlineStr"/>
    </row>
    <row r="248" ht="22" customHeight="1">
      <c r="A248" s="15" t="inlineStr">
        <is>
          <t>오로스테크놀로지</t>
        </is>
      </c>
      <c r="B248" t="inlineStr"/>
      <c r="C248" s="15" t="inlineStr">
        <is>
          <t>322310</t>
        </is>
      </c>
      <c r="D248" s="15" t="inlineStr">
        <is>
          <t>KOSDAQ</t>
        </is>
      </c>
      <c r="E248" s="15" t="inlineStr">
        <is>
          <t>장비</t>
        </is>
      </c>
      <c r="F248" s="15" t="n">
        <v>29.69</v>
      </c>
      <c r="G248" s="15" t="n">
        <v>28.57</v>
      </c>
      <c r="H248" s="15" t="inlineStr">
        <is>
          <t>고평가 부담</t>
        </is>
      </c>
      <c r="I248" s="15" t="inlineStr">
        <is>
          <t>0.9263479879516093</t>
        </is>
      </c>
      <c r="J248" t="inlineStr"/>
      <c r="K248" t="inlineStr"/>
      <c r="L248" t="inlineStr"/>
    </row>
    <row r="249" ht="22" customHeight="1">
      <c r="A249" s="15" t="inlineStr">
        <is>
          <t>쏘닉스</t>
        </is>
      </c>
      <c r="B249" t="inlineStr"/>
      <c r="C249" s="15" t="inlineStr">
        <is>
          <t>088280</t>
        </is>
      </c>
      <c r="D249" s="15" t="inlineStr">
        <is>
          <t>KOSDAQ</t>
        </is>
      </c>
      <c r="E249" s="15" t="inlineStr">
        <is>
          <t>IDM/제조/메모리</t>
        </is>
      </c>
      <c r="F249" s="15" t="n">
        <v>29.25</v>
      </c>
      <c r="G249" s="15" t="n">
        <v>57.14</v>
      </c>
      <c r="H249" s="15" t="inlineStr">
        <is>
          <t>고평가 부담</t>
        </is>
      </c>
      <c r="I249" s="15" t="inlineStr">
        <is>
          <t>0.9167677788852596</t>
        </is>
      </c>
      <c r="J249" t="inlineStr"/>
      <c r="K249" t="inlineStr"/>
      <c r="L249" t="inlineStr"/>
    </row>
    <row r="250" ht="22" customHeight="1">
      <c r="A250" s="15" t="inlineStr">
        <is>
          <t>러셀</t>
        </is>
      </c>
      <c r="B250" t="inlineStr"/>
      <c r="C250" s="15" t="inlineStr">
        <is>
          <t>217500</t>
        </is>
      </c>
      <c r="D250" s="15" t="inlineStr">
        <is>
          <t>KOSDAQ</t>
        </is>
      </c>
      <c r="E250" s="15" t="inlineStr">
        <is>
          <t>장비</t>
        </is>
      </c>
      <c r="F250" s="15" t="n">
        <v>28.89</v>
      </c>
      <c r="G250" s="15" t="n">
        <v>57.14</v>
      </c>
      <c r="H250" s="15" t="inlineStr">
        <is>
          <t>고평가 부담</t>
        </is>
      </c>
      <c r="I250" s="15" t="inlineStr">
        <is>
          <t>0.873177337125051</t>
        </is>
      </c>
      <c r="J250" t="inlineStr"/>
      <c r="K250" t="inlineStr"/>
      <c r="L250" t="inlineStr"/>
    </row>
    <row r="251" ht="22" customHeight="1">
      <c r="A251" s="15" t="inlineStr">
        <is>
          <t>미래컴퍼니</t>
        </is>
      </c>
      <c r="B251" t="inlineStr"/>
      <c r="C251" s="15" t="inlineStr">
        <is>
          <t>049950</t>
        </is>
      </c>
      <c r="D251" s="15" t="inlineStr">
        <is>
          <t>KOSDAQ</t>
        </is>
      </c>
      <c r="E251" s="15" t="inlineStr">
        <is>
          <t>장비</t>
        </is>
      </c>
      <c r="F251" s="15" t="n">
        <v>28.75</v>
      </c>
      <c r="G251" s="15" t="n">
        <v>42.86</v>
      </c>
      <c r="H251" s="15" t="inlineStr">
        <is>
          <t>고평가 부담</t>
        </is>
      </c>
      <c r="I251" s="15" t="inlineStr">
        <is>
          <t>0.8354805452058427</t>
        </is>
      </c>
      <c r="J251" t="inlineStr"/>
      <c r="K251" t="inlineStr"/>
      <c r="L251" t="inlineStr"/>
    </row>
    <row r="252" ht="22" customHeight="1">
      <c r="A252" s="15" t="inlineStr">
        <is>
          <t>파두</t>
        </is>
      </c>
      <c r="B252" t="inlineStr"/>
      <c r="C252" s="15" t="inlineStr">
        <is>
          <t>440110</t>
        </is>
      </c>
      <c r="D252" s="15" t="inlineStr">
        <is>
          <t>KOSDAQ</t>
        </is>
      </c>
      <c r="E252" s="15" t="inlineStr">
        <is>
          <t>팹리스/설계</t>
        </is>
      </c>
      <c r="F252" s="15" t="n">
        <v>28.17</v>
      </c>
      <c r="G252" s="15" t="n">
        <v>71.43000000000001</v>
      </c>
      <c r="H252" s="15" t="inlineStr">
        <is>
          <t>고평가 부담</t>
        </is>
      </c>
      <c r="I252" s="15" t="inlineStr">
        <is>
          <t>0.9722302520284296</t>
        </is>
      </c>
      <c r="J252" t="inlineStr"/>
      <c r="K252" t="inlineStr"/>
      <c r="L252" t="inlineStr"/>
    </row>
    <row r="253" ht="22" customHeight="1">
      <c r="A253" s="15" t="inlineStr">
        <is>
          <t>예스티</t>
        </is>
      </c>
      <c r="B253" t="inlineStr"/>
      <c r="C253" s="15" t="inlineStr">
        <is>
          <t>122640</t>
        </is>
      </c>
      <c r="D253" s="15" t="inlineStr">
        <is>
          <t>KOSDAQ</t>
        </is>
      </c>
      <c r="E253" s="15" t="inlineStr">
        <is>
          <t>장비</t>
        </is>
      </c>
      <c r="F253" s="15" t="n">
        <v>27.79</v>
      </c>
      <c r="G253" s="15" t="n">
        <v>21.43</v>
      </c>
      <c r="H253" s="15" t="inlineStr">
        <is>
          <t>고평가 부담</t>
        </is>
      </c>
      <c r="I253" s="15" t="inlineStr">
        <is>
          <t>0.8070752756860592</t>
        </is>
      </c>
      <c r="J253" t="inlineStr"/>
      <c r="K253" t="inlineStr"/>
      <c r="L253" t="inlineStr"/>
    </row>
    <row r="254" ht="22" customHeight="1">
      <c r="A254" s="15" t="inlineStr">
        <is>
          <t>레이크머티리얼즈</t>
        </is>
      </c>
      <c r="B254" t="inlineStr"/>
      <c r="C254" s="15" t="inlineStr">
        <is>
          <t>281740</t>
        </is>
      </c>
      <c r="D254" s="15" t="inlineStr">
        <is>
          <t>KOSDAQ</t>
        </is>
      </c>
      <c r="E254" s="15" t="inlineStr">
        <is>
          <t>소재</t>
        </is>
      </c>
      <c r="F254" s="15" t="n">
        <v>26.77</v>
      </c>
      <c r="G254" s="15" t="n">
        <v>28.57</v>
      </c>
      <c r="H254" s="15" t="inlineStr">
        <is>
          <t>고평가 부담</t>
        </is>
      </c>
      <c r="I254" s="15" t="inlineStr">
        <is>
          <t>0.7822727417954645</t>
        </is>
      </c>
      <c r="J254" t="inlineStr"/>
      <c r="K254" t="inlineStr"/>
      <c r="L254" t="inlineStr"/>
    </row>
    <row r="255" ht="22" customHeight="1">
      <c r="A255" s="15" t="inlineStr">
        <is>
          <t>덕산테코피아</t>
        </is>
      </c>
      <c r="B255" s="15" t="inlineStr">
        <is>
          <t>duksan</t>
        </is>
      </c>
      <c r="C255" s="15" t="inlineStr">
        <is>
          <t>317330</t>
        </is>
      </c>
      <c r="D255" s="15" t="inlineStr">
        <is>
          <t>KOSDAQ</t>
        </is>
      </c>
      <c r="E255" s="15" t="inlineStr">
        <is>
          <t>소재</t>
        </is>
      </c>
      <c r="F255" s="15" t="n">
        <v>25.1</v>
      </c>
      <c r="G255" s="15" t="n">
        <v>71.43000000000001</v>
      </c>
      <c r="H255" s="15" t="inlineStr">
        <is>
          <t>고평가 부담</t>
        </is>
      </c>
      <c r="I255" s="15" t="inlineStr">
        <is>
          <t>0.9683283970250778</t>
        </is>
      </c>
      <c r="J255" s="15" t="inlineStr">
        <is>
          <t>예</t>
        </is>
      </c>
      <c r="K255" t="inlineStr"/>
      <c r="L255" t="inlineStr"/>
    </row>
    <row r="256" ht="22" customHeight="1">
      <c r="A256" s="15" t="inlineStr">
        <is>
          <t>피엠티</t>
        </is>
      </c>
      <c r="B256" t="inlineStr"/>
      <c r="C256" s="15" t="inlineStr">
        <is>
          <t>147760</t>
        </is>
      </c>
      <c r="D256" s="15" t="inlineStr">
        <is>
          <t>KOSDAQ</t>
        </is>
      </c>
      <c r="E256" s="15" t="inlineStr">
        <is>
          <t>후공정/패키징/테스트</t>
        </is>
      </c>
      <c r="F256" s="15" t="n">
        <v>24.71</v>
      </c>
      <c r="G256" s="15" t="n">
        <v>78.56999999999999</v>
      </c>
      <c r="H256" s="15" t="inlineStr">
        <is>
          <t>고평가 부담</t>
        </is>
      </c>
      <c r="I256" s="15" t="inlineStr">
        <is>
          <t>0.952821790032095</t>
        </is>
      </c>
      <c r="J256" t="inlineStr"/>
      <c r="K256" t="inlineStr"/>
      <c r="L256" t="inlineStr"/>
    </row>
    <row r="257" ht="22" customHeight="1">
      <c r="A257" s="15" t="inlineStr">
        <is>
          <t>아이씨티케이</t>
        </is>
      </c>
      <c r="B257" t="inlineStr"/>
      <c r="C257" s="15" t="inlineStr">
        <is>
          <t>456010</t>
        </is>
      </c>
      <c r="D257" s="15" t="inlineStr">
        <is>
          <t>KOSDAQ</t>
        </is>
      </c>
      <c r="E257" s="15" t="inlineStr">
        <is>
          <t>팹리스/설계</t>
        </is>
      </c>
      <c r="F257" s="15" t="n">
        <v>24.21</v>
      </c>
      <c r="G257" s="15" t="n">
        <v>57.14</v>
      </c>
      <c r="H257" s="15" t="inlineStr">
        <is>
          <t>고평가 부담</t>
        </is>
      </c>
      <c r="I257" s="15" t="inlineStr">
        <is>
          <t>0.9318776222941163</t>
        </is>
      </c>
      <c r="J257" t="inlineStr"/>
      <c r="K257" t="inlineStr"/>
      <c r="L257" t="inlineStr"/>
    </row>
    <row r="258" ht="22" customHeight="1">
      <c r="A258" s="15" t="inlineStr">
        <is>
          <t>오픈엣지테크놀로지</t>
        </is>
      </c>
      <c r="B258" t="inlineStr"/>
      <c r="C258" s="15" t="inlineStr">
        <is>
          <t>394280</t>
        </is>
      </c>
      <c r="D258" s="15" t="inlineStr">
        <is>
          <t>KOSDAQ</t>
        </is>
      </c>
      <c r="E258" s="15" t="inlineStr">
        <is>
          <t>팹리스/설계</t>
        </is>
      </c>
      <c r="F258" s="15" t="n">
        <v>23.84</v>
      </c>
      <c r="G258" s="15" t="n">
        <v>57.14</v>
      </c>
      <c r="H258" s="15" t="inlineStr">
        <is>
          <t>고평가 부담</t>
        </is>
      </c>
      <c r="I258" s="15" t="inlineStr">
        <is>
          <t>0.9776205348568181</t>
        </is>
      </c>
      <c r="J258" t="inlineStr"/>
      <c r="K258" t="inlineStr"/>
      <c r="L258" t="inlineStr"/>
    </row>
    <row r="259" ht="22" customHeight="1">
      <c r="A259" s="15" t="inlineStr">
        <is>
          <t>기가레인</t>
        </is>
      </c>
      <c r="B259" t="inlineStr"/>
      <c r="C259" s="15" t="inlineStr">
        <is>
          <t>049080</t>
        </is>
      </c>
      <c r="D259" s="15" t="inlineStr">
        <is>
          <t>KOSDAQ</t>
        </is>
      </c>
      <c r="E259" s="15" t="inlineStr">
        <is>
          <t>장비</t>
        </is>
      </c>
      <c r="F259" s="15" t="n">
        <v>23.53</v>
      </c>
      <c r="G259" s="15" t="n">
        <v>50</v>
      </c>
      <c r="H259" s="15" t="inlineStr">
        <is>
          <t>고평가 부담</t>
        </is>
      </c>
      <c r="I259" s="15" t="inlineStr">
        <is>
          <t>0.9628494209555842</t>
        </is>
      </c>
      <c r="J259" t="inlineStr"/>
      <c r="K259" t="inlineStr"/>
      <c r="L259" t="inlineStr"/>
    </row>
    <row r="260" ht="22" customHeight="1">
      <c r="A260" s="15" t="inlineStr">
        <is>
          <t>넥스틴</t>
        </is>
      </c>
      <c r="B260" t="inlineStr"/>
      <c r="C260" s="15" t="inlineStr">
        <is>
          <t>348210</t>
        </is>
      </c>
      <c r="D260" s="15" t="inlineStr">
        <is>
          <t>KOSDAQ GLOBAL</t>
        </is>
      </c>
      <c r="E260" s="15" t="inlineStr">
        <is>
          <t>장비</t>
        </is>
      </c>
      <c r="F260" s="15" t="n">
        <v>23.53</v>
      </c>
      <c r="G260" s="15" t="n">
        <v>42.86</v>
      </c>
      <c r="H260" s="15" t="inlineStr">
        <is>
          <t>고평가 부담</t>
        </is>
      </c>
      <c r="I260" s="15" t="inlineStr">
        <is>
          <t>0.7906546201121369</t>
        </is>
      </c>
      <c r="J260" t="inlineStr"/>
      <c r="K260" t="inlineStr"/>
      <c r="L260" t="inlineStr"/>
    </row>
    <row r="261" ht="22" customHeight="1">
      <c r="A261" s="15" t="inlineStr">
        <is>
          <t>주성엔지니어링</t>
        </is>
      </c>
      <c r="B261" t="inlineStr"/>
      <c r="C261" s="15" t="inlineStr">
        <is>
          <t>036930</t>
        </is>
      </c>
      <c r="D261" s="15" t="inlineStr">
        <is>
          <t>KOSDAQ GLOBAL</t>
        </is>
      </c>
      <c r="E261" s="15" t="inlineStr">
        <is>
          <t>장비</t>
        </is>
      </c>
      <c r="F261" s="15" t="n">
        <v>23.36</v>
      </c>
      <c r="G261" s="15" t="n">
        <v>28.57</v>
      </c>
      <c r="H261" s="15" t="inlineStr">
        <is>
          <t>고평가 부담</t>
        </is>
      </c>
      <c r="I261" s="15" t="inlineStr">
        <is>
          <t>0.7918979957613304</t>
        </is>
      </c>
      <c r="J261" t="inlineStr"/>
      <c r="K261" t="inlineStr"/>
      <c r="L261" t="inlineStr"/>
    </row>
    <row r="262" ht="22" customHeight="1">
      <c r="A262" s="15" t="inlineStr">
        <is>
          <t>테크윙</t>
        </is>
      </c>
      <c r="B262" t="inlineStr"/>
      <c r="C262" s="15" t="inlineStr">
        <is>
          <t>089030</t>
        </is>
      </c>
      <c r="D262" s="15" t="inlineStr">
        <is>
          <t>KOSDAQ</t>
        </is>
      </c>
      <c r="E262" s="15" t="inlineStr">
        <is>
          <t>후공정/패키징/테스트</t>
        </is>
      </c>
      <c r="F262" s="15" t="n">
        <v>22.06</v>
      </c>
      <c r="G262" s="15" t="n">
        <v>57.14</v>
      </c>
      <c r="H262" s="15" t="inlineStr">
        <is>
          <t>고평가 부담</t>
        </is>
      </c>
      <c r="I262" s="15" t="inlineStr">
        <is>
          <t>0.7946423848576873</t>
        </is>
      </c>
      <c r="J262" t="inlineStr"/>
      <c r="K262" t="inlineStr"/>
      <c r="L262" t="inlineStr"/>
    </row>
    <row r="263" ht="22" customHeight="1">
      <c r="A263" s="15" t="inlineStr">
        <is>
          <t>퀄리타스반도체</t>
        </is>
      </c>
      <c r="B263" t="inlineStr"/>
      <c r="C263" s="15" t="inlineStr">
        <is>
          <t>432720</t>
        </is>
      </c>
      <c r="D263" s="15" t="inlineStr">
        <is>
          <t>KOSDAQ</t>
        </is>
      </c>
      <c r="E263" s="15" t="inlineStr">
        <is>
          <t>팹리스/설계</t>
        </is>
      </c>
      <c r="F263" s="15" t="n">
        <v>21.19</v>
      </c>
      <c r="G263" s="15" t="n">
        <v>57.14</v>
      </c>
      <c r="H263" s="15" t="inlineStr">
        <is>
          <t>고평가 부담</t>
        </is>
      </c>
      <c r="I263" s="15" t="inlineStr">
        <is>
          <t>0.9844433173148716</t>
        </is>
      </c>
      <c r="J263" t="inlineStr"/>
      <c r="K263" t="inlineStr"/>
      <c r="L263" t="inlineStr"/>
    </row>
    <row r="264" ht="22" customHeight="1">
      <c r="A264" s="15" t="inlineStr">
        <is>
          <t>자람테크놀로지</t>
        </is>
      </c>
      <c r="B264" t="inlineStr"/>
      <c r="C264" s="15" t="inlineStr">
        <is>
          <t>389020</t>
        </is>
      </c>
      <c r="D264" s="15" t="inlineStr">
        <is>
          <t>KOSDAQ</t>
        </is>
      </c>
      <c r="E264" s="15" t="inlineStr">
        <is>
          <t>IDM/제조/메모리</t>
        </is>
      </c>
      <c r="F264" s="15" t="n">
        <v>19.95</v>
      </c>
      <c r="G264" s="15" t="n">
        <v>21.43</v>
      </c>
      <c r="H264" s="15" t="inlineStr">
        <is>
          <t>고평가 부담</t>
        </is>
      </c>
      <c r="I264" s="15" t="inlineStr">
        <is>
          <t>0.6873284389381621</t>
        </is>
      </c>
      <c r="J264" t="inlineStr"/>
      <c r="K264" t="inlineStr"/>
      <c r="L264" t="inlineStr"/>
    </row>
    <row r="265" ht="22" customHeight="1">
      <c r="A265" s="15" t="inlineStr">
        <is>
          <t>필옵틱스</t>
        </is>
      </c>
      <c r="B265" t="inlineStr"/>
      <c r="C265" s="15" t="inlineStr">
        <is>
          <t>161580</t>
        </is>
      </c>
      <c r="D265" s="15" t="inlineStr">
        <is>
          <t>KOSDAQ</t>
        </is>
      </c>
      <c r="E265" s="15" t="inlineStr">
        <is>
          <t>장비</t>
        </is>
      </c>
      <c r="F265" s="15" t="n">
        <v>17.41</v>
      </c>
      <c r="G265" s="15" t="n">
        <v>28.57</v>
      </c>
      <c r="H265" s="15" t="inlineStr">
        <is>
          <t>고평가 부담</t>
        </is>
      </c>
      <c r="I265" s="15" t="inlineStr">
        <is>
          <t>0.9632435860929522</t>
        </is>
      </c>
      <c r="J265" t="inlineStr"/>
      <c r="K265" t="inlineStr"/>
      <c r="L265" t="inlineStr"/>
    </row>
    <row r="266" ht="22" customHeight="1">
      <c r="A266" s="15" t="inlineStr">
        <is>
          <t>하이딥</t>
        </is>
      </c>
      <c r="B266" t="inlineStr"/>
      <c r="C266" s="15" t="inlineStr">
        <is>
          <t>365590</t>
        </is>
      </c>
      <c r="D266" s="15" t="inlineStr">
        <is>
          <t>KOSDAQ</t>
        </is>
      </c>
      <c r="E266" s="15" t="inlineStr">
        <is>
          <t>IDM/제조/메모리</t>
        </is>
      </c>
      <c r="F266" s="15" t="n">
        <v>12.5</v>
      </c>
      <c r="G266" s="15" t="n">
        <v>85.70999999999999</v>
      </c>
      <c r="H266" s="15" t="inlineStr">
        <is>
          <t>고평가 부담</t>
        </is>
      </c>
      <c r="I266" s="15" t="inlineStr">
        <is>
          <t>0.93355514861914</t>
        </is>
      </c>
      <c r="J266" t="inlineStr"/>
      <c r="K266" t="inlineStr"/>
      <c r="L266" t="inlineStr"/>
    </row>
  </sheetData>
  <mergeCells count="2">
    <mergeCell ref="A2:N2"/>
    <mergeCell ref="A1:N1"/>
  </mergeCells>
  <dataValidations count="1">
    <dataValidation sqref="B4" showDropDown="0" showInputMessage="0" showErrorMessage="0" allowBlank="0" type="list">
      <formula1>$A$59:$A$266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표시 개선 단계에서 예외가 발생했지만 가치평가 계산 결과는 정상 생성되었습니다.</t>
        </is>
      </c>
    </row>
    <row r="2">
      <c r="A2" t="inlineStr">
        <is>
          <t>'Cell'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2026-05-20T04:43:28Z</dcterms:created>
  <dcterms:modified xmlns:dcterms="http://purl.org/dc/terms/" xmlns:xsi="http://www.w3.org/2001/XMLSchema-instance" xsi:type="dcterms:W3CDTF">2026-05-20T04:43:37Z</dcterms:modified>
</cp:coreProperties>
</file>