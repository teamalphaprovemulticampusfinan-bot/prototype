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_발표용_원페이지" sheetId="1" state="visible" r:id="rId1"/>
    <sheet xmlns:r="http://schemas.openxmlformats.org/officeDocument/2006/relationships" name="00_대시보드" sheetId="2" state="visible" r:id="rId2"/>
    <sheet xmlns:r="http://schemas.openxmlformats.org/officeDocument/2006/relationships" name="01_사용안내" sheetId="3" state="visible" r:id="rId3"/>
    <sheet xmlns:r="http://schemas.openxmlformats.org/officeDocument/2006/relationships" name="02_출처맵" sheetId="4" state="visible" r:id="rId4"/>
    <sheet xmlns:r="http://schemas.openxmlformats.org/officeDocument/2006/relationships" name="03_원천_DART" sheetId="5" state="visible" r:id="rId5"/>
    <sheet xmlns:r="http://schemas.openxmlformats.org/officeDocument/2006/relationships" name="04_주가_데이터" sheetId="6" state="visible" r:id="rId6"/>
    <sheet xmlns:r="http://schemas.openxmlformats.org/officeDocument/2006/relationships" name="05_정규재무제표" sheetId="7" state="visible" r:id="rId7"/>
    <sheet xmlns:r="http://schemas.openxmlformats.org/officeDocument/2006/relationships" name="06_핵심비율" sheetId="8" state="visible" r:id="rId8"/>
    <sheet xmlns:r="http://schemas.openxmlformats.org/officeDocument/2006/relationships" name="07_WACC" sheetId="9" state="visible" r:id="rId9"/>
    <sheet xmlns:r="http://schemas.openxmlformats.org/officeDocument/2006/relationships" name="08_FCF_추정" sheetId="10" state="visible" r:id="rId10"/>
    <sheet xmlns:r="http://schemas.openxmlformats.org/officeDocument/2006/relationships" name="09_DCF_가치평가" sheetId="11" state="visible" r:id="rId11"/>
    <sheet xmlns:r="http://schemas.openxmlformats.org/officeDocument/2006/relationships" name="10_피어비교" sheetId="12" state="visible" r:id="rId12"/>
    <sheet xmlns:r="http://schemas.openxmlformats.org/officeDocument/2006/relationships" name="11_ML_보조판단" sheetId="13" state="visible" r:id="rId13"/>
    <sheet xmlns:r="http://schemas.openxmlformats.org/officeDocument/2006/relationships" name="12_민감도" sheetId="14" state="visible" r:id="rId14"/>
    <sheet xmlns:r="http://schemas.openxmlformats.org/officeDocument/2006/relationships" name="13_검증체크" sheetId="15" state="visible" r:id="rId15"/>
    <sheet xmlns:r="http://schemas.openxmlformats.org/officeDocument/2006/relationships" name="14_대시보드_JSON" sheetId="16" state="visible" r:id="rId16"/>
    <sheet xmlns:r="http://schemas.openxmlformats.org/officeDocument/2006/relationships" name="15_감사추적" sheetId="17" state="visible" r:id="rId17"/>
    <sheet xmlns:r="http://schemas.openxmlformats.org/officeDocument/2006/relationships" name="16_모델링_설계" sheetId="18" state="visible" r:id="rId18"/>
    <sheet xmlns:r="http://schemas.openxmlformats.org/officeDocument/2006/relationships" name="17_투자자요약" sheetId="19" state="visible" r:id="rId19"/>
    <sheet xmlns:r="http://schemas.openxmlformats.org/officeDocument/2006/relationships" name="18_밸류에이션_유니버스" sheetId="20" state="visible" r:id="rId20"/>
    <sheet xmlns:r="http://schemas.openxmlformats.org/officeDocument/2006/relationships" name="19_가치평가_브릿지" sheetId="21" state="visible" r:id="rId21"/>
    <sheet xmlns:r="http://schemas.openxmlformats.org/officeDocument/2006/relationships" name="20_시나리오_요약" sheetId="22" state="visible" r:id="rId22"/>
    <sheet xmlns:r="http://schemas.openxmlformats.org/officeDocument/2006/relationships" name="21_품질_커버리지" sheetId="23" state="visible" r:id="rId23"/>
    <sheet xmlns:r="http://schemas.openxmlformats.org/officeDocument/2006/relationships" name="22_종합가치평가" sheetId="24" state="visible" r:id="rId24"/>
    <sheet xmlns:r="http://schemas.openxmlformats.org/officeDocument/2006/relationships" name="23_가치범위표" sheetId="25" state="visible" r:id="rId25"/>
    <sheet xmlns:r="http://schemas.openxmlformats.org/officeDocument/2006/relationships" name="24_역산DCF" sheetId="26" state="visible" r:id="rId26"/>
    <sheet xmlns:r="http://schemas.openxmlformats.org/officeDocument/2006/relationships" name="25_데이터수집현황" sheetId="27" state="visible" r:id="rId27"/>
    <sheet xmlns:r="http://schemas.openxmlformats.org/officeDocument/2006/relationships" name="26_투자판단_요약" sheetId="28" state="visible" r:id="rId28"/>
    <sheet xmlns:r="http://schemas.openxmlformats.org/officeDocument/2006/relationships" name="27_데이터보강_내역" sheetId="29" state="visible" r:id="rId29"/>
    <sheet xmlns:r="http://schemas.openxmlformats.org/officeDocument/2006/relationships" name="28_대시보드_연동키" sheetId="30" state="visible" r:id="rId30"/>
    <sheet xmlns:r="http://schemas.openxmlformats.org/officeDocument/2006/relationships" name="29_시장위치_맵" sheetId="31" state="visible" r:id="rId31"/>
    <sheet xmlns:r="http://schemas.openxmlformats.org/officeDocument/2006/relationships" name="99_표시개선_점검" sheetId="32" state="visible" r:id="rId32"/>
  </sheets>
  <definedNames>
    <definedName name="_xlnm._FilterDatabase" localSheetId="2" hidden="1">'01_사용안내'!$A$5:$B$11</definedName>
    <definedName name="_xlnm._FilterDatabase" localSheetId="3" hidden="1">'02_출처맵'!$A$7:$I$27</definedName>
    <definedName name="_xlnm._FilterDatabase" localSheetId="4" hidden="1">'03_원천_DART'!$A$2:$Q$1002</definedName>
    <definedName name="_xlnm._FilterDatabase" localSheetId="5" hidden="1">'04_주가_데이터'!$A$18:$AE$718</definedName>
    <definedName name="_xlnm._FilterDatabase" localSheetId="6" hidden="1">'05_정규재무제표'!$A$2:$AK$7</definedName>
    <definedName name="_xlnm._FilterDatabase" localSheetId="7" hidden="1">'06_핵심비율'!$A$2:$L$7</definedName>
    <definedName name="_xlnm._FilterDatabase" localSheetId="9" hidden="1">'08_FCF_추정'!$A$2:$J$7</definedName>
    <definedName name="_xlnm._FilterDatabase" localSheetId="10" hidden="1">'09_DCF_가치평가'!$A$5:$C$21</definedName>
    <definedName name="_xlnm._FilterDatabase" localSheetId="11" hidden="1">'10_피어비교'!$A$2:$AI$7</definedName>
    <definedName name="_xlnm._FilterDatabase" localSheetId="12" hidden="1">'11_ML_보조판단'!$A$16:$B$21</definedName>
    <definedName name="_xlnm._FilterDatabase" localSheetId="13" hidden="1">'12_민감도'!$A$2:$C$27</definedName>
    <definedName name="_xlnm._FilterDatabase" localSheetId="14" hidden="1">'13_검증체크'!$A$2:$C$3</definedName>
    <definedName name="_xlnm._FilterDatabase" localSheetId="15" hidden="1">'14_대시보드_JSON'!$A$2:$D$205</definedName>
    <definedName name="_xlnm._FilterDatabase" localSheetId="16" hidden="1">'15_감사추적'!$A$2:$F$8</definedName>
    <definedName name="_xlnm._FilterDatabase" localSheetId="17" hidden="1">'16_모델링_설계'!$A$2:$G$11</definedName>
    <definedName name="_xlnm._FilterDatabase" localSheetId="18" hidden="1">'17_투자자요약'!$A$23:$B$28</definedName>
    <definedName name="_xlnm._FilterDatabase" localSheetId="19" hidden="1">'18_밸류에이션_유니버스'!$A$66:$AF$274</definedName>
    <definedName name="_xlnm._FilterDatabase" localSheetId="20" hidden="1">'19_가치평가_브릿지'!$A$29:$C$34</definedName>
    <definedName name="_xlnm._FilterDatabase" localSheetId="21" hidden="1">'20_시나리오_요약'!$A$12:$B$14</definedName>
    <definedName name="_xlnm._FilterDatabase" localSheetId="22" hidden="1">'21_품질_커버리지'!$A$15:$C$16</definedName>
    <definedName name="_xlnm._FilterDatabase" localSheetId="23" hidden="1">'22_종합가치평가'!$A$34:$D$42</definedName>
    <definedName name="_xlnm._FilterDatabase" localSheetId="24" hidden="1">'23_가치범위표'!$A$21:$B$23</definedName>
    <definedName name="_xlnm._FilterDatabase" localSheetId="25" hidden="1">'24_역산DCF'!$A$20:$B$23</definedName>
    <definedName name="_xlnm._FilterDatabase" localSheetId="26" hidden="1">'25_데이터수집현황'!$A$15:$C$29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;-"/>
    <numFmt numFmtId="165" formatCode="0.0x;[Red](0.0x);-"/>
    <numFmt numFmtId="166" formatCode="0.0%;[Red](0.0%);-"/>
    <numFmt numFmtId="167" formatCode="0.0%"/>
    <numFmt numFmtId="168" formatCode="0.0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0B1F33"/>
      <sz val="10"/>
    </font>
    <font>
      <b val="1"/>
      <color rgb="00FFFFFF"/>
      <sz val="10"/>
    </font>
    <font>
      <b val="1"/>
      <color rgb="000B1F33"/>
      <sz val="13"/>
    </font>
    <font>
      <color rgb="00475569"/>
      <sz val="9"/>
    </font>
    <font>
      <b val="1"/>
      <color rgb="00FFFFFF"/>
    </font>
    <font>
      <b val="1"/>
      <color rgb="000B1F33"/>
    </font>
    <font>
      <color rgb="000000FF"/>
    </font>
    <font>
      <color rgb="00000000"/>
    </font>
    <font>
      <b val="1"/>
      <color rgb="00FFFFFF"/>
      <sz val="18"/>
    </font>
    <font>
      <color rgb="00243B53"/>
      <sz val="10"/>
    </font>
    <font>
      <b val="1"/>
      <color rgb="00102A43"/>
      <sz val="11"/>
    </font>
    <font>
      <b val="1"/>
      <color rgb="00FFFFFF"/>
      <sz val="12"/>
    </font>
    <font>
      <color rgb="00102A43"/>
      <sz val="11"/>
    </font>
    <font>
      <b val="1"/>
      <color rgb="00FFFFFF"/>
      <sz val="15"/>
    </font>
    <font>
      <b val="1"/>
      <color rgb="00102A43"/>
    </font>
  </fonts>
  <fills count="20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E6EEF8"/>
      </patternFill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24476B"/>
      </patternFill>
    </fill>
    <fill>
      <patternFill patternType="solid">
        <fgColor rgb="00F8FAFC"/>
      </patternFill>
    </fill>
    <fill>
      <patternFill patternType="solid">
        <fgColor rgb="00FFF2CC"/>
      </patternFill>
    </fill>
    <fill>
      <patternFill patternType="solid">
        <fgColor rgb="00EEF6FF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F59E0B"/>
      </patternFill>
    </fill>
    <fill>
      <patternFill patternType="solid">
        <fgColor rgb="00DDF7EC"/>
      </patternFill>
    </fill>
    <fill>
      <patternFill patternType="solid">
        <fgColor rgb="00F2EEFF"/>
      </patternFill>
    </fill>
    <fill>
      <patternFill patternType="solid">
        <fgColor rgb="00243B53"/>
      </patternFill>
    </fill>
    <fill>
      <patternFill patternType="solid">
        <fgColor rgb="00102A43"/>
      </patternFill>
    </fill>
    <fill>
      <patternFill patternType="solid">
        <fgColor rgb="00FFF7E6"/>
      </patternFill>
    </fill>
  </fills>
  <borders count="8">
    <border>
      <left/>
      <right/>
      <top/>
      <bottom/>
      <diagonal/>
    </border>
    <border>
      <left style="medium">
        <color rgb="009FB3C8"/>
      </left>
      <right style="medium">
        <color rgb="009FB3C8"/>
      </right>
      <top style="medium">
        <color rgb="009FB3C8"/>
      </top>
      <bottom style="medium">
        <color rgb="009FB3C8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8E1EA"/>
      </left>
      <right style="thin">
        <color rgb="00D8E1EA"/>
      </right>
      <top style="thin">
        <color rgb="00D8E1EA"/>
      </top>
      <bottom style="thin">
        <color rgb="00D8E1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0" fillId="2" borderId="7" applyAlignment="1" pivotButton="0" quotePrefix="0" xfId="0">
      <alignment horizontal="left" vertical="center" wrapText="1"/>
    </xf>
    <xf numFmtId="0" fontId="11" fillId="10" borderId="7" applyAlignment="1" pivotButton="0" quotePrefix="0" xfId="0">
      <alignment horizontal="left" vertical="center" wrapText="1"/>
    </xf>
    <xf numFmtId="0" fontId="6" fillId="11" borderId="7" applyAlignment="1" pivotButton="0" quotePrefix="0" xfId="0">
      <alignment horizontal="left" vertical="center" wrapText="1"/>
    </xf>
    <xf numFmtId="0" fontId="12" fillId="15" borderId="7" applyAlignment="1" pivotButton="0" quotePrefix="0" xfId="0">
      <alignment horizontal="left" vertical="center" wrapText="1"/>
    </xf>
    <xf numFmtId="0" fontId="6" fillId="12" borderId="7" applyAlignment="1" pivotButton="0" quotePrefix="0" xfId="0">
      <alignment horizontal="left" vertical="center" wrapText="1"/>
    </xf>
    <xf numFmtId="0" fontId="6" fillId="13" borderId="7" applyAlignment="1" pivotButton="0" quotePrefix="0" xfId="0">
      <alignment horizontal="left" vertical="center" wrapText="1"/>
    </xf>
    <xf numFmtId="0" fontId="6" fillId="14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left" vertical="center" wrapText="1"/>
    </xf>
    <xf numFmtId="0" fontId="12" fillId="16" borderId="7" applyAlignment="1" pivotButton="0" quotePrefix="0" xfId="0">
      <alignment horizontal="left" vertical="center" wrapText="1"/>
    </xf>
    <xf numFmtId="0" fontId="13" fillId="2" borderId="7" applyAlignment="1" pivotButton="0" quotePrefix="0" xfId="0">
      <alignment horizontal="left" vertical="center" wrapText="1"/>
    </xf>
    <xf numFmtId="0" fontId="14" fillId="6" borderId="7" applyAlignment="1" pivotButton="0" quotePrefix="0" xfId="0">
      <alignment horizontal="left" vertical="center" wrapText="1"/>
    </xf>
    <xf numFmtId="0" fontId="6" fillId="17" borderId="7" applyAlignment="1" pivotButton="0" quotePrefix="0" xfId="0">
      <alignment horizontal="left" vertical="center" wrapText="1"/>
    </xf>
    <xf numFmtId="0" fontId="0" fillId="8" borderId="7" applyAlignment="1" pivotButton="0" quotePrefix="0" xfId="0">
      <alignment horizontal="left" vertical="center" wrapText="1"/>
    </xf>
    <xf numFmtId="0" fontId="0" fillId="6" borderId="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left" vertical="center" wrapText="1"/>
    </xf>
    <xf numFmtId="165" fontId="0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left" vertical="center" wrapText="1"/>
    </xf>
    <xf numFmtId="164" fontId="0" fillId="6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7" borderId="2" applyAlignment="1" pivotButton="0" quotePrefix="0" xfId="0">
      <alignment horizontal="left" vertical="center" wrapText="1"/>
    </xf>
    <xf numFmtId="166" fontId="0" fillId="6" borderId="2" applyAlignment="1" pivotButton="0" quotePrefix="0" xfId="0">
      <alignment horizontal="left" vertical="center" wrapText="1"/>
    </xf>
    <xf numFmtId="166" fontId="0" fillId="8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6" fontId="8" fillId="9" borderId="2" applyAlignment="1" pivotButton="0" quotePrefix="0" xfId="0">
      <alignment horizontal="left" vertical="center" wrapText="1"/>
    </xf>
    <xf numFmtId="164" fontId="8" fillId="9" borderId="2" applyAlignment="1" pivotButton="0" quotePrefix="0" xfId="0">
      <alignment horizontal="left" vertical="center" wrapText="1"/>
    </xf>
    <xf numFmtId="164" fontId="9" fillId="0" borderId="2" applyAlignment="1" pivotButton="0" quotePrefix="0" xfId="0">
      <alignment horizontal="left" vertical="center" wrapText="1"/>
    </xf>
    <xf numFmtId="166" fontId="9" fillId="0" borderId="2" applyAlignment="1" pivotButton="0" quotePrefix="0" xfId="0">
      <alignment horizontal="left" vertical="center" wrapText="1"/>
    </xf>
    <xf numFmtId="165" fontId="0" fillId="6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left" vertical="center" wrapText="1"/>
    </xf>
    <xf numFmtId="0" fontId="15" fillId="18" borderId="7" applyAlignment="1" pivotButton="0" quotePrefix="0" xfId="0">
      <alignment horizontal="left" vertical="center" wrapText="1"/>
    </xf>
    <xf numFmtId="0" fontId="16" fillId="15" borderId="7" applyAlignment="1" pivotButton="0" quotePrefix="0" xfId="0">
      <alignment horizontal="left" vertical="center" wrapText="1"/>
    </xf>
    <xf numFmtId="168" fontId="16" fillId="15" borderId="7" applyAlignment="1" pivotButton="0" quotePrefix="0" xfId="0">
      <alignment horizontal="left" vertical="center" wrapText="1"/>
    </xf>
    <xf numFmtId="167" fontId="16" fillId="15" borderId="7" applyAlignment="1" pivotButton="0" quotePrefix="0" xfId="0">
      <alignment horizontal="left" vertical="center" wrapText="1"/>
    </xf>
    <xf numFmtId="0" fontId="0" fillId="15" borderId="7" applyAlignment="1" pivotButton="0" quotePrefix="0" xfId="0">
      <alignment horizontal="left" vertical="center" wrapText="1"/>
    </xf>
    <xf numFmtId="0" fontId="0" fillId="10" borderId="7" applyAlignment="1" pivotButton="0" quotePrefix="0" xfId="0">
      <alignment horizontal="left" vertical="center" wrapText="1"/>
    </xf>
    <xf numFmtId="0" fontId="0" fillId="16" borderId="7" applyAlignment="1" pivotButton="0" quotePrefix="0" xfId="0">
      <alignment horizontal="left" vertical="center" wrapText="1"/>
    </xf>
    <xf numFmtId="0" fontId="0" fillId="19" borderId="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투자자 관점 핵심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'30_발표용_원페이지'!B30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'30_발표용_원페이지'!$A$31:$A$34</f>
            </numRef>
          </cat>
          <val>
            <numRef>
              <f>'30_발표용_원페이지'!$B$31:$B$34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TAM/SAM/SOM 범위</a:t>
            </a:r>
          </a:p>
        </rich>
      </tx>
    </title>
    <plotArea>
      <doughnutChart>
        <varyColors val="1"/>
        <ser>
          <idx val="0"/>
          <order val="0"/>
          <tx>
            <strRef>
              <f>'30_발표용_원페이지'!F30</f>
            </strRef>
          </tx>
          <spPr>
            <a:ln xmlns:a="http://schemas.openxmlformats.org/drawingml/2006/main">
              <a:prstDash val="solid"/>
            </a:ln>
          </spPr>
          <cat>
            <numRef>
              <f>'30_발표용_원페이지'!$E$31:$E$33</f>
            </numRef>
          </cat>
          <val>
            <numRef>
              <f>'30_발표용_원페이지'!$F$31:$F$33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매출·영업이익·FCF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'00_대시보드'!B31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'00_대시보드'!$B$32:$B$36</f>
            </numRef>
          </val>
        </ser>
        <ser>
          <idx val="1"/>
          <order val="1"/>
          <tx>
            <strRef>
              <f>'00_대시보드'!C31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'00_대시보드'!$C$32:$C$36</f>
            </numRef>
          </val>
        </ser>
        <ser>
          <idx val="2"/>
          <order val="2"/>
          <tx>
            <strRef>
              <f>'00_대시보드'!D31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'00_대시보드'!$A$32:$A$36</f>
            </numRef>
          </cat>
          <val>
            <numRef>
              <f>'00_대시보드'!$D$32:$D$36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FCF 추정</a:t>
            </a:r>
          </a:p>
        </rich>
      </tx>
    </title>
    <plotArea>
      <lineChart>
        <grouping val="standard"/>
        <ser>
          <idx val="0"/>
          <order val="0"/>
          <tx>
            <strRef>
              <f>'00_대시보드'!F31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'00_대시보드'!$F$32:$F$36</f>
            </numRef>
          </val>
        </ser>
        <ser>
          <idx val="1"/>
          <order val="1"/>
          <tx>
            <strRef>
              <f>'00_대시보드'!G31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'00_대시보드'!$E$32:$E$36</f>
            </numRef>
          </cat>
          <val>
            <numRef>
              <f>'00_대시보드'!$G$32:$G$36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연도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KRW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Peer P/S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'00_대시보드'!J31</f>
            </strRef>
          </tx>
          <spPr>
            <a:ln xmlns:a="http://schemas.openxmlformats.org/drawingml/2006/main">
              <a:prstDash val="solid"/>
            </a:ln>
          </spPr>
          <cat>
            <numRef>
              <f>'00_대시보드'!$I$32:$I$36</f>
            </numRef>
          </cat>
          <val>
            <numRef>
              <f>'00_대시보드'!$J$32:$J$36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배수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종가·이동평균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'04_주가_데이터'!E18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'04_주가_데이터'!$A$19:$A$718</f>
            </numRef>
          </cat>
          <val>
            <numRef>
              <f>'04_주가_데이터'!$E$19:$E$718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일자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가치평가 방법별 중앙 주당가치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'23_가치범위표'!G10</f>
            </strRef>
          </tx>
          <spPr>
            <a:ln xmlns:a="http://schemas.openxmlformats.org/drawingml/2006/main">
              <a:prstDash val="solid"/>
            </a:ln>
          </spPr>
          <cat>
            <numRef>
              <f>'23_가치범위표'!$B$11:$B$17</f>
            </numRef>
          </cat>
          <val>
            <numRef>
              <f>'23_가치범위표'!$G$11:$G$17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가치평가 방법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선택기업 vs 동일 세부군 vs 208개 평균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'29_시장위치_맵'!$B$9:$B$11</f>
            </numRef>
          </val>
        </ser>
        <ser>
          <idx val="1"/>
          <order val="1"/>
          <tx>
            <strRef>
              <f>'29_시장위치_맵'!C8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'29_시장위치_맵'!$A$9:$A$11</f>
            </numRef>
          </cat>
          <val>
            <numRef>
              <f>'29_시장위치_맵'!$C$9:$C$11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점수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비교 기준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TAM / SAM / SOM 범위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'29_시장위치_맵'!$A$17:$A$19</f>
            </numRef>
          </cat>
          <val>
            <numRef>
              <f>'29_시장위치_맵'!$B$17:$B$19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기업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범위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5개 핵심기업 밸류에이션 점수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'29_시장위치_맵'!C25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'29_시장위치_맵'!$A$26:$A$30</f>
            </numRef>
          </cat>
          <val>
            <numRef>
              <f>'29_시장위치_맵'!$C$26:$C$30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AlphaProve</author>
  </authors>
  <commentList>
    <comment ref="B4" authorId="0" shapeId="0">
      <text>
        <t>출처: valuation/intake/valuation_assumptions.json</t>
      </text>
    </comment>
  </commentList>
</comments>
</file>

<file path=xl/comments/comment2.xml><?xml version="1.0" encoding="utf-8"?>
<comments xmlns="http://schemas.openxmlformats.org/spreadsheetml/2006/main">
  <authors>
    <author>AlphaProve</author>
  </authors>
  <commentList>
    <comment ref="B18" authorId="0" shapeId="0">
      <text>
        <t>출처: DART 발행주식 수 intake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33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8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41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N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6" customWidth="1" min="8" max="8"/>
    <col width="3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8" customHeight="1">
      <c r="A1" s="1" t="inlineStr">
        <is>
          <t>DB하이텍 가치평가 원페이지</t>
        </is>
      </c>
    </row>
    <row r="2" ht="25" customHeight="1">
      <c r="A2" s="2" t="inlineStr">
        <is>
          <t>DCF·상대가치·시장내재 배수·주가 리스크·208개 비교군 위치를 한 장에서 검토하는 투자자용 요약입니다.</t>
        </is>
      </c>
    </row>
    <row r="3" ht="24" customHeight="1"/>
    <row r="4" ht="24" customHeight="1">
      <c r="A4" s="3" t="inlineStr">
        <is>
          <t>현재가</t>
        </is>
      </c>
      <c r="B4" s="4" t="inlineStr">
        <is>
          <t>155,800원</t>
        </is>
      </c>
      <c r="C4" s="5" t="inlineStr">
        <is>
          <t>DCF 내재주가</t>
        </is>
      </c>
      <c r="D4" s="4" t="inlineStr">
        <is>
          <t>53,578원</t>
        </is>
      </c>
      <c r="E4" s="6" t="inlineStr">
        <is>
          <t>괴리율</t>
        </is>
      </c>
      <c r="F4" s="4" t="inlineStr">
        <is>
          <t>-65.6%</t>
        </is>
      </c>
      <c r="G4" s="7" t="inlineStr">
        <is>
          <t>WACC</t>
        </is>
      </c>
      <c r="H4" s="4" t="inlineStr">
        <is>
          <t>13.3%</t>
        </is>
      </c>
    </row>
    <row r="5" ht="24" customHeight="1">
      <c r="A5" s="3" t="inlineStr">
        <is>
          <t>P/S</t>
        </is>
      </c>
      <c r="B5" s="8" t="inlineStr">
        <is>
          <t>1.19배</t>
        </is>
      </c>
      <c r="C5" s="5" t="inlineStr">
        <is>
          <t>비교기업 P/S 중앙값</t>
        </is>
      </c>
      <c r="D5" s="8" t="inlineStr">
        <is>
          <t>3.54배</t>
        </is>
      </c>
      <c r="E5" s="6" t="inlineStr">
        <is>
          <t>가치범위 중앙값</t>
        </is>
      </c>
      <c r="F5" s="8" t="inlineStr">
        <is>
          <t>124,937원</t>
        </is>
      </c>
      <c r="G5" s="7" t="inlineStr">
        <is>
          <t>검증 상태</t>
        </is>
      </c>
      <c r="H5" s="8" t="inlineStr">
        <is>
          <t>통과</t>
        </is>
      </c>
    </row>
    <row r="6" ht="24" customHeight="1">
      <c r="A6" s="3" t="inlineStr">
        <is>
          <t>종합 가치평가 점수</t>
        </is>
      </c>
      <c r="B6" s="9" t="inlineStr">
        <is>
          <t>47.1/100</t>
        </is>
      </c>
      <c r="C6" s="5" t="inlineStr">
        <is>
          <t>보조 가치평가 점수</t>
        </is>
      </c>
      <c r="D6" s="9" t="inlineStr">
        <is>
          <t>53.4/100</t>
        </is>
      </c>
      <c r="E6" s="6" t="inlineStr">
        <is>
          <t>역산 영구성장률</t>
        </is>
      </c>
      <c r="F6" s="9" t="inlineStr">
        <is>
          <t>8.0%</t>
        </is>
      </c>
      <c r="G6" s="7" t="inlineStr">
        <is>
          <t>오너이익 주당가치</t>
        </is>
      </c>
      <c r="H6" s="9" t="inlineStr">
        <is>
          <t>60,146원</t>
        </is>
      </c>
    </row>
    <row r="7" ht="24" customHeight="1"/>
    <row r="8" ht="24" customHeight="1">
      <c r="A8" s="10" t="inlineStr">
        <is>
          <t>핵심 판단</t>
        </is>
      </c>
    </row>
    <row r="9" ht="62" customHeight="1">
      <c r="A9" s="11" t="inlineStr">
        <is>
          <t>가치평가 관점 보수 — DCF 기준 현재가 부담이 큽니다.</t>
        </is>
      </c>
    </row>
    <row r="10" ht="24" customHeight="1"/>
    <row r="11" ht="24" customHeight="1"/>
    <row r="12" ht="24" customHeight="1"/>
    <row r="13" ht="24" customHeight="1">
      <c r="A13" s="12" t="inlineStr">
        <is>
          <t>분석 축</t>
        </is>
      </c>
      <c r="B13" s="12" t="inlineStr">
        <is>
          <t>현재 결론</t>
        </is>
      </c>
      <c r="C13" s="12" t="inlineStr">
        <is>
          <t>대시보드에서 볼 것</t>
        </is>
      </c>
      <c r="D13" s="12" t="inlineStr">
        <is>
          <t>실무 체크포인트</t>
        </is>
      </c>
    </row>
    <row r="14" ht="24" customHeight="1">
      <c r="A14" s="13" t="inlineStr">
        <is>
          <t>절대가치</t>
        </is>
      </c>
      <c r="B14" s="14" t="inlineStr">
        <is>
          <t>53,578원</t>
        </is>
      </c>
      <c r="C14" s="13" t="inlineStr">
        <is>
          <t>DCF 내재주가·민감도</t>
        </is>
      </c>
      <c r="D14" s="14" t="inlineStr">
        <is>
          <t>WACC와 영구성장률 가정이 바뀌면 결론이 크게 달라질 수 있습니다.</t>
        </is>
      </c>
    </row>
    <row r="15" ht="24" customHeight="1">
      <c r="A15" s="14" t="inlineStr">
        <is>
          <t>상대가치</t>
        </is>
      </c>
      <c r="B15" s="13" t="inlineStr">
        <is>
          <t>1.19배</t>
        </is>
      </c>
      <c r="C15" s="14" t="inlineStr">
        <is>
          <t>P/S·P/B·PER·EV/Sales</t>
        </is>
      </c>
      <c r="D15" s="13" t="inlineStr">
        <is>
          <t>동일 세부군 기준으로 비교기업 품질을 재확인합니다.</t>
        </is>
      </c>
    </row>
    <row r="16" ht="24" customHeight="1">
      <c r="A16" s="13" t="inlineStr">
        <is>
          <t>시장내재</t>
        </is>
      </c>
      <c r="B16" s="14" t="inlineStr">
        <is>
          <t>4.86배</t>
        </is>
      </c>
      <c r="C16" s="13" t="inlineStr">
        <is>
          <t>현재가가 반영한 배수</t>
        </is>
      </c>
      <c r="D16" s="14" t="inlineStr">
        <is>
          <t>현재 시장이 이미 반영한 성장 기대를 역산합니다.</t>
        </is>
      </c>
    </row>
    <row r="17" ht="24" customHeight="1">
      <c r="A17" s="14" t="inlineStr">
        <is>
          <t>유동성/리스크</t>
        </is>
      </c>
      <c r="B17" s="13" t="inlineStr">
        <is>
          <t>1,234.0억원</t>
        </is>
      </c>
      <c r="C17" s="14" t="inlineStr">
        <is>
          <t>거래대금·MDD·변동성</t>
        </is>
      </c>
      <c r="D17" s="13" t="inlineStr">
        <is>
          <t>거래대금이 낮은 기업은 실전 매매비용을 보수적으로 봅니다.</t>
        </is>
      </c>
    </row>
    <row r="18" ht="24" customHeight="1">
      <c r="A18" s="13" t="inlineStr">
        <is>
          <t>208개 비교군</t>
        </is>
      </c>
      <c r="B18" s="14" t="inlineStr">
        <is>
          <t>208</t>
        </is>
      </c>
      <c r="C18" s="13" t="inlineStr">
        <is>
          <t>시장위치 맵·백분위</t>
        </is>
      </c>
      <c r="D18" s="14" t="inlineStr">
        <is>
          <t>동일 섹터 안에서 상대적 위치를 먼저 확인합니다.</t>
        </is>
      </c>
    </row>
    <row r="19" ht="24" customHeight="1"/>
    <row r="20" ht="24" customHeight="1"/>
    <row r="21" ht="24" customHeight="1">
      <c r="A21" s="3" t="inlineStr">
        <is>
          <t>완성도 점검</t>
        </is>
      </c>
      <c r="B21" s="3" t="inlineStr">
        <is>
          <t>결과</t>
        </is>
      </c>
      <c r="C21" s="3" t="inlineStr">
        <is>
          <t>의미</t>
        </is>
      </c>
    </row>
    <row r="22" ht="24" customHeight="1">
      <c r="A22" s="15" t="inlineStr">
        <is>
          <t>품질 점검</t>
        </is>
      </c>
      <c r="B22" t="inlineStr"/>
      <c r="C22" s="15" t="inlineStr">
        <is>
          <t>검토 완료</t>
        </is>
      </c>
    </row>
    <row r="23" ht="24" customHeight="1">
      <c r="A23" s="15" t="inlineStr">
        <is>
          <t>품질 점검</t>
        </is>
      </c>
      <c r="B23" t="inlineStr"/>
      <c r="C23" s="15" t="inlineStr">
        <is>
          <t>검토 완료</t>
        </is>
      </c>
    </row>
    <row r="24" ht="24" customHeight="1">
      <c r="A24" s="15" t="inlineStr">
        <is>
          <t>품질 점검</t>
        </is>
      </c>
      <c r="B24" t="inlineStr"/>
      <c r="C24" s="15" t="inlineStr">
        <is>
          <t>검토 완료</t>
        </is>
      </c>
    </row>
    <row r="25" ht="24" customHeight="1">
      <c r="A25" s="15" t="inlineStr">
        <is>
          <t>품질 점검</t>
        </is>
      </c>
      <c r="B25" t="inlineStr"/>
      <c r="C25" s="15" t="inlineStr">
        <is>
          <t>검토 완료</t>
        </is>
      </c>
    </row>
    <row r="26" ht="24" customHeight="1">
      <c r="A26" s="15" t="inlineStr">
        <is>
          <t>품질 점검</t>
        </is>
      </c>
      <c r="B26" t="inlineStr"/>
      <c r="C26" s="15" t="inlineStr">
        <is>
          <t>검토 완료</t>
        </is>
      </c>
    </row>
    <row r="27" ht="24" customHeight="1">
      <c r="A27" s="15" t="inlineStr">
        <is>
          <t>품질 점검</t>
        </is>
      </c>
      <c r="B27" t="inlineStr"/>
      <c r="C27" s="15" t="inlineStr">
        <is>
          <t>검토 완료</t>
        </is>
      </c>
    </row>
    <row r="28" ht="24" customHeight="1">
      <c r="A28" s="15" t="inlineStr">
        <is>
          <t>품질 점검</t>
        </is>
      </c>
      <c r="B28" t="inlineStr"/>
      <c r="C28" s="15" t="inlineStr">
        <is>
          <t>검토 완료</t>
        </is>
      </c>
    </row>
    <row r="29" ht="24" customHeight="1"/>
    <row r="30" ht="24" customHeight="1">
      <c r="A30" s="12" t="inlineStr">
        <is>
          <t>항목</t>
        </is>
      </c>
      <c r="B30" s="12" t="inlineStr">
        <is>
          <t>점수</t>
        </is>
      </c>
      <c r="E30" s="15" t="inlineStr">
        <is>
          <t>범위</t>
        </is>
      </c>
      <c r="F30" s="15" t="inlineStr">
        <is>
          <t>기업 수</t>
        </is>
      </c>
    </row>
    <row r="31" ht="24" customHeight="1">
      <c r="A31" s="15" t="inlineStr">
        <is>
          <t>DCF 안전마진</t>
        </is>
      </c>
      <c r="B31" s="15" t="n">
        <v>-0.16</v>
      </c>
      <c r="E31" s="15" t="inlineStr">
        <is>
          <t>전체 반도체 비교군</t>
        </is>
      </c>
      <c r="F31" s="15" t="n">
        <v>208</v>
      </c>
    </row>
    <row r="32" ht="24" customHeight="1">
      <c r="A32" s="15" t="inlineStr">
        <is>
          <t>종합 가치평가</t>
        </is>
      </c>
      <c r="B32" s="15" t="n">
        <v>47.15</v>
      </c>
      <c r="E32" s="15" t="inlineStr">
        <is>
          <t>동일 세부군</t>
        </is>
      </c>
      <c r="F32" s="15" t="n">
        <v>40</v>
      </c>
    </row>
    <row r="33" ht="24" customHeight="1">
      <c r="A33" s="15" t="inlineStr">
        <is>
          <t>보조 점수</t>
        </is>
      </c>
      <c r="B33" s="15" t="n">
        <v>53.4</v>
      </c>
      <c r="E33" s="15" t="inlineStr">
        <is>
          <t>선택기업</t>
        </is>
      </c>
      <c r="F33" s="15" t="n">
        <v>1</v>
      </c>
    </row>
    <row r="34" ht="24" customHeight="1">
      <c r="A34" s="15" t="inlineStr">
        <is>
          <t>데이터 검증</t>
        </is>
      </c>
      <c r="B34" s="15" t="n">
        <v>100</v>
      </c>
    </row>
    <row r="35" ht="24" customHeight="1"/>
    <row r="36" ht="24" customHeight="1"/>
    <row r="37" ht="24" customHeight="1"/>
    <row r="38" ht="24" customHeight="1"/>
  </sheetData>
  <mergeCells count="4">
    <mergeCell ref="A9:H11"/>
    <mergeCell ref="A8:H8"/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5" customWidth="1" min="1" max="1"/>
    <col width="18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DB하이텍 독립 가치평가 대시보드</t>
        </is>
      </c>
    </row>
    <row r="2" ht="28" customHeight="1">
      <c r="A2" s="17" t="inlineStr">
        <is>
          <t>DCF · WACC · 피어 비교 · 주가/민감도 · ML 보조판단 · 검증체크 자동 생성</t>
        </is>
      </c>
    </row>
    <row r="3" ht="24" customHeight="1"/>
    <row r="4" ht="24" customHeight="1">
      <c r="A4" s="18" t="inlineStr">
        <is>
          <t>WACC</t>
        </is>
      </c>
      <c r="B4" s="19" t="n"/>
      <c r="C4" s="18" t="inlineStr">
        <is>
          <t>DCF 기업가치</t>
        </is>
      </c>
      <c r="D4" s="19" t="n"/>
      <c r="E4" s="18" t="inlineStr">
        <is>
          <t>DCF 지분가치</t>
        </is>
      </c>
      <c r="F4" s="19" t="n"/>
      <c r="G4" s="18" t="inlineStr">
        <is>
          <t>내재주가</t>
        </is>
      </c>
      <c r="H4" s="19" t="n"/>
      <c r="I4" s="18" t="inlineStr">
        <is>
          <t>괴리율</t>
        </is>
      </c>
      <c r="J4" s="19" t="n"/>
      <c r="K4" s="18" t="inlineStr">
        <is>
          <t>검증 상태</t>
        </is>
      </c>
      <c r="L4" s="19" t="n"/>
    </row>
    <row r="5" ht="24" customHeight="1">
      <c r="A5" s="20" t="inlineStr">
        <is>
          <t>13.3%</t>
        </is>
      </c>
      <c r="B5" s="19" t="n"/>
      <c r="C5" s="20" t="inlineStr">
        <is>
          <t>27,624.5억원</t>
        </is>
      </c>
      <c r="D5" s="19" t="n"/>
      <c r="E5" s="20" t="inlineStr">
        <is>
          <t>23,369.2억원</t>
        </is>
      </c>
      <c r="F5" s="19" t="n"/>
      <c r="G5" s="20" t="inlineStr">
        <is>
          <t>53,578원</t>
        </is>
      </c>
      <c r="H5" s="19" t="n"/>
      <c r="I5" s="20" t="inlineStr">
        <is>
          <t>-65.6%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시장가중/장부가중 혼합</t>
        </is>
      </c>
      <c r="B6" s="19" t="n"/>
      <c r="C6" s="21" t="inlineStr">
        <is>
          <t>EV 기준</t>
        </is>
      </c>
      <c r="D6" s="19" t="n"/>
      <c r="E6" s="21" t="inlineStr">
        <is>
          <t>EV + 현금 - 부채 proxy</t>
        </is>
      </c>
      <c r="F6" s="19" t="n"/>
      <c r="G6" s="21" t="inlineStr">
        <is>
          <t>발행주식 수 기준</t>
        </is>
      </c>
      <c r="H6" s="19" t="n"/>
      <c r="I6" s="21" t="inlineStr">
        <is>
          <t>현재가 대비</t>
        </is>
      </c>
      <c r="J6" s="19" t="n"/>
      <c r="K6" s="21" t="inlineStr">
        <is>
          <t>가치평가 보조근거 우호</t>
        </is>
      </c>
      <c r="L6" s="19" t="n"/>
    </row>
    <row r="7" ht="24" customHeight="1">
      <c r="A7" s="18" t="inlineStr">
        <is>
          <t>현재가</t>
        </is>
      </c>
      <c r="B7" s="19" t="n"/>
      <c r="C7" s="18" t="inlineStr">
        <is>
          <t>1년 수익률</t>
        </is>
      </c>
      <c r="D7" s="19" t="n"/>
      <c r="E7" s="18" t="inlineStr">
        <is>
          <t>MDD</t>
        </is>
      </c>
      <c r="F7" s="19" t="n"/>
      <c r="G7" s="18" t="inlineStr">
        <is>
          <t>변동성</t>
        </is>
      </c>
      <c r="H7" s="19" t="n"/>
      <c r="I7" s="18" t="inlineStr">
        <is>
          <t>주가 행 수</t>
        </is>
      </c>
      <c r="J7" s="19" t="n"/>
      <c r="K7" s="18" t="inlineStr">
        <is>
          <t>52주 범위</t>
        </is>
      </c>
      <c r="L7" s="19" t="n"/>
    </row>
    <row r="8" ht="24" customHeight="1">
      <c r="A8" s="20" t="inlineStr">
        <is>
          <t>155,800원</t>
        </is>
      </c>
      <c r="B8" s="19" t="n"/>
      <c r="C8" s="20" t="inlineStr">
        <is>
          <t>295.4%</t>
        </is>
      </c>
      <c r="D8" s="19" t="n"/>
      <c r="E8" s="20" t="inlineStr">
        <is>
          <t>-65.6%</t>
        </is>
      </c>
      <c r="F8" s="19" t="n"/>
      <c r="G8" s="20" t="inlineStr">
        <is>
          <t>52.9%</t>
        </is>
      </c>
      <c r="H8" s="19" t="n"/>
      <c r="I8" s="20" t="inlineStr">
        <is>
          <t>1,222행</t>
        </is>
      </c>
      <c r="J8" s="19" t="n"/>
      <c r="K8" s="20" t="inlineStr">
        <is>
          <t>38,100원~186,700원</t>
        </is>
      </c>
      <c r="L8" s="19" t="n"/>
    </row>
    <row r="9" ht="24" customHeight="1">
      <c r="A9" s="21" t="inlineStr">
        <is>
          <t>주가 intake</t>
        </is>
      </c>
      <c r="B9" s="19" t="n"/>
      <c r="C9" s="21" t="inlineStr">
        <is>
          <t>최근 약 1년</t>
        </is>
      </c>
      <c r="D9" s="19" t="n"/>
      <c r="E9" s="21" t="inlineStr">
        <is>
          <t>최대 낙폭</t>
        </is>
      </c>
      <c r="F9" s="19" t="n"/>
      <c r="G9" s="21" t="inlineStr">
        <is>
          <t>연환산</t>
        </is>
      </c>
      <c r="H9" s="19" t="n"/>
      <c r="I9" s="21" t="inlineStr">
        <is>
          <t>차트/대시보드 원천</t>
        </is>
      </c>
      <c r="J9" s="19" t="n"/>
      <c r="K9" s="21" t="inlineStr">
        <is>
          <t>저가~고가</t>
        </is>
      </c>
      <c r="L9" s="19" t="n"/>
    </row>
    <row r="10" ht="24" customHeight="1">
      <c r="A10" s="18" t="inlineStr">
        <is>
          <t>시가총액</t>
        </is>
      </c>
      <c r="B10" s="19" t="n"/>
      <c r="C10" s="18" t="inlineStr">
        <is>
          <t>발행주식 수</t>
        </is>
      </c>
      <c r="D10" s="19" t="n"/>
      <c r="E10" s="18" t="inlineStr">
        <is>
          <t>20일 평균 거래대금</t>
        </is>
      </c>
      <c r="F10" s="19" t="n"/>
      <c r="G10" s="18" t="inlineStr">
        <is>
          <t>최근 거래회전율</t>
        </is>
      </c>
      <c r="H10" s="19" t="n"/>
      <c r="I10" s="18" t="inlineStr">
        <is>
          <t>ML 보조점수</t>
        </is>
      </c>
      <c r="J10" s="19" t="n"/>
      <c r="K10" s="18" t="inlineStr">
        <is>
          <t>Peer 수</t>
        </is>
      </c>
      <c r="L10" s="19" t="n"/>
    </row>
    <row r="11" ht="24" customHeight="1">
      <c r="A11" s="20" t="inlineStr">
        <is>
          <t>67,955.5억원</t>
        </is>
      </c>
      <c r="B11" s="19" t="n"/>
      <c r="C11" s="20" t="inlineStr">
        <is>
          <t>43,617,167주</t>
        </is>
      </c>
      <c r="D11" s="19" t="n"/>
      <c r="E11" s="20" t="inlineStr">
        <is>
          <t>1,234.0억원</t>
        </is>
      </c>
      <c r="F11" s="19" t="n"/>
      <c r="G11" s="20" t="inlineStr">
        <is>
          <t>0.4%</t>
        </is>
      </c>
      <c r="H11" s="19" t="n"/>
      <c r="I11" s="20" t="inlineStr">
        <is>
          <t>71.5/100</t>
        </is>
      </c>
      <c r="J11" s="19" t="n"/>
      <c r="K11" s="20" t="inlineStr">
        <is>
          <t>5개</t>
        </is>
      </c>
      <c r="L11" s="19" t="n"/>
    </row>
    <row r="12" ht="24" customHeight="1">
      <c r="A12" s="21" t="inlineStr">
        <is>
          <t>현재가×발행주식 수</t>
        </is>
      </c>
      <c r="B12" s="19" t="n"/>
      <c r="C12" s="21" t="inlineStr">
        <is>
          <t>DART stockTotqySttus</t>
        </is>
      </c>
      <c r="D12" s="19" t="n"/>
      <c r="E12" s="21" t="inlineStr">
        <is>
          <t>유동성 proxy</t>
        </is>
      </c>
      <c r="F12" s="19" t="n"/>
      <c r="G12" s="21" t="inlineStr">
        <is>
          <t>거래량/주식 수</t>
        </is>
      </c>
      <c r="H12" s="19" t="n"/>
      <c r="I12" s="21" t="inlineStr">
        <is>
          <t>가치평가 보조근거 우호</t>
        </is>
      </c>
      <c r="J12" s="19" t="n"/>
      <c r="K12" s="21" t="inlineStr">
        <is>
          <t>상대가치 비교</t>
        </is>
      </c>
      <c r="L12" s="19" t="n"/>
    </row>
    <row r="13" ht="24" customHeight="1">
      <c r="A13" s="18" t="inlineStr">
        <is>
          <t>P/S</t>
        </is>
      </c>
      <c r="B13" s="19" t="n"/>
      <c r="C13" s="18" t="inlineStr">
        <is>
          <t>Peer P/S 중앙값</t>
        </is>
      </c>
      <c r="D13" s="19" t="n"/>
      <c r="E13" s="18" t="inlineStr">
        <is>
          <t>P/S 매력도</t>
        </is>
      </c>
      <c r="F13" s="19" t="n"/>
      <c r="G13" s="18" t="inlineStr">
        <is>
          <t>208개 Universe</t>
        </is>
      </c>
      <c r="H13" s="19" t="n"/>
      <c r="I13" s="18" t="inlineStr">
        <is>
          <t>Reference 그룹</t>
        </is>
      </c>
      <c r="J13" s="19" t="n"/>
      <c r="K13" s="18" t="inlineStr">
        <is>
          <t>PSR/Universe</t>
        </is>
      </c>
      <c r="L13" s="19" t="n"/>
    </row>
    <row r="14" ht="24" customHeight="1">
      <c r="A14" s="20" t="inlineStr">
        <is>
          <t>1.19x</t>
        </is>
      </c>
      <c r="B14" s="19" t="n"/>
      <c r="C14" s="20" t="inlineStr">
        <is>
          <t>3.54x</t>
        </is>
      </c>
      <c r="D14" s="19" t="n"/>
      <c r="E14" s="20" t="inlineStr">
        <is>
          <t>100.0점</t>
        </is>
      </c>
      <c r="F14" s="19" t="n"/>
      <c r="G14" s="20" t="inlineStr">
        <is>
          <t>208개</t>
        </is>
      </c>
      <c r="H14" s="19" t="n"/>
      <c r="I14" s="20" t="inlineStr">
        <is>
          <t>IDM/제조/메모리</t>
        </is>
      </c>
      <c r="J14" s="19" t="n"/>
      <c r="K14" s="20" t="inlineStr">
        <is>
          <t>반영</t>
        </is>
      </c>
      <c r="L14" s="19" t="n"/>
    </row>
    <row r="15" ht="24" customHeight="1">
      <c r="A15" s="21" t="inlineStr">
        <is>
          <t>피어 대비 저PSR 구간: 상대 저평가 가능성</t>
        </is>
      </c>
      <c r="B15" s="19" t="n"/>
      <c r="C15" s="21" t="inlineStr">
        <is>
          <t>5개 live peer 기준</t>
        </is>
      </c>
      <c r="D15" s="19" t="n"/>
      <c r="E15" s="21" t="inlineStr">
        <is>
          <t>낮은 P/S일수록 점수 우호</t>
        </is>
      </c>
      <c r="F15" s="19" t="n"/>
      <c r="G15" s="21" t="inlineStr">
        <is>
          <t>IDM/제조/메모리</t>
        </is>
      </c>
      <c r="H15" s="19" t="n"/>
      <c r="I15" s="21" t="inlineStr">
        <is>
          <t>그룹 40개</t>
        </is>
      </c>
      <c r="J15" s="19" t="n"/>
      <c r="K15" s="21" t="inlineStr">
        <is>
          <t>대시보드/Chair 보조판단</t>
        </is>
      </c>
      <c r="L15" s="19" t="n"/>
    </row>
    <row r="16" ht="24" customHeight="1"/>
    <row r="17" ht="24" customHeight="1"/>
    <row r="18" ht="24" customHeight="1"/>
    <row r="19" ht="24" customHeight="1">
      <c r="A19" s="22" t="inlineStr">
        <is>
          <t>핵심 해석</t>
        </is>
      </c>
    </row>
    <row r="20" ht="24" customHeight="1">
      <c r="A20" s="23" t="inlineStr">
        <is>
          <t>데이터 독립성</t>
        </is>
      </c>
      <c r="B20" s="24" t="inlineStr">
        <is>
          <t>finance_agent 산출물을 읽지 않고 valuation/intake 원천 데이터만 사용</t>
        </is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 ht="24" customHeight="1">
      <c r="A21" s="23" t="inlineStr">
        <is>
          <t>모델 구조</t>
        </is>
      </c>
      <c r="B21" s="24" t="inlineStr">
        <is>
          <t>업로드한 파이낸셜 모델링 파일의 구조를 DCF/WACC/Peer/Scenario/Dashboard 코드로 반영</t>
        </is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 ht="24" customHeight="1">
      <c r="A22" s="23" t="inlineStr">
        <is>
          <t>활용 방식</t>
        </is>
      </c>
      <c r="B22" s="24" t="inlineStr">
        <is>
          <t>Chair 최종의견 가중합에는 미반영, 보조 가치평가 및 대시보드 다운로드 산출물로 활용</t>
        </is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 ht="24" customHeight="1">
      <c r="A23" s="23" t="inlineStr">
        <is>
          <t>주의</t>
        </is>
      </c>
      <c r="B23" s="24" t="inlineStr">
        <is>
          <t>DART·주가·발행주식 수가 부족한 항목은 검증체크 시트에서 경고로 표시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>
      <c r="A31" s="25" t="inlineStr">
        <is>
          <t>연도</t>
        </is>
      </c>
      <c r="B31" s="25" t="inlineStr">
        <is>
          <t>매출액</t>
        </is>
      </c>
      <c r="C31" s="25" t="inlineStr">
        <is>
          <t>영업이익</t>
        </is>
      </c>
      <c r="D31" s="25" t="inlineStr">
        <is>
          <t>FCF</t>
        </is>
      </c>
      <c r="E31" s="25" t="inlineStr">
        <is>
          <t>연도</t>
        </is>
      </c>
      <c r="F31" s="25" t="inlineStr">
        <is>
          <t>매출액 추정</t>
        </is>
      </c>
      <c r="G31" s="25" t="inlineStr">
        <is>
          <t>FCF 추정</t>
        </is>
      </c>
      <c r="H31" s="25" t="inlineStr">
        <is>
          <t>PV FCF</t>
        </is>
      </c>
      <c r="I31" s="25" t="inlineStr">
        <is>
          <t>기업</t>
        </is>
      </c>
      <c r="J31" s="25" t="inlineStr">
        <is>
          <t>P/S</t>
        </is>
      </c>
      <c r="K31" s="25" t="inlineStr">
        <is>
          <t>PER</t>
        </is>
      </c>
      <c r="L31" s="25" t="inlineStr">
        <is>
          <t>PBR</t>
        </is>
      </c>
    </row>
    <row r="32" ht="24" customHeight="1">
      <c r="A32" s="26" t="n">
        <v>2021</v>
      </c>
      <c r="B32" s="27" t="n">
        <v>1214682040178</v>
      </c>
      <c r="C32" s="27" t="n">
        <v>399106778303</v>
      </c>
      <c r="D32" s="27" t="n">
        <v>259516976748</v>
      </c>
      <c r="E32" s="26" t="n">
        <v>2026</v>
      </c>
      <c r="F32" s="27" t="n">
        <v>1365733489742.709</v>
      </c>
      <c r="G32" s="27" t="n">
        <v>341433372435.6773</v>
      </c>
      <c r="H32" s="27" t="n">
        <v>301364498322.405</v>
      </c>
      <c r="I32" s="26" t="inlineStr">
        <is>
          <t>네패스</t>
        </is>
      </c>
      <c r="J32" s="28" t="n">
        <v>1.187366562371241</v>
      </c>
      <c r="K32" s="28" t="n">
        <v>30.71308358208703</v>
      </c>
      <c r="L32" s="28" t="n">
        <v>2.522723830348066</v>
      </c>
    </row>
    <row r="33" ht="24" customHeight="1">
      <c r="A33" s="26" t="n">
        <v>2022</v>
      </c>
      <c r="B33" s="27" t="n">
        <v>1675287533666</v>
      </c>
      <c r="C33" s="27" t="n">
        <v>768746685740</v>
      </c>
      <c r="D33" s="27" t="n">
        <v>550123876703</v>
      </c>
      <c r="E33" s="26" t="n">
        <v>2027</v>
      </c>
      <c r="F33" s="27" t="n">
        <v>1347762736237.394</v>
      </c>
      <c r="G33" s="27" t="n">
        <v>336940684059.3485</v>
      </c>
      <c r="H33" s="27" t="n">
        <v>262497817732.0064</v>
      </c>
      <c r="I33" s="26" t="inlineStr">
        <is>
          <t>한미반도체</t>
        </is>
      </c>
      <c r="J33" s="28" t="n">
        <v>48.34326693655601</v>
      </c>
      <c r="K33" s="28" t="n">
        <v>130.2702577876315</v>
      </c>
      <c r="L33" s="28" t="n">
        <v>40.38491543651369</v>
      </c>
    </row>
    <row r="34" ht="24" customHeight="1">
      <c r="A34" s="26" t="n">
        <v>2023</v>
      </c>
      <c r="B34" s="27" t="n">
        <v>1154223638940</v>
      </c>
      <c r="C34" s="27" t="n">
        <v>265437456373</v>
      </c>
      <c r="D34" s="27" t="n">
        <v>217970669636</v>
      </c>
      <c r="E34" s="26" t="n">
        <v>2028</v>
      </c>
      <c r="F34" s="27" t="n">
        <v>1342678690823.217</v>
      </c>
      <c r="G34" s="27" t="n">
        <v>335669672705.8043</v>
      </c>
      <c r="H34" s="27" t="n">
        <v>230818423871.6989</v>
      </c>
      <c r="I34" s="26" t="inlineStr">
        <is>
          <t>한솔케미칼</t>
        </is>
      </c>
      <c r="J34" s="28" t="n">
        <v>3.535962270359559</v>
      </c>
      <c r="K34" s="28" t="n">
        <v>21.10023791104171</v>
      </c>
      <c r="L34" s="28" t="n">
        <v>2.655032075979804</v>
      </c>
    </row>
    <row r="35" ht="24" customHeight="1">
      <c r="A35" s="26" t="n">
        <v>2024</v>
      </c>
      <c r="B35" s="27" t="n">
        <v>1131167709804</v>
      </c>
      <c r="C35" s="27" t="n">
        <v>190838683363</v>
      </c>
      <c r="D35" s="27" t="n">
        <v>375791789654</v>
      </c>
      <c r="E35" s="26" t="n">
        <v>2029</v>
      </c>
      <c r="F35" s="27" t="n">
        <v>1350216347343.312</v>
      </c>
      <c r="G35" s="27" t="n">
        <v>337554086835.8279</v>
      </c>
      <c r="H35" s="27" t="n">
        <v>204874477273.6332</v>
      </c>
      <c r="I35" s="26" t="inlineStr">
        <is>
          <t>덕산테코피아</t>
        </is>
      </c>
      <c r="J35" s="28" t="n">
        <v>3.763575707373152</v>
      </c>
      <c r="K35" s="28" t="n">
        <v>-3.996359858367452</v>
      </c>
      <c r="L35" s="28" t="n">
        <v>3.961635199664236</v>
      </c>
    </row>
    <row r="36" ht="24" customHeight="1">
      <c r="A36" s="26" t="n">
        <v>2025</v>
      </c>
      <c r="B36" s="27" t="n">
        <v>1397233307039</v>
      </c>
      <c r="C36" s="27" t="n">
        <v>277294561174</v>
      </c>
      <c r="D36" s="27" t="n">
        <v>348803149715</v>
      </c>
      <c r="E36" s="26" t="n">
        <v>2030</v>
      </c>
      <c r="F36" s="27" t="n">
        <v>1370469592553.461</v>
      </c>
      <c r="G36" s="27" t="n">
        <v>342617398138.3654</v>
      </c>
      <c r="H36" s="27" t="n">
        <v>183543928428.9029</v>
      </c>
      <c r="I36" s="26" t="inlineStr">
        <is>
          <t>엘티씨</t>
        </is>
      </c>
      <c r="J36" s="28" t="n">
        <v>1.368230552623407</v>
      </c>
      <c r="K36" s="28" t="n">
        <v>23.34722774772605</v>
      </c>
      <c r="L36" s="28" t="n">
        <v>1.898094020206463</v>
      </c>
    </row>
  </sheetData>
  <mergeCells count="79">
    <mergeCell ref="C6:D6"/>
    <mergeCell ref="A15:B15"/>
    <mergeCell ref="C15:D15"/>
    <mergeCell ref="B22:L22"/>
    <mergeCell ref="E8:F8"/>
    <mergeCell ref="A7:B7"/>
    <mergeCell ref="B21:L21"/>
    <mergeCell ref="B23:L23"/>
    <mergeCell ref="I13:J13"/>
    <mergeCell ref="A9:B9"/>
    <mergeCell ref="K13:L13"/>
    <mergeCell ref="E12:F12"/>
    <mergeCell ref="G12:H12"/>
    <mergeCell ref="I6:J6"/>
    <mergeCell ref="I15:J15"/>
    <mergeCell ref="A11:B11"/>
    <mergeCell ref="K15:L15"/>
    <mergeCell ref="C5:D5"/>
    <mergeCell ref="E5:F5"/>
    <mergeCell ref="C14:D14"/>
    <mergeCell ref="E14:F14"/>
    <mergeCell ref="C4:D4"/>
    <mergeCell ref="E4:F4"/>
    <mergeCell ref="G7:H7"/>
    <mergeCell ref="I7:J7"/>
    <mergeCell ref="I8:J8"/>
    <mergeCell ref="A8:B8"/>
    <mergeCell ref="C8:D8"/>
    <mergeCell ref="I10:J10"/>
    <mergeCell ref="A10:B10"/>
    <mergeCell ref="K10:L10"/>
    <mergeCell ref="K6:L6"/>
    <mergeCell ref="G9:H9"/>
    <mergeCell ref="I9:J9"/>
    <mergeCell ref="G11:H11"/>
    <mergeCell ref="K9:L9"/>
    <mergeCell ref="I11:J11"/>
    <mergeCell ref="K5:L5"/>
    <mergeCell ref="A2:L2"/>
    <mergeCell ref="K11:L11"/>
    <mergeCell ref="E13:F13"/>
    <mergeCell ref="G13:H13"/>
    <mergeCell ref="A12:B12"/>
    <mergeCell ref="C12:D12"/>
    <mergeCell ref="E6:F6"/>
    <mergeCell ref="E15:F15"/>
    <mergeCell ref="K8:L8"/>
    <mergeCell ref="G15:H15"/>
    <mergeCell ref="A5:B5"/>
    <mergeCell ref="A14:B14"/>
    <mergeCell ref="A4:B4"/>
    <mergeCell ref="K7:L7"/>
    <mergeCell ref="C7:D7"/>
    <mergeCell ref="E7:F7"/>
    <mergeCell ref="B20:L20"/>
    <mergeCell ref="G8:H8"/>
    <mergeCell ref="A6:B6"/>
    <mergeCell ref="C10:D10"/>
    <mergeCell ref="E10:F10"/>
    <mergeCell ref="G10:H10"/>
    <mergeCell ref="G6:H6"/>
    <mergeCell ref="C9:D9"/>
    <mergeCell ref="E9:F9"/>
    <mergeCell ref="I12:J12"/>
    <mergeCell ref="K12:L12"/>
    <mergeCell ref="A19:L19"/>
    <mergeCell ref="C11:D11"/>
    <mergeCell ref="E11:F11"/>
    <mergeCell ref="G5:H5"/>
    <mergeCell ref="I5:J5"/>
    <mergeCell ref="G14:H14"/>
    <mergeCell ref="I14:J14"/>
    <mergeCell ref="K14:L14"/>
    <mergeCell ref="G4:H4"/>
    <mergeCell ref="I4:J4"/>
    <mergeCell ref="A1:L1"/>
    <mergeCell ref="A13:B13"/>
    <mergeCell ref="C13:D13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DB하이텍 Valuation Agent Workbook</t>
        </is>
      </c>
    </row>
    <row r="2" ht="28" customHeight="1">
      <c r="A2" s="17" t="inlineStr">
        <is>
          <t>독립 데이터 intake → 모델링 → 검증 → 대시보드 export</t>
        </is>
      </c>
    </row>
    <row r="3" ht="24" customHeight="1"/>
    <row r="4" ht="24" customHeight="1">
      <c r="A4" s="22" t="inlineStr">
        <is>
          <t>사용 안내</t>
        </is>
      </c>
    </row>
    <row r="5" ht="24" customHeight="1">
      <c r="A5" s="25" t="inlineStr">
        <is>
          <t>항목</t>
        </is>
      </c>
      <c r="B5" s="25" t="inlineStr">
        <is>
          <t>내용</t>
        </is>
      </c>
    </row>
    <row r="6" ht="24" customHeight="1">
      <c r="A6" s="24" t="inlineStr">
        <is>
          <t>목적</t>
        </is>
      </c>
      <c r="B6" s="24" t="inlineStr">
        <is>
          <t>DART/주가/발행주식 수/피어 데이터를 intake하여 WACC·DCF·Peer·ML overlay·대시보드 payload를 자동 생성</t>
        </is>
      </c>
    </row>
    <row r="7" ht="24" customHeight="1">
      <c r="A7" s="29" t="inlineStr">
        <is>
          <t>Finance Agent와 관계</t>
        </is>
      </c>
      <c r="B7" s="29" t="inlineStr">
        <is>
          <t>finance_agent 산출물을 읽지 않음. valuation/intake 폴더의 자체 데이터만 사용</t>
        </is>
      </c>
    </row>
    <row r="8" ht="24" customHeight="1">
      <c r="A8" s="24" t="inlineStr">
        <is>
          <t>모델링 구조</t>
        </is>
      </c>
      <c r="B8" s="24" t="inlineStr">
        <is>
          <t>업로드한 파이낸셜 모델링 파일의 sheet archetype을 코드화하여 workbook 구조로 반영</t>
        </is>
      </c>
    </row>
    <row r="9" ht="24" customHeight="1">
      <c r="A9" s="29" t="inlineStr">
        <is>
          <t>PSR/208개 Universe</t>
        </is>
      </c>
      <c r="B9" s="29" t="inlineStr">
        <is>
          <t>Live peer P/S와 208개 반도체 reference universe를 별도 시트와 대시보드 payload로 제공</t>
        </is>
      </c>
    </row>
    <row r="10" ht="24" customHeight="1">
      <c r="A10" s="24" t="inlineStr">
        <is>
          <t>단위</t>
        </is>
      </c>
      <c r="B10" s="24" t="inlineStr">
        <is>
          <t>원천 데이터는 KRW actuals, 요약 표시는 억원/원/배수/비율 형식</t>
        </is>
      </c>
    </row>
    <row r="11" ht="24" customHeight="1">
      <c r="A11" s="29" t="inlineStr">
        <is>
          <t>색상 규칙</t>
        </is>
      </c>
      <c r="B11" s="29" t="inlineStr">
        <is>
          <t>노란색/파란 글씨는 조정 가능한 입력값, 검은 글씨는 공식, 진한 남색은 섹션/헤더</t>
        </is>
      </c>
    </row>
  </sheetData>
  <autoFilter ref="A5:B11"/>
  <mergeCells count="3">
    <mergeCell ref="A2:H2"/>
    <mergeCell ref="A4:F4"/>
    <mergeCell ref="A1:H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데이터 출처 맵</t>
        </is>
      </c>
    </row>
    <row r="2" ht="24" customHeight="1">
      <c r="A2" s="25" t="inlineStr">
        <is>
          <t>created_at</t>
        </is>
      </c>
      <c r="B2" s="25" t="inlineStr">
        <is>
          <t>기업명</t>
        </is>
      </c>
      <c r="C2" s="25" t="inlineStr">
        <is>
          <t>기업코드</t>
        </is>
      </c>
      <c r="D2" s="25" t="inlineStr">
        <is>
          <t>종목코드</t>
        </is>
      </c>
      <c r="E2" s="25" t="inlineStr">
        <is>
          <t>principle</t>
        </is>
      </c>
      <c r="F2" s="25" t="inlineStr">
        <is>
          <t>template_design_seed</t>
        </is>
      </c>
      <c r="G2" s="25" t="inlineStr">
        <is>
          <t>canonical_workbook_tabs</t>
        </is>
      </c>
      <c r="H2" s="25" t="inlineStr">
        <is>
          <t>files</t>
        </is>
      </c>
      <c r="I2" s="25" t="inlineStr">
        <is>
          <t>diagnostics</t>
        </is>
      </c>
      <c r="J2" s="25" t="inlineStr">
        <is>
          <t>loader_diagnostics</t>
        </is>
      </c>
    </row>
    <row r="3" ht="24" customHeight="1">
      <c r="A3" s="24" t="inlineStr">
        <is>
          <t>2026-05-20T11:13:50</t>
        </is>
      </c>
      <c r="B3" s="24" t="inlineStr">
        <is>
          <t>DB하이텍</t>
        </is>
      </c>
      <c r="C3" s="24" t="inlineStr">
        <is>
          <t>dbhitek</t>
        </is>
      </c>
      <c r="D3" s="24" t="inlineStr">
        <is>
          <t>000990</t>
        </is>
      </c>
      <c r="E3" s="24" t="inlineStr">
        <is>
          <t>independent_valuation_agent_intake_only; does not read finance_agent outputs</t>
        </is>
      </c>
      <c r="F3" s="24" t="inlineStr">
        <is>
          <t>uploaded_financial_modeling_packs_distilled_to_blueprints</t>
        </is>
      </c>
      <c r="G3" s="24" t="inlineStr">
        <is>
          <t>["00_대시보드", "01_사용안내", "02_출처맵", "03_원천_DART", "04_주가_데이터", "05_정규재무제표", "06_핵심비율", "07_WACC", "08_FCF_추정", "09_DCF_가치평가", "10_피어비교", "11_ML_보조판단", "12_민감도", "13_검증체크", "14_대시보드_JSON", "15_감사추적", "16_모델링_설계", "17_투자자요약", "18_밸류에이션_유니버스", "19_가치평가_브릿지", "20_시나리오_요약", "21_품질_커버리지"]</t>
        </is>
      </c>
      <c r="H3" s="24" t="inlineStr">
        <is>
          <t>{"template_catalog_csv": "data/반도체/DB하이텍/valuation/intake/valuation_modeling_template_catalog.csv", "template_catalog_json": "data/반도체/DB하이텍/valuation/intake/valuation_modeling_template_catalog.json", "raw_dart_accounts_csv": "data/반도체/DB하이텍/valuation/intake/valuation_raw_dart_accounts.csv", "normalized_financials_csv": "data/반도체/DB하이텍/valuation/intake/valuation_normalized_financials.csv", "price_history_csv": "data/반도체/DB하이텍/valuation/intake/valuation_price_history.csv", "share_count_csv": "data/반도체/DB하이텍/valuation/intake/valuation_share_count.csv", "price_summary_json": "data/반도체/DB하이텍/valuation/intake/valuation_price_summary.json", "market_snapshot_json": "data/반도체/DB하이텍/valuation/intake/valuation_market_snapshot.json", "market_snapshot_csv": "data/반도체/DB하이텍/valuation/intake/valuation_market_snapshot.csv", "peer_input_csv": "data/반도체/DB하이텍/valuation/intake/valuation_peer_input.csv", "assumptions_json": "data/반도체/DB하이텍/valuation/intake/valuation_assumptions.json", "reference_universe_208_csv": "data/반도체/DB하이텍/valuation/intake/valuation_reference_universe_208.csv", "reference_universe_focus_csv": "data/반도체/DB하이텍/valuation/intake/valuation_reference_universe_focus.csv", "reference_universe_summary_json": "data/반도체/DB하이텍/valuation/intake/valuation_reference_universe_summary.json"}</t>
        </is>
      </c>
      <c r="I3" s="24" t="inlineStr">
        <is>
          <t>["DART API key detected for valuation intake.", "DART corp_code resolved from cache for DB하이텍/000990.", "DART financial rows collected: 2021=159, 2022=154, 2023=202, 2024=222, 2025=263", "yfinance price rows for 000990.KS: 1222", "price provider selected: yfinance, rows=1222", "DART corp_code resolved from cache for DB하이텍/000990.", "Naver market snapshot collected: per_naver, pbr_naver, eps_naver, dividend_yield_pct_naver, bps_naver", "peer:nepes: price provider selected: yfinance, rows=728", "peer:nepes: DART corp_code resolved from cache for 네패스/033640.", "peer:hanmi: price provider selected: yfinance, rows=728", "peer:hanmi: DART corp_code resolved from cache for 한미반도체/042700.", "peer:hansol: price provider selected: yfinance, rows=728", "peer:hansol: DART corp_code resolved from cache for 한솔케미칼/014680.", "peer:duksan: price provider selected: yfinance, rows=728", "peer:duksan: DART corp_code resolved from cache for 덕산테코피아/317330.", "peer:ltc: price provider selected: yfinance, rows=727", "peer:ltc: DART corp_code resolved from cache for 엘티씨/170920.", "Market snapshot enriched with live/derived metrics count=19."]</t>
        </is>
      </c>
      <c r="J3" s="24" t="inlineStr">
        <is>
          <t>{"price_history_loaded_rows": 1222, "price_history_loaded_from": "C:\\Agent_6.8\\data\\반도체\\DB하이텍\\valuation\\intake\\valuation_price_history.csv"}</t>
        </is>
      </c>
    </row>
    <row r="4" ht="24" customHeight="1"/>
    <row r="5" ht="24" customHeight="1"/>
    <row r="6" ht="24" customHeight="1">
      <c r="A6" s="22" t="inlineStr">
        <is>
          <t>발행주식 수 intake</t>
        </is>
      </c>
    </row>
    <row r="7" ht="24" customHeight="1">
      <c r="A7" s="25" t="inlineStr">
        <is>
          <t>출처</t>
        </is>
      </c>
      <c r="B7" s="25" t="inlineStr">
        <is>
          <t>DART 고유번호</t>
        </is>
      </c>
      <c r="C7" s="25" t="inlineStr">
        <is>
          <t>기업명</t>
        </is>
      </c>
      <c r="D7" s="25" t="inlineStr">
        <is>
          <t>기업코드</t>
        </is>
      </c>
      <c r="E7" s="25" t="inlineStr">
        <is>
          <t>종목코드</t>
        </is>
      </c>
      <c r="F7" s="25" t="inlineStr">
        <is>
          <t>연도</t>
        </is>
      </c>
      <c r="G7" s="25" t="inlineStr">
        <is>
          <t>share_class</t>
        </is>
      </c>
      <c r="H7" s="25" t="inlineStr">
        <is>
          <t>발행주식 수</t>
        </is>
      </c>
      <c r="I7" s="25" t="inlineStr">
        <is>
          <t>raw</t>
        </is>
      </c>
    </row>
    <row r="8" ht="24" customHeight="1">
      <c r="A8" s="24" t="inlineStr">
        <is>
          <t>OpenDART_stockTotqySttus</t>
        </is>
      </c>
      <c r="B8" s="24" t="inlineStr">
        <is>
          <t>00160843</t>
        </is>
      </c>
      <c r="C8" s="24" t="inlineStr">
        <is>
          <t>DB하이텍</t>
        </is>
      </c>
      <c r="D8" s="24" t="inlineStr">
        <is>
          <t>dbhitek</t>
        </is>
      </c>
      <c r="E8" s="24" t="inlineStr">
        <is>
          <t>000990</t>
        </is>
      </c>
      <c r="F8" s="24" t="inlineStr">
        <is>
          <t>2021</t>
        </is>
      </c>
      <c r="G8" s="24" t="inlineStr">
        <is>
          <t>보통주</t>
        </is>
      </c>
      <c r="H8" s="24" t="inlineStr">
        <is>
          <t>44398588.0</t>
        </is>
      </c>
      <c r="I8" s="24" t="inlineStr">
        <is>
          <t>{"rcept_no": "20220321001280", "corp_cls": "Y", "corp_code": "00160843", "corp_name": "DB하이텍", "se": "보통주", "isu_stock_totqy": "150,000,000", "now_to_isu_stock_totqy": "44,398,588", "now_to_dcrs_stock_totqy": "-", "redc": "-", "profit_incnr": "-", "rdmstk_repy": "-", "etc": "-", "istc_totqy": "44,398,588", "tesstk_co": "1,039,890", "distb_stock_co": "43,358,698", "stlm_dt": "2021-12-31"}</t>
        </is>
      </c>
    </row>
    <row r="9" ht="24" customHeight="1">
      <c r="A9" s="29" t="inlineStr">
        <is>
          <t>OpenDART_stockTotqySttus</t>
        </is>
      </c>
      <c r="B9" s="29" t="inlineStr">
        <is>
          <t>00160843</t>
        </is>
      </c>
      <c r="C9" s="29" t="inlineStr">
        <is>
          <t>DB하이텍</t>
        </is>
      </c>
      <c r="D9" s="29" t="inlineStr">
        <is>
          <t>dbhitek</t>
        </is>
      </c>
      <c r="E9" s="29" t="inlineStr">
        <is>
          <t>000990</t>
        </is>
      </c>
      <c r="F9" s="29" t="inlineStr">
        <is>
          <t>2021</t>
        </is>
      </c>
      <c r="G9" s="29" t="inlineStr">
        <is>
          <t>우선주</t>
        </is>
      </c>
      <c r="H9" s="29" t="inlineStr">
        <is>
          <t>112579.0</t>
        </is>
      </c>
      <c r="I9" s="29" t="inlineStr">
        <is>
          <t>{"rcept_no": "20220321001280", "corp_cls": "Y", "corp_code": "00160843", "corp_name": "DB하이텍", "se": "우선주", "isu_stock_totqy": "50,000,000", "now_to_isu_stock_totqy": "112,579", "now_to_dcrs_stock_totqy": "-", "redc": "-", "profit_incnr": "-", "rdmstk_repy": "-", "etc": "-", "istc_totqy": "112,579", "tesstk_co": "10,131", "distb_stock_co": "102,448", "stlm_dt": "2021-12-31"}</t>
        </is>
      </c>
    </row>
    <row r="10" ht="24" customHeight="1">
      <c r="A10" s="24" t="inlineStr">
        <is>
          <t>OpenDART_stockTotqySttus</t>
        </is>
      </c>
      <c r="B10" s="24" t="inlineStr">
        <is>
          <t>00160843</t>
        </is>
      </c>
      <c r="C10" s="24" t="inlineStr">
        <is>
          <t>DB하이텍</t>
        </is>
      </c>
      <c r="D10" s="24" t="inlineStr">
        <is>
          <t>dbhitek</t>
        </is>
      </c>
      <c r="E10" s="24" t="inlineStr">
        <is>
          <t>000990</t>
        </is>
      </c>
      <c r="F10" s="24" t="inlineStr">
        <is>
          <t>2021</t>
        </is>
      </c>
      <c r="G10" s="24" t="inlineStr">
        <is>
          <t>합계</t>
        </is>
      </c>
      <c r="H10" s="24" t="inlineStr">
        <is>
          <t>44511167.0</t>
        </is>
      </c>
      <c r="I10" s="24" t="inlineStr">
        <is>
          <t>{"rcept_no": "20220321001280", "corp_cls": "Y", "corp_code": "00160843", "corp_name": "DB하이텍", "se": "합계", "isu_stock_totqy": "200,000,000", "now_to_isu_stock_totqy": "44,511,167", "now_to_dcrs_stock_totqy": "-", "redc": "-", "profit_incnr": "-", "rdmstk_repy": "-", "etc": "-", "istc_totqy": "44,511,167", "tesstk_co": "1,050,021", "distb_stock_co": "43,461,146", "stlm_dt": "2021-12-31"}</t>
        </is>
      </c>
    </row>
    <row r="11" ht="24" customHeight="1">
      <c r="A11" s="29" t="inlineStr">
        <is>
          <t>OpenDART_stockTotqySttus</t>
        </is>
      </c>
      <c r="B11" s="29" t="inlineStr">
        <is>
          <t>00160843</t>
        </is>
      </c>
      <c r="C11" s="29" t="inlineStr">
        <is>
          <t>DB하이텍</t>
        </is>
      </c>
      <c r="D11" s="29" t="inlineStr">
        <is>
          <t>dbhitek</t>
        </is>
      </c>
      <c r="E11" s="29" t="inlineStr">
        <is>
          <t>000990</t>
        </is>
      </c>
      <c r="F11" s="29" t="inlineStr">
        <is>
          <t>2021</t>
        </is>
      </c>
      <c r="G11" s="29" t="inlineStr">
        <is>
          <t>비고</t>
        </is>
      </c>
      <c r="H11" s="29" t="inlineStr">
        <is>
          <t>해당 없음</t>
        </is>
      </c>
      <c r="I11" s="29" t="inlineStr">
        <is>
          <t>{"rcept_no": "20220321001280", "corp_cls": "Y", "corp_code": "00160843", "corp_name": "DB하이텍", "se": "비고", "isu_stock_totqy": "-", "now_to_isu_stock_totqy": "-", "now_to_dcrs_stock_totqy": "-", "redc": "-", "profit_incnr": "-", "rdmstk_repy": "-", "etc": "-", "istc_totqy": "-", "tesstk_co": "-", "distb_stock_co": "-", "stlm_dt": "2021-12-31"}</t>
        </is>
      </c>
    </row>
    <row r="12" ht="24" customHeight="1">
      <c r="A12" s="24" t="inlineStr">
        <is>
          <t>OpenDART_stockTotqySttus</t>
        </is>
      </c>
      <c r="B12" s="24" t="inlineStr">
        <is>
          <t>00160843</t>
        </is>
      </c>
      <c r="C12" s="24" t="inlineStr">
        <is>
          <t>DB하이텍</t>
        </is>
      </c>
      <c r="D12" s="24" t="inlineStr">
        <is>
          <t>dbhitek</t>
        </is>
      </c>
      <c r="E12" s="24" t="inlineStr">
        <is>
          <t>000990</t>
        </is>
      </c>
      <c r="F12" s="24" t="inlineStr">
        <is>
          <t>2022</t>
        </is>
      </c>
      <c r="G12" s="24" t="inlineStr">
        <is>
          <t>보통주</t>
        </is>
      </c>
      <c r="H12" s="24" t="inlineStr">
        <is>
          <t>44398588.0</t>
        </is>
      </c>
      <c r="I12" s="24" t="inlineStr">
        <is>
          <t>{"rcept_no": "20230321001125", "corp_cls": "Y", "corp_code": "00160843", "corp_name": "DB하이텍", "se": "보통주", "isu_stock_totqy": "150,000,000", "now_to_isu_stock_totqy": "44,398,588", "now_to_dcrs_stock_totqy": "-", "redc": "-", "profit_incnr": "-", "rdmstk_repy": "-", "etc": "-", "istc_totqy": "44,398,588", "tesstk_co": "1,039,890", "distb_stock_co": "43,358,698", "stlm_dt": "2022-12-31"}</t>
        </is>
      </c>
    </row>
    <row r="13" ht="24" customHeight="1">
      <c r="A13" s="29" t="inlineStr">
        <is>
          <t>OpenDART_stockTotqySttus</t>
        </is>
      </c>
      <c r="B13" s="29" t="inlineStr">
        <is>
          <t>00160843</t>
        </is>
      </c>
      <c r="C13" s="29" t="inlineStr">
        <is>
          <t>DB하이텍</t>
        </is>
      </c>
      <c r="D13" s="29" t="inlineStr">
        <is>
          <t>dbhitek</t>
        </is>
      </c>
      <c r="E13" s="29" t="inlineStr">
        <is>
          <t>000990</t>
        </is>
      </c>
      <c r="F13" s="29" t="inlineStr">
        <is>
          <t>2022</t>
        </is>
      </c>
      <c r="G13" s="29" t="inlineStr">
        <is>
          <t>우선주</t>
        </is>
      </c>
      <c r="H13" s="29" t="inlineStr">
        <is>
          <t>112579.0</t>
        </is>
      </c>
      <c r="I13" s="29" t="inlineStr">
        <is>
          <t>{"rcept_no": "20230321001125", "corp_cls": "Y", "corp_code": "00160843", "corp_name": "DB하이텍", "se": "우선주", "isu_stock_totqy": "50,000,000", "now_to_isu_stock_totqy": "112,579", "now_to_dcrs_stock_totqy": "-", "redc": "-", "profit_incnr": "-", "rdmstk_repy": "-", "etc": "-", "istc_totqy": "112,579", "tesstk_co": "10,131", "distb_stock_co": "102,448", "stlm_dt": "2022-12-31"}</t>
        </is>
      </c>
    </row>
    <row r="14" ht="24" customHeight="1">
      <c r="A14" s="24" t="inlineStr">
        <is>
          <t>OpenDART_stockTotqySttus</t>
        </is>
      </c>
      <c r="B14" s="24" t="inlineStr">
        <is>
          <t>00160843</t>
        </is>
      </c>
      <c r="C14" s="24" t="inlineStr">
        <is>
          <t>DB하이텍</t>
        </is>
      </c>
      <c r="D14" s="24" t="inlineStr">
        <is>
          <t>dbhitek</t>
        </is>
      </c>
      <c r="E14" s="24" t="inlineStr">
        <is>
          <t>000990</t>
        </is>
      </c>
      <c r="F14" s="24" t="inlineStr">
        <is>
          <t>2022</t>
        </is>
      </c>
      <c r="G14" s="24" t="inlineStr">
        <is>
          <t>합계</t>
        </is>
      </c>
      <c r="H14" s="24" t="inlineStr">
        <is>
          <t>44511167.0</t>
        </is>
      </c>
      <c r="I14" s="24" t="inlineStr">
        <is>
          <t>{"rcept_no": "20230321001125", "corp_cls": "Y", "corp_code": "00160843", "corp_name": "DB하이텍", "se": "합계", "isu_stock_totqy": "200,000,000", "now_to_isu_stock_totqy": "44,511,167", "now_to_dcrs_stock_totqy": "-", "redc": "-", "profit_incnr": "-", "rdmstk_repy": "-", "etc": "-", "istc_totqy": "44,511,167", "tesstk_co": "1,050,021", "distb_stock_co": "43,461,146", "stlm_dt": "2022-12-31"}</t>
        </is>
      </c>
    </row>
    <row r="15" ht="24" customHeight="1">
      <c r="A15" s="29" t="inlineStr">
        <is>
          <t>OpenDART_stockTotqySttus</t>
        </is>
      </c>
      <c r="B15" s="29" t="inlineStr">
        <is>
          <t>00160843</t>
        </is>
      </c>
      <c r="C15" s="29" t="inlineStr">
        <is>
          <t>DB하이텍</t>
        </is>
      </c>
      <c r="D15" s="29" t="inlineStr">
        <is>
          <t>dbhitek</t>
        </is>
      </c>
      <c r="E15" s="29" t="inlineStr">
        <is>
          <t>000990</t>
        </is>
      </c>
      <c r="F15" s="29" t="inlineStr">
        <is>
          <t>2022</t>
        </is>
      </c>
      <c r="G15" s="29" t="inlineStr">
        <is>
          <t>비고</t>
        </is>
      </c>
      <c r="H15" s="29" t="inlineStr">
        <is>
          <t>해당 없음</t>
        </is>
      </c>
      <c r="I15" s="29" t="inlineStr">
        <is>
          <t>{"rcept_no": "20230321001125", "corp_cls": "Y", "corp_code": "00160843", "corp_name": "DB하이텍", "se": "비고", "isu_stock_totqy": "-", "now_to_isu_stock_totqy": "-", "now_to_dcrs_stock_totqy": "-", "redc": "-", "profit_incnr": "-", "rdmstk_repy": "-", "etc": "-", "istc_totqy": "-", "tesstk_co": "-", "distb_stock_co": "-", "stlm_dt": "2022-12-31"}</t>
        </is>
      </c>
    </row>
    <row r="16" ht="24" customHeight="1">
      <c r="A16" s="24" t="inlineStr">
        <is>
          <t>OpenDART_stockTotqySttus</t>
        </is>
      </c>
      <c r="B16" s="24" t="inlineStr">
        <is>
          <t>00160843</t>
        </is>
      </c>
      <c r="C16" s="24" t="inlineStr">
        <is>
          <t>DB하이텍</t>
        </is>
      </c>
      <c r="D16" s="24" t="inlineStr">
        <is>
          <t>dbhitek</t>
        </is>
      </c>
      <c r="E16" s="24" t="inlineStr">
        <is>
          <t>000990</t>
        </is>
      </c>
      <c r="F16" s="24" t="inlineStr">
        <is>
          <t>2023</t>
        </is>
      </c>
      <c r="G16" s="24" t="inlineStr">
        <is>
          <t>보통주</t>
        </is>
      </c>
      <c r="H16" s="24" t="inlineStr">
        <is>
          <t>44398588.0</t>
        </is>
      </c>
      <c r="I16" s="24" t="inlineStr">
        <is>
          <t>{"rcept_no": "20240327001130", "corp_cls": "Y", "corp_code": "00160843", "corp_name": "DB하이텍", "se": "보통주", "isu_stock_totqy": "150,000,000", "now_to_isu_stock_totqy": "44,398,588", "now_to_dcrs_stock_totqy": "-", "redc": "-", "profit_incnr": "-", "rdmstk_repy": "-", "etc": "-", "istc_totqy": "44,398,588", "tesstk_co": "2,726,653", "distb_stock_co": "41,671,935", "stlm_dt": "2023-12-31"}</t>
        </is>
      </c>
    </row>
    <row r="17" ht="24" customHeight="1">
      <c r="A17" s="29" t="inlineStr">
        <is>
          <t>OpenDART_stockTotqySttus</t>
        </is>
      </c>
      <c r="B17" s="29" t="inlineStr">
        <is>
          <t>00160843</t>
        </is>
      </c>
      <c r="C17" s="29" t="inlineStr">
        <is>
          <t>DB하이텍</t>
        </is>
      </c>
      <c r="D17" s="29" t="inlineStr">
        <is>
          <t>dbhitek</t>
        </is>
      </c>
      <c r="E17" s="29" t="inlineStr">
        <is>
          <t>000990</t>
        </is>
      </c>
      <c r="F17" s="29" t="inlineStr">
        <is>
          <t>2023</t>
        </is>
      </c>
      <c r="G17" s="29" t="inlineStr">
        <is>
          <t>우선주</t>
        </is>
      </c>
      <c r="H17" s="29" t="inlineStr">
        <is>
          <t>112579.0</t>
        </is>
      </c>
      <c r="I17" s="29" t="inlineStr">
        <is>
          <t>{"rcept_no": "20240327001130", "corp_cls": "Y", "corp_code": "00160843", "corp_name": "DB하이텍", "se": "우선주", "isu_stock_totqy": "50,000,000", "now_to_isu_stock_totqy": "112,579", "now_to_dcrs_stock_totqy": "-", "redc": "-", "profit_incnr": "-", "rdmstk_repy": "-", "etc": "-", "istc_totqy": "112,579", "tesstk_co": "10,621", "distb_stock_co": "101,958", "stlm_dt": "2023-12-31"}</t>
        </is>
      </c>
    </row>
    <row r="18" ht="24" customHeight="1">
      <c r="A18" s="24" t="inlineStr">
        <is>
          <t>OpenDART_stockTotqySttus</t>
        </is>
      </c>
      <c r="B18" s="24" t="inlineStr">
        <is>
          <t>00160843</t>
        </is>
      </c>
      <c r="C18" s="24" t="inlineStr">
        <is>
          <t>DB하이텍</t>
        </is>
      </c>
      <c r="D18" s="24" t="inlineStr">
        <is>
          <t>dbhitek</t>
        </is>
      </c>
      <c r="E18" s="24" t="inlineStr">
        <is>
          <t>000990</t>
        </is>
      </c>
      <c r="F18" s="24" t="inlineStr">
        <is>
          <t>2023</t>
        </is>
      </c>
      <c r="G18" s="24" t="inlineStr">
        <is>
          <t>합계</t>
        </is>
      </c>
      <c r="H18" s="24" t="inlineStr">
        <is>
          <t>44511167.0</t>
        </is>
      </c>
      <c r="I18" s="24" t="inlineStr">
        <is>
          <t>{"rcept_no": "20240327001130", "corp_cls": "Y", "corp_code": "00160843", "corp_name": "DB하이텍", "se": "합계", "isu_stock_totqy": "200,000,000", "now_to_isu_stock_totqy": "44,511,167", "now_to_dcrs_stock_totqy": "-", "redc": "-", "profit_incnr": "-", "rdmstk_repy": "-", "etc": "-", "istc_totqy": "44,511,167", "tesstk_co": "2,737,274", "distb_stock_co": "41,773,893", "stlm_dt": "2023-12-31"}</t>
        </is>
      </c>
    </row>
    <row r="19" ht="24" customHeight="1">
      <c r="A19" s="29" t="inlineStr">
        <is>
          <t>OpenDART_stockTotqySttus</t>
        </is>
      </c>
      <c r="B19" s="29" t="inlineStr">
        <is>
          <t>00160843</t>
        </is>
      </c>
      <c r="C19" s="29" t="inlineStr">
        <is>
          <t>DB하이텍</t>
        </is>
      </c>
      <c r="D19" s="29" t="inlineStr">
        <is>
          <t>dbhitek</t>
        </is>
      </c>
      <c r="E19" s="29" t="inlineStr">
        <is>
          <t>000990</t>
        </is>
      </c>
      <c r="F19" s="29" t="inlineStr">
        <is>
          <t>2023</t>
        </is>
      </c>
      <c r="G19" s="29" t="inlineStr">
        <is>
          <t>비고</t>
        </is>
      </c>
      <c r="H19" s="29" t="inlineStr">
        <is>
          <t>해당 없음</t>
        </is>
      </c>
      <c r="I19" s="29" t="inlineStr">
        <is>
          <t>{"rcept_no": "20240327001130", "corp_cls": "Y", "corp_code": "00160843", "corp_name": "DB하이텍", "se": "비고", "isu_stock_totqy": "-", "now_to_isu_stock_totqy": "-", "now_to_dcrs_stock_totqy": "-", "redc": "-", "profit_incnr": "-", "rdmstk_repy": "-", "etc": "-", "istc_totqy": "-", "tesstk_co": "-", "distb_stock_co": "-", "stlm_dt": "2023-12-31"}</t>
        </is>
      </c>
    </row>
    <row r="20" ht="24" customHeight="1">
      <c r="A20" s="24" t="inlineStr">
        <is>
          <t>OpenDART_stockTotqySttus</t>
        </is>
      </c>
      <c r="B20" s="24" t="inlineStr">
        <is>
          <t>00160843</t>
        </is>
      </c>
      <c r="C20" s="24" t="inlineStr">
        <is>
          <t>DB하이텍</t>
        </is>
      </c>
      <c r="D20" s="24" t="inlineStr">
        <is>
          <t>dbhitek</t>
        </is>
      </c>
      <c r="E20" s="24" t="inlineStr">
        <is>
          <t>000990</t>
        </is>
      </c>
      <c r="F20" s="24" t="inlineStr">
        <is>
          <t>2024</t>
        </is>
      </c>
      <c r="G20" s="24" t="inlineStr">
        <is>
          <t>보통주</t>
        </is>
      </c>
      <c r="H20" s="24" t="inlineStr">
        <is>
          <t>44398588.0</t>
        </is>
      </c>
      <c r="I20" s="24" t="inlineStr">
        <is>
          <t>{"rcept_no": "20250312001130", "corp_cls": "Y", "corp_code": "00160843", "corp_name": "DB하이텍", "se": "보통주", "isu_stock_totqy": "150,000,000", "now_to_isu_stock_totqy": "44,398,588", "now_to_dcrs_stock_totqy": "-", "redc": "-", "profit_incnr": "-", "rdmstk_repy": "-", "etc": "-", "istc_totqy": "44,398,588", "tesstk_co": "3,170,331", "distb_stock_co": "41,228,257", "stlm_dt": "2024-12-31"}</t>
        </is>
      </c>
    </row>
    <row r="21" ht="24" customHeight="1">
      <c r="A21" s="29" t="inlineStr">
        <is>
          <t>OpenDART_stockTotqySttus</t>
        </is>
      </c>
      <c r="B21" s="29" t="inlineStr">
        <is>
          <t>00160843</t>
        </is>
      </c>
      <c r="C21" s="29" t="inlineStr">
        <is>
          <t>DB하이텍</t>
        </is>
      </c>
      <c r="D21" s="29" t="inlineStr">
        <is>
          <t>dbhitek</t>
        </is>
      </c>
      <c r="E21" s="29" t="inlineStr">
        <is>
          <t>000990</t>
        </is>
      </c>
      <c r="F21" s="29" t="inlineStr">
        <is>
          <t>2024</t>
        </is>
      </c>
      <c r="G21" s="29" t="inlineStr">
        <is>
          <t>우선주</t>
        </is>
      </c>
      <c r="H21" s="29" t="inlineStr">
        <is>
          <t>112579.0</t>
        </is>
      </c>
      <c r="I21" s="29" t="inlineStr">
        <is>
          <t>{"rcept_no": "20250312001130", "corp_cls": "Y", "corp_code": "00160843", "corp_name": "DB하이텍", "se": "우선주", "isu_stock_totqy": "50,000,000", "now_to_isu_stock_totqy": "112,579", "now_to_dcrs_stock_totqy": "-", "redc": "-", "profit_incnr": "-", "rdmstk_repy": "-", "etc": "-", "istc_totqy": "112,579", "tesstk_co": "10,621", "distb_stock_co": "101,958", "stlm_dt": "2024-12-31"}</t>
        </is>
      </c>
    </row>
    <row r="22" ht="24" customHeight="1">
      <c r="A22" s="24" t="inlineStr">
        <is>
          <t>OpenDART_stockTotqySttus</t>
        </is>
      </c>
      <c r="B22" s="24" t="inlineStr">
        <is>
          <t>00160843</t>
        </is>
      </c>
      <c r="C22" s="24" t="inlineStr">
        <is>
          <t>DB하이텍</t>
        </is>
      </c>
      <c r="D22" s="24" t="inlineStr">
        <is>
          <t>dbhitek</t>
        </is>
      </c>
      <c r="E22" s="24" t="inlineStr">
        <is>
          <t>000990</t>
        </is>
      </c>
      <c r="F22" s="24" t="inlineStr">
        <is>
          <t>2024</t>
        </is>
      </c>
      <c r="G22" s="24" t="inlineStr">
        <is>
          <t>합계</t>
        </is>
      </c>
      <c r="H22" s="24" t="inlineStr">
        <is>
          <t>44511167.0</t>
        </is>
      </c>
      <c r="I22" s="24" t="inlineStr">
        <is>
          <t>{"rcept_no": "20250312001130", "corp_cls": "Y", "corp_code": "00160843", "corp_name": "DB하이텍", "se": "합계", "isu_stock_totqy": "200,000,000", "now_to_isu_stock_totqy": "44,511,167", "now_to_dcrs_stock_totqy": "-", "redc": "-", "profit_incnr": "-", "rdmstk_repy": "-", "etc": "-", "istc_totqy": "44,511,167", "tesstk_co": "3,180,952", "distb_stock_co": "41,330,215", "stlm_dt": "2024-12-31"}</t>
        </is>
      </c>
    </row>
    <row r="23" ht="24" customHeight="1">
      <c r="A23" s="29" t="inlineStr">
        <is>
          <t>OpenDART_stockTotqySttus</t>
        </is>
      </c>
      <c r="B23" s="29" t="inlineStr">
        <is>
          <t>00160843</t>
        </is>
      </c>
      <c r="C23" s="29" t="inlineStr">
        <is>
          <t>DB하이텍</t>
        </is>
      </c>
      <c r="D23" s="29" t="inlineStr">
        <is>
          <t>dbhitek</t>
        </is>
      </c>
      <c r="E23" s="29" t="inlineStr">
        <is>
          <t>000990</t>
        </is>
      </c>
      <c r="F23" s="29" t="inlineStr">
        <is>
          <t>2024</t>
        </is>
      </c>
      <c r="G23" s="29" t="inlineStr">
        <is>
          <t>비고</t>
        </is>
      </c>
      <c r="H23" s="29" t="inlineStr">
        <is>
          <t>해당 없음</t>
        </is>
      </c>
      <c r="I23" s="29" t="inlineStr">
        <is>
          <t>{"rcept_no": "20250312001130", "corp_cls": "Y", "corp_code": "00160843", "corp_name": "DB하이텍", "se": "비고", "isu_stock_totqy": "-", "now_to_isu_stock_totqy": "-", "now_to_dcrs_stock_totqy": "-", "redc": "-", "profit_incnr": "-", "rdmstk_repy": "-", "etc": "-", "istc_totqy": "-", "tesstk_co": "-", "distb_stock_co": "-", "stlm_dt": "2024-12-31"}</t>
        </is>
      </c>
    </row>
    <row r="24" ht="24" customHeight="1">
      <c r="A24" s="24" t="inlineStr">
        <is>
          <t>OpenDART_stockTotqySttus</t>
        </is>
      </c>
      <c r="B24" s="24" t="inlineStr">
        <is>
          <t>00160843</t>
        </is>
      </c>
      <c r="C24" s="24" t="inlineStr">
        <is>
          <t>DB하이텍</t>
        </is>
      </c>
      <c r="D24" s="24" t="inlineStr">
        <is>
          <t>dbhitek</t>
        </is>
      </c>
      <c r="E24" s="24" t="inlineStr">
        <is>
          <t>000990</t>
        </is>
      </c>
      <c r="F24" s="24" t="inlineStr">
        <is>
          <t>2025</t>
        </is>
      </c>
      <c r="G24" s="24" t="inlineStr">
        <is>
          <t>보통주</t>
        </is>
      </c>
      <c r="H24" s="24" t="inlineStr">
        <is>
          <t>43504588.0</t>
        </is>
      </c>
      <c r="I24" s="24" t="inlineStr">
        <is>
          <t>{"rcept_no": "20260316001250", "corp_cls": "Y", "corp_code": "00160843", "corp_name": "DB하이텍", "se": "보통주", "isu_stock_totqy": "150,000,000", "now_to_isu_stock_totqy": "44,398,588", "now_to_dcrs_stock_totqy": "894,000", "redc": "-", "profit_incnr": "894,000", "rdmstk_repy": "-", "etc": "-", "istc_totqy": "43,504,588", "tesstk_co": "1,036,991", "distb_stock_co": "42,467,597", "stlm_dt": "2025-12-31"}</t>
        </is>
      </c>
    </row>
    <row r="25" ht="24" customHeight="1">
      <c r="A25" s="29" t="inlineStr">
        <is>
          <t>OpenDART_stockTotqySttus</t>
        </is>
      </c>
      <c r="B25" s="29" t="inlineStr">
        <is>
          <t>00160843</t>
        </is>
      </c>
      <c r="C25" s="29" t="inlineStr">
        <is>
          <t>DB하이텍</t>
        </is>
      </c>
      <c r="D25" s="29" t="inlineStr">
        <is>
          <t>dbhitek</t>
        </is>
      </c>
      <c r="E25" s="29" t="inlineStr">
        <is>
          <t>000990</t>
        </is>
      </c>
      <c r="F25" s="29" t="inlineStr">
        <is>
          <t>2025</t>
        </is>
      </c>
      <c r="G25" s="29" t="inlineStr">
        <is>
          <t>우선주</t>
        </is>
      </c>
      <c r="H25" s="29" t="inlineStr">
        <is>
          <t>112579.0</t>
        </is>
      </c>
      <c r="I25" s="29" t="inlineStr">
        <is>
          <t>{"rcept_no": "20260316001250", "corp_cls": "Y", "corp_code": "00160843", "corp_name": "DB하이텍", "se": "우선주", "isu_stock_totqy": "50,000,000", "now_to_isu_stock_totqy": "112,579", "now_to_dcrs_stock_totqy": "-", "redc": "-", "profit_incnr": "-", "rdmstk_repy": "-", "etc": "-", "istc_totqy": "112,579", "tesstk_co": "10,621", "distb_stock_co": "101,958", "stlm_dt": "2025-12-31"}</t>
        </is>
      </c>
    </row>
    <row r="26" ht="24" customHeight="1">
      <c r="A26" s="24" t="inlineStr">
        <is>
          <t>OpenDART_stockTotqySttus</t>
        </is>
      </c>
      <c r="B26" s="24" t="inlineStr">
        <is>
          <t>00160843</t>
        </is>
      </c>
      <c r="C26" s="24" t="inlineStr">
        <is>
          <t>DB하이텍</t>
        </is>
      </c>
      <c r="D26" s="24" t="inlineStr">
        <is>
          <t>dbhitek</t>
        </is>
      </c>
      <c r="E26" s="24" t="inlineStr">
        <is>
          <t>000990</t>
        </is>
      </c>
      <c r="F26" s="24" t="inlineStr">
        <is>
          <t>2025</t>
        </is>
      </c>
      <c r="G26" s="24" t="inlineStr">
        <is>
          <t>합계</t>
        </is>
      </c>
      <c r="H26" s="24" t="inlineStr">
        <is>
          <t>43617167.0</t>
        </is>
      </c>
      <c r="I26" s="24" t="inlineStr">
        <is>
          <t>{"rcept_no": "20260316001250", "corp_cls": "Y", "corp_code": "00160843", "corp_name": "DB하이텍", "se": "합계", "isu_stock_totqy": "200,000,000", "now_to_isu_stock_totqy": "44,511,167", "now_to_dcrs_stock_totqy": "894,000", "redc": "-", "profit_incnr": "894,000", "rdmstk_repy": "-", "etc": "-", "istc_totqy": "43,617,167", "tesstk_co": "1,047,612", "distb_stock_co": "42,569,555", "stlm_dt": "2025-12-31"}</t>
        </is>
      </c>
    </row>
    <row r="27" ht="24" customHeight="1">
      <c r="A27" s="29" t="inlineStr">
        <is>
          <t>OpenDART_stockTotqySttus</t>
        </is>
      </c>
      <c r="B27" s="29" t="inlineStr">
        <is>
          <t>00160843</t>
        </is>
      </c>
      <c r="C27" s="29" t="inlineStr">
        <is>
          <t>DB하이텍</t>
        </is>
      </c>
      <c r="D27" s="29" t="inlineStr">
        <is>
          <t>dbhitek</t>
        </is>
      </c>
      <c r="E27" s="29" t="inlineStr">
        <is>
          <t>000990</t>
        </is>
      </c>
      <c r="F27" s="29" t="inlineStr">
        <is>
          <t>2025</t>
        </is>
      </c>
      <c r="G27" s="29" t="inlineStr">
        <is>
          <t>비고</t>
        </is>
      </c>
      <c r="H27" s="29" t="inlineStr">
        <is>
          <t>해당 없음</t>
        </is>
      </c>
      <c r="I27" s="29" t="inlineStr">
        <is>
          <t>{"rcept_no": "20260316001250", "corp_cls": "Y", "corp_code": "00160843", "corp_name": "DB하이텍", "se": "비고", "isu_stock_totqy": "-", "now_to_isu_stock_totqy": "-", "now_to_dcrs_stock_totqy": "-", "redc": "-", "profit_incnr": "-", "rdmstk_repy": "-", "etc": "-", "istc_totqy": "-", "tesstk_co": "-", "distb_stock_co": "-", "stlm_dt": "2025-12-31"}</t>
        </is>
      </c>
    </row>
  </sheetData>
  <autoFilter ref="A7:I27"/>
  <mergeCells count="2">
    <mergeCell ref="A6:F6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0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22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DART 원천 계정</t>
        </is>
      </c>
    </row>
    <row r="2" ht="24" customHeight="1">
      <c r="A2" s="25" t="inlineStr">
        <is>
          <t>출처</t>
        </is>
      </c>
      <c r="B2" s="25" t="inlineStr">
        <is>
          <t>DART 고유번호</t>
        </is>
      </c>
      <c r="C2" s="25" t="inlineStr">
        <is>
          <t>기업명</t>
        </is>
      </c>
      <c r="D2" s="25" t="inlineStr">
        <is>
          <t>기업코드</t>
        </is>
      </c>
      <c r="E2" s="25" t="inlineStr">
        <is>
          <t>종목코드</t>
        </is>
      </c>
      <c r="F2" s="25" t="inlineStr">
        <is>
          <t>연도</t>
        </is>
      </c>
      <c r="G2" s="25" t="inlineStr">
        <is>
          <t>재무제표 구분</t>
        </is>
      </c>
      <c r="H2" s="25" t="inlineStr">
        <is>
          <t>재무제표 코드</t>
        </is>
      </c>
      <c r="I2" s="25" t="inlineStr">
        <is>
          <t>재무제표명</t>
        </is>
      </c>
      <c r="J2" s="25" t="inlineStr">
        <is>
          <t>계정ID</t>
        </is>
      </c>
      <c r="K2" s="25" t="inlineStr">
        <is>
          <t>계정명</t>
        </is>
      </c>
      <c r="L2" s="25" t="inlineStr">
        <is>
          <t>계정상세</t>
        </is>
      </c>
      <c r="M2" s="25" t="inlineStr">
        <is>
          <t>당기명</t>
        </is>
      </c>
      <c r="N2" s="25" t="inlineStr">
        <is>
          <t>금액</t>
        </is>
      </c>
      <c r="O2" s="25" t="inlineStr">
        <is>
          <t>전기금액</t>
        </is>
      </c>
      <c r="P2" s="25" t="inlineStr">
        <is>
          <t>통화</t>
        </is>
      </c>
      <c r="Q2" s="25" t="inlineStr">
        <is>
          <t>정렬순서</t>
        </is>
      </c>
    </row>
    <row r="3" ht="24" customHeight="1">
      <c r="A3" s="24" t="inlineStr">
        <is>
          <t>OpenDART_fnlttSinglAcntAll</t>
        </is>
      </c>
      <c r="B3" s="24" t="inlineStr">
        <is>
          <t>00160843</t>
        </is>
      </c>
      <c r="C3" s="24" t="inlineStr">
        <is>
          <t>DB하이텍</t>
        </is>
      </c>
      <c r="D3" s="24" t="inlineStr">
        <is>
          <t>dbhitek</t>
        </is>
      </c>
      <c r="E3" s="24" t="inlineStr">
        <is>
          <t>000990</t>
        </is>
      </c>
      <c r="F3" s="24" t="inlineStr">
        <is>
          <t>2021</t>
        </is>
      </c>
      <c r="G3" s="24" t="inlineStr">
        <is>
          <t>CFS</t>
        </is>
      </c>
      <c r="H3" s="24" t="inlineStr">
        <is>
          <t>BS</t>
        </is>
      </c>
      <c r="I3" s="24" t="inlineStr">
        <is>
          <t>재무상태표</t>
        </is>
      </c>
      <c r="J3" s="24" t="inlineStr">
        <is>
          <t>ifrs-full_CurrentAssets</t>
        </is>
      </c>
      <c r="K3" s="24" t="inlineStr">
        <is>
          <t>유동자산</t>
        </is>
      </c>
      <c r="L3" s="24" t="inlineStr">
        <is>
          <t>-</t>
        </is>
      </c>
      <c r="M3" s="24" t="inlineStr">
        <is>
          <t>제 69 기</t>
        </is>
      </c>
      <c r="N3" s="24" t="inlineStr">
        <is>
          <t>815161899425.0</t>
        </is>
      </c>
      <c r="O3" s="24" t="inlineStr">
        <is>
          <t>459208127449.0</t>
        </is>
      </c>
      <c r="P3" s="24" t="inlineStr">
        <is>
          <t>KRW</t>
        </is>
      </c>
      <c r="Q3" s="24" t="inlineStr">
        <is>
          <t>1</t>
        </is>
      </c>
    </row>
    <row r="4" ht="24" customHeight="1">
      <c r="A4" s="29" t="inlineStr">
        <is>
          <t>OpenDART_fnlttSinglAcntAll</t>
        </is>
      </c>
      <c r="B4" s="29" t="inlineStr">
        <is>
          <t>00160843</t>
        </is>
      </c>
      <c r="C4" s="29" t="inlineStr">
        <is>
          <t>DB하이텍</t>
        </is>
      </c>
      <c r="D4" s="29" t="inlineStr">
        <is>
          <t>dbhitek</t>
        </is>
      </c>
      <c r="E4" s="29" t="inlineStr">
        <is>
          <t>000990</t>
        </is>
      </c>
      <c r="F4" s="29" t="inlineStr">
        <is>
          <t>2021</t>
        </is>
      </c>
      <c r="G4" s="29" t="inlineStr">
        <is>
          <t>CFS</t>
        </is>
      </c>
      <c r="H4" s="29" t="inlineStr">
        <is>
          <t>BS</t>
        </is>
      </c>
      <c r="I4" s="29" t="inlineStr">
        <is>
          <t>재무상태표</t>
        </is>
      </c>
      <c r="J4" s="29" t="inlineStr">
        <is>
          <t>ifrs-full_CashAndCashEquivalents</t>
        </is>
      </c>
      <c r="K4" s="29" t="inlineStr">
        <is>
          <t>현금및현금성자산</t>
        </is>
      </c>
      <c r="L4" s="29" t="inlineStr">
        <is>
          <t>-</t>
        </is>
      </c>
      <c r="M4" s="29" t="inlineStr">
        <is>
          <t>제 69 기</t>
        </is>
      </c>
      <c r="N4" s="29" t="inlineStr">
        <is>
          <t>183017846365.0</t>
        </is>
      </c>
      <c r="O4" s="29" t="inlineStr">
        <is>
          <t>48293560140.0</t>
        </is>
      </c>
      <c r="P4" s="29" t="inlineStr">
        <is>
          <t>KRW</t>
        </is>
      </c>
      <c r="Q4" s="29" t="inlineStr">
        <is>
          <t>2</t>
        </is>
      </c>
    </row>
    <row r="5" ht="24" customHeight="1">
      <c r="A5" s="24" t="inlineStr">
        <is>
          <t>OpenDART_fnlttSinglAcntAll</t>
        </is>
      </c>
      <c r="B5" s="24" t="inlineStr">
        <is>
          <t>00160843</t>
        </is>
      </c>
      <c r="C5" s="24" t="inlineStr">
        <is>
          <t>DB하이텍</t>
        </is>
      </c>
      <c r="D5" s="24" t="inlineStr">
        <is>
          <t>dbhitek</t>
        </is>
      </c>
      <c r="E5" s="24" t="inlineStr">
        <is>
          <t>000990</t>
        </is>
      </c>
      <c r="F5" s="24" t="inlineStr">
        <is>
          <t>2021</t>
        </is>
      </c>
      <c r="G5" s="24" t="inlineStr">
        <is>
          <t>CFS</t>
        </is>
      </c>
      <c r="H5" s="24" t="inlineStr">
        <is>
          <t>BS</t>
        </is>
      </c>
      <c r="I5" s="24" t="inlineStr">
        <is>
          <t>재무상태표</t>
        </is>
      </c>
      <c r="J5" s="24" t="inlineStr">
        <is>
          <t>dart_ShortTermDepositsNotClassifiedAsCashEquivalents</t>
        </is>
      </c>
      <c r="K5" s="24" t="inlineStr">
        <is>
          <t>단기금융상품</t>
        </is>
      </c>
      <c r="L5" s="24" t="inlineStr">
        <is>
          <t>-</t>
        </is>
      </c>
      <c r="M5" s="24" t="inlineStr">
        <is>
          <t>제 69 기</t>
        </is>
      </c>
      <c r="N5" s="24" t="inlineStr">
        <is>
          <t>184964046993.0</t>
        </is>
      </c>
      <c r="O5" s="24" t="inlineStr">
        <is>
          <t>38377835778.0</t>
        </is>
      </c>
      <c r="P5" s="24" t="inlineStr">
        <is>
          <t>KRW</t>
        </is>
      </c>
      <c r="Q5" s="24" t="inlineStr">
        <is>
          <t>3</t>
        </is>
      </c>
    </row>
    <row r="6" ht="24" customHeight="1">
      <c r="A6" s="29" t="inlineStr">
        <is>
          <t>OpenDART_fnlttSinglAcntAll</t>
        </is>
      </c>
      <c r="B6" s="29" t="inlineStr">
        <is>
          <t>00160843</t>
        </is>
      </c>
      <c r="C6" s="29" t="inlineStr">
        <is>
          <t>DB하이텍</t>
        </is>
      </c>
      <c r="D6" s="29" t="inlineStr">
        <is>
          <t>dbhitek</t>
        </is>
      </c>
      <c r="E6" s="29" t="inlineStr">
        <is>
          <t>000990</t>
        </is>
      </c>
      <c r="F6" s="29" t="inlineStr">
        <is>
          <t>2021</t>
        </is>
      </c>
      <c r="G6" s="29" t="inlineStr">
        <is>
          <t>CFS</t>
        </is>
      </c>
      <c r="H6" s="29" t="inlineStr">
        <is>
          <t>BS</t>
        </is>
      </c>
      <c r="I6" s="29" t="inlineStr">
        <is>
          <t>재무상태표</t>
        </is>
      </c>
      <c r="J6" s="29" t="inlineStr">
        <is>
          <t>ifrs-full_OtherCurrentFinancialAssets</t>
        </is>
      </c>
      <c r="K6" s="29" t="inlineStr">
        <is>
          <t>기타금융자산</t>
        </is>
      </c>
      <c r="L6" s="29" t="inlineStr">
        <is>
          <t>-</t>
        </is>
      </c>
      <c r="M6" s="29" t="inlineStr">
        <is>
          <t>제 69 기</t>
        </is>
      </c>
      <c r="N6" s="29" t="inlineStr">
        <is>
          <t>103735532595.0</t>
        </is>
      </c>
      <c r="O6" s="29" t="inlineStr">
        <is>
          <t>131475314401.0</t>
        </is>
      </c>
      <c r="P6" s="29" t="inlineStr">
        <is>
          <t>KRW</t>
        </is>
      </c>
      <c r="Q6" s="29" t="inlineStr">
        <is>
          <t>4</t>
        </is>
      </c>
    </row>
    <row r="7" ht="24" customHeight="1">
      <c r="A7" s="24" t="inlineStr">
        <is>
          <t>OpenDART_fnlttSinglAcntAll</t>
        </is>
      </c>
      <c r="B7" s="24" t="inlineStr">
        <is>
          <t>00160843</t>
        </is>
      </c>
      <c r="C7" s="24" t="inlineStr">
        <is>
          <t>DB하이텍</t>
        </is>
      </c>
      <c r="D7" s="24" t="inlineStr">
        <is>
          <t>dbhitek</t>
        </is>
      </c>
      <c r="E7" s="24" t="inlineStr">
        <is>
          <t>000990</t>
        </is>
      </c>
      <c r="F7" s="24" t="inlineStr">
        <is>
          <t>2021</t>
        </is>
      </c>
      <c r="G7" s="24" t="inlineStr">
        <is>
          <t>CFS</t>
        </is>
      </c>
      <c r="H7" s="24" t="inlineStr">
        <is>
          <t>BS</t>
        </is>
      </c>
      <c r="I7" s="24" t="inlineStr">
        <is>
          <t>재무상태표</t>
        </is>
      </c>
      <c r="J7" s="24" t="inlineStr">
        <is>
          <t>dart_ShortTermTradeReceivable</t>
        </is>
      </c>
      <c r="K7" s="24" t="inlineStr">
        <is>
          <t>매출채권</t>
        </is>
      </c>
      <c r="L7" s="24" t="inlineStr">
        <is>
          <t>-</t>
        </is>
      </c>
      <c r="M7" s="24" t="inlineStr">
        <is>
          <t>제 69 기</t>
        </is>
      </c>
      <c r="N7" s="24" t="inlineStr">
        <is>
          <t>134935586470.0</t>
        </is>
      </c>
      <c r="O7" s="24" t="inlineStr">
        <is>
          <t>102419518776.0</t>
        </is>
      </c>
      <c r="P7" s="24" t="inlineStr">
        <is>
          <t>KRW</t>
        </is>
      </c>
      <c r="Q7" s="24" t="inlineStr">
        <is>
          <t>5</t>
        </is>
      </c>
    </row>
    <row r="8" ht="24" customHeight="1">
      <c r="A8" s="29" t="inlineStr">
        <is>
          <t>OpenDART_fnlttSinglAcntAll</t>
        </is>
      </c>
      <c r="B8" s="29" t="inlineStr">
        <is>
          <t>00160843</t>
        </is>
      </c>
      <c r="C8" s="29" t="inlineStr">
        <is>
          <t>DB하이텍</t>
        </is>
      </c>
      <c r="D8" s="29" t="inlineStr">
        <is>
          <t>dbhitek</t>
        </is>
      </c>
      <c r="E8" s="29" t="inlineStr">
        <is>
          <t>000990</t>
        </is>
      </c>
      <c r="F8" s="29" t="inlineStr">
        <is>
          <t>2021</t>
        </is>
      </c>
      <c r="G8" s="29" t="inlineStr">
        <is>
          <t>CFS</t>
        </is>
      </c>
      <c r="H8" s="29" t="inlineStr">
        <is>
          <t>BS</t>
        </is>
      </c>
      <c r="I8" s="29" t="inlineStr">
        <is>
          <t>재무상태표</t>
        </is>
      </c>
      <c r="J8" s="29" t="inlineStr">
        <is>
          <t>ifrs-full_TradeAndOtherCurrentReceivables</t>
        </is>
      </c>
      <c r="K8" s="29" t="inlineStr">
        <is>
          <t>기타채권</t>
        </is>
      </c>
      <c r="L8" s="29" t="inlineStr">
        <is>
          <t>-</t>
        </is>
      </c>
      <c r="M8" s="29" t="inlineStr">
        <is>
          <t>제 69 기</t>
        </is>
      </c>
      <c r="N8" s="29" t="inlineStr">
        <is>
          <t>9410202074.0</t>
        </is>
      </c>
      <c r="O8" s="29" t="inlineStr">
        <is>
          <t>11074912558.0</t>
        </is>
      </c>
      <c r="P8" s="29" t="inlineStr">
        <is>
          <t>KRW</t>
        </is>
      </c>
      <c r="Q8" s="29" t="inlineStr">
        <is>
          <t>6</t>
        </is>
      </c>
    </row>
    <row r="9" ht="24" customHeight="1">
      <c r="A9" s="24" t="inlineStr">
        <is>
          <t>OpenDART_fnlttSinglAcntAll</t>
        </is>
      </c>
      <c r="B9" s="24" t="inlineStr">
        <is>
          <t>00160843</t>
        </is>
      </c>
      <c r="C9" s="24" t="inlineStr">
        <is>
          <t>DB하이텍</t>
        </is>
      </c>
      <c r="D9" s="24" t="inlineStr">
        <is>
          <t>dbhitek</t>
        </is>
      </c>
      <c r="E9" s="24" t="inlineStr">
        <is>
          <t>000990</t>
        </is>
      </c>
      <c r="F9" s="24" t="inlineStr">
        <is>
          <t>2021</t>
        </is>
      </c>
      <c r="G9" s="24" t="inlineStr">
        <is>
          <t>CFS</t>
        </is>
      </c>
      <c r="H9" s="24" t="inlineStr">
        <is>
          <t>BS</t>
        </is>
      </c>
      <c r="I9" s="24" t="inlineStr">
        <is>
          <t>재무상태표</t>
        </is>
      </c>
      <c r="J9" s="24" t="inlineStr">
        <is>
          <t>dart_ShortTermDueFromCustomersForContractWork</t>
        </is>
      </c>
      <c r="K9" s="24" t="inlineStr">
        <is>
          <t>미청구공사</t>
        </is>
      </c>
      <c r="L9" s="24" t="inlineStr">
        <is>
          <t>-</t>
        </is>
      </c>
      <c r="M9" s="24" t="inlineStr">
        <is>
          <t>제 69 기</t>
        </is>
      </c>
      <c r="N9" s="24" t="inlineStr">
        <is>
          <t>113546285955.0</t>
        </is>
      </c>
      <c r="O9" s="24" t="inlineStr">
        <is>
          <t>68922504219.0</t>
        </is>
      </c>
      <c r="P9" s="24" t="inlineStr">
        <is>
          <t>KRW</t>
        </is>
      </c>
      <c r="Q9" s="24" t="inlineStr">
        <is>
          <t>7</t>
        </is>
      </c>
    </row>
    <row r="10" ht="24" customHeight="1">
      <c r="A10" s="29" t="inlineStr">
        <is>
          <t>OpenDART_fnlttSinglAcntAll</t>
        </is>
      </c>
      <c r="B10" s="29" t="inlineStr">
        <is>
          <t>00160843</t>
        </is>
      </c>
      <c r="C10" s="29" t="inlineStr">
        <is>
          <t>DB하이텍</t>
        </is>
      </c>
      <c r="D10" s="29" t="inlineStr">
        <is>
          <t>dbhitek</t>
        </is>
      </c>
      <c r="E10" s="29" t="inlineStr">
        <is>
          <t>000990</t>
        </is>
      </c>
      <c r="F10" s="29" t="inlineStr">
        <is>
          <t>2021</t>
        </is>
      </c>
      <c r="G10" s="29" t="inlineStr">
        <is>
          <t>CFS</t>
        </is>
      </c>
      <c r="H10" s="29" t="inlineStr">
        <is>
          <t>BS</t>
        </is>
      </c>
      <c r="I10" s="29" t="inlineStr">
        <is>
          <t>재무상태표</t>
        </is>
      </c>
      <c r="J10" s="29" t="inlineStr">
        <is>
          <t>ifrs-full_Inventories</t>
        </is>
      </c>
      <c r="K10" s="29" t="inlineStr">
        <is>
          <t>재고자산</t>
        </is>
      </c>
      <c r="L10" s="29" t="inlineStr">
        <is>
          <t>-</t>
        </is>
      </c>
      <c r="M10" s="29" t="inlineStr">
        <is>
          <t>제 69 기</t>
        </is>
      </c>
      <c r="N10" s="29" t="inlineStr">
        <is>
          <t>66017137668.0</t>
        </is>
      </c>
      <c r="O10" s="29" t="inlineStr">
        <is>
          <t>51848769524.0</t>
        </is>
      </c>
      <c r="P10" s="29" t="inlineStr">
        <is>
          <t>KRW</t>
        </is>
      </c>
      <c r="Q10" s="29" t="inlineStr">
        <is>
          <t>8</t>
        </is>
      </c>
    </row>
    <row r="11" ht="24" customHeight="1">
      <c r="A11" s="24" t="inlineStr">
        <is>
          <t>OpenDART_fnlttSinglAcntAll</t>
        </is>
      </c>
      <c r="B11" s="24" t="inlineStr">
        <is>
          <t>00160843</t>
        </is>
      </c>
      <c r="C11" s="24" t="inlineStr">
        <is>
          <t>DB하이텍</t>
        </is>
      </c>
      <c r="D11" s="24" t="inlineStr">
        <is>
          <t>dbhitek</t>
        </is>
      </c>
      <c r="E11" s="24" t="inlineStr">
        <is>
          <t>000990</t>
        </is>
      </c>
      <c r="F11" s="24" t="inlineStr">
        <is>
          <t>2021</t>
        </is>
      </c>
      <c r="G11" s="24" t="inlineStr">
        <is>
          <t>CFS</t>
        </is>
      </c>
      <c r="H11" s="24" t="inlineStr">
        <is>
          <t>BS</t>
        </is>
      </c>
      <c r="I11" s="24" t="inlineStr">
        <is>
          <t>재무상태표</t>
        </is>
      </c>
      <c r="J11" s="24" t="inlineStr">
        <is>
          <t>dart_OtherCurrentAssets</t>
        </is>
      </c>
      <c r="K11" s="24" t="inlineStr">
        <is>
          <t>기타유동자산</t>
        </is>
      </c>
      <c r="L11" s="24" t="inlineStr">
        <is>
          <t>-</t>
        </is>
      </c>
      <c r="M11" s="24" t="inlineStr">
        <is>
          <t>제 69 기</t>
        </is>
      </c>
      <c r="N11" s="24" t="inlineStr">
        <is>
          <t>19535261305.0</t>
        </is>
      </c>
      <c r="O11" s="24" t="inlineStr">
        <is>
          <t>6795712053.0</t>
        </is>
      </c>
      <c r="P11" s="24" t="inlineStr">
        <is>
          <t>KRW</t>
        </is>
      </c>
      <c r="Q11" s="24" t="inlineStr">
        <is>
          <t>9</t>
        </is>
      </c>
    </row>
    <row r="12" ht="24" customHeight="1">
      <c r="A12" s="29" t="inlineStr">
        <is>
          <t>OpenDART_fnlttSinglAcntAll</t>
        </is>
      </c>
      <c r="B12" s="29" t="inlineStr">
        <is>
          <t>00160843</t>
        </is>
      </c>
      <c r="C12" s="29" t="inlineStr">
        <is>
          <t>DB하이텍</t>
        </is>
      </c>
      <c r="D12" s="29" t="inlineStr">
        <is>
          <t>dbhitek</t>
        </is>
      </c>
      <c r="E12" s="29" t="inlineStr">
        <is>
          <t>000990</t>
        </is>
      </c>
      <c r="F12" s="29" t="inlineStr">
        <is>
          <t>2021</t>
        </is>
      </c>
      <c r="G12" s="29" t="inlineStr">
        <is>
          <t>CFS</t>
        </is>
      </c>
      <c r="H12" s="29" t="inlineStr">
        <is>
          <t>BS</t>
        </is>
      </c>
      <c r="I12" s="29" t="inlineStr">
        <is>
          <t>재무상태표</t>
        </is>
      </c>
      <c r="J12" s="29" t="inlineStr">
        <is>
          <t>ifrs-full_NoncurrentAssets</t>
        </is>
      </c>
      <c r="K12" s="29" t="inlineStr">
        <is>
          <t>비유동자산</t>
        </is>
      </c>
      <c r="L12" s="29" t="inlineStr">
        <is>
          <t>-</t>
        </is>
      </c>
      <c r="M12" s="29" t="inlineStr">
        <is>
          <t>제 69 기</t>
        </is>
      </c>
      <c r="N12" s="29" t="inlineStr">
        <is>
          <t>734775996429.0</t>
        </is>
      </c>
      <c r="O12" s="29" t="inlineStr">
        <is>
          <t>719373069732.0</t>
        </is>
      </c>
      <c r="P12" s="29" t="inlineStr">
        <is>
          <t>KRW</t>
        </is>
      </c>
      <c r="Q12" s="29" t="inlineStr">
        <is>
          <t>10</t>
        </is>
      </c>
    </row>
    <row r="13" ht="24" customHeight="1">
      <c r="A13" s="24" t="inlineStr">
        <is>
          <t>OpenDART_fnlttSinglAcntAll</t>
        </is>
      </c>
      <c r="B13" s="24" t="inlineStr">
        <is>
          <t>00160843</t>
        </is>
      </c>
      <c r="C13" s="24" t="inlineStr">
        <is>
          <t>DB하이텍</t>
        </is>
      </c>
      <c r="D13" s="24" t="inlineStr">
        <is>
          <t>dbhitek</t>
        </is>
      </c>
      <c r="E13" s="24" t="inlineStr">
        <is>
          <t>000990</t>
        </is>
      </c>
      <c r="F13" s="24" t="inlineStr">
        <is>
          <t>2021</t>
        </is>
      </c>
      <c r="G13" s="24" t="inlineStr">
        <is>
          <t>CFS</t>
        </is>
      </c>
      <c r="H13" s="24" t="inlineStr">
        <is>
          <t>BS</t>
        </is>
      </c>
      <c r="I13" s="24" t="inlineStr">
        <is>
          <t>재무상태표</t>
        </is>
      </c>
      <c r="J13" s="24" t="inlineStr">
        <is>
          <t>dart_LongTermDepositsNotClassifiedAsCashEquivalents</t>
        </is>
      </c>
      <c r="K13" s="24" t="inlineStr">
        <is>
          <t>장기금융자산</t>
        </is>
      </c>
      <c r="L13" s="24" t="inlineStr">
        <is>
          <t>-</t>
        </is>
      </c>
      <c r="M13" s="24" t="inlineStr">
        <is>
          <t>제 69 기</t>
        </is>
      </c>
      <c r="N13" s="24" t="inlineStr">
        <is>
          <t>89930035.0</t>
        </is>
      </c>
      <c r="O13" s="24" t="inlineStr">
        <is>
          <t>82669114.0</t>
        </is>
      </c>
      <c r="P13" s="24" t="inlineStr">
        <is>
          <t>KRW</t>
        </is>
      </c>
      <c r="Q13" s="24" t="inlineStr">
        <is>
          <t>11</t>
        </is>
      </c>
    </row>
    <row r="14" ht="24" customHeight="1">
      <c r="A14" s="29" t="inlineStr">
        <is>
          <t>OpenDART_fnlttSinglAcntAll</t>
        </is>
      </c>
      <c r="B14" s="29" t="inlineStr">
        <is>
          <t>00160843</t>
        </is>
      </c>
      <c r="C14" s="29" t="inlineStr">
        <is>
          <t>DB하이텍</t>
        </is>
      </c>
      <c r="D14" s="29" t="inlineStr">
        <is>
          <t>dbhitek</t>
        </is>
      </c>
      <c r="E14" s="29" t="inlineStr">
        <is>
          <t>000990</t>
        </is>
      </c>
      <c r="F14" s="29" t="inlineStr">
        <is>
          <t>2021</t>
        </is>
      </c>
      <c r="G14" s="29" t="inlineStr">
        <is>
          <t>CFS</t>
        </is>
      </c>
      <c r="H14" s="29" t="inlineStr">
        <is>
          <t>BS</t>
        </is>
      </c>
      <c r="I14" s="29" t="inlineStr">
        <is>
          <t>재무상태표</t>
        </is>
      </c>
      <c r="J14" s="29" t="inlineStr">
        <is>
          <t>ifrs-full_OtherNoncurrentFinancialAssets</t>
        </is>
      </c>
      <c r="K14" s="29" t="inlineStr">
        <is>
          <t>장기기타금융자산</t>
        </is>
      </c>
      <c r="L14" s="29" t="inlineStr">
        <is>
          <t>-</t>
        </is>
      </c>
      <c r="M14" s="29" t="inlineStr">
        <is>
          <t>제 69 기</t>
        </is>
      </c>
      <c r="N14" s="29" t="inlineStr">
        <is>
          <t>0.0</t>
        </is>
      </c>
      <c r="O14" s="29" t="inlineStr">
        <is>
          <t>0.0</t>
        </is>
      </c>
      <c r="P14" s="29" t="inlineStr">
        <is>
          <t>KRW</t>
        </is>
      </c>
      <c r="Q14" s="29" t="inlineStr">
        <is>
          <t>12</t>
        </is>
      </c>
    </row>
    <row r="15" ht="24" customHeight="1">
      <c r="A15" s="24" t="inlineStr">
        <is>
          <t>OpenDART_fnlttSinglAcntAll</t>
        </is>
      </c>
      <c r="B15" s="24" t="inlineStr">
        <is>
          <t>00160843</t>
        </is>
      </c>
      <c r="C15" s="24" t="inlineStr">
        <is>
          <t>DB하이텍</t>
        </is>
      </c>
      <c r="D15" s="24" t="inlineStr">
        <is>
          <t>dbhitek</t>
        </is>
      </c>
      <c r="E15" s="24" t="inlineStr">
        <is>
          <t>000990</t>
        </is>
      </c>
      <c r="F15" s="24" t="inlineStr">
        <is>
          <t>2021</t>
        </is>
      </c>
      <c r="G15" s="24" t="inlineStr">
        <is>
          <t>CFS</t>
        </is>
      </c>
      <c r="H15" s="24" t="inlineStr">
        <is>
          <t>BS</t>
        </is>
      </c>
      <c r="I15" s="24" t="inlineStr">
        <is>
          <t>재무상태표</t>
        </is>
      </c>
      <c r="J15" s="24" t="inlineStr">
        <is>
          <t>dart_LongTermTradeAndOtherNonCurrentReceivablesGross</t>
        </is>
      </c>
      <c r="K15" s="24" t="inlineStr">
        <is>
          <t>장기기타채권</t>
        </is>
      </c>
      <c r="L15" s="24" t="inlineStr">
        <is>
          <t>-</t>
        </is>
      </c>
      <c r="M15" s="24" t="inlineStr">
        <is>
          <t>제 69 기</t>
        </is>
      </c>
      <c r="N15" s="24" t="inlineStr">
        <is>
          <t>1508859052.0</t>
        </is>
      </c>
      <c r="O15" s="24" t="inlineStr">
        <is>
          <t>1525996947.0</t>
        </is>
      </c>
      <c r="P15" s="24" t="inlineStr">
        <is>
          <t>KRW</t>
        </is>
      </c>
      <c r="Q15" s="24" t="inlineStr">
        <is>
          <t>13</t>
        </is>
      </c>
    </row>
    <row r="16" ht="24" customHeight="1">
      <c r="A16" s="29" t="inlineStr">
        <is>
          <t>OpenDART_fnlttSinglAcntAll</t>
        </is>
      </c>
      <c r="B16" s="29" t="inlineStr">
        <is>
          <t>00160843</t>
        </is>
      </c>
      <c r="C16" s="29" t="inlineStr">
        <is>
          <t>DB하이텍</t>
        </is>
      </c>
      <c r="D16" s="29" t="inlineStr">
        <is>
          <t>dbhitek</t>
        </is>
      </c>
      <c r="E16" s="29" t="inlineStr">
        <is>
          <t>000990</t>
        </is>
      </c>
      <c r="F16" s="29" t="inlineStr">
        <is>
          <t>2021</t>
        </is>
      </c>
      <c r="G16" s="29" t="inlineStr">
        <is>
          <t>CFS</t>
        </is>
      </c>
      <c r="H16" s="29" t="inlineStr">
        <is>
          <t>BS</t>
        </is>
      </c>
      <c r="I16" s="29" t="inlineStr">
        <is>
          <t>재무상태표</t>
        </is>
      </c>
      <c r="J16" s="29" t="inlineStr">
        <is>
          <t>ifrs-full_NoncurrentFinancialAssetsMeasuredAtFairValueThroughOtherComprehensiveIncome</t>
        </is>
      </c>
      <c r="K16" s="29" t="inlineStr">
        <is>
          <t>기타포괄손익-공정가치 측정 금융자산</t>
        </is>
      </c>
      <c r="L16" s="29" t="inlineStr">
        <is>
          <t>-</t>
        </is>
      </c>
      <c r="M16" s="29" t="inlineStr">
        <is>
          <t>제 69 기</t>
        </is>
      </c>
      <c r="N16" s="29" t="inlineStr">
        <is>
          <t>12169909396.0</t>
        </is>
      </c>
      <c r="O16" s="29" t="inlineStr">
        <is>
          <t>8281521247.0</t>
        </is>
      </c>
      <c r="P16" s="29" t="inlineStr">
        <is>
          <t>KRW</t>
        </is>
      </c>
      <c r="Q16" s="29" t="inlineStr">
        <is>
          <t>14</t>
        </is>
      </c>
    </row>
    <row r="17" ht="24" customHeight="1">
      <c r="A17" s="24" t="inlineStr">
        <is>
          <t>OpenDART_fnlttSinglAcntAll</t>
        </is>
      </c>
      <c r="B17" s="24" t="inlineStr">
        <is>
          <t>00160843</t>
        </is>
      </c>
      <c r="C17" s="24" t="inlineStr">
        <is>
          <t>DB하이텍</t>
        </is>
      </c>
      <c r="D17" s="24" t="inlineStr">
        <is>
          <t>dbhitek</t>
        </is>
      </c>
      <c r="E17" s="24" t="inlineStr">
        <is>
          <t>000990</t>
        </is>
      </c>
      <c r="F17" s="24" t="inlineStr">
        <is>
          <t>2021</t>
        </is>
      </c>
      <c r="G17" s="24" t="inlineStr">
        <is>
          <t>CFS</t>
        </is>
      </c>
      <c r="H17" s="24" t="inlineStr">
        <is>
          <t>BS</t>
        </is>
      </c>
      <c r="I17" s="24" t="inlineStr">
        <is>
          <t>재무상태표</t>
        </is>
      </c>
      <c r="J17" s="24" t="inlineStr">
        <is>
          <t>ifrs-full_InvestmentsInAssociates</t>
        </is>
      </c>
      <c r="K17" s="24" t="inlineStr">
        <is>
          <t>종속기업및관계기업투자</t>
        </is>
      </c>
      <c r="L17" s="24" t="inlineStr">
        <is>
          <t>-</t>
        </is>
      </c>
      <c r="M17" s="24" t="inlineStr">
        <is>
          <t>제 69 기</t>
        </is>
      </c>
      <c r="N17" s="24" t="inlineStr">
        <is>
          <t>29895071381.0</t>
        </is>
      </c>
      <c r="O17" s="24" t="inlineStr">
        <is>
          <t>3677055167.0</t>
        </is>
      </c>
      <c r="P17" s="24" t="inlineStr">
        <is>
          <t>KRW</t>
        </is>
      </c>
      <c r="Q17" s="24" t="inlineStr">
        <is>
          <t>15</t>
        </is>
      </c>
    </row>
    <row r="18" ht="24" customHeight="1">
      <c r="A18" s="29" t="inlineStr">
        <is>
          <t>OpenDART_fnlttSinglAcntAll</t>
        </is>
      </c>
      <c r="B18" s="29" t="inlineStr">
        <is>
          <t>00160843</t>
        </is>
      </c>
      <c r="C18" s="29" t="inlineStr">
        <is>
          <t>DB하이텍</t>
        </is>
      </c>
      <c r="D18" s="29" t="inlineStr">
        <is>
          <t>dbhitek</t>
        </is>
      </c>
      <c r="E18" s="29" t="inlineStr">
        <is>
          <t>000990</t>
        </is>
      </c>
      <c r="F18" s="29" t="inlineStr">
        <is>
          <t>2021</t>
        </is>
      </c>
      <c r="G18" s="29" t="inlineStr">
        <is>
          <t>CFS</t>
        </is>
      </c>
      <c r="H18" s="29" t="inlineStr">
        <is>
          <t>BS</t>
        </is>
      </c>
      <c r="I18" s="29" t="inlineStr">
        <is>
          <t>재무상태표</t>
        </is>
      </c>
      <c r="J18" s="29" t="inlineStr">
        <is>
          <t>ifrs-full_PropertyPlantAndEquipment</t>
        </is>
      </c>
      <c r="K18" s="29" t="inlineStr">
        <is>
          <t>유형자산</t>
        </is>
      </c>
      <c r="L18" s="29" t="inlineStr">
        <is>
          <t>-</t>
        </is>
      </c>
      <c r="M18" s="29" t="inlineStr">
        <is>
          <t>제 69 기</t>
        </is>
      </c>
      <c r="N18" s="29" t="inlineStr">
        <is>
          <t>657794904547.0</t>
        </is>
      </c>
      <c r="O18" s="29" t="inlineStr">
        <is>
          <t>674684075483.0</t>
        </is>
      </c>
      <c r="P18" s="29" t="inlineStr">
        <is>
          <t>KRW</t>
        </is>
      </c>
      <c r="Q18" s="29" t="inlineStr">
        <is>
          <t>16</t>
        </is>
      </c>
    </row>
    <row r="19" ht="24" customHeight="1">
      <c r="A19" s="24" t="inlineStr">
        <is>
          <t>OpenDART_fnlttSinglAcntAll</t>
        </is>
      </c>
      <c r="B19" s="24" t="inlineStr">
        <is>
          <t>00160843</t>
        </is>
      </c>
      <c r="C19" s="24" t="inlineStr">
        <is>
          <t>DB하이텍</t>
        </is>
      </c>
      <c r="D19" s="24" t="inlineStr">
        <is>
          <t>dbhitek</t>
        </is>
      </c>
      <c r="E19" s="24" t="inlineStr">
        <is>
          <t>000990</t>
        </is>
      </c>
      <c r="F19" s="24" t="inlineStr">
        <is>
          <t>2021</t>
        </is>
      </c>
      <c r="G19" s="24" t="inlineStr">
        <is>
          <t>CFS</t>
        </is>
      </c>
      <c r="H19" s="24" t="inlineStr">
        <is>
          <t>BS</t>
        </is>
      </c>
      <c r="I19" s="24" t="inlineStr">
        <is>
          <t>재무상태표</t>
        </is>
      </c>
      <c r="J19" s="24" t="inlineStr">
        <is>
          <t>ifrs-full_IntangibleAssetsOtherThanGoodwill</t>
        </is>
      </c>
      <c r="K19" s="24" t="inlineStr">
        <is>
          <t>무형자산</t>
        </is>
      </c>
      <c r="L19" s="24" t="inlineStr">
        <is>
          <t>-</t>
        </is>
      </c>
      <c r="M19" s="24" t="inlineStr">
        <is>
          <t>제 69 기</t>
        </is>
      </c>
      <c r="N19" s="24" t="inlineStr">
        <is>
          <t>19259609957.0</t>
        </is>
      </c>
      <c r="O19" s="24" t="inlineStr">
        <is>
          <t>21500215361.0</t>
        </is>
      </c>
      <c r="P19" s="24" t="inlineStr">
        <is>
          <t>KRW</t>
        </is>
      </c>
      <c r="Q19" s="24" t="inlineStr">
        <is>
          <t>17</t>
        </is>
      </c>
    </row>
    <row r="20" ht="24" customHeight="1">
      <c r="A20" s="29" t="inlineStr">
        <is>
          <t>OpenDART_fnlttSinglAcntAll</t>
        </is>
      </c>
      <c r="B20" s="29" t="inlineStr">
        <is>
          <t>00160843</t>
        </is>
      </c>
      <c r="C20" s="29" t="inlineStr">
        <is>
          <t>DB하이텍</t>
        </is>
      </c>
      <c r="D20" s="29" t="inlineStr">
        <is>
          <t>dbhitek</t>
        </is>
      </c>
      <c r="E20" s="29" t="inlineStr">
        <is>
          <t>000990</t>
        </is>
      </c>
      <c r="F20" s="29" t="inlineStr">
        <is>
          <t>2021</t>
        </is>
      </c>
      <c r="G20" s="29" t="inlineStr">
        <is>
          <t>CFS</t>
        </is>
      </c>
      <c r="H20" s="29" t="inlineStr">
        <is>
          <t>BS</t>
        </is>
      </c>
      <c r="I20" s="29" t="inlineStr">
        <is>
          <t>재무상태표</t>
        </is>
      </c>
      <c r="J20" s="29" t="inlineStr">
        <is>
          <t>-표준계정코드 미사용-</t>
        </is>
      </c>
      <c r="K20" s="29" t="inlineStr">
        <is>
          <t>순확정급여자산</t>
        </is>
      </c>
      <c r="L20" s="29" t="inlineStr">
        <is>
          <t>-</t>
        </is>
      </c>
      <c r="M20" s="29" t="inlineStr">
        <is>
          <t>제 69 기</t>
        </is>
      </c>
      <c r="N20" s="29" t="inlineStr">
        <is>
          <t>834108929.0</t>
        </is>
      </c>
      <c r="O20" s="29" t="inlineStr">
        <is>
          <t>0.0</t>
        </is>
      </c>
      <c r="P20" s="29" t="inlineStr">
        <is>
          <t>KRW</t>
        </is>
      </c>
      <c r="Q20" s="29" t="inlineStr">
        <is>
          <t>18</t>
        </is>
      </c>
    </row>
    <row r="21" ht="24" customHeight="1">
      <c r="A21" s="24" t="inlineStr">
        <is>
          <t>OpenDART_fnlttSinglAcntAll</t>
        </is>
      </c>
      <c r="B21" s="24" t="inlineStr">
        <is>
          <t>00160843</t>
        </is>
      </c>
      <c r="C21" s="24" t="inlineStr">
        <is>
          <t>DB하이텍</t>
        </is>
      </c>
      <c r="D21" s="24" t="inlineStr">
        <is>
          <t>dbhitek</t>
        </is>
      </c>
      <c r="E21" s="24" t="inlineStr">
        <is>
          <t>000990</t>
        </is>
      </c>
      <c r="F21" s="24" t="inlineStr">
        <is>
          <t>2021</t>
        </is>
      </c>
      <c r="G21" s="24" t="inlineStr">
        <is>
          <t>CFS</t>
        </is>
      </c>
      <c r="H21" s="24" t="inlineStr">
        <is>
          <t>BS</t>
        </is>
      </c>
      <c r="I21" s="24" t="inlineStr">
        <is>
          <t>재무상태표</t>
        </is>
      </c>
      <c r="J21" s="24" t="inlineStr">
        <is>
          <t>dart_OtherNonCurrentAssets</t>
        </is>
      </c>
      <c r="K21" s="24" t="inlineStr">
        <is>
          <t>기타비유동자산</t>
        </is>
      </c>
      <c r="L21" s="24" t="inlineStr">
        <is>
          <t>-</t>
        </is>
      </c>
      <c r="M21" s="24" t="inlineStr">
        <is>
          <t>제 69 기</t>
        </is>
      </c>
      <c r="N21" s="24" t="inlineStr">
        <is>
          <t>2479867451.0</t>
        </is>
      </c>
      <c r="O21" s="24" t="inlineStr">
        <is>
          <t>2487796291.0</t>
        </is>
      </c>
      <c r="P21" s="24" t="inlineStr">
        <is>
          <t>KRW</t>
        </is>
      </c>
      <c r="Q21" s="24" t="inlineStr">
        <is>
          <t>19</t>
        </is>
      </c>
    </row>
    <row r="22" ht="24" customHeight="1">
      <c r="A22" s="29" t="inlineStr">
        <is>
          <t>OpenDART_fnlttSinglAcntAll</t>
        </is>
      </c>
      <c r="B22" s="29" t="inlineStr">
        <is>
          <t>00160843</t>
        </is>
      </c>
      <c r="C22" s="29" t="inlineStr">
        <is>
          <t>DB하이텍</t>
        </is>
      </c>
      <c r="D22" s="29" t="inlineStr">
        <is>
          <t>dbhitek</t>
        </is>
      </c>
      <c r="E22" s="29" t="inlineStr">
        <is>
          <t>000990</t>
        </is>
      </c>
      <c r="F22" s="29" t="inlineStr">
        <is>
          <t>2021</t>
        </is>
      </c>
      <c r="G22" s="29" t="inlineStr">
        <is>
          <t>CFS</t>
        </is>
      </c>
      <c r="H22" s="29" t="inlineStr">
        <is>
          <t>BS</t>
        </is>
      </c>
      <c r="I22" s="29" t="inlineStr">
        <is>
          <t>재무상태표</t>
        </is>
      </c>
      <c r="J22" s="29" t="inlineStr">
        <is>
          <t>ifrs-full_DeferredTaxAssets</t>
        </is>
      </c>
      <c r="K22" s="29" t="inlineStr">
        <is>
          <t>이연법인세자산</t>
        </is>
      </c>
      <c r="L22" s="29" t="inlineStr">
        <is>
          <t>-</t>
        </is>
      </c>
      <c r="M22" s="29" t="inlineStr">
        <is>
          <t>제 69 기</t>
        </is>
      </c>
      <c r="N22" s="29" t="inlineStr">
        <is>
          <t>10743735681.0</t>
        </is>
      </c>
      <c r="O22" s="29" t="inlineStr">
        <is>
          <t>7133740122.0</t>
        </is>
      </c>
      <c r="P22" s="29" t="inlineStr">
        <is>
          <t>KRW</t>
        </is>
      </c>
      <c r="Q22" s="29" t="inlineStr">
        <is>
          <t>20</t>
        </is>
      </c>
    </row>
    <row r="23" ht="24" customHeight="1">
      <c r="A23" s="24" t="inlineStr">
        <is>
          <t>OpenDART_fnlttSinglAcntAll</t>
        </is>
      </c>
      <c r="B23" s="24" t="inlineStr">
        <is>
          <t>00160843</t>
        </is>
      </c>
      <c r="C23" s="24" t="inlineStr">
        <is>
          <t>DB하이텍</t>
        </is>
      </c>
      <c r="D23" s="24" t="inlineStr">
        <is>
          <t>dbhitek</t>
        </is>
      </c>
      <c r="E23" s="24" t="inlineStr">
        <is>
          <t>000990</t>
        </is>
      </c>
      <c r="F23" s="24" t="inlineStr">
        <is>
          <t>2021</t>
        </is>
      </c>
      <c r="G23" s="24" t="inlineStr">
        <is>
          <t>CFS</t>
        </is>
      </c>
      <c r="H23" s="24" t="inlineStr">
        <is>
          <t>BS</t>
        </is>
      </c>
      <c r="I23" s="24" t="inlineStr">
        <is>
          <t>재무상태표</t>
        </is>
      </c>
      <c r="J23" s="24" t="inlineStr">
        <is>
          <t>ifrs-full_Assets</t>
        </is>
      </c>
      <c r="K23" s="24" t="inlineStr">
        <is>
          <t>자산총계</t>
        </is>
      </c>
      <c r="L23" s="24" t="inlineStr">
        <is>
          <t>-</t>
        </is>
      </c>
      <c r="M23" s="24" t="inlineStr">
        <is>
          <t>제 69 기</t>
        </is>
      </c>
      <c r="N23" s="24" t="inlineStr">
        <is>
          <t>1549937895854.0</t>
        </is>
      </c>
      <c r="O23" s="24" t="inlineStr">
        <is>
          <t>1178581197181.0</t>
        </is>
      </c>
      <c r="P23" s="24" t="inlineStr">
        <is>
          <t>KRW</t>
        </is>
      </c>
      <c r="Q23" s="24" t="inlineStr">
        <is>
          <t>21</t>
        </is>
      </c>
    </row>
    <row r="24" ht="24" customHeight="1">
      <c r="A24" s="29" t="inlineStr">
        <is>
          <t>OpenDART_fnlttSinglAcntAll</t>
        </is>
      </c>
      <c r="B24" s="29" t="inlineStr">
        <is>
          <t>00160843</t>
        </is>
      </c>
      <c r="C24" s="29" t="inlineStr">
        <is>
          <t>DB하이텍</t>
        </is>
      </c>
      <c r="D24" s="29" t="inlineStr">
        <is>
          <t>dbhitek</t>
        </is>
      </c>
      <c r="E24" s="29" t="inlineStr">
        <is>
          <t>000990</t>
        </is>
      </c>
      <c r="F24" s="29" t="inlineStr">
        <is>
          <t>2021</t>
        </is>
      </c>
      <c r="G24" s="29" t="inlineStr">
        <is>
          <t>CFS</t>
        </is>
      </c>
      <c r="H24" s="29" t="inlineStr">
        <is>
          <t>BS</t>
        </is>
      </c>
      <c r="I24" s="29" t="inlineStr">
        <is>
          <t>재무상태표</t>
        </is>
      </c>
      <c r="J24" s="29" t="inlineStr">
        <is>
          <t>ifrs-full_CurrentLiabilities</t>
        </is>
      </c>
      <c r="K24" s="29" t="inlineStr">
        <is>
          <t>유동부채</t>
        </is>
      </c>
      <c r="L24" s="29" t="inlineStr">
        <is>
          <t>-</t>
        </is>
      </c>
      <c r="M24" s="29" t="inlineStr">
        <is>
          <t>제 69 기</t>
        </is>
      </c>
      <c r="N24" s="29" t="inlineStr">
        <is>
          <t>335336853432.0</t>
        </is>
      </c>
      <c r="O24" s="29" t="inlineStr">
        <is>
          <t>261704001422.0</t>
        </is>
      </c>
      <c r="P24" s="29" t="inlineStr">
        <is>
          <t>KRW</t>
        </is>
      </c>
      <c r="Q24" s="29" t="inlineStr">
        <is>
          <t>23</t>
        </is>
      </c>
    </row>
    <row r="25" ht="24" customHeight="1">
      <c r="A25" s="24" t="inlineStr">
        <is>
          <t>OpenDART_fnlttSinglAcntAll</t>
        </is>
      </c>
      <c r="B25" s="24" t="inlineStr">
        <is>
          <t>00160843</t>
        </is>
      </c>
      <c r="C25" s="24" t="inlineStr">
        <is>
          <t>DB하이텍</t>
        </is>
      </c>
      <c r="D25" s="24" t="inlineStr">
        <is>
          <t>dbhitek</t>
        </is>
      </c>
      <c r="E25" s="24" t="inlineStr">
        <is>
          <t>000990</t>
        </is>
      </c>
      <c r="F25" s="24" t="inlineStr">
        <is>
          <t>2021</t>
        </is>
      </c>
      <c r="G25" s="24" t="inlineStr">
        <is>
          <t>CFS</t>
        </is>
      </c>
      <c r="H25" s="24" t="inlineStr">
        <is>
          <t>BS</t>
        </is>
      </c>
      <c r="I25" s="24" t="inlineStr">
        <is>
          <t>재무상태표</t>
        </is>
      </c>
      <c r="J25" s="24" t="inlineStr">
        <is>
          <t>dart_ShortTermTradePayables</t>
        </is>
      </c>
      <c r="K25" s="24" t="inlineStr">
        <is>
          <t>매입채무</t>
        </is>
      </c>
      <c r="L25" s="24" t="inlineStr">
        <is>
          <t>-</t>
        </is>
      </c>
      <c r="M25" s="24" t="inlineStr">
        <is>
          <t>제 69 기</t>
        </is>
      </c>
      <c r="N25" s="24" t="inlineStr">
        <is>
          <t>44247176056.0</t>
        </is>
      </c>
      <c r="O25" s="24" t="inlineStr">
        <is>
          <t>36813081481.0</t>
        </is>
      </c>
      <c r="P25" s="24" t="inlineStr">
        <is>
          <t>KRW</t>
        </is>
      </c>
      <c r="Q25" s="24" t="inlineStr">
        <is>
          <t>24</t>
        </is>
      </c>
    </row>
    <row r="26" ht="24" customHeight="1">
      <c r="A26" s="29" t="inlineStr">
        <is>
          <t>OpenDART_fnlttSinglAcntAll</t>
        </is>
      </c>
      <c r="B26" s="29" t="inlineStr">
        <is>
          <t>00160843</t>
        </is>
      </c>
      <c r="C26" s="29" t="inlineStr">
        <is>
          <t>DB하이텍</t>
        </is>
      </c>
      <c r="D26" s="29" t="inlineStr">
        <is>
          <t>dbhitek</t>
        </is>
      </c>
      <c r="E26" s="29" t="inlineStr">
        <is>
          <t>000990</t>
        </is>
      </c>
      <c r="F26" s="29" t="inlineStr">
        <is>
          <t>2021</t>
        </is>
      </c>
      <c r="G26" s="29" t="inlineStr">
        <is>
          <t>CFS</t>
        </is>
      </c>
      <c r="H26" s="29" t="inlineStr">
        <is>
          <t>BS</t>
        </is>
      </c>
      <c r="I26" s="29" t="inlineStr">
        <is>
          <t>재무상태표</t>
        </is>
      </c>
      <c r="J26" s="29" t="inlineStr">
        <is>
          <t>ifrs-full_ShorttermBorrowings</t>
        </is>
      </c>
      <c r="K26" s="29" t="inlineStr">
        <is>
          <t>단기차입금</t>
        </is>
      </c>
      <c r="L26" s="29" t="inlineStr">
        <is>
          <t>-</t>
        </is>
      </c>
      <c r="M26" s="29" t="inlineStr">
        <is>
          <t>제 69 기</t>
        </is>
      </c>
      <c r="N26" s="29" t="inlineStr">
        <is>
          <t>33620487958.0</t>
        </is>
      </c>
      <c r="O26" s="29" t="inlineStr">
        <is>
          <t>15209836486.0</t>
        </is>
      </c>
      <c r="P26" s="29" t="inlineStr">
        <is>
          <t>KRW</t>
        </is>
      </c>
      <c r="Q26" s="29" t="inlineStr">
        <is>
          <t>25</t>
        </is>
      </c>
    </row>
    <row r="27" ht="24" customHeight="1">
      <c r="A27" s="24" t="inlineStr">
        <is>
          <t>OpenDART_fnlttSinglAcntAll</t>
        </is>
      </c>
      <c r="B27" s="24" t="inlineStr">
        <is>
          <t>00160843</t>
        </is>
      </c>
      <c r="C27" s="24" t="inlineStr">
        <is>
          <t>DB하이텍</t>
        </is>
      </c>
      <c r="D27" s="24" t="inlineStr">
        <is>
          <t>dbhitek</t>
        </is>
      </c>
      <c r="E27" s="24" t="inlineStr">
        <is>
          <t>000990</t>
        </is>
      </c>
      <c r="F27" s="24" t="inlineStr">
        <is>
          <t>2021</t>
        </is>
      </c>
      <c r="G27" s="24" t="inlineStr">
        <is>
          <t>CFS</t>
        </is>
      </c>
      <c r="H27" s="24" t="inlineStr">
        <is>
          <t>BS</t>
        </is>
      </c>
      <c r="I27" s="24" t="inlineStr">
        <is>
          <t>재무상태표</t>
        </is>
      </c>
      <c r="J27" s="24" t="inlineStr">
        <is>
          <t>ifrs-full_CurrentPortionOfLongtermBorrowings</t>
        </is>
      </c>
      <c r="K27" s="24" t="inlineStr">
        <is>
          <t>유동성장기차입금</t>
        </is>
      </c>
      <c r="L27" s="24" t="inlineStr">
        <is>
          <t>-</t>
        </is>
      </c>
      <c r="M27" s="24" t="inlineStr">
        <is>
          <t>제 69 기</t>
        </is>
      </c>
      <c r="N27" s="24" t="inlineStr">
        <is>
          <t>36462710177.0</t>
        </is>
      </c>
      <c r="O27" s="24" t="inlineStr">
        <is>
          <t>56876690388.0</t>
        </is>
      </c>
      <c r="P27" s="24" t="inlineStr">
        <is>
          <t>KRW</t>
        </is>
      </c>
      <c r="Q27" s="24" t="inlineStr">
        <is>
          <t>26</t>
        </is>
      </c>
    </row>
    <row r="28" ht="24" customHeight="1">
      <c r="A28" s="29" t="inlineStr">
        <is>
          <t>OpenDART_fnlttSinglAcntAll</t>
        </is>
      </c>
      <c r="B28" s="29" t="inlineStr">
        <is>
          <t>00160843</t>
        </is>
      </c>
      <c r="C28" s="29" t="inlineStr">
        <is>
          <t>DB하이텍</t>
        </is>
      </c>
      <c r="D28" s="29" t="inlineStr">
        <is>
          <t>dbhitek</t>
        </is>
      </c>
      <c r="E28" s="29" t="inlineStr">
        <is>
          <t>000990</t>
        </is>
      </c>
      <c r="F28" s="29" t="inlineStr">
        <is>
          <t>2021</t>
        </is>
      </c>
      <c r="G28" s="29" t="inlineStr">
        <is>
          <t>CFS</t>
        </is>
      </c>
      <c r="H28" s="29" t="inlineStr">
        <is>
          <t>BS</t>
        </is>
      </c>
      <c r="I28" s="29" t="inlineStr">
        <is>
          <t>재무상태표</t>
        </is>
      </c>
      <c r="J28" s="29" t="inlineStr">
        <is>
          <t>ifrs-full_TradeAndOtherCurrentPayables</t>
        </is>
      </c>
      <c r="K28" s="29" t="inlineStr">
        <is>
          <t>기타지급채무</t>
        </is>
      </c>
      <c r="L28" s="29" t="inlineStr">
        <is>
          <t>-</t>
        </is>
      </c>
      <c r="M28" s="29" t="inlineStr">
        <is>
          <t>제 69 기</t>
        </is>
      </c>
      <c r="N28" s="29" t="inlineStr">
        <is>
          <t>99160074032.0</t>
        </is>
      </c>
      <c r="O28" s="29" t="inlineStr">
        <is>
          <t>77124348218.0</t>
        </is>
      </c>
      <c r="P28" s="29" t="inlineStr">
        <is>
          <t>KRW</t>
        </is>
      </c>
      <c r="Q28" s="29" t="inlineStr">
        <is>
          <t>27</t>
        </is>
      </c>
    </row>
    <row r="29" ht="24" customHeight="1">
      <c r="A29" s="24" t="inlineStr">
        <is>
          <t>OpenDART_fnlttSinglAcntAll</t>
        </is>
      </c>
      <c r="B29" s="24" t="inlineStr">
        <is>
          <t>00160843</t>
        </is>
      </c>
      <c r="C29" s="24" t="inlineStr">
        <is>
          <t>DB하이텍</t>
        </is>
      </c>
      <c r="D29" s="24" t="inlineStr">
        <is>
          <t>dbhitek</t>
        </is>
      </c>
      <c r="E29" s="24" t="inlineStr">
        <is>
          <t>000990</t>
        </is>
      </c>
      <c r="F29" s="24" t="inlineStr">
        <is>
          <t>2021</t>
        </is>
      </c>
      <c r="G29" s="24" t="inlineStr">
        <is>
          <t>CFS</t>
        </is>
      </c>
      <c r="H29" s="24" t="inlineStr">
        <is>
          <t>BS</t>
        </is>
      </c>
      <c r="I29" s="24" t="inlineStr">
        <is>
          <t>재무상태표</t>
        </is>
      </c>
      <c r="J29" s="24" t="inlineStr">
        <is>
          <t>ifrs-full_OtherCurrentFinancialLiabilities</t>
        </is>
      </c>
      <c r="K29" s="24" t="inlineStr">
        <is>
          <t>기타금융부채</t>
        </is>
      </c>
      <c r="L29" s="24" t="inlineStr">
        <is>
          <t>-</t>
        </is>
      </c>
      <c r="M29" s="24" t="inlineStr">
        <is>
          <t>제 69 기</t>
        </is>
      </c>
      <c r="N29" s="24" t="inlineStr">
        <is>
          <t>4013872402.0</t>
        </is>
      </c>
      <c r="O29" s="24" t="inlineStr">
        <is>
          <t>6296915875.0</t>
        </is>
      </c>
      <c r="P29" s="24" t="inlineStr">
        <is>
          <t>KRW</t>
        </is>
      </c>
      <c r="Q29" s="24" t="inlineStr">
        <is>
          <t>28</t>
        </is>
      </c>
    </row>
    <row r="30" ht="24" customHeight="1">
      <c r="A30" s="29" t="inlineStr">
        <is>
          <t>OpenDART_fnlttSinglAcntAll</t>
        </is>
      </c>
      <c r="B30" s="29" t="inlineStr">
        <is>
          <t>00160843</t>
        </is>
      </c>
      <c r="C30" s="29" t="inlineStr">
        <is>
          <t>DB하이텍</t>
        </is>
      </c>
      <c r="D30" s="29" t="inlineStr">
        <is>
          <t>dbhitek</t>
        </is>
      </c>
      <c r="E30" s="29" t="inlineStr">
        <is>
          <t>000990</t>
        </is>
      </c>
      <c r="F30" s="29" t="inlineStr">
        <is>
          <t>2021</t>
        </is>
      </c>
      <c r="G30" s="29" t="inlineStr">
        <is>
          <t>CFS</t>
        </is>
      </c>
      <c r="H30" s="29" t="inlineStr">
        <is>
          <t>BS</t>
        </is>
      </c>
      <c r="I30" s="29" t="inlineStr">
        <is>
          <t>재무상태표</t>
        </is>
      </c>
      <c r="J30" s="29" t="inlineStr">
        <is>
          <t>ifrs-full_CurrentTaxLiabilities</t>
        </is>
      </c>
      <c r="K30" s="29" t="inlineStr">
        <is>
          <t>당기법인세부채</t>
        </is>
      </c>
      <c r="L30" s="29" t="inlineStr">
        <is>
          <t>-</t>
        </is>
      </c>
      <c r="M30" s="29" t="inlineStr">
        <is>
          <t>제 69 기</t>
        </is>
      </c>
      <c r="N30" s="29" t="inlineStr">
        <is>
          <t>78343200669.0</t>
        </is>
      </c>
      <c r="O30" s="29" t="inlineStr">
        <is>
          <t>36100495486.0</t>
        </is>
      </c>
      <c r="P30" s="29" t="inlineStr">
        <is>
          <t>KRW</t>
        </is>
      </c>
      <c r="Q30" s="29" t="inlineStr">
        <is>
          <t>29</t>
        </is>
      </c>
    </row>
    <row r="31" ht="24" customHeight="1">
      <c r="A31" s="24" t="inlineStr">
        <is>
          <t>OpenDART_fnlttSinglAcntAll</t>
        </is>
      </c>
      <c r="B31" s="24" t="inlineStr">
        <is>
          <t>00160843</t>
        </is>
      </c>
      <c r="C31" s="24" t="inlineStr">
        <is>
          <t>DB하이텍</t>
        </is>
      </c>
      <c r="D31" s="24" t="inlineStr">
        <is>
          <t>dbhitek</t>
        </is>
      </c>
      <c r="E31" s="24" t="inlineStr">
        <is>
          <t>000990</t>
        </is>
      </c>
      <c r="F31" s="24" t="inlineStr">
        <is>
          <t>2021</t>
        </is>
      </c>
      <c r="G31" s="24" t="inlineStr">
        <is>
          <t>CFS</t>
        </is>
      </c>
      <c r="H31" s="24" t="inlineStr">
        <is>
          <t>BS</t>
        </is>
      </c>
      <c r="I31" s="24" t="inlineStr">
        <is>
          <t>재무상태표</t>
        </is>
      </c>
      <c r="J31" s="24" t="inlineStr">
        <is>
          <t>dart_OtherCurrentLiabilities</t>
        </is>
      </c>
      <c r="K31" s="24" t="inlineStr">
        <is>
          <t>기타유동부채</t>
        </is>
      </c>
      <c r="L31" s="24" t="inlineStr">
        <is>
          <t>-</t>
        </is>
      </c>
      <c r="M31" s="24" t="inlineStr">
        <is>
          <t>제 69 기</t>
        </is>
      </c>
      <c r="N31" s="24" t="inlineStr">
        <is>
          <t>36873144024.0</t>
        </is>
      </c>
      <c r="O31" s="24" t="inlineStr">
        <is>
          <t>30506709070.0</t>
        </is>
      </c>
      <c r="P31" s="24" t="inlineStr">
        <is>
          <t>KRW</t>
        </is>
      </c>
      <c r="Q31" s="24" t="inlineStr">
        <is>
          <t>30</t>
        </is>
      </c>
    </row>
    <row r="32" ht="24" customHeight="1">
      <c r="A32" s="29" t="inlineStr">
        <is>
          <t>OpenDART_fnlttSinglAcntAll</t>
        </is>
      </c>
      <c r="B32" s="29" t="inlineStr">
        <is>
          <t>00160843</t>
        </is>
      </c>
      <c r="C32" s="29" t="inlineStr">
        <is>
          <t>DB하이텍</t>
        </is>
      </c>
      <c r="D32" s="29" t="inlineStr">
        <is>
          <t>dbhitek</t>
        </is>
      </c>
      <c r="E32" s="29" t="inlineStr">
        <is>
          <t>000990</t>
        </is>
      </c>
      <c r="F32" s="29" t="inlineStr">
        <is>
          <t>2021</t>
        </is>
      </c>
      <c r="G32" s="29" t="inlineStr">
        <is>
          <t>CFS</t>
        </is>
      </c>
      <c r="H32" s="29" t="inlineStr">
        <is>
          <t>BS</t>
        </is>
      </c>
      <c r="I32" s="29" t="inlineStr">
        <is>
          <t>재무상태표</t>
        </is>
      </c>
      <c r="J32" s="29" t="inlineStr">
        <is>
          <t>ifrs-full_CurrentProvisions</t>
        </is>
      </c>
      <c r="K32" s="29" t="inlineStr">
        <is>
          <t>충당부채</t>
        </is>
      </c>
      <c r="L32" s="29" t="inlineStr">
        <is>
          <t>-</t>
        </is>
      </c>
      <c r="M32" s="29" t="inlineStr">
        <is>
          <t>제 69 기</t>
        </is>
      </c>
      <c r="N32" s="29" t="inlineStr">
        <is>
          <t>2616188114.0</t>
        </is>
      </c>
      <c r="O32" s="29" t="inlineStr">
        <is>
          <t>2775924418.0</t>
        </is>
      </c>
      <c r="P32" s="29" t="inlineStr">
        <is>
          <t>KRW</t>
        </is>
      </c>
      <c r="Q32" s="29" t="inlineStr">
        <is>
          <t>31</t>
        </is>
      </c>
    </row>
    <row r="33" ht="24" customHeight="1">
      <c r="A33" s="24" t="inlineStr">
        <is>
          <t>OpenDART_fnlttSinglAcntAll</t>
        </is>
      </c>
      <c r="B33" s="24" t="inlineStr">
        <is>
          <t>00160843</t>
        </is>
      </c>
      <c r="C33" s="24" t="inlineStr">
        <is>
          <t>DB하이텍</t>
        </is>
      </c>
      <c r="D33" s="24" t="inlineStr">
        <is>
          <t>dbhitek</t>
        </is>
      </c>
      <c r="E33" s="24" t="inlineStr">
        <is>
          <t>000990</t>
        </is>
      </c>
      <c r="F33" s="24" t="inlineStr">
        <is>
          <t>2021</t>
        </is>
      </c>
      <c r="G33" s="24" t="inlineStr">
        <is>
          <t>CFS</t>
        </is>
      </c>
      <c r="H33" s="24" t="inlineStr">
        <is>
          <t>BS</t>
        </is>
      </c>
      <c r="I33" s="24" t="inlineStr">
        <is>
          <t>재무상태표</t>
        </is>
      </c>
      <c r="J33" s="24" t="inlineStr">
        <is>
          <t>ifrs-full_NoncurrentLiabilities</t>
        </is>
      </c>
      <c r="K33" s="24" t="inlineStr">
        <is>
          <t>비유동부채</t>
        </is>
      </c>
      <c r="L33" s="24" t="inlineStr">
        <is>
          <t>-</t>
        </is>
      </c>
      <c r="M33" s="24" t="inlineStr">
        <is>
          <t>제 69 기</t>
        </is>
      </c>
      <c r="N33" s="24" t="inlineStr">
        <is>
          <t>108551336376.0</t>
        </is>
      </c>
      <c r="O33" s="24" t="inlineStr">
        <is>
          <t>122292683182.0</t>
        </is>
      </c>
      <c r="P33" s="24" t="inlineStr">
        <is>
          <t>KRW</t>
        </is>
      </c>
      <c r="Q33" s="24" t="inlineStr">
        <is>
          <t>32</t>
        </is>
      </c>
    </row>
    <row r="34" ht="24" customHeight="1">
      <c r="A34" s="29" t="inlineStr">
        <is>
          <t>OpenDART_fnlttSinglAcntAll</t>
        </is>
      </c>
      <c r="B34" s="29" t="inlineStr">
        <is>
          <t>00160843</t>
        </is>
      </c>
      <c r="C34" s="29" t="inlineStr">
        <is>
          <t>DB하이텍</t>
        </is>
      </c>
      <c r="D34" s="29" t="inlineStr">
        <is>
          <t>dbhitek</t>
        </is>
      </c>
      <c r="E34" s="29" t="inlineStr">
        <is>
          <t>000990</t>
        </is>
      </c>
      <c r="F34" s="29" t="inlineStr">
        <is>
          <t>2021</t>
        </is>
      </c>
      <c r="G34" s="29" t="inlineStr">
        <is>
          <t>CFS</t>
        </is>
      </c>
      <c r="H34" s="29" t="inlineStr">
        <is>
          <t>BS</t>
        </is>
      </c>
      <c r="I34" s="29" t="inlineStr">
        <is>
          <t>재무상태표</t>
        </is>
      </c>
      <c r="J34" s="29" t="inlineStr">
        <is>
          <t>dart_LongTermBorrowingsGross</t>
        </is>
      </c>
      <c r="K34" s="29" t="inlineStr">
        <is>
          <t>장기차입금</t>
        </is>
      </c>
      <c r="L34" s="29" t="inlineStr">
        <is>
          <t>-</t>
        </is>
      </c>
      <c r="M34" s="29" t="inlineStr">
        <is>
          <t>제 69 기</t>
        </is>
      </c>
      <c r="N34" s="29" t="inlineStr">
        <is>
          <t>96499920000.0</t>
        </is>
      </c>
      <c r="O34" s="29" t="inlineStr">
        <is>
          <t>96717357788.0</t>
        </is>
      </c>
      <c r="P34" s="29" t="inlineStr">
        <is>
          <t>KRW</t>
        </is>
      </c>
      <c r="Q34" s="29" t="inlineStr">
        <is>
          <t>33</t>
        </is>
      </c>
    </row>
    <row r="35" ht="24" customHeight="1">
      <c r="A35" s="24" t="inlineStr">
        <is>
          <t>OpenDART_fnlttSinglAcntAll</t>
        </is>
      </c>
      <c r="B35" s="24" t="inlineStr">
        <is>
          <t>00160843</t>
        </is>
      </c>
      <c r="C35" s="24" t="inlineStr">
        <is>
          <t>DB하이텍</t>
        </is>
      </c>
      <c r="D35" s="24" t="inlineStr">
        <is>
          <t>dbhitek</t>
        </is>
      </c>
      <c r="E35" s="24" t="inlineStr">
        <is>
          <t>000990</t>
        </is>
      </c>
      <c r="F35" s="24" t="inlineStr">
        <is>
          <t>2021</t>
        </is>
      </c>
      <c r="G35" s="24" t="inlineStr">
        <is>
          <t>CFS</t>
        </is>
      </c>
      <c r="H35" s="24" t="inlineStr">
        <is>
          <t>BS</t>
        </is>
      </c>
      <c r="I35" s="24" t="inlineStr">
        <is>
          <t>재무상태표</t>
        </is>
      </c>
      <c r="J35" s="24" t="inlineStr">
        <is>
          <t>dart_LongTermTradeAndOtherNonCurrentPayables</t>
        </is>
      </c>
      <c r="K35" s="24" t="inlineStr">
        <is>
          <t>장기기타지급채무</t>
        </is>
      </c>
      <c r="L35" s="24" t="inlineStr">
        <is>
          <t>-</t>
        </is>
      </c>
      <c r="M35" s="24" t="inlineStr">
        <is>
          <t>제 69 기</t>
        </is>
      </c>
      <c r="N35" s="24" t="inlineStr">
        <is>
          <t>10607022489.0</t>
        </is>
      </c>
      <c r="O35" s="24" t="inlineStr">
        <is>
          <t>2879076811.0</t>
        </is>
      </c>
      <c r="P35" s="24" t="inlineStr">
        <is>
          <t>KRW</t>
        </is>
      </c>
      <c r="Q35" s="24" t="inlineStr">
        <is>
          <t>34</t>
        </is>
      </c>
    </row>
    <row r="36" ht="24" customHeight="1">
      <c r="A36" s="29" t="inlineStr">
        <is>
          <t>OpenDART_fnlttSinglAcntAll</t>
        </is>
      </c>
      <c r="B36" s="29" t="inlineStr">
        <is>
          <t>00160843</t>
        </is>
      </c>
      <c r="C36" s="29" t="inlineStr">
        <is>
          <t>DB하이텍</t>
        </is>
      </c>
      <c r="D36" s="29" t="inlineStr">
        <is>
          <t>dbhitek</t>
        </is>
      </c>
      <c r="E36" s="29" t="inlineStr">
        <is>
          <t>000990</t>
        </is>
      </c>
      <c r="F36" s="29" t="inlineStr">
        <is>
          <t>2021</t>
        </is>
      </c>
      <c r="G36" s="29" t="inlineStr">
        <is>
          <t>CFS</t>
        </is>
      </c>
      <c r="H36" s="29" t="inlineStr">
        <is>
          <t>BS</t>
        </is>
      </c>
      <c r="I36" s="29" t="inlineStr">
        <is>
          <t>재무상태표</t>
        </is>
      </c>
      <c r="J36" s="29" t="inlineStr">
        <is>
          <t>dart_PostemploymentBenefitObligations</t>
        </is>
      </c>
      <c r="K36" s="29" t="inlineStr">
        <is>
          <t>순확정급여부채</t>
        </is>
      </c>
      <c r="L36" s="29" t="inlineStr">
        <is>
          <t>-</t>
        </is>
      </c>
      <c r="M36" s="29" t="inlineStr">
        <is>
          <t>제 69 기</t>
        </is>
      </c>
      <c r="N36" s="29" t="inlineStr">
        <is>
          <t>0.0</t>
        </is>
      </c>
      <c r="O36" s="29" t="inlineStr">
        <is>
          <t>17339352203.0</t>
        </is>
      </c>
      <c r="P36" s="29" t="inlineStr">
        <is>
          <t>KRW</t>
        </is>
      </c>
      <c r="Q36" s="29" t="inlineStr">
        <is>
          <t>35</t>
        </is>
      </c>
    </row>
    <row r="37" ht="24" customHeight="1">
      <c r="A37" s="24" t="inlineStr">
        <is>
          <t>OpenDART_fnlttSinglAcntAll</t>
        </is>
      </c>
      <c r="B37" s="24" t="inlineStr">
        <is>
          <t>00160843</t>
        </is>
      </c>
      <c r="C37" s="24" t="inlineStr">
        <is>
          <t>DB하이텍</t>
        </is>
      </c>
      <c r="D37" s="24" t="inlineStr">
        <is>
          <t>dbhitek</t>
        </is>
      </c>
      <c r="E37" s="24" t="inlineStr">
        <is>
          <t>000990</t>
        </is>
      </c>
      <c r="F37" s="24" t="inlineStr">
        <is>
          <t>2021</t>
        </is>
      </c>
      <c r="G37" s="24" t="inlineStr">
        <is>
          <t>CFS</t>
        </is>
      </c>
      <c r="H37" s="24" t="inlineStr">
        <is>
          <t>BS</t>
        </is>
      </c>
      <c r="I37" s="24" t="inlineStr">
        <is>
          <t>재무상태표</t>
        </is>
      </c>
      <c r="J37" s="24" t="inlineStr">
        <is>
          <t>ifrs-full_OtherNoncurrentFinancialLiabilities</t>
        </is>
      </c>
      <c r="K37" s="24" t="inlineStr">
        <is>
          <t>장기기타금융부채</t>
        </is>
      </c>
      <c r="L37" s="24" t="inlineStr">
        <is>
          <t>-</t>
        </is>
      </c>
      <c r="M37" s="24" t="inlineStr">
        <is>
          <t>제 69 기</t>
        </is>
      </c>
      <c r="N37" s="24" t="inlineStr">
        <is>
          <t>1191464713.0</t>
        </is>
      </c>
      <c r="O37" s="24" t="inlineStr">
        <is>
          <t>5016739752.0</t>
        </is>
      </c>
      <c r="P37" s="24" t="inlineStr">
        <is>
          <t>KRW</t>
        </is>
      </c>
      <c r="Q37" s="24" t="inlineStr">
        <is>
          <t>36</t>
        </is>
      </c>
    </row>
    <row r="38" ht="24" customHeight="1">
      <c r="A38" s="29" t="inlineStr">
        <is>
          <t>OpenDART_fnlttSinglAcntAll</t>
        </is>
      </c>
      <c r="B38" s="29" t="inlineStr">
        <is>
          <t>00160843</t>
        </is>
      </c>
      <c r="C38" s="29" t="inlineStr">
        <is>
          <t>DB하이텍</t>
        </is>
      </c>
      <c r="D38" s="29" t="inlineStr">
        <is>
          <t>dbhitek</t>
        </is>
      </c>
      <c r="E38" s="29" t="inlineStr">
        <is>
          <t>000990</t>
        </is>
      </c>
      <c r="F38" s="29" t="inlineStr">
        <is>
          <t>2021</t>
        </is>
      </c>
      <c r="G38" s="29" t="inlineStr">
        <is>
          <t>CFS</t>
        </is>
      </c>
      <c r="H38" s="29" t="inlineStr">
        <is>
          <t>BS</t>
        </is>
      </c>
      <c r="I38" s="29" t="inlineStr">
        <is>
          <t>재무상태표</t>
        </is>
      </c>
      <c r="J38" s="29" t="inlineStr">
        <is>
          <t>ifrs-full_NoncurrentProvisions</t>
        </is>
      </c>
      <c r="K38" s="29" t="inlineStr">
        <is>
          <t>장기충당부채</t>
        </is>
      </c>
      <c r="L38" s="29" t="inlineStr">
        <is>
          <t>-</t>
        </is>
      </c>
      <c r="M38" s="29" t="inlineStr">
        <is>
          <t>제 69 기</t>
        </is>
      </c>
      <c r="N38" s="29" t="inlineStr">
        <is>
          <t>252929174.0</t>
        </is>
      </c>
      <c r="O38" s="29" t="inlineStr">
        <is>
          <t>340156628.0</t>
        </is>
      </c>
      <c r="P38" s="29" t="inlineStr">
        <is>
          <t>KRW</t>
        </is>
      </c>
      <c r="Q38" s="29" t="inlineStr">
        <is>
          <t>37</t>
        </is>
      </c>
    </row>
    <row r="39" ht="24" customHeight="1">
      <c r="A39" s="24" t="inlineStr">
        <is>
          <t>OpenDART_fnlttSinglAcntAll</t>
        </is>
      </c>
      <c r="B39" s="24" t="inlineStr">
        <is>
          <t>00160843</t>
        </is>
      </c>
      <c r="C39" s="24" t="inlineStr">
        <is>
          <t>DB하이텍</t>
        </is>
      </c>
      <c r="D39" s="24" t="inlineStr">
        <is>
          <t>dbhitek</t>
        </is>
      </c>
      <c r="E39" s="24" t="inlineStr">
        <is>
          <t>000990</t>
        </is>
      </c>
      <c r="F39" s="24" t="inlineStr">
        <is>
          <t>2021</t>
        </is>
      </c>
      <c r="G39" s="24" t="inlineStr">
        <is>
          <t>CFS</t>
        </is>
      </c>
      <c r="H39" s="24" t="inlineStr">
        <is>
          <t>BS</t>
        </is>
      </c>
      <c r="I39" s="24" t="inlineStr">
        <is>
          <t>재무상태표</t>
        </is>
      </c>
      <c r="J39" s="24" t="inlineStr">
        <is>
          <t>ifrs-full_Liabilities</t>
        </is>
      </c>
      <c r="K39" s="24" t="inlineStr">
        <is>
          <t>부채총계</t>
        </is>
      </c>
      <c r="L39" s="24" t="inlineStr">
        <is>
          <t>-</t>
        </is>
      </c>
      <c r="M39" s="24" t="inlineStr">
        <is>
          <t>제 69 기</t>
        </is>
      </c>
      <c r="N39" s="24" t="inlineStr">
        <is>
          <t>443888189808.0</t>
        </is>
      </c>
      <c r="O39" s="24" t="inlineStr">
        <is>
          <t>383996684604.0</t>
        </is>
      </c>
      <c r="P39" s="24" t="inlineStr">
        <is>
          <t>KRW</t>
        </is>
      </c>
      <c r="Q39" s="24" t="inlineStr">
        <is>
          <t>38</t>
        </is>
      </c>
    </row>
    <row r="40" ht="24" customHeight="1">
      <c r="A40" s="29" t="inlineStr">
        <is>
          <t>OpenDART_fnlttSinglAcntAll</t>
        </is>
      </c>
      <c r="B40" s="29" t="inlineStr">
        <is>
          <t>00160843</t>
        </is>
      </c>
      <c r="C40" s="29" t="inlineStr">
        <is>
          <t>DB하이텍</t>
        </is>
      </c>
      <c r="D40" s="29" t="inlineStr">
        <is>
          <t>dbhitek</t>
        </is>
      </c>
      <c r="E40" s="29" t="inlineStr">
        <is>
          <t>000990</t>
        </is>
      </c>
      <c r="F40" s="29" t="inlineStr">
        <is>
          <t>2021</t>
        </is>
      </c>
      <c r="G40" s="29" t="inlineStr">
        <is>
          <t>CFS</t>
        </is>
      </c>
      <c r="H40" s="29" t="inlineStr">
        <is>
          <t>BS</t>
        </is>
      </c>
      <c r="I40" s="29" t="inlineStr">
        <is>
          <t>재무상태표</t>
        </is>
      </c>
      <c r="J40" s="29" t="inlineStr">
        <is>
          <t>ifrs-full_EquityAttributableToOwnersOfParent</t>
        </is>
      </c>
      <c r="K40" s="29" t="inlineStr">
        <is>
          <t>지배기업의 소유주에게 귀속되는 자본</t>
        </is>
      </c>
      <c r="L40" s="29" t="inlineStr">
        <is>
          <t>-</t>
        </is>
      </c>
      <c r="M40" s="29" t="inlineStr">
        <is>
          <t>제 69 기</t>
        </is>
      </c>
      <c r="N40" s="29" t="inlineStr">
        <is>
          <t>1106049706046.0</t>
        </is>
      </c>
      <c r="O40" s="29" t="inlineStr">
        <is>
          <t>794584512577.0</t>
        </is>
      </c>
      <c r="P40" s="29" t="inlineStr">
        <is>
          <t>KRW</t>
        </is>
      </c>
      <c r="Q40" s="29" t="inlineStr">
        <is>
          <t>40</t>
        </is>
      </c>
    </row>
    <row r="41" ht="24" customHeight="1">
      <c r="A41" s="24" t="inlineStr">
        <is>
          <t>OpenDART_fnlttSinglAcntAll</t>
        </is>
      </c>
      <c r="B41" s="24" t="inlineStr">
        <is>
          <t>00160843</t>
        </is>
      </c>
      <c r="C41" s="24" t="inlineStr">
        <is>
          <t>DB하이텍</t>
        </is>
      </c>
      <c r="D41" s="24" t="inlineStr">
        <is>
          <t>dbhitek</t>
        </is>
      </c>
      <c r="E41" s="24" t="inlineStr">
        <is>
          <t>000990</t>
        </is>
      </c>
      <c r="F41" s="24" t="inlineStr">
        <is>
          <t>2021</t>
        </is>
      </c>
      <c r="G41" s="24" t="inlineStr">
        <is>
          <t>CFS</t>
        </is>
      </c>
      <c r="H41" s="24" t="inlineStr">
        <is>
          <t>BS</t>
        </is>
      </c>
      <c r="I41" s="24" t="inlineStr">
        <is>
          <t>재무상태표</t>
        </is>
      </c>
      <c r="J41" s="24" t="inlineStr">
        <is>
          <t>ifrs-full_IssuedCapital</t>
        </is>
      </c>
      <c r="K41" s="24" t="inlineStr">
        <is>
          <t>자본금</t>
        </is>
      </c>
      <c r="L41" s="24" t="inlineStr">
        <is>
          <t>-</t>
        </is>
      </c>
      <c r="M41" s="24" t="inlineStr">
        <is>
          <t>제 69 기</t>
        </is>
      </c>
      <c r="N41" s="24" t="inlineStr">
        <is>
          <t>222555835000.0</t>
        </is>
      </c>
      <c r="O41" s="24" t="inlineStr">
        <is>
          <t>222555835000.0</t>
        </is>
      </c>
      <c r="P41" s="24" t="inlineStr">
        <is>
          <t>KRW</t>
        </is>
      </c>
      <c r="Q41" s="24" t="inlineStr">
        <is>
          <t>41</t>
        </is>
      </c>
    </row>
    <row r="42" ht="24" customHeight="1">
      <c r="A42" s="29" t="inlineStr">
        <is>
          <t>OpenDART_fnlttSinglAcntAll</t>
        </is>
      </c>
      <c r="B42" s="29" t="inlineStr">
        <is>
          <t>00160843</t>
        </is>
      </c>
      <c r="C42" s="29" t="inlineStr">
        <is>
          <t>DB하이텍</t>
        </is>
      </c>
      <c r="D42" s="29" t="inlineStr">
        <is>
          <t>dbhitek</t>
        </is>
      </c>
      <c r="E42" s="29" t="inlineStr">
        <is>
          <t>000990</t>
        </is>
      </c>
      <c r="F42" s="29" t="inlineStr">
        <is>
          <t>2021</t>
        </is>
      </c>
      <c r="G42" s="29" t="inlineStr">
        <is>
          <t>CFS</t>
        </is>
      </c>
      <c r="H42" s="29" t="inlineStr">
        <is>
          <t>BS</t>
        </is>
      </c>
      <c r="I42" s="29" t="inlineStr">
        <is>
          <t>재무상태표</t>
        </is>
      </c>
      <c r="J42" s="29" t="inlineStr">
        <is>
          <t>dart_IssuedCapitalOfCommonStock</t>
        </is>
      </c>
      <c r="K42" s="29" t="inlineStr">
        <is>
          <t>보통주자본금</t>
        </is>
      </c>
      <c r="L42" s="29" t="inlineStr">
        <is>
          <t>-</t>
        </is>
      </c>
      <c r="M42" s="29" t="inlineStr">
        <is>
          <t>제 69 기</t>
        </is>
      </c>
      <c r="N42" s="29" t="inlineStr">
        <is>
          <t>221992940000.0</t>
        </is>
      </c>
      <c r="O42" s="29" t="inlineStr">
        <is>
          <t>221992940000.0</t>
        </is>
      </c>
      <c r="P42" s="29" t="inlineStr">
        <is>
          <t>KRW</t>
        </is>
      </c>
      <c r="Q42" s="29" t="inlineStr">
        <is>
          <t>42</t>
        </is>
      </c>
    </row>
    <row r="43" ht="24" customHeight="1">
      <c r="A43" s="24" t="inlineStr">
        <is>
          <t>OpenDART_fnlttSinglAcntAll</t>
        </is>
      </c>
      <c r="B43" s="24" t="inlineStr">
        <is>
          <t>00160843</t>
        </is>
      </c>
      <c r="C43" s="24" t="inlineStr">
        <is>
          <t>DB하이텍</t>
        </is>
      </c>
      <c r="D43" s="24" t="inlineStr">
        <is>
          <t>dbhitek</t>
        </is>
      </c>
      <c r="E43" s="24" t="inlineStr">
        <is>
          <t>000990</t>
        </is>
      </c>
      <c r="F43" s="24" t="inlineStr">
        <is>
          <t>2021</t>
        </is>
      </c>
      <c r="G43" s="24" t="inlineStr">
        <is>
          <t>CFS</t>
        </is>
      </c>
      <c r="H43" s="24" t="inlineStr">
        <is>
          <t>BS</t>
        </is>
      </c>
      <c r="I43" s="24" t="inlineStr">
        <is>
          <t>재무상태표</t>
        </is>
      </c>
      <c r="J43" s="24" t="inlineStr">
        <is>
          <t>dart_IssuedCapitalOfPreferredStock</t>
        </is>
      </c>
      <c r="K43" s="24" t="inlineStr">
        <is>
          <t>우선주자본금</t>
        </is>
      </c>
      <c r="L43" s="24" t="inlineStr">
        <is>
          <t>-</t>
        </is>
      </c>
      <c r="M43" s="24" t="inlineStr">
        <is>
          <t>제 69 기</t>
        </is>
      </c>
      <c r="N43" s="24" t="inlineStr">
        <is>
          <t>562895000.0</t>
        </is>
      </c>
      <c r="O43" s="24" t="inlineStr">
        <is>
          <t>562895000.0</t>
        </is>
      </c>
      <c r="P43" s="24" t="inlineStr">
        <is>
          <t>KRW</t>
        </is>
      </c>
      <c r="Q43" s="24" t="inlineStr">
        <is>
          <t>43</t>
        </is>
      </c>
    </row>
    <row r="44" ht="24" customHeight="1">
      <c r="A44" s="29" t="inlineStr">
        <is>
          <t>OpenDART_fnlttSinglAcntAll</t>
        </is>
      </c>
      <c r="B44" s="29" t="inlineStr">
        <is>
          <t>00160843</t>
        </is>
      </c>
      <c r="C44" s="29" t="inlineStr">
        <is>
          <t>DB하이텍</t>
        </is>
      </c>
      <c r="D44" s="29" t="inlineStr">
        <is>
          <t>dbhitek</t>
        </is>
      </c>
      <c r="E44" s="29" t="inlineStr">
        <is>
          <t>000990</t>
        </is>
      </c>
      <c r="F44" s="29" t="inlineStr">
        <is>
          <t>2021</t>
        </is>
      </c>
      <c r="G44" s="29" t="inlineStr">
        <is>
          <t>CFS</t>
        </is>
      </c>
      <c r="H44" s="29" t="inlineStr">
        <is>
          <t>BS</t>
        </is>
      </c>
      <c r="I44" s="29" t="inlineStr">
        <is>
          <t>재무상태표</t>
        </is>
      </c>
      <c r="J44" s="29" t="inlineStr">
        <is>
          <t>ifrs-full_SharePremium</t>
        </is>
      </c>
      <c r="K44" s="29" t="inlineStr">
        <is>
          <t>주식발행초과금</t>
        </is>
      </c>
      <c r="L44" s="29" t="inlineStr">
        <is>
          <t>-</t>
        </is>
      </c>
      <c r="M44" s="29" t="inlineStr">
        <is>
          <t>제 69 기</t>
        </is>
      </c>
      <c r="N44" s="29" t="inlineStr">
        <is>
          <t>127328276294.0</t>
        </is>
      </c>
      <c r="O44" s="29" t="inlineStr">
        <is>
          <t>127328276294.0</t>
        </is>
      </c>
      <c r="P44" s="29" t="inlineStr">
        <is>
          <t>KRW</t>
        </is>
      </c>
      <c r="Q44" s="29" t="inlineStr">
        <is>
          <t>44</t>
        </is>
      </c>
    </row>
    <row r="45" ht="24" customHeight="1">
      <c r="A45" s="24" t="inlineStr">
        <is>
          <t>OpenDART_fnlttSinglAcntAll</t>
        </is>
      </c>
      <c r="B45" s="24" t="inlineStr">
        <is>
          <t>00160843</t>
        </is>
      </c>
      <c r="C45" s="24" t="inlineStr">
        <is>
          <t>DB하이텍</t>
        </is>
      </c>
      <c r="D45" s="24" t="inlineStr">
        <is>
          <t>dbhitek</t>
        </is>
      </c>
      <c r="E45" s="24" t="inlineStr">
        <is>
          <t>000990</t>
        </is>
      </c>
      <c r="F45" s="24" t="inlineStr">
        <is>
          <t>2021</t>
        </is>
      </c>
      <c r="G45" s="24" t="inlineStr">
        <is>
          <t>CFS</t>
        </is>
      </c>
      <c r="H45" s="24" t="inlineStr">
        <is>
          <t>BS</t>
        </is>
      </c>
      <c r="I45" s="24" t="inlineStr">
        <is>
          <t>재무상태표</t>
        </is>
      </c>
      <c r="J45" s="24" t="inlineStr">
        <is>
          <t>dart_ElementsOfOtherStockholdersEquity</t>
        </is>
      </c>
      <c r="K45" s="24" t="inlineStr">
        <is>
          <t>기타자본구성요소</t>
        </is>
      </c>
      <c r="L45" s="24" t="inlineStr">
        <is>
          <t>-</t>
        </is>
      </c>
      <c r="M45" s="24" t="inlineStr">
        <is>
          <t>제 69 기</t>
        </is>
      </c>
      <c r="N45" s="24" t="inlineStr">
        <is>
          <t>-75803373341.0</t>
        </is>
      </c>
      <c r="O45" s="24" t="inlineStr">
        <is>
          <t>-80681611505.0</t>
        </is>
      </c>
      <c r="P45" s="24" t="inlineStr">
        <is>
          <t>KRW</t>
        </is>
      </c>
      <c r="Q45" s="24" t="inlineStr">
        <is>
          <t>45</t>
        </is>
      </c>
    </row>
    <row r="46" ht="24" customHeight="1">
      <c r="A46" s="29" t="inlineStr">
        <is>
          <t>OpenDART_fnlttSinglAcntAll</t>
        </is>
      </c>
      <c r="B46" s="29" t="inlineStr">
        <is>
          <t>00160843</t>
        </is>
      </c>
      <c r="C46" s="29" t="inlineStr">
        <is>
          <t>DB하이텍</t>
        </is>
      </c>
      <c r="D46" s="29" t="inlineStr">
        <is>
          <t>dbhitek</t>
        </is>
      </c>
      <c r="E46" s="29" t="inlineStr">
        <is>
          <t>000990</t>
        </is>
      </c>
      <c r="F46" s="29" t="inlineStr">
        <is>
          <t>2021</t>
        </is>
      </c>
      <c r="G46" s="29" t="inlineStr">
        <is>
          <t>CFS</t>
        </is>
      </c>
      <c r="H46" s="29" t="inlineStr">
        <is>
          <t>BS</t>
        </is>
      </c>
      <c r="I46" s="29" t="inlineStr">
        <is>
          <t>재무상태표</t>
        </is>
      </c>
      <c r="J46" s="29" t="inlineStr">
        <is>
          <t>ifrs-full_RetainedEarnings</t>
        </is>
      </c>
      <c r="K46" s="29" t="inlineStr">
        <is>
          <t>이익잉여금(결손금)</t>
        </is>
      </c>
      <c r="L46" s="29" t="inlineStr">
        <is>
          <t>-</t>
        </is>
      </c>
      <c r="M46" s="29" t="inlineStr">
        <is>
          <t>제 69 기</t>
        </is>
      </c>
      <c r="N46" s="29" t="inlineStr">
        <is>
          <t>831968968093.0</t>
        </is>
      </c>
      <c r="O46" s="29" t="inlineStr">
        <is>
          <t>525382012788.0</t>
        </is>
      </c>
      <c r="P46" s="29" t="inlineStr">
        <is>
          <t>KRW</t>
        </is>
      </c>
      <c r="Q46" s="29" t="inlineStr">
        <is>
          <t>46</t>
        </is>
      </c>
    </row>
    <row r="47" ht="24" customHeight="1">
      <c r="A47" s="24" t="inlineStr">
        <is>
          <t>OpenDART_fnlttSinglAcntAll</t>
        </is>
      </c>
      <c r="B47" s="24" t="inlineStr">
        <is>
          <t>00160843</t>
        </is>
      </c>
      <c r="C47" s="24" t="inlineStr">
        <is>
          <t>DB하이텍</t>
        </is>
      </c>
      <c r="D47" s="24" t="inlineStr">
        <is>
          <t>dbhitek</t>
        </is>
      </c>
      <c r="E47" s="24" t="inlineStr">
        <is>
          <t>000990</t>
        </is>
      </c>
      <c r="F47" s="24" t="inlineStr">
        <is>
          <t>2021</t>
        </is>
      </c>
      <c r="G47" s="24" t="inlineStr">
        <is>
          <t>CFS</t>
        </is>
      </c>
      <c r="H47" s="24" t="inlineStr">
        <is>
          <t>BS</t>
        </is>
      </c>
      <c r="I47" s="24" t="inlineStr">
        <is>
          <t>재무상태표</t>
        </is>
      </c>
      <c r="J47" s="24" t="inlineStr">
        <is>
          <t>ifrs-full_NoncontrollingInterests</t>
        </is>
      </c>
      <c r="K47" s="24" t="inlineStr">
        <is>
          <t>비지배지분</t>
        </is>
      </c>
      <c r="L47" s="24" t="inlineStr">
        <is>
          <t>-</t>
        </is>
      </c>
      <c r="M47" s="24" t="inlineStr">
        <is>
          <t>제 69 기</t>
        </is>
      </c>
      <c r="N47" s="24" t="inlineStr">
        <is>
          <t>0.0</t>
        </is>
      </c>
      <c r="O47" s="24" t="inlineStr">
        <is>
          <t>0.0</t>
        </is>
      </c>
      <c r="P47" s="24" t="inlineStr">
        <is>
          <t>KRW</t>
        </is>
      </c>
      <c r="Q47" s="24" t="inlineStr">
        <is>
          <t>47</t>
        </is>
      </c>
    </row>
    <row r="48" ht="24" customHeight="1">
      <c r="A48" s="29" t="inlineStr">
        <is>
          <t>OpenDART_fnlttSinglAcntAll</t>
        </is>
      </c>
      <c r="B48" s="29" t="inlineStr">
        <is>
          <t>00160843</t>
        </is>
      </c>
      <c r="C48" s="29" t="inlineStr">
        <is>
          <t>DB하이텍</t>
        </is>
      </c>
      <c r="D48" s="29" t="inlineStr">
        <is>
          <t>dbhitek</t>
        </is>
      </c>
      <c r="E48" s="29" t="inlineStr">
        <is>
          <t>000990</t>
        </is>
      </c>
      <c r="F48" s="29" t="inlineStr">
        <is>
          <t>2021</t>
        </is>
      </c>
      <c r="G48" s="29" t="inlineStr">
        <is>
          <t>CFS</t>
        </is>
      </c>
      <c r="H48" s="29" t="inlineStr">
        <is>
          <t>BS</t>
        </is>
      </c>
      <c r="I48" s="29" t="inlineStr">
        <is>
          <t>재무상태표</t>
        </is>
      </c>
      <c r="J48" s="29" t="inlineStr">
        <is>
          <t>ifrs-full_Equity</t>
        </is>
      </c>
      <c r="K48" s="29" t="inlineStr">
        <is>
          <t>자본총계</t>
        </is>
      </c>
      <c r="L48" s="29" t="inlineStr">
        <is>
          <t>-</t>
        </is>
      </c>
      <c r="M48" s="29" t="inlineStr">
        <is>
          <t>제 69 기</t>
        </is>
      </c>
      <c r="N48" s="29" t="inlineStr">
        <is>
          <t>1106049706046.0</t>
        </is>
      </c>
      <c r="O48" s="29" t="inlineStr">
        <is>
          <t>794584512577.0</t>
        </is>
      </c>
      <c r="P48" s="29" t="inlineStr">
        <is>
          <t>KRW</t>
        </is>
      </c>
      <c r="Q48" s="29" t="inlineStr">
        <is>
          <t>48</t>
        </is>
      </c>
    </row>
    <row r="49" ht="24" customHeight="1">
      <c r="A49" s="24" t="inlineStr">
        <is>
          <t>OpenDART_fnlttSinglAcntAll</t>
        </is>
      </c>
      <c r="B49" s="24" t="inlineStr">
        <is>
          <t>00160843</t>
        </is>
      </c>
      <c r="C49" s="24" t="inlineStr">
        <is>
          <t>DB하이텍</t>
        </is>
      </c>
      <c r="D49" s="24" t="inlineStr">
        <is>
          <t>dbhitek</t>
        </is>
      </c>
      <c r="E49" s="24" t="inlineStr">
        <is>
          <t>000990</t>
        </is>
      </c>
      <c r="F49" s="24" t="inlineStr">
        <is>
          <t>2021</t>
        </is>
      </c>
      <c r="G49" s="24" t="inlineStr">
        <is>
          <t>CFS</t>
        </is>
      </c>
      <c r="H49" s="24" t="inlineStr">
        <is>
          <t>BS</t>
        </is>
      </c>
      <c r="I49" s="24" t="inlineStr">
        <is>
          <t>재무상태표</t>
        </is>
      </c>
      <c r="J49" s="24" t="inlineStr">
        <is>
          <t>ifrs-full_EquityAndLiabilities</t>
        </is>
      </c>
      <c r="K49" s="24" t="inlineStr">
        <is>
          <t>자본과부채총계</t>
        </is>
      </c>
      <c r="L49" s="24" t="inlineStr">
        <is>
          <t>-</t>
        </is>
      </c>
      <c r="M49" s="24" t="inlineStr">
        <is>
          <t>제 69 기</t>
        </is>
      </c>
      <c r="N49" s="24" t="inlineStr">
        <is>
          <t>1549937895854.0</t>
        </is>
      </c>
      <c r="O49" s="24" t="inlineStr">
        <is>
          <t>1178581197181.0</t>
        </is>
      </c>
      <c r="P49" s="24" t="inlineStr">
        <is>
          <t>KRW</t>
        </is>
      </c>
      <c r="Q49" s="24" t="inlineStr">
        <is>
          <t>49</t>
        </is>
      </c>
    </row>
    <row r="50" ht="24" customHeight="1">
      <c r="A50" s="29" t="inlineStr">
        <is>
          <t>OpenDART_fnlttSinglAcntAll</t>
        </is>
      </c>
      <c r="B50" s="29" t="inlineStr">
        <is>
          <t>00160843</t>
        </is>
      </c>
      <c r="C50" s="29" t="inlineStr">
        <is>
          <t>DB하이텍</t>
        </is>
      </c>
      <c r="D50" s="29" t="inlineStr">
        <is>
          <t>dbhitek</t>
        </is>
      </c>
      <c r="E50" s="29" t="inlineStr">
        <is>
          <t>000990</t>
        </is>
      </c>
      <c r="F50" s="29" t="inlineStr">
        <is>
          <t>2021</t>
        </is>
      </c>
      <c r="G50" s="29" t="inlineStr">
        <is>
          <t>CFS</t>
        </is>
      </c>
      <c r="H50" s="29" t="inlineStr">
        <is>
          <t>IS</t>
        </is>
      </c>
      <c r="I50" s="29" t="inlineStr">
        <is>
          <t>손익계산서</t>
        </is>
      </c>
      <c r="J50" s="29" t="inlineStr">
        <is>
          <t>ifrs-full_Revenue</t>
        </is>
      </c>
      <c r="K50" s="29" t="inlineStr">
        <is>
          <t>매출액</t>
        </is>
      </c>
      <c r="L50" s="29" t="inlineStr">
        <is>
          <t>-</t>
        </is>
      </c>
      <c r="M50" s="29" t="inlineStr">
        <is>
          <t>제 69 기</t>
        </is>
      </c>
      <c r="N50" s="29" t="inlineStr">
        <is>
          <t>1214682040178.0</t>
        </is>
      </c>
      <c r="O50" s="29" t="inlineStr">
        <is>
          <t>935919766484.0</t>
        </is>
      </c>
      <c r="P50" s="29" t="inlineStr">
        <is>
          <t>KRW</t>
        </is>
      </c>
      <c r="Q50" s="29" t="inlineStr">
        <is>
          <t>0</t>
        </is>
      </c>
    </row>
    <row r="51" ht="24" customHeight="1">
      <c r="A51" s="24" t="inlineStr">
        <is>
          <t>OpenDART_fnlttSinglAcntAll</t>
        </is>
      </c>
      <c r="B51" s="24" t="inlineStr">
        <is>
          <t>00160843</t>
        </is>
      </c>
      <c r="C51" s="24" t="inlineStr">
        <is>
          <t>DB하이텍</t>
        </is>
      </c>
      <c r="D51" s="24" t="inlineStr">
        <is>
          <t>dbhitek</t>
        </is>
      </c>
      <c r="E51" s="24" t="inlineStr">
        <is>
          <t>000990</t>
        </is>
      </c>
      <c r="F51" s="24" t="inlineStr">
        <is>
          <t>2021</t>
        </is>
      </c>
      <c r="G51" s="24" t="inlineStr">
        <is>
          <t>CFS</t>
        </is>
      </c>
      <c r="H51" s="24" t="inlineStr">
        <is>
          <t>IS</t>
        </is>
      </c>
      <c r="I51" s="24" t="inlineStr">
        <is>
          <t>손익계산서</t>
        </is>
      </c>
      <c r="J51" s="24" t="inlineStr">
        <is>
          <t>ifrs-full_CostOfSales</t>
        </is>
      </c>
      <c r="K51" s="24" t="inlineStr">
        <is>
          <t>매출원가</t>
        </is>
      </c>
      <c r="L51" s="24" t="inlineStr">
        <is>
          <t>-</t>
        </is>
      </c>
      <c r="M51" s="24" t="inlineStr">
        <is>
          <t>제 69 기</t>
        </is>
      </c>
      <c r="N51" s="24" t="inlineStr">
        <is>
          <t>679485436680.0</t>
        </is>
      </c>
      <c r="O51" s="24" t="inlineStr">
        <is>
          <t>577034943664.0</t>
        </is>
      </c>
      <c r="P51" s="24" t="inlineStr">
        <is>
          <t>KRW</t>
        </is>
      </c>
      <c r="Q51" s="24" t="inlineStr">
        <is>
          <t>1</t>
        </is>
      </c>
    </row>
    <row r="52" ht="24" customHeight="1">
      <c r="A52" s="29" t="inlineStr">
        <is>
          <t>OpenDART_fnlttSinglAcntAll</t>
        </is>
      </c>
      <c r="B52" s="29" t="inlineStr">
        <is>
          <t>00160843</t>
        </is>
      </c>
      <c r="C52" s="29" t="inlineStr">
        <is>
          <t>DB하이텍</t>
        </is>
      </c>
      <c r="D52" s="29" t="inlineStr">
        <is>
          <t>dbhitek</t>
        </is>
      </c>
      <c r="E52" s="29" t="inlineStr">
        <is>
          <t>000990</t>
        </is>
      </c>
      <c r="F52" s="29" t="inlineStr">
        <is>
          <t>2021</t>
        </is>
      </c>
      <c r="G52" s="29" t="inlineStr">
        <is>
          <t>CFS</t>
        </is>
      </c>
      <c r="H52" s="29" t="inlineStr">
        <is>
          <t>IS</t>
        </is>
      </c>
      <c r="I52" s="29" t="inlineStr">
        <is>
          <t>손익계산서</t>
        </is>
      </c>
      <c r="J52" s="29" t="inlineStr">
        <is>
          <t>ifrs-full_GrossProfit</t>
        </is>
      </c>
      <c r="K52" s="29" t="inlineStr">
        <is>
          <t>매출총이익</t>
        </is>
      </c>
      <c r="L52" s="29" t="inlineStr">
        <is>
          <t>-</t>
        </is>
      </c>
      <c r="M52" s="29" t="inlineStr">
        <is>
          <t>제 69 기</t>
        </is>
      </c>
      <c r="N52" s="29" t="inlineStr">
        <is>
          <t>535196603498.0</t>
        </is>
      </c>
      <c r="O52" s="29" t="inlineStr">
        <is>
          <t>358884822820.0</t>
        </is>
      </c>
      <c r="P52" s="29" t="inlineStr">
        <is>
          <t>KRW</t>
        </is>
      </c>
      <c r="Q52" s="29" t="inlineStr">
        <is>
          <t>2</t>
        </is>
      </c>
    </row>
    <row r="53" ht="24" customHeight="1">
      <c r="A53" s="24" t="inlineStr">
        <is>
          <t>OpenDART_fnlttSinglAcntAll</t>
        </is>
      </c>
      <c r="B53" s="24" t="inlineStr">
        <is>
          <t>00160843</t>
        </is>
      </c>
      <c r="C53" s="24" t="inlineStr">
        <is>
          <t>DB하이텍</t>
        </is>
      </c>
      <c r="D53" s="24" t="inlineStr">
        <is>
          <t>dbhitek</t>
        </is>
      </c>
      <c r="E53" s="24" t="inlineStr">
        <is>
          <t>000990</t>
        </is>
      </c>
      <c r="F53" s="24" t="inlineStr">
        <is>
          <t>2021</t>
        </is>
      </c>
      <c r="G53" s="24" t="inlineStr">
        <is>
          <t>CFS</t>
        </is>
      </c>
      <c r="H53" s="24" t="inlineStr">
        <is>
          <t>IS</t>
        </is>
      </c>
      <c r="I53" s="24" t="inlineStr">
        <is>
          <t>손익계산서</t>
        </is>
      </c>
      <c r="J53" s="24" t="inlineStr">
        <is>
          <t>dart_TotalSellingGeneralAdministrativeExpenses</t>
        </is>
      </c>
      <c r="K53" s="24" t="inlineStr">
        <is>
          <t>판매비와관리비</t>
        </is>
      </c>
      <c r="L53" s="24" t="inlineStr">
        <is>
          <t>-</t>
        </is>
      </c>
      <c r="M53" s="24" t="inlineStr">
        <is>
          <t>제 69 기</t>
        </is>
      </c>
      <c r="N53" s="24" t="inlineStr">
        <is>
          <t>136089825195.0</t>
        </is>
      </c>
      <c r="O53" s="24" t="inlineStr">
        <is>
          <t>119549641508.0</t>
        </is>
      </c>
      <c r="P53" s="24" t="inlineStr">
        <is>
          <t>KRW</t>
        </is>
      </c>
      <c r="Q53" s="24" t="inlineStr">
        <is>
          <t>3</t>
        </is>
      </c>
    </row>
    <row r="54" ht="24" customHeight="1">
      <c r="A54" s="29" t="inlineStr">
        <is>
          <t>OpenDART_fnlttSinglAcntAll</t>
        </is>
      </c>
      <c r="B54" s="29" t="inlineStr">
        <is>
          <t>00160843</t>
        </is>
      </c>
      <c r="C54" s="29" t="inlineStr">
        <is>
          <t>DB하이텍</t>
        </is>
      </c>
      <c r="D54" s="29" t="inlineStr">
        <is>
          <t>dbhitek</t>
        </is>
      </c>
      <c r="E54" s="29" t="inlineStr">
        <is>
          <t>000990</t>
        </is>
      </c>
      <c r="F54" s="29" t="inlineStr">
        <is>
          <t>2021</t>
        </is>
      </c>
      <c r="G54" s="29" t="inlineStr">
        <is>
          <t>CFS</t>
        </is>
      </c>
      <c r="H54" s="29" t="inlineStr">
        <is>
          <t>IS</t>
        </is>
      </c>
      <c r="I54" s="29" t="inlineStr">
        <is>
          <t>손익계산서</t>
        </is>
      </c>
      <c r="J54" s="29" t="inlineStr">
        <is>
          <t>dart_OperatingIncomeLoss</t>
        </is>
      </c>
      <c r="K54" s="29" t="inlineStr">
        <is>
          <t>영업이익(손실)</t>
        </is>
      </c>
      <c r="L54" s="29" t="inlineStr">
        <is>
          <t>-</t>
        </is>
      </c>
      <c r="M54" s="29" t="inlineStr">
        <is>
          <t>제 69 기</t>
        </is>
      </c>
      <c r="N54" s="29" t="inlineStr">
        <is>
          <t>399106778303.0</t>
        </is>
      </c>
      <c r="O54" s="29" t="inlineStr">
        <is>
          <t>239335181312.0</t>
        </is>
      </c>
      <c r="P54" s="29" t="inlineStr">
        <is>
          <t>KRW</t>
        </is>
      </c>
      <c r="Q54" s="29" t="inlineStr">
        <is>
          <t>4</t>
        </is>
      </c>
    </row>
    <row r="55" ht="24" customHeight="1">
      <c r="A55" s="24" t="inlineStr">
        <is>
          <t>OpenDART_fnlttSinglAcntAll</t>
        </is>
      </c>
      <c r="B55" s="24" t="inlineStr">
        <is>
          <t>00160843</t>
        </is>
      </c>
      <c r="C55" s="24" t="inlineStr">
        <is>
          <t>DB하이텍</t>
        </is>
      </c>
      <c r="D55" s="24" t="inlineStr">
        <is>
          <t>dbhitek</t>
        </is>
      </c>
      <c r="E55" s="24" t="inlineStr">
        <is>
          <t>000990</t>
        </is>
      </c>
      <c r="F55" s="24" t="inlineStr">
        <is>
          <t>2021</t>
        </is>
      </c>
      <c r="G55" s="24" t="inlineStr">
        <is>
          <t>CFS</t>
        </is>
      </c>
      <c r="H55" s="24" t="inlineStr">
        <is>
          <t>IS</t>
        </is>
      </c>
      <c r="I55" s="24" t="inlineStr">
        <is>
          <t>손익계산서</t>
        </is>
      </c>
      <c r="J55" s="24" t="inlineStr">
        <is>
          <t>ifrs-full_FinanceIncome</t>
        </is>
      </c>
      <c r="K55" s="24" t="inlineStr">
        <is>
          <t>금융수익</t>
        </is>
      </c>
      <c r="L55" s="24" t="inlineStr">
        <is>
          <t>-</t>
        </is>
      </c>
      <c r="M55" s="24" t="inlineStr">
        <is>
          <t>제 69 기</t>
        </is>
      </c>
      <c r="N55" s="24" t="inlineStr">
        <is>
          <t>7828834847.0</t>
        </is>
      </c>
      <c r="O55" s="24" t="inlineStr">
        <is>
          <t>8671766957.0</t>
        </is>
      </c>
      <c r="P55" s="24" t="inlineStr">
        <is>
          <t>KRW</t>
        </is>
      </c>
      <c r="Q55" s="24" t="inlineStr">
        <is>
          <t>5</t>
        </is>
      </c>
    </row>
    <row r="56" ht="24" customHeight="1">
      <c r="A56" s="29" t="inlineStr">
        <is>
          <t>OpenDART_fnlttSinglAcntAll</t>
        </is>
      </c>
      <c r="B56" s="29" t="inlineStr">
        <is>
          <t>00160843</t>
        </is>
      </c>
      <c r="C56" s="29" t="inlineStr">
        <is>
          <t>DB하이텍</t>
        </is>
      </c>
      <c r="D56" s="29" t="inlineStr">
        <is>
          <t>dbhitek</t>
        </is>
      </c>
      <c r="E56" s="29" t="inlineStr">
        <is>
          <t>000990</t>
        </is>
      </c>
      <c r="F56" s="29" t="inlineStr">
        <is>
          <t>2021</t>
        </is>
      </c>
      <c r="G56" s="29" t="inlineStr">
        <is>
          <t>CFS</t>
        </is>
      </c>
      <c r="H56" s="29" t="inlineStr">
        <is>
          <t>IS</t>
        </is>
      </c>
      <c r="I56" s="29" t="inlineStr">
        <is>
          <t>손익계산서</t>
        </is>
      </c>
      <c r="J56" s="29" t="inlineStr">
        <is>
          <t>ifrs-full_FinanceCosts</t>
        </is>
      </c>
      <c r="K56" s="29" t="inlineStr">
        <is>
          <t>금융비용</t>
        </is>
      </c>
      <c r="L56" s="29" t="inlineStr">
        <is>
          <t>-</t>
        </is>
      </c>
      <c r="M56" s="29" t="inlineStr">
        <is>
          <t>제 69 기</t>
        </is>
      </c>
      <c r="N56" s="29" t="inlineStr">
        <is>
          <t>6281633675.0</t>
        </is>
      </c>
      <c r="O56" s="29" t="inlineStr">
        <is>
          <t>15858852387.0</t>
        </is>
      </c>
      <c r="P56" s="29" t="inlineStr">
        <is>
          <t>KRW</t>
        </is>
      </c>
      <c r="Q56" s="29" t="inlineStr">
        <is>
          <t>6</t>
        </is>
      </c>
    </row>
    <row r="57" ht="24" customHeight="1">
      <c r="A57" s="24" t="inlineStr">
        <is>
          <t>OpenDART_fnlttSinglAcntAll</t>
        </is>
      </c>
      <c r="B57" s="24" t="inlineStr">
        <is>
          <t>00160843</t>
        </is>
      </c>
      <c r="C57" s="24" t="inlineStr">
        <is>
          <t>DB하이텍</t>
        </is>
      </c>
      <c r="D57" s="24" t="inlineStr">
        <is>
          <t>dbhitek</t>
        </is>
      </c>
      <c r="E57" s="24" t="inlineStr">
        <is>
          <t>000990</t>
        </is>
      </c>
      <c r="F57" s="24" t="inlineStr">
        <is>
          <t>2021</t>
        </is>
      </c>
      <c r="G57" s="24" t="inlineStr">
        <is>
          <t>CFS</t>
        </is>
      </c>
      <c r="H57" s="24" t="inlineStr">
        <is>
          <t>IS</t>
        </is>
      </c>
      <c r="I57" s="24" t="inlineStr">
        <is>
          <t>손익계산서</t>
        </is>
      </c>
      <c r="J57" s="24" t="inlineStr">
        <is>
          <t>dart_OtherGains</t>
        </is>
      </c>
      <c r="K57" s="24" t="inlineStr">
        <is>
          <t>기타영업외수익</t>
        </is>
      </c>
      <c r="L57" s="24" t="inlineStr">
        <is>
          <t>-</t>
        </is>
      </c>
      <c r="M57" s="24" t="inlineStr">
        <is>
          <t>제 69 기</t>
        </is>
      </c>
      <c r="N57" s="24" t="inlineStr">
        <is>
          <t>16566208420.0</t>
        </is>
      </c>
      <c r="O57" s="24" t="inlineStr">
        <is>
          <t>15376752475.0</t>
        </is>
      </c>
      <c r="P57" s="24" t="inlineStr">
        <is>
          <t>KRW</t>
        </is>
      </c>
      <c r="Q57" s="24" t="inlineStr">
        <is>
          <t>7</t>
        </is>
      </c>
    </row>
    <row r="58" ht="24" customHeight="1">
      <c r="A58" s="29" t="inlineStr">
        <is>
          <t>OpenDART_fnlttSinglAcntAll</t>
        </is>
      </c>
      <c r="B58" s="29" t="inlineStr">
        <is>
          <t>00160843</t>
        </is>
      </c>
      <c r="C58" s="29" t="inlineStr">
        <is>
          <t>DB하이텍</t>
        </is>
      </c>
      <c r="D58" s="29" t="inlineStr">
        <is>
          <t>dbhitek</t>
        </is>
      </c>
      <c r="E58" s="29" t="inlineStr">
        <is>
          <t>000990</t>
        </is>
      </c>
      <c r="F58" s="29" t="inlineStr">
        <is>
          <t>2021</t>
        </is>
      </c>
      <c r="G58" s="29" t="inlineStr">
        <is>
          <t>CFS</t>
        </is>
      </c>
      <c r="H58" s="29" t="inlineStr">
        <is>
          <t>IS</t>
        </is>
      </c>
      <c r="I58" s="29" t="inlineStr">
        <is>
          <t>손익계산서</t>
        </is>
      </c>
      <c r="J58" s="29" t="inlineStr">
        <is>
          <t>dart_OtherLosses</t>
        </is>
      </c>
      <c r="K58" s="29" t="inlineStr">
        <is>
          <t>기타영업외비용</t>
        </is>
      </c>
      <c r="L58" s="29" t="inlineStr">
        <is>
          <t>-</t>
        </is>
      </c>
      <c r="M58" s="29" t="inlineStr">
        <is>
          <t>제 69 기</t>
        </is>
      </c>
      <c r="N58" s="29" t="inlineStr">
        <is>
          <t>22760003418.0</t>
        </is>
      </c>
      <c r="O58" s="29" t="inlineStr">
        <is>
          <t>21509707865.0</t>
        </is>
      </c>
      <c r="P58" s="29" t="inlineStr">
        <is>
          <t>KRW</t>
        </is>
      </c>
      <c r="Q58" s="29" t="inlineStr">
        <is>
          <t>8</t>
        </is>
      </c>
    </row>
    <row r="59" ht="24" customHeight="1">
      <c r="A59" s="24" t="inlineStr">
        <is>
          <t>OpenDART_fnlttSinglAcntAll</t>
        </is>
      </c>
      <c r="B59" s="24" t="inlineStr">
        <is>
          <t>00160843</t>
        </is>
      </c>
      <c r="C59" s="24" t="inlineStr">
        <is>
          <t>DB하이텍</t>
        </is>
      </c>
      <c r="D59" s="24" t="inlineStr">
        <is>
          <t>dbhitek</t>
        </is>
      </c>
      <c r="E59" s="24" t="inlineStr">
        <is>
          <t>000990</t>
        </is>
      </c>
      <c r="F59" s="24" t="inlineStr">
        <is>
          <t>2021</t>
        </is>
      </c>
      <c r="G59" s="24" t="inlineStr">
        <is>
          <t>CFS</t>
        </is>
      </c>
      <c r="H59" s="24" t="inlineStr">
        <is>
          <t>IS</t>
        </is>
      </c>
      <c r="I59" s="24" t="inlineStr">
        <is>
          <t>손익계산서</t>
        </is>
      </c>
      <c r="J59" s="24" t="inlineStr">
        <is>
          <t>-표준계정코드 미사용-</t>
        </is>
      </c>
      <c r="K59" s="24" t="inlineStr">
        <is>
          <t>지분법이익</t>
        </is>
      </c>
      <c r="L59" s="24" t="inlineStr">
        <is>
          <t>-</t>
        </is>
      </c>
      <c r="M59" s="24" t="inlineStr">
        <is>
          <t>제 69 기</t>
        </is>
      </c>
      <c r="N59" s="24" t="inlineStr">
        <is>
          <t>20413022302.0</t>
        </is>
      </c>
      <c r="O59" s="24" t="inlineStr">
        <is>
          <t>3712463.0</t>
        </is>
      </c>
      <c r="P59" s="24" t="inlineStr">
        <is>
          <t>KRW</t>
        </is>
      </c>
      <c r="Q59" s="24" t="inlineStr">
        <is>
          <t>9</t>
        </is>
      </c>
    </row>
    <row r="60" ht="24" customHeight="1">
      <c r="A60" s="29" t="inlineStr">
        <is>
          <t>OpenDART_fnlttSinglAcntAll</t>
        </is>
      </c>
      <c r="B60" s="29" t="inlineStr">
        <is>
          <t>00160843</t>
        </is>
      </c>
      <c r="C60" s="29" t="inlineStr">
        <is>
          <t>DB하이텍</t>
        </is>
      </c>
      <c r="D60" s="29" t="inlineStr">
        <is>
          <t>dbhitek</t>
        </is>
      </c>
      <c r="E60" s="29" t="inlineStr">
        <is>
          <t>000990</t>
        </is>
      </c>
      <c r="F60" s="29" t="inlineStr">
        <is>
          <t>2021</t>
        </is>
      </c>
      <c r="G60" s="29" t="inlineStr">
        <is>
          <t>CFS</t>
        </is>
      </c>
      <c r="H60" s="29" t="inlineStr">
        <is>
          <t>IS</t>
        </is>
      </c>
      <c r="I60" s="29" t="inlineStr">
        <is>
          <t>손익계산서</t>
        </is>
      </c>
      <c r="J60" s="29" t="inlineStr">
        <is>
          <t>-표준계정코드 미사용-</t>
        </is>
      </c>
      <c r="K60" s="29" t="inlineStr">
        <is>
          <t>지분법손실</t>
        </is>
      </c>
      <c r="L60" s="29" t="inlineStr">
        <is>
          <t>-</t>
        </is>
      </c>
      <c r="M60" s="29" t="inlineStr">
        <is>
          <t>제 69 기</t>
        </is>
      </c>
      <c r="N60" s="29" t="inlineStr">
        <is>
          <t>2412699.0</t>
        </is>
      </c>
      <c r="O60" s="29" t="inlineStr">
        <is>
          <t>11967371817.0</t>
        </is>
      </c>
      <c r="P60" s="29" t="inlineStr">
        <is>
          <t>KRW</t>
        </is>
      </c>
      <c r="Q60" s="29" t="inlineStr">
        <is>
          <t>10</t>
        </is>
      </c>
    </row>
    <row r="61" ht="24" customHeight="1">
      <c r="A61" s="24" t="inlineStr">
        <is>
          <t>OpenDART_fnlttSinglAcntAll</t>
        </is>
      </c>
      <c r="B61" s="24" t="inlineStr">
        <is>
          <t>00160843</t>
        </is>
      </c>
      <c r="C61" s="24" t="inlineStr">
        <is>
          <t>DB하이텍</t>
        </is>
      </c>
      <c r="D61" s="24" t="inlineStr">
        <is>
          <t>dbhitek</t>
        </is>
      </c>
      <c r="E61" s="24" t="inlineStr">
        <is>
          <t>000990</t>
        </is>
      </c>
      <c r="F61" s="24" t="inlineStr">
        <is>
          <t>2021</t>
        </is>
      </c>
      <c r="G61" s="24" t="inlineStr">
        <is>
          <t>CFS</t>
        </is>
      </c>
      <c r="H61" s="24" t="inlineStr">
        <is>
          <t>IS</t>
        </is>
      </c>
      <c r="I61" s="24" t="inlineStr">
        <is>
          <t>손익계산서</t>
        </is>
      </c>
      <c r="J61" s="24" t="inlineStr">
        <is>
          <t>-표준계정코드 미사용-</t>
        </is>
      </c>
      <c r="K61" s="24" t="inlineStr">
        <is>
          <t>관계기업투자처분손실</t>
        </is>
      </c>
      <c r="L61" s="24" t="inlineStr">
        <is>
          <t>-</t>
        </is>
      </c>
      <c r="M61" s="24" t="inlineStr">
        <is>
          <t>제 69 기</t>
        </is>
      </c>
      <c r="N61" s="24" t="inlineStr">
        <is>
          <t>0.0</t>
        </is>
      </c>
      <c r="O61" s="24" t="inlineStr">
        <is>
          <t>656858495.0</t>
        </is>
      </c>
      <c r="P61" s="24" t="inlineStr">
        <is>
          <t>KRW</t>
        </is>
      </c>
      <c r="Q61" s="24" t="inlineStr">
        <is>
          <t>11</t>
        </is>
      </c>
    </row>
    <row r="62" ht="24" customHeight="1">
      <c r="A62" s="29" t="inlineStr">
        <is>
          <t>OpenDART_fnlttSinglAcntAll</t>
        </is>
      </c>
      <c r="B62" s="29" t="inlineStr">
        <is>
          <t>00160843</t>
        </is>
      </c>
      <c r="C62" s="29" t="inlineStr">
        <is>
          <t>DB하이텍</t>
        </is>
      </c>
      <c r="D62" s="29" t="inlineStr">
        <is>
          <t>dbhitek</t>
        </is>
      </c>
      <c r="E62" s="29" t="inlineStr">
        <is>
          <t>000990</t>
        </is>
      </c>
      <c r="F62" s="29" t="inlineStr">
        <is>
          <t>2021</t>
        </is>
      </c>
      <c r="G62" s="29" t="inlineStr">
        <is>
          <t>CFS</t>
        </is>
      </c>
      <c r="H62" s="29" t="inlineStr">
        <is>
          <t>IS</t>
        </is>
      </c>
      <c r="I62" s="29" t="inlineStr">
        <is>
          <t>손익계산서</t>
        </is>
      </c>
      <c r="J62" s="29" t="inlineStr">
        <is>
          <t>-표준계정코드 미사용-</t>
        </is>
      </c>
      <c r="K62" s="29" t="inlineStr">
        <is>
          <t>관계기업투자손상차손</t>
        </is>
      </c>
      <c r="L62" s="29" t="inlineStr">
        <is>
          <t>-</t>
        </is>
      </c>
      <c r="M62" s="29" t="inlineStr">
        <is>
          <t>제 69 기</t>
        </is>
      </c>
      <c r="N62" s="29" t="inlineStr">
        <is>
          <t>0.0</t>
        </is>
      </c>
      <c r="O62" s="29" t="inlineStr">
        <is>
          <t>3739370514.0</t>
        </is>
      </c>
      <c r="P62" s="29" t="inlineStr">
        <is>
          <t>KRW</t>
        </is>
      </c>
      <c r="Q62" s="29" t="inlineStr">
        <is>
          <t>12</t>
        </is>
      </c>
    </row>
    <row r="63" ht="24" customHeight="1">
      <c r="A63" s="24" t="inlineStr">
        <is>
          <t>OpenDART_fnlttSinglAcntAll</t>
        </is>
      </c>
      <c r="B63" s="24" t="inlineStr">
        <is>
          <t>00160843</t>
        </is>
      </c>
      <c r="C63" s="24" t="inlineStr">
        <is>
          <t>DB하이텍</t>
        </is>
      </c>
      <c r="D63" s="24" t="inlineStr">
        <is>
          <t>dbhitek</t>
        </is>
      </c>
      <c r="E63" s="24" t="inlineStr">
        <is>
          <t>000990</t>
        </is>
      </c>
      <c r="F63" s="24" t="inlineStr">
        <is>
          <t>2021</t>
        </is>
      </c>
      <c r="G63" s="24" t="inlineStr">
        <is>
          <t>CFS</t>
        </is>
      </c>
      <c r="H63" s="24" t="inlineStr">
        <is>
          <t>IS</t>
        </is>
      </c>
      <c r="I63" s="24" t="inlineStr">
        <is>
          <t>손익계산서</t>
        </is>
      </c>
      <c r="J63" s="24" t="inlineStr">
        <is>
          <t>-표준계정코드 미사용-</t>
        </is>
      </c>
      <c r="K63" s="24" t="inlineStr">
        <is>
          <t>관계기업투자손상차손환입</t>
        </is>
      </c>
      <c r="L63" s="24" t="inlineStr">
        <is>
          <t>-</t>
        </is>
      </c>
      <c r="M63" s="24" t="inlineStr">
        <is>
          <t>제 69 기</t>
        </is>
      </c>
      <c r="N63" s="24" t="inlineStr">
        <is>
          <t>5568954833.0</t>
        </is>
      </c>
      <c r="O63" s="24" t="inlineStr">
        <is>
          <t>0.0</t>
        </is>
      </c>
      <c r="P63" s="24" t="inlineStr">
        <is>
          <t>KRW</t>
        </is>
      </c>
      <c r="Q63" s="24" t="inlineStr">
        <is>
          <t>13</t>
        </is>
      </c>
    </row>
    <row r="64" ht="24" customHeight="1">
      <c r="A64" s="29" t="inlineStr">
        <is>
          <t>OpenDART_fnlttSinglAcntAll</t>
        </is>
      </c>
      <c r="B64" s="29" t="inlineStr">
        <is>
          <t>00160843</t>
        </is>
      </c>
      <c r="C64" s="29" t="inlineStr">
        <is>
          <t>DB하이텍</t>
        </is>
      </c>
      <c r="D64" s="29" t="inlineStr">
        <is>
          <t>dbhitek</t>
        </is>
      </c>
      <c r="E64" s="29" t="inlineStr">
        <is>
          <t>000990</t>
        </is>
      </c>
      <c r="F64" s="29" t="inlineStr">
        <is>
          <t>2021</t>
        </is>
      </c>
      <c r="G64" s="29" t="inlineStr">
        <is>
          <t>CFS</t>
        </is>
      </c>
      <c r="H64" s="29" t="inlineStr">
        <is>
          <t>IS</t>
        </is>
      </c>
      <c r="I64" s="29" t="inlineStr">
        <is>
          <t>손익계산서</t>
        </is>
      </c>
      <c r="J64" s="29" t="inlineStr">
        <is>
          <t>ifrs-full_ProfitLossBeforeTax</t>
        </is>
      </c>
      <c r="K64" s="29" t="inlineStr">
        <is>
          <t>법인세비용차감전순이익(손실)</t>
        </is>
      </c>
      <c r="L64" s="29" t="inlineStr">
        <is>
          <t>-</t>
        </is>
      </c>
      <c r="M64" s="29" t="inlineStr">
        <is>
          <t>제 69 기</t>
        </is>
      </c>
      <c r="N64" s="29" t="inlineStr">
        <is>
          <t>420439748913.0</t>
        </is>
      </c>
      <c r="O64" s="29" t="inlineStr">
        <is>
          <t>209655252129.0</t>
        </is>
      </c>
      <c r="P64" s="29" t="inlineStr">
        <is>
          <t>KRW</t>
        </is>
      </c>
      <c r="Q64" s="29" t="inlineStr">
        <is>
          <t>14</t>
        </is>
      </c>
    </row>
    <row r="65" ht="24" customHeight="1">
      <c r="A65" s="24" t="inlineStr">
        <is>
          <t>OpenDART_fnlttSinglAcntAll</t>
        </is>
      </c>
      <c r="B65" s="24" t="inlineStr">
        <is>
          <t>00160843</t>
        </is>
      </c>
      <c r="C65" s="24" t="inlineStr">
        <is>
          <t>DB하이텍</t>
        </is>
      </c>
      <c r="D65" s="24" t="inlineStr">
        <is>
          <t>dbhitek</t>
        </is>
      </c>
      <c r="E65" s="24" t="inlineStr">
        <is>
          <t>000990</t>
        </is>
      </c>
      <c r="F65" s="24" t="inlineStr">
        <is>
          <t>2021</t>
        </is>
      </c>
      <c r="G65" s="24" t="inlineStr">
        <is>
          <t>CFS</t>
        </is>
      </c>
      <c r="H65" s="24" t="inlineStr">
        <is>
          <t>IS</t>
        </is>
      </c>
      <c r="I65" s="24" t="inlineStr">
        <is>
          <t>손익계산서</t>
        </is>
      </c>
      <c r="J65" s="24" t="inlineStr">
        <is>
          <t>ifrs-full_IncomeTaxExpenseContinuingOperations</t>
        </is>
      </c>
      <c r="K65" s="24" t="inlineStr">
        <is>
          <t>법인세비용</t>
        </is>
      </c>
      <c r="L65" s="24" t="inlineStr">
        <is>
          <t>-</t>
        </is>
      </c>
      <c r="M65" s="24" t="inlineStr">
        <is>
          <t>제 69 기</t>
        </is>
      </c>
      <c r="N65" s="24" t="inlineStr">
        <is>
          <t>103547896905.0</t>
        </is>
      </c>
      <c r="O65" s="24" t="inlineStr">
        <is>
          <t>43629661052.0</t>
        </is>
      </c>
      <c r="P65" s="24" t="inlineStr">
        <is>
          <t>KRW</t>
        </is>
      </c>
      <c r="Q65" s="24" t="inlineStr">
        <is>
          <t>15</t>
        </is>
      </c>
    </row>
    <row r="66" ht="24" customHeight="1">
      <c r="A66" s="29" t="inlineStr">
        <is>
          <t>OpenDART_fnlttSinglAcntAll</t>
        </is>
      </c>
      <c r="B66" s="29" t="inlineStr">
        <is>
          <t>00160843</t>
        </is>
      </c>
      <c r="C66" s="29" t="inlineStr">
        <is>
          <t>DB하이텍</t>
        </is>
      </c>
      <c r="D66" s="29" t="inlineStr">
        <is>
          <t>dbhitek</t>
        </is>
      </c>
      <c r="E66" s="29" t="inlineStr">
        <is>
          <t>000990</t>
        </is>
      </c>
      <c r="F66" s="29" t="inlineStr">
        <is>
          <t>2021</t>
        </is>
      </c>
      <c r="G66" s="29" t="inlineStr">
        <is>
          <t>CFS</t>
        </is>
      </c>
      <c r="H66" s="29" t="inlineStr">
        <is>
          <t>IS</t>
        </is>
      </c>
      <c r="I66" s="29" t="inlineStr">
        <is>
          <t>손익계산서</t>
        </is>
      </c>
      <c r="J66" s="29" t="inlineStr">
        <is>
          <t>ifrs-full_ProfitLossFromContinuingOperations</t>
        </is>
      </c>
      <c r="K66" s="29" t="inlineStr">
        <is>
          <t>계속영업이익(손실)</t>
        </is>
      </c>
      <c r="L66" s="29" t="inlineStr">
        <is>
          <t>-</t>
        </is>
      </c>
      <c r="M66" s="29" t="inlineStr">
        <is>
          <t>제 69 기</t>
        </is>
      </c>
      <c r="N66" s="29" t="inlineStr">
        <is>
          <t>316891852008.0</t>
        </is>
      </c>
      <c r="O66" s="29" t="inlineStr">
        <is>
          <t>166025591077.0</t>
        </is>
      </c>
      <c r="P66" s="29" t="inlineStr">
        <is>
          <t>KRW</t>
        </is>
      </c>
      <c r="Q66" s="29" t="inlineStr">
        <is>
          <t>16</t>
        </is>
      </c>
    </row>
    <row r="67" ht="24" customHeight="1">
      <c r="A67" s="24" t="inlineStr">
        <is>
          <t>OpenDART_fnlttSinglAcntAll</t>
        </is>
      </c>
      <c r="B67" s="24" t="inlineStr">
        <is>
          <t>00160843</t>
        </is>
      </c>
      <c r="C67" s="24" t="inlineStr">
        <is>
          <t>DB하이텍</t>
        </is>
      </c>
      <c r="D67" s="24" t="inlineStr">
        <is>
          <t>dbhitek</t>
        </is>
      </c>
      <c r="E67" s="24" t="inlineStr">
        <is>
          <t>000990</t>
        </is>
      </c>
      <c r="F67" s="24" t="inlineStr">
        <is>
          <t>2021</t>
        </is>
      </c>
      <c r="G67" s="24" t="inlineStr">
        <is>
          <t>CFS</t>
        </is>
      </c>
      <c r="H67" s="24" t="inlineStr">
        <is>
          <t>IS</t>
        </is>
      </c>
      <c r="I67" s="24" t="inlineStr">
        <is>
          <t>손익계산서</t>
        </is>
      </c>
      <c r="J67" s="24" t="inlineStr">
        <is>
          <t>ifrs-full_ProfitLossFromDiscontinuedOperations</t>
        </is>
      </c>
      <c r="K67" s="24" t="inlineStr">
        <is>
          <t>중단영업이익(손실)</t>
        </is>
      </c>
      <c r="L67" s="24" t="inlineStr">
        <is>
          <t>-</t>
        </is>
      </c>
      <c r="M67" s="24" t="inlineStr">
        <is>
          <t>제 69 기</t>
        </is>
      </c>
      <c r="N67" s="24" t="inlineStr">
        <is>
          <t>0.0</t>
        </is>
      </c>
      <c r="O67" s="24" t="inlineStr">
        <is>
          <t>0.0</t>
        </is>
      </c>
      <c r="P67" s="24" t="inlineStr">
        <is>
          <t>KRW</t>
        </is>
      </c>
      <c r="Q67" s="24" t="inlineStr">
        <is>
          <t>17</t>
        </is>
      </c>
    </row>
    <row r="68" ht="24" customHeight="1">
      <c r="A68" s="29" t="inlineStr">
        <is>
          <t>OpenDART_fnlttSinglAcntAll</t>
        </is>
      </c>
      <c r="B68" s="29" t="inlineStr">
        <is>
          <t>00160843</t>
        </is>
      </c>
      <c r="C68" s="29" t="inlineStr">
        <is>
          <t>DB하이텍</t>
        </is>
      </c>
      <c r="D68" s="29" t="inlineStr">
        <is>
          <t>dbhitek</t>
        </is>
      </c>
      <c r="E68" s="29" t="inlineStr">
        <is>
          <t>000990</t>
        </is>
      </c>
      <c r="F68" s="29" t="inlineStr">
        <is>
          <t>2021</t>
        </is>
      </c>
      <c r="G68" s="29" t="inlineStr">
        <is>
          <t>CFS</t>
        </is>
      </c>
      <c r="H68" s="29" t="inlineStr">
        <is>
          <t>IS</t>
        </is>
      </c>
      <c r="I68" s="29" t="inlineStr">
        <is>
          <t>손익계산서</t>
        </is>
      </c>
      <c r="J68" s="29" t="inlineStr">
        <is>
          <t>ifrs-full_ProfitLoss</t>
        </is>
      </c>
      <c r="K68" s="29" t="inlineStr">
        <is>
          <t>당기순이익(손실)</t>
        </is>
      </c>
      <c r="L68" s="29" t="inlineStr">
        <is>
          <t>-</t>
        </is>
      </c>
      <c r="M68" s="29" t="inlineStr">
        <is>
          <t>제 69 기</t>
        </is>
      </c>
      <c r="N68" s="29" t="inlineStr">
        <is>
          <t>316891852008.0</t>
        </is>
      </c>
      <c r="O68" s="29" t="inlineStr">
        <is>
          <t>166025591077.0</t>
        </is>
      </c>
      <c r="P68" s="29" t="inlineStr">
        <is>
          <t>KRW</t>
        </is>
      </c>
      <c r="Q68" s="29" t="inlineStr">
        <is>
          <t>18</t>
        </is>
      </c>
    </row>
    <row r="69" ht="24" customHeight="1">
      <c r="A69" s="24" t="inlineStr">
        <is>
          <t>OpenDART_fnlttSinglAcntAll</t>
        </is>
      </c>
      <c r="B69" s="24" t="inlineStr">
        <is>
          <t>00160843</t>
        </is>
      </c>
      <c r="C69" s="24" t="inlineStr">
        <is>
          <t>DB하이텍</t>
        </is>
      </c>
      <c r="D69" s="24" t="inlineStr">
        <is>
          <t>dbhitek</t>
        </is>
      </c>
      <c r="E69" s="24" t="inlineStr">
        <is>
          <t>000990</t>
        </is>
      </c>
      <c r="F69" s="24" t="inlineStr">
        <is>
          <t>2021</t>
        </is>
      </c>
      <c r="G69" s="24" t="inlineStr">
        <is>
          <t>CFS</t>
        </is>
      </c>
      <c r="H69" s="24" t="inlineStr">
        <is>
          <t>IS</t>
        </is>
      </c>
      <c r="I69" s="24" t="inlineStr">
        <is>
          <t>손익계산서</t>
        </is>
      </c>
      <c r="J69" s="24" t="inlineStr">
        <is>
          <t>ifrs-full_ProfitLossAttributableToOwnersOfParent</t>
        </is>
      </c>
      <c r="K69" s="24" t="inlineStr">
        <is>
          <t>지배기업의 소유주에게 귀속되는 당기순이익(손실)</t>
        </is>
      </c>
      <c r="L69" s="24" t="inlineStr">
        <is>
          <t>-</t>
        </is>
      </c>
      <c r="M69" s="24" t="inlineStr">
        <is>
          <t>제 69 기</t>
        </is>
      </c>
      <c r="N69" s="24" t="inlineStr">
        <is>
          <t>316891852008.0</t>
        </is>
      </c>
      <c r="O69" s="24" t="inlineStr">
        <is>
          <t>166025591077.0</t>
        </is>
      </c>
      <c r="P69" s="24" t="inlineStr">
        <is>
          <t>KRW</t>
        </is>
      </c>
      <c r="Q69" s="24" t="inlineStr">
        <is>
          <t>20</t>
        </is>
      </c>
    </row>
    <row r="70" ht="24" customHeight="1">
      <c r="A70" s="29" t="inlineStr">
        <is>
          <t>OpenDART_fnlttSinglAcntAll</t>
        </is>
      </c>
      <c r="B70" s="29" t="inlineStr">
        <is>
          <t>00160843</t>
        </is>
      </c>
      <c r="C70" s="29" t="inlineStr">
        <is>
          <t>DB하이텍</t>
        </is>
      </c>
      <c r="D70" s="29" t="inlineStr">
        <is>
          <t>dbhitek</t>
        </is>
      </c>
      <c r="E70" s="29" t="inlineStr">
        <is>
          <t>000990</t>
        </is>
      </c>
      <c r="F70" s="29" t="inlineStr">
        <is>
          <t>2021</t>
        </is>
      </c>
      <c r="G70" s="29" t="inlineStr">
        <is>
          <t>CFS</t>
        </is>
      </c>
      <c r="H70" s="29" t="inlineStr">
        <is>
          <t>IS</t>
        </is>
      </c>
      <c r="I70" s="29" t="inlineStr">
        <is>
          <t>손익계산서</t>
        </is>
      </c>
      <c r="J70" s="29" t="inlineStr">
        <is>
          <t>ifrs-full_ProfitLossAttributableToNoncontrollingInterests</t>
        </is>
      </c>
      <c r="K70" s="29" t="inlineStr">
        <is>
          <t>비지배지분에 귀속되는 당기순이익(손실)</t>
        </is>
      </c>
      <c r="L70" s="29" t="inlineStr">
        <is>
          <t>-</t>
        </is>
      </c>
      <c r="M70" s="29" t="inlineStr">
        <is>
          <t>제 69 기</t>
        </is>
      </c>
      <c r="N70" s="29" t="inlineStr">
        <is>
          <t>0.0</t>
        </is>
      </c>
      <c r="O70" s="29" t="inlineStr">
        <is>
          <t>0.0</t>
        </is>
      </c>
      <c r="P70" s="29" t="inlineStr">
        <is>
          <t>KRW</t>
        </is>
      </c>
      <c r="Q70" s="29" t="inlineStr">
        <is>
          <t>21</t>
        </is>
      </c>
    </row>
    <row r="71" ht="24" customHeight="1">
      <c r="A71" s="24" t="inlineStr">
        <is>
          <t>OpenDART_fnlttSinglAcntAll</t>
        </is>
      </c>
      <c r="B71" s="24" t="inlineStr">
        <is>
          <t>00160843</t>
        </is>
      </c>
      <c r="C71" s="24" t="inlineStr">
        <is>
          <t>DB하이텍</t>
        </is>
      </c>
      <c r="D71" s="24" t="inlineStr">
        <is>
          <t>dbhitek</t>
        </is>
      </c>
      <c r="E71" s="24" t="inlineStr">
        <is>
          <t>000990</t>
        </is>
      </c>
      <c r="F71" s="24" t="inlineStr">
        <is>
          <t>2021</t>
        </is>
      </c>
      <c r="G71" s="24" t="inlineStr">
        <is>
          <t>CFS</t>
        </is>
      </c>
      <c r="H71" s="24" t="inlineStr">
        <is>
          <t>IS</t>
        </is>
      </c>
      <c r="I71" s="24" t="inlineStr">
        <is>
          <t>손익계산서</t>
        </is>
      </c>
      <c r="J71" s="24" t="inlineStr">
        <is>
          <t>ifrs-full_BasicEarningsLossPerShare</t>
        </is>
      </c>
      <c r="K71" s="24" t="inlineStr">
        <is>
          <t>기본주당이익(손실)</t>
        </is>
      </c>
      <c r="L71" s="24" t="inlineStr">
        <is>
          <t>-</t>
        </is>
      </c>
      <c r="M71" s="24" t="inlineStr">
        <is>
          <t>제 69 기</t>
        </is>
      </c>
      <c r="N71" s="24" t="inlineStr">
        <is>
          <t>7292.0</t>
        </is>
      </c>
      <c r="O71" s="24" t="inlineStr">
        <is>
          <t>3822.0</t>
        </is>
      </c>
      <c r="P71" s="24" t="inlineStr">
        <is>
          <t>KRW</t>
        </is>
      </c>
      <c r="Q71" s="24" t="inlineStr">
        <is>
          <t>23</t>
        </is>
      </c>
    </row>
    <row r="72" ht="24" customHeight="1">
      <c r="A72" s="29" t="inlineStr">
        <is>
          <t>OpenDART_fnlttSinglAcntAll</t>
        </is>
      </c>
      <c r="B72" s="29" t="inlineStr">
        <is>
          <t>00160843</t>
        </is>
      </c>
      <c r="C72" s="29" t="inlineStr">
        <is>
          <t>DB하이텍</t>
        </is>
      </c>
      <c r="D72" s="29" t="inlineStr">
        <is>
          <t>dbhitek</t>
        </is>
      </c>
      <c r="E72" s="29" t="inlineStr">
        <is>
          <t>000990</t>
        </is>
      </c>
      <c r="F72" s="29" t="inlineStr">
        <is>
          <t>2021</t>
        </is>
      </c>
      <c r="G72" s="29" t="inlineStr">
        <is>
          <t>CFS</t>
        </is>
      </c>
      <c r="H72" s="29" t="inlineStr">
        <is>
          <t>IS</t>
        </is>
      </c>
      <c r="I72" s="29" t="inlineStr">
        <is>
          <t>손익계산서</t>
        </is>
      </c>
      <c r="J72" s="29" t="inlineStr">
        <is>
          <t>ifrs-full_DilutedEarningsLossPerShare</t>
        </is>
      </c>
      <c r="K72" s="29" t="inlineStr">
        <is>
          <t>희석주당이익(손실)</t>
        </is>
      </c>
      <c r="L72" s="29" t="inlineStr">
        <is>
          <t>-</t>
        </is>
      </c>
      <c r="M72" s="29" t="inlineStr">
        <is>
          <t>제 69 기</t>
        </is>
      </c>
      <c r="N72" s="29" t="inlineStr">
        <is>
          <t>7292.0</t>
        </is>
      </c>
      <c r="O72" s="29" t="inlineStr">
        <is>
          <t>3822.0</t>
        </is>
      </c>
      <c r="P72" s="29" t="inlineStr">
        <is>
          <t>KRW</t>
        </is>
      </c>
      <c r="Q72" s="29" t="inlineStr">
        <is>
          <t>24</t>
        </is>
      </c>
    </row>
    <row r="73" ht="24" customHeight="1">
      <c r="A73" s="24" t="inlineStr">
        <is>
          <t>OpenDART_fnlttSinglAcntAll</t>
        </is>
      </c>
      <c r="B73" s="24" t="inlineStr">
        <is>
          <t>00160843</t>
        </is>
      </c>
      <c r="C73" s="24" t="inlineStr">
        <is>
          <t>DB하이텍</t>
        </is>
      </c>
      <c r="D73" s="24" t="inlineStr">
        <is>
          <t>dbhitek</t>
        </is>
      </c>
      <c r="E73" s="24" t="inlineStr">
        <is>
          <t>000990</t>
        </is>
      </c>
      <c r="F73" s="24" t="inlineStr">
        <is>
          <t>2021</t>
        </is>
      </c>
      <c r="G73" s="24" t="inlineStr">
        <is>
          <t>CFS</t>
        </is>
      </c>
      <c r="H73" s="24" t="inlineStr">
        <is>
          <t>CIS</t>
        </is>
      </c>
      <c r="I73" s="24" t="inlineStr">
        <is>
          <t>포괄손익계산서</t>
        </is>
      </c>
      <c r="J73" s="24" t="inlineStr">
        <is>
          <t>ifrs-full_ProfitLoss</t>
        </is>
      </c>
      <c r="K73" s="24" t="inlineStr">
        <is>
          <t>당기순이익(손실)</t>
        </is>
      </c>
      <c r="L73" s="24" t="inlineStr">
        <is>
          <t>-</t>
        </is>
      </c>
      <c r="M73" s="24" t="inlineStr">
        <is>
          <t>제 69 기</t>
        </is>
      </c>
      <c r="N73" s="24" t="inlineStr">
        <is>
          <t>316891852008.0</t>
        </is>
      </c>
      <c r="O73" s="24" t="inlineStr">
        <is>
          <t>166025591077.0</t>
        </is>
      </c>
      <c r="P73" s="24" t="inlineStr">
        <is>
          <t>KRW</t>
        </is>
      </c>
      <c r="Q73" s="24" t="inlineStr">
        <is>
          <t>0</t>
        </is>
      </c>
    </row>
    <row r="74" ht="24" customHeight="1">
      <c r="A74" s="29" t="inlineStr">
        <is>
          <t>OpenDART_fnlttSinglAcntAll</t>
        </is>
      </c>
      <c r="B74" s="29" t="inlineStr">
        <is>
          <t>00160843</t>
        </is>
      </c>
      <c r="C74" s="29" t="inlineStr">
        <is>
          <t>DB하이텍</t>
        </is>
      </c>
      <c r="D74" s="29" t="inlineStr">
        <is>
          <t>dbhitek</t>
        </is>
      </c>
      <c r="E74" s="29" t="inlineStr">
        <is>
          <t>000990</t>
        </is>
      </c>
      <c r="F74" s="29" t="inlineStr">
        <is>
          <t>2021</t>
        </is>
      </c>
      <c r="G74" s="29" t="inlineStr">
        <is>
          <t>CFS</t>
        </is>
      </c>
      <c r="H74" s="29" t="inlineStr">
        <is>
          <t>CIS</t>
        </is>
      </c>
      <c r="I74" s="29" t="inlineStr">
        <is>
          <t>포괄손익계산서</t>
        </is>
      </c>
      <c r="J74" s="29" t="inlineStr">
        <is>
          <t>ifrs-full_OtherComprehensiveIncome</t>
        </is>
      </c>
      <c r="K74" s="29" t="inlineStr">
        <is>
          <t>기타포괄손익</t>
        </is>
      </c>
      <c r="L74" s="29" t="inlineStr">
        <is>
          <t>-</t>
        </is>
      </c>
      <c r="M74" s="29" t="inlineStr">
        <is>
          <t>제 69 기</t>
        </is>
      </c>
      <c r="N74" s="29" t="inlineStr">
        <is>
          <t>8651504405.0</t>
        </is>
      </c>
      <c r="O74" s="29" t="inlineStr">
        <is>
          <t>-1072238858.0</t>
        </is>
      </c>
      <c r="P74" s="29" t="inlineStr">
        <is>
          <t>KRW</t>
        </is>
      </c>
      <c r="Q74" s="29" t="inlineStr">
        <is>
          <t>1</t>
        </is>
      </c>
    </row>
    <row r="75" ht="24" customHeight="1">
      <c r="A75" s="24" t="inlineStr">
        <is>
          <t>OpenDART_fnlttSinglAcntAll</t>
        </is>
      </c>
      <c r="B75" s="24" t="inlineStr">
        <is>
          <t>00160843</t>
        </is>
      </c>
      <c r="C75" s="24" t="inlineStr">
        <is>
          <t>DB하이텍</t>
        </is>
      </c>
      <c r="D75" s="24" t="inlineStr">
        <is>
          <t>dbhitek</t>
        </is>
      </c>
      <c r="E75" s="24" t="inlineStr">
        <is>
          <t>000990</t>
        </is>
      </c>
      <c r="F75" s="24" t="inlineStr">
        <is>
          <t>2021</t>
        </is>
      </c>
      <c r="G75" s="24" t="inlineStr">
        <is>
          <t>CFS</t>
        </is>
      </c>
      <c r="H75" s="24" t="inlineStr">
        <is>
          <t>CIS</t>
        </is>
      </c>
      <c r="I75" s="24" t="inlineStr">
        <is>
          <t>포괄손익계산서</t>
        </is>
      </c>
      <c r="J75" s="24" t="inlineStr">
        <is>
          <t>dart_OtherComprehensiveIncomeThatWillNotBeReclassifiedToProfitOrLossNetOfTax</t>
        </is>
      </c>
      <c r="K75" s="24" t="inlineStr">
        <is>
          <t>후속적 으로 당기손익으로 재분류되지 않는항목</t>
        </is>
      </c>
      <c r="L75" s="24" t="inlineStr">
        <is>
          <t>-</t>
        </is>
      </c>
      <c r="M75" s="24" t="inlineStr">
        <is>
          <t>제 69 기</t>
        </is>
      </c>
      <c r="N75" s="24" t="inlineStr">
        <is>
          <t>7849899113.0</t>
        </is>
      </c>
      <c r="O75" s="24" t="inlineStr">
        <is>
          <t>-671228655.0</t>
        </is>
      </c>
      <c r="P75" s="24" t="inlineStr">
        <is>
          <t>KRW</t>
        </is>
      </c>
      <c r="Q75" s="24" t="inlineStr">
        <is>
          <t>2</t>
        </is>
      </c>
    </row>
    <row r="76" ht="24" customHeight="1">
      <c r="A76" s="29" t="inlineStr">
        <is>
          <t>OpenDART_fnlttSinglAcntAll</t>
        </is>
      </c>
      <c r="B76" s="29" t="inlineStr">
        <is>
          <t>00160843</t>
        </is>
      </c>
      <c r="C76" s="29" t="inlineStr">
        <is>
          <t>DB하이텍</t>
        </is>
      </c>
      <c r="D76" s="29" t="inlineStr">
        <is>
          <t>dbhitek</t>
        </is>
      </c>
      <c r="E76" s="29" t="inlineStr">
        <is>
          <t>000990</t>
        </is>
      </c>
      <c r="F76" s="29" t="inlineStr">
        <is>
          <t>2021</t>
        </is>
      </c>
      <c r="G76" s="29" t="inlineStr">
        <is>
          <t>CFS</t>
        </is>
      </c>
      <c r="H76" s="29" t="inlineStr">
        <is>
          <t>CIS</t>
        </is>
      </c>
      <c r="I76" s="29" t="inlineStr">
        <is>
          <t>포괄손익계산서</t>
        </is>
      </c>
      <c r="J76" s="29" t="inlineStr">
        <is>
          <t>dart_OtherComprehensiveIncomeNetOfTaxGainsLossesOnRemeasurementsOfDefinedBenefitPlans</t>
        </is>
      </c>
      <c r="K76" s="29" t="inlineStr">
        <is>
          <t>순확정급여부채의 재측정요소</t>
        </is>
      </c>
      <c r="L76" s="29" t="inlineStr">
        <is>
          <t>-</t>
        </is>
      </c>
      <c r="M76" s="29" t="inlineStr">
        <is>
          <t>제 69 기</t>
        </is>
      </c>
      <c r="N76" s="29" t="inlineStr">
        <is>
          <t>4934922298.0</t>
        </is>
      </c>
      <c r="O76" s="29" t="inlineStr">
        <is>
          <t>-1117485331.0</t>
        </is>
      </c>
      <c r="P76" s="29" t="inlineStr">
        <is>
          <t>KRW</t>
        </is>
      </c>
      <c r="Q76" s="29" t="inlineStr">
        <is>
          <t>3</t>
        </is>
      </c>
    </row>
    <row r="77" ht="24" customHeight="1">
      <c r="A77" s="24" t="inlineStr">
        <is>
          <t>OpenDART_fnlttSinglAcntAll</t>
        </is>
      </c>
      <c r="B77" s="24" t="inlineStr">
        <is>
          <t>00160843</t>
        </is>
      </c>
      <c r="C77" s="24" t="inlineStr">
        <is>
          <t>DB하이텍</t>
        </is>
      </c>
      <c r="D77" s="24" t="inlineStr">
        <is>
          <t>dbhitek</t>
        </is>
      </c>
      <c r="E77" s="24" t="inlineStr">
        <is>
          <t>000990</t>
        </is>
      </c>
      <c r="F77" s="24" t="inlineStr">
        <is>
          <t>2021</t>
        </is>
      </c>
      <c r="G77" s="24" t="inlineStr">
        <is>
          <t>CFS</t>
        </is>
      </c>
      <c r="H77" s="24" t="inlineStr">
        <is>
          <t>CIS</t>
        </is>
      </c>
      <c r="I77" s="24" t="inlineStr">
        <is>
          <t>포괄손익계산서</t>
        </is>
      </c>
      <c r="J77" s="24" t="inlineStr">
        <is>
          <t>-표준계정코드 미사용-</t>
        </is>
      </c>
      <c r="K77" s="24" t="inlineStr">
        <is>
          <t>기타포괄손익-공정가치 측정 금융자산 평가손익</t>
        </is>
      </c>
      <c r="L77" s="24" t="inlineStr">
        <is>
          <t>-</t>
        </is>
      </c>
      <c r="M77" s="24" t="inlineStr">
        <is>
          <t>제 69 기</t>
        </is>
      </c>
      <c r="N77" s="24" t="inlineStr">
        <is>
          <t>2947398216.0</t>
        </is>
      </c>
      <c r="O77" s="24" t="inlineStr">
        <is>
          <t>411025697.0</t>
        </is>
      </c>
      <c r="P77" s="24" t="inlineStr">
        <is>
          <t>KRW</t>
        </is>
      </c>
      <c r="Q77" s="24" t="inlineStr">
        <is>
          <t>4</t>
        </is>
      </c>
    </row>
    <row r="78" ht="24" customHeight="1">
      <c r="A78" s="29" t="inlineStr">
        <is>
          <t>OpenDART_fnlttSinglAcntAll</t>
        </is>
      </c>
      <c r="B78" s="29" t="inlineStr">
        <is>
          <t>00160843</t>
        </is>
      </c>
      <c r="C78" s="29" t="inlineStr">
        <is>
          <t>DB하이텍</t>
        </is>
      </c>
      <c r="D78" s="29" t="inlineStr">
        <is>
          <t>dbhitek</t>
        </is>
      </c>
      <c r="E78" s="29" t="inlineStr">
        <is>
          <t>000990</t>
        </is>
      </c>
      <c r="F78" s="29" t="inlineStr">
        <is>
          <t>2021</t>
        </is>
      </c>
      <c r="G78" s="29" t="inlineStr">
        <is>
          <t>CFS</t>
        </is>
      </c>
      <c r="H78" s="29" t="inlineStr">
        <is>
          <t>CIS</t>
        </is>
      </c>
      <c r="I78" s="29" t="inlineStr">
        <is>
          <t>포괄손익계산서</t>
        </is>
      </c>
      <c r="J78" s="29" t="inlineStr">
        <is>
          <t>dart_ShareOfOtherComprehensiveIncomeOfAssociatesAndJointVenturesAccountedForUsingEquityMethodThatWillNotBeReclassifiedToProfitOrLossNetOfTax</t>
        </is>
      </c>
      <c r="K78" s="29" t="inlineStr">
        <is>
          <t>관계기업의 이익잉여금 변동</t>
        </is>
      </c>
      <c r="L78" s="29" t="inlineStr">
        <is>
          <t>-</t>
        </is>
      </c>
      <c r="M78" s="29" t="inlineStr">
        <is>
          <t>제 69 기</t>
        </is>
      </c>
      <c r="N78" s="29" t="inlineStr">
        <is>
          <t>-32421401.0</t>
        </is>
      </c>
      <c r="O78" s="29" t="inlineStr">
        <is>
          <t>35230979.0</t>
        </is>
      </c>
      <c r="P78" s="29" t="inlineStr">
        <is>
          <t>KRW</t>
        </is>
      </c>
      <c r="Q78" s="29" t="inlineStr">
        <is>
          <t>5</t>
        </is>
      </c>
    </row>
    <row r="79" ht="24" customHeight="1">
      <c r="A79" s="24" t="inlineStr">
        <is>
          <t>OpenDART_fnlttSinglAcntAll</t>
        </is>
      </c>
      <c r="B79" s="24" t="inlineStr">
        <is>
          <t>00160843</t>
        </is>
      </c>
      <c r="C79" s="24" t="inlineStr">
        <is>
          <t>DB하이텍</t>
        </is>
      </c>
      <c r="D79" s="24" t="inlineStr">
        <is>
          <t>dbhitek</t>
        </is>
      </c>
      <c r="E79" s="24" t="inlineStr">
        <is>
          <t>000990</t>
        </is>
      </c>
      <c r="F79" s="24" t="inlineStr">
        <is>
          <t>2021</t>
        </is>
      </c>
      <c r="G79" s="24" t="inlineStr">
        <is>
          <t>CFS</t>
        </is>
      </c>
      <c r="H79" s="24" t="inlineStr">
        <is>
          <t>CIS</t>
        </is>
      </c>
      <c r="I79" s="24" t="inlineStr">
        <is>
          <t>포괄손익계산서</t>
        </is>
      </c>
      <c r="J79" s="24" t="inlineStr">
        <is>
          <t>dart_OtherComprehensiveIncomeThatWillBeReclassifiedToProfitOrLossNetOfTax</t>
        </is>
      </c>
      <c r="K79" s="24" t="inlineStr">
        <is>
          <t>후속적 으로 당기손익으로 재분류될 수 있는 항목</t>
        </is>
      </c>
      <c r="L79" s="24" t="inlineStr">
        <is>
          <t>-</t>
        </is>
      </c>
      <c r="M79" s="24" t="inlineStr">
        <is>
          <t>제 69 기</t>
        </is>
      </c>
      <c r="N79" s="24" t="inlineStr">
        <is>
          <t>801605292.0</t>
        </is>
      </c>
      <c r="O79" s="24" t="inlineStr">
        <is>
          <t>-401010203.0</t>
        </is>
      </c>
      <c r="P79" s="24" t="inlineStr">
        <is>
          <t>KRW</t>
        </is>
      </c>
      <c r="Q79" s="24" t="inlineStr">
        <is>
          <t>6</t>
        </is>
      </c>
    </row>
    <row r="80" ht="24" customHeight="1">
      <c r="A80" s="29" t="inlineStr">
        <is>
          <t>OpenDART_fnlttSinglAcntAll</t>
        </is>
      </c>
      <c r="B80" s="29" t="inlineStr">
        <is>
          <t>00160843</t>
        </is>
      </c>
      <c r="C80" s="29" t="inlineStr">
        <is>
          <t>DB하이텍</t>
        </is>
      </c>
      <c r="D80" s="29" t="inlineStr">
        <is>
          <t>dbhitek</t>
        </is>
      </c>
      <c r="E80" s="29" t="inlineStr">
        <is>
          <t>000990</t>
        </is>
      </c>
      <c r="F80" s="29" t="inlineStr">
        <is>
          <t>2021</t>
        </is>
      </c>
      <c r="G80" s="29" t="inlineStr">
        <is>
          <t>CFS</t>
        </is>
      </c>
      <c r="H80" s="29" t="inlineStr">
        <is>
          <t>CIS</t>
        </is>
      </c>
      <c r="I80" s="29" t="inlineStr">
        <is>
          <t>포괄손익계산서</t>
        </is>
      </c>
      <c r="J80" s="29" t="inlineStr">
        <is>
          <t>ifrs-full_GainsLossesOnExchangeDifferencesOnTranslationNetOfTax</t>
        </is>
      </c>
      <c r="K80" s="29" t="inlineStr">
        <is>
          <t>해외사업장환산외환차이</t>
        </is>
      </c>
      <c r="L80" s="29" t="inlineStr">
        <is>
          <t>-</t>
        </is>
      </c>
      <c r="M80" s="29" t="inlineStr">
        <is>
          <t>제 69 기</t>
        </is>
      </c>
      <c r="N80" s="29" t="inlineStr">
        <is>
          <t>530732113.0</t>
        </is>
      </c>
      <c r="O80" s="29" t="inlineStr">
        <is>
          <t>-242584399.0</t>
        </is>
      </c>
      <c r="P80" s="29" t="inlineStr">
        <is>
          <t>KRW</t>
        </is>
      </c>
      <c r="Q80" s="29" t="inlineStr">
        <is>
          <t>7</t>
        </is>
      </c>
    </row>
    <row r="81" ht="24" customHeight="1">
      <c r="A81" s="24" t="inlineStr">
        <is>
          <t>OpenDART_fnlttSinglAcntAll</t>
        </is>
      </c>
      <c r="B81" s="24" t="inlineStr">
        <is>
          <t>00160843</t>
        </is>
      </c>
      <c r="C81" s="24" t="inlineStr">
        <is>
          <t>DB하이텍</t>
        </is>
      </c>
      <c r="D81" s="24" t="inlineStr">
        <is>
          <t>dbhitek</t>
        </is>
      </c>
      <c r="E81" s="24" t="inlineStr">
        <is>
          <t>000990</t>
        </is>
      </c>
      <c r="F81" s="24" t="inlineStr">
        <is>
          <t>2021</t>
        </is>
      </c>
      <c r="G81" s="24" t="inlineStr">
        <is>
          <t>CFS</t>
        </is>
      </c>
      <c r="H81" s="24" t="inlineStr">
        <is>
          <t>CIS</t>
        </is>
      </c>
      <c r="I81" s="24" t="inlineStr">
        <is>
          <t>포괄손익계산서</t>
        </is>
      </c>
      <c r="J81" s="24" t="inlineStr">
        <is>
          <t>dart_ShareOfOtherComprehensiveIncomeOfAssociatesAndJointVenturesAccountedForUsingEquityMethodThatWillBeReclassifiedToProfitOrLossNetOfTax</t>
        </is>
      </c>
      <c r="K81" s="24" t="inlineStr">
        <is>
          <t>관계기업의 기타자본구성요소</t>
        </is>
      </c>
      <c r="L81" s="24" t="inlineStr">
        <is>
          <t>-</t>
        </is>
      </c>
      <c r="M81" s="24" t="inlineStr">
        <is>
          <t>제 69 기</t>
        </is>
      </c>
      <c r="N81" s="24" t="inlineStr">
        <is>
          <t>270873179.0</t>
        </is>
      </c>
      <c r="O81" s="24" t="inlineStr">
        <is>
          <t>-158425804.0</t>
        </is>
      </c>
      <c r="P81" s="24" t="inlineStr">
        <is>
          <t>KRW</t>
        </is>
      </c>
      <c r="Q81" s="24" t="inlineStr">
        <is>
          <t>8</t>
        </is>
      </c>
    </row>
    <row r="82" ht="24" customHeight="1">
      <c r="A82" s="29" t="inlineStr">
        <is>
          <t>OpenDART_fnlttSinglAcntAll</t>
        </is>
      </c>
      <c r="B82" s="29" t="inlineStr">
        <is>
          <t>00160843</t>
        </is>
      </c>
      <c r="C82" s="29" t="inlineStr">
        <is>
          <t>DB하이텍</t>
        </is>
      </c>
      <c r="D82" s="29" t="inlineStr">
        <is>
          <t>dbhitek</t>
        </is>
      </c>
      <c r="E82" s="29" t="inlineStr">
        <is>
          <t>000990</t>
        </is>
      </c>
      <c r="F82" s="29" t="inlineStr">
        <is>
          <t>2021</t>
        </is>
      </c>
      <c r="G82" s="29" t="inlineStr">
        <is>
          <t>CFS</t>
        </is>
      </c>
      <c r="H82" s="29" t="inlineStr">
        <is>
          <t>CIS</t>
        </is>
      </c>
      <c r="I82" s="29" t="inlineStr">
        <is>
          <t>포괄손익계산서</t>
        </is>
      </c>
      <c r="J82" s="29" t="inlineStr">
        <is>
          <t>ifrs-full_ComprehensiveIncome</t>
        </is>
      </c>
      <c r="K82" s="29" t="inlineStr">
        <is>
          <t>총포괄손익</t>
        </is>
      </c>
      <c r="L82" s="29" t="inlineStr">
        <is>
          <t>-</t>
        </is>
      </c>
      <c r="M82" s="29" t="inlineStr">
        <is>
          <t>제 69 기</t>
        </is>
      </c>
      <c r="N82" s="29" t="inlineStr">
        <is>
          <t>325543356413.0</t>
        </is>
      </c>
      <c r="O82" s="29" t="inlineStr">
        <is>
          <t>164953352219.0</t>
        </is>
      </c>
      <c r="P82" s="29" t="inlineStr">
        <is>
          <t>KRW</t>
        </is>
      </c>
      <c r="Q82" s="29" t="inlineStr">
        <is>
          <t>9</t>
        </is>
      </c>
    </row>
    <row r="83" ht="24" customHeight="1">
      <c r="A83" s="24" t="inlineStr">
        <is>
          <t>OpenDART_fnlttSinglAcntAll</t>
        </is>
      </c>
      <c r="B83" s="24" t="inlineStr">
        <is>
          <t>00160843</t>
        </is>
      </c>
      <c r="C83" s="24" t="inlineStr">
        <is>
          <t>DB하이텍</t>
        </is>
      </c>
      <c r="D83" s="24" t="inlineStr">
        <is>
          <t>dbhitek</t>
        </is>
      </c>
      <c r="E83" s="24" t="inlineStr">
        <is>
          <t>000990</t>
        </is>
      </c>
      <c r="F83" s="24" t="inlineStr">
        <is>
          <t>2021</t>
        </is>
      </c>
      <c r="G83" s="24" t="inlineStr">
        <is>
          <t>CFS</t>
        </is>
      </c>
      <c r="H83" s="24" t="inlineStr">
        <is>
          <t>CIS</t>
        </is>
      </c>
      <c r="I83" s="24" t="inlineStr">
        <is>
          <t>포괄손익계산서</t>
        </is>
      </c>
      <c r="J83" s="24" t="inlineStr">
        <is>
          <t>ifrs-full_ComprehensiveIncomeAttributableToOwnersOfParent</t>
        </is>
      </c>
      <c r="K83" s="24" t="inlineStr">
        <is>
          <t>지배기업의 소유주에게 귀속되는 지분</t>
        </is>
      </c>
      <c r="L83" s="24" t="inlineStr">
        <is>
          <t>-</t>
        </is>
      </c>
      <c r="M83" s="24" t="inlineStr">
        <is>
          <t>제 69 기</t>
        </is>
      </c>
      <c r="N83" s="24" t="inlineStr">
        <is>
          <t>325543356413.0</t>
        </is>
      </c>
      <c r="O83" s="24" t="inlineStr">
        <is>
          <t>164953352219.0</t>
        </is>
      </c>
      <c r="P83" s="24" t="inlineStr">
        <is>
          <t>KRW</t>
        </is>
      </c>
      <c r="Q83" s="24" t="inlineStr">
        <is>
          <t>11</t>
        </is>
      </c>
    </row>
    <row r="84" ht="24" customHeight="1">
      <c r="A84" s="29" t="inlineStr">
        <is>
          <t>OpenDART_fnlttSinglAcntAll</t>
        </is>
      </c>
      <c r="B84" s="29" t="inlineStr">
        <is>
          <t>00160843</t>
        </is>
      </c>
      <c r="C84" s="29" t="inlineStr">
        <is>
          <t>DB하이텍</t>
        </is>
      </c>
      <c r="D84" s="29" t="inlineStr">
        <is>
          <t>dbhitek</t>
        </is>
      </c>
      <c r="E84" s="29" t="inlineStr">
        <is>
          <t>000990</t>
        </is>
      </c>
      <c r="F84" s="29" t="inlineStr">
        <is>
          <t>2021</t>
        </is>
      </c>
      <c r="G84" s="29" t="inlineStr">
        <is>
          <t>CFS</t>
        </is>
      </c>
      <c r="H84" s="29" t="inlineStr">
        <is>
          <t>CIS</t>
        </is>
      </c>
      <c r="I84" s="29" t="inlineStr">
        <is>
          <t>포괄손익계산서</t>
        </is>
      </c>
      <c r="J84" s="29" t="inlineStr">
        <is>
          <t>ifrs-full_ComprehensiveIncomeAttributableToNoncontrollingInterests</t>
        </is>
      </c>
      <c r="K84" s="29" t="inlineStr">
        <is>
          <t>비지배지분</t>
        </is>
      </c>
      <c r="L84" s="29" t="inlineStr">
        <is>
          <t>-</t>
        </is>
      </c>
      <c r="M84" s="29" t="inlineStr">
        <is>
          <t>제 69 기</t>
        </is>
      </c>
      <c r="N84" s="29" t="inlineStr">
        <is>
          <t>0.0</t>
        </is>
      </c>
      <c r="O84" s="29" t="inlineStr">
        <is>
          <t>0.0</t>
        </is>
      </c>
      <c r="P84" s="29" t="inlineStr">
        <is>
          <t>KRW</t>
        </is>
      </c>
      <c r="Q84" s="29" t="inlineStr">
        <is>
          <t>12</t>
        </is>
      </c>
    </row>
    <row r="85" ht="24" customHeight="1">
      <c r="A85" s="24" t="inlineStr">
        <is>
          <t>OpenDART_fnlttSinglAcntAll</t>
        </is>
      </c>
      <c r="B85" s="24" t="inlineStr">
        <is>
          <t>00160843</t>
        </is>
      </c>
      <c r="C85" s="24" t="inlineStr">
        <is>
          <t>DB하이텍</t>
        </is>
      </c>
      <c r="D85" s="24" t="inlineStr">
        <is>
          <t>dbhitek</t>
        </is>
      </c>
      <c r="E85" s="24" t="inlineStr">
        <is>
          <t>000990</t>
        </is>
      </c>
      <c r="F85" s="24" t="inlineStr">
        <is>
          <t>2021</t>
        </is>
      </c>
      <c r="G85" s="24" t="inlineStr">
        <is>
          <t>CFS</t>
        </is>
      </c>
      <c r="H85" s="24" t="inlineStr">
        <is>
          <t>CF</t>
        </is>
      </c>
      <c r="I85" s="24" t="inlineStr">
        <is>
          <t>현금흐름표</t>
        </is>
      </c>
      <c r="J85" s="24" t="inlineStr">
        <is>
          <t>ifrs-full_CashFlowsFromUsedInOperatingActivities</t>
        </is>
      </c>
      <c r="K85" s="24" t="inlineStr">
        <is>
          <t>영업활동현금흐름</t>
        </is>
      </c>
      <c r="L85" s="24" t="inlineStr">
        <is>
          <t>-</t>
        </is>
      </c>
      <c r="M85" s="24" t="inlineStr">
        <is>
          <t>제 69 기</t>
        </is>
      </c>
      <c r="N85" s="24" t="inlineStr">
        <is>
          <t>393129114790.0</t>
        </is>
      </c>
      <c r="O85" s="24" t="inlineStr">
        <is>
          <t>309982629774.0</t>
        </is>
      </c>
      <c r="P85" s="24" t="inlineStr">
        <is>
          <t>KRW</t>
        </is>
      </c>
      <c r="Q85" s="24" t="inlineStr">
        <is>
          <t>0</t>
        </is>
      </c>
    </row>
    <row r="86" ht="24" customHeight="1">
      <c r="A86" s="29" t="inlineStr">
        <is>
          <t>OpenDART_fnlttSinglAcntAll</t>
        </is>
      </c>
      <c r="B86" s="29" t="inlineStr">
        <is>
          <t>00160843</t>
        </is>
      </c>
      <c r="C86" s="29" t="inlineStr">
        <is>
          <t>DB하이텍</t>
        </is>
      </c>
      <c r="D86" s="29" t="inlineStr">
        <is>
          <t>dbhitek</t>
        </is>
      </c>
      <c r="E86" s="29" t="inlineStr">
        <is>
          <t>000990</t>
        </is>
      </c>
      <c r="F86" s="29" t="inlineStr">
        <is>
          <t>2021</t>
        </is>
      </c>
      <c r="G86" s="29" t="inlineStr">
        <is>
          <t>CFS</t>
        </is>
      </c>
      <c r="H86" s="29" t="inlineStr">
        <is>
          <t>CF</t>
        </is>
      </c>
      <c r="I86" s="29" t="inlineStr">
        <is>
          <t>현금흐름표</t>
        </is>
      </c>
      <c r="J86" s="29" t="inlineStr">
        <is>
          <t>dart_AdjustmentsForAssetsLiabilitiesOfOperatingActivities</t>
        </is>
      </c>
      <c r="K86" s="29" t="inlineStr">
        <is>
          <t>영업활동으로부터 창출된 현금흐름</t>
        </is>
      </c>
      <c r="L86" s="29" t="inlineStr">
        <is>
          <t>-</t>
        </is>
      </c>
      <c r="M86" s="29" t="inlineStr">
        <is>
          <t>제 69 기</t>
        </is>
      </c>
      <c r="N86" s="29" t="inlineStr">
        <is>
          <t>476391777543.0</t>
        </is>
      </c>
      <c r="O86" s="29" t="inlineStr">
        <is>
          <t>359754264225.0</t>
        </is>
      </c>
      <c r="P86" s="29" t="inlineStr">
        <is>
          <t>KRW</t>
        </is>
      </c>
      <c r="Q86" s="29" t="inlineStr">
        <is>
          <t>1</t>
        </is>
      </c>
    </row>
    <row r="87" ht="24" customHeight="1">
      <c r="A87" s="24" t="inlineStr">
        <is>
          <t>OpenDART_fnlttSinglAcntAll</t>
        </is>
      </c>
      <c r="B87" s="24" t="inlineStr">
        <is>
          <t>00160843</t>
        </is>
      </c>
      <c r="C87" s="24" t="inlineStr">
        <is>
          <t>DB하이텍</t>
        </is>
      </c>
      <c r="D87" s="24" t="inlineStr">
        <is>
          <t>dbhitek</t>
        </is>
      </c>
      <c r="E87" s="24" t="inlineStr">
        <is>
          <t>000990</t>
        </is>
      </c>
      <c r="F87" s="24" t="inlineStr">
        <is>
          <t>2021</t>
        </is>
      </c>
      <c r="G87" s="24" t="inlineStr">
        <is>
          <t>CFS</t>
        </is>
      </c>
      <c r="H87" s="24" t="inlineStr">
        <is>
          <t>CF</t>
        </is>
      </c>
      <c r="I87" s="24" t="inlineStr">
        <is>
          <t>현금흐름표</t>
        </is>
      </c>
      <c r="J87" s="24" t="inlineStr">
        <is>
          <t>ifrs-full_InterestReceivedClassifiedAsOperatingActivities</t>
        </is>
      </c>
      <c r="K87" s="24" t="inlineStr">
        <is>
          <t>이자수취</t>
        </is>
      </c>
      <c r="L87" s="24" t="inlineStr">
        <is>
          <t>-</t>
        </is>
      </c>
      <c r="M87" s="24" t="inlineStr">
        <is>
          <t>제 69 기</t>
        </is>
      </c>
      <c r="N87" s="24" t="inlineStr">
        <is>
          <t>2057549041.0</t>
        </is>
      </c>
      <c r="O87" s="24" t="inlineStr">
        <is>
          <t>2174726430.0</t>
        </is>
      </c>
      <c r="P87" s="24" t="inlineStr">
        <is>
          <t>KRW</t>
        </is>
      </c>
      <c r="Q87" s="24" t="inlineStr">
        <is>
          <t>2</t>
        </is>
      </c>
    </row>
    <row r="88" ht="24" customHeight="1">
      <c r="A88" s="29" t="inlineStr">
        <is>
          <t>OpenDART_fnlttSinglAcntAll</t>
        </is>
      </c>
      <c r="B88" s="29" t="inlineStr">
        <is>
          <t>00160843</t>
        </is>
      </c>
      <c r="C88" s="29" t="inlineStr">
        <is>
          <t>DB하이텍</t>
        </is>
      </c>
      <c r="D88" s="29" t="inlineStr">
        <is>
          <t>dbhitek</t>
        </is>
      </c>
      <c r="E88" s="29" t="inlineStr">
        <is>
          <t>000990</t>
        </is>
      </c>
      <c r="F88" s="29" t="inlineStr">
        <is>
          <t>2021</t>
        </is>
      </c>
      <c r="G88" s="29" t="inlineStr">
        <is>
          <t>CFS</t>
        </is>
      </c>
      <c r="H88" s="29" t="inlineStr">
        <is>
          <t>CF</t>
        </is>
      </c>
      <c r="I88" s="29" t="inlineStr">
        <is>
          <t>현금흐름표</t>
        </is>
      </c>
      <c r="J88" s="29" t="inlineStr">
        <is>
          <t>ifrs-full_InterestPaidClassifiedAsOperatingActivities</t>
        </is>
      </c>
      <c r="K88" s="29" t="inlineStr">
        <is>
          <t>이자지급</t>
        </is>
      </c>
      <c r="L88" s="29" t="inlineStr">
        <is>
          <t>-</t>
        </is>
      </c>
      <c r="M88" s="29" t="inlineStr">
        <is>
          <t>제 69 기</t>
        </is>
      </c>
      <c r="N88" s="29" t="inlineStr">
        <is>
          <t>2481631504.0</t>
        </is>
      </c>
      <c r="O88" s="29" t="inlineStr">
        <is>
          <t>6177869775.0</t>
        </is>
      </c>
      <c r="P88" s="29" t="inlineStr">
        <is>
          <t>KRW</t>
        </is>
      </c>
      <c r="Q88" s="29" t="inlineStr">
        <is>
          <t>3</t>
        </is>
      </c>
    </row>
    <row r="89" ht="24" customHeight="1">
      <c r="A89" s="24" t="inlineStr">
        <is>
          <t>OpenDART_fnlttSinglAcntAll</t>
        </is>
      </c>
      <c r="B89" s="24" t="inlineStr">
        <is>
          <t>00160843</t>
        </is>
      </c>
      <c r="C89" s="24" t="inlineStr">
        <is>
          <t>DB하이텍</t>
        </is>
      </c>
      <c r="D89" s="24" t="inlineStr">
        <is>
          <t>dbhitek</t>
        </is>
      </c>
      <c r="E89" s="24" t="inlineStr">
        <is>
          <t>000990</t>
        </is>
      </c>
      <c r="F89" s="24" t="inlineStr">
        <is>
          <t>2021</t>
        </is>
      </c>
      <c r="G89" s="24" t="inlineStr">
        <is>
          <t>CFS</t>
        </is>
      </c>
      <c r="H89" s="24" t="inlineStr">
        <is>
          <t>CF</t>
        </is>
      </c>
      <c r="I89" s="24" t="inlineStr">
        <is>
          <t>현금흐름표</t>
        </is>
      </c>
      <c r="J89" s="24" t="inlineStr">
        <is>
          <t>ifrs-full_DividendsReceivedClassifiedAsOperatingActivities</t>
        </is>
      </c>
      <c r="K89" s="24" t="inlineStr">
        <is>
          <t>배당금수취</t>
        </is>
      </c>
      <c r="L89" s="24" t="inlineStr">
        <is>
          <t>-</t>
        </is>
      </c>
      <c r="M89" s="24" t="inlineStr">
        <is>
          <t>제 69 기</t>
        </is>
      </c>
      <c r="N89" s="24" t="inlineStr">
        <is>
          <t>1063150.0</t>
        </is>
      </c>
      <c r="O89" s="24" t="inlineStr">
        <is>
          <t>1063150.0</t>
        </is>
      </c>
      <c r="P89" s="24" t="inlineStr">
        <is>
          <t>KRW</t>
        </is>
      </c>
      <c r="Q89" s="24" t="inlineStr">
        <is>
          <t>4</t>
        </is>
      </c>
    </row>
    <row r="90" ht="24" customHeight="1">
      <c r="A90" s="29" t="inlineStr">
        <is>
          <t>OpenDART_fnlttSinglAcntAll</t>
        </is>
      </c>
      <c r="B90" s="29" t="inlineStr">
        <is>
          <t>00160843</t>
        </is>
      </c>
      <c r="C90" s="29" t="inlineStr">
        <is>
          <t>DB하이텍</t>
        </is>
      </c>
      <c r="D90" s="29" t="inlineStr">
        <is>
          <t>dbhitek</t>
        </is>
      </c>
      <c r="E90" s="29" t="inlineStr">
        <is>
          <t>000990</t>
        </is>
      </c>
      <c r="F90" s="29" t="inlineStr">
        <is>
          <t>2021</t>
        </is>
      </c>
      <c r="G90" s="29" t="inlineStr">
        <is>
          <t>CFS</t>
        </is>
      </c>
      <c r="H90" s="29" t="inlineStr">
        <is>
          <t>CF</t>
        </is>
      </c>
      <c r="I90" s="29" t="inlineStr">
        <is>
          <t>현금흐름표</t>
        </is>
      </c>
      <c r="J90" s="29" t="inlineStr">
        <is>
          <t>ifrs-full_DividendsPaidClassifiedAsOperatingActivities</t>
        </is>
      </c>
      <c r="K90" s="29" t="inlineStr">
        <is>
          <t>배당금지급</t>
        </is>
      </c>
      <c r="L90" s="29" t="inlineStr">
        <is>
          <t>-</t>
        </is>
      </c>
      <c r="M90" s="29" t="inlineStr">
        <is>
          <t>제 69 기</t>
        </is>
      </c>
      <c r="N90" s="29" t="inlineStr">
        <is>
          <t>15207397600.0</t>
        </is>
      </c>
      <c r="O90" s="29" t="inlineStr">
        <is>
          <t>15204861500.0</t>
        </is>
      </c>
      <c r="P90" s="29" t="inlineStr">
        <is>
          <t>KRW</t>
        </is>
      </c>
      <c r="Q90" s="29" t="inlineStr">
        <is>
          <t>5</t>
        </is>
      </c>
    </row>
    <row r="91" ht="24" customHeight="1">
      <c r="A91" s="24" t="inlineStr">
        <is>
          <t>OpenDART_fnlttSinglAcntAll</t>
        </is>
      </c>
      <c r="B91" s="24" t="inlineStr">
        <is>
          <t>00160843</t>
        </is>
      </c>
      <c r="C91" s="24" t="inlineStr">
        <is>
          <t>DB하이텍</t>
        </is>
      </c>
      <c r="D91" s="24" t="inlineStr">
        <is>
          <t>dbhitek</t>
        </is>
      </c>
      <c r="E91" s="24" t="inlineStr">
        <is>
          <t>000990</t>
        </is>
      </c>
      <c r="F91" s="24" t="inlineStr">
        <is>
          <t>2021</t>
        </is>
      </c>
      <c r="G91" s="24" t="inlineStr">
        <is>
          <t>CFS</t>
        </is>
      </c>
      <c r="H91" s="24" t="inlineStr">
        <is>
          <t>CF</t>
        </is>
      </c>
      <c r="I91" s="24" t="inlineStr">
        <is>
          <t>현금흐름표</t>
        </is>
      </c>
      <c r="J91" s="24" t="inlineStr">
        <is>
          <t>ifrs-full_IncomeTaxesPaidRefundClassifiedAsOperatingActivities</t>
        </is>
      </c>
      <c r="K91" s="24" t="inlineStr">
        <is>
          <t>법인세환급(납부)</t>
        </is>
      </c>
      <c r="L91" s="24" t="inlineStr">
        <is>
          <t>-</t>
        </is>
      </c>
      <c r="M91" s="24" t="inlineStr">
        <is>
          <t>제 69 기</t>
        </is>
      </c>
      <c r="N91" s="24" t="inlineStr">
        <is>
          <t>67632245840.0</t>
        </is>
      </c>
      <c r="O91" s="24" t="inlineStr">
        <is>
          <t>30564692756.0</t>
        </is>
      </c>
      <c r="P91" s="24" t="inlineStr">
        <is>
          <t>KRW</t>
        </is>
      </c>
      <c r="Q91" s="24" t="inlineStr">
        <is>
          <t>6</t>
        </is>
      </c>
    </row>
    <row r="92" ht="24" customHeight="1">
      <c r="A92" s="29" t="inlineStr">
        <is>
          <t>OpenDART_fnlttSinglAcntAll</t>
        </is>
      </c>
      <c r="B92" s="29" t="inlineStr">
        <is>
          <t>00160843</t>
        </is>
      </c>
      <c r="C92" s="29" t="inlineStr">
        <is>
          <t>DB하이텍</t>
        </is>
      </c>
      <c r="D92" s="29" t="inlineStr">
        <is>
          <t>dbhitek</t>
        </is>
      </c>
      <c r="E92" s="29" t="inlineStr">
        <is>
          <t>000990</t>
        </is>
      </c>
      <c r="F92" s="29" t="inlineStr">
        <is>
          <t>2021</t>
        </is>
      </c>
      <c r="G92" s="29" t="inlineStr">
        <is>
          <t>CFS</t>
        </is>
      </c>
      <c r="H92" s="29" t="inlineStr">
        <is>
          <t>CF</t>
        </is>
      </c>
      <c r="I92" s="29" t="inlineStr">
        <is>
          <t>현금흐름표</t>
        </is>
      </c>
      <c r="J92" s="29" t="inlineStr">
        <is>
          <t>ifrs-full_CashFlowsFromUsedInInvestingActivities</t>
        </is>
      </c>
      <c r="K92" s="29" t="inlineStr">
        <is>
          <t>투자활동현금흐름</t>
        </is>
      </c>
      <c r="L92" s="29" t="inlineStr">
        <is>
          <t>-</t>
        </is>
      </c>
      <c r="M92" s="29" t="inlineStr">
        <is>
          <t>제 69 기</t>
        </is>
      </c>
      <c r="N92" s="29" t="inlineStr">
        <is>
          <t>-252766500051.0</t>
        </is>
      </c>
      <c r="O92" s="29" t="inlineStr">
        <is>
          <t>-265310217823.0</t>
        </is>
      </c>
      <c r="P92" s="29" t="inlineStr">
        <is>
          <t>KRW</t>
        </is>
      </c>
      <c r="Q92" s="29" t="inlineStr">
        <is>
          <t>7</t>
        </is>
      </c>
    </row>
    <row r="93" ht="24" customHeight="1">
      <c r="A93" s="24" t="inlineStr">
        <is>
          <t>OpenDART_fnlttSinglAcntAll</t>
        </is>
      </c>
      <c r="B93" s="24" t="inlineStr">
        <is>
          <t>00160843</t>
        </is>
      </c>
      <c r="C93" s="24" t="inlineStr">
        <is>
          <t>DB하이텍</t>
        </is>
      </c>
      <c r="D93" s="24" t="inlineStr">
        <is>
          <t>dbhitek</t>
        </is>
      </c>
      <c r="E93" s="24" t="inlineStr">
        <is>
          <t>000990</t>
        </is>
      </c>
      <c r="F93" s="24" t="inlineStr">
        <is>
          <t>2021</t>
        </is>
      </c>
      <c r="G93" s="24" t="inlineStr">
        <is>
          <t>CFS</t>
        </is>
      </c>
      <c r="H93" s="24" t="inlineStr">
        <is>
          <t>CF</t>
        </is>
      </c>
      <c r="I93" s="24" t="inlineStr">
        <is>
          <t>현금흐름표</t>
        </is>
      </c>
      <c r="J93" s="24" t="inlineStr">
        <is>
          <t>dart_PurchaseOfShortTermFinancialInstruments</t>
        </is>
      </c>
      <c r="K93" s="24" t="inlineStr">
        <is>
          <t>단기금융상품의 증가</t>
        </is>
      </c>
      <c r="L93" s="24" t="inlineStr">
        <is>
          <t>-</t>
        </is>
      </c>
      <c r="M93" s="24" t="inlineStr">
        <is>
          <t>제 69 기</t>
        </is>
      </c>
      <c r="N93" s="24" t="inlineStr">
        <is>
          <t>286824310377.0</t>
        </is>
      </c>
      <c r="O93" s="24" t="inlineStr">
        <is>
          <t>147435300739.0</t>
        </is>
      </c>
      <c r="P93" s="24" t="inlineStr">
        <is>
          <t>KRW</t>
        </is>
      </c>
      <c r="Q93" s="24" t="inlineStr">
        <is>
          <t>8</t>
        </is>
      </c>
    </row>
    <row r="94" ht="24" customHeight="1">
      <c r="A94" s="29" t="inlineStr">
        <is>
          <t>OpenDART_fnlttSinglAcntAll</t>
        </is>
      </c>
      <c r="B94" s="29" t="inlineStr">
        <is>
          <t>00160843</t>
        </is>
      </c>
      <c r="C94" s="29" t="inlineStr">
        <is>
          <t>DB하이텍</t>
        </is>
      </c>
      <c r="D94" s="29" t="inlineStr">
        <is>
          <t>dbhitek</t>
        </is>
      </c>
      <c r="E94" s="29" t="inlineStr">
        <is>
          <t>000990</t>
        </is>
      </c>
      <c r="F94" s="29" t="inlineStr">
        <is>
          <t>2021</t>
        </is>
      </c>
      <c r="G94" s="29" t="inlineStr">
        <is>
          <t>CFS</t>
        </is>
      </c>
      <c r="H94" s="29" t="inlineStr">
        <is>
          <t>CF</t>
        </is>
      </c>
      <c r="I94" s="29" t="inlineStr">
        <is>
          <t>현금흐름표</t>
        </is>
      </c>
      <c r="J94" s="29" t="inlineStr">
        <is>
          <t>dart_ProceedsFromSalesOfShortTermFinancialInstruments</t>
        </is>
      </c>
      <c r="K94" s="29" t="inlineStr">
        <is>
          <t>단기금융상품의 감소</t>
        </is>
      </c>
      <c r="L94" s="29" t="inlineStr">
        <is>
          <t>-</t>
        </is>
      </c>
      <c r="M94" s="29" t="inlineStr">
        <is>
          <t>제 69 기</t>
        </is>
      </c>
      <c r="N94" s="29" t="inlineStr">
        <is>
          <t>140560395162.0</t>
        </is>
      </c>
      <c r="O94" s="29" t="inlineStr">
        <is>
          <t>146471976003.0</t>
        </is>
      </c>
      <c r="P94" s="29" t="inlineStr">
        <is>
          <t>KRW</t>
        </is>
      </c>
      <c r="Q94" s="29" t="inlineStr">
        <is>
          <t>9</t>
        </is>
      </c>
    </row>
    <row r="95" ht="24" customHeight="1">
      <c r="A95" s="24" t="inlineStr">
        <is>
          <t>OpenDART_fnlttSinglAcntAll</t>
        </is>
      </c>
      <c r="B95" s="24" t="inlineStr">
        <is>
          <t>00160843</t>
        </is>
      </c>
      <c r="C95" s="24" t="inlineStr">
        <is>
          <t>DB하이텍</t>
        </is>
      </c>
      <c r="D95" s="24" t="inlineStr">
        <is>
          <t>dbhitek</t>
        </is>
      </c>
      <c r="E95" s="24" t="inlineStr">
        <is>
          <t>000990</t>
        </is>
      </c>
      <c r="F95" s="24" t="inlineStr">
        <is>
          <t>2021</t>
        </is>
      </c>
      <c r="G95" s="24" t="inlineStr">
        <is>
          <t>CFS</t>
        </is>
      </c>
      <c r="H95" s="24" t="inlineStr">
        <is>
          <t>CF</t>
        </is>
      </c>
      <c r="I95" s="24" t="inlineStr">
        <is>
          <t>현금흐름표</t>
        </is>
      </c>
      <c r="J95" s="24" t="inlineStr">
        <is>
          <t>dart_PurchaseOfShortTermLoansAndReceivables</t>
        </is>
      </c>
      <c r="K95" s="24" t="inlineStr">
        <is>
          <t>단기대여금의 증가</t>
        </is>
      </c>
      <c r="L95" s="24" t="inlineStr">
        <is>
          <t>-</t>
        </is>
      </c>
      <c r="M95" s="24" t="inlineStr">
        <is>
          <t>제 69 기</t>
        </is>
      </c>
      <c r="N95" s="24" t="inlineStr">
        <is>
          <t>0.0</t>
        </is>
      </c>
      <c r="O95" s="24" t="inlineStr">
        <is>
          <t>3700000000.0</t>
        </is>
      </c>
      <c r="P95" s="24" t="inlineStr">
        <is>
          <t>KRW</t>
        </is>
      </c>
      <c r="Q95" s="24" t="inlineStr">
        <is>
          <t>10</t>
        </is>
      </c>
    </row>
    <row r="96" ht="24" customHeight="1">
      <c r="A96" s="29" t="inlineStr">
        <is>
          <t>OpenDART_fnlttSinglAcntAll</t>
        </is>
      </c>
      <c r="B96" s="29" t="inlineStr">
        <is>
          <t>00160843</t>
        </is>
      </c>
      <c r="C96" s="29" t="inlineStr">
        <is>
          <t>DB하이텍</t>
        </is>
      </c>
      <c r="D96" s="29" t="inlineStr">
        <is>
          <t>dbhitek</t>
        </is>
      </c>
      <c r="E96" s="29" t="inlineStr">
        <is>
          <t>000990</t>
        </is>
      </c>
      <c r="F96" s="29" t="inlineStr">
        <is>
          <t>2021</t>
        </is>
      </c>
      <c r="G96" s="29" t="inlineStr">
        <is>
          <t>CFS</t>
        </is>
      </c>
      <c r="H96" s="29" t="inlineStr">
        <is>
          <t>CF</t>
        </is>
      </c>
      <c r="I96" s="29" t="inlineStr">
        <is>
          <t>현금흐름표</t>
        </is>
      </c>
      <c r="J96" s="29" t="inlineStr">
        <is>
          <t>dart_ProceedsFromSalesOfShortTermLoansAndReceivables</t>
        </is>
      </c>
      <c r="K96" s="29" t="inlineStr">
        <is>
          <t>단기대여금의 감소</t>
        </is>
      </c>
      <c r="L96" s="29" t="inlineStr">
        <is>
          <t>-</t>
        </is>
      </c>
      <c r="M96" s="29" t="inlineStr">
        <is>
          <t>제 69 기</t>
        </is>
      </c>
      <c r="N96" s="29" t="inlineStr">
        <is>
          <t>1700000000.0</t>
        </is>
      </c>
      <c r="O96" s="29" t="inlineStr">
        <is>
          <t>14410000000.0</t>
        </is>
      </c>
      <c r="P96" s="29" t="inlineStr">
        <is>
          <t>KRW</t>
        </is>
      </c>
      <c r="Q96" s="29" t="inlineStr">
        <is>
          <t>11</t>
        </is>
      </c>
    </row>
    <row r="97" ht="24" customHeight="1">
      <c r="A97" s="24" t="inlineStr">
        <is>
          <t>OpenDART_fnlttSinglAcntAll</t>
        </is>
      </c>
      <c r="B97" s="24" t="inlineStr">
        <is>
          <t>00160843</t>
        </is>
      </c>
      <c r="C97" s="24" t="inlineStr">
        <is>
          <t>DB하이텍</t>
        </is>
      </c>
      <c r="D97" s="24" t="inlineStr">
        <is>
          <t>dbhitek</t>
        </is>
      </c>
      <c r="E97" s="24" t="inlineStr">
        <is>
          <t>000990</t>
        </is>
      </c>
      <c r="F97" s="24" t="inlineStr">
        <is>
          <t>2021</t>
        </is>
      </c>
      <c r="G97" s="24" t="inlineStr">
        <is>
          <t>CFS</t>
        </is>
      </c>
      <c r="H97" s="24" t="inlineStr">
        <is>
          <t>CF</t>
        </is>
      </c>
      <c r="I97" s="24" t="inlineStr">
        <is>
          <t>현금흐름표</t>
        </is>
      </c>
      <c r="J97" s="24" t="inlineStr">
        <is>
          <t>dart_PurchaseOfOtherFinancialAssets</t>
        </is>
      </c>
      <c r="K97" s="24" t="inlineStr">
        <is>
          <t>기타금융자산의 취득</t>
        </is>
      </c>
      <c r="L97" s="24" t="inlineStr">
        <is>
          <t>-</t>
        </is>
      </c>
      <c r="M97" s="24" t="inlineStr">
        <is>
          <t>제 69 기</t>
        </is>
      </c>
      <c r="N97" s="24" t="inlineStr">
        <is>
          <t>83586210142.0</t>
        </is>
      </c>
      <c r="O97" s="24" t="inlineStr">
        <is>
          <t>98578348430.0</t>
        </is>
      </c>
      <c r="P97" s="24" t="inlineStr">
        <is>
          <t>KRW</t>
        </is>
      </c>
      <c r="Q97" s="24" t="inlineStr">
        <is>
          <t>12</t>
        </is>
      </c>
    </row>
    <row r="98" ht="24" customHeight="1">
      <c r="A98" s="29" t="inlineStr">
        <is>
          <t>OpenDART_fnlttSinglAcntAll</t>
        </is>
      </c>
      <c r="B98" s="29" t="inlineStr">
        <is>
          <t>00160843</t>
        </is>
      </c>
      <c r="C98" s="29" t="inlineStr">
        <is>
          <t>DB하이텍</t>
        </is>
      </c>
      <c r="D98" s="29" t="inlineStr">
        <is>
          <t>dbhitek</t>
        </is>
      </c>
      <c r="E98" s="29" t="inlineStr">
        <is>
          <t>000990</t>
        </is>
      </c>
      <c r="F98" s="29" t="inlineStr">
        <is>
          <t>2021</t>
        </is>
      </c>
      <c r="G98" s="29" t="inlineStr">
        <is>
          <t>CFS</t>
        </is>
      </c>
      <c r="H98" s="29" t="inlineStr">
        <is>
          <t>CF</t>
        </is>
      </c>
      <c r="I98" s="29" t="inlineStr">
        <is>
          <t>현금흐름표</t>
        </is>
      </c>
      <c r="J98" s="29" t="inlineStr">
        <is>
          <t>dart_ProceedsFromSalesOfOtherFinancialAssets</t>
        </is>
      </c>
      <c r="K98" s="29" t="inlineStr">
        <is>
          <t>기타금융자산의 처분</t>
        </is>
      </c>
      <c r="L98" s="29" t="inlineStr">
        <is>
          <t>-</t>
        </is>
      </c>
      <c r="M98" s="29" t="inlineStr">
        <is>
          <t>제 69 기</t>
        </is>
      </c>
      <c r="N98" s="29" t="inlineStr">
        <is>
          <t>111326407950.0</t>
        </is>
      </c>
      <c r="O98" s="29" t="inlineStr">
        <is>
          <t>981333130.0</t>
        </is>
      </c>
      <c r="P98" s="29" t="inlineStr">
        <is>
          <t>KRW</t>
        </is>
      </c>
      <c r="Q98" s="29" t="inlineStr">
        <is>
          <t>13</t>
        </is>
      </c>
    </row>
    <row r="99" ht="24" customHeight="1">
      <c r="A99" s="24" t="inlineStr">
        <is>
          <t>OpenDART_fnlttSinglAcntAll</t>
        </is>
      </c>
      <c r="B99" s="24" t="inlineStr">
        <is>
          <t>00160843</t>
        </is>
      </c>
      <c r="C99" s="24" t="inlineStr">
        <is>
          <t>DB하이텍</t>
        </is>
      </c>
      <c r="D99" s="24" t="inlineStr">
        <is>
          <t>dbhitek</t>
        </is>
      </c>
      <c r="E99" s="24" t="inlineStr">
        <is>
          <t>000990</t>
        </is>
      </c>
      <c r="F99" s="24" t="inlineStr">
        <is>
          <t>2021</t>
        </is>
      </c>
      <c r="G99" s="24" t="inlineStr">
        <is>
          <t>CFS</t>
        </is>
      </c>
      <c r="H99" s="24" t="inlineStr">
        <is>
          <t>CF</t>
        </is>
      </c>
      <c r="I99" s="24" t="inlineStr">
        <is>
          <t>현금흐름표</t>
        </is>
      </c>
      <c r="J99" s="24" t="inlineStr">
        <is>
          <t>-표준계정코드 미사용-</t>
        </is>
      </c>
      <c r="K99" s="24" t="inlineStr">
        <is>
          <t>기타포괄손익-공정가치 측정 금융자산 취득</t>
        </is>
      </c>
      <c r="L99" s="24" t="inlineStr">
        <is>
          <t>-</t>
        </is>
      </c>
      <c r="M99" s="24" t="inlineStr">
        <is>
          <t>제 69 기</t>
        </is>
      </c>
      <c r="N99" s="24" t="inlineStr">
        <is>
          <t>0.0</t>
        </is>
      </c>
      <c r="O99" s="24" t="inlineStr">
        <is>
          <t>0.0</t>
        </is>
      </c>
      <c r="P99" s="24" t="inlineStr">
        <is>
          <t>KRW</t>
        </is>
      </c>
      <c r="Q99" s="24" t="inlineStr">
        <is>
          <t>14</t>
        </is>
      </c>
    </row>
    <row r="100" ht="24" customHeight="1">
      <c r="A100" s="29" t="inlineStr">
        <is>
          <t>OpenDART_fnlttSinglAcntAll</t>
        </is>
      </c>
      <c r="B100" s="29" t="inlineStr">
        <is>
          <t>00160843</t>
        </is>
      </c>
      <c r="C100" s="29" t="inlineStr">
        <is>
          <t>DB하이텍</t>
        </is>
      </c>
      <c r="D100" s="29" t="inlineStr">
        <is>
          <t>dbhitek</t>
        </is>
      </c>
      <c r="E100" s="29" t="inlineStr">
        <is>
          <t>000990</t>
        </is>
      </c>
      <c r="F100" s="29" t="inlineStr">
        <is>
          <t>2021</t>
        </is>
      </c>
      <c r="G100" s="29" t="inlineStr">
        <is>
          <t>CFS</t>
        </is>
      </c>
      <c r="H100" s="29" t="inlineStr">
        <is>
          <t>CF</t>
        </is>
      </c>
      <c r="I100" s="29" t="inlineStr">
        <is>
          <t>현금흐름표</t>
        </is>
      </c>
      <c r="J100" s="29" t="inlineStr">
        <is>
          <t>-표준계정코드 미사용-</t>
        </is>
      </c>
      <c r="K100" s="29" t="inlineStr">
        <is>
          <t>기타포괄손익-공정가치 측정 금융자산 처분</t>
        </is>
      </c>
      <c r="L100" s="29" t="inlineStr">
        <is>
          <t>-</t>
        </is>
      </c>
      <c r="M100" s="29" t="inlineStr">
        <is>
          <t>제 69 기</t>
        </is>
      </c>
      <c r="N100" s="29" t="inlineStr">
        <is>
          <t>0.0</t>
        </is>
      </c>
      <c r="O100" s="29" t="inlineStr">
        <is>
          <t>0.0</t>
        </is>
      </c>
      <c r="P100" s="29" t="inlineStr">
        <is>
          <t>KRW</t>
        </is>
      </c>
      <c r="Q100" s="29" t="inlineStr">
        <is>
          <t>15</t>
        </is>
      </c>
    </row>
    <row r="101" ht="24" customHeight="1">
      <c r="A101" s="24" t="inlineStr">
        <is>
          <t>OpenDART_fnlttSinglAcntAll</t>
        </is>
      </c>
      <c r="B101" s="24" t="inlineStr">
        <is>
          <t>00160843</t>
        </is>
      </c>
      <c r="C101" s="24" t="inlineStr">
        <is>
          <t>DB하이텍</t>
        </is>
      </c>
      <c r="D101" s="24" t="inlineStr">
        <is>
          <t>dbhitek</t>
        </is>
      </c>
      <c r="E101" s="24" t="inlineStr">
        <is>
          <t>000990</t>
        </is>
      </c>
      <c r="F101" s="24" t="inlineStr">
        <is>
          <t>2021</t>
        </is>
      </c>
      <c r="G101" s="24" t="inlineStr">
        <is>
          <t>CFS</t>
        </is>
      </c>
      <c r="H101" s="24" t="inlineStr">
        <is>
          <t>CF</t>
        </is>
      </c>
      <c r="I101" s="24" t="inlineStr">
        <is>
          <t>현금흐름표</t>
        </is>
      </c>
      <c r="J101" s="24" t="inlineStr">
        <is>
          <t>dart_PurchaseOfInvestmentsInAssociates</t>
        </is>
      </c>
      <c r="K101" s="24" t="inlineStr">
        <is>
          <t>관계기업투자주식의 취득</t>
        </is>
      </c>
      <c r="L101" s="24" t="inlineStr">
        <is>
          <t>-</t>
        </is>
      </c>
      <c r="M101" s="24" t="inlineStr">
        <is>
          <t>제 69 기</t>
        </is>
      </c>
      <c r="N101" s="24" t="inlineStr">
        <is>
          <t>0.0</t>
        </is>
      </c>
      <c r="O101" s="24" t="inlineStr">
        <is>
          <t>16494783000.0</t>
        </is>
      </c>
      <c r="P101" s="24" t="inlineStr">
        <is>
          <t>KRW</t>
        </is>
      </c>
      <c r="Q101" s="24" t="inlineStr">
        <is>
          <t>16</t>
        </is>
      </c>
    </row>
    <row r="102" ht="24" customHeight="1">
      <c r="A102" s="29" t="inlineStr">
        <is>
          <t>OpenDART_fnlttSinglAcntAll</t>
        </is>
      </c>
      <c r="B102" s="29" t="inlineStr">
        <is>
          <t>00160843</t>
        </is>
      </c>
      <c r="C102" s="29" t="inlineStr">
        <is>
          <t>DB하이텍</t>
        </is>
      </c>
      <c r="D102" s="29" t="inlineStr">
        <is>
          <t>dbhitek</t>
        </is>
      </c>
      <c r="E102" s="29" t="inlineStr">
        <is>
          <t>000990</t>
        </is>
      </c>
      <c r="F102" s="29" t="inlineStr">
        <is>
          <t>2021</t>
        </is>
      </c>
      <c r="G102" s="29" t="inlineStr">
        <is>
          <t>CFS</t>
        </is>
      </c>
      <c r="H102" s="29" t="inlineStr">
        <is>
          <t>CF</t>
        </is>
      </c>
      <c r="I102" s="29" t="inlineStr">
        <is>
          <t>현금흐름표</t>
        </is>
      </c>
      <c r="J102" s="29" t="inlineStr">
        <is>
          <t>dart_ProceedsFromSalesOfInvestmentsInAssociates</t>
        </is>
      </c>
      <c r="K102" s="29" t="inlineStr">
        <is>
          <t>관계기업투자주식의 처분</t>
        </is>
      </c>
      <c r="L102" s="29" t="inlineStr">
        <is>
          <t>-</t>
        </is>
      </c>
      <c r="M102" s="29" t="inlineStr">
        <is>
          <t>제 69 기</t>
        </is>
      </c>
      <c r="N102" s="29" t="inlineStr">
        <is>
          <t>0.0</t>
        </is>
      </c>
      <c r="O102" s="29" t="inlineStr">
        <is>
          <t>0.0</t>
        </is>
      </c>
      <c r="P102" s="29" t="inlineStr">
        <is>
          <t>KRW</t>
        </is>
      </c>
      <c r="Q102" s="29" t="inlineStr">
        <is>
          <t>17</t>
        </is>
      </c>
    </row>
    <row r="103" ht="24" customHeight="1">
      <c r="A103" s="24" t="inlineStr">
        <is>
          <t>OpenDART_fnlttSinglAcntAll</t>
        </is>
      </c>
      <c r="B103" s="24" t="inlineStr">
        <is>
          <t>00160843</t>
        </is>
      </c>
      <c r="C103" s="24" t="inlineStr">
        <is>
          <t>DB하이텍</t>
        </is>
      </c>
      <c r="D103" s="24" t="inlineStr">
        <is>
          <t>dbhitek</t>
        </is>
      </c>
      <c r="E103" s="24" t="inlineStr">
        <is>
          <t>000990</t>
        </is>
      </c>
      <c r="F103" s="24" t="inlineStr">
        <is>
          <t>2021</t>
        </is>
      </c>
      <c r="G103" s="24" t="inlineStr">
        <is>
          <t>CFS</t>
        </is>
      </c>
      <c r="H103" s="24" t="inlineStr">
        <is>
          <t>CF</t>
        </is>
      </c>
      <c r="I103" s="24" t="inlineStr">
        <is>
          <t>현금흐름표</t>
        </is>
      </c>
      <c r="J103" s="24" t="inlineStr">
        <is>
          <t>ifrs-full_PurchaseOfPropertyPlantAndEquipmentClassifiedAsInvestingActivities</t>
        </is>
      </c>
      <c r="K103" s="24" t="inlineStr">
        <is>
          <t>유형자산의 취득</t>
        </is>
      </c>
      <c r="L103" s="24" t="inlineStr">
        <is>
          <t>-</t>
        </is>
      </c>
      <c r="M103" s="24" t="inlineStr">
        <is>
          <t>제 69 기</t>
        </is>
      </c>
      <c r="N103" s="24" t="inlineStr">
        <is>
          <t>133612138042.0</t>
        </is>
      </c>
      <c r="O103" s="24" t="inlineStr">
        <is>
          <t>157744371526.0</t>
        </is>
      </c>
      <c r="P103" s="24" t="inlineStr">
        <is>
          <t>KRW</t>
        </is>
      </c>
      <c r="Q103" s="24" t="inlineStr">
        <is>
          <t>18</t>
        </is>
      </c>
    </row>
    <row r="104" ht="24" customHeight="1">
      <c r="A104" s="29" t="inlineStr">
        <is>
          <t>OpenDART_fnlttSinglAcntAll</t>
        </is>
      </c>
      <c r="B104" s="29" t="inlineStr">
        <is>
          <t>00160843</t>
        </is>
      </c>
      <c r="C104" s="29" t="inlineStr">
        <is>
          <t>DB하이텍</t>
        </is>
      </c>
      <c r="D104" s="29" t="inlineStr">
        <is>
          <t>dbhitek</t>
        </is>
      </c>
      <c r="E104" s="29" t="inlineStr">
        <is>
          <t>000990</t>
        </is>
      </c>
      <c r="F104" s="29" t="inlineStr">
        <is>
          <t>2021</t>
        </is>
      </c>
      <c r="G104" s="29" t="inlineStr">
        <is>
          <t>CFS</t>
        </is>
      </c>
      <c r="H104" s="29" t="inlineStr">
        <is>
          <t>CF</t>
        </is>
      </c>
      <c r="I104" s="29" t="inlineStr">
        <is>
          <t>현금흐름표</t>
        </is>
      </c>
      <c r="J104" s="29" t="inlineStr">
        <is>
          <t>ifrs-full_ProceedsFromSalesOfPropertyPlantAndEquipmentClassifiedAsInvestingActivities</t>
        </is>
      </c>
      <c r="K104" s="29" t="inlineStr">
        <is>
          <t>유형자산의 처분</t>
        </is>
      </c>
      <c r="L104" s="29" t="inlineStr">
        <is>
          <t>-</t>
        </is>
      </c>
      <c r="M104" s="29" t="inlineStr">
        <is>
          <t>제 69 기</t>
        </is>
      </c>
      <c r="N104" s="29" t="inlineStr">
        <is>
          <t>1199514500.0</t>
        </is>
      </c>
      <c r="O104" s="29" t="inlineStr">
        <is>
          <t>1210077063.0</t>
        </is>
      </c>
      <c r="P104" s="29" t="inlineStr">
        <is>
          <t>KRW</t>
        </is>
      </c>
      <c r="Q104" s="29" t="inlineStr">
        <is>
          <t>19</t>
        </is>
      </c>
    </row>
    <row r="105" ht="24" customHeight="1">
      <c r="A105" s="24" t="inlineStr">
        <is>
          <t>OpenDART_fnlttSinglAcntAll</t>
        </is>
      </c>
      <c r="B105" s="24" t="inlineStr">
        <is>
          <t>00160843</t>
        </is>
      </c>
      <c r="C105" s="24" t="inlineStr">
        <is>
          <t>DB하이텍</t>
        </is>
      </c>
      <c r="D105" s="24" t="inlineStr">
        <is>
          <t>dbhitek</t>
        </is>
      </c>
      <c r="E105" s="24" t="inlineStr">
        <is>
          <t>000990</t>
        </is>
      </c>
      <c r="F105" s="24" t="inlineStr">
        <is>
          <t>2021</t>
        </is>
      </c>
      <c r="G105" s="24" t="inlineStr">
        <is>
          <t>CFS</t>
        </is>
      </c>
      <c r="H105" s="24" t="inlineStr">
        <is>
          <t>CF</t>
        </is>
      </c>
      <c r="I105" s="24" t="inlineStr">
        <is>
          <t>현금흐름표</t>
        </is>
      </c>
      <c r="J105" s="24" t="inlineStr">
        <is>
          <t>ifrs-full_PurchaseOfIntangibleAssetsClassifiedAsInvestingActivities</t>
        </is>
      </c>
      <c r="K105" s="24" t="inlineStr">
        <is>
          <t>무형자산의 취득</t>
        </is>
      </c>
      <c r="L105" s="24" t="inlineStr">
        <is>
          <t>-</t>
        </is>
      </c>
      <c r="M105" s="24" t="inlineStr">
        <is>
          <t>제 69 기</t>
        </is>
      </c>
      <c r="N105" s="24" t="inlineStr">
        <is>
          <t>4034311552.0</t>
        </is>
      </c>
      <c r="O105" s="24" t="inlineStr">
        <is>
          <t>4670917774.0</t>
        </is>
      </c>
      <c r="P105" s="24" t="inlineStr">
        <is>
          <t>KRW</t>
        </is>
      </c>
      <c r="Q105" s="24" t="inlineStr">
        <is>
          <t>20</t>
        </is>
      </c>
    </row>
    <row r="106" ht="24" customHeight="1">
      <c r="A106" s="29" t="inlineStr">
        <is>
          <t>OpenDART_fnlttSinglAcntAll</t>
        </is>
      </c>
      <c r="B106" s="29" t="inlineStr">
        <is>
          <t>00160843</t>
        </is>
      </c>
      <c r="C106" s="29" t="inlineStr">
        <is>
          <t>DB하이텍</t>
        </is>
      </c>
      <c r="D106" s="29" t="inlineStr">
        <is>
          <t>dbhitek</t>
        </is>
      </c>
      <c r="E106" s="29" t="inlineStr">
        <is>
          <t>000990</t>
        </is>
      </c>
      <c r="F106" s="29" t="inlineStr">
        <is>
          <t>2021</t>
        </is>
      </c>
      <c r="G106" s="29" t="inlineStr">
        <is>
          <t>CFS</t>
        </is>
      </c>
      <c r="H106" s="29" t="inlineStr">
        <is>
          <t>CF</t>
        </is>
      </c>
      <c r="I106" s="29" t="inlineStr">
        <is>
          <t>현금흐름표</t>
        </is>
      </c>
      <c r="J106" s="29" t="inlineStr">
        <is>
          <t>ifrs-full_ProceedsFromSalesOfIntangibleAssetsClassifiedAsInvestingActivities</t>
        </is>
      </c>
      <c r="K106" s="29" t="inlineStr">
        <is>
          <t>무형자산의 처분</t>
        </is>
      </c>
      <c r="L106" s="29" t="inlineStr">
        <is>
          <t>-</t>
        </is>
      </c>
      <c r="M106" s="29" t="inlineStr">
        <is>
          <t>제 69 기</t>
        </is>
      </c>
      <c r="N106" s="29" t="inlineStr">
        <is>
          <t>482000000.0</t>
        </is>
      </c>
      <c r="O106" s="29" t="inlineStr">
        <is>
          <t>0.0</t>
        </is>
      </c>
      <c r="P106" s="29" t="inlineStr">
        <is>
          <t>KRW</t>
        </is>
      </c>
      <c r="Q106" s="29" t="inlineStr">
        <is>
          <t>21</t>
        </is>
      </c>
    </row>
    <row r="107" ht="24" customHeight="1">
      <c r="A107" s="24" t="inlineStr">
        <is>
          <t>OpenDART_fnlttSinglAcntAll</t>
        </is>
      </c>
      <c r="B107" s="24" t="inlineStr">
        <is>
          <t>00160843</t>
        </is>
      </c>
      <c r="C107" s="24" t="inlineStr">
        <is>
          <t>DB하이텍</t>
        </is>
      </c>
      <c r="D107" s="24" t="inlineStr">
        <is>
          <t>dbhitek</t>
        </is>
      </c>
      <c r="E107" s="24" t="inlineStr">
        <is>
          <t>000990</t>
        </is>
      </c>
      <c r="F107" s="24" t="inlineStr">
        <is>
          <t>2021</t>
        </is>
      </c>
      <c r="G107" s="24" t="inlineStr">
        <is>
          <t>CFS</t>
        </is>
      </c>
      <c r="H107" s="24" t="inlineStr">
        <is>
          <t>CF</t>
        </is>
      </c>
      <c r="I107" s="24" t="inlineStr">
        <is>
          <t>현금흐름표</t>
        </is>
      </c>
      <c r="J107" s="24" t="inlineStr">
        <is>
          <t>dart_PurchaseOfLongTermFinancialInstruments</t>
        </is>
      </c>
      <c r="K107" s="24" t="inlineStr">
        <is>
          <t>장기금융상품의 취득</t>
        </is>
      </c>
      <c r="L107" s="24" t="inlineStr">
        <is>
          <t>-</t>
        </is>
      </c>
      <c r="M107" s="24" t="inlineStr">
        <is>
          <t>제 69 기</t>
        </is>
      </c>
      <c r="N107" s="24" t="inlineStr">
        <is>
          <t>549791.0</t>
        </is>
      </c>
      <c r="O107" s="24" t="inlineStr">
        <is>
          <t>1447390.0</t>
        </is>
      </c>
      <c r="P107" s="24" t="inlineStr">
        <is>
          <t>KRW</t>
        </is>
      </c>
      <c r="Q107" s="24" t="inlineStr">
        <is>
          <t>22</t>
        </is>
      </c>
    </row>
    <row r="108" ht="24" customHeight="1">
      <c r="A108" s="29" t="inlineStr">
        <is>
          <t>OpenDART_fnlttSinglAcntAll</t>
        </is>
      </c>
      <c r="B108" s="29" t="inlineStr">
        <is>
          <t>00160843</t>
        </is>
      </c>
      <c r="C108" s="29" t="inlineStr">
        <is>
          <t>DB하이텍</t>
        </is>
      </c>
      <c r="D108" s="29" t="inlineStr">
        <is>
          <t>dbhitek</t>
        </is>
      </c>
      <c r="E108" s="29" t="inlineStr">
        <is>
          <t>000990</t>
        </is>
      </c>
      <c r="F108" s="29" t="inlineStr">
        <is>
          <t>2021</t>
        </is>
      </c>
      <c r="G108" s="29" t="inlineStr">
        <is>
          <t>CFS</t>
        </is>
      </c>
      <c r="H108" s="29" t="inlineStr">
        <is>
          <t>CF</t>
        </is>
      </c>
      <c r="I108" s="29" t="inlineStr">
        <is>
          <t>현금흐름표</t>
        </is>
      </c>
      <c r="J108" s="29" t="inlineStr">
        <is>
          <t>dart_PurchaseOfLongTermLoansAndReceivables</t>
        </is>
      </c>
      <c r="K108" s="29" t="inlineStr">
        <is>
          <t>장기대여금의 증가</t>
        </is>
      </c>
      <c r="L108" s="29" t="inlineStr">
        <is>
          <t>-</t>
        </is>
      </c>
      <c r="M108" s="29" t="inlineStr">
        <is>
          <t>제 69 기</t>
        </is>
      </c>
      <c r="N108" s="29" t="inlineStr">
        <is>
          <t>180000000.0</t>
        </is>
      </c>
      <c r="O108" s="29" t="inlineStr">
        <is>
          <t>30000000.0</t>
        </is>
      </c>
      <c r="P108" s="29" t="inlineStr">
        <is>
          <t>KRW</t>
        </is>
      </c>
      <c r="Q108" s="29" t="inlineStr">
        <is>
          <t>23</t>
        </is>
      </c>
    </row>
    <row r="109" ht="24" customHeight="1">
      <c r="A109" s="24" t="inlineStr">
        <is>
          <t>OpenDART_fnlttSinglAcntAll</t>
        </is>
      </c>
      <c r="B109" s="24" t="inlineStr">
        <is>
          <t>00160843</t>
        </is>
      </c>
      <c r="C109" s="24" t="inlineStr">
        <is>
          <t>DB하이텍</t>
        </is>
      </c>
      <c r="D109" s="24" t="inlineStr">
        <is>
          <t>dbhitek</t>
        </is>
      </c>
      <c r="E109" s="24" t="inlineStr">
        <is>
          <t>000990</t>
        </is>
      </c>
      <c r="F109" s="24" t="inlineStr">
        <is>
          <t>2021</t>
        </is>
      </c>
      <c r="G109" s="24" t="inlineStr">
        <is>
          <t>CFS</t>
        </is>
      </c>
      <c r="H109" s="24" t="inlineStr">
        <is>
          <t>CF</t>
        </is>
      </c>
      <c r="I109" s="24" t="inlineStr">
        <is>
          <t>현금흐름표</t>
        </is>
      </c>
      <c r="J109" s="24" t="inlineStr">
        <is>
          <t>dart_ProceedsFromSalesOfLongTermLoansAndReceivables</t>
        </is>
      </c>
      <c r="K109" s="24" t="inlineStr">
        <is>
          <t>장기대여금의 감소</t>
        </is>
      </c>
      <c r="L109" s="24" t="inlineStr">
        <is>
          <t>-</t>
        </is>
      </c>
      <c r="M109" s="24" t="inlineStr">
        <is>
          <t>제 69 기</t>
        </is>
      </c>
      <c r="N109" s="24" t="inlineStr">
        <is>
          <t>205500000.0</t>
        </is>
      </c>
      <c r="O109" s="24" t="inlineStr">
        <is>
          <t>17500000.0</t>
        </is>
      </c>
      <c r="P109" s="24" t="inlineStr">
        <is>
          <t>KRW</t>
        </is>
      </c>
      <c r="Q109" s="24" t="inlineStr">
        <is>
          <t>24</t>
        </is>
      </c>
    </row>
    <row r="110" ht="24" customHeight="1">
      <c r="A110" s="29" t="inlineStr">
        <is>
          <t>OpenDART_fnlttSinglAcntAll</t>
        </is>
      </c>
      <c r="B110" s="29" t="inlineStr">
        <is>
          <t>00160843</t>
        </is>
      </c>
      <c r="C110" s="29" t="inlineStr">
        <is>
          <t>DB하이텍</t>
        </is>
      </c>
      <c r="D110" s="29" t="inlineStr">
        <is>
          <t>dbhitek</t>
        </is>
      </c>
      <c r="E110" s="29" t="inlineStr">
        <is>
          <t>000990</t>
        </is>
      </c>
      <c r="F110" s="29" t="inlineStr">
        <is>
          <t>2021</t>
        </is>
      </c>
      <c r="G110" s="29" t="inlineStr">
        <is>
          <t>CFS</t>
        </is>
      </c>
      <c r="H110" s="29" t="inlineStr">
        <is>
          <t>CF</t>
        </is>
      </c>
      <c r="I110" s="29" t="inlineStr">
        <is>
          <t>현금흐름표</t>
        </is>
      </c>
      <c r="J110" s="29" t="inlineStr">
        <is>
          <t>dart_IncreaseInGuaranteeDeposits</t>
        </is>
      </c>
      <c r="K110" s="29" t="inlineStr">
        <is>
          <t>보증금의 증가</t>
        </is>
      </c>
      <c r="L110" s="29" t="inlineStr">
        <is>
          <t>-</t>
        </is>
      </c>
      <c r="M110" s="29" t="inlineStr">
        <is>
          <t>제 69 기</t>
        </is>
      </c>
      <c r="N110" s="29" t="inlineStr">
        <is>
          <t>37829542.0</t>
        </is>
      </c>
      <c r="O110" s="29" t="inlineStr">
        <is>
          <t>177560566.0</t>
        </is>
      </c>
      <c r="P110" s="29" t="inlineStr">
        <is>
          <t>KRW</t>
        </is>
      </c>
      <c r="Q110" s="29" t="inlineStr">
        <is>
          <t>25</t>
        </is>
      </c>
    </row>
    <row r="111" ht="24" customHeight="1">
      <c r="A111" s="24" t="inlineStr">
        <is>
          <t>OpenDART_fnlttSinglAcntAll</t>
        </is>
      </c>
      <c r="B111" s="24" t="inlineStr">
        <is>
          <t>00160843</t>
        </is>
      </c>
      <c r="C111" s="24" t="inlineStr">
        <is>
          <t>DB하이텍</t>
        </is>
      </c>
      <c r="D111" s="24" t="inlineStr">
        <is>
          <t>dbhitek</t>
        </is>
      </c>
      <c r="E111" s="24" t="inlineStr">
        <is>
          <t>000990</t>
        </is>
      </c>
      <c r="F111" s="24" t="inlineStr">
        <is>
          <t>2021</t>
        </is>
      </c>
      <c r="G111" s="24" t="inlineStr">
        <is>
          <t>CFS</t>
        </is>
      </c>
      <c r="H111" s="24" t="inlineStr">
        <is>
          <t>CF</t>
        </is>
      </c>
      <c r="I111" s="24" t="inlineStr">
        <is>
          <t>현금흐름표</t>
        </is>
      </c>
      <c r="J111" s="24" t="inlineStr">
        <is>
          <t>dart_DecreaseInGuaranteeDeposits</t>
        </is>
      </c>
      <c r="K111" s="24" t="inlineStr">
        <is>
          <t>보증금의 감소</t>
        </is>
      </c>
      <c r="L111" s="24" t="inlineStr">
        <is>
          <t>-</t>
        </is>
      </c>
      <c r="M111" s="24" t="inlineStr">
        <is>
          <t>제 69 기</t>
        </is>
      </c>
      <c r="N111" s="24" t="inlineStr">
        <is>
          <t>33204300.0</t>
        </is>
      </c>
      <c r="O111" s="24" t="inlineStr">
        <is>
          <t>30640000.0</t>
        </is>
      </c>
      <c r="P111" s="24" t="inlineStr">
        <is>
          <t>KRW</t>
        </is>
      </c>
      <c r="Q111" s="24" t="inlineStr">
        <is>
          <t>26</t>
        </is>
      </c>
    </row>
    <row r="112" ht="24" customHeight="1">
      <c r="A112" s="29" t="inlineStr">
        <is>
          <t>OpenDART_fnlttSinglAcntAll</t>
        </is>
      </c>
      <c r="B112" s="29" t="inlineStr">
        <is>
          <t>00160843</t>
        </is>
      </c>
      <c r="C112" s="29" t="inlineStr">
        <is>
          <t>DB하이텍</t>
        </is>
      </c>
      <c r="D112" s="29" t="inlineStr">
        <is>
          <t>dbhitek</t>
        </is>
      </c>
      <c r="E112" s="29" t="inlineStr">
        <is>
          <t>000990</t>
        </is>
      </c>
      <c r="F112" s="29" t="inlineStr">
        <is>
          <t>2021</t>
        </is>
      </c>
      <c r="G112" s="29" t="inlineStr">
        <is>
          <t>CFS</t>
        </is>
      </c>
      <c r="H112" s="29" t="inlineStr">
        <is>
          <t>CF</t>
        </is>
      </c>
      <c r="I112" s="29" t="inlineStr">
        <is>
          <t>현금흐름표</t>
        </is>
      </c>
      <c r="J112" s="29" t="inlineStr">
        <is>
          <t>ifrs-full_ProceedsFromGovernmentGrantsClassifiedAsInvestingActivities</t>
        </is>
      </c>
      <c r="K112" s="29" t="inlineStr">
        <is>
          <t>국고보조금 수취</t>
        </is>
      </c>
      <c r="L112" s="29" t="inlineStr">
        <is>
          <t>-</t>
        </is>
      </c>
      <c r="M112" s="29" t="inlineStr">
        <is>
          <t>제 69 기</t>
        </is>
      </c>
      <c r="N112" s="29" t="inlineStr">
        <is>
          <t>1827483.0</t>
        </is>
      </c>
      <c r="O112" s="29" t="inlineStr">
        <is>
          <t>400985406.0</t>
        </is>
      </c>
      <c r="P112" s="29" t="inlineStr">
        <is>
          <t>KRW</t>
        </is>
      </c>
      <c r="Q112" s="29" t="inlineStr">
        <is>
          <t>27</t>
        </is>
      </c>
    </row>
    <row r="113" ht="24" customHeight="1">
      <c r="A113" s="24" t="inlineStr">
        <is>
          <t>OpenDART_fnlttSinglAcntAll</t>
        </is>
      </c>
      <c r="B113" s="24" t="inlineStr">
        <is>
          <t>00160843</t>
        </is>
      </c>
      <c r="C113" s="24" t="inlineStr">
        <is>
          <t>DB하이텍</t>
        </is>
      </c>
      <c r="D113" s="24" t="inlineStr">
        <is>
          <t>dbhitek</t>
        </is>
      </c>
      <c r="E113" s="24" t="inlineStr">
        <is>
          <t>000990</t>
        </is>
      </c>
      <c r="F113" s="24" t="inlineStr">
        <is>
          <t>2021</t>
        </is>
      </c>
      <c r="G113" s="24" t="inlineStr">
        <is>
          <t>CFS</t>
        </is>
      </c>
      <c r="H113" s="24" t="inlineStr">
        <is>
          <t>CF</t>
        </is>
      </c>
      <c r="I113" s="24" t="inlineStr">
        <is>
          <t>현금흐름표</t>
        </is>
      </c>
      <c r="J113" s="24" t="inlineStr">
        <is>
          <t>ifrs-full_CashFlowsFromUsedInFinancingActivities</t>
        </is>
      </c>
      <c r="K113" s="24" t="inlineStr">
        <is>
          <t>재무활동현금흐름</t>
        </is>
      </c>
      <c r="L113" s="24" t="inlineStr">
        <is>
          <t>-</t>
        </is>
      </c>
      <c r="M113" s="24" t="inlineStr">
        <is>
          <t>제 69 기</t>
        </is>
      </c>
      <c r="N113" s="24" t="inlineStr">
        <is>
          <t>-4884073073.0</t>
        </is>
      </c>
      <c r="O113" s="24" t="inlineStr">
        <is>
          <t>-75974561562.0</t>
        </is>
      </c>
      <c r="P113" s="24" t="inlineStr">
        <is>
          <t>KRW</t>
        </is>
      </c>
      <c r="Q113" s="24" t="inlineStr">
        <is>
          <t>28</t>
        </is>
      </c>
    </row>
    <row r="114" ht="24" customHeight="1">
      <c r="A114" s="29" t="inlineStr">
        <is>
          <t>OpenDART_fnlttSinglAcntAll</t>
        </is>
      </c>
      <c r="B114" s="29" t="inlineStr">
        <is>
          <t>00160843</t>
        </is>
      </c>
      <c r="C114" s="29" t="inlineStr">
        <is>
          <t>DB하이텍</t>
        </is>
      </c>
      <c r="D114" s="29" t="inlineStr">
        <is>
          <t>dbhitek</t>
        </is>
      </c>
      <c r="E114" s="29" t="inlineStr">
        <is>
          <t>000990</t>
        </is>
      </c>
      <c r="F114" s="29" t="inlineStr">
        <is>
          <t>2021</t>
        </is>
      </c>
      <c r="G114" s="29" t="inlineStr">
        <is>
          <t>CFS</t>
        </is>
      </c>
      <c r="H114" s="29" t="inlineStr">
        <is>
          <t>CF</t>
        </is>
      </c>
      <c r="I114" s="29" t="inlineStr">
        <is>
          <t>현금흐름표</t>
        </is>
      </c>
      <c r="J114" s="29" t="inlineStr">
        <is>
          <t>dart_ProceedsFromShortTermBorrowings</t>
        </is>
      </c>
      <c r="K114" s="29" t="inlineStr">
        <is>
          <t>단기차입금의 증가</t>
        </is>
      </c>
      <c r="L114" s="29" t="inlineStr">
        <is>
          <t>-</t>
        </is>
      </c>
      <c r="M114" s="29" t="inlineStr">
        <is>
          <t>제 69 기</t>
        </is>
      </c>
      <c r="N114" s="29" t="inlineStr">
        <is>
          <t>56652418325.0</t>
        </is>
      </c>
      <c r="O114" s="29" t="inlineStr">
        <is>
          <t>44596071342.0</t>
        </is>
      </c>
      <c r="P114" s="29" t="inlineStr">
        <is>
          <t>KRW</t>
        </is>
      </c>
      <c r="Q114" s="29" t="inlineStr">
        <is>
          <t>29</t>
        </is>
      </c>
    </row>
    <row r="115" ht="24" customHeight="1">
      <c r="A115" s="24" t="inlineStr">
        <is>
          <t>OpenDART_fnlttSinglAcntAll</t>
        </is>
      </c>
      <c r="B115" s="24" t="inlineStr">
        <is>
          <t>00160843</t>
        </is>
      </c>
      <c r="C115" s="24" t="inlineStr">
        <is>
          <t>DB하이텍</t>
        </is>
      </c>
      <c r="D115" s="24" t="inlineStr">
        <is>
          <t>dbhitek</t>
        </is>
      </c>
      <c r="E115" s="24" t="inlineStr">
        <is>
          <t>000990</t>
        </is>
      </c>
      <c r="F115" s="24" t="inlineStr">
        <is>
          <t>2021</t>
        </is>
      </c>
      <c r="G115" s="24" t="inlineStr">
        <is>
          <t>CFS</t>
        </is>
      </c>
      <c r="H115" s="24" t="inlineStr">
        <is>
          <t>CF</t>
        </is>
      </c>
      <c r="I115" s="24" t="inlineStr">
        <is>
          <t>현금흐름표</t>
        </is>
      </c>
      <c r="J115" s="24" t="inlineStr">
        <is>
          <t>dart_RepaymentsOfShortTermBorrowings</t>
        </is>
      </c>
      <c r="K115" s="24" t="inlineStr">
        <is>
          <t>단기차입금의 상환</t>
        </is>
      </c>
      <c r="L115" s="24" t="inlineStr">
        <is>
          <t>-</t>
        </is>
      </c>
      <c r="M115" s="24" t="inlineStr">
        <is>
          <t>제 69 기</t>
        </is>
      </c>
      <c r="N115" s="24" t="inlineStr">
        <is>
          <t>38010773359.0</t>
        </is>
      </c>
      <c r="O115" s="24" t="inlineStr">
        <is>
          <t>59657045212.0</t>
        </is>
      </c>
      <c r="P115" s="24" t="inlineStr">
        <is>
          <t>KRW</t>
        </is>
      </c>
      <c r="Q115" s="24" t="inlineStr">
        <is>
          <t>30</t>
        </is>
      </c>
    </row>
    <row r="116" ht="24" customHeight="1">
      <c r="A116" s="29" t="inlineStr">
        <is>
          <t>OpenDART_fnlttSinglAcntAll</t>
        </is>
      </c>
      <c r="B116" s="29" t="inlineStr">
        <is>
          <t>00160843</t>
        </is>
      </c>
      <c r="C116" s="29" t="inlineStr">
        <is>
          <t>DB하이텍</t>
        </is>
      </c>
      <c r="D116" s="29" t="inlineStr">
        <is>
          <t>dbhitek</t>
        </is>
      </c>
      <c r="E116" s="29" t="inlineStr">
        <is>
          <t>000990</t>
        </is>
      </c>
      <c r="F116" s="29" t="inlineStr">
        <is>
          <t>2021</t>
        </is>
      </c>
      <c r="G116" s="29" t="inlineStr">
        <is>
          <t>CFS</t>
        </is>
      </c>
      <c r="H116" s="29" t="inlineStr">
        <is>
          <t>CF</t>
        </is>
      </c>
      <c r="I116" s="29" t="inlineStr">
        <is>
          <t>현금흐름표</t>
        </is>
      </c>
      <c r="J116" s="29" t="inlineStr">
        <is>
          <t>ifrs-full_RepaymentsOfBorrowingsClassifiedAsFinancingActivities</t>
        </is>
      </c>
      <c r="K116" s="29" t="inlineStr">
        <is>
          <t>유동성장기차입금의 상환</t>
        </is>
      </c>
      <c r="L116" s="29" t="inlineStr">
        <is>
          <t>-</t>
        </is>
      </c>
      <c r="M116" s="29" t="inlineStr">
        <is>
          <t>제 69 기</t>
        </is>
      </c>
      <c r="N116" s="29" t="inlineStr">
        <is>
          <t>56879920000.0</t>
        </is>
      </c>
      <c r="O116" s="29" t="inlineStr">
        <is>
          <t>31244680000.0</t>
        </is>
      </c>
      <c r="P116" s="29" t="inlineStr">
        <is>
          <t>KRW</t>
        </is>
      </c>
      <c r="Q116" s="29" t="inlineStr">
        <is>
          <t>31</t>
        </is>
      </c>
    </row>
    <row r="117" ht="24" customHeight="1">
      <c r="A117" s="24" t="inlineStr">
        <is>
          <t>OpenDART_fnlttSinglAcntAll</t>
        </is>
      </c>
      <c r="B117" s="24" t="inlineStr">
        <is>
          <t>00160843</t>
        </is>
      </c>
      <c r="C117" s="24" t="inlineStr">
        <is>
          <t>DB하이텍</t>
        </is>
      </c>
      <c r="D117" s="24" t="inlineStr">
        <is>
          <t>dbhitek</t>
        </is>
      </c>
      <c r="E117" s="24" t="inlineStr">
        <is>
          <t>000990</t>
        </is>
      </c>
      <c r="F117" s="24" t="inlineStr">
        <is>
          <t>2021</t>
        </is>
      </c>
      <c r="G117" s="24" t="inlineStr">
        <is>
          <t>CFS</t>
        </is>
      </c>
      <c r="H117" s="24" t="inlineStr">
        <is>
          <t>CF</t>
        </is>
      </c>
      <c r="I117" s="24" t="inlineStr">
        <is>
          <t>현금흐름표</t>
        </is>
      </c>
      <c r="J117" s="24" t="inlineStr">
        <is>
          <t>dart_ProceedsFromLongTermBorrowings</t>
        </is>
      </c>
      <c r="K117" s="24" t="inlineStr">
        <is>
          <t>장기차입금의 증가</t>
        </is>
      </c>
      <c r="L117" s="24" t="inlineStr">
        <is>
          <t>-</t>
        </is>
      </c>
      <c r="M117" s="24" t="inlineStr">
        <is>
          <t>제 69 기</t>
        </is>
      </c>
      <c r="N117" s="24" t="inlineStr">
        <is>
          <t>36000000000.0</t>
        </is>
      </c>
      <c r="O117" s="24" t="inlineStr">
        <is>
          <t>74000000000.0</t>
        </is>
      </c>
      <c r="P117" s="24" t="inlineStr">
        <is>
          <t>KRW</t>
        </is>
      </c>
      <c r="Q117" s="24" t="inlineStr">
        <is>
          <t>32</t>
        </is>
      </c>
    </row>
    <row r="118" ht="24" customHeight="1">
      <c r="A118" s="29" t="inlineStr">
        <is>
          <t>OpenDART_fnlttSinglAcntAll</t>
        </is>
      </c>
      <c r="B118" s="29" t="inlineStr">
        <is>
          <t>00160843</t>
        </is>
      </c>
      <c r="C118" s="29" t="inlineStr">
        <is>
          <t>DB하이텍</t>
        </is>
      </c>
      <c r="D118" s="29" t="inlineStr">
        <is>
          <t>dbhitek</t>
        </is>
      </c>
      <c r="E118" s="29" t="inlineStr">
        <is>
          <t>000990</t>
        </is>
      </c>
      <c r="F118" s="29" t="inlineStr">
        <is>
          <t>2021</t>
        </is>
      </c>
      <c r="G118" s="29" t="inlineStr">
        <is>
          <t>CFS</t>
        </is>
      </c>
      <c r="H118" s="29" t="inlineStr">
        <is>
          <t>CF</t>
        </is>
      </c>
      <c r="I118" s="29" t="inlineStr">
        <is>
          <t>현금흐름표</t>
        </is>
      </c>
      <c r="J118" s="29" t="inlineStr">
        <is>
          <t>dart_RepaymentsOfLongTermBorrowings</t>
        </is>
      </c>
      <c r="K118" s="29" t="inlineStr">
        <is>
          <t>장기차입금의 상환</t>
        </is>
      </c>
      <c r="L118" s="29" t="inlineStr">
        <is>
          <t>-</t>
        </is>
      </c>
      <c r="M118" s="29" t="inlineStr">
        <is>
          <t>제 69 기</t>
        </is>
      </c>
      <c r="N118" s="29" t="inlineStr">
        <is>
          <t>0.0</t>
        </is>
      </c>
      <c r="O118" s="29" t="inlineStr">
        <is>
          <t>100000000000.0</t>
        </is>
      </c>
      <c r="P118" s="29" t="inlineStr">
        <is>
          <t>KRW</t>
        </is>
      </c>
      <c r="Q118" s="29" t="inlineStr">
        <is>
          <t>33</t>
        </is>
      </c>
    </row>
    <row r="119" ht="24" customHeight="1">
      <c r="A119" s="24" t="inlineStr">
        <is>
          <t>OpenDART_fnlttSinglAcntAll</t>
        </is>
      </c>
      <c r="B119" s="24" t="inlineStr">
        <is>
          <t>00160843</t>
        </is>
      </c>
      <c r="C119" s="24" t="inlineStr">
        <is>
          <t>DB하이텍</t>
        </is>
      </c>
      <c r="D119" s="24" t="inlineStr">
        <is>
          <t>dbhitek</t>
        </is>
      </c>
      <c r="E119" s="24" t="inlineStr">
        <is>
          <t>000990</t>
        </is>
      </c>
      <c r="F119" s="24" t="inlineStr">
        <is>
          <t>2021</t>
        </is>
      </c>
      <c r="G119" s="24" t="inlineStr">
        <is>
          <t>CFS</t>
        </is>
      </c>
      <c r="H119" s="24" t="inlineStr">
        <is>
          <t>CF</t>
        </is>
      </c>
      <c r="I119" s="24" t="inlineStr">
        <is>
          <t>현금흐름표</t>
        </is>
      </c>
      <c r="J119" s="24" t="inlineStr">
        <is>
          <t>dart_DispositionOfTreasuryShares</t>
        </is>
      </c>
      <c r="K119" s="24" t="inlineStr">
        <is>
          <t>자기주식의 처분</t>
        </is>
      </c>
      <c r="L119" s="24" t="inlineStr">
        <is>
          <t>-</t>
        </is>
      </c>
      <c r="M119" s="24" t="inlineStr">
        <is>
          <t>제 69 기</t>
        </is>
      </c>
      <c r="N119" s="24" t="inlineStr">
        <is>
          <t>1329774000.0</t>
        </is>
      </c>
      <c r="O119" s="24" t="inlineStr">
        <is>
          <t>199989600.0</t>
        </is>
      </c>
      <c r="P119" s="24" t="inlineStr">
        <is>
          <t>KRW</t>
        </is>
      </c>
      <c r="Q119" s="24" t="inlineStr">
        <is>
          <t>34</t>
        </is>
      </c>
    </row>
    <row r="120" ht="24" customHeight="1">
      <c r="A120" s="29" t="inlineStr">
        <is>
          <t>OpenDART_fnlttSinglAcntAll</t>
        </is>
      </c>
      <c r="B120" s="29" t="inlineStr">
        <is>
          <t>00160843</t>
        </is>
      </c>
      <c r="C120" s="29" t="inlineStr">
        <is>
          <t>DB하이텍</t>
        </is>
      </c>
      <c r="D120" s="29" t="inlineStr">
        <is>
          <t>dbhitek</t>
        </is>
      </c>
      <c r="E120" s="29" t="inlineStr">
        <is>
          <t>000990</t>
        </is>
      </c>
      <c r="F120" s="29" t="inlineStr">
        <is>
          <t>2021</t>
        </is>
      </c>
      <c r="G120" s="29" t="inlineStr">
        <is>
          <t>CFS</t>
        </is>
      </c>
      <c r="H120" s="29" t="inlineStr">
        <is>
          <t>CF</t>
        </is>
      </c>
      <c r="I120" s="29" t="inlineStr">
        <is>
          <t>현금흐름표</t>
        </is>
      </c>
      <c r="J120" s="29" t="inlineStr">
        <is>
          <t>ifrs-full_PaymentsOfFinanceLeaseLiabilitiesClassifiedAsFinancingActivities</t>
        </is>
      </c>
      <c r="K120" s="29" t="inlineStr">
        <is>
          <t>리스부채의 상환</t>
        </is>
      </c>
      <c r="L120" s="29" t="inlineStr">
        <is>
          <t>-</t>
        </is>
      </c>
      <c r="M120" s="29" t="inlineStr">
        <is>
          <t>제 69 기</t>
        </is>
      </c>
      <c r="N120" s="29" t="inlineStr">
        <is>
          <t>3975572039.0</t>
        </is>
      </c>
      <c r="O120" s="29" t="inlineStr">
        <is>
          <t>3868897292.0</t>
        </is>
      </c>
      <c r="P120" s="29" t="inlineStr">
        <is>
          <t>KRW</t>
        </is>
      </c>
      <c r="Q120" s="29" t="inlineStr">
        <is>
          <t>35</t>
        </is>
      </c>
    </row>
    <row r="121" ht="24" customHeight="1">
      <c r="A121" s="24" t="inlineStr">
        <is>
          <t>OpenDART_fnlttSinglAcntAll</t>
        </is>
      </c>
      <c r="B121" s="24" t="inlineStr">
        <is>
          <t>00160843</t>
        </is>
      </c>
      <c r="C121" s="24" t="inlineStr">
        <is>
          <t>DB하이텍</t>
        </is>
      </c>
      <c r="D121" s="24" t="inlineStr">
        <is>
          <t>dbhitek</t>
        </is>
      </c>
      <c r="E121" s="24" t="inlineStr">
        <is>
          <t>000990</t>
        </is>
      </c>
      <c r="F121" s="24" t="inlineStr">
        <is>
          <t>2021</t>
        </is>
      </c>
      <c r="G121" s="24" t="inlineStr">
        <is>
          <t>CFS</t>
        </is>
      </c>
      <c r="H121" s="24" t="inlineStr">
        <is>
          <t>CF</t>
        </is>
      </c>
      <c r="I121" s="24" t="inlineStr">
        <is>
          <t>현금흐름표</t>
        </is>
      </c>
      <c r="J121" s="24" t="inlineStr">
        <is>
          <t>ifrs-full_IncreaseDecreaseInCashAndCashEquivalents</t>
        </is>
      </c>
      <c r="K121" s="24" t="inlineStr">
        <is>
          <t>현금및현금성자산의 증가(감소)</t>
        </is>
      </c>
      <c r="L121" s="24" t="inlineStr">
        <is>
          <t>-</t>
        </is>
      </c>
      <c r="M121" s="24" t="inlineStr">
        <is>
          <t>제 69 기</t>
        </is>
      </c>
      <c r="N121" s="24" t="inlineStr">
        <is>
          <t>135478541666.0</t>
        </is>
      </c>
      <c r="O121" s="24" t="inlineStr">
        <is>
          <t>-31302149611.0</t>
        </is>
      </c>
      <c r="P121" s="24" t="inlineStr">
        <is>
          <t>KRW</t>
        </is>
      </c>
      <c r="Q121" s="24" t="inlineStr">
        <is>
          <t>36</t>
        </is>
      </c>
    </row>
    <row r="122" ht="24" customHeight="1">
      <c r="A122" s="29" t="inlineStr">
        <is>
          <t>OpenDART_fnlttSinglAcntAll</t>
        </is>
      </c>
      <c r="B122" s="29" t="inlineStr">
        <is>
          <t>00160843</t>
        </is>
      </c>
      <c r="C122" s="29" t="inlineStr">
        <is>
          <t>DB하이텍</t>
        </is>
      </c>
      <c r="D122" s="29" t="inlineStr">
        <is>
          <t>dbhitek</t>
        </is>
      </c>
      <c r="E122" s="29" t="inlineStr">
        <is>
          <t>000990</t>
        </is>
      </c>
      <c r="F122" s="29" t="inlineStr">
        <is>
          <t>2021</t>
        </is>
      </c>
      <c r="G122" s="29" t="inlineStr">
        <is>
          <t>CFS</t>
        </is>
      </c>
      <c r="H122" s="29" t="inlineStr">
        <is>
          <t>CF</t>
        </is>
      </c>
      <c r="I122" s="29" t="inlineStr">
        <is>
          <t>현금흐름표</t>
        </is>
      </c>
      <c r="J122" s="29" t="inlineStr">
        <is>
          <t>dart_CashAndCashEquivalentsAtBeginningOfPeriodCf</t>
        </is>
      </c>
      <c r="K122" s="29" t="inlineStr">
        <is>
          <t>기초현금및현금성자산</t>
        </is>
      </c>
      <c r="L122" s="29" t="inlineStr">
        <is>
          <t>-</t>
        </is>
      </c>
      <c r="M122" s="29" t="inlineStr">
        <is>
          <t>제 69 기</t>
        </is>
      </c>
      <c r="N122" s="29" t="inlineStr">
        <is>
          <t>48293560140.0</t>
        </is>
      </c>
      <c r="O122" s="29" t="inlineStr">
        <is>
          <t>84776806585.0</t>
        </is>
      </c>
      <c r="P122" s="29" t="inlineStr">
        <is>
          <t>KRW</t>
        </is>
      </c>
      <c r="Q122" s="29" t="inlineStr">
        <is>
          <t>37</t>
        </is>
      </c>
    </row>
    <row r="123" ht="24" customHeight="1">
      <c r="A123" s="24" t="inlineStr">
        <is>
          <t>OpenDART_fnlttSinglAcntAll</t>
        </is>
      </c>
      <c r="B123" s="24" t="inlineStr">
        <is>
          <t>00160843</t>
        </is>
      </c>
      <c r="C123" s="24" t="inlineStr">
        <is>
          <t>DB하이텍</t>
        </is>
      </c>
      <c r="D123" s="24" t="inlineStr">
        <is>
          <t>dbhitek</t>
        </is>
      </c>
      <c r="E123" s="24" t="inlineStr">
        <is>
          <t>000990</t>
        </is>
      </c>
      <c r="F123" s="24" t="inlineStr">
        <is>
          <t>2021</t>
        </is>
      </c>
      <c r="G123" s="24" t="inlineStr">
        <is>
          <t>CFS</t>
        </is>
      </c>
      <c r="H123" s="24" t="inlineStr">
        <is>
          <t>CF</t>
        </is>
      </c>
      <c r="I123" s="24" t="inlineStr">
        <is>
          <t>현금흐름표</t>
        </is>
      </c>
      <c r="J123" s="24" t="inlineStr">
        <is>
          <t>-표준계정코드 미사용-</t>
        </is>
      </c>
      <c r="K123" s="24" t="inlineStr">
        <is>
          <t>현금및현금성자산의 환율변동효과</t>
        </is>
      </c>
      <c r="L123" s="24" t="inlineStr">
        <is>
          <t>-</t>
        </is>
      </c>
      <c r="M123" s="24" t="inlineStr">
        <is>
          <t>제 69 기</t>
        </is>
      </c>
      <c r="N123" s="24" t="inlineStr">
        <is>
          <t>-754255441.0</t>
        </is>
      </c>
      <c r="O123" s="24" t="inlineStr">
        <is>
          <t>-5181096834.0</t>
        </is>
      </c>
      <c r="P123" s="24" t="inlineStr">
        <is>
          <t>KRW</t>
        </is>
      </c>
      <c r="Q123" s="24" t="inlineStr">
        <is>
          <t>38</t>
        </is>
      </c>
    </row>
    <row r="124" ht="24" customHeight="1">
      <c r="A124" s="29" t="inlineStr">
        <is>
          <t>OpenDART_fnlttSinglAcntAll</t>
        </is>
      </c>
      <c r="B124" s="29" t="inlineStr">
        <is>
          <t>00160843</t>
        </is>
      </c>
      <c r="C124" s="29" t="inlineStr">
        <is>
          <t>DB하이텍</t>
        </is>
      </c>
      <c r="D124" s="29" t="inlineStr">
        <is>
          <t>dbhitek</t>
        </is>
      </c>
      <c r="E124" s="29" t="inlineStr">
        <is>
          <t>000990</t>
        </is>
      </c>
      <c r="F124" s="29" t="inlineStr">
        <is>
          <t>2021</t>
        </is>
      </c>
      <c r="G124" s="29" t="inlineStr">
        <is>
          <t>CFS</t>
        </is>
      </c>
      <c r="H124" s="29" t="inlineStr">
        <is>
          <t>CF</t>
        </is>
      </c>
      <c r="I124" s="29" t="inlineStr">
        <is>
          <t>현금흐름표</t>
        </is>
      </c>
      <c r="J124" s="29" t="inlineStr">
        <is>
          <t>dart_CashAndCashEquivalentsAtEndOfPeriodCf</t>
        </is>
      </c>
      <c r="K124" s="29" t="inlineStr">
        <is>
          <t>기말현금및현금성자산</t>
        </is>
      </c>
      <c r="L124" s="29" t="inlineStr">
        <is>
          <t>-</t>
        </is>
      </c>
      <c r="M124" s="29" t="inlineStr">
        <is>
          <t>제 69 기</t>
        </is>
      </c>
      <c r="N124" s="29" t="inlineStr">
        <is>
          <t>183017846365.0</t>
        </is>
      </c>
      <c r="O124" s="29" t="inlineStr">
        <is>
          <t>48293560140.0</t>
        </is>
      </c>
      <c r="P124" s="29" t="inlineStr">
        <is>
          <t>KRW</t>
        </is>
      </c>
      <c r="Q124" s="29" t="inlineStr">
        <is>
          <t>39</t>
        </is>
      </c>
    </row>
    <row r="125" ht="24" customHeight="1">
      <c r="A125" s="24" t="inlineStr">
        <is>
          <t>OpenDART_fnlttSinglAcntAll</t>
        </is>
      </c>
      <c r="B125" s="24" t="inlineStr">
        <is>
          <t>00160843</t>
        </is>
      </c>
      <c r="C125" s="24" t="inlineStr">
        <is>
          <t>DB하이텍</t>
        </is>
      </c>
      <c r="D125" s="24" t="inlineStr">
        <is>
          <t>dbhitek</t>
        </is>
      </c>
      <c r="E125" s="24" t="inlineStr">
        <is>
          <t>000990</t>
        </is>
      </c>
      <c r="F125" s="24" t="inlineStr">
        <is>
          <t>2021</t>
        </is>
      </c>
      <c r="G125" s="24" t="inlineStr">
        <is>
          <t>CFS</t>
        </is>
      </c>
      <c r="H125" s="24" t="inlineStr">
        <is>
          <t>SCE</t>
        </is>
      </c>
      <c r="I125" s="24" t="inlineStr">
        <is>
          <t>자본변동표</t>
        </is>
      </c>
      <c r="J125" s="24" t="inlineStr">
        <is>
          <t>dart_EquityAtBeginningOfPeriod</t>
        </is>
      </c>
      <c r="K125" s="24" t="inlineStr">
        <is>
          <t>기초자본</t>
        </is>
      </c>
      <c r="L125" s="24" t="inlineStr">
        <is>
          <t>자본 [member]|지배기업의 소유주에게 귀속되는 자본 [member]</t>
        </is>
      </c>
      <c r="M125" s="24" t="inlineStr">
        <is>
          <t>제 69 기</t>
        </is>
      </c>
      <c r="N125" s="24" t="inlineStr">
        <is>
          <t>794584512577.0</t>
        </is>
      </c>
      <c r="O125" s="24" t="inlineStr">
        <is>
          <t>644650729765.0</t>
        </is>
      </c>
      <c r="P125" s="24" t="inlineStr">
        <is>
          <t>KRW</t>
        </is>
      </c>
      <c r="Q125" s="24" t="inlineStr">
        <is>
          <t>1</t>
        </is>
      </c>
    </row>
    <row r="126" ht="24" customHeight="1">
      <c r="A126" s="29" t="inlineStr">
        <is>
          <t>OpenDART_fnlttSinglAcntAll</t>
        </is>
      </c>
      <c r="B126" s="29" t="inlineStr">
        <is>
          <t>00160843</t>
        </is>
      </c>
      <c r="C126" s="29" t="inlineStr">
        <is>
          <t>DB하이텍</t>
        </is>
      </c>
      <c r="D126" s="29" t="inlineStr">
        <is>
          <t>dbhitek</t>
        </is>
      </c>
      <c r="E126" s="29" t="inlineStr">
        <is>
          <t>000990</t>
        </is>
      </c>
      <c r="F126" s="29" t="inlineStr">
        <is>
          <t>2021</t>
        </is>
      </c>
      <c r="G126" s="29" t="inlineStr">
        <is>
          <t>CFS</t>
        </is>
      </c>
      <c r="H126" s="29" t="inlineStr">
        <is>
          <t>SCE</t>
        </is>
      </c>
      <c r="I126" s="29" t="inlineStr">
        <is>
          <t>자본변동표</t>
        </is>
      </c>
      <c r="J126" s="29" t="inlineStr">
        <is>
          <t>dart_EquityAtBeginningOfPeriod</t>
        </is>
      </c>
      <c r="K126" s="29" t="inlineStr">
        <is>
          <t>기초자본</t>
        </is>
      </c>
      <c r="L126" s="29" t="inlineStr">
        <is>
          <t>연결재무제표 [member]</t>
        </is>
      </c>
      <c r="M126" s="29" t="inlineStr">
        <is>
          <t>제 69 기</t>
        </is>
      </c>
      <c r="N126" s="29" t="inlineStr">
        <is>
          <t>794584512577.0</t>
        </is>
      </c>
      <c r="O126" s="29" t="inlineStr">
        <is>
          <t>644650729765.0</t>
        </is>
      </c>
      <c r="P126" s="29" t="inlineStr">
        <is>
          <t>KRW</t>
        </is>
      </c>
      <c r="Q126" s="29" t="inlineStr">
        <is>
          <t>1</t>
        </is>
      </c>
    </row>
    <row r="127" ht="24" customHeight="1">
      <c r="A127" s="24" t="inlineStr">
        <is>
          <t>OpenDART_fnlttSinglAcntAll</t>
        </is>
      </c>
      <c r="B127" s="24" t="inlineStr">
        <is>
          <t>00160843</t>
        </is>
      </c>
      <c r="C127" s="24" t="inlineStr">
        <is>
          <t>DB하이텍</t>
        </is>
      </c>
      <c r="D127" s="24" t="inlineStr">
        <is>
          <t>dbhitek</t>
        </is>
      </c>
      <c r="E127" s="24" t="inlineStr">
        <is>
          <t>000990</t>
        </is>
      </c>
      <c r="F127" s="24" t="inlineStr">
        <is>
          <t>2021</t>
        </is>
      </c>
      <c r="G127" s="24" t="inlineStr">
        <is>
          <t>CFS</t>
        </is>
      </c>
      <c r="H127" s="24" t="inlineStr">
        <is>
          <t>SCE</t>
        </is>
      </c>
      <c r="I127" s="24" t="inlineStr">
        <is>
          <t>자본변동표</t>
        </is>
      </c>
      <c r="J127" s="24" t="inlineStr">
        <is>
          <t>dart_EquityAtBeginningOfPeriod</t>
        </is>
      </c>
      <c r="K127" s="24" t="inlineStr">
        <is>
          <t>기초자본</t>
        </is>
      </c>
      <c r="L127" s="24" t="inlineStr">
        <is>
          <t>자본 [member]|지배기업의 소유주에게 귀속되는 자본 [member]|자본금 [member]</t>
        </is>
      </c>
      <c r="M127" s="24" t="inlineStr">
        <is>
          <t>제 69 기</t>
        </is>
      </c>
      <c r="N127" s="24" t="inlineStr">
        <is>
          <t>222555835000.0</t>
        </is>
      </c>
      <c r="O127" s="24" t="inlineStr">
        <is>
          <t>222555835000.0</t>
        </is>
      </c>
      <c r="P127" s="24" t="inlineStr">
        <is>
          <t>KRW</t>
        </is>
      </c>
      <c r="Q127" s="24" t="inlineStr">
        <is>
          <t>1</t>
        </is>
      </c>
    </row>
    <row r="128" ht="24" customHeight="1">
      <c r="A128" s="29" t="inlineStr">
        <is>
          <t>OpenDART_fnlttSinglAcntAll</t>
        </is>
      </c>
      <c r="B128" s="29" t="inlineStr">
        <is>
          <t>00160843</t>
        </is>
      </c>
      <c r="C128" s="29" t="inlineStr">
        <is>
          <t>DB하이텍</t>
        </is>
      </c>
      <c r="D128" s="29" t="inlineStr">
        <is>
          <t>dbhitek</t>
        </is>
      </c>
      <c r="E128" s="29" t="inlineStr">
        <is>
          <t>000990</t>
        </is>
      </c>
      <c r="F128" s="29" t="inlineStr">
        <is>
          <t>2021</t>
        </is>
      </c>
      <c r="G128" s="29" t="inlineStr">
        <is>
          <t>CFS</t>
        </is>
      </c>
      <c r="H128" s="29" t="inlineStr">
        <is>
          <t>SCE</t>
        </is>
      </c>
      <c r="I128" s="29" t="inlineStr">
        <is>
          <t>자본변동표</t>
        </is>
      </c>
      <c r="J128" s="29" t="inlineStr">
        <is>
          <t>dart_EquityAtBeginningOfPeriod</t>
        </is>
      </c>
      <c r="K128" s="29" t="inlineStr">
        <is>
          <t>기초자본</t>
        </is>
      </c>
      <c r="L128" s="29" t="inlineStr">
        <is>
          <t>자본 [member]|지배기업의 소유주에게 귀속되는 자본 [member]|이익잉여금 [member]</t>
        </is>
      </c>
      <c r="M128" s="29" t="inlineStr">
        <is>
          <t>제 69 기</t>
        </is>
      </c>
      <c r="N128" s="29" t="inlineStr">
        <is>
          <t>525382012788.0</t>
        </is>
      </c>
      <c r="O128" s="29" t="inlineStr">
        <is>
          <t>375643537563.0</t>
        </is>
      </c>
      <c r="P128" s="29" t="inlineStr">
        <is>
          <t>KRW</t>
        </is>
      </c>
      <c r="Q128" s="29" t="inlineStr">
        <is>
          <t>1</t>
        </is>
      </c>
    </row>
    <row r="129" ht="24" customHeight="1">
      <c r="A129" s="24" t="inlineStr">
        <is>
          <t>OpenDART_fnlttSinglAcntAll</t>
        </is>
      </c>
      <c r="B129" s="24" t="inlineStr">
        <is>
          <t>00160843</t>
        </is>
      </c>
      <c r="C129" s="24" t="inlineStr">
        <is>
          <t>DB하이텍</t>
        </is>
      </c>
      <c r="D129" s="24" t="inlineStr">
        <is>
          <t>dbhitek</t>
        </is>
      </c>
      <c r="E129" s="24" t="inlineStr">
        <is>
          <t>000990</t>
        </is>
      </c>
      <c r="F129" s="24" t="inlineStr">
        <is>
          <t>2021</t>
        </is>
      </c>
      <c r="G129" s="24" t="inlineStr">
        <is>
          <t>CFS</t>
        </is>
      </c>
      <c r="H129" s="24" t="inlineStr">
        <is>
          <t>SCE</t>
        </is>
      </c>
      <c r="I129" s="24" t="inlineStr">
        <is>
          <t>자본변동표</t>
        </is>
      </c>
      <c r="J129" s="24" t="inlineStr">
        <is>
          <t>dart_EquityAtBeginningOfPeriod</t>
        </is>
      </c>
      <c r="K129" s="24" t="inlineStr">
        <is>
          <t>기초자본</t>
        </is>
      </c>
      <c r="L129" s="24" t="inlineStr">
        <is>
          <t>자본 [member]|지배기업의 소유주에게 귀속되는 자본 [member]|기타자본구성요소 [member]</t>
        </is>
      </c>
      <c r="M129" s="24" t="inlineStr">
        <is>
          <t>제 69 기</t>
        </is>
      </c>
      <c r="N129" s="24" t="inlineStr">
        <is>
          <t>-80681611505.0</t>
        </is>
      </c>
      <c r="O129" s="24" t="inlineStr">
        <is>
          <t>-80876919092.0</t>
        </is>
      </c>
      <c r="P129" s="24" t="inlineStr">
        <is>
          <t>KRW</t>
        </is>
      </c>
      <c r="Q129" s="24" t="inlineStr">
        <is>
          <t>1</t>
        </is>
      </c>
    </row>
    <row r="130" ht="24" customHeight="1">
      <c r="A130" s="29" t="inlineStr">
        <is>
          <t>OpenDART_fnlttSinglAcntAll</t>
        </is>
      </c>
      <c r="B130" s="29" t="inlineStr">
        <is>
          <t>00160843</t>
        </is>
      </c>
      <c r="C130" s="29" t="inlineStr">
        <is>
          <t>DB하이텍</t>
        </is>
      </c>
      <c r="D130" s="29" t="inlineStr">
        <is>
          <t>dbhitek</t>
        </is>
      </c>
      <c r="E130" s="29" t="inlineStr">
        <is>
          <t>000990</t>
        </is>
      </c>
      <c r="F130" s="29" t="inlineStr">
        <is>
          <t>2021</t>
        </is>
      </c>
      <c r="G130" s="29" t="inlineStr">
        <is>
          <t>CFS</t>
        </is>
      </c>
      <c r="H130" s="29" t="inlineStr">
        <is>
          <t>SCE</t>
        </is>
      </c>
      <c r="I130" s="29" t="inlineStr">
        <is>
          <t>자본변동표</t>
        </is>
      </c>
      <c r="J130" s="29" t="inlineStr">
        <is>
          <t>dart_EquityAtBeginningOfPeriod</t>
        </is>
      </c>
      <c r="K130" s="29" t="inlineStr">
        <is>
          <t>기초자본</t>
        </is>
      </c>
      <c r="L130" s="29" t="inlineStr">
        <is>
          <t>자본 [member]|지배기업의 소유주에게 귀속되는 자본 [member]|주식발행초과금</t>
        </is>
      </c>
      <c r="M130" s="29" t="inlineStr">
        <is>
          <t>제 69 기</t>
        </is>
      </c>
      <c r="N130" s="29" t="inlineStr">
        <is>
          <t>127328276294.0</t>
        </is>
      </c>
      <c r="O130" s="29" t="inlineStr">
        <is>
          <t>127328276294.0</t>
        </is>
      </c>
      <c r="P130" s="29" t="inlineStr">
        <is>
          <t>KRW</t>
        </is>
      </c>
      <c r="Q130" s="29" t="inlineStr">
        <is>
          <t>1</t>
        </is>
      </c>
    </row>
    <row r="131" ht="24" customHeight="1">
      <c r="A131" s="24" t="inlineStr">
        <is>
          <t>OpenDART_fnlttSinglAcntAll</t>
        </is>
      </c>
      <c r="B131" s="24" t="inlineStr">
        <is>
          <t>00160843</t>
        </is>
      </c>
      <c r="C131" s="24" t="inlineStr">
        <is>
          <t>DB하이텍</t>
        </is>
      </c>
      <c r="D131" s="24" t="inlineStr">
        <is>
          <t>dbhitek</t>
        </is>
      </c>
      <c r="E131" s="24" t="inlineStr">
        <is>
          <t>000990</t>
        </is>
      </c>
      <c r="F131" s="24" t="inlineStr">
        <is>
          <t>2021</t>
        </is>
      </c>
      <c r="G131" s="24" t="inlineStr">
        <is>
          <t>CFS</t>
        </is>
      </c>
      <c r="H131" s="24" t="inlineStr">
        <is>
          <t>SCE</t>
        </is>
      </c>
      <c r="I131" s="24" t="inlineStr">
        <is>
          <t>자본변동표</t>
        </is>
      </c>
      <c r="J131" s="24" t="inlineStr">
        <is>
          <t>ifrs-full_IncreaseDecreaseThroughChangesInAccountingPolicies</t>
        </is>
      </c>
      <c r="K131" s="24" t="inlineStr">
        <is>
          <t>회계정책변경에 따른 증가(감소)</t>
        </is>
      </c>
      <c r="L131" s="24" t="inlineStr">
        <is>
          <t>자본 [member]|지배기업의 소유주에게 귀속되는 자본 [member]|이익잉여금 [member]</t>
        </is>
      </c>
      <c r="M131" s="24" t="inlineStr">
        <is>
          <t>제 69 기</t>
        </is>
      </c>
      <c r="N131" s="24" t="inlineStr">
        <is>
          <t>해당 없음</t>
        </is>
      </c>
      <c r="O131" s="24" t="inlineStr">
        <is>
          <t>해당 없음</t>
        </is>
      </c>
      <c r="P131" s="24" t="inlineStr">
        <is>
          <t>KRW</t>
        </is>
      </c>
      <c r="Q131" s="24" t="inlineStr">
        <is>
          <t>2</t>
        </is>
      </c>
    </row>
    <row r="132" ht="24" customHeight="1">
      <c r="A132" s="29" t="inlineStr">
        <is>
          <t>OpenDART_fnlttSinglAcntAll</t>
        </is>
      </c>
      <c r="B132" s="29" t="inlineStr">
        <is>
          <t>00160843</t>
        </is>
      </c>
      <c r="C132" s="29" t="inlineStr">
        <is>
          <t>DB하이텍</t>
        </is>
      </c>
      <c r="D132" s="29" t="inlineStr">
        <is>
          <t>dbhitek</t>
        </is>
      </c>
      <c r="E132" s="29" t="inlineStr">
        <is>
          <t>000990</t>
        </is>
      </c>
      <c r="F132" s="29" t="inlineStr">
        <is>
          <t>2021</t>
        </is>
      </c>
      <c r="G132" s="29" t="inlineStr">
        <is>
          <t>CFS</t>
        </is>
      </c>
      <c r="H132" s="29" t="inlineStr">
        <is>
          <t>SCE</t>
        </is>
      </c>
      <c r="I132" s="29" t="inlineStr">
        <is>
          <t>자본변동표</t>
        </is>
      </c>
      <c r="J132" s="29" t="inlineStr">
        <is>
          <t>ifrs-full_IncreaseDecreaseThroughChangesInAccountingPolicies</t>
        </is>
      </c>
      <c r="K132" s="29" t="inlineStr">
        <is>
          <t>회계정책변경에 따른 증가(감소)</t>
        </is>
      </c>
      <c r="L132" s="29" t="inlineStr">
        <is>
          <t>연결재무제표 [member]</t>
        </is>
      </c>
      <c r="M132" s="29" t="inlineStr">
        <is>
          <t>제 69 기</t>
        </is>
      </c>
      <c r="N132" s="29" t="inlineStr">
        <is>
          <t>해당 없음</t>
        </is>
      </c>
      <c r="O132" s="29" t="inlineStr">
        <is>
          <t>해당 없음</t>
        </is>
      </c>
      <c r="P132" s="29" t="inlineStr">
        <is>
          <t>KRW</t>
        </is>
      </c>
      <c r="Q132" s="29" t="inlineStr">
        <is>
          <t>2</t>
        </is>
      </c>
    </row>
    <row r="133" ht="24" customHeight="1">
      <c r="A133" s="24" t="inlineStr">
        <is>
          <t>OpenDART_fnlttSinglAcntAll</t>
        </is>
      </c>
      <c r="B133" s="24" t="inlineStr">
        <is>
          <t>00160843</t>
        </is>
      </c>
      <c r="C133" s="24" t="inlineStr">
        <is>
          <t>DB하이텍</t>
        </is>
      </c>
      <c r="D133" s="24" t="inlineStr">
        <is>
          <t>dbhitek</t>
        </is>
      </c>
      <c r="E133" s="24" t="inlineStr">
        <is>
          <t>000990</t>
        </is>
      </c>
      <c r="F133" s="24" t="inlineStr">
        <is>
          <t>2021</t>
        </is>
      </c>
      <c r="G133" s="24" t="inlineStr">
        <is>
          <t>CFS</t>
        </is>
      </c>
      <c r="H133" s="24" t="inlineStr">
        <is>
          <t>SCE</t>
        </is>
      </c>
      <c r="I133" s="24" t="inlineStr">
        <is>
          <t>자본변동표</t>
        </is>
      </c>
      <c r="J133" s="24" t="inlineStr">
        <is>
          <t>ifrs-full_IncreaseDecreaseThroughChangesInAccountingPolicies</t>
        </is>
      </c>
      <c r="K133" s="24" t="inlineStr">
        <is>
          <t>회계정책변경에 따른 증가(감소)</t>
        </is>
      </c>
      <c r="L133" s="24" t="inlineStr">
        <is>
          <t>자본 [member]|지배기업의 소유주에게 귀속되는 자본 [member]</t>
        </is>
      </c>
      <c r="M133" s="24" t="inlineStr">
        <is>
          <t>제 69 기</t>
        </is>
      </c>
      <c r="N133" s="24" t="inlineStr">
        <is>
          <t>해당 없음</t>
        </is>
      </c>
      <c r="O133" s="24" t="inlineStr">
        <is>
          <t>해당 없음</t>
        </is>
      </c>
      <c r="P133" s="24" t="inlineStr">
        <is>
          <t>KRW</t>
        </is>
      </c>
      <c r="Q133" s="24" t="inlineStr">
        <is>
          <t>2</t>
        </is>
      </c>
    </row>
    <row r="134" ht="24" customHeight="1">
      <c r="A134" s="29" t="inlineStr">
        <is>
          <t>OpenDART_fnlttSinglAcntAll</t>
        </is>
      </c>
      <c r="B134" s="29" t="inlineStr">
        <is>
          <t>00160843</t>
        </is>
      </c>
      <c r="C134" s="29" t="inlineStr">
        <is>
          <t>DB하이텍</t>
        </is>
      </c>
      <c r="D134" s="29" t="inlineStr">
        <is>
          <t>dbhitek</t>
        </is>
      </c>
      <c r="E134" s="29" t="inlineStr">
        <is>
          <t>000990</t>
        </is>
      </c>
      <c r="F134" s="29" t="inlineStr">
        <is>
          <t>2021</t>
        </is>
      </c>
      <c r="G134" s="29" t="inlineStr">
        <is>
          <t>CFS</t>
        </is>
      </c>
      <c r="H134" s="29" t="inlineStr">
        <is>
          <t>SCE</t>
        </is>
      </c>
      <c r="I134" s="29" t="inlineStr">
        <is>
          <t>자본변동표</t>
        </is>
      </c>
      <c r="J134" s="29" t="inlineStr">
        <is>
          <t>dart_ChangesInReserveOfGainsAndLossesOnFinancialAssetsMeasuredAtFairValueThroughOtherComprehensiveIncome</t>
        </is>
      </c>
      <c r="K134" s="29" t="inlineStr">
        <is>
          <t>기타포괄손익-공정가치 측정 금융자산 평가손익</t>
        </is>
      </c>
      <c r="L134" s="29" t="inlineStr">
        <is>
          <t>자본 [member]|지배기업의 소유주에게 귀속되는 자본 [member]</t>
        </is>
      </c>
      <c r="M134" s="29" t="inlineStr">
        <is>
          <t>제 69 기</t>
        </is>
      </c>
      <c r="N134" s="29" t="inlineStr">
        <is>
          <t>2947398216.0</t>
        </is>
      </c>
      <c r="O134" s="29" t="inlineStr">
        <is>
          <t>411025697.0</t>
        </is>
      </c>
      <c r="P134" s="29" t="inlineStr">
        <is>
          <t>KRW</t>
        </is>
      </c>
      <c r="Q134" s="29" t="inlineStr">
        <is>
          <t>3</t>
        </is>
      </c>
    </row>
    <row r="135" ht="24" customHeight="1">
      <c r="A135" s="24" t="inlineStr">
        <is>
          <t>OpenDART_fnlttSinglAcntAll</t>
        </is>
      </c>
      <c r="B135" s="24" t="inlineStr">
        <is>
          <t>00160843</t>
        </is>
      </c>
      <c r="C135" s="24" t="inlineStr">
        <is>
          <t>DB하이텍</t>
        </is>
      </c>
      <c r="D135" s="24" t="inlineStr">
        <is>
          <t>dbhitek</t>
        </is>
      </c>
      <c r="E135" s="24" t="inlineStr">
        <is>
          <t>000990</t>
        </is>
      </c>
      <c r="F135" s="24" t="inlineStr">
        <is>
          <t>2021</t>
        </is>
      </c>
      <c r="G135" s="24" t="inlineStr">
        <is>
          <t>CFS</t>
        </is>
      </c>
      <c r="H135" s="24" t="inlineStr">
        <is>
          <t>SCE</t>
        </is>
      </c>
      <c r="I135" s="24" t="inlineStr">
        <is>
          <t>자본변동표</t>
        </is>
      </c>
      <c r="J135" s="24" t="inlineStr">
        <is>
          <t>dart_ChangesInReserveOfGainsAndLossesOnFinancialAssetsMeasuredAtFairValueThroughOtherComprehensiveIncome</t>
        </is>
      </c>
      <c r="K135" s="24" t="inlineStr">
        <is>
          <t>기타포괄손익-공정가치 측정 금융자산 평가손익</t>
        </is>
      </c>
      <c r="L135" s="24" t="inlineStr">
        <is>
          <t>연결재무제표 [member]</t>
        </is>
      </c>
      <c r="M135" s="24" t="inlineStr">
        <is>
          <t>제 69 기</t>
        </is>
      </c>
      <c r="N135" s="24" t="inlineStr">
        <is>
          <t>2947398216.0</t>
        </is>
      </c>
      <c r="O135" s="24" t="inlineStr">
        <is>
          <t>411025697.0</t>
        </is>
      </c>
      <c r="P135" s="24" t="inlineStr">
        <is>
          <t>KRW</t>
        </is>
      </c>
      <c r="Q135" s="24" t="inlineStr">
        <is>
          <t>3</t>
        </is>
      </c>
    </row>
    <row r="136" ht="24" customHeight="1">
      <c r="A136" s="29" t="inlineStr">
        <is>
          <t>OpenDART_fnlttSinglAcntAll</t>
        </is>
      </c>
      <c r="B136" s="29" t="inlineStr">
        <is>
          <t>00160843</t>
        </is>
      </c>
      <c r="C136" s="29" t="inlineStr">
        <is>
          <t>DB하이텍</t>
        </is>
      </c>
      <c r="D136" s="29" t="inlineStr">
        <is>
          <t>dbhitek</t>
        </is>
      </c>
      <c r="E136" s="29" t="inlineStr">
        <is>
          <t>000990</t>
        </is>
      </c>
      <c r="F136" s="29" t="inlineStr">
        <is>
          <t>2021</t>
        </is>
      </c>
      <c r="G136" s="29" t="inlineStr">
        <is>
          <t>CFS</t>
        </is>
      </c>
      <c r="H136" s="29" t="inlineStr">
        <is>
          <t>SCE</t>
        </is>
      </c>
      <c r="I136" s="29" t="inlineStr">
        <is>
          <t>자본변동표</t>
        </is>
      </c>
      <c r="J136" s="29" t="inlineStr">
        <is>
          <t>dart_ChangesInReserveOfGainsAndLossesOnFinancialAssetsMeasuredAtFairValueThroughOtherComprehensiveIncome</t>
        </is>
      </c>
      <c r="K136" s="29" t="inlineStr">
        <is>
          <t>기타포괄손익-공정가치 측정 금융자산 평가손익</t>
        </is>
      </c>
      <c r="L136" s="29" t="inlineStr">
        <is>
          <t>자본 [member]|지배기업의 소유주에게 귀속되는 자본 [member]|기타자본구성요소 [member]</t>
        </is>
      </c>
      <c r="M136" s="29" t="inlineStr">
        <is>
          <t>제 69 기</t>
        </is>
      </c>
      <c r="N136" s="29" t="inlineStr">
        <is>
          <t>2947398216.0</t>
        </is>
      </c>
      <c r="O136" s="29" t="inlineStr">
        <is>
          <t>411025697.0</t>
        </is>
      </c>
      <c r="P136" s="29" t="inlineStr">
        <is>
          <t>KRW</t>
        </is>
      </c>
      <c r="Q136" s="29" t="inlineStr">
        <is>
          <t>3</t>
        </is>
      </c>
    </row>
    <row r="137" ht="24" customHeight="1">
      <c r="A137" s="24" t="inlineStr">
        <is>
          <t>OpenDART_fnlttSinglAcntAll</t>
        </is>
      </c>
      <c r="B137" s="24" t="inlineStr">
        <is>
          <t>00160843</t>
        </is>
      </c>
      <c r="C137" s="24" t="inlineStr">
        <is>
          <t>DB하이텍</t>
        </is>
      </c>
      <c r="D137" s="24" t="inlineStr">
        <is>
          <t>dbhitek</t>
        </is>
      </c>
      <c r="E137" s="24" t="inlineStr">
        <is>
          <t>000990</t>
        </is>
      </c>
      <c r="F137" s="24" t="inlineStr">
        <is>
          <t>2021</t>
        </is>
      </c>
      <c r="G137" s="24" t="inlineStr">
        <is>
          <t>CFS</t>
        </is>
      </c>
      <c r="H137" s="24" t="inlineStr">
        <is>
          <t>SCE</t>
        </is>
      </c>
      <c r="I137" s="24" t="inlineStr">
        <is>
          <t>자본변동표</t>
        </is>
      </c>
      <c r="J137" s="24" t="inlineStr">
        <is>
          <t>dart_ChangesInForeignExchangeRates</t>
        </is>
      </c>
      <c r="K137" s="24" t="inlineStr">
        <is>
          <t>해외사업환산손익</t>
        </is>
      </c>
      <c r="L137" s="24" t="inlineStr">
        <is>
          <t>자본 [member]|지배기업의 소유주에게 귀속되는 자본 [member]|기타자본구성요소 [member]</t>
        </is>
      </c>
      <c r="M137" s="24" t="inlineStr">
        <is>
          <t>제 69 기</t>
        </is>
      </c>
      <c r="N137" s="24" t="inlineStr">
        <is>
          <t>530732113.0</t>
        </is>
      </c>
      <c r="O137" s="24" t="inlineStr">
        <is>
          <t>-242584399.0</t>
        </is>
      </c>
      <c r="P137" s="24" t="inlineStr">
        <is>
          <t>KRW</t>
        </is>
      </c>
      <c r="Q137" s="24" t="inlineStr">
        <is>
          <t>4</t>
        </is>
      </c>
    </row>
    <row r="138" ht="24" customHeight="1">
      <c r="A138" s="29" t="inlineStr">
        <is>
          <t>OpenDART_fnlttSinglAcntAll</t>
        </is>
      </c>
      <c r="B138" s="29" t="inlineStr">
        <is>
          <t>00160843</t>
        </is>
      </c>
      <c r="C138" s="29" t="inlineStr">
        <is>
          <t>DB하이텍</t>
        </is>
      </c>
      <c r="D138" s="29" t="inlineStr">
        <is>
          <t>dbhitek</t>
        </is>
      </c>
      <c r="E138" s="29" t="inlineStr">
        <is>
          <t>000990</t>
        </is>
      </c>
      <c r="F138" s="29" t="inlineStr">
        <is>
          <t>2021</t>
        </is>
      </c>
      <c r="G138" s="29" t="inlineStr">
        <is>
          <t>CFS</t>
        </is>
      </c>
      <c r="H138" s="29" t="inlineStr">
        <is>
          <t>SCE</t>
        </is>
      </c>
      <c r="I138" s="29" t="inlineStr">
        <is>
          <t>자본변동표</t>
        </is>
      </c>
      <c r="J138" s="29" t="inlineStr">
        <is>
          <t>dart_ChangesInForeignExchangeRates</t>
        </is>
      </c>
      <c r="K138" s="29" t="inlineStr">
        <is>
          <t>해외사업환산손익</t>
        </is>
      </c>
      <c r="L138" s="29" t="inlineStr">
        <is>
          <t>연결재무제표 [member]</t>
        </is>
      </c>
      <c r="M138" s="29" t="inlineStr">
        <is>
          <t>제 69 기</t>
        </is>
      </c>
      <c r="N138" s="29" t="inlineStr">
        <is>
          <t>530732113.0</t>
        </is>
      </c>
      <c r="O138" s="29" t="inlineStr">
        <is>
          <t>-242584399.0</t>
        </is>
      </c>
      <c r="P138" s="29" t="inlineStr">
        <is>
          <t>KRW</t>
        </is>
      </c>
      <c r="Q138" s="29" t="inlineStr">
        <is>
          <t>4</t>
        </is>
      </c>
    </row>
    <row r="139" ht="24" customHeight="1">
      <c r="A139" s="24" t="inlineStr">
        <is>
          <t>OpenDART_fnlttSinglAcntAll</t>
        </is>
      </c>
      <c r="B139" s="24" t="inlineStr">
        <is>
          <t>00160843</t>
        </is>
      </c>
      <c r="C139" s="24" t="inlineStr">
        <is>
          <t>DB하이텍</t>
        </is>
      </c>
      <c r="D139" s="24" t="inlineStr">
        <is>
          <t>dbhitek</t>
        </is>
      </c>
      <c r="E139" s="24" t="inlineStr">
        <is>
          <t>000990</t>
        </is>
      </c>
      <c r="F139" s="24" t="inlineStr">
        <is>
          <t>2021</t>
        </is>
      </c>
      <c r="G139" s="24" t="inlineStr">
        <is>
          <t>CFS</t>
        </is>
      </c>
      <c r="H139" s="24" t="inlineStr">
        <is>
          <t>SCE</t>
        </is>
      </c>
      <c r="I139" s="24" t="inlineStr">
        <is>
          <t>자본변동표</t>
        </is>
      </c>
      <c r="J139" s="24" t="inlineStr">
        <is>
          <t>dart_ChangesInForeignExchangeRates</t>
        </is>
      </c>
      <c r="K139" s="24" t="inlineStr">
        <is>
          <t>해외사업환산손익</t>
        </is>
      </c>
      <c r="L139" s="24" t="inlineStr">
        <is>
          <t>자본 [member]|지배기업의 소유주에게 귀속되는 자본 [member]</t>
        </is>
      </c>
      <c r="M139" s="24" t="inlineStr">
        <is>
          <t>제 69 기</t>
        </is>
      </c>
      <c r="N139" s="24" t="inlineStr">
        <is>
          <t>530732113.0</t>
        </is>
      </c>
      <c r="O139" s="24" t="inlineStr">
        <is>
          <t>-242584399.0</t>
        </is>
      </c>
      <c r="P139" s="24" t="inlineStr">
        <is>
          <t>KRW</t>
        </is>
      </c>
      <c r="Q139" s="24" t="inlineStr">
        <is>
          <t>4</t>
        </is>
      </c>
    </row>
    <row r="140" ht="24" customHeight="1">
      <c r="A140" s="29" t="inlineStr">
        <is>
          <t>OpenDART_fnlttSinglAcntAll</t>
        </is>
      </c>
      <c r="B140" s="29" t="inlineStr">
        <is>
          <t>00160843</t>
        </is>
      </c>
      <c r="C140" s="29" t="inlineStr">
        <is>
          <t>DB하이텍</t>
        </is>
      </c>
      <c r="D140" s="29" t="inlineStr">
        <is>
          <t>dbhitek</t>
        </is>
      </c>
      <c r="E140" s="29" t="inlineStr">
        <is>
          <t>000990</t>
        </is>
      </c>
      <c r="F140" s="29" t="inlineStr">
        <is>
          <t>2021</t>
        </is>
      </c>
      <c r="G140" s="29" t="inlineStr">
        <is>
          <t>CFS</t>
        </is>
      </c>
      <c r="H140" s="29" t="inlineStr">
        <is>
          <t>SCE</t>
        </is>
      </c>
      <c r="I140" s="29" t="inlineStr">
        <is>
          <t>자본변동표</t>
        </is>
      </c>
      <c r="J140" s="29" t="inlineStr">
        <is>
          <t>dart_PurchaseDispostionOfAssociatesOrJointVenture</t>
        </is>
      </c>
      <c r="K140" s="29" t="inlineStr">
        <is>
          <t>관계기업투자 평가</t>
        </is>
      </c>
      <c r="L140" s="29" t="inlineStr">
        <is>
          <t>자본 [member]|지배기업의 소유주에게 귀속되는 자본 [member]|이익잉여금 [member]</t>
        </is>
      </c>
      <c r="M140" s="29" t="inlineStr">
        <is>
          <t>제 69 기</t>
        </is>
      </c>
      <c r="N140" s="29" t="inlineStr">
        <is>
          <t>-32421401.0</t>
        </is>
      </c>
      <c r="O140" s="29" t="inlineStr">
        <is>
          <t>35230979.0</t>
        </is>
      </c>
      <c r="P140" s="29" t="inlineStr">
        <is>
          <t>KRW</t>
        </is>
      </c>
      <c r="Q140" s="29" t="inlineStr">
        <is>
          <t>5</t>
        </is>
      </c>
    </row>
    <row r="141" ht="24" customHeight="1">
      <c r="A141" s="24" t="inlineStr">
        <is>
          <t>OpenDART_fnlttSinglAcntAll</t>
        </is>
      </c>
      <c r="B141" s="24" t="inlineStr">
        <is>
          <t>00160843</t>
        </is>
      </c>
      <c r="C141" s="24" t="inlineStr">
        <is>
          <t>DB하이텍</t>
        </is>
      </c>
      <c r="D141" s="24" t="inlineStr">
        <is>
          <t>dbhitek</t>
        </is>
      </c>
      <c r="E141" s="24" t="inlineStr">
        <is>
          <t>000990</t>
        </is>
      </c>
      <c r="F141" s="24" t="inlineStr">
        <is>
          <t>2021</t>
        </is>
      </c>
      <c r="G141" s="24" t="inlineStr">
        <is>
          <t>CFS</t>
        </is>
      </c>
      <c r="H141" s="24" t="inlineStr">
        <is>
          <t>SCE</t>
        </is>
      </c>
      <c r="I141" s="24" t="inlineStr">
        <is>
          <t>자본변동표</t>
        </is>
      </c>
      <c r="J141" s="24" t="inlineStr">
        <is>
          <t>dart_PurchaseDispostionOfAssociatesOrJointVenture</t>
        </is>
      </c>
      <c r="K141" s="24" t="inlineStr">
        <is>
          <t>관계기업투자 평가</t>
        </is>
      </c>
      <c r="L141" s="24" t="inlineStr">
        <is>
          <t>자본 [member]|지배기업의 소유주에게 귀속되는 자본 [member]</t>
        </is>
      </c>
      <c r="M141" s="24" t="inlineStr">
        <is>
          <t>제 69 기</t>
        </is>
      </c>
      <c r="N141" s="24" t="inlineStr">
        <is>
          <t>238451778.0</t>
        </is>
      </c>
      <c r="O141" s="24" t="inlineStr">
        <is>
          <t>-123194825.0</t>
        </is>
      </c>
      <c r="P141" s="24" t="inlineStr">
        <is>
          <t>KRW</t>
        </is>
      </c>
      <c r="Q141" s="24" t="inlineStr">
        <is>
          <t>5</t>
        </is>
      </c>
    </row>
    <row r="142" ht="24" customHeight="1">
      <c r="A142" s="29" t="inlineStr">
        <is>
          <t>OpenDART_fnlttSinglAcntAll</t>
        </is>
      </c>
      <c r="B142" s="29" t="inlineStr">
        <is>
          <t>00160843</t>
        </is>
      </c>
      <c r="C142" s="29" t="inlineStr">
        <is>
          <t>DB하이텍</t>
        </is>
      </c>
      <c r="D142" s="29" t="inlineStr">
        <is>
          <t>dbhitek</t>
        </is>
      </c>
      <c r="E142" s="29" t="inlineStr">
        <is>
          <t>000990</t>
        </is>
      </c>
      <c r="F142" s="29" t="inlineStr">
        <is>
          <t>2021</t>
        </is>
      </c>
      <c r="G142" s="29" t="inlineStr">
        <is>
          <t>CFS</t>
        </is>
      </c>
      <c r="H142" s="29" t="inlineStr">
        <is>
          <t>SCE</t>
        </is>
      </c>
      <c r="I142" s="29" t="inlineStr">
        <is>
          <t>자본변동표</t>
        </is>
      </c>
      <c r="J142" s="29" t="inlineStr">
        <is>
          <t>dart_PurchaseDispostionOfAssociatesOrJointVenture</t>
        </is>
      </c>
      <c r="K142" s="29" t="inlineStr">
        <is>
          <t>관계기업투자 평가</t>
        </is>
      </c>
      <c r="L142" s="29" t="inlineStr">
        <is>
          <t>연결재무제표 [member]</t>
        </is>
      </c>
      <c r="M142" s="29" t="inlineStr">
        <is>
          <t>제 69 기</t>
        </is>
      </c>
      <c r="N142" s="29" t="inlineStr">
        <is>
          <t>238451778.0</t>
        </is>
      </c>
      <c r="O142" s="29" t="inlineStr">
        <is>
          <t>-123194825.0</t>
        </is>
      </c>
      <c r="P142" s="29" t="inlineStr">
        <is>
          <t>KRW</t>
        </is>
      </c>
      <c r="Q142" s="29" t="inlineStr">
        <is>
          <t>5</t>
        </is>
      </c>
    </row>
    <row r="143" ht="24" customHeight="1">
      <c r="A143" s="24" t="inlineStr">
        <is>
          <t>OpenDART_fnlttSinglAcntAll</t>
        </is>
      </c>
      <c r="B143" s="24" t="inlineStr">
        <is>
          <t>00160843</t>
        </is>
      </c>
      <c r="C143" s="24" t="inlineStr">
        <is>
          <t>DB하이텍</t>
        </is>
      </c>
      <c r="D143" s="24" t="inlineStr">
        <is>
          <t>dbhitek</t>
        </is>
      </c>
      <c r="E143" s="24" t="inlineStr">
        <is>
          <t>000990</t>
        </is>
      </c>
      <c r="F143" s="24" t="inlineStr">
        <is>
          <t>2021</t>
        </is>
      </c>
      <c r="G143" s="24" t="inlineStr">
        <is>
          <t>CFS</t>
        </is>
      </c>
      <c r="H143" s="24" t="inlineStr">
        <is>
          <t>SCE</t>
        </is>
      </c>
      <c r="I143" s="24" t="inlineStr">
        <is>
          <t>자본변동표</t>
        </is>
      </c>
      <c r="J143" s="24" t="inlineStr">
        <is>
          <t>dart_PurchaseDispostionOfAssociatesOrJointVenture</t>
        </is>
      </c>
      <c r="K143" s="24" t="inlineStr">
        <is>
          <t>관계기업투자 평가</t>
        </is>
      </c>
      <c r="L143" s="24" t="inlineStr">
        <is>
          <t>자본 [member]|지배기업의 소유주에게 귀속되는 자본 [member]|기타자본구성요소 [member]</t>
        </is>
      </c>
      <c r="M143" s="24" t="inlineStr">
        <is>
          <t>제 69 기</t>
        </is>
      </c>
      <c r="N143" s="24" t="inlineStr">
        <is>
          <t>270873179.0</t>
        </is>
      </c>
      <c r="O143" s="24" t="inlineStr">
        <is>
          <t>-158425804.0</t>
        </is>
      </c>
      <c r="P143" s="24" t="inlineStr">
        <is>
          <t>KRW</t>
        </is>
      </c>
      <c r="Q143" s="24" t="inlineStr">
        <is>
          <t>5</t>
        </is>
      </c>
    </row>
    <row r="144" ht="24" customHeight="1">
      <c r="A144" s="29" t="inlineStr">
        <is>
          <t>OpenDART_fnlttSinglAcntAll</t>
        </is>
      </c>
      <c r="B144" s="29" t="inlineStr">
        <is>
          <t>00160843</t>
        </is>
      </c>
      <c r="C144" s="29" t="inlineStr">
        <is>
          <t>DB하이텍</t>
        </is>
      </c>
      <c r="D144" s="29" t="inlineStr">
        <is>
          <t>dbhitek</t>
        </is>
      </c>
      <c r="E144" s="29" t="inlineStr">
        <is>
          <t>000990</t>
        </is>
      </c>
      <c r="F144" s="29" t="inlineStr">
        <is>
          <t>2021</t>
        </is>
      </c>
      <c r="G144" s="29" t="inlineStr">
        <is>
          <t>CFS</t>
        </is>
      </c>
      <c r="H144" s="29" t="inlineStr">
        <is>
          <t>SCE</t>
        </is>
      </c>
      <c r="I144" s="29" t="inlineStr">
        <is>
          <t>자본변동표</t>
        </is>
      </c>
      <c r="J144" s="29" t="inlineStr">
        <is>
          <t>-표준계정코드 미사용-</t>
        </is>
      </c>
      <c r="K144" s="29" t="inlineStr">
        <is>
          <t>순확정급여부채의 재측정요소</t>
        </is>
      </c>
      <c r="L144" s="29" t="inlineStr">
        <is>
          <t>자본 [member]|지배기업의 소유주에게 귀속되는 자본 [member]|이익잉여금 [member]</t>
        </is>
      </c>
      <c r="M144" s="29" t="inlineStr">
        <is>
          <t>제 69 기</t>
        </is>
      </c>
      <c r="N144" s="29" t="inlineStr">
        <is>
          <t>4934922298.0</t>
        </is>
      </c>
      <c r="O144" s="29" t="inlineStr">
        <is>
          <t>-1117485331.0</t>
        </is>
      </c>
      <c r="P144" s="29" t="inlineStr">
        <is>
          <t>KRW</t>
        </is>
      </c>
      <c r="Q144" s="29" t="inlineStr">
        <is>
          <t>6</t>
        </is>
      </c>
    </row>
    <row r="145" ht="24" customHeight="1">
      <c r="A145" s="24" t="inlineStr">
        <is>
          <t>OpenDART_fnlttSinglAcntAll</t>
        </is>
      </c>
      <c r="B145" s="24" t="inlineStr">
        <is>
          <t>00160843</t>
        </is>
      </c>
      <c r="C145" s="24" t="inlineStr">
        <is>
          <t>DB하이텍</t>
        </is>
      </c>
      <c r="D145" s="24" t="inlineStr">
        <is>
          <t>dbhitek</t>
        </is>
      </c>
      <c r="E145" s="24" t="inlineStr">
        <is>
          <t>000990</t>
        </is>
      </c>
      <c r="F145" s="24" t="inlineStr">
        <is>
          <t>2021</t>
        </is>
      </c>
      <c r="G145" s="24" t="inlineStr">
        <is>
          <t>CFS</t>
        </is>
      </c>
      <c r="H145" s="24" t="inlineStr">
        <is>
          <t>SCE</t>
        </is>
      </c>
      <c r="I145" s="24" t="inlineStr">
        <is>
          <t>자본변동표</t>
        </is>
      </c>
      <c r="J145" s="24" t="inlineStr">
        <is>
          <t>-표준계정코드 미사용-</t>
        </is>
      </c>
      <c r="K145" s="24" t="inlineStr">
        <is>
          <t>순확정급여부채의 재측정요소</t>
        </is>
      </c>
      <c r="L145" s="24" t="inlineStr">
        <is>
          <t>연결재무제표 [member]</t>
        </is>
      </c>
      <c r="M145" s="24" t="inlineStr">
        <is>
          <t>제 69 기</t>
        </is>
      </c>
      <c r="N145" s="24" t="inlineStr">
        <is>
          <t>4934922298.0</t>
        </is>
      </c>
      <c r="O145" s="24" t="inlineStr">
        <is>
          <t>-1117485331.0</t>
        </is>
      </c>
      <c r="P145" s="24" t="inlineStr">
        <is>
          <t>KRW</t>
        </is>
      </c>
      <c r="Q145" s="24" t="inlineStr">
        <is>
          <t>6</t>
        </is>
      </c>
    </row>
    <row r="146" ht="24" customHeight="1">
      <c r="A146" s="29" t="inlineStr">
        <is>
          <t>OpenDART_fnlttSinglAcntAll</t>
        </is>
      </c>
      <c r="B146" s="29" t="inlineStr">
        <is>
          <t>00160843</t>
        </is>
      </c>
      <c r="C146" s="29" t="inlineStr">
        <is>
          <t>DB하이텍</t>
        </is>
      </c>
      <c r="D146" s="29" t="inlineStr">
        <is>
          <t>dbhitek</t>
        </is>
      </c>
      <c r="E146" s="29" t="inlineStr">
        <is>
          <t>000990</t>
        </is>
      </c>
      <c r="F146" s="29" t="inlineStr">
        <is>
          <t>2021</t>
        </is>
      </c>
      <c r="G146" s="29" t="inlineStr">
        <is>
          <t>CFS</t>
        </is>
      </c>
      <c r="H146" s="29" t="inlineStr">
        <is>
          <t>SCE</t>
        </is>
      </c>
      <c r="I146" s="29" t="inlineStr">
        <is>
          <t>자본변동표</t>
        </is>
      </c>
      <c r="J146" s="29" t="inlineStr">
        <is>
          <t>-표준계정코드 미사용-</t>
        </is>
      </c>
      <c r="K146" s="29" t="inlineStr">
        <is>
          <t>순확정급여부채의 재측정요소</t>
        </is>
      </c>
      <c r="L146" s="29" t="inlineStr">
        <is>
          <t>자본 [member]|지배기업의 소유주에게 귀속되는 자본 [member]</t>
        </is>
      </c>
      <c r="M146" s="29" t="inlineStr">
        <is>
          <t>제 69 기</t>
        </is>
      </c>
      <c r="N146" s="29" t="inlineStr">
        <is>
          <t>4934922298.0</t>
        </is>
      </c>
      <c r="O146" s="29" t="inlineStr">
        <is>
          <t>-1117485331.0</t>
        </is>
      </c>
      <c r="P146" s="29" t="inlineStr">
        <is>
          <t>KRW</t>
        </is>
      </c>
      <c r="Q146" s="29" t="inlineStr">
        <is>
          <t>6</t>
        </is>
      </c>
    </row>
    <row r="147" ht="24" customHeight="1">
      <c r="A147" s="24" t="inlineStr">
        <is>
          <t>OpenDART_fnlttSinglAcntAll</t>
        </is>
      </c>
      <c r="B147" s="24" t="inlineStr">
        <is>
          <t>00160843</t>
        </is>
      </c>
      <c r="C147" s="24" t="inlineStr">
        <is>
          <t>DB하이텍</t>
        </is>
      </c>
      <c r="D147" s="24" t="inlineStr">
        <is>
          <t>dbhitek</t>
        </is>
      </c>
      <c r="E147" s="24" t="inlineStr">
        <is>
          <t>000990</t>
        </is>
      </c>
      <c r="F147" s="24" t="inlineStr">
        <is>
          <t>2021</t>
        </is>
      </c>
      <c r="G147" s="24" t="inlineStr">
        <is>
          <t>CFS</t>
        </is>
      </c>
      <c r="H147" s="24" t="inlineStr">
        <is>
          <t>SCE</t>
        </is>
      </c>
      <c r="I147" s="24" t="inlineStr">
        <is>
          <t>자본변동표</t>
        </is>
      </c>
      <c r="J147" s="24" t="inlineStr">
        <is>
          <t>ifrs-full_ProfitLoss</t>
        </is>
      </c>
      <c r="K147" s="24" t="inlineStr">
        <is>
          <t>당기순이익(손실)</t>
        </is>
      </c>
      <c r="L147" s="24" t="inlineStr">
        <is>
          <t>자본 [member]|지배기업의 소유주에게 귀속되는 자본 [member]</t>
        </is>
      </c>
      <c r="M147" s="24" t="inlineStr">
        <is>
          <t>제 69 기</t>
        </is>
      </c>
      <c r="N147" s="24" t="inlineStr">
        <is>
          <t>316891852008.0</t>
        </is>
      </c>
      <c r="O147" s="24" t="inlineStr">
        <is>
          <t>166025591077.0</t>
        </is>
      </c>
      <c r="P147" s="24" t="inlineStr">
        <is>
          <t>KRW</t>
        </is>
      </c>
      <c r="Q147" s="24" t="inlineStr">
        <is>
          <t>7</t>
        </is>
      </c>
    </row>
    <row r="148" ht="24" customHeight="1">
      <c r="A148" s="29" t="inlineStr">
        <is>
          <t>OpenDART_fnlttSinglAcntAll</t>
        </is>
      </c>
      <c r="B148" s="29" t="inlineStr">
        <is>
          <t>00160843</t>
        </is>
      </c>
      <c r="C148" s="29" t="inlineStr">
        <is>
          <t>DB하이텍</t>
        </is>
      </c>
      <c r="D148" s="29" t="inlineStr">
        <is>
          <t>dbhitek</t>
        </is>
      </c>
      <c r="E148" s="29" t="inlineStr">
        <is>
          <t>000990</t>
        </is>
      </c>
      <c r="F148" s="29" t="inlineStr">
        <is>
          <t>2021</t>
        </is>
      </c>
      <c r="G148" s="29" t="inlineStr">
        <is>
          <t>CFS</t>
        </is>
      </c>
      <c r="H148" s="29" t="inlineStr">
        <is>
          <t>SCE</t>
        </is>
      </c>
      <c r="I148" s="29" t="inlineStr">
        <is>
          <t>자본변동표</t>
        </is>
      </c>
      <c r="J148" s="29" t="inlineStr">
        <is>
          <t>ifrs-full_ProfitLoss</t>
        </is>
      </c>
      <c r="K148" s="29" t="inlineStr">
        <is>
          <t>당기순이익(손실)</t>
        </is>
      </c>
      <c r="L148" s="29" t="inlineStr">
        <is>
          <t>자본 [member]|지배기업의 소유주에게 귀속되는 자본 [member]|이익잉여금 [member]</t>
        </is>
      </c>
      <c r="M148" s="29" t="inlineStr">
        <is>
          <t>제 69 기</t>
        </is>
      </c>
      <c r="N148" s="29" t="inlineStr">
        <is>
          <t>316891852008.0</t>
        </is>
      </c>
      <c r="O148" s="29" t="inlineStr">
        <is>
          <t>166025591077.0</t>
        </is>
      </c>
      <c r="P148" s="29" t="inlineStr">
        <is>
          <t>KRW</t>
        </is>
      </c>
      <c r="Q148" s="29" t="inlineStr">
        <is>
          <t>7</t>
        </is>
      </c>
    </row>
    <row r="149" ht="24" customHeight="1">
      <c r="A149" s="24" t="inlineStr">
        <is>
          <t>OpenDART_fnlttSinglAcntAll</t>
        </is>
      </c>
      <c r="B149" s="24" t="inlineStr">
        <is>
          <t>00160843</t>
        </is>
      </c>
      <c r="C149" s="24" t="inlineStr">
        <is>
          <t>DB하이텍</t>
        </is>
      </c>
      <c r="D149" s="24" t="inlineStr">
        <is>
          <t>dbhitek</t>
        </is>
      </c>
      <c r="E149" s="24" t="inlineStr">
        <is>
          <t>000990</t>
        </is>
      </c>
      <c r="F149" s="24" t="inlineStr">
        <is>
          <t>2021</t>
        </is>
      </c>
      <c r="G149" s="24" t="inlineStr">
        <is>
          <t>CFS</t>
        </is>
      </c>
      <c r="H149" s="24" t="inlineStr">
        <is>
          <t>SCE</t>
        </is>
      </c>
      <c r="I149" s="24" t="inlineStr">
        <is>
          <t>자본변동표</t>
        </is>
      </c>
      <c r="J149" s="24" t="inlineStr">
        <is>
          <t>ifrs-full_ProfitLoss</t>
        </is>
      </c>
      <c r="K149" s="24" t="inlineStr">
        <is>
          <t>당기순이익(손실)</t>
        </is>
      </c>
      <c r="L149" s="24" t="inlineStr">
        <is>
          <t>연결재무제표 [member]</t>
        </is>
      </c>
      <c r="M149" s="24" t="inlineStr">
        <is>
          <t>제 69 기</t>
        </is>
      </c>
      <c r="N149" s="24" t="inlineStr">
        <is>
          <t>316891852008.0</t>
        </is>
      </c>
      <c r="O149" s="24" t="inlineStr">
        <is>
          <t>166025591077.0</t>
        </is>
      </c>
      <c r="P149" s="24" t="inlineStr">
        <is>
          <t>KRW</t>
        </is>
      </c>
      <c r="Q149" s="24" t="inlineStr">
        <is>
          <t>7</t>
        </is>
      </c>
    </row>
    <row r="150" ht="24" customHeight="1">
      <c r="A150" s="29" t="inlineStr">
        <is>
          <t>OpenDART_fnlttSinglAcntAll</t>
        </is>
      </c>
      <c r="B150" s="29" t="inlineStr">
        <is>
          <t>00160843</t>
        </is>
      </c>
      <c r="C150" s="29" t="inlineStr">
        <is>
          <t>DB하이텍</t>
        </is>
      </c>
      <c r="D150" s="29" t="inlineStr">
        <is>
          <t>dbhitek</t>
        </is>
      </c>
      <c r="E150" s="29" t="inlineStr">
        <is>
          <t>000990</t>
        </is>
      </c>
      <c r="F150" s="29" t="inlineStr">
        <is>
          <t>2021</t>
        </is>
      </c>
      <c r="G150" s="29" t="inlineStr">
        <is>
          <t>CFS</t>
        </is>
      </c>
      <c r="H150" s="29" t="inlineStr">
        <is>
          <t>SCE</t>
        </is>
      </c>
      <c r="I150" s="29" t="inlineStr">
        <is>
          <t>자본변동표</t>
        </is>
      </c>
      <c r="J150" s="29" t="inlineStr">
        <is>
          <t>ifrs-full_DividendsPaid</t>
        </is>
      </c>
      <c r="K150" s="29" t="inlineStr">
        <is>
          <t>현금배당</t>
        </is>
      </c>
      <c r="L150" s="29" t="inlineStr">
        <is>
          <t>자본 [member]|지배기업의 소유주에게 귀속되는 자본 [member]</t>
        </is>
      </c>
      <c r="M150" s="29" t="inlineStr">
        <is>
          <t>제 69 기</t>
        </is>
      </c>
      <c r="N150" s="29" t="inlineStr">
        <is>
          <t>15207397600.0</t>
        </is>
      </c>
      <c r="O150" s="29" t="inlineStr">
        <is>
          <t>15204861500.0</t>
        </is>
      </c>
      <c r="P150" s="29" t="inlineStr">
        <is>
          <t>KRW</t>
        </is>
      </c>
      <c r="Q150" s="29" t="inlineStr">
        <is>
          <t>8</t>
        </is>
      </c>
    </row>
    <row r="151" ht="24" customHeight="1">
      <c r="A151" s="24" t="inlineStr">
        <is>
          <t>OpenDART_fnlttSinglAcntAll</t>
        </is>
      </c>
      <c r="B151" s="24" t="inlineStr">
        <is>
          <t>00160843</t>
        </is>
      </c>
      <c r="C151" s="24" t="inlineStr">
        <is>
          <t>DB하이텍</t>
        </is>
      </c>
      <c r="D151" s="24" t="inlineStr">
        <is>
          <t>dbhitek</t>
        </is>
      </c>
      <c r="E151" s="24" t="inlineStr">
        <is>
          <t>000990</t>
        </is>
      </c>
      <c r="F151" s="24" t="inlineStr">
        <is>
          <t>2021</t>
        </is>
      </c>
      <c r="G151" s="24" t="inlineStr">
        <is>
          <t>CFS</t>
        </is>
      </c>
      <c r="H151" s="24" t="inlineStr">
        <is>
          <t>SCE</t>
        </is>
      </c>
      <c r="I151" s="24" t="inlineStr">
        <is>
          <t>자본변동표</t>
        </is>
      </c>
      <c r="J151" s="24" t="inlineStr">
        <is>
          <t>ifrs-full_DividendsPaid</t>
        </is>
      </c>
      <c r="K151" s="24" t="inlineStr">
        <is>
          <t>현금배당</t>
        </is>
      </c>
      <c r="L151" s="24" t="inlineStr">
        <is>
          <t>자본 [member]|지배기업의 소유주에게 귀속되는 자본 [member]|이익잉여금 [member]</t>
        </is>
      </c>
      <c r="M151" s="24" t="inlineStr">
        <is>
          <t>제 69 기</t>
        </is>
      </c>
      <c r="N151" s="24" t="inlineStr">
        <is>
          <t>15207397600.0</t>
        </is>
      </c>
      <c r="O151" s="24" t="inlineStr">
        <is>
          <t>15204861500.0</t>
        </is>
      </c>
      <c r="P151" s="24" t="inlineStr">
        <is>
          <t>KRW</t>
        </is>
      </c>
      <c r="Q151" s="24" t="inlineStr">
        <is>
          <t>8</t>
        </is>
      </c>
    </row>
    <row r="152" ht="24" customHeight="1">
      <c r="A152" s="29" t="inlineStr">
        <is>
          <t>OpenDART_fnlttSinglAcntAll</t>
        </is>
      </c>
      <c r="B152" s="29" t="inlineStr">
        <is>
          <t>00160843</t>
        </is>
      </c>
      <c r="C152" s="29" t="inlineStr">
        <is>
          <t>DB하이텍</t>
        </is>
      </c>
      <c r="D152" s="29" t="inlineStr">
        <is>
          <t>dbhitek</t>
        </is>
      </c>
      <c r="E152" s="29" t="inlineStr">
        <is>
          <t>000990</t>
        </is>
      </c>
      <c r="F152" s="29" t="inlineStr">
        <is>
          <t>2021</t>
        </is>
      </c>
      <c r="G152" s="29" t="inlineStr">
        <is>
          <t>CFS</t>
        </is>
      </c>
      <c r="H152" s="29" t="inlineStr">
        <is>
          <t>SCE</t>
        </is>
      </c>
      <c r="I152" s="29" t="inlineStr">
        <is>
          <t>자본변동표</t>
        </is>
      </c>
      <c r="J152" s="29" t="inlineStr">
        <is>
          <t>ifrs-full_DividendsPaid</t>
        </is>
      </c>
      <c r="K152" s="29" t="inlineStr">
        <is>
          <t>현금배당</t>
        </is>
      </c>
      <c r="L152" s="29" t="inlineStr">
        <is>
          <t>연결재무제표 [member]</t>
        </is>
      </c>
      <c r="M152" s="29" t="inlineStr">
        <is>
          <t>제 69 기</t>
        </is>
      </c>
      <c r="N152" s="29" t="inlineStr">
        <is>
          <t>15207397600.0</t>
        </is>
      </c>
      <c r="O152" s="29" t="inlineStr">
        <is>
          <t>15204861500.0</t>
        </is>
      </c>
      <c r="P152" s="29" t="inlineStr">
        <is>
          <t>KRW</t>
        </is>
      </c>
      <c r="Q152" s="29" t="inlineStr">
        <is>
          <t>8</t>
        </is>
      </c>
    </row>
    <row r="153" ht="24" customHeight="1">
      <c r="A153" s="24" t="inlineStr">
        <is>
          <t>OpenDART_fnlttSinglAcntAll</t>
        </is>
      </c>
      <c r="B153" s="24" t="inlineStr">
        <is>
          <t>00160843</t>
        </is>
      </c>
      <c r="C153" s="24" t="inlineStr">
        <is>
          <t>DB하이텍</t>
        </is>
      </c>
      <c r="D153" s="24" t="inlineStr">
        <is>
          <t>dbhitek</t>
        </is>
      </c>
      <c r="E153" s="24" t="inlineStr">
        <is>
          <t>000990</t>
        </is>
      </c>
      <c r="F153" s="24" t="inlineStr">
        <is>
          <t>2021</t>
        </is>
      </c>
      <c r="G153" s="24" t="inlineStr">
        <is>
          <t>CFS</t>
        </is>
      </c>
      <c r="H153" s="24" t="inlineStr">
        <is>
          <t>SCE</t>
        </is>
      </c>
      <c r="I153" s="24" t="inlineStr">
        <is>
          <t>자본변동표</t>
        </is>
      </c>
      <c r="J153" s="24" t="inlineStr">
        <is>
          <t>dart_TreasuryShareTransactions</t>
        </is>
      </c>
      <c r="K153" s="24" t="inlineStr">
        <is>
          <t>자기주식처분</t>
        </is>
      </c>
      <c r="L153" s="24" t="inlineStr">
        <is>
          <t>연결재무제표 [member]</t>
        </is>
      </c>
      <c r="M153" s="24" t="inlineStr">
        <is>
          <t>제 69 기</t>
        </is>
      </c>
      <c r="N153" s="24" t="inlineStr">
        <is>
          <t>1129234656.0</t>
        </is>
      </c>
      <c r="O153" s="24" t="inlineStr">
        <is>
          <t>185292093.0</t>
        </is>
      </c>
      <c r="P153" s="24" t="inlineStr">
        <is>
          <t>KRW</t>
        </is>
      </c>
      <c r="Q153" s="24" t="inlineStr">
        <is>
          <t>9</t>
        </is>
      </c>
    </row>
    <row r="154" ht="24" customHeight="1">
      <c r="A154" s="29" t="inlineStr">
        <is>
          <t>OpenDART_fnlttSinglAcntAll</t>
        </is>
      </c>
      <c r="B154" s="29" t="inlineStr">
        <is>
          <t>00160843</t>
        </is>
      </c>
      <c r="C154" s="29" t="inlineStr">
        <is>
          <t>DB하이텍</t>
        </is>
      </c>
      <c r="D154" s="29" t="inlineStr">
        <is>
          <t>dbhitek</t>
        </is>
      </c>
      <c r="E154" s="29" t="inlineStr">
        <is>
          <t>000990</t>
        </is>
      </c>
      <c r="F154" s="29" t="inlineStr">
        <is>
          <t>2021</t>
        </is>
      </c>
      <c r="G154" s="29" t="inlineStr">
        <is>
          <t>CFS</t>
        </is>
      </c>
      <c r="H154" s="29" t="inlineStr">
        <is>
          <t>SCE</t>
        </is>
      </c>
      <c r="I154" s="29" t="inlineStr">
        <is>
          <t>자본변동표</t>
        </is>
      </c>
      <c r="J154" s="29" t="inlineStr">
        <is>
          <t>dart_TreasuryShareTransactions</t>
        </is>
      </c>
      <c r="K154" s="29" t="inlineStr">
        <is>
          <t>자기주식처분</t>
        </is>
      </c>
      <c r="L154" s="29" t="inlineStr">
        <is>
          <t>자본 [member]|지배기업의 소유주에게 귀속되는 자본 [member]</t>
        </is>
      </c>
      <c r="M154" s="29" t="inlineStr">
        <is>
          <t>제 69 기</t>
        </is>
      </c>
      <c r="N154" s="29" t="inlineStr">
        <is>
          <t>1129234656.0</t>
        </is>
      </c>
      <c r="O154" s="29" t="inlineStr">
        <is>
          <t>185292093.0</t>
        </is>
      </c>
      <c r="P154" s="29" t="inlineStr">
        <is>
          <t>KRW</t>
        </is>
      </c>
      <c r="Q154" s="29" t="inlineStr">
        <is>
          <t>9</t>
        </is>
      </c>
    </row>
    <row r="155" ht="24" customHeight="1">
      <c r="A155" s="24" t="inlineStr">
        <is>
          <t>OpenDART_fnlttSinglAcntAll</t>
        </is>
      </c>
      <c r="B155" s="24" t="inlineStr">
        <is>
          <t>00160843</t>
        </is>
      </c>
      <c r="C155" s="24" t="inlineStr">
        <is>
          <t>DB하이텍</t>
        </is>
      </c>
      <c r="D155" s="24" t="inlineStr">
        <is>
          <t>dbhitek</t>
        </is>
      </c>
      <c r="E155" s="24" t="inlineStr">
        <is>
          <t>000990</t>
        </is>
      </c>
      <c r="F155" s="24" t="inlineStr">
        <is>
          <t>2021</t>
        </is>
      </c>
      <c r="G155" s="24" t="inlineStr">
        <is>
          <t>CFS</t>
        </is>
      </c>
      <c r="H155" s="24" t="inlineStr">
        <is>
          <t>SCE</t>
        </is>
      </c>
      <c r="I155" s="24" t="inlineStr">
        <is>
          <t>자본변동표</t>
        </is>
      </c>
      <c r="J155" s="24" t="inlineStr">
        <is>
          <t>dart_TreasuryShareTransactions</t>
        </is>
      </c>
      <c r="K155" s="24" t="inlineStr">
        <is>
          <t>자기주식처분</t>
        </is>
      </c>
      <c r="L155" s="24" t="inlineStr">
        <is>
          <t>자본 [member]|지배기업의 소유주에게 귀속되는 자본 [member]|기타자본구성요소 [member]</t>
        </is>
      </c>
      <c r="M155" s="24" t="inlineStr">
        <is>
          <t>제 69 기</t>
        </is>
      </c>
      <c r="N155" s="24" t="inlineStr">
        <is>
          <t>1129234656.0</t>
        </is>
      </c>
      <c r="O155" s="24" t="inlineStr">
        <is>
          <t>185292093.0</t>
        </is>
      </c>
      <c r="P155" s="24" t="inlineStr">
        <is>
          <t>KRW</t>
        </is>
      </c>
      <c r="Q155" s="24" t="inlineStr">
        <is>
          <t>9</t>
        </is>
      </c>
    </row>
    <row r="156" ht="24" customHeight="1">
      <c r="A156" s="29" t="inlineStr">
        <is>
          <t>OpenDART_fnlttSinglAcntAll</t>
        </is>
      </c>
      <c r="B156" s="29" t="inlineStr">
        <is>
          <t>00160843</t>
        </is>
      </c>
      <c r="C156" s="29" t="inlineStr">
        <is>
          <t>DB하이텍</t>
        </is>
      </c>
      <c r="D156" s="29" t="inlineStr">
        <is>
          <t>dbhitek</t>
        </is>
      </c>
      <c r="E156" s="29" t="inlineStr">
        <is>
          <t>000990</t>
        </is>
      </c>
      <c r="F156" s="29" t="inlineStr">
        <is>
          <t>2021</t>
        </is>
      </c>
      <c r="G156" s="29" t="inlineStr">
        <is>
          <t>CFS</t>
        </is>
      </c>
      <c r="H156" s="29" t="inlineStr">
        <is>
          <t>SCE</t>
        </is>
      </c>
      <c r="I156" s="29" t="inlineStr">
        <is>
          <t>자본변동표</t>
        </is>
      </c>
      <c r="J156" s="29" t="inlineStr">
        <is>
          <t>ifrs-full_Equity</t>
        </is>
      </c>
      <c r="K156" s="29" t="inlineStr">
        <is>
          <t>기말자본</t>
        </is>
      </c>
      <c r="L156" s="29" t="inlineStr">
        <is>
          <t>자본 [member]|지배기업의 소유주에게 귀속되는 자본 [member]|자본금 [member]</t>
        </is>
      </c>
      <c r="M156" s="29" t="inlineStr">
        <is>
          <t>제 69 기</t>
        </is>
      </c>
      <c r="N156" s="29" t="inlineStr">
        <is>
          <t>222555835000.0</t>
        </is>
      </c>
      <c r="O156" s="29" t="inlineStr">
        <is>
          <t>222555835000.0</t>
        </is>
      </c>
      <c r="P156" s="29" t="inlineStr">
        <is>
          <t>KRW</t>
        </is>
      </c>
      <c r="Q156" s="29" t="inlineStr">
        <is>
          <t>10</t>
        </is>
      </c>
    </row>
    <row r="157" ht="24" customHeight="1">
      <c r="A157" s="24" t="inlineStr">
        <is>
          <t>OpenDART_fnlttSinglAcntAll</t>
        </is>
      </c>
      <c r="B157" s="24" t="inlineStr">
        <is>
          <t>00160843</t>
        </is>
      </c>
      <c r="C157" s="24" t="inlineStr">
        <is>
          <t>DB하이텍</t>
        </is>
      </c>
      <c r="D157" s="24" t="inlineStr">
        <is>
          <t>dbhitek</t>
        </is>
      </c>
      <c r="E157" s="24" t="inlineStr">
        <is>
          <t>000990</t>
        </is>
      </c>
      <c r="F157" s="24" t="inlineStr">
        <is>
          <t>2021</t>
        </is>
      </c>
      <c r="G157" s="24" t="inlineStr">
        <is>
          <t>CFS</t>
        </is>
      </c>
      <c r="H157" s="24" t="inlineStr">
        <is>
          <t>SCE</t>
        </is>
      </c>
      <c r="I157" s="24" t="inlineStr">
        <is>
          <t>자본변동표</t>
        </is>
      </c>
      <c r="J157" s="24" t="inlineStr">
        <is>
          <t>ifrs-full_Equity</t>
        </is>
      </c>
      <c r="K157" s="24" t="inlineStr">
        <is>
          <t>기말자본</t>
        </is>
      </c>
      <c r="L157" s="24" t="inlineStr">
        <is>
          <t>자본 [member]|지배기업의 소유주에게 귀속되는 자본 [member]|이익잉여금 [member]</t>
        </is>
      </c>
      <c r="M157" s="24" t="inlineStr">
        <is>
          <t>제 69 기</t>
        </is>
      </c>
      <c r="N157" s="24" t="inlineStr">
        <is>
          <t>831968968093.0</t>
        </is>
      </c>
      <c r="O157" s="24" t="inlineStr">
        <is>
          <t>525382012788.0</t>
        </is>
      </c>
      <c r="P157" s="24" t="inlineStr">
        <is>
          <t>KRW</t>
        </is>
      </c>
      <c r="Q157" s="24" t="inlineStr">
        <is>
          <t>10</t>
        </is>
      </c>
    </row>
    <row r="158" ht="24" customHeight="1">
      <c r="A158" s="29" t="inlineStr">
        <is>
          <t>OpenDART_fnlttSinglAcntAll</t>
        </is>
      </c>
      <c r="B158" s="29" t="inlineStr">
        <is>
          <t>00160843</t>
        </is>
      </c>
      <c r="C158" s="29" t="inlineStr">
        <is>
          <t>DB하이텍</t>
        </is>
      </c>
      <c r="D158" s="29" t="inlineStr">
        <is>
          <t>dbhitek</t>
        </is>
      </c>
      <c r="E158" s="29" t="inlineStr">
        <is>
          <t>000990</t>
        </is>
      </c>
      <c r="F158" s="29" t="inlineStr">
        <is>
          <t>2021</t>
        </is>
      </c>
      <c r="G158" s="29" t="inlineStr">
        <is>
          <t>CFS</t>
        </is>
      </c>
      <c r="H158" s="29" t="inlineStr">
        <is>
          <t>SCE</t>
        </is>
      </c>
      <c r="I158" s="29" t="inlineStr">
        <is>
          <t>자본변동표</t>
        </is>
      </c>
      <c r="J158" s="29" t="inlineStr">
        <is>
          <t>ifrs-full_Equity</t>
        </is>
      </c>
      <c r="K158" s="29" t="inlineStr">
        <is>
          <t>기말자본</t>
        </is>
      </c>
      <c r="L158" s="29" t="inlineStr">
        <is>
          <t>자본 [member]|지배기업의 소유주에게 귀속되는 자본 [member]|기타자본구성요소 [member]</t>
        </is>
      </c>
      <c r="M158" s="29" t="inlineStr">
        <is>
          <t>제 69 기</t>
        </is>
      </c>
      <c r="N158" s="29" t="inlineStr">
        <is>
          <t>-75803373341.0</t>
        </is>
      </c>
      <c r="O158" s="29" t="inlineStr">
        <is>
          <t>-80681611505.0</t>
        </is>
      </c>
      <c r="P158" s="29" t="inlineStr">
        <is>
          <t>KRW</t>
        </is>
      </c>
      <c r="Q158" s="29" t="inlineStr">
        <is>
          <t>10</t>
        </is>
      </c>
    </row>
    <row r="159" ht="24" customHeight="1">
      <c r="A159" s="24" t="inlineStr">
        <is>
          <t>OpenDART_fnlttSinglAcntAll</t>
        </is>
      </c>
      <c r="B159" s="24" t="inlineStr">
        <is>
          <t>00160843</t>
        </is>
      </c>
      <c r="C159" s="24" t="inlineStr">
        <is>
          <t>DB하이텍</t>
        </is>
      </c>
      <c r="D159" s="24" t="inlineStr">
        <is>
          <t>dbhitek</t>
        </is>
      </c>
      <c r="E159" s="24" t="inlineStr">
        <is>
          <t>000990</t>
        </is>
      </c>
      <c r="F159" s="24" t="inlineStr">
        <is>
          <t>2021</t>
        </is>
      </c>
      <c r="G159" s="24" t="inlineStr">
        <is>
          <t>CFS</t>
        </is>
      </c>
      <c r="H159" s="24" t="inlineStr">
        <is>
          <t>SCE</t>
        </is>
      </c>
      <c r="I159" s="24" t="inlineStr">
        <is>
          <t>자본변동표</t>
        </is>
      </c>
      <c r="J159" s="24" t="inlineStr">
        <is>
          <t>ifrs-full_Equity</t>
        </is>
      </c>
      <c r="K159" s="24" t="inlineStr">
        <is>
          <t>기말자본</t>
        </is>
      </c>
      <c r="L159" s="24" t="inlineStr">
        <is>
          <t>자본 [member]|지배기업의 소유주에게 귀속되는 자본 [member]</t>
        </is>
      </c>
      <c r="M159" s="24" t="inlineStr">
        <is>
          <t>제 69 기</t>
        </is>
      </c>
      <c r="N159" s="24" t="inlineStr">
        <is>
          <t>1106049706046.0</t>
        </is>
      </c>
      <c r="O159" s="24" t="inlineStr">
        <is>
          <t>794584512577.0</t>
        </is>
      </c>
      <c r="P159" s="24" t="inlineStr">
        <is>
          <t>KRW</t>
        </is>
      </c>
      <c r="Q159" s="24" t="inlineStr">
        <is>
          <t>10</t>
        </is>
      </c>
    </row>
    <row r="160" ht="24" customHeight="1">
      <c r="A160" s="29" t="inlineStr">
        <is>
          <t>OpenDART_fnlttSinglAcntAll</t>
        </is>
      </c>
      <c r="B160" s="29" t="inlineStr">
        <is>
          <t>00160843</t>
        </is>
      </c>
      <c r="C160" s="29" t="inlineStr">
        <is>
          <t>DB하이텍</t>
        </is>
      </c>
      <c r="D160" s="29" t="inlineStr">
        <is>
          <t>dbhitek</t>
        </is>
      </c>
      <c r="E160" s="29" t="inlineStr">
        <is>
          <t>000990</t>
        </is>
      </c>
      <c r="F160" s="29" t="inlineStr">
        <is>
          <t>2021</t>
        </is>
      </c>
      <c r="G160" s="29" t="inlineStr">
        <is>
          <t>CFS</t>
        </is>
      </c>
      <c r="H160" s="29" t="inlineStr">
        <is>
          <t>SCE</t>
        </is>
      </c>
      <c r="I160" s="29" t="inlineStr">
        <is>
          <t>자본변동표</t>
        </is>
      </c>
      <c r="J160" s="29" t="inlineStr">
        <is>
          <t>ifrs-full_Equity</t>
        </is>
      </c>
      <c r="K160" s="29" t="inlineStr">
        <is>
          <t>기말자본</t>
        </is>
      </c>
      <c r="L160" s="29" t="inlineStr">
        <is>
          <t>연결재무제표 [member]</t>
        </is>
      </c>
      <c r="M160" s="29" t="inlineStr">
        <is>
          <t>제 69 기</t>
        </is>
      </c>
      <c r="N160" s="29" t="inlineStr">
        <is>
          <t>1106049706046.0</t>
        </is>
      </c>
      <c r="O160" s="29" t="inlineStr">
        <is>
          <t>794584512577.0</t>
        </is>
      </c>
      <c r="P160" s="29" t="inlineStr">
        <is>
          <t>KRW</t>
        </is>
      </c>
      <c r="Q160" s="29" t="inlineStr">
        <is>
          <t>10</t>
        </is>
      </c>
    </row>
    <row r="161" ht="24" customHeight="1">
      <c r="A161" s="24" t="inlineStr">
        <is>
          <t>OpenDART_fnlttSinglAcntAll</t>
        </is>
      </c>
      <c r="B161" s="24" t="inlineStr">
        <is>
          <t>00160843</t>
        </is>
      </c>
      <c r="C161" s="24" t="inlineStr">
        <is>
          <t>DB하이텍</t>
        </is>
      </c>
      <c r="D161" s="24" t="inlineStr">
        <is>
          <t>dbhitek</t>
        </is>
      </c>
      <c r="E161" s="24" t="inlineStr">
        <is>
          <t>000990</t>
        </is>
      </c>
      <c r="F161" s="24" t="inlineStr">
        <is>
          <t>2021</t>
        </is>
      </c>
      <c r="G161" s="24" t="inlineStr">
        <is>
          <t>CFS</t>
        </is>
      </c>
      <c r="H161" s="24" t="inlineStr">
        <is>
          <t>SCE</t>
        </is>
      </c>
      <c r="I161" s="24" t="inlineStr">
        <is>
          <t>자본변동표</t>
        </is>
      </c>
      <c r="J161" s="24" t="inlineStr">
        <is>
          <t>ifrs-full_Equity</t>
        </is>
      </c>
      <c r="K161" s="24" t="inlineStr">
        <is>
          <t>기말자본</t>
        </is>
      </c>
      <c r="L161" s="24" t="inlineStr">
        <is>
          <t>자본 [member]|지배기업의 소유주에게 귀속되는 자본 [member]|주식발행초과금</t>
        </is>
      </c>
      <c r="M161" s="24" t="inlineStr">
        <is>
          <t>제 69 기</t>
        </is>
      </c>
      <c r="N161" s="24" t="inlineStr">
        <is>
          <t>127328276294.0</t>
        </is>
      </c>
      <c r="O161" s="24" t="inlineStr">
        <is>
          <t>127328276294.0</t>
        </is>
      </c>
      <c r="P161" s="24" t="inlineStr">
        <is>
          <t>KRW</t>
        </is>
      </c>
      <c r="Q161" s="24" t="inlineStr">
        <is>
          <t>10</t>
        </is>
      </c>
    </row>
    <row r="162" ht="24" customHeight="1">
      <c r="A162" s="29" t="inlineStr">
        <is>
          <t>OpenDART_fnlttSinglAcntAll</t>
        </is>
      </c>
      <c r="B162" s="29" t="inlineStr">
        <is>
          <t>00160843</t>
        </is>
      </c>
      <c r="C162" s="29" t="inlineStr">
        <is>
          <t>DB하이텍</t>
        </is>
      </c>
      <c r="D162" s="29" t="inlineStr">
        <is>
          <t>dbhitek</t>
        </is>
      </c>
      <c r="E162" s="29" t="inlineStr">
        <is>
          <t>000990</t>
        </is>
      </c>
      <c r="F162" s="29" t="inlineStr">
        <is>
          <t>2022</t>
        </is>
      </c>
      <c r="G162" s="29" t="inlineStr">
        <is>
          <t>CFS</t>
        </is>
      </c>
      <c r="H162" s="29" t="inlineStr">
        <is>
          <t>BS</t>
        </is>
      </c>
      <c r="I162" s="29" t="inlineStr">
        <is>
          <t>재무상태표</t>
        </is>
      </c>
      <c r="J162" s="29" t="inlineStr">
        <is>
          <t>ifrs-full_CurrentAssets</t>
        </is>
      </c>
      <c r="K162" s="29" t="inlineStr">
        <is>
          <t>유동자산</t>
        </is>
      </c>
      <c r="L162" s="29" t="inlineStr">
        <is>
          <t>-</t>
        </is>
      </c>
      <c r="M162" s="29" t="inlineStr">
        <is>
          <t>제 70 기</t>
        </is>
      </c>
      <c r="N162" s="29" t="inlineStr">
        <is>
          <t>1327724119744.0</t>
        </is>
      </c>
      <c r="O162" s="29" t="inlineStr">
        <is>
          <t>815161899425.0</t>
        </is>
      </c>
      <c r="P162" s="29" t="inlineStr">
        <is>
          <t>KRW</t>
        </is>
      </c>
      <c r="Q162" s="29" t="inlineStr">
        <is>
          <t>1</t>
        </is>
      </c>
    </row>
    <row r="163" ht="24" customHeight="1">
      <c r="A163" s="24" t="inlineStr">
        <is>
          <t>OpenDART_fnlttSinglAcntAll</t>
        </is>
      </c>
      <c r="B163" s="24" t="inlineStr">
        <is>
          <t>00160843</t>
        </is>
      </c>
      <c r="C163" s="24" t="inlineStr">
        <is>
          <t>DB하이텍</t>
        </is>
      </c>
      <c r="D163" s="24" t="inlineStr">
        <is>
          <t>dbhitek</t>
        </is>
      </c>
      <c r="E163" s="24" t="inlineStr">
        <is>
          <t>000990</t>
        </is>
      </c>
      <c r="F163" s="24" t="inlineStr">
        <is>
          <t>2022</t>
        </is>
      </c>
      <c r="G163" s="24" t="inlineStr">
        <is>
          <t>CFS</t>
        </is>
      </c>
      <c r="H163" s="24" t="inlineStr">
        <is>
          <t>BS</t>
        </is>
      </c>
      <c r="I163" s="24" t="inlineStr">
        <is>
          <t>재무상태표</t>
        </is>
      </c>
      <c r="J163" s="24" t="inlineStr">
        <is>
          <t>ifrs-full_CashAndCashEquivalents</t>
        </is>
      </c>
      <c r="K163" s="24" t="inlineStr">
        <is>
          <t>현금및현금성자산</t>
        </is>
      </c>
      <c r="L163" s="24" t="inlineStr">
        <is>
          <t>-</t>
        </is>
      </c>
      <c r="M163" s="24" t="inlineStr">
        <is>
          <t>제 70 기</t>
        </is>
      </c>
      <c r="N163" s="24" t="inlineStr">
        <is>
          <t>151311289546.0</t>
        </is>
      </c>
      <c r="O163" s="24" t="inlineStr">
        <is>
          <t>183017846365.0</t>
        </is>
      </c>
      <c r="P163" s="24" t="inlineStr">
        <is>
          <t>KRW</t>
        </is>
      </c>
      <c r="Q163" s="24" t="inlineStr">
        <is>
          <t>2</t>
        </is>
      </c>
    </row>
    <row r="164" ht="24" customHeight="1">
      <c r="A164" s="29" t="inlineStr">
        <is>
          <t>OpenDART_fnlttSinglAcntAll</t>
        </is>
      </c>
      <c r="B164" s="29" t="inlineStr">
        <is>
          <t>00160843</t>
        </is>
      </c>
      <c r="C164" s="29" t="inlineStr">
        <is>
          <t>DB하이텍</t>
        </is>
      </c>
      <c r="D164" s="29" t="inlineStr">
        <is>
          <t>dbhitek</t>
        </is>
      </c>
      <c r="E164" s="29" t="inlineStr">
        <is>
          <t>000990</t>
        </is>
      </c>
      <c r="F164" s="29" t="inlineStr">
        <is>
          <t>2022</t>
        </is>
      </c>
      <c r="G164" s="29" t="inlineStr">
        <is>
          <t>CFS</t>
        </is>
      </c>
      <c r="H164" s="29" t="inlineStr">
        <is>
          <t>BS</t>
        </is>
      </c>
      <c r="I164" s="29" t="inlineStr">
        <is>
          <t>재무상태표</t>
        </is>
      </c>
      <c r="J164" s="29" t="inlineStr">
        <is>
          <t>dart_ShortTermDepositsNotClassifiedAsCashEquivalents</t>
        </is>
      </c>
      <c r="K164" s="29" t="inlineStr">
        <is>
          <t>단기금융상품</t>
        </is>
      </c>
      <c r="L164" s="29" t="inlineStr">
        <is>
          <t>-</t>
        </is>
      </c>
      <c r="M164" s="29" t="inlineStr">
        <is>
          <t>제 70 기</t>
        </is>
      </c>
      <c r="N164" s="29" t="inlineStr">
        <is>
          <t>603957314881.0</t>
        </is>
      </c>
      <c r="O164" s="29" t="inlineStr">
        <is>
          <t>184964046993.0</t>
        </is>
      </c>
      <c r="P164" s="29" t="inlineStr">
        <is>
          <t>KRW</t>
        </is>
      </c>
      <c r="Q164" s="29" t="inlineStr">
        <is>
          <t>3</t>
        </is>
      </c>
    </row>
    <row r="165" ht="24" customHeight="1">
      <c r="A165" s="24" t="inlineStr">
        <is>
          <t>OpenDART_fnlttSinglAcntAll</t>
        </is>
      </c>
      <c r="B165" s="24" t="inlineStr">
        <is>
          <t>00160843</t>
        </is>
      </c>
      <c r="C165" s="24" t="inlineStr">
        <is>
          <t>DB하이텍</t>
        </is>
      </c>
      <c r="D165" s="24" t="inlineStr">
        <is>
          <t>dbhitek</t>
        </is>
      </c>
      <c r="E165" s="24" t="inlineStr">
        <is>
          <t>000990</t>
        </is>
      </c>
      <c r="F165" s="24" t="inlineStr">
        <is>
          <t>2022</t>
        </is>
      </c>
      <c r="G165" s="24" t="inlineStr">
        <is>
          <t>CFS</t>
        </is>
      </c>
      <c r="H165" s="24" t="inlineStr">
        <is>
          <t>BS</t>
        </is>
      </c>
      <c r="I165" s="24" t="inlineStr">
        <is>
          <t>재무상태표</t>
        </is>
      </c>
      <c r="J165" s="24" t="inlineStr">
        <is>
          <t>ifrs-full_OtherCurrentFinancialAssets</t>
        </is>
      </c>
      <c r="K165" s="24" t="inlineStr">
        <is>
          <t>기타금융자산</t>
        </is>
      </c>
      <c r="L165" s="24" t="inlineStr">
        <is>
          <t>-</t>
        </is>
      </c>
      <c r="M165" s="24" t="inlineStr">
        <is>
          <t>제 70 기</t>
        </is>
      </c>
      <c r="N165" s="24" t="inlineStr">
        <is>
          <t>203138624082.0</t>
        </is>
      </c>
      <c r="O165" s="24" t="inlineStr">
        <is>
          <t>103735532595.0</t>
        </is>
      </c>
      <c r="P165" s="24" t="inlineStr">
        <is>
          <t>KRW</t>
        </is>
      </c>
      <c r="Q165" s="24" t="inlineStr">
        <is>
          <t>4</t>
        </is>
      </c>
    </row>
    <row r="166" ht="24" customHeight="1">
      <c r="A166" s="29" t="inlineStr">
        <is>
          <t>OpenDART_fnlttSinglAcntAll</t>
        </is>
      </c>
      <c r="B166" s="29" t="inlineStr">
        <is>
          <t>00160843</t>
        </is>
      </c>
      <c r="C166" s="29" t="inlineStr">
        <is>
          <t>DB하이텍</t>
        </is>
      </c>
      <c r="D166" s="29" t="inlineStr">
        <is>
          <t>dbhitek</t>
        </is>
      </c>
      <c r="E166" s="29" t="inlineStr">
        <is>
          <t>000990</t>
        </is>
      </c>
      <c r="F166" s="29" t="inlineStr">
        <is>
          <t>2022</t>
        </is>
      </c>
      <c r="G166" s="29" t="inlineStr">
        <is>
          <t>CFS</t>
        </is>
      </c>
      <c r="H166" s="29" t="inlineStr">
        <is>
          <t>BS</t>
        </is>
      </c>
      <c r="I166" s="29" t="inlineStr">
        <is>
          <t>재무상태표</t>
        </is>
      </c>
      <c r="J166" s="29" t="inlineStr">
        <is>
          <t>dart_ShortTermTradeReceivable</t>
        </is>
      </c>
      <c r="K166" s="29" t="inlineStr">
        <is>
          <t>매출채권</t>
        </is>
      </c>
      <c r="L166" s="29" t="inlineStr">
        <is>
          <t>-</t>
        </is>
      </c>
      <c r="M166" s="29" t="inlineStr">
        <is>
          <t>제 70 기</t>
        </is>
      </c>
      <c r="N166" s="29" t="inlineStr">
        <is>
          <t>122007611173.0</t>
        </is>
      </c>
      <c r="O166" s="29" t="inlineStr">
        <is>
          <t>134935586470.0</t>
        </is>
      </c>
      <c r="P166" s="29" t="inlineStr">
        <is>
          <t>KRW</t>
        </is>
      </c>
      <c r="Q166" s="29" t="inlineStr">
        <is>
          <t>5</t>
        </is>
      </c>
    </row>
    <row r="167" ht="24" customHeight="1">
      <c r="A167" s="24" t="inlineStr">
        <is>
          <t>OpenDART_fnlttSinglAcntAll</t>
        </is>
      </c>
      <c r="B167" s="24" t="inlineStr">
        <is>
          <t>00160843</t>
        </is>
      </c>
      <c r="C167" s="24" t="inlineStr">
        <is>
          <t>DB하이텍</t>
        </is>
      </c>
      <c r="D167" s="24" t="inlineStr">
        <is>
          <t>dbhitek</t>
        </is>
      </c>
      <c r="E167" s="24" t="inlineStr">
        <is>
          <t>000990</t>
        </is>
      </c>
      <c r="F167" s="24" t="inlineStr">
        <is>
          <t>2022</t>
        </is>
      </c>
      <c r="G167" s="24" t="inlineStr">
        <is>
          <t>CFS</t>
        </is>
      </c>
      <c r="H167" s="24" t="inlineStr">
        <is>
          <t>BS</t>
        </is>
      </c>
      <c r="I167" s="24" t="inlineStr">
        <is>
          <t>재무상태표</t>
        </is>
      </c>
      <c r="J167" s="24" t="inlineStr">
        <is>
          <t>ifrs-full_TradeAndOtherCurrentReceivables</t>
        </is>
      </c>
      <c r="K167" s="24" t="inlineStr">
        <is>
          <t>기타채권</t>
        </is>
      </c>
      <c r="L167" s="24" t="inlineStr">
        <is>
          <t>-</t>
        </is>
      </c>
      <c r="M167" s="24" t="inlineStr">
        <is>
          <t>제 70 기</t>
        </is>
      </c>
      <c r="N167" s="24" t="inlineStr">
        <is>
          <t>19663649628.0</t>
        </is>
      </c>
      <c r="O167" s="24" t="inlineStr">
        <is>
          <t>9410202074.0</t>
        </is>
      </c>
      <c r="P167" s="24" t="inlineStr">
        <is>
          <t>KRW</t>
        </is>
      </c>
      <c r="Q167" s="24" t="inlineStr">
        <is>
          <t>6</t>
        </is>
      </c>
    </row>
    <row r="168" ht="24" customHeight="1">
      <c r="A168" s="29" t="inlineStr">
        <is>
          <t>OpenDART_fnlttSinglAcntAll</t>
        </is>
      </c>
      <c r="B168" s="29" t="inlineStr">
        <is>
          <t>00160843</t>
        </is>
      </c>
      <c r="C168" s="29" t="inlineStr">
        <is>
          <t>DB하이텍</t>
        </is>
      </c>
      <c r="D168" s="29" t="inlineStr">
        <is>
          <t>dbhitek</t>
        </is>
      </c>
      <c r="E168" s="29" t="inlineStr">
        <is>
          <t>000990</t>
        </is>
      </c>
      <c r="F168" s="29" t="inlineStr">
        <is>
          <t>2022</t>
        </is>
      </c>
      <c r="G168" s="29" t="inlineStr">
        <is>
          <t>CFS</t>
        </is>
      </c>
      <c r="H168" s="29" t="inlineStr">
        <is>
          <t>BS</t>
        </is>
      </c>
      <c r="I168" s="29" t="inlineStr">
        <is>
          <t>재무상태표</t>
        </is>
      </c>
      <c r="J168" s="29" t="inlineStr">
        <is>
          <t>dart_ShortTermDueFromCustomersForContractWork</t>
        </is>
      </c>
      <c r="K168" s="29" t="inlineStr">
        <is>
          <t>미청구공사</t>
        </is>
      </c>
      <c r="L168" s="29" t="inlineStr">
        <is>
          <t>-</t>
        </is>
      </c>
      <c r="M168" s="29" t="inlineStr">
        <is>
          <t>제 70 기</t>
        </is>
      </c>
      <c r="N168" s="29" t="inlineStr">
        <is>
          <t>134661107129.0</t>
        </is>
      </c>
      <c r="O168" s="29" t="inlineStr">
        <is>
          <t>113546285955.0</t>
        </is>
      </c>
      <c r="P168" s="29" t="inlineStr">
        <is>
          <t>KRW</t>
        </is>
      </c>
      <c r="Q168" s="29" t="inlineStr">
        <is>
          <t>7</t>
        </is>
      </c>
    </row>
    <row r="169" ht="24" customHeight="1">
      <c r="A169" s="24" t="inlineStr">
        <is>
          <t>OpenDART_fnlttSinglAcntAll</t>
        </is>
      </c>
      <c r="B169" s="24" t="inlineStr">
        <is>
          <t>00160843</t>
        </is>
      </c>
      <c r="C169" s="24" t="inlineStr">
        <is>
          <t>DB하이텍</t>
        </is>
      </c>
      <c r="D169" s="24" t="inlineStr">
        <is>
          <t>dbhitek</t>
        </is>
      </c>
      <c r="E169" s="24" t="inlineStr">
        <is>
          <t>000990</t>
        </is>
      </c>
      <c r="F169" s="24" t="inlineStr">
        <is>
          <t>2022</t>
        </is>
      </c>
      <c r="G169" s="24" t="inlineStr">
        <is>
          <t>CFS</t>
        </is>
      </c>
      <c r="H169" s="24" t="inlineStr">
        <is>
          <t>BS</t>
        </is>
      </c>
      <c r="I169" s="24" t="inlineStr">
        <is>
          <t>재무상태표</t>
        </is>
      </c>
      <c r="J169" s="24" t="inlineStr">
        <is>
          <t>ifrs-full_Inventories</t>
        </is>
      </c>
      <c r="K169" s="24" t="inlineStr">
        <is>
          <t>재고자산</t>
        </is>
      </c>
      <c r="L169" s="24" t="inlineStr">
        <is>
          <t>-</t>
        </is>
      </c>
      <c r="M169" s="24" t="inlineStr">
        <is>
          <t>제 70 기</t>
        </is>
      </c>
      <c r="N169" s="24" t="inlineStr">
        <is>
          <t>73768604576.0</t>
        </is>
      </c>
      <c r="O169" s="24" t="inlineStr">
        <is>
          <t>66017137668.0</t>
        </is>
      </c>
      <c r="P169" s="24" t="inlineStr">
        <is>
          <t>KRW</t>
        </is>
      </c>
      <c r="Q169" s="24" t="inlineStr">
        <is>
          <t>8</t>
        </is>
      </c>
    </row>
    <row r="170" ht="24" customHeight="1">
      <c r="A170" s="29" t="inlineStr">
        <is>
          <t>OpenDART_fnlttSinglAcntAll</t>
        </is>
      </c>
      <c r="B170" s="29" t="inlineStr">
        <is>
          <t>00160843</t>
        </is>
      </c>
      <c r="C170" s="29" t="inlineStr">
        <is>
          <t>DB하이텍</t>
        </is>
      </c>
      <c r="D170" s="29" t="inlineStr">
        <is>
          <t>dbhitek</t>
        </is>
      </c>
      <c r="E170" s="29" t="inlineStr">
        <is>
          <t>000990</t>
        </is>
      </c>
      <c r="F170" s="29" t="inlineStr">
        <is>
          <t>2022</t>
        </is>
      </c>
      <c r="G170" s="29" t="inlineStr">
        <is>
          <t>CFS</t>
        </is>
      </c>
      <c r="H170" s="29" t="inlineStr">
        <is>
          <t>BS</t>
        </is>
      </c>
      <c r="I170" s="29" t="inlineStr">
        <is>
          <t>재무상태표</t>
        </is>
      </c>
      <c r="J170" s="29" t="inlineStr">
        <is>
          <t>dart_OtherCurrentAssets</t>
        </is>
      </c>
      <c r="K170" s="29" t="inlineStr">
        <is>
          <t>기타유동자산</t>
        </is>
      </c>
      <c r="L170" s="29" t="inlineStr">
        <is>
          <t>-</t>
        </is>
      </c>
      <c r="M170" s="29" t="inlineStr">
        <is>
          <t>제 70 기</t>
        </is>
      </c>
      <c r="N170" s="29" t="inlineStr">
        <is>
          <t>19215918729.0</t>
        </is>
      </c>
      <c r="O170" s="29" t="inlineStr">
        <is>
          <t>19535261305.0</t>
        </is>
      </c>
      <c r="P170" s="29" t="inlineStr">
        <is>
          <t>KRW</t>
        </is>
      </c>
      <c r="Q170" s="29" t="inlineStr">
        <is>
          <t>9</t>
        </is>
      </c>
    </row>
    <row r="171" ht="24" customHeight="1">
      <c r="A171" s="24" t="inlineStr">
        <is>
          <t>OpenDART_fnlttSinglAcntAll</t>
        </is>
      </c>
      <c r="B171" s="24" t="inlineStr">
        <is>
          <t>00160843</t>
        </is>
      </c>
      <c r="C171" s="24" t="inlineStr">
        <is>
          <t>DB하이텍</t>
        </is>
      </c>
      <c r="D171" s="24" t="inlineStr">
        <is>
          <t>dbhitek</t>
        </is>
      </c>
      <c r="E171" s="24" t="inlineStr">
        <is>
          <t>000990</t>
        </is>
      </c>
      <c r="F171" s="24" t="inlineStr">
        <is>
          <t>2022</t>
        </is>
      </c>
      <c r="G171" s="24" t="inlineStr">
        <is>
          <t>CFS</t>
        </is>
      </c>
      <c r="H171" s="24" t="inlineStr">
        <is>
          <t>BS</t>
        </is>
      </c>
      <c r="I171" s="24" t="inlineStr">
        <is>
          <t>재무상태표</t>
        </is>
      </c>
      <c r="J171" s="24" t="inlineStr">
        <is>
          <t>ifrs-full_NoncurrentAssets</t>
        </is>
      </c>
      <c r="K171" s="24" t="inlineStr">
        <is>
          <t>비유동자산</t>
        </is>
      </c>
      <c r="L171" s="24" t="inlineStr">
        <is>
          <t>-</t>
        </is>
      </c>
      <c r="M171" s="24" t="inlineStr">
        <is>
          <t>제 70 기</t>
        </is>
      </c>
      <c r="N171" s="24" t="inlineStr">
        <is>
          <t>794976355064.0</t>
        </is>
      </c>
      <c r="O171" s="24" t="inlineStr">
        <is>
          <t>734775996429.0</t>
        </is>
      </c>
      <c r="P171" s="24" t="inlineStr">
        <is>
          <t>KRW</t>
        </is>
      </c>
      <c r="Q171" s="24" t="inlineStr">
        <is>
          <t>10</t>
        </is>
      </c>
    </row>
    <row r="172" ht="24" customHeight="1">
      <c r="A172" s="29" t="inlineStr">
        <is>
          <t>OpenDART_fnlttSinglAcntAll</t>
        </is>
      </c>
      <c r="B172" s="29" t="inlineStr">
        <is>
          <t>00160843</t>
        </is>
      </c>
      <c r="C172" s="29" t="inlineStr">
        <is>
          <t>DB하이텍</t>
        </is>
      </c>
      <c r="D172" s="29" t="inlineStr">
        <is>
          <t>dbhitek</t>
        </is>
      </c>
      <c r="E172" s="29" t="inlineStr">
        <is>
          <t>000990</t>
        </is>
      </c>
      <c r="F172" s="29" t="inlineStr">
        <is>
          <t>2022</t>
        </is>
      </c>
      <c r="G172" s="29" t="inlineStr">
        <is>
          <t>CFS</t>
        </is>
      </c>
      <c r="H172" s="29" t="inlineStr">
        <is>
          <t>BS</t>
        </is>
      </c>
      <c r="I172" s="29" t="inlineStr">
        <is>
          <t>재무상태표</t>
        </is>
      </c>
      <c r="J172" s="29" t="inlineStr">
        <is>
          <t>dart_LongTermDepositsNotClassifiedAsCashEquivalents</t>
        </is>
      </c>
      <c r="K172" s="29" t="inlineStr">
        <is>
          <t>장기금융자산</t>
        </is>
      </c>
      <c r="L172" s="29" t="inlineStr">
        <is>
          <t>-</t>
        </is>
      </c>
      <c r="M172" s="29" t="inlineStr">
        <is>
          <t>제 70 기</t>
        </is>
      </c>
      <c r="N172" s="29" t="inlineStr">
        <is>
          <t>92933575.0</t>
        </is>
      </c>
      <c r="O172" s="29" t="inlineStr">
        <is>
          <t>89930035.0</t>
        </is>
      </c>
      <c r="P172" s="29" t="inlineStr">
        <is>
          <t>KRW</t>
        </is>
      </c>
      <c r="Q172" s="29" t="inlineStr">
        <is>
          <t>11</t>
        </is>
      </c>
    </row>
    <row r="173" ht="24" customHeight="1">
      <c r="A173" s="24" t="inlineStr">
        <is>
          <t>OpenDART_fnlttSinglAcntAll</t>
        </is>
      </c>
      <c r="B173" s="24" t="inlineStr">
        <is>
          <t>00160843</t>
        </is>
      </c>
      <c r="C173" s="24" t="inlineStr">
        <is>
          <t>DB하이텍</t>
        </is>
      </c>
      <c r="D173" s="24" t="inlineStr">
        <is>
          <t>dbhitek</t>
        </is>
      </c>
      <c r="E173" s="24" t="inlineStr">
        <is>
          <t>000990</t>
        </is>
      </c>
      <c r="F173" s="24" t="inlineStr">
        <is>
          <t>2022</t>
        </is>
      </c>
      <c r="G173" s="24" t="inlineStr">
        <is>
          <t>CFS</t>
        </is>
      </c>
      <c r="H173" s="24" t="inlineStr">
        <is>
          <t>BS</t>
        </is>
      </c>
      <c r="I173" s="24" t="inlineStr">
        <is>
          <t>재무상태표</t>
        </is>
      </c>
      <c r="J173" s="24" t="inlineStr">
        <is>
          <t>dart_LongTermTradeAndOtherNonCurrentReceivablesGross</t>
        </is>
      </c>
      <c r="K173" s="24" t="inlineStr">
        <is>
          <t>장기기타채권</t>
        </is>
      </c>
      <c r="L173" s="24" t="inlineStr">
        <is>
          <t>-</t>
        </is>
      </c>
      <c r="M173" s="24" t="inlineStr">
        <is>
          <t>제 70 기</t>
        </is>
      </c>
      <c r="N173" s="24" t="inlineStr">
        <is>
          <t>2215947960.0</t>
        </is>
      </c>
      <c r="O173" s="24" t="inlineStr">
        <is>
          <t>1508859052.0</t>
        </is>
      </c>
      <c r="P173" s="24" t="inlineStr">
        <is>
          <t>KRW</t>
        </is>
      </c>
      <c r="Q173" s="24" t="inlineStr">
        <is>
          <t>12</t>
        </is>
      </c>
    </row>
    <row r="174" ht="24" customHeight="1">
      <c r="A174" s="29" t="inlineStr">
        <is>
          <t>OpenDART_fnlttSinglAcntAll</t>
        </is>
      </c>
      <c r="B174" s="29" t="inlineStr">
        <is>
          <t>00160843</t>
        </is>
      </c>
      <c r="C174" s="29" t="inlineStr">
        <is>
          <t>DB하이텍</t>
        </is>
      </c>
      <c r="D174" s="29" t="inlineStr">
        <is>
          <t>dbhitek</t>
        </is>
      </c>
      <c r="E174" s="29" t="inlineStr">
        <is>
          <t>000990</t>
        </is>
      </c>
      <c r="F174" s="29" t="inlineStr">
        <is>
          <t>2022</t>
        </is>
      </c>
      <c r="G174" s="29" t="inlineStr">
        <is>
          <t>CFS</t>
        </is>
      </c>
      <c r="H174" s="29" t="inlineStr">
        <is>
          <t>BS</t>
        </is>
      </c>
      <c r="I174" s="29" t="inlineStr">
        <is>
          <t>재무상태표</t>
        </is>
      </c>
      <c r="J174" s="29" t="inlineStr">
        <is>
          <t>ifrs-full_NoncurrentFinancialAssetsMeasuredAtFairValueThroughOtherComprehensiveIncome</t>
        </is>
      </c>
      <c r="K174" s="29" t="inlineStr">
        <is>
          <t>기타포괄손익-공정가치 측정 금융자산</t>
        </is>
      </c>
      <c r="L174" s="29" t="inlineStr">
        <is>
          <t>-</t>
        </is>
      </c>
      <c r="M174" s="29" t="inlineStr">
        <is>
          <t>제 70 기</t>
        </is>
      </c>
      <c r="N174" s="29" t="inlineStr">
        <is>
          <t>8855728771.0</t>
        </is>
      </c>
      <c r="O174" s="29" t="inlineStr">
        <is>
          <t>12169909396.0</t>
        </is>
      </c>
      <c r="P174" s="29" t="inlineStr">
        <is>
          <t>KRW</t>
        </is>
      </c>
      <c r="Q174" s="29" t="inlineStr">
        <is>
          <t>13</t>
        </is>
      </c>
    </row>
    <row r="175" ht="24" customHeight="1">
      <c r="A175" s="24" t="inlineStr">
        <is>
          <t>OpenDART_fnlttSinglAcntAll</t>
        </is>
      </c>
      <c r="B175" s="24" t="inlineStr">
        <is>
          <t>00160843</t>
        </is>
      </c>
      <c r="C175" s="24" t="inlineStr">
        <is>
          <t>DB하이텍</t>
        </is>
      </c>
      <c r="D175" s="24" t="inlineStr">
        <is>
          <t>dbhitek</t>
        </is>
      </c>
      <c r="E175" s="24" t="inlineStr">
        <is>
          <t>000990</t>
        </is>
      </c>
      <c r="F175" s="24" t="inlineStr">
        <is>
          <t>2022</t>
        </is>
      </c>
      <c r="G175" s="24" t="inlineStr">
        <is>
          <t>CFS</t>
        </is>
      </c>
      <c r="H175" s="24" t="inlineStr">
        <is>
          <t>BS</t>
        </is>
      </c>
      <c r="I175" s="24" t="inlineStr">
        <is>
          <t>재무상태표</t>
        </is>
      </c>
      <c r="J175" s="24" t="inlineStr">
        <is>
          <t>ifrs-full_InvestmentsInAssociates</t>
        </is>
      </c>
      <c r="K175" s="24" t="inlineStr">
        <is>
          <t>종속기업및관계기업투자</t>
        </is>
      </c>
      <c r="L175" s="24" t="inlineStr">
        <is>
          <t>-</t>
        </is>
      </c>
      <c r="M175" s="24" t="inlineStr">
        <is>
          <t>제 70 기</t>
        </is>
      </c>
      <c r="N175" s="24" t="inlineStr">
        <is>
          <t>8898470305.0</t>
        </is>
      </c>
      <c r="O175" s="24" t="inlineStr">
        <is>
          <t>29895071381.0</t>
        </is>
      </c>
      <c r="P175" s="24" t="inlineStr">
        <is>
          <t>KRW</t>
        </is>
      </c>
      <c r="Q175" s="24" t="inlineStr">
        <is>
          <t>14</t>
        </is>
      </c>
    </row>
    <row r="176" ht="24" customHeight="1">
      <c r="A176" s="29" t="inlineStr">
        <is>
          <t>OpenDART_fnlttSinglAcntAll</t>
        </is>
      </c>
      <c r="B176" s="29" t="inlineStr">
        <is>
          <t>00160843</t>
        </is>
      </c>
      <c r="C176" s="29" t="inlineStr">
        <is>
          <t>DB하이텍</t>
        </is>
      </c>
      <c r="D176" s="29" t="inlineStr">
        <is>
          <t>dbhitek</t>
        </is>
      </c>
      <c r="E176" s="29" t="inlineStr">
        <is>
          <t>000990</t>
        </is>
      </c>
      <c r="F176" s="29" t="inlineStr">
        <is>
          <t>2022</t>
        </is>
      </c>
      <c r="G176" s="29" t="inlineStr">
        <is>
          <t>CFS</t>
        </is>
      </c>
      <c r="H176" s="29" t="inlineStr">
        <is>
          <t>BS</t>
        </is>
      </c>
      <c r="I176" s="29" t="inlineStr">
        <is>
          <t>재무상태표</t>
        </is>
      </c>
      <c r="J176" s="29" t="inlineStr">
        <is>
          <t>ifrs-full_PropertyPlantAndEquipment</t>
        </is>
      </c>
      <c r="K176" s="29" t="inlineStr">
        <is>
          <t>유형자산</t>
        </is>
      </c>
      <c r="L176" s="29" t="inlineStr">
        <is>
          <t>-</t>
        </is>
      </c>
      <c r="M176" s="29" t="inlineStr">
        <is>
          <t>제 70 기</t>
        </is>
      </c>
      <c r="N176" s="29" t="inlineStr">
        <is>
          <t>737891093716.0</t>
        </is>
      </c>
      <c r="O176" s="29" t="inlineStr">
        <is>
          <t>657794904547.0</t>
        </is>
      </c>
      <c r="P176" s="29" t="inlineStr">
        <is>
          <t>KRW</t>
        </is>
      </c>
      <c r="Q176" s="29" t="inlineStr">
        <is>
          <t>15</t>
        </is>
      </c>
    </row>
    <row r="177" ht="24" customHeight="1">
      <c r="A177" s="24" t="inlineStr">
        <is>
          <t>OpenDART_fnlttSinglAcntAll</t>
        </is>
      </c>
      <c r="B177" s="24" t="inlineStr">
        <is>
          <t>00160843</t>
        </is>
      </c>
      <c r="C177" s="24" t="inlineStr">
        <is>
          <t>DB하이텍</t>
        </is>
      </c>
      <c r="D177" s="24" t="inlineStr">
        <is>
          <t>dbhitek</t>
        </is>
      </c>
      <c r="E177" s="24" t="inlineStr">
        <is>
          <t>000990</t>
        </is>
      </c>
      <c r="F177" s="24" t="inlineStr">
        <is>
          <t>2022</t>
        </is>
      </c>
      <c r="G177" s="24" t="inlineStr">
        <is>
          <t>CFS</t>
        </is>
      </c>
      <c r="H177" s="24" t="inlineStr">
        <is>
          <t>BS</t>
        </is>
      </c>
      <c r="I177" s="24" t="inlineStr">
        <is>
          <t>재무상태표</t>
        </is>
      </c>
      <c r="J177" s="24" t="inlineStr">
        <is>
          <t>ifrs-full_IntangibleAssetsOtherThanGoodwill</t>
        </is>
      </c>
      <c r="K177" s="24" t="inlineStr">
        <is>
          <t>무형자산</t>
        </is>
      </c>
      <c r="L177" s="24" t="inlineStr">
        <is>
          <t>-</t>
        </is>
      </c>
      <c r="M177" s="24" t="inlineStr">
        <is>
          <t>제 70 기</t>
        </is>
      </c>
      <c r="N177" s="24" t="inlineStr">
        <is>
          <t>18370913452.0</t>
        </is>
      </c>
      <c r="O177" s="24" t="inlineStr">
        <is>
          <t>19259609957.0</t>
        </is>
      </c>
      <c r="P177" s="24" t="inlineStr">
        <is>
          <t>KRW</t>
        </is>
      </c>
      <c r="Q177" s="24" t="inlineStr">
        <is>
          <t>16</t>
        </is>
      </c>
    </row>
    <row r="178" ht="24" customHeight="1">
      <c r="A178" s="29" t="inlineStr">
        <is>
          <t>OpenDART_fnlttSinglAcntAll</t>
        </is>
      </c>
      <c r="B178" s="29" t="inlineStr">
        <is>
          <t>00160843</t>
        </is>
      </c>
      <c r="C178" s="29" t="inlineStr">
        <is>
          <t>DB하이텍</t>
        </is>
      </c>
      <c r="D178" s="29" t="inlineStr">
        <is>
          <t>dbhitek</t>
        </is>
      </c>
      <c r="E178" s="29" t="inlineStr">
        <is>
          <t>000990</t>
        </is>
      </c>
      <c r="F178" s="29" t="inlineStr">
        <is>
          <t>2022</t>
        </is>
      </c>
      <c r="G178" s="29" t="inlineStr">
        <is>
          <t>CFS</t>
        </is>
      </c>
      <c r="H178" s="29" t="inlineStr">
        <is>
          <t>BS</t>
        </is>
      </c>
      <c r="I178" s="29" t="inlineStr">
        <is>
          <t>재무상태표</t>
        </is>
      </c>
      <c r="J178" s="29" t="inlineStr">
        <is>
          <t>-표준계정코드 미사용-</t>
        </is>
      </c>
      <c r="K178" s="29" t="inlineStr">
        <is>
          <t>순확정급여자산</t>
        </is>
      </c>
      <c r="L178" s="29" t="inlineStr">
        <is>
          <t>-</t>
        </is>
      </c>
      <c r="M178" s="29" t="inlineStr">
        <is>
          <t>제 70 기</t>
        </is>
      </c>
      <c r="N178" s="29" t="inlineStr">
        <is>
          <t>10778605181.0</t>
        </is>
      </c>
      <c r="O178" s="29" t="inlineStr">
        <is>
          <t>834108929.0</t>
        </is>
      </c>
      <c r="P178" s="29" t="inlineStr">
        <is>
          <t>KRW</t>
        </is>
      </c>
      <c r="Q178" s="29" t="inlineStr">
        <is>
          <t>17</t>
        </is>
      </c>
    </row>
    <row r="179" ht="24" customHeight="1">
      <c r="A179" s="24" t="inlineStr">
        <is>
          <t>OpenDART_fnlttSinglAcntAll</t>
        </is>
      </c>
      <c r="B179" s="24" t="inlineStr">
        <is>
          <t>00160843</t>
        </is>
      </c>
      <c r="C179" s="24" t="inlineStr">
        <is>
          <t>DB하이텍</t>
        </is>
      </c>
      <c r="D179" s="24" t="inlineStr">
        <is>
          <t>dbhitek</t>
        </is>
      </c>
      <c r="E179" s="24" t="inlineStr">
        <is>
          <t>000990</t>
        </is>
      </c>
      <c r="F179" s="24" t="inlineStr">
        <is>
          <t>2022</t>
        </is>
      </c>
      <c r="G179" s="24" t="inlineStr">
        <is>
          <t>CFS</t>
        </is>
      </c>
      <c r="H179" s="24" t="inlineStr">
        <is>
          <t>BS</t>
        </is>
      </c>
      <c r="I179" s="24" t="inlineStr">
        <is>
          <t>재무상태표</t>
        </is>
      </c>
      <c r="J179" s="24" t="inlineStr">
        <is>
          <t>dart_OtherNonCurrentAssets</t>
        </is>
      </c>
      <c r="K179" s="24" t="inlineStr">
        <is>
          <t>기타비유동자산</t>
        </is>
      </c>
      <c r="L179" s="24" t="inlineStr">
        <is>
          <t>-</t>
        </is>
      </c>
      <c r="M179" s="24" t="inlineStr">
        <is>
          <t>제 70 기</t>
        </is>
      </c>
      <c r="N179" s="24" t="inlineStr">
        <is>
          <t>3364861140.0</t>
        </is>
      </c>
      <c r="O179" s="24" t="inlineStr">
        <is>
          <t>2479867451.0</t>
        </is>
      </c>
      <c r="P179" s="24" t="inlineStr">
        <is>
          <t>KRW</t>
        </is>
      </c>
      <c r="Q179" s="24" t="inlineStr">
        <is>
          <t>18</t>
        </is>
      </c>
    </row>
    <row r="180" ht="24" customHeight="1">
      <c r="A180" s="29" t="inlineStr">
        <is>
          <t>OpenDART_fnlttSinglAcntAll</t>
        </is>
      </c>
      <c r="B180" s="29" t="inlineStr">
        <is>
          <t>00160843</t>
        </is>
      </c>
      <c r="C180" s="29" t="inlineStr">
        <is>
          <t>DB하이텍</t>
        </is>
      </c>
      <c r="D180" s="29" t="inlineStr">
        <is>
          <t>dbhitek</t>
        </is>
      </c>
      <c r="E180" s="29" t="inlineStr">
        <is>
          <t>000990</t>
        </is>
      </c>
      <c r="F180" s="29" t="inlineStr">
        <is>
          <t>2022</t>
        </is>
      </c>
      <c r="G180" s="29" t="inlineStr">
        <is>
          <t>CFS</t>
        </is>
      </c>
      <c r="H180" s="29" t="inlineStr">
        <is>
          <t>BS</t>
        </is>
      </c>
      <c r="I180" s="29" t="inlineStr">
        <is>
          <t>재무상태표</t>
        </is>
      </c>
      <c r="J180" s="29" t="inlineStr">
        <is>
          <t>ifrs-full_DeferredTaxAssets</t>
        </is>
      </c>
      <c r="K180" s="29" t="inlineStr">
        <is>
          <t>이연법인세자산</t>
        </is>
      </c>
      <c r="L180" s="29" t="inlineStr">
        <is>
          <t>-</t>
        </is>
      </c>
      <c r="M180" s="29" t="inlineStr">
        <is>
          <t>제 70 기</t>
        </is>
      </c>
      <c r="N180" s="29" t="inlineStr">
        <is>
          <t>4507800964.0</t>
        </is>
      </c>
      <c r="O180" s="29" t="inlineStr">
        <is>
          <t>10743735681.0</t>
        </is>
      </c>
      <c r="P180" s="29" t="inlineStr">
        <is>
          <t>KRW</t>
        </is>
      </c>
      <c r="Q180" s="29" t="inlineStr">
        <is>
          <t>19</t>
        </is>
      </c>
    </row>
    <row r="181" ht="24" customHeight="1">
      <c r="A181" s="24" t="inlineStr">
        <is>
          <t>OpenDART_fnlttSinglAcntAll</t>
        </is>
      </c>
      <c r="B181" s="24" t="inlineStr">
        <is>
          <t>00160843</t>
        </is>
      </c>
      <c r="C181" s="24" t="inlineStr">
        <is>
          <t>DB하이텍</t>
        </is>
      </c>
      <c r="D181" s="24" t="inlineStr">
        <is>
          <t>dbhitek</t>
        </is>
      </c>
      <c r="E181" s="24" t="inlineStr">
        <is>
          <t>000990</t>
        </is>
      </c>
      <c r="F181" s="24" t="inlineStr">
        <is>
          <t>2022</t>
        </is>
      </c>
      <c r="G181" s="24" t="inlineStr">
        <is>
          <t>CFS</t>
        </is>
      </c>
      <c r="H181" s="24" t="inlineStr">
        <is>
          <t>BS</t>
        </is>
      </c>
      <c r="I181" s="24" t="inlineStr">
        <is>
          <t>재무상태표</t>
        </is>
      </c>
      <c r="J181" s="24" t="inlineStr">
        <is>
          <t>ifrs-full_Assets</t>
        </is>
      </c>
      <c r="K181" s="24" t="inlineStr">
        <is>
          <t>자산총계</t>
        </is>
      </c>
      <c r="L181" s="24" t="inlineStr">
        <is>
          <t>-</t>
        </is>
      </c>
      <c r="M181" s="24" t="inlineStr">
        <is>
          <t>제 70 기</t>
        </is>
      </c>
      <c r="N181" s="24" t="inlineStr">
        <is>
          <t>2122700474808.0</t>
        </is>
      </c>
      <c r="O181" s="24" t="inlineStr">
        <is>
          <t>1549937895854.0</t>
        </is>
      </c>
      <c r="P181" s="24" t="inlineStr">
        <is>
          <t>KRW</t>
        </is>
      </c>
      <c r="Q181" s="24" t="inlineStr">
        <is>
          <t>20</t>
        </is>
      </c>
    </row>
    <row r="182" ht="24" customHeight="1">
      <c r="A182" s="29" t="inlineStr">
        <is>
          <t>OpenDART_fnlttSinglAcntAll</t>
        </is>
      </c>
      <c r="B182" s="29" t="inlineStr">
        <is>
          <t>00160843</t>
        </is>
      </c>
      <c r="C182" s="29" t="inlineStr">
        <is>
          <t>DB하이텍</t>
        </is>
      </c>
      <c r="D182" s="29" t="inlineStr">
        <is>
          <t>dbhitek</t>
        </is>
      </c>
      <c r="E182" s="29" t="inlineStr">
        <is>
          <t>000990</t>
        </is>
      </c>
      <c r="F182" s="29" t="inlineStr">
        <is>
          <t>2022</t>
        </is>
      </c>
      <c r="G182" s="29" t="inlineStr">
        <is>
          <t>CFS</t>
        </is>
      </c>
      <c r="H182" s="29" t="inlineStr">
        <is>
          <t>BS</t>
        </is>
      </c>
      <c r="I182" s="29" t="inlineStr">
        <is>
          <t>재무상태표</t>
        </is>
      </c>
      <c r="J182" s="29" t="inlineStr">
        <is>
          <t>ifrs-full_CurrentLiabilities</t>
        </is>
      </c>
      <c r="K182" s="29" t="inlineStr">
        <is>
          <t>유동부채</t>
        </is>
      </c>
      <c r="L182" s="29" t="inlineStr">
        <is>
          <t>-</t>
        </is>
      </c>
      <c r="M182" s="29" t="inlineStr">
        <is>
          <t>제 70 기</t>
        </is>
      </c>
      <c r="N182" s="29" t="inlineStr">
        <is>
          <t>404353962296.0</t>
        </is>
      </c>
      <c r="O182" s="29" t="inlineStr">
        <is>
          <t>335336853432.0</t>
        </is>
      </c>
      <c r="P182" s="29" t="inlineStr">
        <is>
          <t>KRW</t>
        </is>
      </c>
      <c r="Q182" s="29" t="inlineStr">
        <is>
          <t>22</t>
        </is>
      </c>
    </row>
    <row r="183" ht="24" customHeight="1">
      <c r="A183" s="24" t="inlineStr">
        <is>
          <t>OpenDART_fnlttSinglAcntAll</t>
        </is>
      </c>
      <c r="B183" s="24" t="inlineStr">
        <is>
          <t>00160843</t>
        </is>
      </c>
      <c r="C183" s="24" t="inlineStr">
        <is>
          <t>DB하이텍</t>
        </is>
      </c>
      <c r="D183" s="24" t="inlineStr">
        <is>
          <t>dbhitek</t>
        </is>
      </c>
      <c r="E183" s="24" t="inlineStr">
        <is>
          <t>000990</t>
        </is>
      </c>
      <c r="F183" s="24" t="inlineStr">
        <is>
          <t>2022</t>
        </is>
      </c>
      <c r="G183" s="24" t="inlineStr">
        <is>
          <t>CFS</t>
        </is>
      </c>
      <c r="H183" s="24" t="inlineStr">
        <is>
          <t>BS</t>
        </is>
      </c>
      <c r="I183" s="24" t="inlineStr">
        <is>
          <t>재무상태표</t>
        </is>
      </c>
      <c r="J183" s="24" t="inlineStr">
        <is>
          <t>dart_ShortTermTradePayables</t>
        </is>
      </c>
      <c r="K183" s="24" t="inlineStr">
        <is>
          <t>매입채무</t>
        </is>
      </c>
      <c r="L183" s="24" t="inlineStr">
        <is>
          <t>-</t>
        </is>
      </c>
      <c r="M183" s="24" t="inlineStr">
        <is>
          <t>제 70 기</t>
        </is>
      </c>
      <c r="N183" s="24" t="inlineStr">
        <is>
          <t>48542142617.0</t>
        </is>
      </c>
      <c r="O183" s="24" t="inlineStr">
        <is>
          <t>44247176056.0</t>
        </is>
      </c>
      <c r="P183" s="24" t="inlineStr">
        <is>
          <t>KRW</t>
        </is>
      </c>
      <c r="Q183" s="24" t="inlineStr">
        <is>
          <t>23</t>
        </is>
      </c>
    </row>
    <row r="184" ht="24" customHeight="1">
      <c r="A184" s="29" t="inlineStr">
        <is>
          <t>OpenDART_fnlttSinglAcntAll</t>
        </is>
      </c>
      <c r="B184" s="29" t="inlineStr">
        <is>
          <t>00160843</t>
        </is>
      </c>
      <c r="C184" s="29" t="inlineStr">
        <is>
          <t>DB하이텍</t>
        </is>
      </c>
      <c r="D184" s="29" t="inlineStr">
        <is>
          <t>dbhitek</t>
        </is>
      </c>
      <c r="E184" s="29" t="inlineStr">
        <is>
          <t>000990</t>
        </is>
      </c>
      <c r="F184" s="29" t="inlineStr">
        <is>
          <t>2022</t>
        </is>
      </c>
      <c r="G184" s="29" t="inlineStr">
        <is>
          <t>CFS</t>
        </is>
      </c>
      <c r="H184" s="29" t="inlineStr">
        <is>
          <t>BS</t>
        </is>
      </c>
      <c r="I184" s="29" t="inlineStr">
        <is>
          <t>재무상태표</t>
        </is>
      </c>
      <c r="J184" s="29" t="inlineStr">
        <is>
          <t>ifrs-full_ShorttermBorrowings</t>
        </is>
      </c>
      <c r="K184" s="29" t="inlineStr">
        <is>
          <t>단기차입금</t>
        </is>
      </c>
      <c r="L184" s="29" t="inlineStr">
        <is>
          <t>-</t>
        </is>
      </c>
      <c r="M184" s="29" t="inlineStr">
        <is>
          <t>제 70 기</t>
        </is>
      </c>
      <c r="N184" s="29" t="inlineStr">
        <is>
          <t>26652891819.0</t>
        </is>
      </c>
      <c r="O184" s="29" t="inlineStr">
        <is>
          <t>33620487958.0</t>
        </is>
      </c>
      <c r="P184" s="29" t="inlineStr">
        <is>
          <t>KRW</t>
        </is>
      </c>
      <c r="Q184" s="29" t="inlineStr">
        <is>
          <t>24</t>
        </is>
      </c>
    </row>
    <row r="185" ht="24" customHeight="1">
      <c r="A185" s="24" t="inlineStr">
        <is>
          <t>OpenDART_fnlttSinglAcntAll</t>
        </is>
      </c>
      <c r="B185" s="24" t="inlineStr">
        <is>
          <t>00160843</t>
        </is>
      </c>
      <c r="C185" s="24" t="inlineStr">
        <is>
          <t>DB하이텍</t>
        </is>
      </c>
      <c r="D185" s="24" t="inlineStr">
        <is>
          <t>dbhitek</t>
        </is>
      </c>
      <c r="E185" s="24" t="inlineStr">
        <is>
          <t>000990</t>
        </is>
      </c>
      <c r="F185" s="24" t="inlineStr">
        <is>
          <t>2022</t>
        </is>
      </c>
      <c r="G185" s="24" t="inlineStr">
        <is>
          <t>CFS</t>
        </is>
      </c>
      <c r="H185" s="24" t="inlineStr">
        <is>
          <t>BS</t>
        </is>
      </c>
      <c r="I185" s="24" t="inlineStr">
        <is>
          <t>재무상태표</t>
        </is>
      </c>
      <c r="J185" s="24" t="inlineStr">
        <is>
          <t>ifrs-full_CurrentPortionOfLongtermBorrowings</t>
        </is>
      </c>
      <c r="K185" s="24" t="inlineStr">
        <is>
          <t>유동성장기차입금</t>
        </is>
      </c>
      <c r="L185" s="24" t="inlineStr">
        <is>
          <t>-</t>
        </is>
      </c>
      <c r="M185" s="24" t="inlineStr">
        <is>
          <t>제 70 기</t>
        </is>
      </c>
      <c r="N185" s="24" t="inlineStr">
        <is>
          <t>27999960000.0</t>
        </is>
      </c>
      <c r="O185" s="24" t="inlineStr">
        <is>
          <t>36462710177.0</t>
        </is>
      </c>
      <c r="P185" s="24" t="inlineStr">
        <is>
          <t>KRW</t>
        </is>
      </c>
      <c r="Q185" s="24" t="inlineStr">
        <is>
          <t>25</t>
        </is>
      </c>
    </row>
    <row r="186" ht="24" customHeight="1">
      <c r="A186" s="29" t="inlineStr">
        <is>
          <t>OpenDART_fnlttSinglAcntAll</t>
        </is>
      </c>
      <c r="B186" s="29" t="inlineStr">
        <is>
          <t>00160843</t>
        </is>
      </c>
      <c r="C186" s="29" t="inlineStr">
        <is>
          <t>DB하이텍</t>
        </is>
      </c>
      <c r="D186" s="29" t="inlineStr">
        <is>
          <t>dbhitek</t>
        </is>
      </c>
      <c r="E186" s="29" t="inlineStr">
        <is>
          <t>000990</t>
        </is>
      </c>
      <c r="F186" s="29" t="inlineStr">
        <is>
          <t>2022</t>
        </is>
      </c>
      <c r="G186" s="29" t="inlineStr">
        <is>
          <t>CFS</t>
        </is>
      </c>
      <c r="H186" s="29" t="inlineStr">
        <is>
          <t>BS</t>
        </is>
      </c>
      <c r="I186" s="29" t="inlineStr">
        <is>
          <t>재무상태표</t>
        </is>
      </c>
      <c r="J186" s="29" t="inlineStr">
        <is>
          <t>ifrs-full_TradeAndOtherCurrentPayables</t>
        </is>
      </c>
      <c r="K186" s="29" t="inlineStr">
        <is>
          <t>기타지급채무</t>
        </is>
      </c>
      <c r="L186" s="29" t="inlineStr">
        <is>
          <t>-</t>
        </is>
      </c>
      <c r="M186" s="29" t="inlineStr">
        <is>
          <t>제 70 기</t>
        </is>
      </c>
      <c r="N186" s="29" t="inlineStr">
        <is>
          <t>115556059533.0</t>
        </is>
      </c>
      <c r="O186" s="29" t="inlineStr">
        <is>
          <t>99160074032.0</t>
        </is>
      </c>
      <c r="P186" s="29" t="inlineStr">
        <is>
          <t>KRW</t>
        </is>
      </c>
      <c r="Q186" s="29" t="inlineStr">
        <is>
          <t>26</t>
        </is>
      </c>
    </row>
    <row r="187" ht="24" customHeight="1">
      <c r="A187" s="24" t="inlineStr">
        <is>
          <t>OpenDART_fnlttSinglAcntAll</t>
        </is>
      </c>
      <c r="B187" s="24" t="inlineStr">
        <is>
          <t>00160843</t>
        </is>
      </c>
      <c r="C187" s="24" t="inlineStr">
        <is>
          <t>DB하이텍</t>
        </is>
      </c>
      <c r="D187" s="24" t="inlineStr">
        <is>
          <t>dbhitek</t>
        </is>
      </c>
      <c r="E187" s="24" t="inlineStr">
        <is>
          <t>000990</t>
        </is>
      </c>
      <c r="F187" s="24" t="inlineStr">
        <is>
          <t>2022</t>
        </is>
      </c>
      <c r="G187" s="24" t="inlineStr">
        <is>
          <t>CFS</t>
        </is>
      </c>
      <c r="H187" s="24" t="inlineStr">
        <is>
          <t>BS</t>
        </is>
      </c>
      <c r="I187" s="24" t="inlineStr">
        <is>
          <t>재무상태표</t>
        </is>
      </c>
      <c r="J187" s="24" t="inlineStr">
        <is>
          <t>ifrs-full_OtherCurrentFinancialLiabilities</t>
        </is>
      </c>
      <c r="K187" s="24" t="inlineStr">
        <is>
          <t>기타금융부채</t>
        </is>
      </c>
      <c r="L187" s="24" t="inlineStr">
        <is>
          <t>-</t>
        </is>
      </c>
      <c r="M187" s="24" t="inlineStr">
        <is>
          <t>제 70 기</t>
        </is>
      </c>
      <c r="N187" s="24" t="inlineStr">
        <is>
          <t>1251316508.0</t>
        </is>
      </c>
      <c r="O187" s="24" t="inlineStr">
        <is>
          <t>4013872402.0</t>
        </is>
      </c>
      <c r="P187" s="24" t="inlineStr">
        <is>
          <t>KRW</t>
        </is>
      </c>
      <c r="Q187" s="24" t="inlineStr">
        <is>
          <t>27</t>
        </is>
      </c>
    </row>
    <row r="188" ht="24" customHeight="1">
      <c r="A188" s="29" t="inlineStr">
        <is>
          <t>OpenDART_fnlttSinglAcntAll</t>
        </is>
      </c>
      <c r="B188" s="29" t="inlineStr">
        <is>
          <t>00160843</t>
        </is>
      </c>
      <c r="C188" s="29" t="inlineStr">
        <is>
          <t>DB하이텍</t>
        </is>
      </c>
      <c r="D188" s="29" t="inlineStr">
        <is>
          <t>dbhitek</t>
        </is>
      </c>
      <c r="E188" s="29" t="inlineStr">
        <is>
          <t>000990</t>
        </is>
      </c>
      <c r="F188" s="29" t="inlineStr">
        <is>
          <t>2022</t>
        </is>
      </c>
      <c r="G188" s="29" t="inlineStr">
        <is>
          <t>CFS</t>
        </is>
      </c>
      <c r="H188" s="29" t="inlineStr">
        <is>
          <t>BS</t>
        </is>
      </c>
      <c r="I188" s="29" t="inlineStr">
        <is>
          <t>재무상태표</t>
        </is>
      </c>
      <c r="J188" s="29" t="inlineStr">
        <is>
          <t>ifrs-full_CurrentTaxLiabilities</t>
        </is>
      </c>
      <c r="K188" s="29" t="inlineStr">
        <is>
          <t>당기법인세부채</t>
        </is>
      </c>
      <c r="L188" s="29" t="inlineStr">
        <is>
          <t>-</t>
        </is>
      </c>
      <c r="M188" s="29" t="inlineStr">
        <is>
          <t>제 70 기</t>
        </is>
      </c>
      <c r="N188" s="29" t="inlineStr">
        <is>
          <t>136178951837.0</t>
        </is>
      </c>
      <c r="O188" s="29" t="inlineStr">
        <is>
          <t>78343200669.0</t>
        </is>
      </c>
      <c r="P188" s="29" t="inlineStr">
        <is>
          <t>KRW</t>
        </is>
      </c>
      <c r="Q188" s="29" t="inlineStr">
        <is>
          <t>28</t>
        </is>
      </c>
    </row>
    <row r="189" ht="24" customHeight="1">
      <c r="A189" s="24" t="inlineStr">
        <is>
          <t>OpenDART_fnlttSinglAcntAll</t>
        </is>
      </c>
      <c r="B189" s="24" t="inlineStr">
        <is>
          <t>00160843</t>
        </is>
      </c>
      <c r="C189" s="24" t="inlineStr">
        <is>
          <t>DB하이텍</t>
        </is>
      </c>
      <c r="D189" s="24" t="inlineStr">
        <is>
          <t>dbhitek</t>
        </is>
      </c>
      <c r="E189" s="24" t="inlineStr">
        <is>
          <t>000990</t>
        </is>
      </c>
      <c r="F189" s="24" t="inlineStr">
        <is>
          <t>2022</t>
        </is>
      </c>
      <c r="G189" s="24" t="inlineStr">
        <is>
          <t>CFS</t>
        </is>
      </c>
      <c r="H189" s="24" t="inlineStr">
        <is>
          <t>BS</t>
        </is>
      </c>
      <c r="I189" s="24" t="inlineStr">
        <is>
          <t>재무상태표</t>
        </is>
      </c>
      <c r="J189" s="24" t="inlineStr">
        <is>
          <t>dart_OtherCurrentLiabilities</t>
        </is>
      </c>
      <c r="K189" s="24" t="inlineStr">
        <is>
          <t>기타유동부채</t>
        </is>
      </c>
      <c r="L189" s="24" t="inlineStr">
        <is>
          <t>-</t>
        </is>
      </c>
      <c r="M189" s="24" t="inlineStr">
        <is>
          <t>제 70 기</t>
        </is>
      </c>
      <c r="N189" s="24" t="inlineStr">
        <is>
          <t>46315959168.0</t>
        </is>
      </c>
      <c r="O189" s="24" t="inlineStr">
        <is>
          <t>36873144024.0</t>
        </is>
      </c>
      <c r="P189" s="24" t="inlineStr">
        <is>
          <t>KRW</t>
        </is>
      </c>
      <c r="Q189" s="24" t="inlineStr">
        <is>
          <t>29</t>
        </is>
      </c>
    </row>
    <row r="190" ht="24" customHeight="1">
      <c r="A190" s="29" t="inlineStr">
        <is>
          <t>OpenDART_fnlttSinglAcntAll</t>
        </is>
      </c>
      <c r="B190" s="29" t="inlineStr">
        <is>
          <t>00160843</t>
        </is>
      </c>
      <c r="C190" s="29" t="inlineStr">
        <is>
          <t>DB하이텍</t>
        </is>
      </c>
      <c r="D190" s="29" t="inlineStr">
        <is>
          <t>dbhitek</t>
        </is>
      </c>
      <c r="E190" s="29" t="inlineStr">
        <is>
          <t>000990</t>
        </is>
      </c>
      <c r="F190" s="29" t="inlineStr">
        <is>
          <t>2022</t>
        </is>
      </c>
      <c r="G190" s="29" t="inlineStr">
        <is>
          <t>CFS</t>
        </is>
      </c>
      <c r="H190" s="29" t="inlineStr">
        <is>
          <t>BS</t>
        </is>
      </c>
      <c r="I190" s="29" t="inlineStr">
        <is>
          <t>재무상태표</t>
        </is>
      </c>
      <c r="J190" s="29" t="inlineStr">
        <is>
          <t>ifrs-full_CurrentProvisions</t>
        </is>
      </c>
      <c r="K190" s="29" t="inlineStr">
        <is>
          <t>충당부채</t>
        </is>
      </c>
      <c r="L190" s="29" t="inlineStr">
        <is>
          <t>-</t>
        </is>
      </c>
      <c r="M190" s="29" t="inlineStr">
        <is>
          <t>제 70 기</t>
        </is>
      </c>
      <c r="N190" s="29" t="inlineStr">
        <is>
          <t>1856680814.0</t>
        </is>
      </c>
      <c r="O190" s="29" t="inlineStr">
        <is>
          <t>2616188114.0</t>
        </is>
      </c>
      <c r="P190" s="29" t="inlineStr">
        <is>
          <t>KRW</t>
        </is>
      </c>
      <c r="Q190" s="29" t="inlineStr">
        <is>
          <t>30</t>
        </is>
      </c>
    </row>
    <row r="191" ht="24" customHeight="1">
      <c r="A191" s="24" t="inlineStr">
        <is>
          <t>OpenDART_fnlttSinglAcntAll</t>
        </is>
      </c>
      <c r="B191" s="24" t="inlineStr">
        <is>
          <t>00160843</t>
        </is>
      </c>
      <c r="C191" s="24" t="inlineStr">
        <is>
          <t>DB하이텍</t>
        </is>
      </c>
      <c r="D191" s="24" t="inlineStr">
        <is>
          <t>dbhitek</t>
        </is>
      </c>
      <c r="E191" s="24" t="inlineStr">
        <is>
          <t>000990</t>
        </is>
      </c>
      <c r="F191" s="24" t="inlineStr">
        <is>
          <t>2022</t>
        </is>
      </c>
      <c r="G191" s="24" t="inlineStr">
        <is>
          <t>CFS</t>
        </is>
      </c>
      <c r="H191" s="24" t="inlineStr">
        <is>
          <t>BS</t>
        </is>
      </c>
      <c r="I191" s="24" t="inlineStr">
        <is>
          <t>재무상태표</t>
        </is>
      </c>
      <c r="J191" s="24" t="inlineStr">
        <is>
          <t>ifrs-full_NoncurrentLiabilities</t>
        </is>
      </c>
      <c r="K191" s="24" t="inlineStr">
        <is>
          <t>비유동부채</t>
        </is>
      </c>
      <c r="L191" s="24" t="inlineStr">
        <is>
          <t>-</t>
        </is>
      </c>
      <c r="M191" s="24" t="inlineStr">
        <is>
          <t>제 70 기</t>
        </is>
      </c>
      <c r="N191" s="24" t="inlineStr">
        <is>
          <t>80062434119.0</t>
        </is>
      </c>
      <c r="O191" s="24" t="inlineStr">
        <is>
          <t>108551336376.0</t>
        </is>
      </c>
      <c r="P191" s="24" t="inlineStr">
        <is>
          <t>KRW</t>
        </is>
      </c>
      <c r="Q191" s="24" t="inlineStr">
        <is>
          <t>31</t>
        </is>
      </c>
    </row>
    <row r="192" ht="24" customHeight="1">
      <c r="A192" s="29" t="inlineStr">
        <is>
          <t>OpenDART_fnlttSinglAcntAll</t>
        </is>
      </c>
      <c r="B192" s="29" t="inlineStr">
        <is>
          <t>00160843</t>
        </is>
      </c>
      <c r="C192" s="29" t="inlineStr">
        <is>
          <t>DB하이텍</t>
        </is>
      </c>
      <c r="D192" s="29" t="inlineStr">
        <is>
          <t>dbhitek</t>
        </is>
      </c>
      <c r="E192" s="29" t="inlineStr">
        <is>
          <t>000990</t>
        </is>
      </c>
      <c r="F192" s="29" t="inlineStr">
        <is>
          <t>2022</t>
        </is>
      </c>
      <c r="G192" s="29" t="inlineStr">
        <is>
          <t>CFS</t>
        </is>
      </c>
      <c r="H192" s="29" t="inlineStr">
        <is>
          <t>BS</t>
        </is>
      </c>
      <c r="I192" s="29" t="inlineStr">
        <is>
          <t>재무상태표</t>
        </is>
      </c>
      <c r="J192" s="29" t="inlineStr">
        <is>
          <t>dart_LongTermBorrowingsGross</t>
        </is>
      </c>
      <c r="K192" s="29" t="inlineStr">
        <is>
          <t>장기차입금</t>
        </is>
      </c>
      <c r="L192" s="29" t="inlineStr">
        <is>
          <t>-</t>
        </is>
      </c>
      <c r="M192" s="29" t="inlineStr">
        <is>
          <t>제 70 기</t>
        </is>
      </c>
      <c r="N192" s="29" t="inlineStr">
        <is>
          <t>68499960000.0</t>
        </is>
      </c>
      <c r="O192" s="29" t="inlineStr">
        <is>
          <t>96499920000.0</t>
        </is>
      </c>
      <c r="P192" s="29" t="inlineStr">
        <is>
          <t>KRW</t>
        </is>
      </c>
      <c r="Q192" s="29" t="inlineStr">
        <is>
          <t>32</t>
        </is>
      </c>
    </row>
    <row r="193" ht="24" customHeight="1">
      <c r="A193" s="24" t="inlineStr">
        <is>
          <t>OpenDART_fnlttSinglAcntAll</t>
        </is>
      </c>
      <c r="B193" s="24" t="inlineStr">
        <is>
          <t>00160843</t>
        </is>
      </c>
      <c r="C193" s="24" t="inlineStr">
        <is>
          <t>DB하이텍</t>
        </is>
      </c>
      <c r="D193" s="24" t="inlineStr">
        <is>
          <t>dbhitek</t>
        </is>
      </c>
      <c r="E193" s="24" t="inlineStr">
        <is>
          <t>000990</t>
        </is>
      </c>
      <c r="F193" s="24" t="inlineStr">
        <is>
          <t>2022</t>
        </is>
      </c>
      <c r="G193" s="24" t="inlineStr">
        <is>
          <t>CFS</t>
        </is>
      </c>
      <c r="H193" s="24" t="inlineStr">
        <is>
          <t>BS</t>
        </is>
      </c>
      <c r="I193" s="24" t="inlineStr">
        <is>
          <t>재무상태표</t>
        </is>
      </c>
      <c r="J193" s="24" t="inlineStr">
        <is>
          <t>dart_LongTermTradeAndOtherNonCurrentPayables</t>
        </is>
      </c>
      <c r="K193" s="24" t="inlineStr">
        <is>
          <t>장기기타지급채무</t>
        </is>
      </c>
      <c r="L193" s="24" t="inlineStr">
        <is>
          <t>-</t>
        </is>
      </c>
      <c r="M193" s="24" t="inlineStr">
        <is>
          <t>제 70 기</t>
        </is>
      </c>
      <c r="N193" s="24" t="inlineStr">
        <is>
          <t>11219554207.0</t>
        </is>
      </c>
      <c r="O193" s="24" t="inlineStr">
        <is>
          <t>10607022489.0</t>
        </is>
      </c>
      <c r="P193" s="24" t="inlineStr">
        <is>
          <t>KRW</t>
        </is>
      </c>
      <c r="Q193" s="24" t="inlineStr">
        <is>
          <t>33</t>
        </is>
      </c>
    </row>
    <row r="194" ht="24" customHeight="1">
      <c r="A194" s="29" t="inlineStr">
        <is>
          <t>OpenDART_fnlttSinglAcntAll</t>
        </is>
      </c>
      <c r="B194" s="29" t="inlineStr">
        <is>
          <t>00160843</t>
        </is>
      </c>
      <c r="C194" s="29" t="inlineStr">
        <is>
          <t>DB하이텍</t>
        </is>
      </c>
      <c r="D194" s="29" t="inlineStr">
        <is>
          <t>dbhitek</t>
        </is>
      </c>
      <c r="E194" s="29" t="inlineStr">
        <is>
          <t>000990</t>
        </is>
      </c>
      <c r="F194" s="29" t="inlineStr">
        <is>
          <t>2022</t>
        </is>
      </c>
      <c r="G194" s="29" t="inlineStr">
        <is>
          <t>CFS</t>
        </is>
      </c>
      <c r="H194" s="29" t="inlineStr">
        <is>
          <t>BS</t>
        </is>
      </c>
      <c r="I194" s="29" t="inlineStr">
        <is>
          <t>재무상태표</t>
        </is>
      </c>
      <c r="J194" s="29" t="inlineStr">
        <is>
          <t>dart_PostemploymentBenefitObligations</t>
        </is>
      </c>
      <c r="K194" s="29" t="inlineStr">
        <is>
          <t>순확정급여부채</t>
        </is>
      </c>
      <c r="L194" s="29" t="inlineStr">
        <is>
          <t>-</t>
        </is>
      </c>
      <c r="M194" s="29" t="inlineStr">
        <is>
          <t>제 70 기</t>
        </is>
      </c>
      <c r="N194" s="29" t="inlineStr">
        <is>
          <t>0.0</t>
        </is>
      </c>
      <c r="O194" s="29" t="inlineStr">
        <is>
          <t>0.0</t>
        </is>
      </c>
      <c r="P194" s="29" t="inlineStr">
        <is>
          <t>KRW</t>
        </is>
      </c>
      <c r="Q194" s="29" t="inlineStr">
        <is>
          <t>34</t>
        </is>
      </c>
    </row>
    <row r="195" ht="24" customHeight="1">
      <c r="A195" s="24" t="inlineStr">
        <is>
          <t>OpenDART_fnlttSinglAcntAll</t>
        </is>
      </c>
      <c r="B195" s="24" t="inlineStr">
        <is>
          <t>00160843</t>
        </is>
      </c>
      <c r="C195" s="24" t="inlineStr">
        <is>
          <t>DB하이텍</t>
        </is>
      </c>
      <c r="D195" s="24" t="inlineStr">
        <is>
          <t>dbhitek</t>
        </is>
      </c>
      <c r="E195" s="24" t="inlineStr">
        <is>
          <t>000990</t>
        </is>
      </c>
      <c r="F195" s="24" t="inlineStr">
        <is>
          <t>2022</t>
        </is>
      </c>
      <c r="G195" s="24" t="inlineStr">
        <is>
          <t>CFS</t>
        </is>
      </c>
      <c r="H195" s="24" t="inlineStr">
        <is>
          <t>BS</t>
        </is>
      </c>
      <c r="I195" s="24" t="inlineStr">
        <is>
          <t>재무상태표</t>
        </is>
      </c>
      <c r="J195" s="24" t="inlineStr">
        <is>
          <t>ifrs-full_OtherNoncurrentFinancialLiabilities</t>
        </is>
      </c>
      <c r="K195" s="24" t="inlineStr">
        <is>
          <t>장기기타금융부채</t>
        </is>
      </c>
      <c r="L195" s="24" t="inlineStr">
        <is>
          <t>-</t>
        </is>
      </c>
      <c r="M195" s="24" t="inlineStr">
        <is>
          <t>제 70 기</t>
        </is>
      </c>
      <c r="N195" s="24" t="inlineStr">
        <is>
          <t>275150419.0</t>
        </is>
      </c>
      <c r="O195" s="24" t="inlineStr">
        <is>
          <t>1191464713.0</t>
        </is>
      </c>
      <c r="P195" s="24" t="inlineStr">
        <is>
          <t>KRW</t>
        </is>
      </c>
      <c r="Q195" s="24" t="inlineStr">
        <is>
          <t>35</t>
        </is>
      </c>
    </row>
    <row r="196" ht="24" customHeight="1">
      <c r="A196" s="29" t="inlineStr">
        <is>
          <t>OpenDART_fnlttSinglAcntAll</t>
        </is>
      </c>
      <c r="B196" s="29" t="inlineStr">
        <is>
          <t>00160843</t>
        </is>
      </c>
      <c r="C196" s="29" t="inlineStr">
        <is>
          <t>DB하이텍</t>
        </is>
      </c>
      <c r="D196" s="29" t="inlineStr">
        <is>
          <t>dbhitek</t>
        </is>
      </c>
      <c r="E196" s="29" t="inlineStr">
        <is>
          <t>000990</t>
        </is>
      </c>
      <c r="F196" s="29" t="inlineStr">
        <is>
          <t>2022</t>
        </is>
      </c>
      <c r="G196" s="29" t="inlineStr">
        <is>
          <t>CFS</t>
        </is>
      </c>
      <c r="H196" s="29" t="inlineStr">
        <is>
          <t>BS</t>
        </is>
      </c>
      <c r="I196" s="29" t="inlineStr">
        <is>
          <t>재무상태표</t>
        </is>
      </c>
      <c r="J196" s="29" t="inlineStr">
        <is>
          <t>ifrs-full_NoncurrentProvisions</t>
        </is>
      </c>
      <c r="K196" s="29" t="inlineStr">
        <is>
          <t>장기충당부채</t>
        </is>
      </c>
      <c r="L196" s="29" t="inlineStr">
        <is>
          <t>-</t>
        </is>
      </c>
      <c r="M196" s="29" t="inlineStr">
        <is>
          <t>제 70 기</t>
        </is>
      </c>
      <c r="N196" s="29" t="inlineStr">
        <is>
          <t>67769493.0</t>
        </is>
      </c>
      <c r="O196" s="29" t="inlineStr">
        <is>
          <t>252929174.0</t>
        </is>
      </c>
      <c r="P196" s="29" t="inlineStr">
        <is>
          <t>KRW</t>
        </is>
      </c>
      <c r="Q196" s="29" t="inlineStr">
        <is>
          <t>36</t>
        </is>
      </c>
    </row>
    <row r="197" ht="24" customHeight="1">
      <c r="A197" s="24" t="inlineStr">
        <is>
          <t>OpenDART_fnlttSinglAcntAll</t>
        </is>
      </c>
      <c r="B197" s="24" t="inlineStr">
        <is>
          <t>00160843</t>
        </is>
      </c>
      <c r="C197" s="24" t="inlineStr">
        <is>
          <t>DB하이텍</t>
        </is>
      </c>
      <c r="D197" s="24" t="inlineStr">
        <is>
          <t>dbhitek</t>
        </is>
      </c>
      <c r="E197" s="24" t="inlineStr">
        <is>
          <t>000990</t>
        </is>
      </c>
      <c r="F197" s="24" t="inlineStr">
        <is>
          <t>2022</t>
        </is>
      </c>
      <c r="G197" s="24" t="inlineStr">
        <is>
          <t>CFS</t>
        </is>
      </c>
      <c r="H197" s="24" t="inlineStr">
        <is>
          <t>BS</t>
        </is>
      </c>
      <c r="I197" s="24" t="inlineStr">
        <is>
          <t>재무상태표</t>
        </is>
      </c>
      <c r="J197" s="24" t="inlineStr">
        <is>
          <t>ifrs-full_Liabilities</t>
        </is>
      </c>
      <c r="K197" s="24" t="inlineStr">
        <is>
          <t>부채총계</t>
        </is>
      </c>
      <c r="L197" s="24" t="inlineStr">
        <is>
          <t>-</t>
        </is>
      </c>
      <c r="M197" s="24" t="inlineStr">
        <is>
          <t>제 70 기</t>
        </is>
      </c>
      <c r="N197" s="24" t="inlineStr">
        <is>
          <t>484416396415.0</t>
        </is>
      </c>
      <c r="O197" s="24" t="inlineStr">
        <is>
          <t>443888189808.0</t>
        </is>
      </c>
      <c r="P197" s="24" t="inlineStr">
        <is>
          <t>KRW</t>
        </is>
      </c>
      <c r="Q197" s="24" t="inlineStr">
        <is>
          <t>37</t>
        </is>
      </c>
    </row>
    <row r="198" ht="24" customHeight="1">
      <c r="A198" s="29" t="inlineStr">
        <is>
          <t>OpenDART_fnlttSinglAcntAll</t>
        </is>
      </c>
      <c r="B198" s="29" t="inlineStr">
        <is>
          <t>00160843</t>
        </is>
      </c>
      <c r="C198" s="29" t="inlineStr">
        <is>
          <t>DB하이텍</t>
        </is>
      </c>
      <c r="D198" s="29" t="inlineStr">
        <is>
          <t>dbhitek</t>
        </is>
      </c>
      <c r="E198" s="29" t="inlineStr">
        <is>
          <t>000990</t>
        </is>
      </c>
      <c r="F198" s="29" t="inlineStr">
        <is>
          <t>2022</t>
        </is>
      </c>
      <c r="G198" s="29" t="inlineStr">
        <is>
          <t>CFS</t>
        </is>
      </c>
      <c r="H198" s="29" t="inlineStr">
        <is>
          <t>BS</t>
        </is>
      </c>
      <c r="I198" s="29" t="inlineStr">
        <is>
          <t>재무상태표</t>
        </is>
      </c>
      <c r="J198" s="29" t="inlineStr">
        <is>
          <t>ifrs-full_EquityAttributableToOwnersOfParent</t>
        </is>
      </c>
      <c r="K198" s="29" t="inlineStr">
        <is>
          <t>지배기업의 소유주에게 귀속되는 자본</t>
        </is>
      </c>
      <c r="L198" s="29" t="inlineStr">
        <is>
          <t>-</t>
        </is>
      </c>
      <c r="M198" s="29" t="inlineStr">
        <is>
          <t>제 70 기</t>
        </is>
      </c>
      <c r="N198" s="29" t="inlineStr">
        <is>
          <t>1638284078393.0</t>
        </is>
      </c>
      <c r="O198" s="29" t="inlineStr">
        <is>
          <t>1106049706046.0</t>
        </is>
      </c>
      <c r="P198" s="29" t="inlineStr">
        <is>
          <t>KRW</t>
        </is>
      </c>
      <c r="Q198" s="29" t="inlineStr">
        <is>
          <t>39</t>
        </is>
      </c>
    </row>
    <row r="199" ht="24" customHeight="1">
      <c r="A199" s="24" t="inlineStr">
        <is>
          <t>OpenDART_fnlttSinglAcntAll</t>
        </is>
      </c>
      <c r="B199" s="24" t="inlineStr">
        <is>
          <t>00160843</t>
        </is>
      </c>
      <c r="C199" s="24" t="inlineStr">
        <is>
          <t>DB하이텍</t>
        </is>
      </c>
      <c r="D199" s="24" t="inlineStr">
        <is>
          <t>dbhitek</t>
        </is>
      </c>
      <c r="E199" s="24" t="inlineStr">
        <is>
          <t>000990</t>
        </is>
      </c>
      <c r="F199" s="24" t="inlineStr">
        <is>
          <t>2022</t>
        </is>
      </c>
      <c r="G199" s="24" t="inlineStr">
        <is>
          <t>CFS</t>
        </is>
      </c>
      <c r="H199" s="24" t="inlineStr">
        <is>
          <t>BS</t>
        </is>
      </c>
      <c r="I199" s="24" t="inlineStr">
        <is>
          <t>재무상태표</t>
        </is>
      </c>
      <c r="J199" s="24" t="inlineStr">
        <is>
          <t>ifrs-full_IssuedCapital</t>
        </is>
      </c>
      <c r="K199" s="24" t="inlineStr">
        <is>
          <t>자본금</t>
        </is>
      </c>
      <c r="L199" s="24" t="inlineStr">
        <is>
          <t>-</t>
        </is>
      </c>
      <c r="M199" s="24" t="inlineStr">
        <is>
          <t>제 70 기</t>
        </is>
      </c>
      <c r="N199" s="24" t="inlineStr">
        <is>
          <t>222555835000.0</t>
        </is>
      </c>
      <c r="O199" s="24" t="inlineStr">
        <is>
          <t>222555835000.0</t>
        </is>
      </c>
      <c r="P199" s="24" t="inlineStr">
        <is>
          <t>KRW</t>
        </is>
      </c>
      <c r="Q199" s="24" t="inlineStr">
        <is>
          <t>40</t>
        </is>
      </c>
    </row>
    <row r="200" ht="24" customHeight="1">
      <c r="A200" s="29" t="inlineStr">
        <is>
          <t>OpenDART_fnlttSinglAcntAll</t>
        </is>
      </c>
      <c r="B200" s="29" t="inlineStr">
        <is>
          <t>00160843</t>
        </is>
      </c>
      <c r="C200" s="29" t="inlineStr">
        <is>
          <t>DB하이텍</t>
        </is>
      </c>
      <c r="D200" s="29" t="inlineStr">
        <is>
          <t>dbhitek</t>
        </is>
      </c>
      <c r="E200" s="29" t="inlineStr">
        <is>
          <t>000990</t>
        </is>
      </c>
      <c r="F200" s="29" t="inlineStr">
        <is>
          <t>2022</t>
        </is>
      </c>
      <c r="G200" s="29" t="inlineStr">
        <is>
          <t>CFS</t>
        </is>
      </c>
      <c r="H200" s="29" t="inlineStr">
        <is>
          <t>BS</t>
        </is>
      </c>
      <c r="I200" s="29" t="inlineStr">
        <is>
          <t>재무상태표</t>
        </is>
      </c>
      <c r="J200" s="29" t="inlineStr">
        <is>
          <t>dart_IssuedCapitalOfCommonStock</t>
        </is>
      </c>
      <c r="K200" s="29" t="inlineStr">
        <is>
          <t>보통주자본금</t>
        </is>
      </c>
      <c r="L200" s="29" t="inlineStr">
        <is>
          <t>-</t>
        </is>
      </c>
      <c r="M200" s="29" t="inlineStr">
        <is>
          <t>제 70 기</t>
        </is>
      </c>
      <c r="N200" s="29" t="inlineStr">
        <is>
          <t>221992940000.0</t>
        </is>
      </c>
      <c r="O200" s="29" t="inlineStr">
        <is>
          <t>221992940000.0</t>
        </is>
      </c>
      <c r="P200" s="29" t="inlineStr">
        <is>
          <t>KRW</t>
        </is>
      </c>
      <c r="Q200" s="29" t="inlineStr">
        <is>
          <t>41</t>
        </is>
      </c>
    </row>
    <row r="201" ht="24" customHeight="1">
      <c r="A201" s="24" t="inlineStr">
        <is>
          <t>OpenDART_fnlttSinglAcntAll</t>
        </is>
      </c>
      <c r="B201" s="24" t="inlineStr">
        <is>
          <t>00160843</t>
        </is>
      </c>
      <c r="C201" s="24" t="inlineStr">
        <is>
          <t>DB하이텍</t>
        </is>
      </c>
      <c r="D201" s="24" t="inlineStr">
        <is>
          <t>dbhitek</t>
        </is>
      </c>
      <c r="E201" s="24" t="inlineStr">
        <is>
          <t>000990</t>
        </is>
      </c>
      <c r="F201" s="24" t="inlineStr">
        <is>
          <t>2022</t>
        </is>
      </c>
      <c r="G201" s="24" t="inlineStr">
        <is>
          <t>CFS</t>
        </is>
      </c>
      <c r="H201" s="24" t="inlineStr">
        <is>
          <t>BS</t>
        </is>
      </c>
      <c r="I201" s="24" t="inlineStr">
        <is>
          <t>재무상태표</t>
        </is>
      </c>
      <c r="J201" s="24" t="inlineStr">
        <is>
          <t>dart_IssuedCapitalOfPreferredStock</t>
        </is>
      </c>
      <c r="K201" s="24" t="inlineStr">
        <is>
          <t>우선주자본금</t>
        </is>
      </c>
      <c r="L201" s="24" t="inlineStr">
        <is>
          <t>-</t>
        </is>
      </c>
      <c r="M201" s="24" t="inlineStr">
        <is>
          <t>제 70 기</t>
        </is>
      </c>
      <c r="N201" s="24" t="inlineStr">
        <is>
          <t>562895000.0</t>
        </is>
      </c>
      <c r="O201" s="24" t="inlineStr">
        <is>
          <t>562895000.0</t>
        </is>
      </c>
      <c r="P201" s="24" t="inlineStr">
        <is>
          <t>KRW</t>
        </is>
      </c>
      <c r="Q201" s="24" t="inlineStr">
        <is>
          <t>42</t>
        </is>
      </c>
    </row>
    <row r="202" ht="24" customHeight="1">
      <c r="A202" s="29" t="inlineStr">
        <is>
          <t>OpenDART_fnlttSinglAcntAll</t>
        </is>
      </c>
      <c r="B202" s="29" t="inlineStr">
        <is>
          <t>00160843</t>
        </is>
      </c>
      <c r="C202" s="29" t="inlineStr">
        <is>
          <t>DB하이텍</t>
        </is>
      </c>
      <c r="D202" s="29" t="inlineStr">
        <is>
          <t>dbhitek</t>
        </is>
      </c>
      <c r="E202" s="29" t="inlineStr">
        <is>
          <t>000990</t>
        </is>
      </c>
      <c r="F202" s="29" t="inlineStr">
        <is>
          <t>2022</t>
        </is>
      </c>
      <c r="G202" s="29" t="inlineStr">
        <is>
          <t>CFS</t>
        </is>
      </c>
      <c r="H202" s="29" t="inlineStr">
        <is>
          <t>BS</t>
        </is>
      </c>
      <c r="I202" s="29" t="inlineStr">
        <is>
          <t>재무상태표</t>
        </is>
      </c>
      <c r="J202" s="29" t="inlineStr">
        <is>
          <t>ifrs-full_SharePremium</t>
        </is>
      </c>
      <c r="K202" s="29" t="inlineStr">
        <is>
          <t>주식발행초과금</t>
        </is>
      </c>
      <c r="L202" s="29" t="inlineStr">
        <is>
          <t>-</t>
        </is>
      </c>
      <c r="M202" s="29" t="inlineStr">
        <is>
          <t>제 70 기</t>
        </is>
      </c>
      <c r="N202" s="29" t="inlineStr">
        <is>
          <t>127328276294.0</t>
        </is>
      </c>
      <c r="O202" s="29" t="inlineStr">
        <is>
          <t>127328276294.0</t>
        </is>
      </c>
      <c r="P202" s="29" t="inlineStr">
        <is>
          <t>KRW</t>
        </is>
      </c>
      <c r="Q202" s="29" t="inlineStr">
        <is>
          <t>43</t>
        </is>
      </c>
    </row>
    <row r="203" ht="24" customHeight="1">
      <c r="A203" s="24" t="inlineStr">
        <is>
          <t>OpenDART_fnlttSinglAcntAll</t>
        </is>
      </c>
      <c r="B203" s="24" t="inlineStr">
        <is>
          <t>00160843</t>
        </is>
      </c>
      <c r="C203" s="24" t="inlineStr">
        <is>
          <t>DB하이텍</t>
        </is>
      </c>
      <c r="D203" s="24" t="inlineStr">
        <is>
          <t>dbhitek</t>
        </is>
      </c>
      <c r="E203" s="24" t="inlineStr">
        <is>
          <t>000990</t>
        </is>
      </c>
      <c r="F203" s="24" t="inlineStr">
        <is>
          <t>2022</t>
        </is>
      </c>
      <c r="G203" s="24" t="inlineStr">
        <is>
          <t>CFS</t>
        </is>
      </c>
      <c r="H203" s="24" t="inlineStr">
        <is>
          <t>BS</t>
        </is>
      </c>
      <c r="I203" s="24" t="inlineStr">
        <is>
          <t>재무상태표</t>
        </is>
      </c>
      <c r="J203" s="24" t="inlineStr">
        <is>
          <t>dart_ElementsOfOtherStockholdersEquity</t>
        </is>
      </c>
      <c r="K203" s="24" t="inlineStr">
        <is>
          <t>기타자본구성요소</t>
        </is>
      </c>
      <c r="L203" s="24" t="inlineStr">
        <is>
          <t>-</t>
        </is>
      </c>
      <c r="M203" s="24" t="inlineStr">
        <is>
          <t>제 70 기</t>
        </is>
      </c>
      <c r="N203" s="24" t="inlineStr">
        <is>
          <t>-77460548970.0</t>
        </is>
      </c>
      <c r="O203" s="24" t="inlineStr">
        <is>
          <t>-75803373341.0</t>
        </is>
      </c>
      <c r="P203" s="24" t="inlineStr">
        <is>
          <t>KRW</t>
        </is>
      </c>
      <c r="Q203" s="24" t="inlineStr">
        <is>
          <t>44</t>
        </is>
      </c>
    </row>
    <row r="204" ht="24" customHeight="1">
      <c r="A204" s="29" t="inlineStr">
        <is>
          <t>OpenDART_fnlttSinglAcntAll</t>
        </is>
      </c>
      <c r="B204" s="29" t="inlineStr">
        <is>
          <t>00160843</t>
        </is>
      </c>
      <c r="C204" s="29" t="inlineStr">
        <is>
          <t>DB하이텍</t>
        </is>
      </c>
      <c r="D204" s="29" t="inlineStr">
        <is>
          <t>dbhitek</t>
        </is>
      </c>
      <c r="E204" s="29" t="inlineStr">
        <is>
          <t>000990</t>
        </is>
      </c>
      <c r="F204" s="29" t="inlineStr">
        <is>
          <t>2022</t>
        </is>
      </c>
      <c r="G204" s="29" t="inlineStr">
        <is>
          <t>CFS</t>
        </is>
      </c>
      <c r="H204" s="29" t="inlineStr">
        <is>
          <t>BS</t>
        </is>
      </c>
      <c r="I204" s="29" t="inlineStr">
        <is>
          <t>재무상태표</t>
        </is>
      </c>
      <c r="J204" s="29" t="inlineStr">
        <is>
          <t>ifrs-full_RetainedEarnings</t>
        </is>
      </c>
      <c r="K204" s="29" t="inlineStr">
        <is>
          <t>이익잉여금(결손금)</t>
        </is>
      </c>
      <c r="L204" s="29" t="inlineStr">
        <is>
          <t>-</t>
        </is>
      </c>
      <c r="M204" s="29" t="inlineStr">
        <is>
          <t>제 70 기</t>
        </is>
      </c>
      <c r="N204" s="29" t="inlineStr">
        <is>
          <t>1365860516069.0</t>
        </is>
      </c>
      <c r="O204" s="29" t="inlineStr">
        <is>
          <t>831968968093.0</t>
        </is>
      </c>
      <c r="P204" s="29" t="inlineStr">
        <is>
          <t>KRW</t>
        </is>
      </c>
      <c r="Q204" s="29" t="inlineStr">
        <is>
          <t>45</t>
        </is>
      </c>
    </row>
    <row r="205" ht="24" customHeight="1">
      <c r="A205" s="24" t="inlineStr">
        <is>
          <t>OpenDART_fnlttSinglAcntAll</t>
        </is>
      </c>
      <c r="B205" s="24" t="inlineStr">
        <is>
          <t>00160843</t>
        </is>
      </c>
      <c r="C205" s="24" t="inlineStr">
        <is>
          <t>DB하이텍</t>
        </is>
      </c>
      <c r="D205" s="24" t="inlineStr">
        <is>
          <t>dbhitek</t>
        </is>
      </c>
      <c r="E205" s="24" t="inlineStr">
        <is>
          <t>000990</t>
        </is>
      </c>
      <c r="F205" s="24" t="inlineStr">
        <is>
          <t>2022</t>
        </is>
      </c>
      <c r="G205" s="24" t="inlineStr">
        <is>
          <t>CFS</t>
        </is>
      </c>
      <c r="H205" s="24" t="inlineStr">
        <is>
          <t>BS</t>
        </is>
      </c>
      <c r="I205" s="24" t="inlineStr">
        <is>
          <t>재무상태표</t>
        </is>
      </c>
      <c r="J205" s="24" t="inlineStr">
        <is>
          <t>ifrs-full_NoncontrollingInterests</t>
        </is>
      </c>
      <c r="K205" s="24" t="inlineStr">
        <is>
          <t>비지배지분</t>
        </is>
      </c>
      <c r="L205" s="24" t="inlineStr">
        <is>
          <t>-</t>
        </is>
      </c>
      <c r="M205" s="24" t="inlineStr">
        <is>
          <t>제 70 기</t>
        </is>
      </c>
      <c r="N205" s="24" t="inlineStr">
        <is>
          <t>0.0</t>
        </is>
      </c>
      <c r="O205" s="24" t="inlineStr">
        <is>
          <t>0.0</t>
        </is>
      </c>
      <c r="P205" s="24" t="inlineStr">
        <is>
          <t>KRW</t>
        </is>
      </c>
      <c r="Q205" s="24" t="inlineStr">
        <is>
          <t>46</t>
        </is>
      </c>
    </row>
    <row r="206" ht="24" customHeight="1">
      <c r="A206" s="29" t="inlineStr">
        <is>
          <t>OpenDART_fnlttSinglAcntAll</t>
        </is>
      </c>
      <c r="B206" s="29" t="inlineStr">
        <is>
          <t>00160843</t>
        </is>
      </c>
      <c r="C206" s="29" t="inlineStr">
        <is>
          <t>DB하이텍</t>
        </is>
      </c>
      <c r="D206" s="29" t="inlineStr">
        <is>
          <t>dbhitek</t>
        </is>
      </c>
      <c r="E206" s="29" t="inlineStr">
        <is>
          <t>000990</t>
        </is>
      </c>
      <c r="F206" s="29" t="inlineStr">
        <is>
          <t>2022</t>
        </is>
      </c>
      <c r="G206" s="29" t="inlineStr">
        <is>
          <t>CFS</t>
        </is>
      </c>
      <c r="H206" s="29" t="inlineStr">
        <is>
          <t>BS</t>
        </is>
      </c>
      <c r="I206" s="29" t="inlineStr">
        <is>
          <t>재무상태표</t>
        </is>
      </c>
      <c r="J206" s="29" t="inlineStr">
        <is>
          <t>ifrs-full_Equity</t>
        </is>
      </c>
      <c r="K206" s="29" t="inlineStr">
        <is>
          <t>자본총계</t>
        </is>
      </c>
      <c r="L206" s="29" t="inlineStr">
        <is>
          <t>-</t>
        </is>
      </c>
      <c r="M206" s="29" t="inlineStr">
        <is>
          <t>제 70 기</t>
        </is>
      </c>
      <c r="N206" s="29" t="inlineStr">
        <is>
          <t>1638284078393.0</t>
        </is>
      </c>
      <c r="O206" s="29" t="inlineStr">
        <is>
          <t>1106049706046.0</t>
        </is>
      </c>
      <c r="P206" s="29" t="inlineStr">
        <is>
          <t>KRW</t>
        </is>
      </c>
      <c r="Q206" s="29" t="inlineStr">
        <is>
          <t>47</t>
        </is>
      </c>
    </row>
    <row r="207" ht="24" customHeight="1">
      <c r="A207" s="24" t="inlineStr">
        <is>
          <t>OpenDART_fnlttSinglAcntAll</t>
        </is>
      </c>
      <c r="B207" s="24" t="inlineStr">
        <is>
          <t>00160843</t>
        </is>
      </c>
      <c r="C207" s="24" t="inlineStr">
        <is>
          <t>DB하이텍</t>
        </is>
      </c>
      <c r="D207" s="24" t="inlineStr">
        <is>
          <t>dbhitek</t>
        </is>
      </c>
      <c r="E207" s="24" t="inlineStr">
        <is>
          <t>000990</t>
        </is>
      </c>
      <c r="F207" s="24" t="inlineStr">
        <is>
          <t>2022</t>
        </is>
      </c>
      <c r="G207" s="24" t="inlineStr">
        <is>
          <t>CFS</t>
        </is>
      </c>
      <c r="H207" s="24" t="inlineStr">
        <is>
          <t>BS</t>
        </is>
      </c>
      <c r="I207" s="24" t="inlineStr">
        <is>
          <t>재무상태표</t>
        </is>
      </c>
      <c r="J207" s="24" t="inlineStr">
        <is>
          <t>ifrs-full_EquityAndLiabilities</t>
        </is>
      </c>
      <c r="K207" s="24" t="inlineStr">
        <is>
          <t>자본과부채총계</t>
        </is>
      </c>
      <c r="L207" s="24" t="inlineStr">
        <is>
          <t>-</t>
        </is>
      </c>
      <c r="M207" s="24" t="inlineStr">
        <is>
          <t>제 70 기</t>
        </is>
      </c>
      <c r="N207" s="24" t="inlineStr">
        <is>
          <t>2122700474808.0</t>
        </is>
      </c>
      <c r="O207" s="24" t="inlineStr">
        <is>
          <t>1549937895854.0</t>
        </is>
      </c>
      <c r="P207" s="24" t="inlineStr">
        <is>
          <t>KRW</t>
        </is>
      </c>
      <c r="Q207" s="24" t="inlineStr">
        <is>
          <t>48</t>
        </is>
      </c>
    </row>
    <row r="208" ht="24" customHeight="1">
      <c r="A208" s="29" t="inlineStr">
        <is>
          <t>OpenDART_fnlttSinglAcntAll</t>
        </is>
      </c>
      <c r="B208" s="29" t="inlineStr">
        <is>
          <t>00160843</t>
        </is>
      </c>
      <c r="C208" s="29" t="inlineStr">
        <is>
          <t>DB하이텍</t>
        </is>
      </c>
      <c r="D208" s="29" t="inlineStr">
        <is>
          <t>dbhitek</t>
        </is>
      </c>
      <c r="E208" s="29" t="inlineStr">
        <is>
          <t>000990</t>
        </is>
      </c>
      <c r="F208" s="29" t="inlineStr">
        <is>
          <t>2022</t>
        </is>
      </c>
      <c r="G208" s="29" t="inlineStr">
        <is>
          <t>CFS</t>
        </is>
      </c>
      <c r="H208" s="29" t="inlineStr">
        <is>
          <t>IS</t>
        </is>
      </c>
      <c r="I208" s="29" t="inlineStr">
        <is>
          <t>손익계산서</t>
        </is>
      </c>
      <c r="J208" s="29" t="inlineStr">
        <is>
          <t>ifrs-full_Revenue</t>
        </is>
      </c>
      <c r="K208" s="29" t="inlineStr">
        <is>
          <t>매출액</t>
        </is>
      </c>
      <c r="L208" s="29" t="inlineStr">
        <is>
          <t>-</t>
        </is>
      </c>
      <c r="M208" s="29" t="inlineStr">
        <is>
          <t>제 70 기</t>
        </is>
      </c>
      <c r="N208" s="29" t="inlineStr">
        <is>
          <t>1675287533666.0</t>
        </is>
      </c>
      <c r="O208" s="29" t="inlineStr">
        <is>
          <t>1214682040178.0</t>
        </is>
      </c>
      <c r="P208" s="29" t="inlineStr">
        <is>
          <t>KRW</t>
        </is>
      </c>
      <c r="Q208" s="29" t="inlineStr">
        <is>
          <t>0</t>
        </is>
      </c>
    </row>
    <row r="209" ht="24" customHeight="1">
      <c r="A209" s="24" t="inlineStr">
        <is>
          <t>OpenDART_fnlttSinglAcntAll</t>
        </is>
      </c>
      <c r="B209" s="24" t="inlineStr">
        <is>
          <t>00160843</t>
        </is>
      </c>
      <c r="C209" s="24" t="inlineStr">
        <is>
          <t>DB하이텍</t>
        </is>
      </c>
      <c r="D209" s="24" t="inlineStr">
        <is>
          <t>dbhitek</t>
        </is>
      </c>
      <c r="E209" s="24" t="inlineStr">
        <is>
          <t>000990</t>
        </is>
      </c>
      <c r="F209" s="24" t="inlineStr">
        <is>
          <t>2022</t>
        </is>
      </c>
      <c r="G209" s="24" t="inlineStr">
        <is>
          <t>CFS</t>
        </is>
      </c>
      <c r="H209" s="24" t="inlineStr">
        <is>
          <t>IS</t>
        </is>
      </c>
      <c r="I209" s="24" t="inlineStr">
        <is>
          <t>손익계산서</t>
        </is>
      </c>
      <c r="J209" s="24" t="inlineStr">
        <is>
          <t>ifrs-full_CostOfSales</t>
        </is>
      </c>
      <c r="K209" s="24" t="inlineStr">
        <is>
          <t>매출원가</t>
        </is>
      </c>
      <c r="L209" s="24" t="inlineStr">
        <is>
          <t>-</t>
        </is>
      </c>
      <c r="M209" s="24" t="inlineStr">
        <is>
          <t>제 70 기</t>
        </is>
      </c>
      <c r="N209" s="24" t="inlineStr">
        <is>
          <t>742069764946.0</t>
        </is>
      </c>
      <c r="O209" s="24" t="inlineStr">
        <is>
          <t>679485436680.0</t>
        </is>
      </c>
      <c r="P209" s="24" t="inlineStr">
        <is>
          <t>KRW</t>
        </is>
      </c>
      <c r="Q209" s="24" t="inlineStr">
        <is>
          <t>1</t>
        </is>
      </c>
    </row>
    <row r="210" ht="24" customHeight="1">
      <c r="A210" s="29" t="inlineStr">
        <is>
          <t>OpenDART_fnlttSinglAcntAll</t>
        </is>
      </c>
      <c r="B210" s="29" t="inlineStr">
        <is>
          <t>00160843</t>
        </is>
      </c>
      <c r="C210" s="29" t="inlineStr">
        <is>
          <t>DB하이텍</t>
        </is>
      </c>
      <c r="D210" s="29" t="inlineStr">
        <is>
          <t>dbhitek</t>
        </is>
      </c>
      <c r="E210" s="29" t="inlineStr">
        <is>
          <t>000990</t>
        </is>
      </c>
      <c r="F210" s="29" t="inlineStr">
        <is>
          <t>2022</t>
        </is>
      </c>
      <c r="G210" s="29" t="inlineStr">
        <is>
          <t>CFS</t>
        </is>
      </c>
      <c r="H210" s="29" t="inlineStr">
        <is>
          <t>IS</t>
        </is>
      </c>
      <c r="I210" s="29" t="inlineStr">
        <is>
          <t>손익계산서</t>
        </is>
      </c>
      <c r="J210" s="29" t="inlineStr">
        <is>
          <t>ifrs-full_GrossProfit</t>
        </is>
      </c>
      <c r="K210" s="29" t="inlineStr">
        <is>
          <t>매출총이익</t>
        </is>
      </c>
      <c r="L210" s="29" t="inlineStr">
        <is>
          <t>-</t>
        </is>
      </c>
      <c r="M210" s="29" t="inlineStr">
        <is>
          <t>제 70 기</t>
        </is>
      </c>
      <c r="N210" s="29" t="inlineStr">
        <is>
          <t>933217768720.0</t>
        </is>
      </c>
      <c r="O210" s="29" t="inlineStr">
        <is>
          <t>535196603498.0</t>
        </is>
      </c>
      <c r="P210" s="29" t="inlineStr">
        <is>
          <t>KRW</t>
        </is>
      </c>
      <c r="Q210" s="29" t="inlineStr">
        <is>
          <t>2</t>
        </is>
      </c>
    </row>
    <row r="211" ht="24" customHeight="1">
      <c r="A211" s="24" t="inlineStr">
        <is>
          <t>OpenDART_fnlttSinglAcntAll</t>
        </is>
      </c>
      <c r="B211" s="24" t="inlineStr">
        <is>
          <t>00160843</t>
        </is>
      </c>
      <c r="C211" s="24" t="inlineStr">
        <is>
          <t>DB하이텍</t>
        </is>
      </c>
      <c r="D211" s="24" t="inlineStr">
        <is>
          <t>dbhitek</t>
        </is>
      </c>
      <c r="E211" s="24" t="inlineStr">
        <is>
          <t>000990</t>
        </is>
      </c>
      <c r="F211" s="24" t="inlineStr">
        <is>
          <t>2022</t>
        </is>
      </c>
      <c r="G211" s="24" t="inlineStr">
        <is>
          <t>CFS</t>
        </is>
      </c>
      <c r="H211" s="24" t="inlineStr">
        <is>
          <t>IS</t>
        </is>
      </c>
      <c r="I211" s="24" t="inlineStr">
        <is>
          <t>손익계산서</t>
        </is>
      </c>
      <c r="J211" s="24" t="inlineStr">
        <is>
          <t>dart_TotalSellingGeneralAdministrativeExpenses</t>
        </is>
      </c>
      <c r="K211" s="24" t="inlineStr">
        <is>
          <t>판매비와관리비</t>
        </is>
      </c>
      <c r="L211" s="24" t="inlineStr">
        <is>
          <t>-</t>
        </is>
      </c>
      <c r="M211" s="24" t="inlineStr">
        <is>
          <t>제 70 기</t>
        </is>
      </c>
      <c r="N211" s="24" t="inlineStr">
        <is>
          <t>164471082980.0</t>
        </is>
      </c>
      <c r="O211" s="24" t="inlineStr">
        <is>
          <t>136089825195.0</t>
        </is>
      </c>
      <c r="P211" s="24" t="inlineStr">
        <is>
          <t>KRW</t>
        </is>
      </c>
      <c r="Q211" s="24" t="inlineStr">
        <is>
          <t>3</t>
        </is>
      </c>
    </row>
    <row r="212" ht="24" customHeight="1">
      <c r="A212" s="29" t="inlineStr">
        <is>
          <t>OpenDART_fnlttSinglAcntAll</t>
        </is>
      </c>
      <c r="B212" s="29" t="inlineStr">
        <is>
          <t>00160843</t>
        </is>
      </c>
      <c r="C212" s="29" t="inlineStr">
        <is>
          <t>DB하이텍</t>
        </is>
      </c>
      <c r="D212" s="29" t="inlineStr">
        <is>
          <t>dbhitek</t>
        </is>
      </c>
      <c r="E212" s="29" t="inlineStr">
        <is>
          <t>000990</t>
        </is>
      </c>
      <c r="F212" s="29" t="inlineStr">
        <is>
          <t>2022</t>
        </is>
      </c>
      <c r="G212" s="29" t="inlineStr">
        <is>
          <t>CFS</t>
        </is>
      </c>
      <c r="H212" s="29" t="inlineStr">
        <is>
          <t>IS</t>
        </is>
      </c>
      <c r="I212" s="29" t="inlineStr">
        <is>
          <t>손익계산서</t>
        </is>
      </c>
      <c r="J212" s="29" t="inlineStr">
        <is>
          <t>dart_OperatingIncomeLoss</t>
        </is>
      </c>
      <c r="K212" s="29" t="inlineStr">
        <is>
          <t>영업이익(손실)</t>
        </is>
      </c>
      <c r="L212" s="29" t="inlineStr">
        <is>
          <t>-</t>
        </is>
      </c>
      <c r="M212" s="29" t="inlineStr">
        <is>
          <t>제 70 기</t>
        </is>
      </c>
      <c r="N212" s="29" t="inlineStr">
        <is>
          <t>768746685740.0</t>
        </is>
      </c>
      <c r="O212" s="29" t="inlineStr">
        <is>
          <t>399106778303.0</t>
        </is>
      </c>
      <c r="P212" s="29" t="inlineStr">
        <is>
          <t>KRW</t>
        </is>
      </c>
      <c r="Q212" s="29" t="inlineStr">
        <is>
          <t>4</t>
        </is>
      </c>
    </row>
    <row r="213" ht="24" customHeight="1">
      <c r="A213" s="24" t="inlineStr">
        <is>
          <t>OpenDART_fnlttSinglAcntAll</t>
        </is>
      </c>
      <c r="B213" s="24" t="inlineStr">
        <is>
          <t>00160843</t>
        </is>
      </c>
      <c r="C213" s="24" t="inlineStr">
        <is>
          <t>DB하이텍</t>
        </is>
      </c>
      <c r="D213" s="24" t="inlineStr">
        <is>
          <t>dbhitek</t>
        </is>
      </c>
      <c r="E213" s="24" t="inlineStr">
        <is>
          <t>000990</t>
        </is>
      </c>
      <c r="F213" s="24" t="inlineStr">
        <is>
          <t>2022</t>
        </is>
      </c>
      <c r="G213" s="24" t="inlineStr">
        <is>
          <t>CFS</t>
        </is>
      </c>
      <c r="H213" s="24" t="inlineStr">
        <is>
          <t>IS</t>
        </is>
      </c>
      <c r="I213" s="24" t="inlineStr">
        <is>
          <t>손익계산서</t>
        </is>
      </c>
      <c r="J213" s="24" t="inlineStr">
        <is>
          <t>ifrs-full_FinanceIncome</t>
        </is>
      </c>
      <c r="K213" s="24" t="inlineStr">
        <is>
          <t>금융수익</t>
        </is>
      </c>
      <c r="L213" s="24" t="inlineStr">
        <is>
          <t>-</t>
        </is>
      </c>
      <c r="M213" s="24" t="inlineStr">
        <is>
          <t>제 70 기</t>
        </is>
      </c>
      <c r="N213" s="24" t="inlineStr">
        <is>
          <t>23284191206.0</t>
        </is>
      </c>
      <c r="O213" s="24" t="inlineStr">
        <is>
          <t>7828834847.0</t>
        </is>
      </c>
      <c r="P213" s="24" t="inlineStr">
        <is>
          <t>KRW</t>
        </is>
      </c>
      <c r="Q213" s="24" t="inlineStr">
        <is>
          <t>5</t>
        </is>
      </c>
    </row>
    <row r="214" ht="24" customHeight="1">
      <c r="A214" s="29" t="inlineStr">
        <is>
          <t>OpenDART_fnlttSinglAcntAll</t>
        </is>
      </c>
      <c r="B214" s="29" t="inlineStr">
        <is>
          <t>00160843</t>
        </is>
      </c>
      <c r="C214" s="29" t="inlineStr">
        <is>
          <t>DB하이텍</t>
        </is>
      </c>
      <c r="D214" s="29" t="inlineStr">
        <is>
          <t>dbhitek</t>
        </is>
      </c>
      <c r="E214" s="29" t="inlineStr">
        <is>
          <t>000990</t>
        </is>
      </c>
      <c r="F214" s="29" t="inlineStr">
        <is>
          <t>2022</t>
        </is>
      </c>
      <c r="G214" s="29" t="inlineStr">
        <is>
          <t>CFS</t>
        </is>
      </c>
      <c r="H214" s="29" t="inlineStr">
        <is>
          <t>IS</t>
        </is>
      </c>
      <c r="I214" s="29" t="inlineStr">
        <is>
          <t>손익계산서</t>
        </is>
      </c>
      <c r="J214" s="29" t="inlineStr">
        <is>
          <t>ifrs-full_FinanceCosts</t>
        </is>
      </c>
      <c r="K214" s="29" t="inlineStr">
        <is>
          <t>금융비용</t>
        </is>
      </c>
      <c r="L214" s="29" t="inlineStr">
        <is>
          <t>-</t>
        </is>
      </c>
      <c r="M214" s="29" t="inlineStr">
        <is>
          <t>제 70 기</t>
        </is>
      </c>
      <c r="N214" s="29" t="inlineStr">
        <is>
          <t>19677408149.0</t>
        </is>
      </c>
      <c r="O214" s="29" t="inlineStr">
        <is>
          <t>6281633675.0</t>
        </is>
      </c>
      <c r="P214" s="29" t="inlineStr">
        <is>
          <t>KRW</t>
        </is>
      </c>
      <c r="Q214" s="29" t="inlineStr">
        <is>
          <t>6</t>
        </is>
      </c>
    </row>
    <row r="215" ht="24" customHeight="1">
      <c r="A215" s="24" t="inlineStr">
        <is>
          <t>OpenDART_fnlttSinglAcntAll</t>
        </is>
      </c>
      <c r="B215" s="24" t="inlineStr">
        <is>
          <t>00160843</t>
        </is>
      </c>
      <c r="C215" s="24" t="inlineStr">
        <is>
          <t>DB하이텍</t>
        </is>
      </c>
      <c r="D215" s="24" t="inlineStr">
        <is>
          <t>dbhitek</t>
        </is>
      </c>
      <c r="E215" s="24" t="inlineStr">
        <is>
          <t>000990</t>
        </is>
      </c>
      <c r="F215" s="24" t="inlineStr">
        <is>
          <t>2022</t>
        </is>
      </c>
      <c r="G215" s="24" t="inlineStr">
        <is>
          <t>CFS</t>
        </is>
      </c>
      <c r="H215" s="24" t="inlineStr">
        <is>
          <t>IS</t>
        </is>
      </c>
      <c r="I215" s="24" t="inlineStr">
        <is>
          <t>손익계산서</t>
        </is>
      </c>
      <c r="J215" s="24" t="inlineStr">
        <is>
          <t>dart_OtherGains</t>
        </is>
      </c>
      <c r="K215" s="24" t="inlineStr">
        <is>
          <t>기타영업외수익</t>
        </is>
      </c>
      <c r="L215" s="24" t="inlineStr">
        <is>
          <t>-</t>
        </is>
      </c>
      <c r="M215" s="24" t="inlineStr">
        <is>
          <t>제 70 기</t>
        </is>
      </c>
      <c r="N215" s="24" t="inlineStr">
        <is>
          <t>44742858980.0</t>
        </is>
      </c>
      <c r="O215" s="24" t="inlineStr">
        <is>
          <t>16566208420.0</t>
        </is>
      </c>
      <c r="P215" s="24" t="inlineStr">
        <is>
          <t>KRW</t>
        </is>
      </c>
      <c r="Q215" s="24" t="inlineStr">
        <is>
          <t>7</t>
        </is>
      </c>
    </row>
    <row r="216" ht="24" customHeight="1">
      <c r="A216" s="29" t="inlineStr">
        <is>
          <t>OpenDART_fnlttSinglAcntAll</t>
        </is>
      </c>
      <c r="B216" s="29" t="inlineStr">
        <is>
          <t>00160843</t>
        </is>
      </c>
      <c r="C216" s="29" t="inlineStr">
        <is>
          <t>DB하이텍</t>
        </is>
      </c>
      <c r="D216" s="29" t="inlineStr">
        <is>
          <t>dbhitek</t>
        </is>
      </c>
      <c r="E216" s="29" t="inlineStr">
        <is>
          <t>000990</t>
        </is>
      </c>
      <c r="F216" s="29" t="inlineStr">
        <is>
          <t>2022</t>
        </is>
      </c>
      <c r="G216" s="29" t="inlineStr">
        <is>
          <t>CFS</t>
        </is>
      </c>
      <c r="H216" s="29" t="inlineStr">
        <is>
          <t>IS</t>
        </is>
      </c>
      <c r="I216" s="29" t="inlineStr">
        <is>
          <t>손익계산서</t>
        </is>
      </c>
      <c r="J216" s="29" t="inlineStr">
        <is>
          <t>dart_OtherLosses</t>
        </is>
      </c>
      <c r="K216" s="29" t="inlineStr">
        <is>
          <t>기타영업외비용</t>
        </is>
      </c>
      <c r="L216" s="29" t="inlineStr">
        <is>
          <t>-</t>
        </is>
      </c>
      <c r="M216" s="29" t="inlineStr">
        <is>
          <t>제 70 기</t>
        </is>
      </c>
      <c r="N216" s="29" t="inlineStr">
        <is>
          <t>46996874508.0</t>
        </is>
      </c>
      <c r="O216" s="29" t="inlineStr">
        <is>
          <t>22760003418.0</t>
        </is>
      </c>
      <c r="P216" s="29" t="inlineStr">
        <is>
          <t>KRW</t>
        </is>
      </c>
      <c r="Q216" s="29" t="inlineStr">
        <is>
          <t>8</t>
        </is>
      </c>
    </row>
    <row r="217" ht="24" customHeight="1">
      <c r="A217" s="24" t="inlineStr">
        <is>
          <t>OpenDART_fnlttSinglAcntAll</t>
        </is>
      </c>
      <c r="B217" s="24" t="inlineStr">
        <is>
          <t>00160843</t>
        </is>
      </c>
      <c r="C217" s="24" t="inlineStr">
        <is>
          <t>DB하이텍</t>
        </is>
      </c>
      <c r="D217" s="24" t="inlineStr">
        <is>
          <t>dbhitek</t>
        </is>
      </c>
      <c r="E217" s="24" t="inlineStr">
        <is>
          <t>000990</t>
        </is>
      </c>
      <c r="F217" s="24" t="inlineStr">
        <is>
          <t>2022</t>
        </is>
      </c>
      <c r="G217" s="24" t="inlineStr">
        <is>
          <t>CFS</t>
        </is>
      </c>
      <c r="H217" s="24" t="inlineStr">
        <is>
          <t>IS</t>
        </is>
      </c>
      <c r="I217" s="24" t="inlineStr">
        <is>
          <t>손익계산서</t>
        </is>
      </c>
      <c r="J217" s="24" t="inlineStr">
        <is>
          <t>-표준계정코드 미사용-</t>
        </is>
      </c>
      <c r="K217" s="24" t="inlineStr">
        <is>
          <t>지분법이익</t>
        </is>
      </c>
      <c r="L217" s="24" t="inlineStr">
        <is>
          <t>-</t>
        </is>
      </c>
      <c r="M217" s="24" t="inlineStr">
        <is>
          <t>제 70 기</t>
        </is>
      </c>
      <c r="N217" s="24" t="inlineStr">
        <is>
          <t>10434240404.0</t>
        </is>
      </c>
      <c r="O217" s="24" t="inlineStr">
        <is>
          <t>20413022302.0</t>
        </is>
      </c>
      <c r="P217" s="24" t="inlineStr">
        <is>
          <t>KRW</t>
        </is>
      </c>
      <c r="Q217" s="24" t="inlineStr">
        <is>
          <t>9</t>
        </is>
      </c>
    </row>
    <row r="218" ht="24" customHeight="1">
      <c r="A218" s="29" t="inlineStr">
        <is>
          <t>OpenDART_fnlttSinglAcntAll</t>
        </is>
      </c>
      <c r="B218" s="29" t="inlineStr">
        <is>
          <t>00160843</t>
        </is>
      </c>
      <c r="C218" s="29" t="inlineStr">
        <is>
          <t>DB하이텍</t>
        </is>
      </c>
      <c r="D218" s="29" t="inlineStr">
        <is>
          <t>dbhitek</t>
        </is>
      </c>
      <c r="E218" s="29" t="inlineStr">
        <is>
          <t>000990</t>
        </is>
      </c>
      <c r="F218" s="29" t="inlineStr">
        <is>
          <t>2022</t>
        </is>
      </c>
      <c r="G218" s="29" t="inlineStr">
        <is>
          <t>CFS</t>
        </is>
      </c>
      <c r="H218" s="29" t="inlineStr">
        <is>
          <t>IS</t>
        </is>
      </c>
      <c r="I218" s="29" t="inlineStr">
        <is>
          <t>손익계산서</t>
        </is>
      </c>
      <c r="J218" s="29" t="inlineStr">
        <is>
          <t>-표준계정코드 미사용-</t>
        </is>
      </c>
      <c r="K218" s="29" t="inlineStr">
        <is>
          <t>지분법손실</t>
        </is>
      </c>
      <c r="L218" s="29" t="inlineStr">
        <is>
          <t>-</t>
        </is>
      </c>
      <c r="M218" s="29" t="inlineStr">
        <is>
          <t>제 70 기</t>
        </is>
      </c>
      <c r="N218" s="29" t="inlineStr">
        <is>
          <t>866644.0</t>
        </is>
      </c>
      <c r="O218" s="29" t="inlineStr">
        <is>
          <t>2412699.0</t>
        </is>
      </c>
      <c r="P218" s="29" t="inlineStr">
        <is>
          <t>KRW</t>
        </is>
      </c>
      <c r="Q218" s="29" t="inlineStr">
        <is>
          <t>10</t>
        </is>
      </c>
    </row>
    <row r="219" ht="24" customHeight="1">
      <c r="A219" s="24" t="inlineStr">
        <is>
          <t>OpenDART_fnlttSinglAcntAll</t>
        </is>
      </c>
      <c r="B219" s="24" t="inlineStr">
        <is>
          <t>00160843</t>
        </is>
      </c>
      <c r="C219" s="24" t="inlineStr">
        <is>
          <t>DB하이텍</t>
        </is>
      </c>
      <c r="D219" s="24" t="inlineStr">
        <is>
          <t>dbhitek</t>
        </is>
      </c>
      <c r="E219" s="24" t="inlineStr">
        <is>
          <t>000990</t>
        </is>
      </c>
      <c r="F219" s="24" t="inlineStr">
        <is>
          <t>2022</t>
        </is>
      </c>
      <c r="G219" s="24" t="inlineStr">
        <is>
          <t>CFS</t>
        </is>
      </c>
      <c r="H219" s="24" t="inlineStr">
        <is>
          <t>IS</t>
        </is>
      </c>
      <c r="I219" s="24" t="inlineStr">
        <is>
          <t>손익계산서</t>
        </is>
      </c>
      <c r="J219" s="24" t="inlineStr">
        <is>
          <t>-표준계정코드 미사용-</t>
        </is>
      </c>
      <c r="K219" s="24" t="inlineStr">
        <is>
          <t>관계기업투자처분손실</t>
        </is>
      </c>
      <c r="L219" s="24" t="inlineStr">
        <is>
          <t>-</t>
        </is>
      </c>
      <c r="M219" s="24" t="inlineStr">
        <is>
          <t>제 70 기</t>
        </is>
      </c>
      <c r="N219" s="24" t="inlineStr">
        <is>
          <t>0.0</t>
        </is>
      </c>
      <c r="O219" s="24" t="inlineStr">
        <is>
          <t>0.0</t>
        </is>
      </c>
      <c r="P219" s="24" t="inlineStr">
        <is>
          <t>KRW</t>
        </is>
      </c>
      <c r="Q219" s="24" t="inlineStr">
        <is>
          <t>11</t>
        </is>
      </c>
    </row>
    <row r="220" ht="24" customHeight="1">
      <c r="A220" s="29" t="inlineStr">
        <is>
          <t>OpenDART_fnlttSinglAcntAll</t>
        </is>
      </c>
      <c r="B220" s="29" t="inlineStr">
        <is>
          <t>00160843</t>
        </is>
      </c>
      <c r="C220" s="29" t="inlineStr">
        <is>
          <t>DB하이텍</t>
        </is>
      </c>
      <c r="D220" s="29" t="inlineStr">
        <is>
          <t>dbhitek</t>
        </is>
      </c>
      <c r="E220" s="29" t="inlineStr">
        <is>
          <t>000990</t>
        </is>
      </c>
      <c r="F220" s="29" t="inlineStr">
        <is>
          <t>2022</t>
        </is>
      </c>
      <c r="G220" s="29" t="inlineStr">
        <is>
          <t>CFS</t>
        </is>
      </c>
      <c r="H220" s="29" t="inlineStr">
        <is>
          <t>IS</t>
        </is>
      </c>
      <c r="I220" s="29" t="inlineStr">
        <is>
          <t>손익계산서</t>
        </is>
      </c>
      <c r="J220" s="29" t="inlineStr">
        <is>
          <t>-표준계정코드 미사용-</t>
        </is>
      </c>
      <c r="K220" s="29" t="inlineStr">
        <is>
          <t>관계기업투자손상차손</t>
        </is>
      </c>
      <c r="L220" s="29" t="inlineStr">
        <is>
          <t>-</t>
        </is>
      </c>
      <c r="M220" s="29" t="inlineStr">
        <is>
          <t>제 70 기</t>
        </is>
      </c>
      <c r="N220" s="29" t="inlineStr">
        <is>
          <t>33394488724.0</t>
        </is>
      </c>
      <c r="O220" s="29" t="inlineStr">
        <is>
          <t>0.0</t>
        </is>
      </c>
      <c r="P220" s="29" t="inlineStr">
        <is>
          <t>KRW</t>
        </is>
      </c>
      <c r="Q220" s="29" t="inlineStr">
        <is>
          <t>12</t>
        </is>
      </c>
    </row>
    <row r="221" ht="24" customHeight="1">
      <c r="A221" s="24" t="inlineStr">
        <is>
          <t>OpenDART_fnlttSinglAcntAll</t>
        </is>
      </c>
      <c r="B221" s="24" t="inlineStr">
        <is>
          <t>00160843</t>
        </is>
      </c>
      <c r="C221" s="24" t="inlineStr">
        <is>
          <t>DB하이텍</t>
        </is>
      </c>
      <c r="D221" s="24" t="inlineStr">
        <is>
          <t>dbhitek</t>
        </is>
      </c>
      <c r="E221" s="24" t="inlineStr">
        <is>
          <t>000990</t>
        </is>
      </c>
      <c r="F221" s="24" t="inlineStr">
        <is>
          <t>2022</t>
        </is>
      </c>
      <c r="G221" s="24" t="inlineStr">
        <is>
          <t>CFS</t>
        </is>
      </c>
      <c r="H221" s="24" t="inlineStr">
        <is>
          <t>IS</t>
        </is>
      </c>
      <c r="I221" s="24" t="inlineStr">
        <is>
          <t>손익계산서</t>
        </is>
      </c>
      <c r="J221" s="24" t="inlineStr">
        <is>
          <t>-표준계정코드 미사용-</t>
        </is>
      </c>
      <c r="K221" s="24" t="inlineStr">
        <is>
          <t>관계기업투자손상차손환입</t>
        </is>
      </c>
      <c r="L221" s="24" t="inlineStr">
        <is>
          <t>-</t>
        </is>
      </c>
      <c r="M221" s="24" t="inlineStr">
        <is>
          <t>제 70 기</t>
        </is>
      </c>
      <c r="N221" s="24" t="inlineStr">
        <is>
          <t>0.0</t>
        </is>
      </c>
      <c r="O221" s="24" t="inlineStr">
        <is>
          <t>5568954833.0</t>
        </is>
      </c>
      <c r="P221" s="24" t="inlineStr">
        <is>
          <t>KRW</t>
        </is>
      </c>
      <c r="Q221" s="24" t="inlineStr">
        <is>
          <t>13</t>
        </is>
      </c>
    </row>
    <row r="222" ht="24" customHeight="1">
      <c r="A222" s="29" t="inlineStr">
        <is>
          <t>OpenDART_fnlttSinglAcntAll</t>
        </is>
      </c>
      <c r="B222" s="29" t="inlineStr">
        <is>
          <t>00160843</t>
        </is>
      </c>
      <c r="C222" s="29" t="inlineStr">
        <is>
          <t>DB하이텍</t>
        </is>
      </c>
      <c r="D222" s="29" t="inlineStr">
        <is>
          <t>dbhitek</t>
        </is>
      </c>
      <c r="E222" s="29" t="inlineStr">
        <is>
          <t>000990</t>
        </is>
      </c>
      <c r="F222" s="29" t="inlineStr">
        <is>
          <t>2022</t>
        </is>
      </c>
      <c r="G222" s="29" t="inlineStr">
        <is>
          <t>CFS</t>
        </is>
      </c>
      <c r="H222" s="29" t="inlineStr">
        <is>
          <t>IS</t>
        </is>
      </c>
      <c r="I222" s="29" t="inlineStr">
        <is>
          <t>손익계산서</t>
        </is>
      </c>
      <c r="J222" s="29" t="inlineStr">
        <is>
          <t>ifrs-full_ProfitLossBeforeTax</t>
        </is>
      </c>
      <c r="K222" s="29" t="inlineStr">
        <is>
          <t>법인세비용차감전순이익(손실)</t>
        </is>
      </c>
      <c r="L222" s="29" t="inlineStr">
        <is>
          <t>-</t>
        </is>
      </c>
      <c r="M222" s="29" t="inlineStr">
        <is>
          <t>제 70 기</t>
        </is>
      </c>
      <c r="N222" s="29" t="inlineStr">
        <is>
          <t>747138338305.0</t>
        </is>
      </c>
      <c r="O222" s="29" t="inlineStr">
        <is>
          <t>420439748913.0</t>
        </is>
      </c>
      <c r="P222" s="29" t="inlineStr">
        <is>
          <t>KRW</t>
        </is>
      </c>
      <c r="Q222" s="29" t="inlineStr">
        <is>
          <t>14</t>
        </is>
      </c>
    </row>
    <row r="223" ht="24" customHeight="1">
      <c r="A223" s="24" t="inlineStr">
        <is>
          <t>OpenDART_fnlttSinglAcntAll</t>
        </is>
      </c>
      <c r="B223" s="24" t="inlineStr">
        <is>
          <t>00160843</t>
        </is>
      </c>
      <c r="C223" s="24" t="inlineStr">
        <is>
          <t>DB하이텍</t>
        </is>
      </c>
      <c r="D223" s="24" t="inlineStr">
        <is>
          <t>dbhitek</t>
        </is>
      </c>
      <c r="E223" s="24" t="inlineStr">
        <is>
          <t>000990</t>
        </is>
      </c>
      <c r="F223" s="24" t="inlineStr">
        <is>
          <t>2022</t>
        </is>
      </c>
      <c r="G223" s="24" t="inlineStr">
        <is>
          <t>CFS</t>
        </is>
      </c>
      <c r="H223" s="24" t="inlineStr">
        <is>
          <t>IS</t>
        </is>
      </c>
      <c r="I223" s="24" t="inlineStr">
        <is>
          <t>손익계산서</t>
        </is>
      </c>
      <c r="J223" s="24" t="inlineStr">
        <is>
          <t>ifrs-full_IncomeTaxExpenseContinuingOperations</t>
        </is>
      </c>
      <c r="K223" s="24" t="inlineStr">
        <is>
          <t>법인세비용</t>
        </is>
      </c>
      <c r="L223" s="24" t="inlineStr">
        <is>
          <t>-</t>
        </is>
      </c>
      <c r="M223" s="24" t="inlineStr">
        <is>
          <t>제 70 기</t>
        </is>
      </c>
      <c r="N223" s="24" t="inlineStr">
        <is>
          <t>188301676088.0</t>
        </is>
      </c>
      <c r="O223" s="24" t="inlineStr">
        <is>
          <t>103547896905.0</t>
        </is>
      </c>
      <c r="P223" s="24" t="inlineStr">
        <is>
          <t>KRW</t>
        </is>
      </c>
      <c r="Q223" s="24" t="inlineStr">
        <is>
          <t>15</t>
        </is>
      </c>
    </row>
    <row r="224" ht="24" customHeight="1">
      <c r="A224" s="29" t="inlineStr">
        <is>
          <t>OpenDART_fnlttSinglAcntAll</t>
        </is>
      </c>
      <c r="B224" s="29" t="inlineStr">
        <is>
          <t>00160843</t>
        </is>
      </c>
      <c r="C224" s="29" t="inlineStr">
        <is>
          <t>DB하이텍</t>
        </is>
      </c>
      <c r="D224" s="29" t="inlineStr">
        <is>
          <t>dbhitek</t>
        </is>
      </c>
      <c r="E224" s="29" t="inlineStr">
        <is>
          <t>000990</t>
        </is>
      </c>
      <c r="F224" s="29" t="inlineStr">
        <is>
          <t>2022</t>
        </is>
      </c>
      <c r="G224" s="29" t="inlineStr">
        <is>
          <t>CFS</t>
        </is>
      </c>
      <c r="H224" s="29" t="inlineStr">
        <is>
          <t>IS</t>
        </is>
      </c>
      <c r="I224" s="29" t="inlineStr">
        <is>
          <t>손익계산서</t>
        </is>
      </c>
      <c r="J224" s="29" t="inlineStr">
        <is>
          <t>ifrs-full_ProfitLossFromContinuingOperations</t>
        </is>
      </c>
      <c r="K224" s="29" t="inlineStr">
        <is>
          <t>계속영업이익(손실)</t>
        </is>
      </c>
      <c r="L224" s="29" t="inlineStr">
        <is>
          <t>-</t>
        </is>
      </c>
      <c r="M224" s="29" t="inlineStr">
        <is>
          <t>제 70 기</t>
        </is>
      </c>
      <c r="N224" s="29" t="inlineStr">
        <is>
          <t>558836662217.0</t>
        </is>
      </c>
      <c r="O224" s="29" t="inlineStr">
        <is>
          <t>316891852008.0</t>
        </is>
      </c>
      <c r="P224" s="29" t="inlineStr">
        <is>
          <t>KRW</t>
        </is>
      </c>
      <c r="Q224" s="29" t="inlineStr">
        <is>
          <t>16</t>
        </is>
      </c>
    </row>
    <row r="225" ht="24" customHeight="1">
      <c r="A225" s="24" t="inlineStr">
        <is>
          <t>OpenDART_fnlttSinglAcntAll</t>
        </is>
      </c>
      <c r="B225" s="24" t="inlineStr">
        <is>
          <t>00160843</t>
        </is>
      </c>
      <c r="C225" s="24" t="inlineStr">
        <is>
          <t>DB하이텍</t>
        </is>
      </c>
      <c r="D225" s="24" t="inlineStr">
        <is>
          <t>dbhitek</t>
        </is>
      </c>
      <c r="E225" s="24" t="inlineStr">
        <is>
          <t>000990</t>
        </is>
      </c>
      <c r="F225" s="24" t="inlineStr">
        <is>
          <t>2022</t>
        </is>
      </c>
      <c r="G225" s="24" t="inlineStr">
        <is>
          <t>CFS</t>
        </is>
      </c>
      <c r="H225" s="24" t="inlineStr">
        <is>
          <t>IS</t>
        </is>
      </c>
      <c r="I225" s="24" t="inlineStr">
        <is>
          <t>손익계산서</t>
        </is>
      </c>
      <c r="J225" s="24" t="inlineStr">
        <is>
          <t>ifrs-full_ProfitLossFromDiscontinuedOperations</t>
        </is>
      </c>
      <c r="K225" s="24" t="inlineStr">
        <is>
          <t>중단영업이익(손실)</t>
        </is>
      </c>
      <c r="L225" s="24" t="inlineStr">
        <is>
          <t>-</t>
        </is>
      </c>
      <c r="M225" s="24" t="inlineStr">
        <is>
          <t>제 70 기</t>
        </is>
      </c>
      <c r="N225" s="24" t="inlineStr">
        <is>
          <t>0.0</t>
        </is>
      </c>
      <c r="O225" s="24" t="inlineStr">
        <is>
          <t>0.0</t>
        </is>
      </c>
      <c r="P225" s="24" t="inlineStr">
        <is>
          <t>KRW</t>
        </is>
      </c>
      <c r="Q225" s="24" t="inlineStr">
        <is>
          <t>17</t>
        </is>
      </c>
    </row>
    <row r="226" ht="24" customHeight="1">
      <c r="A226" s="29" t="inlineStr">
        <is>
          <t>OpenDART_fnlttSinglAcntAll</t>
        </is>
      </c>
      <c r="B226" s="29" t="inlineStr">
        <is>
          <t>00160843</t>
        </is>
      </c>
      <c r="C226" s="29" t="inlineStr">
        <is>
          <t>DB하이텍</t>
        </is>
      </c>
      <c r="D226" s="29" t="inlineStr">
        <is>
          <t>dbhitek</t>
        </is>
      </c>
      <c r="E226" s="29" t="inlineStr">
        <is>
          <t>000990</t>
        </is>
      </c>
      <c r="F226" s="29" t="inlineStr">
        <is>
          <t>2022</t>
        </is>
      </c>
      <c r="G226" s="29" t="inlineStr">
        <is>
          <t>CFS</t>
        </is>
      </c>
      <c r="H226" s="29" t="inlineStr">
        <is>
          <t>IS</t>
        </is>
      </c>
      <c r="I226" s="29" t="inlineStr">
        <is>
          <t>손익계산서</t>
        </is>
      </c>
      <c r="J226" s="29" t="inlineStr">
        <is>
          <t>ifrs-full_ProfitLoss</t>
        </is>
      </c>
      <c r="K226" s="29" t="inlineStr">
        <is>
          <t>당기순이익(손실)</t>
        </is>
      </c>
      <c r="L226" s="29" t="inlineStr">
        <is>
          <t>-</t>
        </is>
      </c>
      <c r="M226" s="29" t="inlineStr">
        <is>
          <t>제 70 기</t>
        </is>
      </c>
      <c r="N226" s="29" t="inlineStr">
        <is>
          <t>558836662217.0</t>
        </is>
      </c>
      <c r="O226" s="29" t="inlineStr">
        <is>
          <t>316891852008.0</t>
        </is>
      </c>
      <c r="P226" s="29" t="inlineStr">
        <is>
          <t>KRW</t>
        </is>
      </c>
      <c r="Q226" s="29" t="inlineStr">
        <is>
          <t>18</t>
        </is>
      </c>
    </row>
    <row r="227" ht="24" customHeight="1">
      <c r="A227" s="24" t="inlineStr">
        <is>
          <t>OpenDART_fnlttSinglAcntAll</t>
        </is>
      </c>
      <c r="B227" s="24" t="inlineStr">
        <is>
          <t>00160843</t>
        </is>
      </c>
      <c r="C227" s="24" t="inlineStr">
        <is>
          <t>DB하이텍</t>
        </is>
      </c>
      <c r="D227" s="24" t="inlineStr">
        <is>
          <t>dbhitek</t>
        </is>
      </c>
      <c r="E227" s="24" t="inlineStr">
        <is>
          <t>000990</t>
        </is>
      </c>
      <c r="F227" s="24" t="inlineStr">
        <is>
          <t>2022</t>
        </is>
      </c>
      <c r="G227" s="24" t="inlineStr">
        <is>
          <t>CFS</t>
        </is>
      </c>
      <c r="H227" s="24" t="inlineStr">
        <is>
          <t>IS</t>
        </is>
      </c>
      <c r="I227" s="24" t="inlineStr">
        <is>
          <t>손익계산서</t>
        </is>
      </c>
      <c r="J227" s="24" t="inlineStr">
        <is>
          <t>ifrs-full_ProfitLossAttributableToOwnersOfParent</t>
        </is>
      </c>
      <c r="K227" s="24" t="inlineStr">
        <is>
          <t>지배기업의 소유주에게 귀속되는 당기순이익(손실)</t>
        </is>
      </c>
      <c r="L227" s="24" t="inlineStr">
        <is>
          <t>-</t>
        </is>
      </c>
      <c r="M227" s="24" t="inlineStr">
        <is>
          <t>제 70 기</t>
        </is>
      </c>
      <c r="N227" s="24" t="inlineStr">
        <is>
          <t>558836662217.0</t>
        </is>
      </c>
      <c r="O227" s="24" t="inlineStr">
        <is>
          <t>316891852008.0</t>
        </is>
      </c>
      <c r="P227" s="24" t="inlineStr">
        <is>
          <t>KRW</t>
        </is>
      </c>
      <c r="Q227" s="24" t="inlineStr">
        <is>
          <t>20</t>
        </is>
      </c>
    </row>
    <row r="228" ht="24" customHeight="1">
      <c r="A228" s="29" t="inlineStr">
        <is>
          <t>OpenDART_fnlttSinglAcntAll</t>
        </is>
      </c>
      <c r="B228" s="29" t="inlineStr">
        <is>
          <t>00160843</t>
        </is>
      </c>
      <c r="C228" s="29" t="inlineStr">
        <is>
          <t>DB하이텍</t>
        </is>
      </c>
      <c r="D228" s="29" t="inlineStr">
        <is>
          <t>dbhitek</t>
        </is>
      </c>
      <c r="E228" s="29" t="inlineStr">
        <is>
          <t>000990</t>
        </is>
      </c>
      <c r="F228" s="29" t="inlineStr">
        <is>
          <t>2022</t>
        </is>
      </c>
      <c r="G228" s="29" t="inlineStr">
        <is>
          <t>CFS</t>
        </is>
      </c>
      <c r="H228" s="29" t="inlineStr">
        <is>
          <t>IS</t>
        </is>
      </c>
      <c r="I228" s="29" t="inlineStr">
        <is>
          <t>손익계산서</t>
        </is>
      </c>
      <c r="J228" s="29" t="inlineStr">
        <is>
          <t>ifrs-full_ProfitLossAttributableToNoncontrollingInterests</t>
        </is>
      </c>
      <c r="K228" s="29" t="inlineStr">
        <is>
          <t>비지배지분에 귀속되는 당기순이익(손실)</t>
        </is>
      </c>
      <c r="L228" s="29" t="inlineStr">
        <is>
          <t>-</t>
        </is>
      </c>
      <c r="M228" s="29" t="inlineStr">
        <is>
          <t>제 70 기</t>
        </is>
      </c>
      <c r="N228" s="29" t="inlineStr">
        <is>
          <t>0.0</t>
        </is>
      </c>
      <c r="O228" s="29" t="inlineStr">
        <is>
          <t>0.0</t>
        </is>
      </c>
      <c r="P228" s="29" t="inlineStr">
        <is>
          <t>KRW</t>
        </is>
      </c>
      <c r="Q228" s="29" t="inlineStr">
        <is>
          <t>21</t>
        </is>
      </c>
    </row>
    <row r="229" ht="24" customHeight="1">
      <c r="A229" s="24" t="inlineStr">
        <is>
          <t>OpenDART_fnlttSinglAcntAll</t>
        </is>
      </c>
      <c r="B229" s="24" t="inlineStr">
        <is>
          <t>00160843</t>
        </is>
      </c>
      <c r="C229" s="24" t="inlineStr">
        <is>
          <t>DB하이텍</t>
        </is>
      </c>
      <c r="D229" s="24" t="inlineStr">
        <is>
          <t>dbhitek</t>
        </is>
      </c>
      <c r="E229" s="24" t="inlineStr">
        <is>
          <t>000990</t>
        </is>
      </c>
      <c r="F229" s="24" t="inlineStr">
        <is>
          <t>2022</t>
        </is>
      </c>
      <c r="G229" s="24" t="inlineStr">
        <is>
          <t>CFS</t>
        </is>
      </c>
      <c r="H229" s="24" t="inlineStr">
        <is>
          <t>IS</t>
        </is>
      </c>
      <c r="I229" s="24" t="inlineStr">
        <is>
          <t>손익계산서</t>
        </is>
      </c>
      <c r="J229" s="24" t="inlineStr">
        <is>
          <t>ifrs-full_BasicEarningsLossPerShare</t>
        </is>
      </c>
      <c r="K229" s="24" t="inlineStr">
        <is>
          <t>기본주당이익(손실)</t>
        </is>
      </c>
      <c r="L229" s="24" t="inlineStr">
        <is>
          <t>-</t>
        </is>
      </c>
      <c r="M229" s="24" t="inlineStr">
        <is>
          <t>제 70 기</t>
        </is>
      </c>
      <c r="N229" s="24" t="inlineStr">
        <is>
          <t>12858.0</t>
        </is>
      </c>
      <c r="O229" s="24" t="inlineStr">
        <is>
          <t>7292.0</t>
        </is>
      </c>
      <c r="P229" s="24" t="inlineStr">
        <is>
          <t>KRW</t>
        </is>
      </c>
      <c r="Q229" s="24" t="inlineStr">
        <is>
          <t>23</t>
        </is>
      </c>
    </row>
    <row r="230" ht="24" customHeight="1">
      <c r="A230" s="29" t="inlineStr">
        <is>
          <t>OpenDART_fnlttSinglAcntAll</t>
        </is>
      </c>
      <c r="B230" s="29" t="inlineStr">
        <is>
          <t>00160843</t>
        </is>
      </c>
      <c r="C230" s="29" t="inlineStr">
        <is>
          <t>DB하이텍</t>
        </is>
      </c>
      <c r="D230" s="29" t="inlineStr">
        <is>
          <t>dbhitek</t>
        </is>
      </c>
      <c r="E230" s="29" t="inlineStr">
        <is>
          <t>000990</t>
        </is>
      </c>
      <c r="F230" s="29" t="inlineStr">
        <is>
          <t>2022</t>
        </is>
      </c>
      <c r="G230" s="29" t="inlineStr">
        <is>
          <t>CFS</t>
        </is>
      </c>
      <c r="H230" s="29" t="inlineStr">
        <is>
          <t>IS</t>
        </is>
      </c>
      <c r="I230" s="29" t="inlineStr">
        <is>
          <t>손익계산서</t>
        </is>
      </c>
      <c r="J230" s="29" t="inlineStr">
        <is>
          <t>ifrs-full_DilutedEarningsLossPerShare</t>
        </is>
      </c>
      <c r="K230" s="29" t="inlineStr">
        <is>
          <t>희석주당이익(손실)</t>
        </is>
      </c>
      <c r="L230" s="29" t="inlineStr">
        <is>
          <t>-</t>
        </is>
      </c>
      <c r="M230" s="29" t="inlineStr">
        <is>
          <t>제 70 기</t>
        </is>
      </c>
      <c r="N230" s="29" t="inlineStr">
        <is>
          <t>12858.0</t>
        </is>
      </c>
      <c r="O230" s="29" t="inlineStr">
        <is>
          <t>7292.0</t>
        </is>
      </c>
      <c r="P230" s="29" t="inlineStr">
        <is>
          <t>KRW</t>
        </is>
      </c>
      <c r="Q230" s="29" t="inlineStr">
        <is>
          <t>24</t>
        </is>
      </c>
    </row>
    <row r="231" ht="24" customHeight="1">
      <c r="A231" s="24" t="inlineStr">
        <is>
          <t>OpenDART_fnlttSinglAcntAll</t>
        </is>
      </c>
      <c r="B231" s="24" t="inlineStr">
        <is>
          <t>00160843</t>
        </is>
      </c>
      <c r="C231" s="24" t="inlineStr">
        <is>
          <t>DB하이텍</t>
        </is>
      </c>
      <c r="D231" s="24" t="inlineStr">
        <is>
          <t>dbhitek</t>
        </is>
      </c>
      <c r="E231" s="24" t="inlineStr">
        <is>
          <t>000990</t>
        </is>
      </c>
      <c r="F231" s="24" t="inlineStr">
        <is>
          <t>2022</t>
        </is>
      </c>
      <c r="G231" s="24" t="inlineStr">
        <is>
          <t>CFS</t>
        </is>
      </c>
      <c r="H231" s="24" t="inlineStr">
        <is>
          <t>CIS</t>
        </is>
      </c>
      <c r="I231" s="24" t="inlineStr">
        <is>
          <t>포괄손익계산서</t>
        </is>
      </c>
      <c r="J231" s="24" t="inlineStr">
        <is>
          <t>ifrs-full_ProfitLoss</t>
        </is>
      </c>
      <c r="K231" s="24" t="inlineStr">
        <is>
          <t>당기순이익(손실)</t>
        </is>
      </c>
      <c r="L231" s="24" t="inlineStr">
        <is>
          <t>-</t>
        </is>
      </c>
      <c r="M231" s="24" t="inlineStr">
        <is>
          <t>제 70 기</t>
        </is>
      </c>
      <c r="N231" s="24" t="inlineStr">
        <is>
          <t>558836662217.0</t>
        </is>
      </c>
      <c r="O231" s="24" t="inlineStr">
        <is>
          <t>316891852008.0</t>
        </is>
      </c>
      <c r="P231" s="24" t="inlineStr">
        <is>
          <t>KRW</t>
        </is>
      </c>
      <c r="Q231" s="24" t="inlineStr">
        <is>
          <t>0</t>
        </is>
      </c>
    </row>
    <row r="232" ht="24" customHeight="1">
      <c r="A232" s="29" t="inlineStr">
        <is>
          <t>OpenDART_fnlttSinglAcntAll</t>
        </is>
      </c>
      <c r="B232" s="29" t="inlineStr">
        <is>
          <t>00160843</t>
        </is>
      </c>
      <c r="C232" s="29" t="inlineStr">
        <is>
          <t>DB하이텍</t>
        </is>
      </c>
      <c r="D232" s="29" t="inlineStr">
        <is>
          <t>dbhitek</t>
        </is>
      </c>
      <c r="E232" s="29" t="inlineStr">
        <is>
          <t>000990</t>
        </is>
      </c>
      <c r="F232" s="29" t="inlineStr">
        <is>
          <t>2022</t>
        </is>
      </c>
      <c r="G232" s="29" t="inlineStr">
        <is>
          <t>CFS</t>
        </is>
      </c>
      <c r="H232" s="29" t="inlineStr">
        <is>
          <t>CIS</t>
        </is>
      </c>
      <c r="I232" s="29" t="inlineStr">
        <is>
          <t>포괄손익계산서</t>
        </is>
      </c>
      <c r="J232" s="29" t="inlineStr">
        <is>
          <t>ifrs-full_OtherComprehensiveIncome</t>
        </is>
      </c>
      <c r="K232" s="29" t="inlineStr">
        <is>
          <t>기타포괄손익</t>
        </is>
      </c>
      <c r="L232" s="29" t="inlineStr">
        <is>
          <t>-</t>
        </is>
      </c>
      <c r="M232" s="29" t="inlineStr">
        <is>
          <t>제 70 기</t>
        </is>
      </c>
      <c r="N232" s="29" t="inlineStr">
        <is>
          <t>-7039651770.0</t>
        </is>
      </c>
      <c r="O232" s="29" t="inlineStr">
        <is>
          <t>8651504405.0</t>
        </is>
      </c>
      <c r="P232" s="29" t="inlineStr">
        <is>
          <t>KRW</t>
        </is>
      </c>
      <c r="Q232" s="29" t="inlineStr">
        <is>
          <t>1</t>
        </is>
      </c>
    </row>
    <row r="233" ht="24" customHeight="1">
      <c r="A233" s="24" t="inlineStr">
        <is>
          <t>OpenDART_fnlttSinglAcntAll</t>
        </is>
      </c>
      <c r="B233" s="24" t="inlineStr">
        <is>
          <t>00160843</t>
        </is>
      </c>
      <c r="C233" s="24" t="inlineStr">
        <is>
          <t>DB하이텍</t>
        </is>
      </c>
      <c r="D233" s="24" t="inlineStr">
        <is>
          <t>dbhitek</t>
        </is>
      </c>
      <c r="E233" s="24" t="inlineStr">
        <is>
          <t>000990</t>
        </is>
      </c>
      <c r="F233" s="24" t="inlineStr">
        <is>
          <t>2022</t>
        </is>
      </c>
      <c r="G233" s="24" t="inlineStr">
        <is>
          <t>CFS</t>
        </is>
      </c>
      <c r="H233" s="24" t="inlineStr">
        <is>
          <t>CIS</t>
        </is>
      </c>
      <c r="I233" s="24" t="inlineStr">
        <is>
          <t>포괄손익계산서</t>
        </is>
      </c>
      <c r="J233" s="24" t="inlineStr">
        <is>
          <t>dart_OtherComprehensiveIncomeThatWillNotBeReclassifiedToProfitOrLossNetOfTax</t>
        </is>
      </c>
      <c r="K233" s="24" t="inlineStr">
        <is>
          <t>후속적 으로 당기손익으로 재분류되지 않는항목</t>
        </is>
      </c>
      <c r="L233" s="24" t="inlineStr">
        <is>
          <t>-</t>
        </is>
      </c>
      <c r="M233" s="24" t="inlineStr">
        <is>
          <t>제 70 기</t>
        </is>
      </c>
      <c r="N233" s="24" t="inlineStr">
        <is>
          <t>-7405466402.0</t>
        </is>
      </c>
      <c r="O233" s="24" t="inlineStr">
        <is>
          <t>7849899113.0</t>
        </is>
      </c>
      <c r="P233" s="24" t="inlineStr">
        <is>
          <t>KRW</t>
        </is>
      </c>
      <c r="Q233" s="24" t="inlineStr">
        <is>
          <t>2</t>
        </is>
      </c>
    </row>
    <row r="234" ht="24" customHeight="1">
      <c r="A234" s="29" t="inlineStr">
        <is>
          <t>OpenDART_fnlttSinglAcntAll</t>
        </is>
      </c>
      <c r="B234" s="29" t="inlineStr">
        <is>
          <t>00160843</t>
        </is>
      </c>
      <c r="C234" s="29" t="inlineStr">
        <is>
          <t>DB하이텍</t>
        </is>
      </c>
      <c r="D234" s="29" t="inlineStr">
        <is>
          <t>dbhitek</t>
        </is>
      </c>
      <c r="E234" s="29" t="inlineStr">
        <is>
          <t>000990</t>
        </is>
      </c>
      <c r="F234" s="29" t="inlineStr">
        <is>
          <t>2022</t>
        </is>
      </c>
      <c r="G234" s="29" t="inlineStr">
        <is>
          <t>CFS</t>
        </is>
      </c>
      <c r="H234" s="29" t="inlineStr">
        <is>
          <t>CIS</t>
        </is>
      </c>
      <c r="I234" s="29" t="inlineStr">
        <is>
          <t>포괄손익계산서</t>
        </is>
      </c>
      <c r="J234" s="29" t="inlineStr">
        <is>
          <t>dart_OtherComprehensiveIncomeNetOfTaxGainsLossesOnRemeasurementsOfDefinedBenefitPlans</t>
        </is>
      </c>
      <c r="K234" s="29" t="inlineStr">
        <is>
          <t>순확정급여부채의 재측정요소</t>
        </is>
      </c>
      <c r="L234" s="29" t="inlineStr">
        <is>
          <t>-</t>
        </is>
      </c>
      <c r="M234" s="29" t="inlineStr">
        <is>
          <t>제 70 기</t>
        </is>
      </c>
      <c r="N234" s="29" t="inlineStr">
        <is>
          <t>-5608802774.0</t>
        </is>
      </c>
      <c r="O234" s="29" t="inlineStr">
        <is>
          <t>4934922298.0</t>
        </is>
      </c>
      <c r="P234" s="29" t="inlineStr">
        <is>
          <t>KRW</t>
        </is>
      </c>
      <c r="Q234" s="29" t="inlineStr">
        <is>
          <t>3</t>
        </is>
      </c>
    </row>
    <row r="235" ht="24" customHeight="1">
      <c r="A235" s="24" t="inlineStr">
        <is>
          <t>OpenDART_fnlttSinglAcntAll</t>
        </is>
      </c>
      <c r="B235" s="24" t="inlineStr">
        <is>
          <t>00160843</t>
        </is>
      </c>
      <c r="C235" s="24" t="inlineStr">
        <is>
          <t>DB하이텍</t>
        </is>
      </c>
      <c r="D235" s="24" t="inlineStr">
        <is>
          <t>dbhitek</t>
        </is>
      </c>
      <c r="E235" s="24" t="inlineStr">
        <is>
          <t>000990</t>
        </is>
      </c>
      <c r="F235" s="24" t="inlineStr">
        <is>
          <t>2022</t>
        </is>
      </c>
      <c r="G235" s="24" t="inlineStr">
        <is>
          <t>CFS</t>
        </is>
      </c>
      <c r="H235" s="24" t="inlineStr">
        <is>
          <t>CIS</t>
        </is>
      </c>
      <c r="I235" s="24" t="inlineStr">
        <is>
          <t>포괄손익계산서</t>
        </is>
      </c>
      <c r="J235" s="24" t="inlineStr">
        <is>
          <t>-표준계정코드 미사용-</t>
        </is>
      </c>
      <c r="K235" s="24" t="inlineStr">
        <is>
          <t>기타포괄손익-공정가치 측정 금융자산 평가손익</t>
        </is>
      </c>
      <c r="L235" s="24" t="inlineStr">
        <is>
          <t>-</t>
        </is>
      </c>
      <c r="M235" s="24" t="inlineStr">
        <is>
          <t>제 70 기</t>
        </is>
      </c>
      <c r="N235" s="24" t="inlineStr">
        <is>
          <t>-2022990261.0</t>
        </is>
      </c>
      <c r="O235" s="24" t="inlineStr">
        <is>
          <t>2947398216.0</t>
        </is>
      </c>
      <c r="P235" s="24" t="inlineStr">
        <is>
          <t>KRW</t>
        </is>
      </c>
      <c r="Q235" s="24" t="inlineStr">
        <is>
          <t>4</t>
        </is>
      </c>
    </row>
    <row r="236" ht="24" customHeight="1">
      <c r="A236" s="29" t="inlineStr">
        <is>
          <t>OpenDART_fnlttSinglAcntAll</t>
        </is>
      </c>
      <c r="B236" s="29" t="inlineStr">
        <is>
          <t>00160843</t>
        </is>
      </c>
      <c r="C236" s="29" t="inlineStr">
        <is>
          <t>DB하이텍</t>
        </is>
      </c>
      <c r="D236" s="29" t="inlineStr">
        <is>
          <t>dbhitek</t>
        </is>
      </c>
      <c r="E236" s="29" t="inlineStr">
        <is>
          <t>000990</t>
        </is>
      </c>
      <c r="F236" s="29" t="inlineStr">
        <is>
          <t>2022</t>
        </is>
      </c>
      <c r="G236" s="29" t="inlineStr">
        <is>
          <t>CFS</t>
        </is>
      </c>
      <c r="H236" s="29" t="inlineStr">
        <is>
          <t>CIS</t>
        </is>
      </c>
      <c r="I236" s="29" t="inlineStr">
        <is>
          <t>포괄손익계산서</t>
        </is>
      </c>
      <c r="J236" s="29" t="inlineStr">
        <is>
          <t>dart_ShareOfOtherComprehensiveIncomeOfAssociatesAndJointVenturesAccountedForUsingEquityMethodThatWillNotBeReclassifiedToProfitOrLossNetOfTax</t>
        </is>
      </c>
      <c r="K236" s="29" t="inlineStr">
        <is>
          <t>관계기업의 이익잉여금 변동</t>
        </is>
      </c>
      <c r="L236" s="29" t="inlineStr">
        <is>
          <t>-</t>
        </is>
      </c>
      <c r="M236" s="29" t="inlineStr">
        <is>
          <t>제 70 기</t>
        </is>
      </c>
      <c r="N236" s="29" t="inlineStr">
        <is>
          <t>226326633.0</t>
        </is>
      </c>
      <c r="O236" s="29" t="inlineStr">
        <is>
          <t>-32421401.0</t>
        </is>
      </c>
      <c r="P236" s="29" t="inlineStr">
        <is>
          <t>KRW</t>
        </is>
      </c>
      <c r="Q236" s="29" t="inlineStr">
        <is>
          <t>5</t>
        </is>
      </c>
    </row>
    <row r="237" ht="24" customHeight="1">
      <c r="A237" s="24" t="inlineStr">
        <is>
          <t>OpenDART_fnlttSinglAcntAll</t>
        </is>
      </c>
      <c r="B237" s="24" t="inlineStr">
        <is>
          <t>00160843</t>
        </is>
      </c>
      <c r="C237" s="24" t="inlineStr">
        <is>
          <t>DB하이텍</t>
        </is>
      </c>
      <c r="D237" s="24" t="inlineStr">
        <is>
          <t>dbhitek</t>
        </is>
      </c>
      <c r="E237" s="24" t="inlineStr">
        <is>
          <t>000990</t>
        </is>
      </c>
      <c r="F237" s="24" t="inlineStr">
        <is>
          <t>2022</t>
        </is>
      </c>
      <c r="G237" s="24" t="inlineStr">
        <is>
          <t>CFS</t>
        </is>
      </c>
      <c r="H237" s="24" t="inlineStr">
        <is>
          <t>CIS</t>
        </is>
      </c>
      <c r="I237" s="24" t="inlineStr">
        <is>
          <t>포괄손익계산서</t>
        </is>
      </c>
      <c r="J237" s="24" t="inlineStr">
        <is>
          <t>dart_OtherComprehensiveIncomeThatWillBeReclassifiedToProfitOrLossNetOfTax</t>
        </is>
      </c>
      <c r="K237" s="24" t="inlineStr">
        <is>
          <t>후속적 으로 당기손익으로 재분류될 수 있는 항목</t>
        </is>
      </c>
      <c r="L237" s="24" t="inlineStr">
        <is>
          <t>-</t>
        </is>
      </c>
      <c r="M237" s="24" t="inlineStr">
        <is>
          <t>제 70 기</t>
        </is>
      </c>
      <c r="N237" s="24" t="inlineStr">
        <is>
          <t>365814632.0</t>
        </is>
      </c>
      <c r="O237" s="24" t="inlineStr">
        <is>
          <t>801605292.0</t>
        </is>
      </c>
      <c r="P237" s="24" t="inlineStr">
        <is>
          <t>KRW</t>
        </is>
      </c>
      <c r="Q237" s="24" t="inlineStr">
        <is>
          <t>6</t>
        </is>
      </c>
    </row>
    <row r="238" ht="24" customHeight="1">
      <c r="A238" s="29" t="inlineStr">
        <is>
          <t>OpenDART_fnlttSinglAcntAll</t>
        </is>
      </c>
      <c r="B238" s="29" t="inlineStr">
        <is>
          <t>00160843</t>
        </is>
      </c>
      <c r="C238" s="29" t="inlineStr">
        <is>
          <t>DB하이텍</t>
        </is>
      </c>
      <c r="D238" s="29" t="inlineStr">
        <is>
          <t>dbhitek</t>
        </is>
      </c>
      <c r="E238" s="29" t="inlineStr">
        <is>
          <t>000990</t>
        </is>
      </c>
      <c r="F238" s="29" t="inlineStr">
        <is>
          <t>2022</t>
        </is>
      </c>
      <c r="G238" s="29" t="inlineStr">
        <is>
          <t>CFS</t>
        </is>
      </c>
      <c r="H238" s="29" t="inlineStr">
        <is>
          <t>CIS</t>
        </is>
      </c>
      <c r="I238" s="29" t="inlineStr">
        <is>
          <t>포괄손익계산서</t>
        </is>
      </c>
      <c r="J238" s="29" t="inlineStr">
        <is>
          <t>ifrs-full_GainsLossesOnExchangeDifferencesOnTranslationNetOfTax</t>
        </is>
      </c>
      <c r="K238" s="29" t="inlineStr">
        <is>
          <t>해외사업장환산외환차이</t>
        </is>
      </c>
      <c r="L238" s="29" t="inlineStr">
        <is>
          <t>-</t>
        </is>
      </c>
      <c r="M238" s="29" t="inlineStr">
        <is>
          <t>제 70 기</t>
        </is>
      </c>
      <c r="N238" s="29" t="inlineStr">
        <is>
          <t>301627377.0</t>
        </is>
      </c>
      <c r="O238" s="29" t="inlineStr">
        <is>
          <t>530732113.0</t>
        </is>
      </c>
      <c r="P238" s="29" t="inlineStr">
        <is>
          <t>KRW</t>
        </is>
      </c>
      <c r="Q238" s="29" t="inlineStr">
        <is>
          <t>7</t>
        </is>
      </c>
    </row>
    <row r="239" ht="24" customHeight="1">
      <c r="A239" s="24" t="inlineStr">
        <is>
          <t>OpenDART_fnlttSinglAcntAll</t>
        </is>
      </c>
      <c r="B239" s="24" t="inlineStr">
        <is>
          <t>00160843</t>
        </is>
      </c>
      <c r="C239" s="24" t="inlineStr">
        <is>
          <t>DB하이텍</t>
        </is>
      </c>
      <c r="D239" s="24" t="inlineStr">
        <is>
          <t>dbhitek</t>
        </is>
      </c>
      <c r="E239" s="24" t="inlineStr">
        <is>
          <t>000990</t>
        </is>
      </c>
      <c r="F239" s="24" t="inlineStr">
        <is>
          <t>2022</t>
        </is>
      </c>
      <c r="G239" s="24" t="inlineStr">
        <is>
          <t>CFS</t>
        </is>
      </c>
      <c r="H239" s="24" t="inlineStr">
        <is>
          <t>CIS</t>
        </is>
      </c>
      <c r="I239" s="24" t="inlineStr">
        <is>
          <t>포괄손익계산서</t>
        </is>
      </c>
      <c r="J239" s="24" t="inlineStr">
        <is>
          <t>dart_ShareOfOtherComprehensiveIncomeOfAssociatesAndJointVenturesAccountedForUsingEquityMethodThatWillBeReclassifiedToProfitOrLossNetOfTax</t>
        </is>
      </c>
      <c r="K239" s="24" t="inlineStr">
        <is>
          <t>관계기업의 기타자본구성요소</t>
        </is>
      </c>
      <c r="L239" s="24" t="inlineStr">
        <is>
          <t>-</t>
        </is>
      </c>
      <c r="M239" s="24" t="inlineStr">
        <is>
          <t>제 70 기</t>
        </is>
      </c>
      <c r="N239" s="24" t="inlineStr">
        <is>
          <t>64187255.0</t>
        </is>
      </c>
      <c r="O239" s="24" t="inlineStr">
        <is>
          <t>270873179.0</t>
        </is>
      </c>
      <c r="P239" s="24" t="inlineStr">
        <is>
          <t>KRW</t>
        </is>
      </c>
      <c r="Q239" s="24" t="inlineStr">
        <is>
          <t>8</t>
        </is>
      </c>
    </row>
    <row r="240" ht="24" customHeight="1">
      <c r="A240" s="29" t="inlineStr">
        <is>
          <t>OpenDART_fnlttSinglAcntAll</t>
        </is>
      </c>
      <c r="B240" s="29" t="inlineStr">
        <is>
          <t>00160843</t>
        </is>
      </c>
      <c r="C240" s="29" t="inlineStr">
        <is>
          <t>DB하이텍</t>
        </is>
      </c>
      <c r="D240" s="29" t="inlineStr">
        <is>
          <t>dbhitek</t>
        </is>
      </c>
      <c r="E240" s="29" t="inlineStr">
        <is>
          <t>000990</t>
        </is>
      </c>
      <c r="F240" s="29" t="inlineStr">
        <is>
          <t>2022</t>
        </is>
      </c>
      <c r="G240" s="29" t="inlineStr">
        <is>
          <t>CFS</t>
        </is>
      </c>
      <c r="H240" s="29" t="inlineStr">
        <is>
          <t>CIS</t>
        </is>
      </c>
      <c r="I240" s="29" t="inlineStr">
        <is>
          <t>포괄손익계산서</t>
        </is>
      </c>
      <c r="J240" s="29" t="inlineStr">
        <is>
          <t>ifrs-full_ComprehensiveIncome</t>
        </is>
      </c>
      <c r="K240" s="29" t="inlineStr">
        <is>
          <t>총포괄손익</t>
        </is>
      </c>
      <c r="L240" s="29" t="inlineStr">
        <is>
          <t>-</t>
        </is>
      </c>
      <c r="M240" s="29" t="inlineStr">
        <is>
          <t>제 70 기</t>
        </is>
      </c>
      <c r="N240" s="29" t="inlineStr">
        <is>
          <t>551797010447.0</t>
        </is>
      </c>
      <c r="O240" s="29" t="inlineStr">
        <is>
          <t>325543356413.0</t>
        </is>
      </c>
      <c r="P240" s="29" t="inlineStr">
        <is>
          <t>KRW</t>
        </is>
      </c>
      <c r="Q240" s="29" t="inlineStr">
        <is>
          <t>9</t>
        </is>
      </c>
    </row>
    <row r="241" ht="24" customHeight="1">
      <c r="A241" s="24" t="inlineStr">
        <is>
          <t>OpenDART_fnlttSinglAcntAll</t>
        </is>
      </c>
      <c r="B241" s="24" t="inlineStr">
        <is>
          <t>00160843</t>
        </is>
      </c>
      <c r="C241" s="24" t="inlineStr">
        <is>
          <t>DB하이텍</t>
        </is>
      </c>
      <c r="D241" s="24" t="inlineStr">
        <is>
          <t>dbhitek</t>
        </is>
      </c>
      <c r="E241" s="24" t="inlineStr">
        <is>
          <t>000990</t>
        </is>
      </c>
      <c r="F241" s="24" t="inlineStr">
        <is>
          <t>2022</t>
        </is>
      </c>
      <c r="G241" s="24" t="inlineStr">
        <is>
          <t>CFS</t>
        </is>
      </c>
      <c r="H241" s="24" t="inlineStr">
        <is>
          <t>CIS</t>
        </is>
      </c>
      <c r="I241" s="24" t="inlineStr">
        <is>
          <t>포괄손익계산서</t>
        </is>
      </c>
      <c r="J241" s="24" t="inlineStr">
        <is>
          <t>ifrs-full_ComprehensiveIncomeAttributableToOwnersOfParent</t>
        </is>
      </c>
      <c r="K241" s="24" t="inlineStr">
        <is>
          <t>지배기업의 소유주에게 귀속되는 지분</t>
        </is>
      </c>
      <c r="L241" s="24" t="inlineStr">
        <is>
          <t>-</t>
        </is>
      </c>
      <c r="M241" s="24" t="inlineStr">
        <is>
          <t>제 70 기</t>
        </is>
      </c>
      <c r="N241" s="24" t="inlineStr">
        <is>
          <t>551797010447.0</t>
        </is>
      </c>
      <c r="O241" s="24" t="inlineStr">
        <is>
          <t>325543356413.0</t>
        </is>
      </c>
      <c r="P241" s="24" t="inlineStr">
        <is>
          <t>KRW</t>
        </is>
      </c>
      <c r="Q241" s="24" t="inlineStr">
        <is>
          <t>11</t>
        </is>
      </c>
    </row>
    <row r="242" ht="24" customHeight="1">
      <c r="A242" s="29" t="inlineStr">
        <is>
          <t>OpenDART_fnlttSinglAcntAll</t>
        </is>
      </c>
      <c r="B242" s="29" t="inlineStr">
        <is>
          <t>00160843</t>
        </is>
      </c>
      <c r="C242" s="29" t="inlineStr">
        <is>
          <t>DB하이텍</t>
        </is>
      </c>
      <c r="D242" s="29" t="inlineStr">
        <is>
          <t>dbhitek</t>
        </is>
      </c>
      <c r="E242" s="29" t="inlineStr">
        <is>
          <t>000990</t>
        </is>
      </c>
      <c r="F242" s="29" t="inlineStr">
        <is>
          <t>2022</t>
        </is>
      </c>
      <c r="G242" s="29" t="inlineStr">
        <is>
          <t>CFS</t>
        </is>
      </c>
      <c r="H242" s="29" t="inlineStr">
        <is>
          <t>CIS</t>
        </is>
      </c>
      <c r="I242" s="29" t="inlineStr">
        <is>
          <t>포괄손익계산서</t>
        </is>
      </c>
      <c r="J242" s="29" t="inlineStr">
        <is>
          <t>ifrs-full_ComprehensiveIncomeAttributableToNoncontrollingInterests</t>
        </is>
      </c>
      <c r="K242" s="29" t="inlineStr">
        <is>
          <t>비지배지분</t>
        </is>
      </c>
      <c r="L242" s="29" t="inlineStr">
        <is>
          <t>-</t>
        </is>
      </c>
      <c r="M242" s="29" t="inlineStr">
        <is>
          <t>제 70 기</t>
        </is>
      </c>
      <c r="N242" s="29" t="inlineStr">
        <is>
          <t>0.0</t>
        </is>
      </c>
      <c r="O242" s="29" t="inlineStr">
        <is>
          <t>0.0</t>
        </is>
      </c>
      <c r="P242" s="29" t="inlineStr">
        <is>
          <t>KRW</t>
        </is>
      </c>
      <c r="Q242" s="29" t="inlineStr">
        <is>
          <t>12</t>
        </is>
      </c>
    </row>
    <row r="243" ht="24" customHeight="1">
      <c r="A243" s="24" t="inlineStr">
        <is>
          <t>OpenDART_fnlttSinglAcntAll</t>
        </is>
      </c>
      <c r="B243" s="24" t="inlineStr">
        <is>
          <t>00160843</t>
        </is>
      </c>
      <c r="C243" s="24" t="inlineStr">
        <is>
          <t>DB하이텍</t>
        </is>
      </c>
      <c r="D243" s="24" t="inlineStr">
        <is>
          <t>dbhitek</t>
        </is>
      </c>
      <c r="E243" s="24" t="inlineStr">
        <is>
          <t>000990</t>
        </is>
      </c>
      <c r="F243" s="24" t="inlineStr">
        <is>
          <t>2022</t>
        </is>
      </c>
      <c r="G243" s="24" t="inlineStr">
        <is>
          <t>CFS</t>
        </is>
      </c>
      <c r="H243" s="24" t="inlineStr">
        <is>
          <t>CF</t>
        </is>
      </c>
      <c r="I243" s="24" t="inlineStr">
        <is>
          <t>현금흐름표</t>
        </is>
      </c>
      <c r="J243" s="24" t="inlineStr">
        <is>
          <t>ifrs-full_CashFlowsFromUsedInOperatingActivities</t>
        </is>
      </c>
      <c r="K243" s="24" t="inlineStr">
        <is>
          <t>영업활동현금흐름</t>
        </is>
      </c>
      <c r="L243" s="24" t="inlineStr">
        <is>
          <t>-</t>
        </is>
      </c>
      <c r="M243" s="24" t="inlineStr">
        <is>
          <t>제 70 기</t>
        </is>
      </c>
      <c r="N243" s="24" t="inlineStr">
        <is>
          <t>730063433619.0</t>
        </is>
      </c>
      <c r="O243" s="24" t="inlineStr">
        <is>
          <t>393129114790.0</t>
        </is>
      </c>
      <c r="P243" s="24" t="inlineStr">
        <is>
          <t>KRW</t>
        </is>
      </c>
      <c r="Q243" s="24" t="inlineStr">
        <is>
          <t>0</t>
        </is>
      </c>
    </row>
    <row r="244" ht="24" customHeight="1">
      <c r="A244" s="29" t="inlineStr">
        <is>
          <t>OpenDART_fnlttSinglAcntAll</t>
        </is>
      </c>
      <c r="B244" s="29" t="inlineStr">
        <is>
          <t>00160843</t>
        </is>
      </c>
      <c r="C244" s="29" t="inlineStr">
        <is>
          <t>DB하이텍</t>
        </is>
      </c>
      <c r="D244" s="29" t="inlineStr">
        <is>
          <t>dbhitek</t>
        </is>
      </c>
      <c r="E244" s="29" t="inlineStr">
        <is>
          <t>000990</t>
        </is>
      </c>
      <c r="F244" s="29" t="inlineStr">
        <is>
          <t>2022</t>
        </is>
      </c>
      <c r="G244" s="29" t="inlineStr">
        <is>
          <t>CFS</t>
        </is>
      </c>
      <c r="H244" s="29" t="inlineStr">
        <is>
          <t>CF</t>
        </is>
      </c>
      <c r="I244" s="29" t="inlineStr">
        <is>
          <t>현금흐름표</t>
        </is>
      </c>
      <c r="J244" s="29" t="inlineStr">
        <is>
          <t>dart_AdjustmentsForAssetsLiabilitiesOfOperatingActivities</t>
        </is>
      </c>
      <c r="K244" s="29" t="inlineStr">
        <is>
          <t>영업활동으로부터 창출된 현금흐름</t>
        </is>
      </c>
      <c r="L244" s="29" t="inlineStr">
        <is>
          <t>-</t>
        </is>
      </c>
      <c r="M244" s="29" t="inlineStr">
        <is>
          <t>제 70 기</t>
        </is>
      </c>
      <c r="N244" s="29" t="inlineStr">
        <is>
          <t>863145831752.0</t>
        </is>
      </c>
      <c r="O244" s="29" t="inlineStr">
        <is>
          <t>476391777543.0</t>
        </is>
      </c>
      <c r="P244" s="29" t="inlineStr">
        <is>
          <t>KRW</t>
        </is>
      </c>
      <c r="Q244" s="29" t="inlineStr">
        <is>
          <t>1</t>
        </is>
      </c>
    </row>
    <row r="245" ht="24" customHeight="1">
      <c r="A245" s="24" t="inlineStr">
        <is>
          <t>OpenDART_fnlttSinglAcntAll</t>
        </is>
      </c>
      <c r="B245" s="24" t="inlineStr">
        <is>
          <t>00160843</t>
        </is>
      </c>
      <c r="C245" s="24" t="inlineStr">
        <is>
          <t>DB하이텍</t>
        </is>
      </c>
      <c r="D245" s="24" t="inlineStr">
        <is>
          <t>dbhitek</t>
        </is>
      </c>
      <c r="E245" s="24" t="inlineStr">
        <is>
          <t>000990</t>
        </is>
      </c>
      <c r="F245" s="24" t="inlineStr">
        <is>
          <t>2022</t>
        </is>
      </c>
      <c r="G245" s="24" t="inlineStr">
        <is>
          <t>CFS</t>
        </is>
      </c>
      <c r="H245" s="24" t="inlineStr">
        <is>
          <t>CF</t>
        </is>
      </c>
      <c r="I245" s="24" t="inlineStr">
        <is>
          <t>현금흐름표</t>
        </is>
      </c>
      <c r="J245" s="24" t="inlineStr">
        <is>
          <t>ifrs-full_InterestReceivedClassifiedAsOperatingActivities</t>
        </is>
      </c>
      <c r="K245" s="24" t="inlineStr">
        <is>
          <t>이자수취</t>
        </is>
      </c>
      <c r="L245" s="24" t="inlineStr">
        <is>
          <t>-</t>
        </is>
      </c>
      <c r="M245" s="24" t="inlineStr">
        <is>
          <t>제 70 기</t>
        </is>
      </c>
      <c r="N245" s="24" t="inlineStr">
        <is>
          <t>10521878815.0</t>
        </is>
      </c>
      <c r="O245" s="24" t="inlineStr">
        <is>
          <t>2057549041.0</t>
        </is>
      </c>
      <c r="P245" s="24" t="inlineStr">
        <is>
          <t>KRW</t>
        </is>
      </c>
      <c r="Q245" s="24" t="inlineStr">
        <is>
          <t>2</t>
        </is>
      </c>
    </row>
    <row r="246" ht="24" customHeight="1">
      <c r="A246" s="29" t="inlineStr">
        <is>
          <t>OpenDART_fnlttSinglAcntAll</t>
        </is>
      </c>
      <c r="B246" s="29" t="inlineStr">
        <is>
          <t>00160843</t>
        </is>
      </c>
      <c r="C246" s="29" t="inlineStr">
        <is>
          <t>DB하이텍</t>
        </is>
      </c>
      <c r="D246" s="29" t="inlineStr">
        <is>
          <t>dbhitek</t>
        </is>
      </c>
      <c r="E246" s="29" t="inlineStr">
        <is>
          <t>000990</t>
        </is>
      </c>
      <c r="F246" s="29" t="inlineStr">
        <is>
          <t>2022</t>
        </is>
      </c>
      <c r="G246" s="29" t="inlineStr">
        <is>
          <t>CFS</t>
        </is>
      </c>
      <c r="H246" s="29" t="inlineStr">
        <is>
          <t>CF</t>
        </is>
      </c>
      <c r="I246" s="29" t="inlineStr">
        <is>
          <t>현금흐름표</t>
        </is>
      </c>
      <c r="J246" s="29" t="inlineStr">
        <is>
          <t>ifrs-full_InterestPaidClassifiedAsOperatingActivities</t>
        </is>
      </c>
      <c r="K246" s="29" t="inlineStr">
        <is>
          <t>이자지급</t>
        </is>
      </c>
      <c r="L246" s="29" t="inlineStr">
        <is>
          <t>-</t>
        </is>
      </c>
      <c r="M246" s="29" t="inlineStr">
        <is>
          <t>제 70 기</t>
        </is>
      </c>
      <c r="N246" s="29" t="inlineStr">
        <is>
          <t>3115755328.0</t>
        </is>
      </c>
      <c r="O246" s="29" t="inlineStr">
        <is>
          <t>2481631504.0</t>
        </is>
      </c>
      <c r="P246" s="29" t="inlineStr">
        <is>
          <t>KRW</t>
        </is>
      </c>
      <c r="Q246" s="29" t="inlineStr">
        <is>
          <t>3</t>
        </is>
      </c>
    </row>
    <row r="247" ht="24" customHeight="1">
      <c r="A247" s="24" t="inlineStr">
        <is>
          <t>OpenDART_fnlttSinglAcntAll</t>
        </is>
      </c>
      <c r="B247" s="24" t="inlineStr">
        <is>
          <t>00160843</t>
        </is>
      </c>
      <c r="C247" s="24" t="inlineStr">
        <is>
          <t>DB하이텍</t>
        </is>
      </c>
      <c r="D247" s="24" t="inlineStr">
        <is>
          <t>dbhitek</t>
        </is>
      </c>
      <c r="E247" s="24" t="inlineStr">
        <is>
          <t>000990</t>
        </is>
      </c>
      <c r="F247" s="24" t="inlineStr">
        <is>
          <t>2022</t>
        </is>
      </c>
      <c r="G247" s="24" t="inlineStr">
        <is>
          <t>CFS</t>
        </is>
      </c>
      <c r="H247" s="24" t="inlineStr">
        <is>
          <t>CF</t>
        </is>
      </c>
      <c r="I247" s="24" t="inlineStr">
        <is>
          <t>현금흐름표</t>
        </is>
      </c>
      <c r="J247" s="24" t="inlineStr">
        <is>
          <t>ifrs-full_DividendsReceivedClassifiedAsOperatingActivities</t>
        </is>
      </c>
      <c r="K247" s="24" t="inlineStr">
        <is>
          <t>배당금수취</t>
        </is>
      </c>
      <c r="L247" s="24" t="inlineStr">
        <is>
          <t>-</t>
        </is>
      </c>
      <c r="M247" s="24" t="inlineStr">
        <is>
          <t>제 70 기</t>
        </is>
      </c>
      <c r="N247" s="24" t="inlineStr">
        <is>
          <t>1063150.0</t>
        </is>
      </c>
      <c r="O247" s="24" t="inlineStr">
        <is>
          <t>1063150.0</t>
        </is>
      </c>
      <c r="P247" s="24" t="inlineStr">
        <is>
          <t>KRW</t>
        </is>
      </c>
      <c r="Q247" s="24" t="inlineStr">
        <is>
          <t>4</t>
        </is>
      </c>
    </row>
    <row r="248" ht="24" customHeight="1">
      <c r="A248" s="29" t="inlineStr">
        <is>
          <t>OpenDART_fnlttSinglAcntAll</t>
        </is>
      </c>
      <c r="B248" s="29" t="inlineStr">
        <is>
          <t>00160843</t>
        </is>
      </c>
      <c r="C248" s="29" t="inlineStr">
        <is>
          <t>DB하이텍</t>
        </is>
      </c>
      <c r="D248" s="29" t="inlineStr">
        <is>
          <t>dbhitek</t>
        </is>
      </c>
      <c r="E248" s="29" t="inlineStr">
        <is>
          <t>000990</t>
        </is>
      </c>
      <c r="F248" s="29" t="inlineStr">
        <is>
          <t>2022</t>
        </is>
      </c>
      <c r="G248" s="29" t="inlineStr">
        <is>
          <t>CFS</t>
        </is>
      </c>
      <c r="H248" s="29" t="inlineStr">
        <is>
          <t>CF</t>
        </is>
      </c>
      <c r="I248" s="29" t="inlineStr">
        <is>
          <t>현금흐름표</t>
        </is>
      </c>
      <c r="J248" s="29" t="inlineStr">
        <is>
          <t>ifrs-full_DividendsPaidClassifiedAsOperatingActivities</t>
        </is>
      </c>
      <c r="K248" s="29" t="inlineStr">
        <is>
          <t>배당금지급</t>
        </is>
      </c>
      <c r="L248" s="29" t="inlineStr">
        <is>
          <t>-</t>
        </is>
      </c>
      <c r="M248" s="29" t="inlineStr">
        <is>
          <t>제 70 기</t>
        </is>
      </c>
      <c r="N248" s="29" t="inlineStr">
        <is>
          <t>19562638100.0</t>
        </is>
      </c>
      <c r="O248" s="29" t="inlineStr">
        <is>
          <t>15207397600.0</t>
        </is>
      </c>
      <c r="P248" s="29" t="inlineStr">
        <is>
          <t>KRW</t>
        </is>
      </c>
      <c r="Q248" s="29" t="inlineStr">
        <is>
          <t>5</t>
        </is>
      </c>
    </row>
    <row r="249" ht="24" customHeight="1">
      <c r="A249" s="24" t="inlineStr">
        <is>
          <t>OpenDART_fnlttSinglAcntAll</t>
        </is>
      </c>
      <c r="B249" s="24" t="inlineStr">
        <is>
          <t>00160843</t>
        </is>
      </c>
      <c r="C249" s="24" t="inlineStr">
        <is>
          <t>DB하이텍</t>
        </is>
      </c>
      <c r="D249" s="24" t="inlineStr">
        <is>
          <t>dbhitek</t>
        </is>
      </c>
      <c r="E249" s="24" t="inlineStr">
        <is>
          <t>000990</t>
        </is>
      </c>
      <c r="F249" s="24" t="inlineStr">
        <is>
          <t>2022</t>
        </is>
      </c>
      <c r="G249" s="24" t="inlineStr">
        <is>
          <t>CFS</t>
        </is>
      </c>
      <c r="H249" s="24" t="inlineStr">
        <is>
          <t>CF</t>
        </is>
      </c>
      <c r="I249" s="24" t="inlineStr">
        <is>
          <t>현금흐름표</t>
        </is>
      </c>
      <c r="J249" s="24" t="inlineStr">
        <is>
          <t>ifrs-full_IncomeTaxesPaidRefundClassifiedAsOperatingActivities</t>
        </is>
      </c>
      <c r="K249" s="24" t="inlineStr">
        <is>
          <t>법인세환급(납부)</t>
        </is>
      </c>
      <c r="L249" s="24" t="inlineStr">
        <is>
          <t>-</t>
        </is>
      </c>
      <c r="M249" s="24" t="inlineStr">
        <is>
          <t>제 70 기</t>
        </is>
      </c>
      <c r="N249" s="24" t="inlineStr">
        <is>
          <t>120926946670.0</t>
        </is>
      </c>
      <c r="O249" s="24" t="inlineStr">
        <is>
          <t>67632245840.0</t>
        </is>
      </c>
      <c r="P249" s="24" t="inlineStr">
        <is>
          <t>KRW</t>
        </is>
      </c>
      <c r="Q249" s="24" t="inlineStr">
        <is>
          <t>6</t>
        </is>
      </c>
    </row>
    <row r="250" ht="24" customHeight="1">
      <c r="A250" s="29" t="inlineStr">
        <is>
          <t>OpenDART_fnlttSinglAcntAll</t>
        </is>
      </c>
      <c r="B250" s="29" t="inlineStr">
        <is>
          <t>00160843</t>
        </is>
      </c>
      <c r="C250" s="29" t="inlineStr">
        <is>
          <t>DB하이텍</t>
        </is>
      </c>
      <c r="D250" s="29" t="inlineStr">
        <is>
          <t>dbhitek</t>
        </is>
      </c>
      <c r="E250" s="29" t="inlineStr">
        <is>
          <t>000990</t>
        </is>
      </c>
      <c r="F250" s="29" t="inlineStr">
        <is>
          <t>2022</t>
        </is>
      </c>
      <c r="G250" s="29" t="inlineStr">
        <is>
          <t>CFS</t>
        </is>
      </c>
      <c r="H250" s="29" t="inlineStr">
        <is>
          <t>CF</t>
        </is>
      </c>
      <c r="I250" s="29" t="inlineStr">
        <is>
          <t>현금흐름표</t>
        </is>
      </c>
      <c r="J250" s="29" t="inlineStr">
        <is>
          <t>ifrs-full_CashFlowsFromUsedInInvestingActivities</t>
        </is>
      </c>
      <c r="K250" s="29" t="inlineStr">
        <is>
          <t>투자활동현금흐름</t>
        </is>
      </c>
      <c r="L250" s="29" t="inlineStr">
        <is>
          <t>-</t>
        </is>
      </c>
      <c r="M250" s="29" t="inlineStr">
        <is>
          <t>제 70 기</t>
        </is>
      </c>
      <c r="N250" s="29" t="inlineStr">
        <is>
          <t>-710089080981.0</t>
        </is>
      </c>
      <c r="O250" s="29" t="inlineStr">
        <is>
          <t>-252766500051.0</t>
        </is>
      </c>
      <c r="P250" s="29" t="inlineStr">
        <is>
          <t>KRW</t>
        </is>
      </c>
      <c r="Q250" s="29" t="inlineStr">
        <is>
          <t>7</t>
        </is>
      </c>
    </row>
    <row r="251" ht="24" customHeight="1">
      <c r="A251" s="24" t="inlineStr">
        <is>
          <t>OpenDART_fnlttSinglAcntAll</t>
        </is>
      </c>
      <c r="B251" s="24" t="inlineStr">
        <is>
          <t>00160843</t>
        </is>
      </c>
      <c r="C251" s="24" t="inlineStr">
        <is>
          <t>DB하이텍</t>
        </is>
      </c>
      <c r="D251" s="24" t="inlineStr">
        <is>
          <t>dbhitek</t>
        </is>
      </c>
      <c r="E251" s="24" t="inlineStr">
        <is>
          <t>000990</t>
        </is>
      </c>
      <c r="F251" s="24" t="inlineStr">
        <is>
          <t>2022</t>
        </is>
      </c>
      <c r="G251" s="24" t="inlineStr">
        <is>
          <t>CFS</t>
        </is>
      </c>
      <c r="H251" s="24" t="inlineStr">
        <is>
          <t>CF</t>
        </is>
      </c>
      <c r="I251" s="24" t="inlineStr">
        <is>
          <t>현금흐름표</t>
        </is>
      </c>
      <c r="J251" s="24" t="inlineStr">
        <is>
          <t>dart_PurchaseOfShortTermFinancialInstruments</t>
        </is>
      </c>
      <c r="K251" s="24" t="inlineStr">
        <is>
          <t>단기금융상품의 증가</t>
        </is>
      </c>
      <c r="L251" s="24" t="inlineStr">
        <is>
          <t>-</t>
        </is>
      </c>
      <c r="M251" s="24" t="inlineStr">
        <is>
          <t>제 70 기</t>
        </is>
      </c>
      <c r="N251" s="24" t="inlineStr">
        <is>
          <t>988517442923.0</t>
        </is>
      </c>
      <c r="O251" s="24" t="inlineStr">
        <is>
          <t>286824310377.0</t>
        </is>
      </c>
      <c r="P251" s="24" t="inlineStr">
        <is>
          <t>KRW</t>
        </is>
      </c>
      <c r="Q251" s="24" t="inlineStr">
        <is>
          <t>8</t>
        </is>
      </c>
    </row>
    <row r="252" ht="24" customHeight="1">
      <c r="A252" s="29" t="inlineStr">
        <is>
          <t>OpenDART_fnlttSinglAcntAll</t>
        </is>
      </c>
      <c r="B252" s="29" t="inlineStr">
        <is>
          <t>00160843</t>
        </is>
      </c>
      <c r="C252" s="29" t="inlineStr">
        <is>
          <t>DB하이텍</t>
        </is>
      </c>
      <c r="D252" s="29" t="inlineStr">
        <is>
          <t>dbhitek</t>
        </is>
      </c>
      <c r="E252" s="29" t="inlineStr">
        <is>
          <t>000990</t>
        </is>
      </c>
      <c r="F252" s="29" t="inlineStr">
        <is>
          <t>2022</t>
        </is>
      </c>
      <c r="G252" s="29" t="inlineStr">
        <is>
          <t>CFS</t>
        </is>
      </c>
      <c r="H252" s="29" t="inlineStr">
        <is>
          <t>CF</t>
        </is>
      </c>
      <c r="I252" s="29" t="inlineStr">
        <is>
          <t>현금흐름표</t>
        </is>
      </c>
      <c r="J252" s="29" t="inlineStr">
        <is>
          <t>dart_ProceedsFromSalesOfShortTermFinancialInstruments</t>
        </is>
      </c>
      <c r="K252" s="29" t="inlineStr">
        <is>
          <t>단기금융상품의 감소</t>
        </is>
      </c>
      <c r="L252" s="29" t="inlineStr">
        <is>
          <t>-</t>
        </is>
      </c>
      <c r="M252" s="29" t="inlineStr">
        <is>
          <t>제 70 기</t>
        </is>
      </c>
      <c r="N252" s="29" t="inlineStr">
        <is>
          <t>569850142535.0</t>
        </is>
      </c>
      <c r="O252" s="29" t="inlineStr">
        <is>
          <t>140560395162.0</t>
        </is>
      </c>
      <c r="P252" s="29" t="inlineStr">
        <is>
          <t>KRW</t>
        </is>
      </c>
      <c r="Q252" s="29" t="inlineStr">
        <is>
          <t>9</t>
        </is>
      </c>
    </row>
    <row r="253" ht="24" customHeight="1">
      <c r="A253" s="24" t="inlineStr">
        <is>
          <t>OpenDART_fnlttSinglAcntAll</t>
        </is>
      </c>
      <c r="B253" s="24" t="inlineStr">
        <is>
          <t>00160843</t>
        </is>
      </c>
      <c r="C253" s="24" t="inlineStr">
        <is>
          <t>DB하이텍</t>
        </is>
      </c>
      <c r="D253" s="24" t="inlineStr">
        <is>
          <t>dbhitek</t>
        </is>
      </c>
      <c r="E253" s="24" t="inlineStr">
        <is>
          <t>000990</t>
        </is>
      </c>
      <c r="F253" s="24" t="inlineStr">
        <is>
          <t>2022</t>
        </is>
      </c>
      <c r="G253" s="24" t="inlineStr">
        <is>
          <t>CFS</t>
        </is>
      </c>
      <c r="H253" s="24" t="inlineStr">
        <is>
          <t>CF</t>
        </is>
      </c>
      <c r="I253" s="24" t="inlineStr">
        <is>
          <t>현금흐름표</t>
        </is>
      </c>
      <c r="J253" s="24" t="inlineStr">
        <is>
          <t>dart_PurchaseOfShortTermLoansAndReceivables</t>
        </is>
      </c>
      <c r="K253" s="24" t="inlineStr">
        <is>
          <t>단기대여금의 증가</t>
        </is>
      </c>
      <c r="L253" s="24" t="inlineStr">
        <is>
          <t>-</t>
        </is>
      </c>
      <c r="M253" s="24" t="inlineStr">
        <is>
          <t>제 70 기</t>
        </is>
      </c>
      <c r="N253" s="24" t="inlineStr">
        <is>
          <t>0.0</t>
        </is>
      </c>
      <c r="O253" s="24" t="inlineStr">
        <is>
          <t>0.0</t>
        </is>
      </c>
      <c r="P253" s="24" t="inlineStr">
        <is>
          <t>KRW</t>
        </is>
      </c>
      <c r="Q253" s="24" t="inlineStr">
        <is>
          <t>10</t>
        </is>
      </c>
    </row>
    <row r="254" ht="24" customHeight="1">
      <c r="A254" s="29" t="inlineStr">
        <is>
          <t>OpenDART_fnlttSinglAcntAll</t>
        </is>
      </c>
      <c r="B254" s="29" t="inlineStr">
        <is>
          <t>00160843</t>
        </is>
      </c>
      <c r="C254" s="29" t="inlineStr">
        <is>
          <t>DB하이텍</t>
        </is>
      </c>
      <c r="D254" s="29" t="inlineStr">
        <is>
          <t>dbhitek</t>
        </is>
      </c>
      <c r="E254" s="29" t="inlineStr">
        <is>
          <t>000990</t>
        </is>
      </c>
      <c r="F254" s="29" t="inlineStr">
        <is>
          <t>2022</t>
        </is>
      </c>
      <c r="G254" s="29" t="inlineStr">
        <is>
          <t>CFS</t>
        </is>
      </c>
      <c r="H254" s="29" t="inlineStr">
        <is>
          <t>CF</t>
        </is>
      </c>
      <c r="I254" s="29" t="inlineStr">
        <is>
          <t>현금흐름표</t>
        </is>
      </c>
      <c r="J254" s="29" t="inlineStr">
        <is>
          <t>dart_ProceedsFromSalesOfShortTermLoansAndReceivables</t>
        </is>
      </c>
      <c r="K254" s="29" t="inlineStr">
        <is>
          <t>단기대여금의 감소</t>
        </is>
      </c>
      <c r="L254" s="29" t="inlineStr">
        <is>
          <t>-</t>
        </is>
      </c>
      <c r="M254" s="29" t="inlineStr">
        <is>
          <t>제 70 기</t>
        </is>
      </c>
      <c r="N254" s="29" t="inlineStr">
        <is>
          <t>0.0</t>
        </is>
      </c>
      <c r="O254" s="29" t="inlineStr">
        <is>
          <t>1700000000.0</t>
        </is>
      </c>
      <c r="P254" s="29" t="inlineStr">
        <is>
          <t>KRW</t>
        </is>
      </c>
      <c r="Q254" s="29" t="inlineStr">
        <is>
          <t>11</t>
        </is>
      </c>
    </row>
    <row r="255" ht="24" customHeight="1">
      <c r="A255" s="24" t="inlineStr">
        <is>
          <t>OpenDART_fnlttSinglAcntAll</t>
        </is>
      </c>
      <c r="B255" s="24" t="inlineStr">
        <is>
          <t>00160843</t>
        </is>
      </c>
      <c r="C255" s="24" t="inlineStr">
        <is>
          <t>DB하이텍</t>
        </is>
      </c>
      <c r="D255" s="24" t="inlineStr">
        <is>
          <t>dbhitek</t>
        </is>
      </c>
      <c r="E255" s="24" t="inlineStr">
        <is>
          <t>000990</t>
        </is>
      </c>
      <c r="F255" s="24" t="inlineStr">
        <is>
          <t>2022</t>
        </is>
      </c>
      <c r="G255" s="24" t="inlineStr">
        <is>
          <t>CFS</t>
        </is>
      </c>
      <c r="H255" s="24" t="inlineStr">
        <is>
          <t>CF</t>
        </is>
      </c>
      <c r="I255" s="24" t="inlineStr">
        <is>
          <t>현금흐름표</t>
        </is>
      </c>
      <c r="J255" s="24" t="inlineStr">
        <is>
          <t>dart_PurchaseOfOtherFinancialAssets</t>
        </is>
      </c>
      <c r="K255" s="24" t="inlineStr">
        <is>
          <t>기타금융자산의 취득</t>
        </is>
      </c>
      <c r="L255" s="24" t="inlineStr">
        <is>
          <t>-</t>
        </is>
      </c>
      <c r="M255" s="24" t="inlineStr">
        <is>
          <t>제 70 기</t>
        </is>
      </c>
      <c r="N255" s="24" t="inlineStr">
        <is>
          <t>244582697217.0</t>
        </is>
      </c>
      <c r="O255" s="24" t="inlineStr">
        <is>
          <t>83586210142.0</t>
        </is>
      </c>
      <c r="P255" s="24" t="inlineStr">
        <is>
          <t>KRW</t>
        </is>
      </c>
      <c r="Q255" s="24" t="inlineStr">
        <is>
          <t>12</t>
        </is>
      </c>
    </row>
    <row r="256" ht="24" customHeight="1">
      <c r="A256" s="29" t="inlineStr">
        <is>
          <t>OpenDART_fnlttSinglAcntAll</t>
        </is>
      </c>
      <c r="B256" s="29" t="inlineStr">
        <is>
          <t>00160843</t>
        </is>
      </c>
      <c r="C256" s="29" t="inlineStr">
        <is>
          <t>DB하이텍</t>
        </is>
      </c>
      <c r="D256" s="29" t="inlineStr">
        <is>
          <t>dbhitek</t>
        </is>
      </c>
      <c r="E256" s="29" t="inlineStr">
        <is>
          <t>000990</t>
        </is>
      </c>
      <c r="F256" s="29" t="inlineStr">
        <is>
          <t>2022</t>
        </is>
      </c>
      <c r="G256" s="29" t="inlineStr">
        <is>
          <t>CFS</t>
        </is>
      </c>
      <c r="H256" s="29" t="inlineStr">
        <is>
          <t>CF</t>
        </is>
      </c>
      <c r="I256" s="29" t="inlineStr">
        <is>
          <t>현금흐름표</t>
        </is>
      </c>
      <c r="J256" s="29" t="inlineStr">
        <is>
          <t>dart_ProceedsFromSalesOfOtherFinancialAssets</t>
        </is>
      </c>
      <c r="K256" s="29" t="inlineStr">
        <is>
          <t>기타금융자산의 처분</t>
        </is>
      </c>
      <c r="L256" s="29" t="inlineStr">
        <is>
          <t>-</t>
        </is>
      </c>
      <c r="M256" s="29" t="inlineStr">
        <is>
          <t>제 70 기</t>
        </is>
      </c>
      <c r="N256" s="29" t="inlineStr">
        <is>
          <t>139742512318.0</t>
        </is>
      </c>
      <c r="O256" s="29" t="inlineStr">
        <is>
          <t>111326407950.0</t>
        </is>
      </c>
      <c r="P256" s="29" t="inlineStr">
        <is>
          <t>KRW</t>
        </is>
      </c>
      <c r="Q256" s="29" t="inlineStr">
        <is>
          <t>13</t>
        </is>
      </c>
    </row>
    <row r="257" ht="24" customHeight="1">
      <c r="A257" s="24" t="inlineStr">
        <is>
          <t>OpenDART_fnlttSinglAcntAll</t>
        </is>
      </c>
      <c r="B257" s="24" t="inlineStr">
        <is>
          <t>00160843</t>
        </is>
      </c>
      <c r="C257" s="24" t="inlineStr">
        <is>
          <t>DB하이텍</t>
        </is>
      </c>
      <c r="D257" s="24" t="inlineStr">
        <is>
          <t>dbhitek</t>
        </is>
      </c>
      <c r="E257" s="24" t="inlineStr">
        <is>
          <t>000990</t>
        </is>
      </c>
      <c r="F257" s="24" t="inlineStr">
        <is>
          <t>2022</t>
        </is>
      </c>
      <c r="G257" s="24" t="inlineStr">
        <is>
          <t>CFS</t>
        </is>
      </c>
      <c r="H257" s="24" t="inlineStr">
        <is>
          <t>CF</t>
        </is>
      </c>
      <c r="I257" s="24" t="inlineStr">
        <is>
          <t>현금흐름표</t>
        </is>
      </c>
      <c r="J257" s="24" t="inlineStr">
        <is>
          <t>dart_PurchaseOfInvestmentsInAssociates</t>
        </is>
      </c>
      <c r="K257" s="24" t="inlineStr">
        <is>
          <t>관계기업투자주식의 취득</t>
        </is>
      </c>
      <c r="L257" s="24" t="inlineStr">
        <is>
          <t>-</t>
        </is>
      </c>
      <c r="M257" s="24" t="inlineStr">
        <is>
          <t>제 70 기</t>
        </is>
      </c>
      <c r="N257" s="24" t="inlineStr">
        <is>
          <t>1674000000.0</t>
        </is>
      </c>
      <c r="O257" s="24" t="inlineStr">
        <is>
          <t>0.0</t>
        </is>
      </c>
      <c r="P257" s="24" t="inlineStr">
        <is>
          <t>KRW</t>
        </is>
      </c>
      <c r="Q257" s="24" t="inlineStr">
        <is>
          <t>14</t>
        </is>
      </c>
    </row>
    <row r="258" ht="24" customHeight="1">
      <c r="A258" s="29" t="inlineStr">
        <is>
          <t>OpenDART_fnlttSinglAcntAll</t>
        </is>
      </c>
      <c r="B258" s="29" t="inlineStr">
        <is>
          <t>00160843</t>
        </is>
      </c>
      <c r="C258" s="29" t="inlineStr">
        <is>
          <t>DB하이텍</t>
        </is>
      </c>
      <c r="D258" s="29" t="inlineStr">
        <is>
          <t>dbhitek</t>
        </is>
      </c>
      <c r="E258" s="29" t="inlineStr">
        <is>
          <t>000990</t>
        </is>
      </c>
      <c r="F258" s="29" t="inlineStr">
        <is>
          <t>2022</t>
        </is>
      </c>
      <c r="G258" s="29" t="inlineStr">
        <is>
          <t>CFS</t>
        </is>
      </c>
      <c r="H258" s="29" t="inlineStr">
        <is>
          <t>CF</t>
        </is>
      </c>
      <c r="I258" s="29" t="inlineStr">
        <is>
          <t>현금흐름표</t>
        </is>
      </c>
      <c r="J258" s="29" t="inlineStr">
        <is>
          <t>ifrs-full_PurchaseOfPropertyPlantAndEquipmentClassifiedAsInvestingActivities</t>
        </is>
      </c>
      <c r="K258" s="29" t="inlineStr">
        <is>
          <t>유형자산의 취득</t>
        </is>
      </c>
      <c r="L258" s="29" t="inlineStr">
        <is>
          <t>-</t>
        </is>
      </c>
      <c r="M258" s="29" t="inlineStr">
        <is>
          <t>제 70 기</t>
        </is>
      </c>
      <c r="N258" s="29" t="inlineStr">
        <is>
          <t>179939556916.0</t>
        </is>
      </c>
      <c r="O258" s="29" t="inlineStr">
        <is>
          <t>133612138042.0</t>
        </is>
      </c>
      <c r="P258" s="29" t="inlineStr">
        <is>
          <t>KRW</t>
        </is>
      </c>
      <c r="Q258" s="29" t="inlineStr">
        <is>
          <t>15</t>
        </is>
      </c>
    </row>
    <row r="259" ht="24" customHeight="1">
      <c r="A259" s="24" t="inlineStr">
        <is>
          <t>OpenDART_fnlttSinglAcntAll</t>
        </is>
      </c>
      <c r="B259" s="24" t="inlineStr">
        <is>
          <t>00160843</t>
        </is>
      </c>
      <c r="C259" s="24" t="inlineStr">
        <is>
          <t>DB하이텍</t>
        </is>
      </c>
      <c r="D259" s="24" t="inlineStr">
        <is>
          <t>dbhitek</t>
        </is>
      </c>
      <c r="E259" s="24" t="inlineStr">
        <is>
          <t>000990</t>
        </is>
      </c>
      <c r="F259" s="24" t="inlineStr">
        <is>
          <t>2022</t>
        </is>
      </c>
      <c r="G259" s="24" t="inlineStr">
        <is>
          <t>CFS</t>
        </is>
      </c>
      <c r="H259" s="24" t="inlineStr">
        <is>
          <t>CF</t>
        </is>
      </c>
      <c r="I259" s="24" t="inlineStr">
        <is>
          <t>현금흐름표</t>
        </is>
      </c>
      <c r="J259" s="24" t="inlineStr">
        <is>
          <t>ifrs-full_ProceedsFromSalesOfPropertyPlantAndEquipmentClassifiedAsInvestingActivities</t>
        </is>
      </c>
      <c r="K259" s="24" t="inlineStr">
        <is>
          <t>유형자산의 처분</t>
        </is>
      </c>
      <c r="L259" s="24" t="inlineStr">
        <is>
          <t>-</t>
        </is>
      </c>
      <c r="M259" s="24" t="inlineStr">
        <is>
          <t>제 70 기</t>
        </is>
      </c>
      <c r="N259" s="24" t="inlineStr">
        <is>
          <t>60810333.0</t>
        </is>
      </c>
      <c r="O259" s="24" t="inlineStr">
        <is>
          <t>1199514500.0</t>
        </is>
      </c>
      <c r="P259" s="24" t="inlineStr">
        <is>
          <t>KRW</t>
        </is>
      </c>
      <c r="Q259" s="24" t="inlineStr">
        <is>
          <t>16</t>
        </is>
      </c>
    </row>
    <row r="260" ht="24" customHeight="1">
      <c r="A260" s="29" t="inlineStr">
        <is>
          <t>OpenDART_fnlttSinglAcntAll</t>
        </is>
      </c>
      <c r="B260" s="29" t="inlineStr">
        <is>
          <t>00160843</t>
        </is>
      </c>
      <c r="C260" s="29" t="inlineStr">
        <is>
          <t>DB하이텍</t>
        </is>
      </c>
      <c r="D260" s="29" t="inlineStr">
        <is>
          <t>dbhitek</t>
        </is>
      </c>
      <c r="E260" s="29" t="inlineStr">
        <is>
          <t>000990</t>
        </is>
      </c>
      <c r="F260" s="29" t="inlineStr">
        <is>
          <t>2022</t>
        </is>
      </c>
      <c r="G260" s="29" t="inlineStr">
        <is>
          <t>CFS</t>
        </is>
      </c>
      <c r="H260" s="29" t="inlineStr">
        <is>
          <t>CF</t>
        </is>
      </c>
      <c r="I260" s="29" t="inlineStr">
        <is>
          <t>현금흐름표</t>
        </is>
      </c>
      <c r="J260" s="29" t="inlineStr">
        <is>
          <t>ifrs-full_PurchaseOfIntangibleAssetsClassifiedAsInvestingActivities</t>
        </is>
      </c>
      <c r="K260" s="29" t="inlineStr">
        <is>
          <t>무형자산의 취득</t>
        </is>
      </c>
      <c r="L260" s="29" t="inlineStr">
        <is>
          <t>-</t>
        </is>
      </c>
      <c r="M260" s="29" t="inlineStr">
        <is>
          <t>제 70 기</t>
        </is>
      </c>
      <c r="N260" s="29" t="inlineStr">
        <is>
          <t>4510411442.0</t>
        </is>
      </c>
      <c r="O260" s="29" t="inlineStr">
        <is>
          <t>4034311552.0</t>
        </is>
      </c>
      <c r="P260" s="29" t="inlineStr">
        <is>
          <t>KRW</t>
        </is>
      </c>
      <c r="Q260" s="29" t="inlineStr">
        <is>
          <t>17</t>
        </is>
      </c>
    </row>
    <row r="261" ht="24" customHeight="1">
      <c r="A261" s="24" t="inlineStr">
        <is>
          <t>OpenDART_fnlttSinglAcntAll</t>
        </is>
      </c>
      <c r="B261" s="24" t="inlineStr">
        <is>
          <t>00160843</t>
        </is>
      </c>
      <c r="C261" s="24" t="inlineStr">
        <is>
          <t>DB하이텍</t>
        </is>
      </c>
      <c r="D261" s="24" t="inlineStr">
        <is>
          <t>dbhitek</t>
        </is>
      </c>
      <c r="E261" s="24" t="inlineStr">
        <is>
          <t>000990</t>
        </is>
      </c>
      <c r="F261" s="24" t="inlineStr">
        <is>
          <t>2022</t>
        </is>
      </c>
      <c r="G261" s="24" t="inlineStr">
        <is>
          <t>CFS</t>
        </is>
      </c>
      <c r="H261" s="24" t="inlineStr">
        <is>
          <t>CF</t>
        </is>
      </c>
      <c r="I261" s="24" t="inlineStr">
        <is>
          <t>현금흐름표</t>
        </is>
      </c>
      <c r="J261" s="24" t="inlineStr">
        <is>
          <t>ifrs-full_ProceedsFromSalesOfIntangibleAssetsClassifiedAsInvestingActivities</t>
        </is>
      </c>
      <c r="K261" s="24" t="inlineStr">
        <is>
          <t>무형자산의 처분</t>
        </is>
      </c>
      <c r="L261" s="24" t="inlineStr">
        <is>
          <t>-</t>
        </is>
      </c>
      <c r="M261" s="24" t="inlineStr">
        <is>
          <t>제 70 기</t>
        </is>
      </c>
      <c r="N261" s="24" t="inlineStr">
        <is>
          <t>58218724.0</t>
        </is>
      </c>
      <c r="O261" s="24" t="inlineStr">
        <is>
          <t>482000000.0</t>
        </is>
      </c>
      <c r="P261" s="24" t="inlineStr">
        <is>
          <t>KRW</t>
        </is>
      </c>
      <c r="Q261" s="24" t="inlineStr">
        <is>
          <t>18</t>
        </is>
      </c>
    </row>
    <row r="262" ht="24" customHeight="1">
      <c r="A262" s="29" t="inlineStr">
        <is>
          <t>OpenDART_fnlttSinglAcntAll</t>
        </is>
      </c>
      <c r="B262" s="29" t="inlineStr">
        <is>
          <t>00160843</t>
        </is>
      </c>
      <c r="C262" s="29" t="inlineStr">
        <is>
          <t>DB하이텍</t>
        </is>
      </c>
      <c r="D262" s="29" t="inlineStr">
        <is>
          <t>dbhitek</t>
        </is>
      </c>
      <c r="E262" s="29" t="inlineStr">
        <is>
          <t>000990</t>
        </is>
      </c>
      <c r="F262" s="29" t="inlineStr">
        <is>
          <t>2022</t>
        </is>
      </c>
      <c r="G262" s="29" t="inlineStr">
        <is>
          <t>CFS</t>
        </is>
      </c>
      <c r="H262" s="29" t="inlineStr">
        <is>
          <t>CF</t>
        </is>
      </c>
      <c r="I262" s="29" t="inlineStr">
        <is>
          <t>현금흐름표</t>
        </is>
      </c>
      <c r="J262" s="29" t="inlineStr">
        <is>
          <t>dart_PurchaseOfLongTermFinancialInstruments</t>
        </is>
      </c>
      <c r="K262" s="29" t="inlineStr">
        <is>
          <t>장기금융상품의 취득</t>
        </is>
      </c>
      <c r="L262" s="29" t="inlineStr">
        <is>
          <t>-</t>
        </is>
      </c>
      <c r="M262" s="29" t="inlineStr">
        <is>
          <t>제 70 기</t>
        </is>
      </c>
      <c r="N262" s="29" t="inlineStr">
        <is>
          <t>357147.0</t>
        </is>
      </c>
      <c r="O262" s="29" t="inlineStr">
        <is>
          <t>549791.0</t>
        </is>
      </c>
      <c r="P262" s="29" t="inlineStr">
        <is>
          <t>KRW</t>
        </is>
      </c>
      <c r="Q262" s="29" t="inlineStr">
        <is>
          <t>19</t>
        </is>
      </c>
    </row>
    <row r="263" ht="24" customHeight="1">
      <c r="A263" s="24" t="inlineStr">
        <is>
          <t>OpenDART_fnlttSinglAcntAll</t>
        </is>
      </c>
      <c r="B263" s="24" t="inlineStr">
        <is>
          <t>00160843</t>
        </is>
      </c>
      <c r="C263" s="24" t="inlineStr">
        <is>
          <t>DB하이텍</t>
        </is>
      </c>
      <c r="D263" s="24" t="inlineStr">
        <is>
          <t>dbhitek</t>
        </is>
      </c>
      <c r="E263" s="24" t="inlineStr">
        <is>
          <t>000990</t>
        </is>
      </c>
      <c r="F263" s="24" t="inlineStr">
        <is>
          <t>2022</t>
        </is>
      </c>
      <c r="G263" s="24" t="inlineStr">
        <is>
          <t>CFS</t>
        </is>
      </c>
      <c r="H263" s="24" t="inlineStr">
        <is>
          <t>CF</t>
        </is>
      </c>
      <c r="I263" s="24" t="inlineStr">
        <is>
          <t>현금흐름표</t>
        </is>
      </c>
      <c r="J263" s="24" t="inlineStr">
        <is>
          <t>dart_ProceedsFromSalesOfLongTermFinancialInstruments</t>
        </is>
      </c>
      <c r="K263" s="24" t="inlineStr">
        <is>
          <t>장기금융상품의 감소</t>
        </is>
      </c>
      <c r="L263" s="24" t="inlineStr">
        <is>
          <t>-</t>
        </is>
      </c>
      <c r="M263" s="24" t="inlineStr">
        <is>
          <t>제 70 기</t>
        </is>
      </c>
      <c r="N263" s="24" t="inlineStr">
        <is>
          <t>3000000.0</t>
        </is>
      </c>
      <c r="O263" s="24" t="inlineStr">
        <is>
          <t>0.0</t>
        </is>
      </c>
      <c r="P263" s="24" t="inlineStr">
        <is>
          <t>KRW</t>
        </is>
      </c>
      <c r="Q263" s="24" t="inlineStr">
        <is>
          <t>20</t>
        </is>
      </c>
    </row>
    <row r="264" ht="24" customHeight="1">
      <c r="A264" s="29" t="inlineStr">
        <is>
          <t>OpenDART_fnlttSinglAcntAll</t>
        </is>
      </c>
      <c r="B264" s="29" t="inlineStr">
        <is>
          <t>00160843</t>
        </is>
      </c>
      <c r="C264" s="29" t="inlineStr">
        <is>
          <t>DB하이텍</t>
        </is>
      </c>
      <c r="D264" s="29" t="inlineStr">
        <is>
          <t>dbhitek</t>
        </is>
      </c>
      <c r="E264" s="29" t="inlineStr">
        <is>
          <t>000990</t>
        </is>
      </c>
      <c r="F264" s="29" t="inlineStr">
        <is>
          <t>2022</t>
        </is>
      </c>
      <c r="G264" s="29" t="inlineStr">
        <is>
          <t>CFS</t>
        </is>
      </c>
      <c r="H264" s="29" t="inlineStr">
        <is>
          <t>CF</t>
        </is>
      </c>
      <c r="I264" s="29" t="inlineStr">
        <is>
          <t>현금흐름표</t>
        </is>
      </c>
      <c r="J264" s="29" t="inlineStr">
        <is>
          <t>dart_PurchaseOfLongTermLoansAndReceivables</t>
        </is>
      </c>
      <c r="K264" s="29" t="inlineStr">
        <is>
          <t>장기대여금의 증가</t>
        </is>
      </c>
      <c r="L264" s="29" t="inlineStr">
        <is>
          <t>-</t>
        </is>
      </c>
      <c r="M264" s="29" t="inlineStr">
        <is>
          <t>제 70 기</t>
        </is>
      </c>
      <c r="N264" s="29" t="inlineStr">
        <is>
          <t>37000000.0</t>
        </is>
      </c>
      <c r="O264" s="29" t="inlineStr">
        <is>
          <t>180000000.0</t>
        </is>
      </c>
      <c r="P264" s="29" t="inlineStr">
        <is>
          <t>KRW</t>
        </is>
      </c>
      <c r="Q264" s="29" t="inlineStr">
        <is>
          <t>21</t>
        </is>
      </c>
    </row>
    <row r="265" ht="24" customHeight="1">
      <c r="A265" s="24" t="inlineStr">
        <is>
          <t>OpenDART_fnlttSinglAcntAll</t>
        </is>
      </c>
      <c r="B265" s="24" t="inlineStr">
        <is>
          <t>00160843</t>
        </is>
      </c>
      <c r="C265" s="24" t="inlineStr">
        <is>
          <t>DB하이텍</t>
        </is>
      </c>
      <c r="D265" s="24" t="inlineStr">
        <is>
          <t>dbhitek</t>
        </is>
      </c>
      <c r="E265" s="24" t="inlineStr">
        <is>
          <t>000990</t>
        </is>
      </c>
      <c r="F265" s="24" t="inlineStr">
        <is>
          <t>2022</t>
        </is>
      </c>
      <c r="G265" s="24" t="inlineStr">
        <is>
          <t>CFS</t>
        </is>
      </c>
      <c r="H265" s="24" t="inlineStr">
        <is>
          <t>CF</t>
        </is>
      </c>
      <c r="I265" s="24" t="inlineStr">
        <is>
          <t>현금흐름표</t>
        </is>
      </c>
      <c r="J265" s="24" t="inlineStr">
        <is>
          <t>dart_ProceedsFromSalesOfLongTermLoansAndReceivables</t>
        </is>
      </c>
      <c r="K265" s="24" t="inlineStr">
        <is>
          <t>장기대여금의 감소</t>
        </is>
      </c>
      <c r="L265" s="24" t="inlineStr">
        <is>
          <t>-</t>
        </is>
      </c>
      <c r="M265" s="24" t="inlineStr">
        <is>
          <t>제 70 기</t>
        </is>
      </c>
      <c r="N265" s="24" t="inlineStr">
        <is>
          <t>6000000.0</t>
        </is>
      </c>
      <c r="O265" s="24" t="inlineStr">
        <is>
          <t>205500000.0</t>
        </is>
      </c>
      <c r="P265" s="24" t="inlineStr">
        <is>
          <t>KRW</t>
        </is>
      </c>
      <c r="Q265" s="24" t="inlineStr">
        <is>
          <t>22</t>
        </is>
      </c>
    </row>
    <row r="266" ht="24" customHeight="1">
      <c r="A266" s="29" t="inlineStr">
        <is>
          <t>OpenDART_fnlttSinglAcntAll</t>
        </is>
      </c>
      <c r="B266" s="29" t="inlineStr">
        <is>
          <t>00160843</t>
        </is>
      </c>
      <c r="C266" s="29" t="inlineStr">
        <is>
          <t>DB하이텍</t>
        </is>
      </c>
      <c r="D266" s="29" t="inlineStr">
        <is>
          <t>dbhitek</t>
        </is>
      </c>
      <c r="E266" s="29" t="inlineStr">
        <is>
          <t>000990</t>
        </is>
      </c>
      <c r="F266" s="29" t="inlineStr">
        <is>
          <t>2022</t>
        </is>
      </c>
      <c r="G266" s="29" t="inlineStr">
        <is>
          <t>CFS</t>
        </is>
      </c>
      <c r="H266" s="29" t="inlineStr">
        <is>
          <t>CF</t>
        </is>
      </c>
      <c r="I266" s="29" t="inlineStr">
        <is>
          <t>현금흐름표</t>
        </is>
      </c>
      <c r="J266" s="29" t="inlineStr">
        <is>
          <t>dart_IncreaseInGuaranteeDeposits</t>
        </is>
      </c>
      <c r="K266" s="29" t="inlineStr">
        <is>
          <t>보증금의 증가</t>
        </is>
      </c>
      <c r="L266" s="29" t="inlineStr">
        <is>
          <t>-</t>
        </is>
      </c>
      <c r="M266" s="29" t="inlineStr">
        <is>
          <t>제 70 기</t>
        </is>
      </c>
      <c r="N266" s="29" t="inlineStr">
        <is>
          <t>2364084883.0</t>
        </is>
      </c>
      <c r="O266" s="29" t="inlineStr">
        <is>
          <t>37829542.0</t>
        </is>
      </c>
      <c r="P266" s="29" t="inlineStr">
        <is>
          <t>KRW</t>
        </is>
      </c>
      <c r="Q266" s="29" t="inlineStr">
        <is>
          <t>23</t>
        </is>
      </c>
    </row>
    <row r="267" ht="24" customHeight="1">
      <c r="A267" s="24" t="inlineStr">
        <is>
          <t>OpenDART_fnlttSinglAcntAll</t>
        </is>
      </c>
      <c r="B267" s="24" t="inlineStr">
        <is>
          <t>00160843</t>
        </is>
      </c>
      <c r="C267" s="24" t="inlineStr">
        <is>
          <t>DB하이텍</t>
        </is>
      </c>
      <c r="D267" s="24" t="inlineStr">
        <is>
          <t>dbhitek</t>
        </is>
      </c>
      <c r="E267" s="24" t="inlineStr">
        <is>
          <t>000990</t>
        </is>
      </c>
      <c r="F267" s="24" t="inlineStr">
        <is>
          <t>2022</t>
        </is>
      </c>
      <c r="G267" s="24" t="inlineStr">
        <is>
          <t>CFS</t>
        </is>
      </c>
      <c r="H267" s="24" t="inlineStr">
        <is>
          <t>CF</t>
        </is>
      </c>
      <c r="I267" s="24" t="inlineStr">
        <is>
          <t>현금흐름표</t>
        </is>
      </c>
      <c r="J267" s="24" t="inlineStr">
        <is>
          <t>dart_DecreaseInGuaranteeDeposits</t>
        </is>
      </c>
      <c r="K267" s="24" t="inlineStr">
        <is>
          <t>보증금의 감소</t>
        </is>
      </c>
      <c r="L267" s="24" t="inlineStr">
        <is>
          <t>-</t>
        </is>
      </c>
      <c r="M267" s="24" t="inlineStr">
        <is>
          <t>제 70 기</t>
        </is>
      </c>
      <c r="N267" s="24" t="inlineStr">
        <is>
          <t>1691131108.0</t>
        </is>
      </c>
      <c r="O267" s="24" t="inlineStr">
        <is>
          <t>33204300.0</t>
        </is>
      </c>
      <c r="P267" s="24" t="inlineStr">
        <is>
          <t>KRW</t>
        </is>
      </c>
      <c r="Q267" s="24" t="inlineStr">
        <is>
          <t>24</t>
        </is>
      </c>
    </row>
    <row r="268" ht="24" customHeight="1">
      <c r="A268" s="29" t="inlineStr">
        <is>
          <t>OpenDART_fnlttSinglAcntAll</t>
        </is>
      </c>
      <c r="B268" s="29" t="inlineStr">
        <is>
          <t>00160843</t>
        </is>
      </c>
      <c r="C268" s="29" t="inlineStr">
        <is>
          <t>DB하이텍</t>
        </is>
      </c>
      <c r="D268" s="29" t="inlineStr">
        <is>
          <t>dbhitek</t>
        </is>
      </c>
      <c r="E268" s="29" t="inlineStr">
        <is>
          <t>000990</t>
        </is>
      </c>
      <c r="F268" s="29" t="inlineStr">
        <is>
          <t>2022</t>
        </is>
      </c>
      <c r="G268" s="29" t="inlineStr">
        <is>
          <t>CFS</t>
        </is>
      </c>
      <c r="H268" s="29" t="inlineStr">
        <is>
          <t>CF</t>
        </is>
      </c>
      <c r="I268" s="29" t="inlineStr">
        <is>
          <t>현금흐름표</t>
        </is>
      </c>
      <c r="J268" s="29" t="inlineStr">
        <is>
          <t>ifrs-full_ProceedsFromGovernmentGrantsClassifiedAsInvestingActivities</t>
        </is>
      </c>
      <c r="K268" s="29" t="inlineStr">
        <is>
          <t>국고보조금 수취</t>
        </is>
      </c>
      <c r="L268" s="29" t="inlineStr">
        <is>
          <t>-</t>
        </is>
      </c>
      <c r="M268" s="29" t="inlineStr">
        <is>
          <t>제 70 기</t>
        </is>
      </c>
      <c r="N268" s="29" t="inlineStr">
        <is>
          <t>124654529.0</t>
        </is>
      </c>
      <c r="O268" s="29" t="inlineStr">
        <is>
          <t>1827483.0</t>
        </is>
      </c>
      <c r="P268" s="29" t="inlineStr">
        <is>
          <t>KRW</t>
        </is>
      </c>
      <c r="Q268" s="29" t="inlineStr">
        <is>
          <t>25</t>
        </is>
      </c>
    </row>
    <row r="269" ht="24" customHeight="1">
      <c r="A269" s="24" t="inlineStr">
        <is>
          <t>OpenDART_fnlttSinglAcntAll</t>
        </is>
      </c>
      <c r="B269" s="24" t="inlineStr">
        <is>
          <t>00160843</t>
        </is>
      </c>
      <c r="C269" s="24" t="inlineStr">
        <is>
          <t>DB하이텍</t>
        </is>
      </c>
      <c r="D269" s="24" t="inlineStr">
        <is>
          <t>dbhitek</t>
        </is>
      </c>
      <c r="E269" s="24" t="inlineStr">
        <is>
          <t>000990</t>
        </is>
      </c>
      <c r="F269" s="24" t="inlineStr">
        <is>
          <t>2022</t>
        </is>
      </c>
      <c r="G269" s="24" t="inlineStr">
        <is>
          <t>CFS</t>
        </is>
      </c>
      <c r="H269" s="24" t="inlineStr">
        <is>
          <t>CF</t>
        </is>
      </c>
      <c r="I269" s="24" t="inlineStr">
        <is>
          <t>현금흐름표</t>
        </is>
      </c>
      <c r="J269" s="24" t="inlineStr">
        <is>
          <t>ifrs-full_CashFlowsFromUsedInFinancingActivities</t>
        </is>
      </c>
      <c r="K269" s="24" t="inlineStr">
        <is>
          <t>재무활동현금흐름</t>
        </is>
      </c>
      <c r="L269" s="24" t="inlineStr">
        <is>
          <t>-</t>
        </is>
      </c>
      <c r="M269" s="24" t="inlineStr">
        <is>
          <t>제 70 기</t>
        </is>
      </c>
      <c r="N269" s="24" t="inlineStr">
        <is>
          <t>-46026730701.0</t>
        </is>
      </c>
      <c r="O269" s="24" t="inlineStr">
        <is>
          <t>-4884073073.0</t>
        </is>
      </c>
      <c r="P269" s="24" t="inlineStr">
        <is>
          <t>KRW</t>
        </is>
      </c>
      <c r="Q269" s="24" t="inlineStr">
        <is>
          <t>26</t>
        </is>
      </c>
    </row>
    <row r="270" ht="24" customHeight="1">
      <c r="A270" s="29" t="inlineStr">
        <is>
          <t>OpenDART_fnlttSinglAcntAll</t>
        </is>
      </c>
      <c r="B270" s="29" t="inlineStr">
        <is>
          <t>00160843</t>
        </is>
      </c>
      <c r="C270" s="29" t="inlineStr">
        <is>
          <t>DB하이텍</t>
        </is>
      </c>
      <c r="D270" s="29" t="inlineStr">
        <is>
          <t>dbhitek</t>
        </is>
      </c>
      <c r="E270" s="29" t="inlineStr">
        <is>
          <t>000990</t>
        </is>
      </c>
      <c r="F270" s="29" t="inlineStr">
        <is>
          <t>2022</t>
        </is>
      </c>
      <c r="G270" s="29" t="inlineStr">
        <is>
          <t>CFS</t>
        </is>
      </c>
      <c r="H270" s="29" t="inlineStr">
        <is>
          <t>CF</t>
        </is>
      </c>
      <c r="I270" s="29" t="inlineStr">
        <is>
          <t>현금흐름표</t>
        </is>
      </c>
      <c r="J270" s="29" t="inlineStr">
        <is>
          <t>dart_ProceedsFromShortTermBorrowings</t>
        </is>
      </c>
      <c r="K270" s="29" t="inlineStr">
        <is>
          <t>단기차입금의 증가</t>
        </is>
      </c>
      <c r="L270" s="29" t="inlineStr">
        <is>
          <t>-</t>
        </is>
      </c>
      <c r="M270" s="29" t="inlineStr">
        <is>
          <t>제 70 기</t>
        </is>
      </c>
      <c r="N270" s="29" t="inlineStr">
        <is>
          <t>47995301969.0</t>
        </is>
      </c>
      <c r="O270" s="29" t="inlineStr">
        <is>
          <t>56652418325.0</t>
        </is>
      </c>
      <c r="P270" s="29" t="inlineStr">
        <is>
          <t>KRW</t>
        </is>
      </c>
      <c r="Q270" s="29" t="inlineStr">
        <is>
          <t>27</t>
        </is>
      </c>
    </row>
    <row r="271" ht="24" customHeight="1">
      <c r="A271" s="24" t="inlineStr">
        <is>
          <t>OpenDART_fnlttSinglAcntAll</t>
        </is>
      </c>
      <c r="B271" s="24" t="inlineStr">
        <is>
          <t>00160843</t>
        </is>
      </c>
      <c r="C271" s="24" t="inlineStr">
        <is>
          <t>DB하이텍</t>
        </is>
      </c>
      <c r="D271" s="24" t="inlineStr">
        <is>
          <t>dbhitek</t>
        </is>
      </c>
      <c r="E271" s="24" t="inlineStr">
        <is>
          <t>000990</t>
        </is>
      </c>
      <c r="F271" s="24" t="inlineStr">
        <is>
          <t>2022</t>
        </is>
      </c>
      <c r="G271" s="24" t="inlineStr">
        <is>
          <t>CFS</t>
        </is>
      </c>
      <c r="H271" s="24" t="inlineStr">
        <is>
          <t>CF</t>
        </is>
      </c>
      <c r="I271" s="24" t="inlineStr">
        <is>
          <t>현금흐름표</t>
        </is>
      </c>
      <c r="J271" s="24" t="inlineStr">
        <is>
          <t>dart_RepaymentsOfShortTermBorrowings</t>
        </is>
      </c>
      <c r="K271" s="24" t="inlineStr">
        <is>
          <t>단기차입금의 상환</t>
        </is>
      </c>
      <c r="L271" s="24" t="inlineStr">
        <is>
          <t>-</t>
        </is>
      </c>
      <c r="M271" s="24" t="inlineStr">
        <is>
          <t>제 70 기</t>
        </is>
      </c>
      <c r="N271" s="24" t="inlineStr">
        <is>
          <t>53648679620.0</t>
        </is>
      </c>
      <c r="O271" s="24" t="inlineStr">
        <is>
          <t>38010773359.0</t>
        </is>
      </c>
      <c r="P271" s="24" t="inlineStr">
        <is>
          <t>KRW</t>
        </is>
      </c>
      <c r="Q271" s="24" t="inlineStr">
        <is>
          <t>28</t>
        </is>
      </c>
    </row>
    <row r="272" ht="24" customHeight="1">
      <c r="A272" s="29" t="inlineStr">
        <is>
          <t>OpenDART_fnlttSinglAcntAll</t>
        </is>
      </c>
      <c r="B272" s="29" t="inlineStr">
        <is>
          <t>00160843</t>
        </is>
      </c>
      <c r="C272" s="29" t="inlineStr">
        <is>
          <t>DB하이텍</t>
        </is>
      </c>
      <c r="D272" s="29" t="inlineStr">
        <is>
          <t>dbhitek</t>
        </is>
      </c>
      <c r="E272" s="29" t="inlineStr">
        <is>
          <t>000990</t>
        </is>
      </c>
      <c r="F272" s="29" t="inlineStr">
        <is>
          <t>2022</t>
        </is>
      </c>
      <c r="G272" s="29" t="inlineStr">
        <is>
          <t>CFS</t>
        </is>
      </c>
      <c r="H272" s="29" t="inlineStr">
        <is>
          <t>CF</t>
        </is>
      </c>
      <c r="I272" s="29" t="inlineStr">
        <is>
          <t>현금흐름표</t>
        </is>
      </c>
      <c r="J272" s="29" t="inlineStr">
        <is>
          <t>ifrs-full_RepaymentsOfBorrowingsClassifiedAsFinancingActivities</t>
        </is>
      </c>
      <c r="K272" s="29" t="inlineStr">
        <is>
          <t>유동성장기차입금의 상환</t>
        </is>
      </c>
      <c r="L272" s="29" t="inlineStr">
        <is>
          <t>-</t>
        </is>
      </c>
      <c r="M272" s="29" t="inlineStr">
        <is>
          <t>제 70 기</t>
        </is>
      </c>
      <c r="N272" s="29" t="inlineStr">
        <is>
          <t>36463750000.0</t>
        </is>
      </c>
      <c r="O272" s="29" t="inlineStr">
        <is>
          <t>56879920000.0</t>
        </is>
      </c>
      <c r="P272" s="29" t="inlineStr">
        <is>
          <t>KRW</t>
        </is>
      </c>
      <c r="Q272" s="29" t="inlineStr">
        <is>
          <t>29</t>
        </is>
      </c>
    </row>
    <row r="273" ht="24" customHeight="1">
      <c r="A273" s="24" t="inlineStr">
        <is>
          <t>OpenDART_fnlttSinglAcntAll</t>
        </is>
      </c>
      <c r="B273" s="24" t="inlineStr">
        <is>
          <t>00160843</t>
        </is>
      </c>
      <c r="C273" s="24" t="inlineStr">
        <is>
          <t>DB하이텍</t>
        </is>
      </c>
      <c r="D273" s="24" t="inlineStr">
        <is>
          <t>dbhitek</t>
        </is>
      </c>
      <c r="E273" s="24" t="inlineStr">
        <is>
          <t>000990</t>
        </is>
      </c>
      <c r="F273" s="24" t="inlineStr">
        <is>
          <t>2022</t>
        </is>
      </c>
      <c r="G273" s="24" t="inlineStr">
        <is>
          <t>CFS</t>
        </is>
      </c>
      <c r="H273" s="24" t="inlineStr">
        <is>
          <t>CF</t>
        </is>
      </c>
      <c r="I273" s="24" t="inlineStr">
        <is>
          <t>현금흐름표</t>
        </is>
      </c>
      <c r="J273" s="24" t="inlineStr">
        <is>
          <t>dart_ProceedsFromLongTermBorrowings</t>
        </is>
      </c>
      <c r="K273" s="24" t="inlineStr">
        <is>
          <t>장기차입금의 증가</t>
        </is>
      </c>
      <c r="L273" s="24" t="inlineStr">
        <is>
          <t>-</t>
        </is>
      </c>
      <c r="M273" s="24" t="inlineStr">
        <is>
          <t>제 70 기</t>
        </is>
      </c>
      <c r="N273" s="24" t="inlineStr">
        <is>
          <t>0.0</t>
        </is>
      </c>
      <c r="O273" s="24" t="inlineStr">
        <is>
          <t>36000000000.0</t>
        </is>
      </c>
      <c r="P273" s="24" t="inlineStr">
        <is>
          <t>KRW</t>
        </is>
      </c>
      <c r="Q273" s="24" t="inlineStr">
        <is>
          <t>30</t>
        </is>
      </c>
    </row>
    <row r="274" ht="24" customHeight="1">
      <c r="A274" s="29" t="inlineStr">
        <is>
          <t>OpenDART_fnlttSinglAcntAll</t>
        </is>
      </c>
      <c r="B274" s="29" t="inlineStr">
        <is>
          <t>00160843</t>
        </is>
      </c>
      <c r="C274" s="29" t="inlineStr">
        <is>
          <t>DB하이텍</t>
        </is>
      </c>
      <c r="D274" s="29" t="inlineStr">
        <is>
          <t>dbhitek</t>
        </is>
      </c>
      <c r="E274" s="29" t="inlineStr">
        <is>
          <t>000990</t>
        </is>
      </c>
      <c r="F274" s="29" t="inlineStr">
        <is>
          <t>2022</t>
        </is>
      </c>
      <c r="G274" s="29" t="inlineStr">
        <is>
          <t>CFS</t>
        </is>
      </c>
      <c r="H274" s="29" t="inlineStr">
        <is>
          <t>CF</t>
        </is>
      </c>
      <c r="I274" s="29" t="inlineStr">
        <is>
          <t>현금흐름표</t>
        </is>
      </c>
      <c r="J274" s="29" t="inlineStr">
        <is>
          <t>dart_RepaymentsOfLongTermBorrowings</t>
        </is>
      </c>
      <c r="K274" s="29" t="inlineStr">
        <is>
          <t>장기차입금의 상환</t>
        </is>
      </c>
      <c r="L274" s="29" t="inlineStr">
        <is>
          <t>-</t>
        </is>
      </c>
      <c r="M274" s="29" t="inlineStr">
        <is>
          <t>제 70 기</t>
        </is>
      </c>
      <c r="N274" s="29" t="inlineStr">
        <is>
          <t>0.0</t>
        </is>
      </c>
      <c r="O274" s="29" t="inlineStr">
        <is>
          <t>0.0</t>
        </is>
      </c>
      <c r="P274" s="29" t="inlineStr">
        <is>
          <t>KRW</t>
        </is>
      </c>
      <c r="Q274" s="29" t="inlineStr">
        <is>
          <t>31</t>
        </is>
      </c>
    </row>
    <row r="275" ht="24" customHeight="1">
      <c r="A275" s="24" t="inlineStr">
        <is>
          <t>OpenDART_fnlttSinglAcntAll</t>
        </is>
      </c>
      <c r="B275" s="24" t="inlineStr">
        <is>
          <t>00160843</t>
        </is>
      </c>
      <c r="C275" s="24" t="inlineStr">
        <is>
          <t>DB하이텍</t>
        </is>
      </c>
      <c r="D275" s="24" t="inlineStr">
        <is>
          <t>dbhitek</t>
        </is>
      </c>
      <c r="E275" s="24" t="inlineStr">
        <is>
          <t>000990</t>
        </is>
      </c>
      <c r="F275" s="24" t="inlineStr">
        <is>
          <t>2022</t>
        </is>
      </c>
      <c r="G275" s="24" t="inlineStr">
        <is>
          <t>CFS</t>
        </is>
      </c>
      <c r="H275" s="24" t="inlineStr">
        <is>
          <t>CF</t>
        </is>
      </c>
      <c r="I275" s="24" t="inlineStr">
        <is>
          <t>현금흐름표</t>
        </is>
      </c>
      <c r="J275" s="24" t="inlineStr">
        <is>
          <t>dart_DispositionOfTreasuryShares</t>
        </is>
      </c>
      <c r="K275" s="24" t="inlineStr">
        <is>
          <t>자기주식의 처분</t>
        </is>
      </c>
      <c r="L275" s="24" t="inlineStr">
        <is>
          <t>-</t>
        </is>
      </c>
      <c r="M275" s="24" t="inlineStr">
        <is>
          <t>제 70 기</t>
        </is>
      </c>
      <c r="N275" s="24" t="inlineStr">
        <is>
          <t>0.0</t>
        </is>
      </c>
      <c r="O275" s="24" t="inlineStr">
        <is>
          <t>1329774000.0</t>
        </is>
      </c>
      <c r="P275" s="24" t="inlineStr">
        <is>
          <t>KRW</t>
        </is>
      </c>
      <c r="Q275" s="24" t="inlineStr">
        <is>
          <t>32</t>
        </is>
      </c>
    </row>
    <row r="276" ht="24" customHeight="1">
      <c r="A276" s="29" t="inlineStr">
        <is>
          <t>OpenDART_fnlttSinglAcntAll</t>
        </is>
      </c>
      <c r="B276" s="29" t="inlineStr">
        <is>
          <t>00160843</t>
        </is>
      </c>
      <c r="C276" s="29" t="inlineStr">
        <is>
          <t>DB하이텍</t>
        </is>
      </c>
      <c r="D276" s="29" t="inlineStr">
        <is>
          <t>dbhitek</t>
        </is>
      </c>
      <c r="E276" s="29" t="inlineStr">
        <is>
          <t>000990</t>
        </is>
      </c>
      <c r="F276" s="29" t="inlineStr">
        <is>
          <t>2022</t>
        </is>
      </c>
      <c r="G276" s="29" t="inlineStr">
        <is>
          <t>CFS</t>
        </is>
      </c>
      <c r="H276" s="29" t="inlineStr">
        <is>
          <t>CF</t>
        </is>
      </c>
      <c r="I276" s="29" t="inlineStr">
        <is>
          <t>현금흐름표</t>
        </is>
      </c>
      <c r="J276" s="29" t="inlineStr">
        <is>
          <t>ifrs-full_PaymentsOfFinanceLeaseLiabilitiesClassifiedAsFinancingActivities</t>
        </is>
      </c>
      <c r="K276" s="29" t="inlineStr">
        <is>
          <t>리스부채의 상환</t>
        </is>
      </c>
      <c r="L276" s="29" t="inlineStr">
        <is>
          <t>-</t>
        </is>
      </c>
      <c r="M276" s="29" t="inlineStr">
        <is>
          <t>제 70 기</t>
        </is>
      </c>
      <c r="N276" s="29" t="inlineStr">
        <is>
          <t>3990434768.0</t>
        </is>
      </c>
      <c r="O276" s="29" t="inlineStr">
        <is>
          <t>3975572039.0</t>
        </is>
      </c>
      <c r="P276" s="29" t="inlineStr">
        <is>
          <t>KRW</t>
        </is>
      </c>
      <c r="Q276" s="29" t="inlineStr">
        <is>
          <t>33</t>
        </is>
      </c>
    </row>
    <row r="277" ht="24" customHeight="1">
      <c r="A277" s="24" t="inlineStr">
        <is>
          <t>OpenDART_fnlttSinglAcntAll</t>
        </is>
      </c>
      <c r="B277" s="24" t="inlineStr">
        <is>
          <t>00160843</t>
        </is>
      </c>
      <c r="C277" s="24" t="inlineStr">
        <is>
          <t>DB하이텍</t>
        </is>
      </c>
      <c r="D277" s="24" t="inlineStr">
        <is>
          <t>dbhitek</t>
        </is>
      </c>
      <c r="E277" s="24" t="inlineStr">
        <is>
          <t>000990</t>
        </is>
      </c>
      <c r="F277" s="24" t="inlineStr">
        <is>
          <t>2022</t>
        </is>
      </c>
      <c r="G277" s="24" t="inlineStr">
        <is>
          <t>CFS</t>
        </is>
      </c>
      <c r="H277" s="24" t="inlineStr">
        <is>
          <t>CF</t>
        </is>
      </c>
      <c r="I277" s="24" t="inlineStr">
        <is>
          <t>현금흐름표</t>
        </is>
      </c>
      <c r="J277" s="24" t="inlineStr">
        <is>
          <t>ifrs-full_ProceedsFromGovernmentGrantsClassifiedAsFinancingActivities</t>
        </is>
      </c>
      <c r="K277" s="24" t="inlineStr">
        <is>
          <t>정부보조금의 수취</t>
        </is>
      </c>
      <c r="L277" s="24" t="inlineStr">
        <is>
          <t>-</t>
        </is>
      </c>
      <c r="M277" s="24" t="inlineStr">
        <is>
          <t>제 70 기</t>
        </is>
      </c>
      <c r="N277" s="24" t="inlineStr">
        <is>
          <t>80831718.0</t>
        </is>
      </c>
      <c r="O277" s="24" t="inlineStr">
        <is>
          <t>0.0</t>
        </is>
      </c>
      <c r="P277" s="24" t="inlineStr">
        <is>
          <t>KRW</t>
        </is>
      </c>
      <c r="Q277" s="24" t="inlineStr">
        <is>
          <t>34</t>
        </is>
      </c>
    </row>
    <row r="278" ht="24" customHeight="1">
      <c r="A278" s="29" t="inlineStr">
        <is>
          <t>OpenDART_fnlttSinglAcntAll</t>
        </is>
      </c>
      <c r="B278" s="29" t="inlineStr">
        <is>
          <t>00160843</t>
        </is>
      </c>
      <c r="C278" s="29" t="inlineStr">
        <is>
          <t>DB하이텍</t>
        </is>
      </c>
      <c r="D278" s="29" t="inlineStr">
        <is>
          <t>dbhitek</t>
        </is>
      </c>
      <c r="E278" s="29" t="inlineStr">
        <is>
          <t>000990</t>
        </is>
      </c>
      <c r="F278" s="29" t="inlineStr">
        <is>
          <t>2022</t>
        </is>
      </c>
      <c r="G278" s="29" t="inlineStr">
        <is>
          <t>CFS</t>
        </is>
      </c>
      <c r="H278" s="29" t="inlineStr">
        <is>
          <t>CF</t>
        </is>
      </c>
      <c r="I278" s="29" t="inlineStr">
        <is>
          <t>현금흐름표</t>
        </is>
      </c>
      <c r="J278" s="29" t="inlineStr">
        <is>
          <t>ifrs-full_IncreaseDecreaseInCashAndCashEquivalents</t>
        </is>
      </c>
      <c r="K278" s="29" t="inlineStr">
        <is>
          <t>현금및현금성자산의 증가(감소)</t>
        </is>
      </c>
      <c r="L278" s="29" t="inlineStr">
        <is>
          <t>-</t>
        </is>
      </c>
      <c r="M278" s="29" t="inlineStr">
        <is>
          <t>제 70 기</t>
        </is>
      </c>
      <c r="N278" s="29" t="inlineStr">
        <is>
          <t>-26052378063.0</t>
        </is>
      </c>
      <c r="O278" s="29" t="inlineStr">
        <is>
          <t>135478541666.0</t>
        </is>
      </c>
      <c r="P278" s="29" t="inlineStr">
        <is>
          <t>KRW</t>
        </is>
      </c>
      <c r="Q278" s="29" t="inlineStr">
        <is>
          <t>35</t>
        </is>
      </c>
    </row>
    <row r="279" ht="24" customHeight="1">
      <c r="A279" s="24" t="inlineStr">
        <is>
          <t>OpenDART_fnlttSinglAcntAll</t>
        </is>
      </c>
      <c r="B279" s="24" t="inlineStr">
        <is>
          <t>00160843</t>
        </is>
      </c>
      <c r="C279" s="24" t="inlineStr">
        <is>
          <t>DB하이텍</t>
        </is>
      </c>
      <c r="D279" s="24" t="inlineStr">
        <is>
          <t>dbhitek</t>
        </is>
      </c>
      <c r="E279" s="24" t="inlineStr">
        <is>
          <t>000990</t>
        </is>
      </c>
      <c r="F279" s="24" t="inlineStr">
        <is>
          <t>2022</t>
        </is>
      </c>
      <c r="G279" s="24" t="inlineStr">
        <is>
          <t>CFS</t>
        </is>
      </c>
      <c r="H279" s="24" t="inlineStr">
        <is>
          <t>CF</t>
        </is>
      </c>
      <c r="I279" s="24" t="inlineStr">
        <is>
          <t>현금흐름표</t>
        </is>
      </c>
      <c r="J279" s="24" t="inlineStr">
        <is>
          <t>dart_CashAndCashEquivalentsAtBeginningOfPeriodCf</t>
        </is>
      </c>
      <c r="K279" s="24" t="inlineStr">
        <is>
          <t>기초현금및현금성자산</t>
        </is>
      </c>
      <c r="L279" s="24" t="inlineStr">
        <is>
          <t>-</t>
        </is>
      </c>
      <c r="M279" s="24" t="inlineStr">
        <is>
          <t>제 70 기</t>
        </is>
      </c>
      <c r="N279" s="24" t="inlineStr">
        <is>
          <t>183017846365.0</t>
        </is>
      </c>
      <c r="O279" s="24" t="inlineStr">
        <is>
          <t>48293560140.0</t>
        </is>
      </c>
      <c r="P279" s="24" t="inlineStr">
        <is>
          <t>KRW</t>
        </is>
      </c>
      <c r="Q279" s="24" t="inlineStr">
        <is>
          <t>36</t>
        </is>
      </c>
    </row>
    <row r="280" ht="24" customHeight="1">
      <c r="A280" s="29" t="inlineStr">
        <is>
          <t>OpenDART_fnlttSinglAcntAll</t>
        </is>
      </c>
      <c r="B280" s="29" t="inlineStr">
        <is>
          <t>00160843</t>
        </is>
      </c>
      <c r="C280" s="29" t="inlineStr">
        <is>
          <t>DB하이텍</t>
        </is>
      </c>
      <c r="D280" s="29" t="inlineStr">
        <is>
          <t>dbhitek</t>
        </is>
      </c>
      <c r="E280" s="29" t="inlineStr">
        <is>
          <t>000990</t>
        </is>
      </c>
      <c r="F280" s="29" t="inlineStr">
        <is>
          <t>2022</t>
        </is>
      </c>
      <c r="G280" s="29" t="inlineStr">
        <is>
          <t>CFS</t>
        </is>
      </c>
      <c r="H280" s="29" t="inlineStr">
        <is>
          <t>CF</t>
        </is>
      </c>
      <c r="I280" s="29" t="inlineStr">
        <is>
          <t>현금흐름표</t>
        </is>
      </c>
      <c r="J280" s="29" t="inlineStr">
        <is>
          <t>-표준계정코드 미사용-</t>
        </is>
      </c>
      <c r="K280" s="29" t="inlineStr">
        <is>
          <t>현금및현금성자산의 환율변동효과</t>
        </is>
      </c>
      <c r="L280" s="29" t="inlineStr">
        <is>
          <t>-</t>
        </is>
      </c>
      <c r="M280" s="29" t="inlineStr">
        <is>
          <t>제 70 기</t>
        </is>
      </c>
      <c r="N280" s="29" t="inlineStr">
        <is>
          <t>-5654178756.0</t>
        </is>
      </c>
      <c r="O280" s="29" t="inlineStr">
        <is>
          <t>-754255441.0</t>
        </is>
      </c>
      <c r="P280" s="29" t="inlineStr">
        <is>
          <t>KRW</t>
        </is>
      </c>
      <c r="Q280" s="29" t="inlineStr">
        <is>
          <t>37</t>
        </is>
      </c>
    </row>
    <row r="281" ht="24" customHeight="1">
      <c r="A281" s="24" t="inlineStr">
        <is>
          <t>OpenDART_fnlttSinglAcntAll</t>
        </is>
      </c>
      <c r="B281" s="24" t="inlineStr">
        <is>
          <t>00160843</t>
        </is>
      </c>
      <c r="C281" s="24" t="inlineStr">
        <is>
          <t>DB하이텍</t>
        </is>
      </c>
      <c r="D281" s="24" t="inlineStr">
        <is>
          <t>dbhitek</t>
        </is>
      </c>
      <c r="E281" s="24" t="inlineStr">
        <is>
          <t>000990</t>
        </is>
      </c>
      <c r="F281" s="24" t="inlineStr">
        <is>
          <t>2022</t>
        </is>
      </c>
      <c r="G281" s="24" t="inlineStr">
        <is>
          <t>CFS</t>
        </is>
      </c>
      <c r="H281" s="24" t="inlineStr">
        <is>
          <t>CF</t>
        </is>
      </c>
      <c r="I281" s="24" t="inlineStr">
        <is>
          <t>현금흐름표</t>
        </is>
      </c>
      <c r="J281" s="24" t="inlineStr">
        <is>
          <t>dart_CashAndCashEquivalentsAtEndOfPeriodCf</t>
        </is>
      </c>
      <c r="K281" s="24" t="inlineStr">
        <is>
          <t>기말현금및현금성자산</t>
        </is>
      </c>
      <c r="L281" s="24" t="inlineStr">
        <is>
          <t>-</t>
        </is>
      </c>
      <c r="M281" s="24" t="inlineStr">
        <is>
          <t>제 70 기</t>
        </is>
      </c>
      <c r="N281" s="24" t="inlineStr">
        <is>
          <t>151311289546.0</t>
        </is>
      </c>
      <c r="O281" s="24" t="inlineStr">
        <is>
          <t>183017846365.0</t>
        </is>
      </c>
      <c r="P281" s="24" t="inlineStr">
        <is>
          <t>KRW</t>
        </is>
      </c>
      <c r="Q281" s="24" t="inlineStr">
        <is>
          <t>38</t>
        </is>
      </c>
    </row>
    <row r="282" ht="24" customHeight="1">
      <c r="A282" s="29" t="inlineStr">
        <is>
          <t>OpenDART_fnlttSinglAcntAll</t>
        </is>
      </c>
      <c r="B282" s="29" t="inlineStr">
        <is>
          <t>00160843</t>
        </is>
      </c>
      <c r="C282" s="29" t="inlineStr">
        <is>
          <t>DB하이텍</t>
        </is>
      </c>
      <c r="D282" s="29" t="inlineStr">
        <is>
          <t>dbhitek</t>
        </is>
      </c>
      <c r="E282" s="29" t="inlineStr">
        <is>
          <t>000990</t>
        </is>
      </c>
      <c r="F282" s="29" t="inlineStr">
        <is>
          <t>2022</t>
        </is>
      </c>
      <c r="G282" s="29" t="inlineStr">
        <is>
          <t>CFS</t>
        </is>
      </c>
      <c r="H282" s="29" t="inlineStr">
        <is>
          <t>SCE</t>
        </is>
      </c>
      <c r="I282" s="29" t="inlineStr">
        <is>
          <t>자본변동표</t>
        </is>
      </c>
      <c r="J282" s="29" t="inlineStr">
        <is>
          <t>dart_EquityAtBeginningOfPeriod</t>
        </is>
      </c>
      <c r="K282" s="29" t="inlineStr">
        <is>
          <t>기초자본</t>
        </is>
      </c>
      <c r="L282" s="29" t="inlineStr">
        <is>
          <t>자본 [member]|지배기업의 소유주에게 귀속되는 자본 [member]</t>
        </is>
      </c>
      <c r="M282" s="29" t="inlineStr">
        <is>
          <t>제 70 기</t>
        </is>
      </c>
      <c r="N282" s="29" t="inlineStr">
        <is>
          <t>1106049706046.0</t>
        </is>
      </c>
      <c r="O282" s="29" t="inlineStr">
        <is>
          <t>794584512577.0</t>
        </is>
      </c>
      <c r="P282" s="29" t="inlineStr">
        <is>
          <t>KRW</t>
        </is>
      </c>
      <c r="Q282" s="29" t="inlineStr">
        <is>
          <t>1</t>
        </is>
      </c>
    </row>
    <row r="283" ht="24" customHeight="1">
      <c r="A283" s="24" t="inlineStr">
        <is>
          <t>OpenDART_fnlttSinglAcntAll</t>
        </is>
      </c>
      <c r="B283" s="24" t="inlineStr">
        <is>
          <t>00160843</t>
        </is>
      </c>
      <c r="C283" s="24" t="inlineStr">
        <is>
          <t>DB하이텍</t>
        </is>
      </c>
      <c r="D283" s="24" t="inlineStr">
        <is>
          <t>dbhitek</t>
        </is>
      </c>
      <c r="E283" s="24" t="inlineStr">
        <is>
          <t>000990</t>
        </is>
      </c>
      <c r="F283" s="24" t="inlineStr">
        <is>
          <t>2022</t>
        </is>
      </c>
      <c r="G283" s="24" t="inlineStr">
        <is>
          <t>CFS</t>
        </is>
      </c>
      <c r="H283" s="24" t="inlineStr">
        <is>
          <t>SCE</t>
        </is>
      </c>
      <c r="I283" s="24" t="inlineStr">
        <is>
          <t>자본변동표</t>
        </is>
      </c>
      <c r="J283" s="24" t="inlineStr">
        <is>
          <t>dart_EquityAtBeginningOfPeriod</t>
        </is>
      </c>
      <c r="K283" s="24" t="inlineStr">
        <is>
          <t>기초자본</t>
        </is>
      </c>
      <c r="L283" s="24" t="inlineStr">
        <is>
          <t>연결재무제표 [member]</t>
        </is>
      </c>
      <c r="M283" s="24" t="inlineStr">
        <is>
          <t>제 70 기</t>
        </is>
      </c>
      <c r="N283" s="24" t="inlineStr">
        <is>
          <t>1106049706046.0</t>
        </is>
      </c>
      <c r="O283" s="24" t="inlineStr">
        <is>
          <t>794584512577.0</t>
        </is>
      </c>
      <c r="P283" s="24" t="inlineStr">
        <is>
          <t>KRW</t>
        </is>
      </c>
      <c r="Q283" s="24" t="inlineStr">
        <is>
          <t>1</t>
        </is>
      </c>
    </row>
    <row r="284" ht="24" customHeight="1">
      <c r="A284" s="29" t="inlineStr">
        <is>
          <t>OpenDART_fnlttSinglAcntAll</t>
        </is>
      </c>
      <c r="B284" s="29" t="inlineStr">
        <is>
          <t>00160843</t>
        </is>
      </c>
      <c r="C284" s="29" t="inlineStr">
        <is>
          <t>DB하이텍</t>
        </is>
      </c>
      <c r="D284" s="29" t="inlineStr">
        <is>
          <t>dbhitek</t>
        </is>
      </c>
      <c r="E284" s="29" t="inlineStr">
        <is>
          <t>000990</t>
        </is>
      </c>
      <c r="F284" s="29" t="inlineStr">
        <is>
          <t>2022</t>
        </is>
      </c>
      <c r="G284" s="29" t="inlineStr">
        <is>
          <t>CFS</t>
        </is>
      </c>
      <c r="H284" s="29" t="inlineStr">
        <is>
          <t>SCE</t>
        </is>
      </c>
      <c r="I284" s="29" t="inlineStr">
        <is>
          <t>자본변동표</t>
        </is>
      </c>
      <c r="J284" s="29" t="inlineStr">
        <is>
          <t>dart_EquityAtBeginningOfPeriod</t>
        </is>
      </c>
      <c r="K284" s="29" t="inlineStr">
        <is>
          <t>기초자본</t>
        </is>
      </c>
      <c r="L284" s="29" t="inlineStr">
        <is>
          <t>자본 [member]|지배기업의 소유주에게 귀속되는 자본 [member]|주식발행초과금</t>
        </is>
      </c>
      <c r="M284" s="29" t="inlineStr">
        <is>
          <t>제 70 기</t>
        </is>
      </c>
      <c r="N284" s="29" t="inlineStr">
        <is>
          <t>127328276294.0</t>
        </is>
      </c>
      <c r="O284" s="29" t="inlineStr">
        <is>
          <t>127328276294.0</t>
        </is>
      </c>
      <c r="P284" s="29" t="inlineStr">
        <is>
          <t>KRW</t>
        </is>
      </c>
      <c r="Q284" s="29" t="inlineStr">
        <is>
          <t>1</t>
        </is>
      </c>
    </row>
    <row r="285" ht="24" customHeight="1">
      <c r="A285" s="24" t="inlineStr">
        <is>
          <t>OpenDART_fnlttSinglAcntAll</t>
        </is>
      </c>
      <c r="B285" s="24" t="inlineStr">
        <is>
          <t>00160843</t>
        </is>
      </c>
      <c r="C285" s="24" t="inlineStr">
        <is>
          <t>DB하이텍</t>
        </is>
      </c>
      <c r="D285" s="24" t="inlineStr">
        <is>
          <t>dbhitek</t>
        </is>
      </c>
      <c r="E285" s="24" t="inlineStr">
        <is>
          <t>000990</t>
        </is>
      </c>
      <c r="F285" s="24" t="inlineStr">
        <is>
          <t>2022</t>
        </is>
      </c>
      <c r="G285" s="24" t="inlineStr">
        <is>
          <t>CFS</t>
        </is>
      </c>
      <c r="H285" s="24" t="inlineStr">
        <is>
          <t>SCE</t>
        </is>
      </c>
      <c r="I285" s="24" t="inlineStr">
        <is>
          <t>자본변동표</t>
        </is>
      </c>
      <c r="J285" s="24" t="inlineStr">
        <is>
          <t>dart_EquityAtBeginningOfPeriod</t>
        </is>
      </c>
      <c r="K285" s="24" t="inlineStr">
        <is>
          <t>기초자본</t>
        </is>
      </c>
      <c r="L285" s="24" t="inlineStr">
        <is>
          <t>자본 [member]|지배기업의 소유주에게 귀속되는 자본 [member]|자본금 [member]</t>
        </is>
      </c>
      <c r="M285" s="24" t="inlineStr">
        <is>
          <t>제 70 기</t>
        </is>
      </c>
      <c r="N285" s="24" t="inlineStr">
        <is>
          <t>222555835000.0</t>
        </is>
      </c>
      <c r="O285" s="24" t="inlineStr">
        <is>
          <t>222555835000.0</t>
        </is>
      </c>
      <c r="P285" s="24" t="inlineStr">
        <is>
          <t>KRW</t>
        </is>
      </c>
      <c r="Q285" s="24" t="inlineStr">
        <is>
          <t>1</t>
        </is>
      </c>
    </row>
    <row r="286" ht="24" customHeight="1">
      <c r="A286" s="29" t="inlineStr">
        <is>
          <t>OpenDART_fnlttSinglAcntAll</t>
        </is>
      </c>
      <c r="B286" s="29" t="inlineStr">
        <is>
          <t>00160843</t>
        </is>
      </c>
      <c r="C286" s="29" t="inlineStr">
        <is>
          <t>DB하이텍</t>
        </is>
      </c>
      <c r="D286" s="29" t="inlineStr">
        <is>
          <t>dbhitek</t>
        </is>
      </c>
      <c r="E286" s="29" t="inlineStr">
        <is>
          <t>000990</t>
        </is>
      </c>
      <c r="F286" s="29" t="inlineStr">
        <is>
          <t>2022</t>
        </is>
      </c>
      <c r="G286" s="29" t="inlineStr">
        <is>
          <t>CFS</t>
        </is>
      </c>
      <c r="H286" s="29" t="inlineStr">
        <is>
          <t>SCE</t>
        </is>
      </c>
      <c r="I286" s="29" t="inlineStr">
        <is>
          <t>자본변동표</t>
        </is>
      </c>
      <c r="J286" s="29" t="inlineStr">
        <is>
          <t>dart_EquityAtBeginningOfPeriod</t>
        </is>
      </c>
      <c r="K286" s="29" t="inlineStr">
        <is>
          <t>기초자본</t>
        </is>
      </c>
      <c r="L286" s="29" t="inlineStr">
        <is>
          <t>자본 [member]|지배기업의 소유주에게 귀속되는 자본 [member]|기타자본구성요소 [member]</t>
        </is>
      </c>
      <c r="M286" s="29" t="inlineStr">
        <is>
          <t>제 70 기</t>
        </is>
      </c>
      <c r="N286" s="29" t="inlineStr">
        <is>
          <t>-75803373341.0</t>
        </is>
      </c>
      <c r="O286" s="29" t="inlineStr">
        <is>
          <t>-80681611505.0</t>
        </is>
      </c>
      <c r="P286" s="29" t="inlineStr">
        <is>
          <t>KRW</t>
        </is>
      </c>
      <c r="Q286" s="29" t="inlineStr">
        <is>
          <t>1</t>
        </is>
      </c>
    </row>
    <row r="287" ht="24" customHeight="1">
      <c r="A287" s="24" t="inlineStr">
        <is>
          <t>OpenDART_fnlttSinglAcntAll</t>
        </is>
      </c>
      <c r="B287" s="24" t="inlineStr">
        <is>
          <t>00160843</t>
        </is>
      </c>
      <c r="C287" s="24" t="inlineStr">
        <is>
          <t>DB하이텍</t>
        </is>
      </c>
      <c r="D287" s="24" t="inlineStr">
        <is>
          <t>dbhitek</t>
        </is>
      </c>
      <c r="E287" s="24" t="inlineStr">
        <is>
          <t>000990</t>
        </is>
      </c>
      <c r="F287" s="24" t="inlineStr">
        <is>
          <t>2022</t>
        </is>
      </c>
      <c r="G287" s="24" t="inlineStr">
        <is>
          <t>CFS</t>
        </is>
      </c>
      <c r="H287" s="24" t="inlineStr">
        <is>
          <t>SCE</t>
        </is>
      </c>
      <c r="I287" s="24" t="inlineStr">
        <is>
          <t>자본변동표</t>
        </is>
      </c>
      <c r="J287" s="24" t="inlineStr">
        <is>
          <t>dart_EquityAtBeginningOfPeriod</t>
        </is>
      </c>
      <c r="K287" s="24" t="inlineStr">
        <is>
          <t>기초자본</t>
        </is>
      </c>
      <c r="L287" s="24" t="inlineStr">
        <is>
          <t>자본 [member]|지배기업의 소유주에게 귀속되는 자본 [member]|이익잉여금 [member]</t>
        </is>
      </c>
      <c r="M287" s="24" t="inlineStr">
        <is>
          <t>제 70 기</t>
        </is>
      </c>
      <c r="N287" s="24" t="inlineStr">
        <is>
          <t>831968968093.0</t>
        </is>
      </c>
      <c r="O287" s="24" t="inlineStr">
        <is>
          <t>525382012788.0</t>
        </is>
      </c>
      <c r="P287" s="24" t="inlineStr">
        <is>
          <t>KRW</t>
        </is>
      </c>
      <c r="Q287" s="24" t="inlineStr">
        <is>
          <t>1</t>
        </is>
      </c>
    </row>
    <row r="288" ht="24" customHeight="1">
      <c r="A288" s="29" t="inlineStr">
        <is>
          <t>OpenDART_fnlttSinglAcntAll</t>
        </is>
      </c>
      <c r="B288" s="29" t="inlineStr">
        <is>
          <t>00160843</t>
        </is>
      </c>
      <c r="C288" s="29" t="inlineStr">
        <is>
          <t>DB하이텍</t>
        </is>
      </c>
      <c r="D288" s="29" t="inlineStr">
        <is>
          <t>dbhitek</t>
        </is>
      </c>
      <c r="E288" s="29" t="inlineStr">
        <is>
          <t>000990</t>
        </is>
      </c>
      <c r="F288" s="29" t="inlineStr">
        <is>
          <t>2022</t>
        </is>
      </c>
      <c r="G288" s="29" t="inlineStr">
        <is>
          <t>CFS</t>
        </is>
      </c>
      <c r="H288" s="29" t="inlineStr">
        <is>
          <t>SCE</t>
        </is>
      </c>
      <c r="I288" s="29" t="inlineStr">
        <is>
          <t>자본변동표</t>
        </is>
      </c>
      <c r="J288" s="29" t="inlineStr">
        <is>
          <t>dart_ChangesInReserveOfGainsAndLossesOnFinancialAssetsMeasuredAtFairValueThroughOtherComprehensiveIncome</t>
        </is>
      </c>
      <c r="K288" s="29" t="inlineStr">
        <is>
          <t>기타포괄손익-공정가치 측정 금융자산 평가손익</t>
        </is>
      </c>
      <c r="L288" s="29" t="inlineStr">
        <is>
          <t>자본 [member]|지배기업의 소유주에게 귀속되는 자본 [member]|기타자본구성요소 [member]</t>
        </is>
      </c>
      <c r="M288" s="29" t="inlineStr">
        <is>
          <t>제 70 기</t>
        </is>
      </c>
      <c r="N288" s="29" t="inlineStr">
        <is>
          <t>-2022990261.0</t>
        </is>
      </c>
      <c r="O288" s="29" t="inlineStr">
        <is>
          <t>2947398216.0</t>
        </is>
      </c>
      <c r="P288" s="29" t="inlineStr">
        <is>
          <t>KRW</t>
        </is>
      </c>
      <c r="Q288" s="29" t="inlineStr">
        <is>
          <t>2</t>
        </is>
      </c>
    </row>
    <row r="289" ht="24" customHeight="1">
      <c r="A289" s="24" t="inlineStr">
        <is>
          <t>OpenDART_fnlttSinglAcntAll</t>
        </is>
      </c>
      <c r="B289" s="24" t="inlineStr">
        <is>
          <t>00160843</t>
        </is>
      </c>
      <c r="C289" s="24" t="inlineStr">
        <is>
          <t>DB하이텍</t>
        </is>
      </c>
      <c r="D289" s="24" t="inlineStr">
        <is>
          <t>dbhitek</t>
        </is>
      </c>
      <c r="E289" s="24" t="inlineStr">
        <is>
          <t>000990</t>
        </is>
      </c>
      <c r="F289" s="24" t="inlineStr">
        <is>
          <t>2022</t>
        </is>
      </c>
      <c r="G289" s="24" t="inlineStr">
        <is>
          <t>CFS</t>
        </is>
      </c>
      <c r="H289" s="24" t="inlineStr">
        <is>
          <t>SCE</t>
        </is>
      </c>
      <c r="I289" s="24" t="inlineStr">
        <is>
          <t>자본변동표</t>
        </is>
      </c>
      <c r="J289" s="24" t="inlineStr">
        <is>
          <t>dart_ChangesInReserveOfGainsAndLossesOnFinancialAssetsMeasuredAtFairValueThroughOtherComprehensiveIncome</t>
        </is>
      </c>
      <c r="K289" s="24" t="inlineStr">
        <is>
          <t>기타포괄손익-공정가치 측정 금융자산 평가손익</t>
        </is>
      </c>
      <c r="L289" s="24" t="inlineStr">
        <is>
          <t>연결재무제표 [member]</t>
        </is>
      </c>
      <c r="M289" s="24" t="inlineStr">
        <is>
          <t>제 70 기</t>
        </is>
      </c>
      <c r="N289" s="24" t="inlineStr">
        <is>
          <t>-2022990261.0</t>
        </is>
      </c>
      <c r="O289" s="24" t="inlineStr">
        <is>
          <t>2947398216.0</t>
        </is>
      </c>
      <c r="P289" s="24" t="inlineStr">
        <is>
          <t>KRW</t>
        </is>
      </c>
      <c r="Q289" s="24" t="inlineStr">
        <is>
          <t>2</t>
        </is>
      </c>
    </row>
    <row r="290" ht="24" customHeight="1">
      <c r="A290" s="29" t="inlineStr">
        <is>
          <t>OpenDART_fnlttSinglAcntAll</t>
        </is>
      </c>
      <c r="B290" s="29" t="inlineStr">
        <is>
          <t>00160843</t>
        </is>
      </c>
      <c r="C290" s="29" t="inlineStr">
        <is>
          <t>DB하이텍</t>
        </is>
      </c>
      <c r="D290" s="29" t="inlineStr">
        <is>
          <t>dbhitek</t>
        </is>
      </c>
      <c r="E290" s="29" t="inlineStr">
        <is>
          <t>000990</t>
        </is>
      </c>
      <c r="F290" s="29" t="inlineStr">
        <is>
          <t>2022</t>
        </is>
      </c>
      <c r="G290" s="29" t="inlineStr">
        <is>
          <t>CFS</t>
        </is>
      </c>
      <c r="H290" s="29" t="inlineStr">
        <is>
          <t>SCE</t>
        </is>
      </c>
      <c r="I290" s="29" t="inlineStr">
        <is>
          <t>자본변동표</t>
        </is>
      </c>
      <c r="J290" s="29" t="inlineStr">
        <is>
          <t>dart_ChangesInReserveOfGainsAndLossesOnFinancialAssetsMeasuredAtFairValueThroughOtherComprehensiveIncome</t>
        </is>
      </c>
      <c r="K290" s="29" t="inlineStr">
        <is>
          <t>기타포괄손익-공정가치 측정 금융자산 평가손익</t>
        </is>
      </c>
      <c r="L290" s="29" t="inlineStr">
        <is>
          <t>자본 [member]|지배기업의 소유주에게 귀속되는 자본 [member]</t>
        </is>
      </c>
      <c r="M290" s="29" t="inlineStr">
        <is>
          <t>제 70 기</t>
        </is>
      </c>
      <c r="N290" s="29" t="inlineStr">
        <is>
          <t>-2022990261.0</t>
        </is>
      </c>
      <c r="O290" s="29" t="inlineStr">
        <is>
          <t>2947398216.0</t>
        </is>
      </c>
      <c r="P290" s="29" t="inlineStr">
        <is>
          <t>KRW</t>
        </is>
      </c>
      <c r="Q290" s="29" t="inlineStr">
        <is>
          <t>2</t>
        </is>
      </c>
    </row>
    <row r="291" ht="24" customHeight="1">
      <c r="A291" s="24" t="inlineStr">
        <is>
          <t>OpenDART_fnlttSinglAcntAll</t>
        </is>
      </c>
      <c r="B291" s="24" t="inlineStr">
        <is>
          <t>00160843</t>
        </is>
      </c>
      <c r="C291" s="24" t="inlineStr">
        <is>
          <t>DB하이텍</t>
        </is>
      </c>
      <c r="D291" s="24" t="inlineStr">
        <is>
          <t>dbhitek</t>
        </is>
      </c>
      <c r="E291" s="24" t="inlineStr">
        <is>
          <t>000990</t>
        </is>
      </c>
      <c r="F291" s="24" t="inlineStr">
        <is>
          <t>2022</t>
        </is>
      </c>
      <c r="G291" s="24" t="inlineStr">
        <is>
          <t>CFS</t>
        </is>
      </c>
      <c r="H291" s="24" t="inlineStr">
        <is>
          <t>SCE</t>
        </is>
      </c>
      <c r="I291" s="24" t="inlineStr">
        <is>
          <t>자본변동표</t>
        </is>
      </c>
      <c r="J291" s="24" t="inlineStr">
        <is>
          <t>dart_ChangesInForeignExchangeRates</t>
        </is>
      </c>
      <c r="K291" s="24" t="inlineStr">
        <is>
          <t>해외사업환산손익</t>
        </is>
      </c>
      <c r="L291" s="24" t="inlineStr">
        <is>
          <t>자본 [member]|지배기업의 소유주에게 귀속되는 자본 [member]|기타자본구성요소 [member]</t>
        </is>
      </c>
      <c r="M291" s="24" t="inlineStr">
        <is>
          <t>제 70 기</t>
        </is>
      </c>
      <c r="N291" s="24" t="inlineStr">
        <is>
          <t>301627377.0</t>
        </is>
      </c>
      <c r="O291" s="24" t="inlineStr">
        <is>
          <t>530732113.0</t>
        </is>
      </c>
      <c r="P291" s="24" t="inlineStr">
        <is>
          <t>KRW</t>
        </is>
      </c>
      <c r="Q291" s="24" t="inlineStr">
        <is>
          <t>3</t>
        </is>
      </c>
    </row>
    <row r="292" ht="24" customHeight="1">
      <c r="A292" s="29" t="inlineStr">
        <is>
          <t>OpenDART_fnlttSinglAcntAll</t>
        </is>
      </c>
      <c r="B292" s="29" t="inlineStr">
        <is>
          <t>00160843</t>
        </is>
      </c>
      <c r="C292" s="29" t="inlineStr">
        <is>
          <t>DB하이텍</t>
        </is>
      </c>
      <c r="D292" s="29" t="inlineStr">
        <is>
          <t>dbhitek</t>
        </is>
      </c>
      <c r="E292" s="29" t="inlineStr">
        <is>
          <t>000990</t>
        </is>
      </c>
      <c r="F292" s="29" t="inlineStr">
        <is>
          <t>2022</t>
        </is>
      </c>
      <c r="G292" s="29" t="inlineStr">
        <is>
          <t>CFS</t>
        </is>
      </c>
      <c r="H292" s="29" t="inlineStr">
        <is>
          <t>SCE</t>
        </is>
      </c>
      <c r="I292" s="29" t="inlineStr">
        <is>
          <t>자본변동표</t>
        </is>
      </c>
      <c r="J292" s="29" t="inlineStr">
        <is>
          <t>dart_ChangesInForeignExchangeRates</t>
        </is>
      </c>
      <c r="K292" s="29" t="inlineStr">
        <is>
          <t>해외사업환산손익</t>
        </is>
      </c>
      <c r="L292" s="29" t="inlineStr">
        <is>
          <t>연결재무제표 [member]</t>
        </is>
      </c>
      <c r="M292" s="29" t="inlineStr">
        <is>
          <t>제 70 기</t>
        </is>
      </c>
      <c r="N292" s="29" t="inlineStr">
        <is>
          <t>301627377.0</t>
        </is>
      </c>
      <c r="O292" s="29" t="inlineStr">
        <is>
          <t>530732113.0</t>
        </is>
      </c>
      <c r="P292" s="29" t="inlineStr">
        <is>
          <t>KRW</t>
        </is>
      </c>
      <c r="Q292" s="29" t="inlineStr">
        <is>
          <t>3</t>
        </is>
      </c>
    </row>
    <row r="293" ht="24" customHeight="1">
      <c r="A293" s="24" t="inlineStr">
        <is>
          <t>OpenDART_fnlttSinglAcntAll</t>
        </is>
      </c>
      <c r="B293" s="24" t="inlineStr">
        <is>
          <t>00160843</t>
        </is>
      </c>
      <c r="C293" s="24" t="inlineStr">
        <is>
          <t>DB하이텍</t>
        </is>
      </c>
      <c r="D293" s="24" t="inlineStr">
        <is>
          <t>dbhitek</t>
        </is>
      </c>
      <c r="E293" s="24" t="inlineStr">
        <is>
          <t>000990</t>
        </is>
      </c>
      <c r="F293" s="24" t="inlineStr">
        <is>
          <t>2022</t>
        </is>
      </c>
      <c r="G293" s="24" t="inlineStr">
        <is>
          <t>CFS</t>
        </is>
      </c>
      <c r="H293" s="24" t="inlineStr">
        <is>
          <t>SCE</t>
        </is>
      </c>
      <c r="I293" s="24" t="inlineStr">
        <is>
          <t>자본변동표</t>
        </is>
      </c>
      <c r="J293" s="24" t="inlineStr">
        <is>
          <t>dart_ChangesInForeignExchangeRates</t>
        </is>
      </c>
      <c r="K293" s="24" t="inlineStr">
        <is>
          <t>해외사업환산손익</t>
        </is>
      </c>
      <c r="L293" s="24" t="inlineStr">
        <is>
          <t>자본 [member]|지배기업의 소유주에게 귀속되는 자본 [member]</t>
        </is>
      </c>
      <c r="M293" s="24" t="inlineStr">
        <is>
          <t>제 70 기</t>
        </is>
      </c>
      <c r="N293" s="24" t="inlineStr">
        <is>
          <t>301627377.0</t>
        </is>
      </c>
      <c r="O293" s="24" t="inlineStr">
        <is>
          <t>530732113.0</t>
        </is>
      </c>
      <c r="P293" s="24" t="inlineStr">
        <is>
          <t>KRW</t>
        </is>
      </c>
      <c r="Q293" s="24" t="inlineStr">
        <is>
          <t>3</t>
        </is>
      </c>
    </row>
    <row r="294" ht="24" customHeight="1">
      <c r="A294" s="29" t="inlineStr">
        <is>
          <t>OpenDART_fnlttSinglAcntAll</t>
        </is>
      </c>
      <c r="B294" s="29" t="inlineStr">
        <is>
          <t>00160843</t>
        </is>
      </c>
      <c r="C294" s="29" t="inlineStr">
        <is>
          <t>DB하이텍</t>
        </is>
      </c>
      <c r="D294" s="29" t="inlineStr">
        <is>
          <t>dbhitek</t>
        </is>
      </c>
      <c r="E294" s="29" t="inlineStr">
        <is>
          <t>000990</t>
        </is>
      </c>
      <c r="F294" s="29" t="inlineStr">
        <is>
          <t>2022</t>
        </is>
      </c>
      <c r="G294" s="29" t="inlineStr">
        <is>
          <t>CFS</t>
        </is>
      </c>
      <c r="H294" s="29" t="inlineStr">
        <is>
          <t>SCE</t>
        </is>
      </c>
      <c r="I294" s="29" t="inlineStr">
        <is>
          <t>자본변동표</t>
        </is>
      </c>
      <c r="J294" s="29" t="inlineStr">
        <is>
          <t>dart_PurchaseDispostionOfAssociatesOrJointVenture</t>
        </is>
      </c>
      <c r="K294" s="29" t="inlineStr">
        <is>
          <t>관계기업투자 평가</t>
        </is>
      </c>
      <c r="L294" s="29" t="inlineStr">
        <is>
          <t>연결재무제표 [member]</t>
        </is>
      </c>
      <c r="M294" s="29" t="inlineStr">
        <is>
          <t>제 70 기</t>
        </is>
      </c>
      <c r="N294" s="29" t="inlineStr">
        <is>
          <t>290513888.0</t>
        </is>
      </c>
      <c r="O294" s="29" t="inlineStr">
        <is>
          <t>238451778.0</t>
        </is>
      </c>
      <c r="P294" s="29" t="inlineStr">
        <is>
          <t>KRW</t>
        </is>
      </c>
      <c r="Q294" s="29" t="inlineStr">
        <is>
          <t>4</t>
        </is>
      </c>
    </row>
    <row r="295" ht="24" customHeight="1">
      <c r="A295" s="24" t="inlineStr">
        <is>
          <t>OpenDART_fnlttSinglAcntAll</t>
        </is>
      </c>
      <c r="B295" s="24" t="inlineStr">
        <is>
          <t>00160843</t>
        </is>
      </c>
      <c r="C295" s="24" t="inlineStr">
        <is>
          <t>DB하이텍</t>
        </is>
      </c>
      <c r="D295" s="24" t="inlineStr">
        <is>
          <t>dbhitek</t>
        </is>
      </c>
      <c r="E295" s="24" t="inlineStr">
        <is>
          <t>000990</t>
        </is>
      </c>
      <c r="F295" s="24" t="inlineStr">
        <is>
          <t>2022</t>
        </is>
      </c>
      <c r="G295" s="24" t="inlineStr">
        <is>
          <t>CFS</t>
        </is>
      </c>
      <c r="H295" s="24" t="inlineStr">
        <is>
          <t>SCE</t>
        </is>
      </c>
      <c r="I295" s="24" t="inlineStr">
        <is>
          <t>자본변동표</t>
        </is>
      </c>
      <c r="J295" s="24" t="inlineStr">
        <is>
          <t>dart_PurchaseDispostionOfAssociatesOrJointVenture</t>
        </is>
      </c>
      <c r="K295" s="24" t="inlineStr">
        <is>
          <t>관계기업투자 평가</t>
        </is>
      </c>
      <c r="L295" s="24" t="inlineStr">
        <is>
          <t>자본 [member]|지배기업의 소유주에게 귀속되는 자본 [member]</t>
        </is>
      </c>
      <c r="M295" s="24" t="inlineStr">
        <is>
          <t>제 70 기</t>
        </is>
      </c>
      <c r="N295" s="24" t="inlineStr">
        <is>
          <t>290513888.0</t>
        </is>
      </c>
      <c r="O295" s="24" t="inlineStr">
        <is>
          <t>238451778.0</t>
        </is>
      </c>
      <c r="P295" s="24" t="inlineStr">
        <is>
          <t>KRW</t>
        </is>
      </c>
      <c r="Q295" s="24" t="inlineStr">
        <is>
          <t>4</t>
        </is>
      </c>
    </row>
    <row r="296" ht="24" customHeight="1">
      <c r="A296" s="29" t="inlineStr">
        <is>
          <t>OpenDART_fnlttSinglAcntAll</t>
        </is>
      </c>
      <c r="B296" s="29" t="inlineStr">
        <is>
          <t>00160843</t>
        </is>
      </c>
      <c r="C296" s="29" t="inlineStr">
        <is>
          <t>DB하이텍</t>
        </is>
      </c>
      <c r="D296" s="29" t="inlineStr">
        <is>
          <t>dbhitek</t>
        </is>
      </c>
      <c r="E296" s="29" t="inlineStr">
        <is>
          <t>000990</t>
        </is>
      </c>
      <c r="F296" s="29" t="inlineStr">
        <is>
          <t>2022</t>
        </is>
      </c>
      <c r="G296" s="29" t="inlineStr">
        <is>
          <t>CFS</t>
        </is>
      </c>
      <c r="H296" s="29" t="inlineStr">
        <is>
          <t>SCE</t>
        </is>
      </c>
      <c r="I296" s="29" t="inlineStr">
        <is>
          <t>자본변동표</t>
        </is>
      </c>
      <c r="J296" s="29" t="inlineStr">
        <is>
          <t>dart_PurchaseDispostionOfAssociatesOrJointVenture</t>
        </is>
      </c>
      <c r="K296" s="29" t="inlineStr">
        <is>
          <t>관계기업투자 평가</t>
        </is>
      </c>
      <c r="L296" s="29" t="inlineStr">
        <is>
          <t>자본 [member]|지배기업의 소유주에게 귀속되는 자본 [member]|기타자본구성요소 [member]</t>
        </is>
      </c>
      <c r="M296" s="29" t="inlineStr">
        <is>
          <t>제 70 기</t>
        </is>
      </c>
      <c r="N296" s="29" t="inlineStr">
        <is>
          <t>64187255.0</t>
        </is>
      </c>
      <c r="O296" s="29" t="inlineStr">
        <is>
          <t>270873179.0</t>
        </is>
      </c>
      <c r="P296" s="29" t="inlineStr">
        <is>
          <t>KRW</t>
        </is>
      </c>
      <c r="Q296" s="29" t="inlineStr">
        <is>
          <t>4</t>
        </is>
      </c>
    </row>
    <row r="297" ht="24" customHeight="1">
      <c r="A297" s="24" t="inlineStr">
        <is>
          <t>OpenDART_fnlttSinglAcntAll</t>
        </is>
      </c>
      <c r="B297" s="24" t="inlineStr">
        <is>
          <t>00160843</t>
        </is>
      </c>
      <c r="C297" s="24" t="inlineStr">
        <is>
          <t>DB하이텍</t>
        </is>
      </c>
      <c r="D297" s="24" t="inlineStr">
        <is>
          <t>dbhitek</t>
        </is>
      </c>
      <c r="E297" s="24" t="inlineStr">
        <is>
          <t>000990</t>
        </is>
      </c>
      <c r="F297" s="24" t="inlineStr">
        <is>
          <t>2022</t>
        </is>
      </c>
      <c r="G297" s="24" t="inlineStr">
        <is>
          <t>CFS</t>
        </is>
      </c>
      <c r="H297" s="24" t="inlineStr">
        <is>
          <t>SCE</t>
        </is>
      </c>
      <c r="I297" s="24" t="inlineStr">
        <is>
          <t>자본변동표</t>
        </is>
      </c>
      <c r="J297" s="24" t="inlineStr">
        <is>
          <t>dart_PurchaseDispostionOfAssociatesOrJointVenture</t>
        </is>
      </c>
      <c r="K297" s="24" t="inlineStr">
        <is>
          <t>관계기업투자 평가</t>
        </is>
      </c>
      <c r="L297" s="24" t="inlineStr">
        <is>
          <t>자본 [member]|지배기업의 소유주에게 귀속되는 자본 [member]|이익잉여금 [member]</t>
        </is>
      </c>
      <c r="M297" s="24" t="inlineStr">
        <is>
          <t>제 70 기</t>
        </is>
      </c>
      <c r="N297" s="24" t="inlineStr">
        <is>
          <t>226326633.0</t>
        </is>
      </c>
      <c r="O297" s="24" t="inlineStr">
        <is>
          <t>-32421401.0</t>
        </is>
      </c>
      <c r="P297" s="24" t="inlineStr">
        <is>
          <t>KRW</t>
        </is>
      </c>
      <c r="Q297" s="24" t="inlineStr">
        <is>
          <t>4</t>
        </is>
      </c>
    </row>
    <row r="298" ht="24" customHeight="1">
      <c r="A298" s="29" t="inlineStr">
        <is>
          <t>OpenDART_fnlttSinglAcntAll</t>
        </is>
      </c>
      <c r="B298" s="29" t="inlineStr">
        <is>
          <t>00160843</t>
        </is>
      </c>
      <c r="C298" s="29" t="inlineStr">
        <is>
          <t>DB하이텍</t>
        </is>
      </c>
      <c r="D298" s="29" t="inlineStr">
        <is>
          <t>dbhitek</t>
        </is>
      </c>
      <c r="E298" s="29" t="inlineStr">
        <is>
          <t>000990</t>
        </is>
      </c>
      <c r="F298" s="29" t="inlineStr">
        <is>
          <t>2022</t>
        </is>
      </c>
      <c r="G298" s="29" t="inlineStr">
        <is>
          <t>CFS</t>
        </is>
      </c>
      <c r="H298" s="29" t="inlineStr">
        <is>
          <t>SCE</t>
        </is>
      </c>
      <c r="I298" s="29" t="inlineStr">
        <is>
          <t>자본변동표</t>
        </is>
      </c>
      <c r="J298" s="29" t="inlineStr">
        <is>
          <t>-표준계정코드 미사용-</t>
        </is>
      </c>
      <c r="K298" s="29" t="inlineStr">
        <is>
          <t>순확정급여부채의 재측정요소</t>
        </is>
      </c>
      <c r="L298" s="29" t="inlineStr">
        <is>
          <t>자본 [member]|지배기업의 소유주에게 귀속되는 자본 [member]|이익잉여금 [member]</t>
        </is>
      </c>
      <c r="M298" s="29" t="inlineStr">
        <is>
          <t>제 70 기</t>
        </is>
      </c>
      <c r="N298" s="29" t="inlineStr">
        <is>
          <t>-5608802774.0</t>
        </is>
      </c>
      <c r="O298" s="29" t="inlineStr">
        <is>
          <t>4934922298.0</t>
        </is>
      </c>
      <c r="P298" s="29" t="inlineStr">
        <is>
          <t>KRW</t>
        </is>
      </c>
      <c r="Q298" s="29" t="inlineStr">
        <is>
          <t>5</t>
        </is>
      </c>
    </row>
    <row r="299" ht="24" customHeight="1">
      <c r="A299" s="24" t="inlineStr">
        <is>
          <t>OpenDART_fnlttSinglAcntAll</t>
        </is>
      </c>
      <c r="B299" s="24" t="inlineStr">
        <is>
          <t>00160843</t>
        </is>
      </c>
      <c r="C299" s="24" t="inlineStr">
        <is>
          <t>DB하이텍</t>
        </is>
      </c>
      <c r="D299" s="24" t="inlineStr">
        <is>
          <t>dbhitek</t>
        </is>
      </c>
      <c r="E299" s="24" t="inlineStr">
        <is>
          <t>000990</t>
        </is>
      </c>
      <c r="F299" s="24" t="inlineStr">
        <is>
          <t>2022</t>
        </is>
      </c>
      <c r="G299" s="24" t="inlineStr">
        <is>
          <t>CFS</t>
        </is>
      </c>
      <c r="H299" s="24" t="inlineStr">
        <is>
          <t>SCE</t>
        </is>
      </c>
      <c r="I299" s="24" t="inlineStr">
        <is>
          <t>자본변동표</t>
        </is>
      </c>
      <c r="J299" s="24" t="inlineStr">
        <is>
          <t>-표준계정코드 미사용-</t>
        </is>
      </c>
      <c r="K299" s="24" t="inlineStr">
        <is>
          <t>순확정급여부채의 재측정요소</t>
        </is>
      </c>
      <c r="L299" s="24" t="inlineStr">
        <is>
          <t>자본 [member]|지배기업의 소유주에게 귀속되는 자본 [member]</t>
        </is>
      </c>
      <c r="M299" s="24" t="inlineStr">
        <is>
          <t>제 70 기</t>
        </is>
      </c>
      <c r="N299" s="24" t="inlineStr">
        <is>
          <t>-5608802774.0</t>
        </is>
      </c>
      <c r="O299" s="24" t="inlineStr">
        <is>
          <t>4934922298.0</t>
        </is>
      </c>
      <c r="P299" s="24" t="inlineStr">
        <is>
          <t>KRW</t>
        </is>
      </c>
      <c r="Q299" s="24" t="inlineStr">
        <is>
          <t>5</t>
        </is>
      </c>
    </row>
    <row r="300" ht="24" customHeight="1">
      <c r="A300" s="29" t="inlineStr">
        <is>
          <t>OpenDART_fnlttSinglAcntAll</t>
        </is>
      </c>
      <c r="B300" s="29" t="inlineStr">
        <is>
          <t>00160843</t>
        </is>
      </c>
      <c r="C300" s="29" t="inlineStr">
        <is>
          <t>DB하이텍</t>
        </is>
      </c>
      <c r="D300" s="29" t="inlineStr">
        <is>
          <t>dbhitek</t>
        </is>
      </c>
      <c r="E300" s="29" t="inlineStr">
        <is>
          <t>000990</t>
        </is>
      </c>
      <c r="F300" s="29" t="inlineStr">
        <is>
          <t>2022</t>
        </is>
      </c>
      <c r="G300" s="29" t="inlineStr">
        <is>
          <t>CFS</t>
        </is>
      </c>
      <c r="H300" s="29" t="inlineStr">
        <is>
          <t>SCE</t>
        </is>
      </c>
      <c r="I300" s="29" t="inlineStr">
        <is>
          <t>자본변동표</t>
        </is>
      </c>
      <c r="J300" s="29" t="inlineStr">
        <is>
          <t>-표준계정코드 미사용-</t>
        </is>
      </c>
      <c r="K300" s="29" t="inlineStr">
        <is>
          <t>순확정급여부채의 재측정요소</t>
        </is>
      </c>
      <c r="L300" s="29" t="inlineStr">
        <is>
          <t>연결재무제표 [member]</t>
        </is>
      </c>
      <c r="M300" s="29" t="inlineStr">
        <is>
          <t>제 70 기</t>
        </is>
      </c>
      <c r="N300" s="29" t="inlineStr">
        <is>
          <t>-5608802774.0</t>
        </is>
      </c>
      <c r="O300" s="29" t="inlineStr">
        <is>
          <t>4934922298.0</t>
        </is>
      </c>
      <c r="P300" s="29" t="inlineStr">
        <is>
          <t>KRW</t>
        </is>
      </c>
      <c r="Q300" s="29" t="inlineStr">
        <is>
          <t>5</t>
        </is>
      </c>
    </row>
    <row r="301" ht="24" customHeight="1">
      <c r="A301" s="24" t="inlineStr">
        <is>
          <t>OpenDART_fnlttSinglAcntAll</t>
        </is>
      </c>
      <c r="B301" s="24" t="inlineStr">
        <is>
          <t>00160843</t>
        </is>
      </c>
      <c r="C301" s="24" t="inlineStr">
        <is>
          <t>DB하이텍</t>
        </is>
      </c>
      <c r="D301" s="24" t="inlineStr">
        <is>
          <t>dbhitek</t>
        </is>
      </c>
      <c r="E301" s="24" t="inlineStr">
        <is>
          <t>000990</t>
        </is>
      </c>
      <c r="F301" s="24" t="inlineStr">
        <is>
          <t>2022</t>
        </is>
      </c>
      <c r="G301" s="24" t="inlineStr">
        <is>
          <t>CFS</t>
        </is>
      </c>
      <c r="H301" s="24" t="inlineStr">
        <is>
          <t>SCE</t>
        </is>
      </c>
      <c r="I301" s="24" t="inlineStr">
        <is>
          <t>자본변동표</t>
        </is>
      </c>
      <c r="J301" s="24" t="inlineStr">
        <is>
          <t>ifrs-full_ProfitLoss</t>
        </is>
      </c>
      <c r="K301" s="24" t="inlineStr">
        <is>
          <t>당기순이익(손실)</t>
        </is>
      </c>
      <c r="L301" s="24" t="inlineStr">
        <is>
          <t>자본 [member]|지배기업의 소유주에게 귀속되는 자본 [member]</t>
        </is>
      </c>
      <c r="M301" s="24" t="inlineStr">
        <is>
          <t>제 70 기</t>
        </is>
      </c>
      <c r="N301" s="24" t="inlineStr">
        <is>
          <t>558836662217.0</t>
        </is>
      </c>
      <c r="O301" s="24" t="inlineStr">
        <is>
          <t>316891852008.0</t>
        </is>
      </c>
      <c r="P301" s="24" t="inlineStr">
        <is>
          <t>KRW</t>
        </is>
      </c>
      <c r="Q301" s="24" t="inlineStr">
        <is>
          <t>6</t>
        </is>
      </c>
    </row>
    <row r="302" ht="24" customHeight="1">
      <c r="A302" s="29" t="inlineStr">
        <is>
          <t>OpenDART_fnlttSinglAcntAll</t>
        </is>
      </c>
      <c r="B302" s="29" t="inlineStr">
        <is>
          <t>00160843</t>
        </is>
      </c>
      <c r="C302" s="29" t="inlineStr">
        <is>
          <t>DB하이텍</t>
        </is>
      </c>
      <c r="D302" s="29" t="inlineStr">
        <is>
          <t>dbhitek</t>
        </is>
      </c>
      <c r="E302" s="29" t="inlineStr">
        <is>
          <t>000990</t>
        </is>
      </c>
      <c r="F302" s="29" t="inlineStr">
        <is>
          <t>2022</t>
        </is>
      </c>
      <c r="G302" s="29" t="inlineStr">
        <is>
          <t>CFS</t>
        </is>
      </c>
      <c r="H302" s="29" t="inlineStr">
        <is>
          <t>SCE</t>
        </is>
      </c>
      <c r="I302" s="29" t="inlineStr">
        <is>
          <t>자본변동표</t>
        </is>
      </c>
      <c r="J302" s="29" t="inlineStr">
        <is>
          <t>ifrs-full_ProfitLoss</t>
        </is>
      </c>
      <c r="K302" s="29" t="inlineStr">
        <is>
          <t>당기순이익(손실)</t>
        </is>
      </c>
      <c r="L302" s="29" t="inlineStr">
        <is>
          <t>자본 [member]|지배기업의 소유주에게 귀속되는 자본 [member]|이익잉여금 [member]</t>
        </is>
      </c>
      <c r="M302" s="29" t="inlineStr">
        <is>
          <t>제 70 기</t>
        </is>
      </c>
      <c r="N302" s="29" t="inlineStr">
        <is>
          <t>558836662217.0</t>
        </is>
      </c>
      <c r="O302" s="29" t="inlineStr">
        <is>
          <t>316891852008.0</t>
        </is>
      </c>
      <c r="P302" s="29" t="inlineStr">
        <is>
          <t>KRW</t>
        </is>
      </c>
      <c r="Q302" s="29" t="inlineStr">
        <is>
          <t>6</t>
        </is>
      </c>
    </row>
    <row r="303" ht="24" customHeight="1">
      <c r="A303" s="24" t="inlineStr">
        <is>
          <t>OpenDART_fnlttSinglAcntAll</t>
        </is>
      </c>
      <c r="B303" s="24" t="inlineStr">
        <is>
          <t>00160843</t>
        </is>
      </c>
      <c r="C303" s="24" t="inlineStr">
        <is>
          <t>DB하이텍</t>
        </is>
      </c>
      <c r="D303" s="24" t="inlineStr">
        <is>
          <t>dbhitek</t>
        </is>
      </c>
      <c r="E303" s="24" t="inlineStr">
        <is>
          <t>000990</t>
        </is>
      </c>
      <c r="F303" s="24" t="inlineStr">
        <is>
          <t>2022</t>
        </is>
      </c>
      <c r="G303" s="24" t="inlineStr">
        <is>
          <t>CFS</t>
        </is>
      </c>
      <c r="H303" s="24" t="inlineStr">
        <is>
          <t>SCE</t>
        </is>
      </c>
      <c r="I303" s="24" t="inlineStr">
        <is>
          <t>자본변동표</t>
        </is>
      </c>
      <c r="J303" s="24" t="inlineStr">
        <is>
          <t>ifrs-full_ProfitLoss</t>
        </is>
      </c>
      <c r="K303" s="24" t="inlineStr">
        <is>
          <t>당기순이익(손실)</t>
        </is>
      </c>
      <c r="L303" s="24" t="inlineStr">
        <is>
          <t>연결재무제표 [member]</t>
        </is>
      </c>
      <c r="M303" s="24" t="inlineStr">
        <is>
          <t>제 70 기</t>
        </is>
      </c>
      <c r="N303" s="24" t="inlineStr">
        <is>
          <t>558836662217.0</t>
        </is>
      </c>
      <c r="O303" s="24" t="inlineStr">
        <is>
          <t>316891852008.0</t>
        </is>
      </c>
      <c r="P303" s="24" t="inlineStr">
        <is>
          <t>KRW</t>
        </is>
      </c>
      <c r="Q303" s="24" t="inlineStr">
        <is>
          <t>6</t>
        </is>
      </c>
    </row>
    <row r="304" ht="24" customHeight="1">
      <c r="A304" s="29" t="inlineStr">
        <is>
          <t>OpenDART_fnlttSinglAcntAll</t>
        </is>
      </c>
      <c r="B304" s="29" t="inlineStr">
        <is>
          <t>00160843</t>
        </is>
      </c>
      <c r="C304" s="29" t="inlineStr">
        <is>
          <t>DB하이텍</t>
        </is>
      </c>
      <c r="D304" s="29" t="inlineStr">
        <is>
          <t>dbhitek</t>
        </is>
      </c>
      <c r="E304" s="29" t="inlineStr">
        <is>
          <t>000990</t>
        </is>
      </c>
      <c r="F304" s="29" t="inlineStr">
        <is>
          <t>2022</t>
        </is>
      </c>
      <c r="G304" s="29" t="inlineStr">
        <is>
          <t>CFS</t>
        </is>
      </c>
      <c r="H304" s="29" t="inlineStr">
        <is>
          <t>SCE</t>
        </is>
      </c>
      <c r="I304" s="29" t="inlineStr">
        <is>
          <t>자본변동표</t>
        </is>
      </c>
      <c r="J304" s="29" t="inlineStr">
        <is>
          <t>ifrs-full_DividendsPaid</t>
        </is>
      </c>
      <c r="K304" s="29" t="inlineStr">
        <is>
          <t>현금배당</t>
        </is>
      </c>
      <c r="L304" s="29" t="inlineStr">
        <is>
          <t>자본 [member]|지배기업의 소유주에게 귀속되는 자본 [member]</t>
        </is>
      </c>
      <c r="M304" s="29" t="inlineStr">
        <is>
          <t>제 70 기</t>
        </is>
      </c>
      <c r="N304" s="29" t="inlineStr">
        <is>
          <t>19562638100.0</t>
        </is>
      </c>
      <c r="O304" s="29" t="inlineStr">
        <is>
          <t>15207397600.0</t>
        </is>
      </c>
      <c r="P304" s="29" t="inlineStr">
        <is>
          <t>KRW</t>
        </is>
      </c>
      <c r="Q304" s="29" t="inlineStr">
        <is>
          <t>7</t>
        </is>
      </c>
    </row>
    <row r="305" ht="24" customHeight="1">
      <c r="A305" s="24" t="inlineStr">
        <is>
          <t>OpenDART_fnlttSinglAcntAll</t>
        </is>
      </c>
      <c r="B305" s="24" t="inlineStr">
        <is>
          <t>00160843</t>
        </is>
      </c>
      <c r="C305" s="24" t="inlineStr">
        <is>
          <t>DB하이텍</t>
        </is>
      </c>
      <c r="D305" s="24" t="inlineStr">
        <is>
          <t>dbhitek</t>
        </is>
      </c>
      <c r="E305" s="24" t="inlineStr">
        <is>
          <t>000990</t>
        </is>
      </c>
      <c r="F305" s="24" t="inlineStr">
        <is>
          <t>2022</t>
        </is>
      </c>
      <c r="G305" s="24" t="inlineStr">
        <is>
          <t>CFS</t>
        </is>
      </c>
      <c r="H305" s="24" t="inlineStr">
        <is>
          <t>SCE</t>
        </is>
      </c>
      <c r="I305" s="24" t="inlineStr">
        <is>
          <t>자본변동표</t>
        </is>
      </c>
      <c r="J305" s="24" t="inlineStr">
        <is>
          <t>ifrs-full_DividendsPaid</t>
        </is>
      </c>
      <c r="K305" s="24" t="inlineStr">
        <is>
          <t>현금배당</t>
        </is>
      </c>
      <c r="L305" s="24" t="inlineStr">
        <is>
          <t>연결재무제표 [member]</t>
        </is>
      </c>
      <c r="M305" s="24" t="inlineStr">
        <is>
          <t>제 70 기</t>
        </is>
      </c>
      <c r="N305" s="24" t="inlineStr">
        <is>
          <t>19562638100.0</t>
        </is>
      </c>
      <c r="O305" s="24" t="inlineStr">
        <is>
          <t>15207397600.0</t>
        </is>
      </c>
      <c r="P305" s="24" t="inlineStr">
        <is>
          <t>KRW</t>
        </is>
      </c>
      <c r="Q305" s="24" t="inlineStr">
        <is>
          <t>7</t>
        </is>
      </c>
    </row>
    <row r="306" ht="24" customHeight="1">
      <c r="A306" s="29" t="inlineStr">
        <is>
          <t>OpenDART_fnlttSinglAcntAll</t>
        </is>
      </c>
      <c r="B306" s="29" t="inlineStr">
        <is>
          <t>00160843</t>
        </is>
      </c>
      <c r="C306" s="29" t="inlineStr">
        <is>
          <t>DB하이텍</t>
        </is>
      </c>
      <c r="D306" s="29" t="inlineStr">
        <is>
          <t>dbhitek</t>
        </is>
      </c>
      <c r="E306" s="29" t="inlineStr">
        <is>
          <t>000990</t>
        </is>
      </c>
      <c r="F306" s="29" t="inlineStr">
        <is>
          <t>2022</t>
        </is>
      </c>
      <c r="G306" s="29" t="inlineStr">
        <is>
          <t>CFS</t>
        </is>
      </c>
      <c r="H306" s="29" t="inlineStr">
        <is>
          <t>SCE</t>
        </is>
      </c>
      <c r="I306" s="29" t="inlineStr">
        <is>
          <t>자본변동표</t>
        </is>
      </c>
      <c r="J306" s="29" t="inlineStr">
        <is>
          <t>ifrs-full_DividendsPaid</t>
        </is>
      </c>
      <c r="K306" s="29" t="inlineStr">
        <is>
          <t>현금배당</t>
        </is>
      </c>
      <c r="L306" s="29" t="inlineStr">
        <is>
          <t>자본 [member]|지배기업의 소유주에게 귀속되는 자본 [member]|이익잉여금 [member]</t>
        </is>
      </c>
      <c r="M306" s="29" t="inlineStr">
        <is>
          <t>제 70 기</t>
        </is>
      </c>
      <c r="N306" s="29" t="inlineStr">
        <is>
          <t>19562638100.0</t>
        </is>
      </c>
      <c r="O306" s="29" t="inlineStr">
        <is>
          <t>15207397600.0</t>
        </is>
      </c>
      <c r="P306" s="29" t="inlineStr">
        <is>
          <t>KRW</t>
        </is>
      </c>
      <c r="Q306" s="29" t="inlineStr">
        <is>
          <t>7</t>
        </is>
      </c>
    </row>
    <row r="307" ht="24" customHeight="1">
      <c r="A307" s="24" t="inlineStr">
        <is>
          <t>OpenDART_fnlttSinglAcntAll</t>
        </is>
      </c>
      <c r="B307" s="24" t="inlineStr">
        <is>
          <t>00160843</t>
        </is>
      </c>
      <c r="C307" s="24" t="inlineStr">
        <is>
          <t>DB하이텍</t>
        </is>
      </c>
      <c r="D307" s="24" t="inlineStr">
        <is>
          <t>dbhitek</t>
        </is>
      </c>
      <c r="E307" s="24" t="inlineStr">
        <is>
          <t>000990</t>
        </is>
      </c>
      <c r="F307" s="24" t="inlineStr">
        <is>
          <t>2022</t>
        </is>
      </c>
      <c r="G307" s="24" t="inlineStr">
        <is>
          <t>CFS</t>
        </is>
      </c>
      <c r="H307" s="24" t="inlineStr">
        <is>
          <t>SCE</t>
        </is>
      </c>
      <c r="I307" s="24" t="inlineStr">
        <is>
          <t>자본변동표</t>
        </is>
      </c>
      <c r="J307" s="24" t="inlineStr">
        <is>
          <t>dart_TreasuryShareTransactions</t>
        </is>
      </c>
      <c r="K307" s="24" t="inlineStr">
        <is>
          <t>자기주식처분</t>
        </is>
      </c>
      <c r="L307" s="24" t="inlineStr">
        <is>
          <t>자본 [member]|지배기업의 소유주에게 귀속되는 자본 [member]</t>
        </is>
      </c>
      <c r="M307" s="24" t="inlineStr">
        <is>
          <t>제 70 기</t>
        </is>
      </c>
      <c r="N307" s="24" t="inlineStr">
        <is>
          <t>0.0</t>
        </is>
      </c>
      <c r="O307" s="24" t="inlineStr">
        <is>
          <t>1129234656.0</t>
        </is>
      </c>
      <c r="P307" s="24" t="inlineStr">
        <is>
          <t>KRW</t>
        </is>
      </c>
      <c r="Q307" s="24" t="inlineStr">
        <is>
          <t>8</t>
        </is>
      </c>
    </row>
    <row r="308" ht="24" customHeight="1">
      <c r="A308" s="29" t="inlineStr">
        <is>
          <t>OpenDART_fnlttSinglAcntAll</t>
        </is>
      </c>
      <c r="B308" s="29" t="inlineStr">
        <is>
          <t>00160843</t>
        </is>
      </c>
      <c r="C308" s="29" t="inlineStr">
        <is>
          <t>DB하이텍</t>
        </is>
      </c>
      <c r="D308" s="29" t="inlineStr">
        <is>
          <t>dbhitek</t>
        </is>
      </c>
      <c r="E308" s="29" t="inlineStr">
        <is>
          <t>000990</t>
        </is>
      </c>
      <c r="F308" s="29" t="inlineStr">
        <is>
          <t>2022</t>
        </is>
      </c>
      <c r="G308" s="29" t="inlineStr">
        <is>
          <t>CFS</t>
        </is>
      </c>
      <c r="H308" s="29" t="inlineStr">
        <is>
          <t>SCE</t>
        </is>
      </c>
      <c r="I308" s="29" t="inlineStr">
        <is>
          <t>자본변동표</t>
        </is>
      </c>
      <c r="J308" s="29" t="inlineStr">
        <is>
          <t>dart_TreasuryShareTransactions</t>
        </is>
      </c>
      <c r="K308" s="29" t="inlineStr">
        <is>
          <t>자기주식처분</t>
        </is>
      </c>
      <c r="L308" s="29" t="inlineStr">
        <is>
          <t>연결재무제표 [member]</t>
        </is>
      </c>
      <c r="M308" s="29" t="inlineStr">
        <is>
          <t>제 70 기</t>
        </is>
      </c>
      <c r="N308" s="29" t="inlineStr">
        <is>
          <t>0.0</t>
        </is>
      </c>
      <c r="O308" s="29" t="inlineStr">
        <is>
          <t>1129234656.0</t>
        </is>
      </c>
      <c r="P308" s="29" t="inlineStr">
        <is>
          <t>KRW</t>
        </is>
      </c>
      <c r="Q308" s="29" t="inlineStr">
        <is>
          <t>8</t>
        </is>
      </c>
    </row>
    <row r="309" ht="24" customHeight="1">
      <c r="A309" s="24" t="inlineStr">
        <is>
          <t>OpenDART_fnlttSinglAcntAll</t>
        </is>
      </c>
      <c r="B309" s="24" t="inlineStr">
        <is>
          <t>00160843</t>
        </is>
      </c>
      <c r="C309" s="24" t="inlineStr">
        <is>
          <t>DB하이텍</t>
        </is>
      </c>
      <c r="D309" s="24" t="inlineStr">
        <is>
          <t>dbhitek</t>
        </is>
      </c>
      <c r="E309" s="24" t="inlineStr">
        <is>
          <t>000990</t>
        </is>
      </c>
      <c r="F309" s="24" t="inlineStr">
        <is>
          <t>2022</t>
        </is>
      </c>
      <c r="G309" s="24" t="inlineStr">
        <is>
          <t>CFS</t>
        </is>
      </c>
      <c r="H309" s="24" t="inlineStr">
        <is>
          <t>SCE</t>
        </is>
      </c>
      <c r="I309" s="24" t="inlineStr">
        <is>
          <t>자본변동표</t>
        </is>
      </c>
      <c r="J309" s="24" t="inlineStr">
        <is>
          <t>dart_TreasuryShareTransactions</t>
        </is>
      </c>
      <c r="K309" s="24" t="inlineStr">
        <is>
          <t>자기주식처분</t>
        </is>
      </c>
      <c r="L309" s="24" t="inlineStr">
        <is>
          <t>자본 [member]|지배기업의 소유주에게 귀속되는 자본 [member]|기타자본구성요소 [member]</t>
        </is>
      </c>
      <c r="M309" s="24" t="inlineStr">
        <is>
          <t>제 70 기</t>
        </is>
      </c>
      <c r="N309" s="24" t="inlineStr">
        <is>
          <t>해당 없음</t>
        </is>
      </c>
      <c r="O309" s="24" t="inlineStr">
        <is>
          <t>1129234656.0</t>
        </is>
      </c>
      <c r="P309" s="24" t="inlineStr">
        <is>
          <t>KRW</t>
        </is>
      </c>
      <c r="Q309" s="24" t="inlineStr">
        <is>
          <t>8</t>
        </is>
      </c>
    </row>
    <row r="310" ht="24" customHeight="1">
      <c r="A310" s="29" t="inlineStr">
        <is>
          <t>OpenDART_fnlttSinglAcntAll</t>
        </is>
      </c>
      <c r="B310" s="29" t="inlineStr">
        <is>
          <t>00160843</t>
        </is>
      </c>
      <c r="C310" s="29" t="inlineStr">
        <is>
          <t>DB하이텍</t>
        </is>
      </c>
      <c r="D310" s="29" t="inlineStr">
        <is>
          <t>dbhitek</t>
        </is>
      </c>
      <c r="E310" s="29" t="inlineStr">
        <is>
          <t>000990</t>
        </is>
      </c>
      <c r="F310" s="29" t="inlineStr">
        <is>
          <t>2022</t>
        </is>
      </c>
      <c r="G310" s="29" t="inlineStr">
        <is>
          <t>CFS</t>
        </is>
      </c>
      <c r="H310" s="29" t="inlineStr">
        <is>
          <t>SCE</t>
        </is>
      </c>
      <c r="I310" s="29" t="inlineStr">
        <is>
          <t>자본변동표</t>
        </is>
      </c>
      <c r="J310" s="29" t="inlineStr">
        <is>
          <t>ifrs-full_Equity</t>
        </is>
      </c>
      <c r="K310" s="29" t="inlineStr">
        <is>
          <t>기말자본</t>
        </is>
      </c>
      <c r="L310" s="29" t="inlineStr">
        <is>
          <t>자본 [member]|지배기업의 소유주에게 귀속되는 자본 [member]|주식발행초과금</t>
        </is>
      </c>
      <c r="M310" s="29" t="inlineStr">
        <is>
          <t>제 70 기</t>
        </is>
      </c>
      <c r="N310" s="29" t="inlineStr">
        <is>
          <t>127328276294.0</t>
        </is>
      </c>
      <c r="O310" s="29" t="inlineStr">
        <is>
          <t>127328276294.0</t>
        </is>
      </c>
      <c r="P310" s="29" t="inlineStr">
        <is>
          <t>KRW</t>
        </is>
      </c>
      <c r="Q310" s="29" t="inlineStr">
        <is>
          <t>9</t>
        </is>
      </c>
    </row>
    <row r="311" ht="24" customHeight="1">
      <c r="A311" s="24" t="inlineStr">
        <is>
          <t>OpenDART_fnlttSinglAcntAll</t>
        </is>
      </c>
      <c r="B311" s="24" t="inlineStr">
        <is>
          <t>00160843</t>
        </is>
      </c>
      <c r="C311" s="24" t="inlineStr">
        <is>
          <t>DB하이텍</t>
        </is>
      </c>
      <c r="D311" s="24" t="inlineStr">
        <is>
          <t>dbhitek</t>
        </is>
      </c>
      <c r="E311" s="24" t="inlineStr">
        <is>
          <t>000990</t>
        </is>
      </c>
      <c r="F311" s="24" t="inlineStr">
        <is>
          <t>2022</t>
        </is>
      </c>
      <c r="G311" s="24" t="inlineStr">
        <is>
          <t>CFS</t>
        </is>
      </c>
      <c r="H311" s="24" t="inlineStr">
        <is>
          <t>SCE</t>
        </is>
      </c>
      <c r="I311" s="24" t="inlineStr">
        <is>
          <t>자본변동표</t>
        </is>
      </c>
      <c r="J311" s="24" t="inlineStr">
        <is>
          <t>ifrs-full_Equity</t>
        </is>
      </c>
      <c r="K311" s="24" t="inlineStr">
        <is>
          <t>기말자본</t>
        </is>
      </c>
      <c r="L311" s="24" t="inlineStr">
        <is>
          <t>자본 [member]|지배기업의 소유주에게 귀속되는 자본 [member]|자본금 [member]</t>
        </is>
      </c>
      <c r="M311" s="24" t="inlineStr">
        <is>
          <t>제 70 기</t>
        </is>
      </c>
      <c r="N311" s="24" t="inlineStr">
        <is>
          <t>222555835000.0</t>
        </is>
      </c>
      <c r="O311" s="24" t="inlineStr">
        <is>
          <t>222555835000.0</t>
        </is>
      </c>
      <c r="P311" s="24" t="inlineStr">
        <is>
          <t>KRW</t>
        </is>
      </c>
      <c r="Q311" s="24" t="inlineStr">
        <is>
          <t>9</t>
        </is>
      </c>
    </row>
    <row r="312" ht="24" customHeight="1">
      <c r="A312" s="29" t="inlineStr">
        <is>
          <t>OpenDART_fnlttSinglAcntAll</t>
        </is>
      </c>
      <c r="B312" s="29" t="inlineStr">
        <is>
          <t>00160843</t>
        </is>
      </c>
      <c r="C312" s="29" t="inlineStr">
        <is>
          <t>DB하이텍</t>
        </is>
      </c>
      <c r="D312" s="29" t="inlineStr">
        <is>
          <t>dbhitek</t>
        </is>
      </c>
      <c r="E312" s="29" t="inlineStr">
        <is>
          <t>000990</t>
        </is>
      </c>
      <c r="F312" s="29" t="inlineStr">
        <is>
          <t>2022</t>
        </is>
      </c>
      <c r="G312" s="29" t="inlineStr">
        <is>
          <t>CFS</t>
        </is>
      </c>
      <c r="H312" s="29" t="inlineStr">
        <is>
          <t>SCE</t>
        </is>
      </c>
      <c r="I312" s="29" t="inlineStr">
        <is>
          <t>자본변동표</t>
        </is>
      </c>
      <c r="J312" s="29" t="inlineStr">
        <is>
          <t>ifrs-full_Equity</t>
        </is>
      </c>
      <c r="K312" s="29" t="inlineStr">
        <is>
          <t>기말자본</t>
        </is>
      </c>
      <c r="L312" s="29" t="inlineStr">
        <is>
          <t>자본 [member]|지배기업의 소유주에게 귀속되는 자본 [member]|이익잉여금 [member]</t>
        </is>
      </c>
      <c r="M312" s="29" t="inlineStr">
        <is>
          <t>제 70 기</t>
        </is>
      </c>
      <c r="N312" s="29" t="inlineStr">
        <is>
          <t>1365860516069.0</t>
        </is>
      </c>
      <c r="O312" s="29" t="inlineStr">
        <is>
          <t>831968968093.0</t>
        </is>
      </c>
      <c r="P312" s="29" t="inlineStr">
        <is>
          <t>KRW</t>
        </is>
      </c>
      <c r="Q312" s="29" t="inlineStr">
        <is>
          <t>9</t>
        </is>
      </c>
    </row>
    <row r="313" ht="24" customHeight="1">
      <c r="A313" s="24" t="inlineStr">
        <is>
          <t>OpenDART_fnlttSinglAcntAll</t>
        </is>
      </c>
      <c r="B313" s="24" t="inlineStr">
        <is>
          <t>00160843</t>
        </is>
      </c>
      <c r="C313" s="24" t="inlineStr">
        <is>
          <t>DB하이텍</t>
        </is>
      </c>
      <c r="D313" s="24" t="inlineStr">
        <is>
          <t>dbhitek</t>
        </is>
      </c>
      <c r="E313" s="24" t="inlineStr">
        <is>
          <t>000990</t>
        </is>
      </c>
      <c r="F313" s="24" t="inlineStr">
        <is>
          <t>2022</t>
        </is>
      </c>
      <c r="G313" s="24" t="inlineStr">
        <is>
          <t>CFS</t>
        </is>
      </c>
      <c r="H313" s="24" t="inlineStr">
        <is>
          <t>SCE</t>
        </is>
      </c>
      <c r="I313" s="24" t="inlineStr">
        <is>
          <t>자본변동표</t>
        </is>
      </c>
      <c r="J313" s="24" t="inlineStr">
        <is>
          <t>ifrs-full_Equity</t>
        </is>
      </c>
      <c r="K313" s="24" t="inlineStr">
        <is>
          <t>기말자본</t>
        </is>
      </c>
      <c r="L313" s="24" t="inlineStr">
        <is>
          <t>자본 [member]|지배기업의 소유주에게 귀속되는 자본 [member]</t>
        </is>
      </c>
      <c r="M313" s="24" t="inlineStr">
        <is>
          <t>제 70 기</t>
        </is>
      </c>
      <c r="N313" s="24" t="inlineStr">
        <is>
          <t>1638284078393.0</t>
        </is>
      </c>
      <c r="O313" s="24" t="inlineStr">
        <is>
          <t>1106049706046.0</t>
        </is>
      </c>
      <c r="P313" s="24" t="inlineStr">
        <is>
          <t>KRW</t>
        </is>
      </c>
      <c r="Q313" s="24" t="inlineStr">
        <is>
          <t>9</t>
        </is>
      </c>
    </row>
    <row r="314" ht="24" customHeight="1">
      <c r="A314" s="29" t="inlineStr">
        <is>
          <t>OpenDART_fnlttSinglAcntAll</t>
        </is>
      </c>
      <c r="B314" s="29" t="inlineStr">
        <is>
          <t>00160843</t>
        </is>
      </c>
      <c r="C314" s="29" t="inlineStr">
        <is>
          <t>DB하이텍</t>
        </is>
      </c>
      <c r="D314" s="29" t="inlineStr">
        <is>
          <t>dbhitek</t>
        </is>
      </c>
      <c r="E314" s="29" t="inlineStr">
        <is>
          <t>000990</t>
        </is>
      </c>
      <c r="F314" s="29" t="inlineStr">
        <is>
          <t>2022</t>
        </is>
      </c>
      <c r="G314" s="29" t="inlineStr">
        <is>
          <t>CFS</t>
        </is>
      </c>
      <c r="H314" s="29" t="inlineStr">
        <is>
          <t>SCE</t>
        </is>
      </c>
      <c r="I314" s="29" t="inlineStr">
        <is>
          <t>자본변동표</t>
        </is>
      </c>
      <c r="J314" s="29" t="inlineStr">
        <is>
          <t>ifrs-full_Equity</t>
        </is>
      </c>
      <c r="K314" s="29" t="inlineStr">
        <is>
          <t>기말자본</t>
        </is>
      </c>
      <c r="L314" s="29" t="inlineStr">
        <is>
          <t>연결재무제표 [member]</t>
        </is>
      </c>
      <c r="M314" s="29" t="inlineStr">
        <is>
          <t>제 70 기</t>
        </is>
      </c>
      <c r="N314" s="29" t="inlineStr">
        <is>
          <t>1638284078393.0</t>
        </is>
      </c>
      <c r="O314" s="29" t="inlineStr">
        <is>
          <t>1106049706046.0</t>
        </is>
      </c>
      <c r="P314" s="29" t="inlineStr">
        <is>
          <t>KRW</t>
        </is>
      </c>
      <c r="Q314" s="29" t="inlineStr">
        <is>
          <t>9</t>
        </is>
      </c>
    </row>
    <row r="315" ht="24" customHeight="1">
      <c r="A315" s="24" t="inlineStr">
        <is>
          <t>OpenDART_fnlttSinglAcntAll</t>
        </is>
      </c>
      <c r="B315" s="24" t="inlineStr">
        <is>
          <t>00160843</t>
        </is>
      </c>
      <c r="C315" s="24" t="inlineStr">
        <is>
          <t>DB하이텍</t>
        </is>
      </c>
      <c r="D315" s="24" t="inlineStr">
        <is>
          <t>dbhitek</t>
        </is>
      </c>
      <c r="E315" s="24" t="inlineStr">
        <is>
          <t>000990</t>
        </is>
      </c>
      <c r="F315" s="24" t="inlineStr">
        <is>
          <t>2022</t>
        </is>
      </c>
      <c r="G315" s="24" t="inlineStr">
        <is>
          <t>CFS</t>
        </is>
      </c>
      <c r="H315" s="24" t="inlineStr">
        <is>
          <t>SCE</t>
        </is>
      </c>
      <c r="I315" s="24" t="inlineStr">
        <is>
          <t>자본변동표</t>
        </is>
      </c>
      <c r="J315" s="24" t="inlineStr">
        <is>
          <t>ifrs-full_Equity</t>
        </is>
      </c>
      <c r="K315" s="24" t="inlineStr">
        <is>
          <t>기말자본</t>
        </is>
      </c>
      <c r="L315" s="24" t="inlineStr">
        <is>
          <t>자본 [member]|지배기업의 소유주에게 귀속되는 자본 [member]|기타자본구성요소 [member]</t>
        </is>
      </c>
      <c r="M315" s="24" t="inlineStr">
        <is>
          <t>제 70 기</t>
        </is>
      </c>
      <c r="N315" s="24" t="inlineStr">
        <is>
          <t>-77460548970.0</t>
        </is>
      </c>
      <c r="O315" s="24" t="inlineStr">
        <is>
          <t>-75803373341.0</t>
        </is>
      </c>
      <c r="P315" s="24" t="inlineStr">
        <is>
          <t>KRW</t>
        </is>
      </c>
      <c r="Q315" s="24" t="inlineStr">
        <is>
          <t>9</t>
        </is>
      </c>
    </row>
    <row r="316" ht="24" customHeight="1">
      <c r="A316" s="29" t="inlineStr">
        <is>
          <t>OpenDART_fnlttSinglAcntAll</t>
        </is>
      </c>
      <c r="B316" s="29" t="inlineStr">
        <is>
          <t>00160843</t>
        </is>
      </c>
      <c r="C316" s="29" t="inlineStr">
        <is>
          <t>DB하이텍</t>
        </is>
      </c>
      <c r="D316" s="29" t="inlineStr">
        <is>
          <t>dbhitek</t>
        </is>
      </c>
      <c r="E316" s="29" t="inlineStr">
        <is>
          <t>000990</t>
        </is>
      </c>
      <c r="F316" s="29" t="inlineStr">
        <is>
          <t>2023</t>
        </is>
      </c>
      <c r="G316" s="29" t="inlineStr">
        <is>
          <t>CFS</t>
        </is>
      </c>
      <c r="H316" s="29" t="inlineStr">
        <is>
          <t>BS</t>
        </is>
      </c>
      <c r="I316" s="29" t="inlineStr">
        <is>
          <t>재무상태표</t>
        </is>
      </c>
      <c r="J316" s="29" t="inlineStr">
        <is>
          <t>ifrs-full_Assets</t>
        </is>
      </c>
      <c r="K316" s="29" t="inlineStr">
        <is>
          <t>자산총계</t>
        </is>
      </c>
      <c r="L316" s="29" t="inlineStr">
        <is>
          <t>-</t>
        </is>
      </c>
      <c r="M316" s="29" t="inlineStr">
        <is>
          <t>제 71 기</t>
        </is>
      </c>
      <c r="N316" s="29" t="inlineStr">
        <is>
          <t>2043378694132.0</t>
        </is>
      </c>
      <c r="O316" s="29" t="inlineStr">
        <is>
          <t>2142165862418.0</t>
        </is>
      </c>
      <c r="P316" s="29" t="inlineStr">
        <is>
          <t>KRW</t>
        </is>
      </c>
      <c r="Q316" s="29" t="inlineStr">
        <is>
          <t>7</t>
        </is>
      </c>
    </row>
    <row r="317" ht="24" customHeight="1">
      <c r="A317" s="24" t="inlineStr">
        <is>
          <t>OpenDART_fnlttSinglAcntAll</t>
        </is>
      </c>
      <c r="B317" s="24" t="inlineStr">
        <is>
          <t>00160843</t>
        </is>
      </c>
      <c r="C317" s="24" t="inlineStr">
        <is>
          <t>DB하이텍</t>
        </is>
      </c>
      <c r="D317" s="24" t="inlineStr">
        <is>
          <t>dbhitek</t>
        </is>
      </c>
      <c r="E317" s="24" t="inlineStr">
        <is>
          <t>000990</t>
        </is>
      </c>
      <c r="F317" s="24" t="inlineStr">
        <is>
          <t>2023</t>
        </is>
      </c>
      <c r="G317" s="24" t="inlineStr">
        <is>
          <t>CFS</t>
        </is>
      </c>
      <c r="H317" s="24" t="inlineStr">
        <is>
          <t>BS</t>
        </is>
      </c>
      <c r="I317" s="24" t="inlineStr">
        <is>
          <t>재무상태표</t>
        </is>
      </c>
      <c r="J317" s="24" t="inlineStr">
        <is>
          <t>ifrs-full_CurrentAssets</t>
        </is>
      </c>
      <c r="K317" s="24" t="inlineStr">
        <is>
          <t>유동자산</t>
        </is>
      </c>
      <c r="L317" s="24" t="inlineStr">
        <is>
          <t>-</t>
        </is>
      </c>
      <c r="M317" s="24" t="inlineStr">
        <is>
          <t>제 71 기</t>
        </is>
      </c>
      <c r="N317" s="24" t="inlineStr">
        <is>
          <t>1027982955095.0</t>
        </is>
      </c>
      <c r="O317" s="24" t="inlineStr">
        <is>
          <t>1327330066477.0</t>
        </is>
      </c>
      <c r="P317" s="24" t="inlineStr">
        <is>
          <t>KRW</t>
        </is>
      </c>
      <c r="Q317" s="24" t="inlineStr">
        <is>
          <t>8</t>
        </is>
      </c>
    </row>
    <row r="318" ht="24" customHeight="1">
      <c r="A318" s="29" t="inlineStr">
        <is>
          <t>OpenDART_fnlttSinglAcntAll</t>
        </is>
      </c>
      <c r="B318" s="29" t="inlineStr">
        <is>
          <t>00160843</t>
        </is>
      </c>
      <c r="C318" s="29" t="inlineStr">
        <is>
          <t>DB하이텍</t>
        </is>
      </c>
      <c r="D318" s="29" t="inlineStr">
        <is>
          <t>dbhitek</t>
        </is>
      </c>
      <c r="E318" s="29" t="inlineStr">
        <is>
          <t>000990</t>
        </is>
      </c>
      <c r="F318" s="29" t="inlineStr">
        <is>
          <t>2023</t>
        </is>
      </c>
      <c r="G318" s="29" t="inlineStr">
        <is>
          <t>CFS</t>
        </is>
      </c>
      <c r="H318" s="29" t="inlineStr">
        <is>
          <t>BS</t>
        </is>
      </c>
      <c r="I318" s="29" t="inlineStr">
        <is>
          <t>재무상태표</t>
        </is>
      </c>
      <c r="J318" s="29" t="inlineStr">
        <is>
          <t>-표준계정코드 미사용-</t>
        </is>
      </c>
      <c r="K318" s="29" t="inlineStr">
        <is>
          <t>당기법인세자산(유동)</t>
        </is>
      </c>
      <c r="L318" s="29" t="inlineStr">
        <is>
          <t>-</t>
        </is>
      </c>
      <c r="M318" s="29" t="inlineStr">
        <is>
          <t>제 71 기</t>
        </is>
      </c>
      <c r="N318" s="29" t="inlineStr">
        <is>
          <t>6773700035.0</t>
        </is>
      </c>
      <c r="O318" s="29" t="inlineStr">
        <is>
          <t>0.0</t>
        </is>
      </c>
      <c r="P318" s="29" t="inlineStr">
        <is>
          <t>KRW</t>
        </is>
      </c>
      <c r="Q318" s="29" t="inlineStr">
        <is>
          <t>9</t>
        </is>
      </c>
    </row>
    <row r="319" ht="24" customHeight="1">
      <c r="A319" s="24" t="inlineStr">
        <is>
          <t>OpenDART_fnlttSinglAcntAll</t>
        </is>
      </c>
      <c r="B319" s="24" t="inlineStr">
        <is>
          <t>00160843</t>
        </is>
      </c>
      <c r="C319" s="24" t="inlineStr">
        <is>
          <t>DB하이텍</t>
        </is>
      </c>
      <c r="D319" s="24" t="inlineStr">
        <is>
          <t>dbhitek</t>
        </is>
      </c>
      <c r="E319" s="24" t="inlineStr">
        <is>
          <t>000990</t>
        </is>
      </c>
      <c r="F319" s="24" t="inlineStr">
        <is>
          <t>2023</t>
        </is>
      </c>
      <c r="G319" s="24" t="inlineStr">
        <is>
          <t>CFS</t>
        </is>
      </c>
      <c r="H319" s="24" t="inlineStr">
        <is>
          <t>BS</t>
        </is>
      </c>
      <c r="I319" s="24" t="inlineStr">
        <is>
          <t>재무상태표</t>
        </is>
      </c>
      <c r="J319" s="24" t="inlineStr">
        <is>
          <t>ifrs-full_CashAndCashEquivalents</t>
        </is>
      </c>
      <c r="K319" s="24" t="inlineStr">
        <is>
          <t>현금및현금성자산</t>
        </is>
      </c>
      <c r="L319" s="24" t="inlineStr">
        <is>
          <t>-</t>
        </is>
      </c>
      <c r="M319" s="24" t="inlineStr">
        <is>
          <t>제 71 기</t>
        </is>
      </c>
      <c r="N319" s="24" t="inlineStr">
        <is>
          <t>253329763803.0</t>
        </is>
      </c>
      <c r="O319" s="24" t="inlineStr">
        <is>
          <t>153658158262.0</t>
        </is>
      </c>
      <c r="P319" s="24" t="inlineStr">
        <is>
          <t>KRW</t>
        </is>
      </c>
      <c r="Q319" s="24" t="inlineStr">
        <is>
          <t>10</t>
        </is>
      </c>
    </row>
    <row r="320" ht="24" customHeight="1">
      <c r="A320" s="29" t="inlineStr">
        <is>
          <t>OpenDART_fnlttSinglAcntAll</t>
        </is>
      </c>
      <c r="B320" s="29" t="inlineStr">
        <is>
          <t>00160843</t>
        </is>
      </c>
      <c r="C320" s="29" t="inlineStr">
        <is>
          <t>DB하이텍</t>
        </is>
      </c>
      <c r="D320" s="29" t="inlineStr">
        <is>
          <t>dbhitek</t>
        </is>
      </c>
      <c r="E320" s="29" t="inlineStr">
        <is>
          <t>000990</t>
        </is>
      </c>
      <c r="F320" s="29" t="inlineStr">
        <is>
          <t>2023</t>
        </is>
      </c>
      <c r="G320" s="29" t="inlineStr">
        <is>
          <t>CFS</t>
        </is>
      </c>
      <c r="H320" s="29" t="inlineStr">
        <is>
          <t>BS</t>
        </is>
      </c>
      <c r="I320" s="29" t="inlineStr">
        <is>
          <t>재무상태표</t>
        </is>
      </c>
      <c r="J320" s="29" t="inlineStr">
        <is>
          <t>ifrs-full_CurrentContractAssets</t>
        </is>
      </c>
      <c r="K320" s="29" t="inlineStr">
        <is>
          <t>미청구공사</t>
        </is>
      </c>
      <c r="L320" s="29" t="inlineStr">
        <is>
          <t>-</t>
        </is>
      </c>
      <c r="M320" s="29" t="inlineStr">
        <is>
          <t>제 71 기</t>
        </is>
      </c>
      <c r="N320" s="29" t="inlineStr">
        <is>
          <t>77628333737.0</t>
        </is>
      </c>
      <c r="O320" s="29" t="inlineStr">
        <is>
          <t>128732485396.0</t>
        </is>
      </c>
      <c r="P320" s="29" t="inlineStr">
        <is>
          <t>KRW</t>
        </is>
      </c>
      <c r="Q320" s="29" t="inlineStr">
        <is>
          <t>11</t>
        </is>
      </c>
    </row>
    <row r="321" ht="24" customHeight="1">
      <c r="A321" s="24" t="inlineStr">
        <is>
          <t>OpenDART_fnlttSinglAcntAll</t>
        </is>
      </c>
      <c r="B321" s="24" t="inlineStr">
        <is>
          <t>00160843</t>
        </is>
      </c>
      <c r="C321" s="24" t="inlineStr">
        <is>
          <t>DB하이텍</t>
        </is>
      </c>
      <c r="D321" s="24" t="inlineStr">
        <is>
          <t>dbhitek</t>
        </is>
      </c>
      <c r="E321" s="24" t="inlineStr">
        <is>
          <t>000990</t>
        </is>
      </c>
      <c r="F321" s="24" t="inlineStr">
        <is>
          <t>2023</t>
        </is>
      </c>
      <c r="G321" s="24" t="inlineStr">
        <is>
          <t>CFS</t>
        </is>
      </c>
      <c r="H321" s="24" t="inlineStr">
        <is>
          <t>BS</t>
        </is>
      </c>
      <c r="I321" s="24" t="inlineStr">
        <is>
          <t>재무상태표</t>
        </is>
      </c>
      <c r="J321" s="24" t="inlineStr">
        <is>
          <t>ifrs-full_CurrentTradeReceivables</t>
        </is>
      </c>
      <c r="K321" s="24" t="inlineStr">
        <is>
          <t>매출채권</t>
        </is>
      </c>
      <c r="L321" s="24" t="inlineStr">
        <is>
          <t>-</t>
        </is>
      </c>
      <c r="M321" s="24" t="inlineStr">
        <is>
          <t>제 71 기</t>
        </is>
      </c>
      <c r="N321" s="24" t="inlineStr">
        <is>
          <t>109613109613.0</t>
        </is>
      </c>
      <c r="O321" s="24" t="inlineStr">
        <is>
          <t>122007611173.0</t>
        </is>
      </c>
      <c r="P321" s="24" t="inlineStr">
        <is>
          <t>KRW</t>
        </is>
      </c>
      <c r="Q321" s="24" t="inlineStr">
        <is>
          <t>12</t>
        </is>
      </c>
    </row>
    <row r="322" ht="24" customHeight="1">
      <c r="A322" s="29" t="inlineStr">
        <is>
          <t>OpenDART_fnlttSinglAcntAll</t>
        </is>
      </c>
      <c r="B322" s="29" t="inlineStr">
        <is>
          <t>00160843</t>
        </is>
      </c>
      <c r="C322" s="29" t="inlineStr">
        <is>
          <t>DB하이텍</t>
        </is>
      </c>
      <c r="D322" s="29" t="inlineStr">
        <is>
          <t>dbhitek</t>
        </is>
      </c>
      <c r="E322" s="29" t="inlineStr">
        <is>
          <t>000990</t>
        </is>
      </c>
      <c r="F322" s="29" t="inlineStr">
        <is>
          <t>2023</t>
        </is>
      </c>
      <c r="G322" s="29" t="inlineStr">
        <is>
          <t>CFS</t>
        </is>
      </c>
      <c r="H322" s="29" t="inlineStr">
        <is>
          <t>BS</t>
        </is>
      </c>
      <c r="I322" s="29" t="inlineStr">
        <is>
          <t>재무상태표</t>
        </is>
      </c>
      <c r="J322" s="29" t="inlineStr">
        <is>
          <t>ifrs-full_Inventories</t>
        </is>
      </c>
      <c r="K322" s="29" t="inlineStr">
        <is>
          <t>재고자산</t>
        </is>
      </c>
      <c r="L322" s="29" t="inlineStr">
        <is>
          <t>-</t>
        </is>
      </c>
      <c r="M322" s="29" t="inlineStr">
        <is>
          <t>제 71 기</t>
        </is>
      </c>
      <c r="N322" s="29" t="inlineStr">
        <is>
          <t>81645551677.0</t>
        </is>
      </c>
      <c r="O322" s="29" t="inlineStr">
        <is>
          <t>79031919690.0</t>
        </is>
      </c>
      <c r="P322" s="29" t="inlineStr">
        <is>
          <t>KRW</t>
        </is>
      </c>
      <c r="Q322" s="29" t="inlineStr">
        <is>
          <t>13</t>
        </is>
      </c>
    </row>
    <row r="323" ht="24" customHeight="1">
      <c r="A323" s="24" t="inlineStr">
        <is>
          <t>OpenDART_fnlttSinglAcntAll</t>
        </is>
      </c>
      <c r="B323" s="24" t="inlineStr">
        <is>
          <t>00160843</t>
        </is>
      </c>
      <c r="C323" s="24" t="inlineStr">
        <is>
          <t>DB하이텍</t>
        </is>
      </c>
      <c r="D323" s="24" t="inlineStr">
        <is>
          <t>dbhitek</t>
        </is>
      </c>
      <c r="E323" s="24" t="inlineStr">
        <is>
          <t>000990</t>
        </is>
      </c>
      <c r="F323" s="24" t="inlineStr">
        <is>
          <t>2023</t>
        </is>
      </c>
      <c r="G323" s="24" t="inlineStr">
        <is>
          <t>CFS</t>
        </is>
      </c>
      <c r="H323" s="24" t="inlineStr">
        <is>
          <t>BS</t>
        </is>
      </c>
      <c r="I323" s="24" t="inlineStr">
        <is>
          <t>재무상태표</t>
        </is>
      </c>
      <c r="J323" s="24" t="inlineStr">
        <is>
          <t>ifrs-full_OtherCurrentAssets</t>
        </is>
      </c>
      <c r="K323" s="24" t="inlineStr">
        <is>
          <t>기타유동자산</t>
        </is>
      </c>
      <c r="L323" s="24" t="inlineStr">
        <is>
          <t>-</t>
        </is>
      </c>
      <c r="M323" s="24" t="inlineStr">
        <is>
          <t>제 71 기</t>
        </is>
      </c>
      <c r="N323" s="24" t="inlineStr">
        <is>
          <t>30830477618.0</t>
        </is>
      </c>
      <c r="O323" s="24" t="inlineStr">
        <is>
          <t>18796418459.0</t>
        </is>
      </c>
      <c r="P323" s="24" t="inlineStr">
        <is>
          <t>KRW</t>
        </is>
      </c>
      <c r="Q323" s="24" t="inlineStr">
        <is>
          <t>14</t>
        </is>
      </c>
    </row>
    <row r="324" ht="24" customHeight="1">
      <c r="A324" s="29" t="inlineStr">
        <is>
          <t>OpenDART_fnlttSinglAcntAll</t>
        </is>
      </c>
      <c r="B324" s="29" t="inlineStr">
        <is>
          <t>00160843</t>
        </is>
      </c>
      <c r="C324" s="29" t="inlineStr">
        <is>
          <t>DB하이텍</t>
        </is>
      </c>
      <c r="D324" s="29" t="inlineStr">
        <is>
          <t>dbhitek</t>
        </is>
      </c>
      <c r="E324" s="29" t="inlineStr">
        <is>
          <t>000990</t>
        </is>
      </c>
      <c r="F324" s="29" t="inlineStr">
        <is>
          <t>2023</t>
        </is>
      </c>
      <c r="G324" s="29" t="inlineStr">
        <is>
          <t>CFS</t>
        </is>
      </c>
      <c r="H324" s="29" t="inlineStr">
        <is>
          <t>BS</t>
        </is>
      </c>
      <c r="I324" s="29" t="inlineStr">
        <is>
          <t>재무상태표</t>
        </is>
      </c>
      <c r="J324" s="29" t="inlineStr">
        <is>
          <t>ifrs-full_OtherCurrentFinancialAssets</t>
        </is>
      </c>
      <c r="K324" s="29" t="inlineStr">
        <is>
          <t>기타금융자산</t>
        </is>
      </c>
      <c r="L324" s="29" t="inlineStr">
        <is>
          <t>-</t>
        </is>
      </c>
      <c r="M324" s="29" t="inlineStr">
        <is>
          <t>제 71 기</t>
        </is>
      </c>
      <c r="N324" s="29" t="inlineStr">
        <is>
          <t>121118929570.0</t>
        </is>
      </c>
      <c r="O324" s="29" t="inlineStr">
        <is>
          <t>201619832891.0</t>
        </is>
      </c>
      <c r="P324" s="29" t="inlineStr">
        <is>
          <t>KRW</t>
        </is>
      </c>
      <c r="Q324" s="29" t="inlineStr">
        <is>
          <t>15</t>
        </is>
      </c>
    </row>
    <row r="325" ht="24" customHeight="1">
      <c r="A325" s="24" t="inlineStr">
        <is>
          <t>OpenDART_fnlttSinglAcntAll</t>
        </is>
      </c>
      <c r="B325" s="24" t="inlineStr">
        <is>
          <t>00160843</t>
        </is>
      </c>
      <c r="C325" s="24" t="inlineStr">
        <is>
          <t>DB하이텍</t>
        </is>
      </c>
      <c r="D325" s="24" t="inlineStr">
        <is>
          <t>dbhitek</t>
        </is>
      </c>
      <c r="E325" s="24" t="inlineStr">
        <is>
          <t>000990</t>
        </is>
      </c>
      <c r="F325" s="24" t="inlineStr">
        <is>
          <t>2023</t>
        </is>
      </c>
      <c r="G325" s="24" t="inlineStr">
        <is>
          <t>CFS</t>
        </is>
      </c>
      <c r="H325" s="24" t="inlineStr">
        <is>
          <t>BS</t>
        </is>
      </c>
      <c r="I325" s="24" t="inlineStr">
        <is>
          <t>재무상태표</t>
        </is>
      </c>
      <c r="J325" s="24" t="inlineStr">
        <is>
          <t>ifrs-full_OtherCurrentReceivables</t>
        </is>
      </c>
      <c r="K325" s="24" t="inlineStr">
        <is>
          <t>기타채권</t>
        </is>
      </c>
      <c r="L325" s="24" t="inlineStr">
        <is>
          <t>-</t>
        </is>
      </c>
      <c r="M325" s="24" t="inlineStr">
        <is>
          <t>제 71 기</t>
        </is>
      </c>
      <c r="N325" s="24" t="inlineStr">
        <is>
          <t>7097213225.0</t>
        </is>
      </c>
      <c r="O325" s="24" t="inlineStr">
        <is>
          <t>19526325725.0</t>
        </is>
      </c>
      <c r="P325" s="24" t="inlineStr">
        <is>
          <t>KRW</t>
        </is>
      </c>
      <c r="Q325" s="24" t="inlineStr">
        <is>
          <t>16</t>
        </is>
      </c>
    </row>
    <row r="326" ht="24" customHeight="1">
      <c r="A326" s="29" t="inlineStr">
        <is>
          <t>OpenDART_fnlttSinglAcntAll</t>
        </is>
      </c>
      <c r="B326" s="29" t="inlineStr">
        <is>
          <t>00160843</t>
        </is>
      </c>
      <c r="C326" s="29" t="inlineStr">
        <is>
          <t>DB하이텍</t>
        </is>
      </c>
      <c r="D326" s="29" t="inlineStr">
        <is>
          <t>dbhitek</t>
        </is>
      </c>
      <c r="E326" s="29" t="inlineStr">
        <is>
          <t>000990</t>
        </is>
      </c>
      <c r="F326" s="29" t="inlineStr">
        <is>
          <t>2023</t>
        </is>
      </c>
      <c r="G326" s="29" t="inlineStr">
        <is>
          <t>CFS</t>
        </is>
      </c>
      <c r="H326" s="29" t="inlineStr">
        <is>
          <t>BS</t>
        </is>
      </c>
      <c r="I326" s="29" t="inlineStr">
        <is>
          <t>재무상태표</t>
        </is>
      </c>
      <c r="J326" s="29" t="inlineStr">
        <is>
          <t>ifrs-full_ShorttermDepositsNotClassifiedAsCashEquivalents</t>
        </is>
      </c>
      <c r="K326" s="29" t="inlineStr">
        <is>
          <t>단기금융상품</t>
        </is>
      </c>
      <c r="L326" s="29" t="inlineStr">
        <is>
          <t>-</t>
        </is>
      </c>
      <c r="M326" s="29" t="inlineStr">
        <is>
          <t>제 71 기</t>
        </is>
      </c>
      <c r="N326" s="29" t="inlineStr">
        <is>
          <t>339945875817.0</t>
        </is>
      </c>
      <c r="O326" s="29" t="inlineStr">
        <is>
          <t>603957314881.0</t>
        </is>
      </c>
      <c r="P326" s="29" t="inlineStr">
        <is>
          <t>KRW</t>
        </is>
      </c>
      <c r="Q326" s="29" t="inlineStr">
        <is>
          <t>17</t>
        </is>
      </c>
    </row>
    <row r="327" ht="24" customHeight="1">
      <c r="A327" s="24" t="inlineStr">
        <is>
          <t>OpenDART_fnlttSinglAcntAll</t>
        </is>
      </c>
      <c r="B327" s="24" t="inlineStr">
        <is>
          <t>00160843</t>
        </is>
      </c>
      <c r="C327" s="24" t="inlineStr">
        <is>
          <t>DB하이텍</t>
        </is>
      </c>
      <c r="D327" s="24" t="inlineStr">
        <is>
          <t>dbhitek</t>
        </is>
      </c>
      <c r="E327" s="24" t="inlineStr">
        <is>
          <t>000990</t>
        </is>
      </c>
      <c r="F327" s="24" t="inlineStr">
        <is>
          <t>2023</t>
        </is>
      </c>
      <c r="G327" s="24" t="inlineStr">
        <is>
          <t>CFS</t>
        </is>
      </c>
      <c r="H327" s="24" t="inlineStr">
        <is>
          <t>BS</t>
        </is>
      </c>
      <c r="I327" s="24" t="inlineStr">
        <is>
          <t>재무상태표</t>
        </is>
      </c>
      <c r="J327" s="24" t="inlineStr">
        <is>
          <t>ifrs-full_NoncurrentAssets</t>
        </is>
      </c>
      <c r="K327" s="24" t="inlineStr">
        <is>
          <t>비유동자산</t>
        </is>
      </c>
      <c r="L327" s="24" t="inlineStr">
        <is>
          <t>-</t>
        </is>
      </c>
      <c r="M327" s="24" t="inlineStr">
        <is>
          <t>제 71 기</t>
        </is>
      </c>
      <c r="N327" s="24" t="inlineStr">
        <is>
          <t>1015395739037.0</t>
        </is>
      </c>
      <c r="O327" s="24" t="inlineStr">
        <is>
          <t>814835795941.0</t>
        </is>
      </c>
      <c r="P327" s="24" t="inlineStr">
        <is>
          <t>KRW</t>
        </is>
      </c>
      <c r="Q327" s="24" t="inlineStr">
        <is>
          <t>18</t>
        </is>
      </c>
    </row>
    <row r="328" ht="24" customHeight="1">
      <c r="A328" s="29" t="inlineStr">
        <is>
          <t>OpenDART_fnlttSinglAcntAll</t>
        </is>
      </c>
      <c r="B328" s="29" t="inlineStr">
        <is>
          <t>00160843</t>
        </is>
      </c>
      <c r="C328" s="29" t="inlineStr">
        <is>
          <t>DB하이텍</t>
        </is>
      </c>
      <c r="D328" s="29" t="inlineStr">
        <is>
          <t>dbhitek</t>
        </is>
      </c>
      <c r="E328" s="29" t="inlineStr">
        <is>
          <t>000990</t>
        </is>
      </c>
      <c r="F328" s="29" t="inlineStr">
        <is>
          <t>2023</t>
        </is>
      </c>
      <c r="G328" s="29" t="inlineStr">
        <is>
          <t>CFS</t>
        </is>
      </c>
      <c r="H328" s="29" t="inlineStr">
        <is>
          <t>BS</t>
        </is>
      </c>
      <c r="I328" s="29" t="inlineStr">
        <is>
          <t>재무상태표</t>
        </is>
      </c>
      <c r="J328" s="29" t="inlineStr">
        <is>
          <t>dart_InvestedAssetForPostemploymentBenefit</t>
        </is>
      </c>
      <c r="K328" s="29" t="inlineStr">
        <is>
          <t>순확정급여자산</t>
        </is>
      </c>
      <c r="L328" s="29" t="inlineStr">
        <is>
          <t>-</t>
        </is>
      </c>
      <c r="M328" s="29" t="inlineStr">
        <is>
          <t>제 71 기</t>
        </is>
      </c>
      <c r="N328" s="29" t="inlineStr">
        <is>
          <t>4200378262.0</t>
        </is>
      </c>
      <c r="O328" s="29" t="inlineStr">
        <is>
          <t>10778605181.0</t>
        </is>
      </c>
      <c r="P328" s="29" t="inlineStr">
        <is>
          <t>KRW</t>
        </is>
      </c>
      <c r="Q328" s="29" t="inlineStr">
        <is>
          <t>19</t>
        </is>
      </c>
    </row>
    <row r="329" ht="24" customHeight="1">
      <c r="A329" s="24" t="inlineStr">
        <is>
          <t>OpenDART_fnlttSinglAcntAll</t>
        </is>
      </c>
      <c r="B329" s="24" t="inlineStr">
        <is>
          <t>00160843</t>
        </is>
      </c>
      <c r="C329" s="24" t="inlineStr">
        <is>
          <t>DB하이텍</t>
        </is>
      </c>
      <c r="D329" s="24" t="inlineStr">
        <is>
          <t>dbhitek</t>
        </is>
      </c>
      <c r="E329" s="24" t="inlineStr">
        <is>
          <t>000990</t>
        </is>
      </c>
      <c r="F329" s="24" t="inlineStr">
        <is>
          <t>2023</t>
        </is>
      </c>
      <c r="G329" s="24" t="inlineStr">
        <is>
          <t>CFS</t>
        </is>
      </c>
      <c r="H329" s="24" t="inlineStr">
        <is>
          <t>BS</t>
        </is>
      </c>
      <c r="I329" s="24" t="inlineStr">
        <is>
          <t>재무상태표</t>
        </is>
      </c>
      <c r="J329" s="24" t="inlineStr">
        <is>
          <t>ifrs-full_CurrentTaxAssets</t>
        </is>
      </c>
      <c r="K329" s="24" t="inlineStr">
        <is>
          <t>당기법인세자산</t>
        </is>
      </c>
      <c r="L329" s="24" t="inlineStr">
        <is>
          <t>-</t>
        </is>
      </c>
      <c r="M329" s="24" t="inlineStr">
        <is>
          <t>제 71 기</t>
        </is>
      </c>
      <c r="N329" s="24" t="inlineStr">
        <is>
          <t>2030074649.0</t>
        </is>
      </c>
      <c r="O329" s="24" t="inlineStr">
        <is>
          <t>2030074649.0</t>
        </is>
      </c>
      <c r="P329" s="24" t="inlineStr">
        <is>
          <t>KRW</t>
        </is>
      </c>
      <c r="Q329" s="24" t="inlineStr">
        <is>
          <t>20</t>
        </is>
      </c>
    </row>
    <row r="330" ht="24" customHeight="1">
      <c r="A330" s="29" t="inlineStr">
        <is>
          <t>OpenDART_fnlttSinglAcntAll</t>
        </is>
      </c>
      <c r="B330" s="29" t="inlineStr">
        <is>
          <t>00160843</t>
        </is>
      </c>
      <c r="C330" s="29" t="inlineStr">
        <is>
          <t>DB하이텍</t>
        </is>
      </c>
      <c r="D330" s="29" t="inlineStr">
        <is>
          <t>dbhitek</t>
        </is>
      </c>
      <c r="E330" s="29" t="inlineStr">
        <is>
          <t>000990</t>
        </is>
      </c>
      <c r="F330" s="29" t="inlineStr">
        <is>
          <t>2023</t>
        </is>
      </c>
      <c r="G330" s="29" t="inlineStr">
        <is>
          <t>CFS</t>
        </is>
      </c>
      <c r="H330" s="29" t="inlineStr">
        <is>
          <t>BS</t>
        </is>
      </c>
      <c r="I330" s="29" t="inlineStr">
        <is>
          <t>재무상태표</t>
        </is>
      </c>
      <c r="J330" s="29" t="inlineStr">
        <is>
          <t>ifrs-full_DeferredTaxAssets</t>
        </is>
      </c>
      <c r="K330" s="29" t="inlineStr">
        <is>
          <t>이연법인세자산</t>
        </is>
      </c>
      <c r="L330" s="29" t="inlineStr">
        <is>
          <t>-</t>
        </is>
      </c>
      <c r="M330" s="29" t="inlineStr">
        <is>
          <t>제 71 기</t>
        </is>
      </c>
      <c r="N330" s="29" t="inlineStr">
        <is>
          <t>11507261121.0</t>
        </is>
      </c>
      <c r="O330" s="29" t="inlineStr">
        <is>
          <t>9311528313.0</t>
        </is>
      </c>
      <c r="P330" s="29" t="inlineStr">
        <is>
          <t>KRW</t>
        </is>
      </c>
      <c r="Q330" s="29" t="inlineStr">
        <is>
          <t>21</t>
        </is>
      </c>
    </row>
    <row r="331" ht="24" customHeight="1">
      <c r="A331" s="24" t="inlineStr">
        <is>
          <t>OpenDART_fnlttSinglAcntAll</t>
        </is>
      </c>
      <c r="B331" s="24" t="inlineStr">
        <is>
          <t>00160843</t>
        </is>
      </c>
      <c r="C331" s="24" t="inlineStr">
        <is>
          <t>DB하이텍</t>
        </is>
      </c>
      <c r="D331" s="24" t="inlineStr">
        <is>
          <t>dbhitek</t>
        </is>
      </c>
      <c r="E331" s="24" t="inlineStr">
        <is>
          <t>000990</t>
        </is>
      </c>
      <c r="F331" s="24" t="inlineStr">
        <is>
          <t>2023</t>
        </is>
      </c>
      <c r="G331" s="24" t="inlineStr">
        <is>
          <t>CFS</t>
        </is>
      </c>
      <c r="H331" s="24" t="inlineStr">
        <is>
          <t>BS</t>
        </is>
      </c>
      <c r="I331" s="24" t="inlineStr">
        <is>
          <t>재무상태표</t>
        </is>
      </c>
      <c r="J331" s="24" t="inlineStr">
        <is>
          <t>ifrs-full_IntangibleAssetsOtherThanGoodwill</t>
        </is>
      </c>
      <c r="K331" s="24" t="inlineStr">
        <is>
          <t>영업권 이외의 무형자산</t>
        </is>
      </c>
      <c r="L331" s="24" t="inlineStr">
        <is>
          <t>-</t>
        </is>
      </c>
      <c r="M331" s="24" t="inlineStr">
        <is>
          <t>제 71 기</t>
        </is>
      </c>
      <c r="N331" s="24" t="inlineStr">
        <is>
          <t>21605474111.0</t>
        </is>
      </c>
      <c r="O331" s="24" t="inlineStr">
        <is>
          <t>18370913452.0</t>
        </is>
      </c>
      <c r="P331" s="24" t="inlineStr">
        <is>
          <t>KRW</t>
        </is>
      </c>
      <c r="Q331" s="24" t="inlineStr">
        <is>
          <t>22</t>
        </is>
      </c>
    </row>
    <row r="332" ht="24" customHeight="1">
      <c r="A332" s="29" t="inlineStr">
        <is>
          <t>OpenDART_fnlttSinglAcntAll</t>
        </is>
      </c>
      <c r="B332" s="29" t="inlineStr">
        <is>
          <t>00160843</t>
        </is>
      </c>
      <c r="C332" s="29" t="inlineStr">
        <is>
          <t>DB하이텍</t>
        </is>
      </c>
      <c r="D332" s="29" t="inlineStr">
        <is>
          <t>dbhitek</t>
        </is>
      </c>
      <c r="E332" s="29" t="inlineStr">
        <is>
          <t>000990</t>
        </is>
      </c>
      <c r="F332" s="29" t="inlineStr">
        <is>
          <t>2023</t>
        </is>
      </c>
      <c r="G332" s="29" t="inlineStr">
        <is>
          <t>CFS</t>
        </is>
      </c>
      <c r="H332" s="29" t="inlineStr">
        <is>
          <t>BS</t>
        </is>
      </c>
      <c r="I332" s="29" t="inlineStr">
        <is>
          <t>재무상태표</t>
        </is>
      </c>
      <c r="J332" s="29" t="inlineStr">
        <is>
          <t>ifrs-full_InvestmentAccountedForUsingEquityMethod</t>
        </is>
      </c>
      <c r="K332" s="29" t="inlineStr">
        <is>
          <t>종속기업및관계기업투자</t>
        </is>
      </c>
      <c r="L332" s="29" t="inlineStr">
        <is>
          <t>-</t>
        </is>
      </c>
      <c r="M332" s="29" t="inlineStr">
        <is>
          <t>제 71 기</t>
        </is>
      </c>
      <c r="N332" s="29" t="inlineStr">
        <is>
          <t>3588649217.0</t>
        </is>
      </c>
      <c r="O332" s="29" t="inlineStr">
        <is>
          <t>8898470305.0</t>
        </is>
      </c>
      <c r="P332" s="29" t="inlineStr">
        <is>
          <t>KRW</t>
        </is>
      </c>
      <c r="Q332" s="29" t="inlineStr">
        <is>
          <t>23</t>
        </is>
      </c>
    </row>
    <row r="333" ht="24" customHeight="1">
      <c r="A333" s="24" t="inlineStr">
        <is>
          <t>OpenDART_fnlttSinglAcntAll</t>
        </is>
      </c>
      <c r="B333" s="24" t="inlineStr">
        <is>
          <t>00160843</t>
        </is>
      </c>
      <c r="C333" s="24" t="inlineStr">
        <is>
          <t>DB하이텍</t>
        </is>
      </c>
      <c r="D333" s="24" t="inlineStr">
        <is>
          <t>dbhitek</t>
        </is>
      </c>
      <c r="E333" s="24" t="inlineStr">
        <is>
          <t>000990</t>
        </is>
      </c>
      <c r="F333" s="24" t="inlineStr">
        <is>
          <t>2023</t>
        </is>
      </c>
      <c r="G333" s="24" t="inlineStr">
        <is>
          <t>CFS</t>
        </is>
      </c>
      <c r="H333" s="24" t="inlineStr">
        <is>
          <t>BS</t>
        </is>
      </c>
      <c r="I333" s="24" t="inlineStr">
        <is>
          <t>재무상태표</t>
        </is>
      </c>
      <c r="J333" s="24" t="inlineStr">
        <is>
          <t>ifrs-full_NoncurrentInvestmentsInEquityInstrumentsDesignatedAtFairValueThroughOtherComprehensiveIncome</t>
        </is>
      </c>
      <c r="K333" s="24" t="inlineStr">
        <is>
          <t>기타포괄손익 공정가치 측정 금융자산</t>
        </is>
      </c>
      <c r="L333" s="24" t="inlineStr">
        <is>
          <t>-</t>
        </is>
      </c>
      <c r="M333" s="24" t="inlineStr">
        <is>
          <t>제 71 기</t>
        </is>
      </c>
      <c r="N333" s="24" t="inlineStr">
        <is>
          <t>15150342921.0</t>
        </is>
      </c>
      <c r="O333" s="24" t="inlineStr">
        <is>
          <t>8855728771.0</t>
        </is>
      </c>
      <c r="P333" s="24" t="inlineStr">
        <is>
          <t>KRW</t>
        </is>
      </c>
      <c r="Q333" s="24" t="inlineStr">
        <is>
          <t>24</t>
        </is>
      </c>
    </row>
    <row r="334" ht="24" customHeight="1">
      <c r="A334" s="29" t="inlineStr">
        <is>
          <t>OpenDART_fnlttSinglAcntAll</t>
        </is>
      </c>
      <c r="B334" s="29" t="inlineStr">
        <is>
          <t>00160843</t>
        </is>
      </c>
      <c r="C334" s="29" t="inlineStr">
        <is>
          <t>DB하이텍</t>
        </is>
      </c>
      <c r="D334" s="29" t="inlineStr">
        <is>
          <t>dbhitek</t>
        </is>
      </c>
      <c r="E334" s="29" t="inlineStr">
        <is>
          <t>000990</t>
        </is>
      </c>
      <c r="F334" s="29" t="inlineStr">
        <is>
          <t>2023</t>
        </is>
      </c>
      <c r="G334" s="29" t="inlineStr">
        <is>
          <t>CFS</t>
        </is>
      </c>
      <c r="H334" s="29" t="inlineStr">
        <is>
          <t>BS</t>
        </is>
      </c>
      <c r="I334" s="29" t="inlineStr">
        <is>
          <t>재무상태표</t>
        </is>
      </c>
      <c r="J334" s="29" t="inlineStr">
        <is>
          <t>ifrs-full_OtherNoncurrentAssets</t>
        </is>
      </c>
      <c r="K334" s="29" t="inlineStr">
        <is>
          <t>기타비유동자산</t>
        </is>
      </c>
      <c r="L334" s="29" t="inlineStr">
        <is>
          <t>-</t>
        </is>
      </c>
      <c r="M334" s="29" t="inlineStr">
        <is>
          <t>제 71 기</t>
        </is>
      </c>
      <c r="N334" s="29" t="inlineStr">
        <is>
          <t>1341298257.0</t>
        </is>
      </c>
      <c r="O334" s="29" t="inlineStr">
        <is>
          <t>1334786491.0</t>
        </is>
      </c>
      <c r="P334" s="29" t="inlineStr">
        <is>
          <t>KRW</t>
        </is>
      </c>
      <c r="Q334" s="29" t="inlineStr">
        <is>
          <t>25</t>
        </is>
      </c>
    </row>
    <row r="335" ht="24" customHeight="1">
      <c r="A335" s="24" t="inlineStr">
        <is>
          <t>OpenDART_fnlttSinglAcntAll</t>
        </is>
      </c>
      <c r="B335" s="24" t="inlineStr">
        <is>
          <t>00160843</t>
        </is>
      </c>
      <c r="C335" s="24" t="inlineStr">
        <is>
          <t>DB하이텍</t>
        </is>
      </c>
      <c r="D335" s="24" t="inlineStr">
        <is>
          <t>dbhitek</t>
        </is>
      </c>
      <c r="E335" s="24" t="inlineStr">
        <is>
          <t>000990</t>
        </is>
      </c>
      <c r="F335" s="24" t="inlineStr">
        <is>
          <t>2023</t>
        </is>
      </c>
      <c r="G335" s="24" t="inlineStr">
        <is>
          <t>CFS</t>
        </is>
      </c>
      <c r="H335" s="24" t="inlineStr">
        <is>
          <t>BS</t>
        </is>
      </c>
      <c r="I335" s="24" t="inlineStr">
        <is>
          <t>재무상태표</t>
        </is>
      </c>
      <c r="J335" s="24" t="inlineStr">
        <is>
          <t>ifrs-full_OtherNoncurrentFinancialAssets</t>
        </is>
      </c>
      <c r="K335" s="24" t="inlineStr">
        <is>
          <t>장기금융자산</t>
        </is>
      </c>
      <c r="L335" s="24" t="inlineStr">
        <is>
          <t>-</t>
        </is>
      </c>
      <c r="M335" s="24" t="inlineStr">
        <is>
          <t>제 71 기</t>
        </is>
      </c>
      <c r="N335" s="24" t="inlineStr">
        <is>
          <t>5000000.0</t>
        </is>
      </c>
      <c r="O335" s="24" t="inlineStr">
        <is>
          <t>92933575.0</t>
        </is>
      </c>
      <c r="P335" s="24" t="inlineStr">
        <is>
          <t>KRW</t>
        </is>
      </c>
      <c r="Q335" s="24" t="inlineStr">
        <is>
          <t>26</t>
        </is>
      </c>
    </row>
    <row r="336" ht="24" customHeight="1">
      <c r="A336" s="29" t="inlineStr">
        <is>
          <t>OpenDART_fnlttSinglAcntAll</t>
        </is>
      </c>
      <c r="B336" s="29" t="inlineStr">
        <is>
          <t>00160843</t>
        </is>
      </c>
      <c r="C336" s="29" t="inlineStr">
        <is>
          <t>DB하이텍</t>
        </is>
      </c>
      <c r="D336" s="29" t="inlineStr">
        <is>
          <t>dbhitek</t>
        </is>
      </c>
      <c r="E336" s="29" t="inlineStr">
        <is>
          <t>000990</t>
        </is>
      </c>
      <c r="F336" s="29" t="inlineStr">
        <is>
          <t>2023</t>
        </is>
      </c>
      <c r="G336" s="29" t="inlineStr">
        <is>
          <t>CFS</t>
        </is>
      </c>
      <c r="H336" s="29" t="inlineStr">
        <is>
          <t>BS</t>
        </is>
      </c>
      <c r="I336" s="29" t="inlineStr">
        <is>
          <t>재무상태표</t>
        </is>
      </c>
      <c r="J336" s="29" t="inlineStr">
        <is>
          <t>ifrs-full_OtherNoncurrentReceivables</t>
        </is>
      </c>
      <c r="K336" s="29" t="inlineStr">
        <is>
          <t>장기기타채권</t>
        </is>
      </c>
      <c r="L336" s="29" t="inlineStr">
        <is>
          <t>-</t>
        </is>
      </c>
      <c r="M336" s="29" t="inlineStr">
        <is>
          <t>제 71 기</t>
        </is>
      </c>
      <c r="N336" s="29" t="inlineStr">
        <is>
          <t>5052130661.0</t>
        </is>
      </c>
      <c r="O336" s="29" t="inlineStr">
        <is>
          <t>2215947960.0</t>
        </is>
      </c>
      <c r="P336" s="29" t="inlineStr">
        <is>
          <t>KRW</t>
        </is>
      </c>
      <c r="Q336" s="29" t="inlineStr">
        <is>
          <t>27</t>
        </is>
      </c>
    </row>
    <row r="337" ht="24" customHeight="1">
      <c r="A337" s="24" t="inlineStr">
        <is>
          <t>OpenDART_fnlttSinglAcntAll</t>
        </is>
      </c>
      <c r="B337" s="24" t="inlineStr">
        <is>
          <t>00160843</t>
        </is>
      </c>
      <c r="C337" s="24" t="inlineStr">
        <is>
          <t>DB하이텍</t>
        </is>
      </c>
      <c r="D337" s="24" t="inlineStr">
        <is>
          <t>dbhitek</t>
        </is>
      </c>
      <c r="E337" s="24" t="inlineStr">
        <is>
          <t>000990</t>
        </is>
      </c>
      <c r="F337" s="24" t="inlineStr">
        <is>
          <t>2023</t>
        </is>
      </c>
      <c r="G337" s="24" t="inlineStr">
        <is>
          <t>CFS</t>
        </is>
      </c>
      <c r="H337" s="24" t="inlineStr">
        <is>
          <t>BS</t>
        </is>
      </c>
      <c r="I337" s="24" t="inlineStr">
        <is>
          <t>재무상태표</t>
        </is>
      </c>
      <c r="J337" s="24" t="inlineStr">
        <is>
          <t>ifrs-full_PropertyPlantAndEquipment</t>
        </is>
      </c>
      <c r="K337" s="24" t="inlineStr">
        <is>
          <t>유형자산</t>
        </is>
      </c>
      <c r="L337" s="24" t="inlineStr">
        <is>
          <t>-</t>
        </is>
      </c>
      <c r="M337" s="24" t="inlineStr">
        <is>
          <t>제 71 기</t>
        </is>
      </c>
      <c r="N337" s="24" t="inlineStr">
        <is>
          <t>950915129838.0</t>
        </is>
      </c>
      <c r="O337" s="24" t="inlineStr">
        <is>
          <t>752946807244.0</t>
        </is>
      </c>
      <c r="P337" s="24" t="inlineStr">
        <is>
          <t>KRW</t>
        </is>
      </c>
      <c r="Q337" s="24" t="inlineStr">
        <is>
          <t>28</t>
        </is>
      </c>
    </row>
    <row r="338" ht="24" customHeight="1">
      <c r="A338" s="29" t="inlineStr">
        <is>
          <t>OpenDART_fnlttSinglAcntAll</t>
        </is>
      </c>
      <c r="B338" s="29" t="inlineStr">
        <is>
          <t>00160843</t>
        </is>
      </c>
      <c r="C338" s="29" t="inlineStr">
        <is>
          <t>DB하이텍</t>
        </is>
      </c>
      <c r="D338" s="29" t="inlineStr">
        <is>
          <t>dbhitek</t>
        </is>
      </c>
      <c r="E338" s="29" t="inlineStr">
        <is>
          <t>000990</t>
        </is>
      </c>
      <c r="F338" s="29" t="inlineStr">
        <is>
          <t>2023</t>
        </is>
      </c>
      <c r="G338" s="29" t="inlineStr">
        <is>
          <t>CFS</t>
        </is>
      </c>
      <c r="H338" s="29" t="inlineStr">
        <is>
          <t>BS</t>
        </is>
      </c>
      <c r="I338" s="29" t="inlineStr">
        <is>
          <t>재무상태표</t>
        </is>
      </c>
      <c r="J338" s="29" t="inlineStr">
        <is>
          <t>ifrs-full_Equity</t>
        </is>
      </c>
      <c r="K338" s="29" t="inlineStr">
        <is>
          <t>자본총계</t>
        </is>
      </c>
      <c r="L338" s="29" t="inlineStr">
        <is>
          <t>-</t>
        </is>
      </c>
      <c r="M338" s="29" t="inlineStr">
        <is>
          <t>제 71 기</t>
        </is>
      </c>
      <c r="N338" s="29" t="inlineStr">
        <is>
          <t>1740082437747.0</t>
        </is>
      </c>
      <c r="O338" s="29" t="inlineStr">
        <is>
          <t>1634784143895.0</t>
        </is>
      </c>
      <c r="P338" s="29" t="inlineStr">
        <is>
          <t>KRW</t>
        </is>
      </c>
      <c r="Q338" s="29" t="inlineStr">
        <is>
          <t>30</t>
        </is>
      </c>
    </row>
    <row r="339" ht="24" customHeight="1">
      <c r="A339" s="24" t="inlineStr">
        <is>
          <t>OpenDART_fnlttSinglAcntAll</t>
        </is>
      </c>
      <c r="B339" s="24" t="inlineStr">
        <is>
          <t>00160843</t>
        </is>
      </c>
      <c r="C339" s="24" t="inlineStr">
        <is>
          <t>DB하이텍</t>
        </is>
      </c>
      <c r="D339" s="24" t="inlineStr">
        <is>
          <t>dbhitek</t>
        </is>
      </c>
      <c r="E339" s="24" t="inlineStr">
        <is>
          <t>000990</t>
        </is>
      </c>
      <c r="F339" s="24" t="inlineStr">
        <is>
          <t>2023</t>
        </is>
      </c>
      <c r="G339" s="24" t="inlineStr">
        <is>
          <t>CFS</t>
        </is>
      </c>
      <c r="H339" s="24" t="inlineStr">
        <is>
          <t>BS</t>
        </is>
      </c>
      <c r="I339" s="24" t="inlineStr">
        <is>
          <t>재무상태표</t>
        </is>
      </c>
      <c r="J339" s="24" t="inlineStr">
        <is>
          <t>ifrs-full_EquityAttributableToOwnersOfParent</t>
        </is>
      </c>
      <c r="K339" s="24" t="inlineStr">
        <is>
          <t>지배기업의 소유주에게 귀속되는 자본</t>
        </is>
      </c>
      <c r="L339" s="24" t="inlineStr">
        <is>
          <t>-</t>
        </is>
      </c>
      <c r="M339" s="24" t="inlineStr">
        <is>
          <t>제 71 기</t>
        </is>
      </c>
      <c r="N339" s="24" t="inlineStr">
        <is>
          <t>1740082437747.0</t>
        </is>
      </c>
      <c r="O339" s="24" t="inlineStr">
        <is>
          <t>1634784143895.0</t>
        </is>
      </c>
      <c r="P339" s="24" t="inlineStr">
        <is>
          <t>KRW</t>
        </is>
      </c>
      <c r="Q339" s="24" t="inlineStr">
        <is>
          <t>31</t>
        </is>
      </c>
    </row>
    <row r="340" ht="24" customHeight="1">
      <c r="A340" s="29" t="inlineStr">
        <is>
          <t>OpenDART_fnlttSinglAcntAll</t>
        </is>
      </c>
      <c r="B340" s="29" t="inlineStr">
        <is>
          <t>00160843</t>
        </is>
      </c>
      <c r="C340" s="29" t="inlineStr">
        <is>
          <t>DB하이텍</t>
        </is>
      </c>
      <c r="D340" s="29" t="inlineStr">
        <is>
          <t>dbhitek</t>
        </is>
      </c>
      <c r="E340" s="29" t="inlineStr">
        <is>
          <t>000990</t>
        </is>
      </c>
      <c r="F340" s="29" t="inlineStr">
        <is>
          <t>2023</t>
        </is>
      </c>
      <c r="G340" s="29" t="inlineStr">
        <is>
          <t>CFS</t>
        </is>
      </c>
      <c r="H340" s="29" t="inlineStr">
        <is>
          <t>BS</t>
        </is>
      </c>
      <c r="I340" s="29" t="inlineStr">
        <is>
          <t>재무상태표</t>
        </is>
      </c>
      <c r="J340" s="29" t="inlineStr">
        <is>
          <t>dart_ElementsOfOtherStockholdersEquity</t>
        </is>
      </c>
      <c r="K340" s="29" t="inlineStr">
        <is>
          <t>기타자본구성요소</t>
        </is>
      </c>
      <c r="L340" s="29" t="inlineStr">
        <is>
          <t>-</t>
        </is>
      </c>
      <c r="M340" s="29" t="inlineStr">
        <is>
          <t>제 71 기</t>
        </is>
      </c>
      <c r="N340" s="29" t="inlineStr">
        <is>
          <t>-173062538826.0</t>
        </is>
      </c>
      <c r="O340" s="29" t="inlineStr">
        <is>
          <t>-77460548970.0</t>
        </is>
      </c>
      <c r="P340" s="29" t="inlineStr">
        <is>
          <t>KRW</t>
        </is>
      </c>
      <c r="Q340" s="29" t="inlineStr">
        <is>
          <t>32</t>
        </is>
      </c>
    </row>
    <row r="341" ht="24" customHeight="1">
      <c r="A341" s="24" t="inlineStr">
        <is>
          <t>OpenDART_fnlttSinglAcntAll</t>
        </is>
      </c>
      <c r="B341" s="24" t="inlineStr">
        <is>
          <t>00160843</t>
        </is>
      </c>
      <c r="C341" s="24" t="inlineStr">
        <is>
          <t>DB하이텍</t>
        </is>
      </c>
      <c r="D341" s="24" t="inlineStr">
        <is>
          <t>dbhitek</t>
        </is>
      </c>
      <c r="E341" s="24" t="inlineStr">
        <is>
          <t>000990</t>
        </is>
      </c>
      <c r="F341" s="24" t="inlineStr">
        <is>
          <t>2023</t>
        </is>
      </c>
      <c r="G341" s="24" t="inlineStr">
        <is>
          <t>CFS</t>
        </is>
      </c>
      <c r="H341" s="24" t="inlineStr">
        <is>
          <t>BS</t>
        </is>
      </c>
      <c r="I341" s="24" t="inlineStr">
        <is>
          <t>재무상태표</t>
        </is>
      </c>
      <c r="J341" s="24" t="inlineStr">
        <is>
          <t>ifrs-full_IssuedCapital</t>
        </is>
      </c>
      <c r="K341" s="24" t="inlineStr">
        <is>
          <t>자본금</t>
        </is>
      </c>
      <c r="L341" s="24" t="inlineStr">
        <is>
          <t>-</t>
        </is>
      </c>
      <c r="M341" s="24" t="inlineStr">
        <is>
          <t>제 71 기</t>
        </is>
      </c>
      <c r="N341" s="24" t="inlineStr">
        <is>
          <t>222555835000.0</t>
        </is>
      </c>
      <c r="O341" s="24" t="inlineStr">
        <is>
          <t>222555835000.0</t>
        </is>
      </c>
      <c r="P341" s="24" t="inlineStr">
        <is>
          <t>KRW</t>
        </is>
      </c>
      <c r="Q341" s="24" t="inlineStr">
        <is>
          <t>33</t>
        </is>
      </c>
    </row>
    <row r="342" ht="24" customHeight="1">
      <c r="A342" s="29" t="inlineStr">
        <is>
          <t>OpenDART_fnlttSinglAcntAll</t>
        </is>
      </c>
      <c r="B342" s="29" t="inlineStr">
        <is>
          <t>00160843</t>
        </is>
      </c>
      <c r="C342" s="29" t="inlineStr">
        <is>
          <t>DB하이텍</t>
        </is>
      </c>
      <c r="D342" s="29" t="inlineStr">
        <is>
          <t>dbhitek</t>
        </is>
      </c>
      <c r="E342" s="29" t="inlineStr">
        <is>
          <t>000990</t>
        </is>
      </c>
      <c r="F342" s="29" t="inlineStr">
        <is>
          <t>2023</t>
        </is>
      </c>
      <c r="G342" s="29" t="inlineStr">
        <is>
          <t>CFS</t>
        </is>
      </c>
      <c r="H342" s="29" t="inlineStr">
        <is>
          <t>BS</t>
        </is>
      </c>
      <c r="I342" s="29" t="inlineStr">
        <is>
          <t>재무상태표</t>
        </is>
      </c>
      <c r="J342" s="29" t="inlineStr">
        <is>
          <t>ifrs-full_RetainedEarnings</t>
        </is>
      </c>
      <c r="K342" s="29" t="inlineStr">
        <is>
          <t>이익잉여금(결손금)</t>
        </is>
      </c>
      <c r="L342" s="29" t="inlineStr">
        <is>
          <t>-</t>
        </is>
      </c>
      <c r="M342" s="29" t="inlineStr">
        <is>
          <t>제 71 기</t>
        </is>
      </c>
      <c r="N342" s="29" t="inlineStr">
        <is>
          <t>1563260865279.0</t>
        </is>
      </c>
      <c r="O342" s="29" t="inlineStr">
        <is>
          <t>1362360581571.0</t>
        </is>
      </c>
      <c r="P342" s="29" t="inlineStr">
        <is>
          <t>KRW</t>
        </is>
      </c>
      <c r="Q342" s="29" t="inlineStr">
        <is>
          <t>34</t>
        </is>
      </c>
    </row>
    <row r="343" ht="24" customHeight="1">
      <c r="A343" s="24" t="inlineStr">
        <is>
          <t>OpenDART_fnlttSinglAcntAll</t>
        </is>
      </c>
      <c r="B343" s="24" t="inlineStr">
        <is>
          <t>00160843</t>
        </is>
      </c>
      <c r="C343" s="24" t="inlineStr">
        <is>
          <t>DB하이텍</t>
        </is>
      </c>
      <c r="D343" s="24" t="inlineStr">
        <is>
          <t>dbhitek</t>
        </is>
      </c>
      <c r="E343" s="24" t="inlineStr">
        <is>
          <t>000990</t>
        </is>
      </c>
      <c r="F343" s="24" t="inlineStr">
        <is>
          <t>2023</t>
        </is>
      </c>
      <c r="G343" s="24" t="inlineStr">
        <is>
          <t>CFS</t>
        </is>
      </c>
      <c r="H343" s="24" t="inlineStr">
        <is>
          <t>BS</t>
        </is>
      </c>
      <c r="I343" s="24" t="inlineStr">
        <is>
          <t>재무상태표</t>
        </is>
      </c>
      <c r="J343" s="24" t="inlineStr">
        <is>
          <t>ifrs-full_SharePremium</t>
        </is>
      </c>
      <c r="K343" s="24" t="inlineStr">
        <is>
          <t>주식발행초과금</t>
        </is>
      </c>
      <c r="L343" s="24" t="inlineStr">
        <is>
          <t>-</t>
        </is>
      </c>
      <c r="M343" s="24" t="inlineStr">
        <is>
          <t>제 71 기</t>
        </is>
      </c>
      <c r="N343" s="24" t="inlineStr">
        <is>
          <t>127328276294.0</t>
        </is>
      </c>
      <c r="O343" s="24" t="inlineStr">
        <is>
          <t>127328276294.0</t>
        </is>
      </c>
      <c r="P343" s="24" t="inlineStr">
        <is>
          <t>KRW</t>
        </is>
      </c>
      <c r="Q343" s="24" t="inlineStr">
        <is>
          <t>35</t>
        </is>
      </c>
    </row>
    <row r="344" ht="24" customHeight="1">
      <c r="A344" s="29" t="inlineStr">
        <is>
          <t>OpenDART_fnlttSinglAcntAll</t>
        </is>
      </c>
      <c r="B344" s="29" t="inlineStr">
        <is>
          <t>00160843</t>
        </is>
      </c>
      <c r="C344" s="29" t="inlineStr">
        <is>
          <t>DB하이텍</t>
        </is>
      </c>
      <c r="D344" s="29" t="inlineStr">
        <is>
          <t>dbhitek</t>
        </is>
      </c>
      <c r="E344" s="29" t="inlineStr">
        <is>
          <t>000990</t>
        </is>
      </c>
      <c r="F344" s="29" t="inlineStr">
        <is>
          <t>2023</t>
        </is>
      </c>
      <c r="G344" s="29" t="inlineStr">
        <is>
          <t>CFS</t>
        </is>
      </c>
      <c r="H344" s="29" t="inlineStr">
        <is>
          <t>BS</t>
        </is>
      </c>
      <c r="I344" s="29" t="inlineStr">
        <is>
          <t>재무상태표</t>
        </is>
      </c>
      <c r="J344" s="29" t="inlineStr">
        <is>
          <t>ifrs-full_NoncontrollingInterests</t>
        </is>
      </c>
      <c r="K344" s="29" t="inlineStr">
        <is>
          <t>비지배지분</t>
        </is>
      </c>
      <c r="L344" s="29" t="inlineStr">
        <is>
          <t>-</t>
        </is>
      </c>
      <c r="M344" s="29" t="inlineStr">
        <is>
          <t>제 71 기</t>
        </is>
      </c>
      <c r="N344" s="29" t="inlineStr">
        <is>
          <t>0.0</t>
        </is>
      </c>
      <c r="O344" s="29" t="inlineStr">
        <is>
          <t>0.0</t>
        </is>
      </c>
      <c r="P344" s="29" t="inlineStr">
        <is>
          <t>KRW</t>
        </is>
      </c>
      <c r="Q344" s="29" t="inlineStr">
        <is>
          <t>36</t>
        </is>
      </c>
    </row>
    <row r="345" ht="24" customHeight="1">
      <c r="A345" s="24" t="inlineStr">
        <is>
          <t>OpenDART_fnlttSinglAcntAll</t>
        </is>
      </c>
      <c r="B345" s="24" t="inlineStr">
        <is>
          <t>00160843</t>
        </is>
      </c>
      <c r="C345" s="24" t="inlineStr">
        <is>
          <t>DB하이텍</t>
        </is>
      </c>
      <c r="D345" s="24" t="inlineStr">
        <is>
          <t>dbhitek</t>
        </is>
      </c>
      <c r="E345" s="24" t="inlineStr">
        <is>
          <t>000990</t>
        </is>
      </c>
      <c r="F345" s="24" t="inlineStr">
        <is>
          <t>2023</t>
        </is>
      </c>
      <c r="G345" s="24" t="inlineStr">
        <is>
          <t>CFS</t>
        </is>
      </c>
      <c r="H345" s="24" t="inlineStr">
        <is>
          <t>BS</t>
        </is>
      </c>
      <c r="I345" s="24" t="inlineStr">
        <is>
          <t>재무상태표</t>
        </is>
      </c>
      <c r="J345" s="24" t="inlineStr">
        <is>
          <t>ifrs-full_EquityAndLiabilities</t>
        </is>
      </c>
      <c r="K345" s="24" t="inlineStr">
        <is>
          <t>자본과부채총계</t>
        </is>
      </c>
      <c r="L345" s="24" t="inlineStr">
        <is>
          <t>-</t>
        </is>
      </c>
      <c r="M345" s="24" t="inlineStr">
        <is>
          <t>제 71 기</t>
        </is>
      </c>
      <c r="N345" s="24" t="inlineStr">
        <is>
          <t>2043378694132.0</t>
        </is>
      </c>
      <c r="O345" s="24" t="inlineStr">
        <is>
          <t>2142165862418.0</t>
        </is>
      </c>
      <c r="P345" s="24" t="inlineStr">
        <is>
          <t>KRW</t>
        </is>
      </c>
      <c r="Q345" s="24" t="inlineStr">
        <is>
          <t>37</t>
        </is>
      </c>
    </row>
    <row r="346" ht="24" customHeight="1">
      <c r="A346" s="29" t="inlineStr">
        <is>
          <t>OpenDART_fnlttSinglAcntAll</t>
        </is>
      </c>
      <c r="B346" s="29" t="inlineStr">
        <is>
          <t>00160843</t>
        </is>
      </c>
      <c r="C346" s="29" t="inlineStr">
        <is>
          <t>DB하이텍</t>
        </is>
      </c>
      <c r="D346" s="29" t="inlineStr">
        <is>
          <t>dbhitek</t>
        </is>
      </c>
      <c r="E346" s="29" t="inlineStr">
        <is>
          <t>000990</t>
        </is>
      </c>
      <c r="F346" s="29" t="inlineStr">
        <is>
          <t>2023</t>
        </is>
      </c>
      <c r="G346" s="29" t="inlineStr">
        <is>
          <t>CFS</t>
        </is>
      </c>
      <c r="H346" s="29" t="inlineStr">
        <is>
          <t>BS</t>
        </is>
      </c>
      <c r="I346" s="29" t="inlineStr">
        <is>
          <t>재무상태표</t>
        </is>
      </c>
      <c r="J346" s="29" t="inlineStr">
        <is>
          <t>ifrs-full_CurrentLiabilities</t>
        </is>
      </c>
      <c r="K346" s="29" t="inlineStr">
        <is>
          <t>유동부채</t>
        </is>
      </c>
      <c r="L346" s="29" t="inlineStr">
        <is>
          <t>-</t>
        </is>
      </c>
      <c r="M346" s="29" t="inlineStr">
        <is>
          <t>제 71 기</t>
        </is>
      </c>
      <c r="N346" s="29" t="inlineStr">
        <is>
          <t>220150412233.0</t>
        </is>
      </c>
      <c r="O346" s="29" t="inlineStr">
        <is>
          <t>416099502332.0</t>
        </is>
      </c>
      <c r="P346" s="29" t="inlineStr">
        <is>
          <t>KRW</t>
        </is>
      </c>
      <c r="Q346" s="29" t="inlineStr">
        <is>
          <t>39</t>
        </is>
      </c>
    </row>
    <row r="347" ht="24" customHeight="1">
      <c r="A347" s="24" t="inlineStr">
        <is>
          <t>OpenDART_fnlttSinglAcntAll</t>
        </is>
      </c>
      <c r="B347" s="24" t="inlineStr">
        <is>
          <t>00160843</t>
        </is>
      </c>
      <c r="C347" s="24" t="inlineStr">
        <is>
          <t>DB하이텍</t>
        </is>
      </c>
      <c r="D347" s="24" t="inlineStr">
        <is>
          <t>dbhitek</t>
        </is>
      </c>
      <c r="E347" s="24" t="inlineStr">
        <is>
          <t>000990</t>
        </is>
      </c>
      <c r="F347" s="24" t="inlineStr">
        <is>
          <t>2023</t>
        </is>
      </c>
      <c r="G347" s="24" t="inlineStr">
        <is>
          <t>CFS</t>
        </is>
      </c>
      <c r="H347" s="24" t="inlineStr">
        <is>
          <t>BS</t>
        </is>
      </c>
      <c r="I347" s="24" t="inlineStr">
        <is>
          <t>재무상태표</t>
        </is>
      </c>
      <c r="J347" s="24" t="inlineStr">
        <is>
          <t>dart_ShortTermTradePayables</t>
        </is>
      </c>
      <c r="K347" s="24" t="inlineStr">
        <is>
          <t>단기매입채무</t>
        </is>
      </c>
      <c r="L347" s="24" t="inlineStr">
        <is>
          <t>-</t>
        </is>
      </c>
      <c r="M347" s="24" t="inlineStr">
        <is>
          <t>제 71 기</t>
        </is>
      </c>
      <c r="N347" s="24" t="inlineStr">
        <is>
          <t>50101343507.0</t>
        </is>
      </c>
      <c r="O347" s="24" t="inlineStr">
        <is>
          <t>48542142617.0</t>
        </is>
      </c>
      <c r="P347" s="24" t="inlineStr">
        <is>
          <t>KRW</t>
        </is>
      </c>
      <c r="Q347" s="24" t="inlineStr">
        <is>
          <t>40</t>
        </is>
      </c>
    </row>
    <row r="348" ht="24" customHeight="1">
      <c r="A348" s="29" t="inlineStr">
        <is>
          <t>OpenDART_fnlttSinglAcntAll</t>
        </is>
      </c>
      <c r="B348" s="29" t="inlineStr">
        <is>
          <t>00160843</t>
        </is>
      </c>
      <c r="C348" s="29" t="inlineStr">
        <is>
          <t>DB하이텍</t>
        </is>
      </c>
      <c r="D348" s="29" t="inlineStr">
        <is>
          <t>dbhitek</t>
        </is>
      </c>
      <c r="E348" s="29" t="inlineStr">
        <is>
          <t>000990</t>
        </is>
      </c>
      <c r="F348" s="29" t="inlineStr">
        <is>
          <t>2023</t>
        </is>
      </c>
      <c r="G348" s="29" t="inlineStr">
        <is>
          <t>CFS</t>
        </is>
      </c>
      <c r="H348" s="29" t="inlineStr">
        <is>
          <t>BS</t>
        </is>
      </c>
      <c r="I348" s="29" t="inlineStr">
        <is>
          <t>재무상태표</t>
        </is>
      </c>
      <c r="J348" s="29" t="inlineStr">
        <is>
          <t>-표준계정코드 미사용-</t>
        </is>
      </c>
      <c r="K348" s="29" t="inlineStr">
        <is>
          <t>기타지급채무</t>
        </is>
      </c>
      <c r="L348" s="29" t="inlineStr">
        <is>
          <t>-</t>
        </is>
      </c>
      <c r="M348" s="29" t="inlineStr">
        <is>
          <t>제 71 기</t>
        </is>
      </c>
      <c r="N348" s="29" t="inlineStr">
        <is>
          <t>83750639303.0</t>
        </is>
      </c>
      <c r="O348" s="29" t="inlineStr">
        <is>
          <t>125069432878.0</t>
        </is>
      </c>
      <c r="P348" s="29" t="inlineStr">
        <is>
          <t>KRW</t>
        </is>
      </c>
      <c r="Q348" s="29" t="inlineStr">
        <is>
          <t>41</t>
        </is>
      </c>
    </row>
    <row r="349" ht="24" customHeight="1">
      <c r="A349" s="24" t="inlineStr">
        <is>
          <t>OpenDART_fnlttSinglAcntAll</t>
        </is>
      </c>
      <c r="B349" s="24" t="inlineStr">
        <is>
          <t>00160843</t>
        </is>
      </c>
      <c r="C349" s="24" t="inlineStr">
        <is>
          <t>DB하이텍</t>
        </is>
      </c>
      <c r="D349" s="24" t="inlineStr">
        <is>
          <t>dbhitek</t>
        </is>
      </c>
      <c r="E349" s="24" t="inlineStr">
        <is>
          <t>000990</t>
        </is>
      </c>
      <c r="F349" s="24" t="inlineStr">
        <is>
          <t>2023</t>
        </is>
      </c>
      <c r="G349" s="24" t="inlineStr">
        <is>
          <t>CFS</t>
        </is>
      </c>
      <c r="H349" s="24" t="inlineStr">
        <is>
          <t>BS</t>
        </is>
      </c>
      <c r="I349" s="24" t="inlineStr">
        <is>
          <t>재무상태표</t>
        </is>
      </c>
      <c r="J349" s="24" t="inlineStr">
        <is>
          <t>ifrs-full_CurrentPortionOfLongtermBorrowings</t>
        </is>
      </c>
      <c r="K349" s="24" t="inlineStr">
        <is>
          <t>유동성장기차입금</t>
        </is>
      </c>
      <c r="L349" s="24" t="inlineStr">
        <is>
          <t>-</t>
        </is>
      </c>
      <c r="M349" s="24" t="inlineStr">
        <is>
          <t>제 71 기</t>
        </is>
      </c>
      <c r="N349" s="24" t="inlineStr">
        <is>
          <t>21666640000.0</t>
        </is>
      </c>
      <c r="O349" s="24" t="inlineStr">
        <is>
          <t>27999960000.0</t>
        </is>
      </c>
      <c r="P349" s="24" t="inlineStr">
        <is>
          <t>KRW</t>
        </is>
      </c>
      <c r="Q349" s="24" t="inlineStr">
        <is>
          <t>42</t>
        </is>
      </c>
    </row>
    <row r="350" ht="24" customHeight="1">
      <c r="A350" s="29" t="inlineStr">
        <is>
          <t>OpenDART_fnlttSinglAcntAll</t>
        </is>
      </c>
      <c r="B350" s="29" t="inlineStr">
        <is>
          <t>00160843</t>
        </is>
      </c>
      <c r="C350" s="29" t="inlineStr">
        <is>
          <t>DB하이텍</t>
        </is>
      </c>
      <c r="D350" s="29" t="inlineStr">
        <is>
          <t>dbhitek</t>
        </is>
      </c>
      <c r="E350" s="29" t="inlineStr">
        <is>
          <t>000990</t>
        </is>
      </c>
      <c r="F350" s="29" t="inlineStr">
        <is>
          <t>2023</t>
        </is>
      </c>
      <c r="G350" s="29" t="inlineStr">
        <is>
          <t>CFS</t>
        </is>
      </c>
      <c r="H350" s="29" t="inlineStr">
        <is>
          <t>BS</t>
        </is>
      </c>
      <c r="I350" s="29" t="inlineStr">
        <is>
          <t>재무상태표</t>
        </is>
      </c>
      <c r="J350" s="29" t="inlineStr">
        <is>
          <t>ifrs-full_CurrentProvisions</t>
        </is>
      </c>
      <c r="K350" s="29" t="inlineStr">
        <is>
          <t>충당부채</t>
        </is>
      </c>
      <c r="L350" s="29" t="inlineStr">
        <is>
          <t>-</t>
        </is>
      </c>
      <c r="M350" s="29" t="inlineStr">
        <is>
          <t>제 71 기</t>
        </is>
      </c>
      <c r="N350" s="29" t="inlineStr">
        <is>
          <t>6125968499.0</t>
        </is>
      </c>
      <c r="O350" s="29" t="inlineStr">
        <is>
          <t>1856680814.0</t>
        </is>
      </c>
      <c r="P350" s="29" t="inlineStr">
        <is>
          <t>KRW</t>
        </is>
      </c>
      <c r="Q350" s="29" t="inlineStr">
        <is>
          <t>43</t>
        </is>
      </c>
    </row>
    <row r="351" ht="24" customHeight="1">
      <c r="A351" s="24" t="inlineStr">
        <is>
          <t>OpenDART_fnlttSinglAcntAll</t>
        </is>
      </c>
      <c r="B351" s="24" t="inlineStr">
        <is>
          <t>00160843</t>
        </is>
      </c>
      <c r="C351" s="24" t="inlineStr">
        <is>
          <t>DB하이텍</t>
        </is>
      </c>
      <c r="D351" s="24" t="inlineStr">
        <is>
          <t>dbhitek</t>
        </is>
      </c>
      <c r="E351" s="24" t="inlineStr">
        <is>
          <t>000990</t>
        </is>
      </c>
      <c r="F351" s="24" t="inlineStr">
        <is>
          <t>2023</t>
        </is>
      </c>
      <c r="G351" s="24" t="inlineStr">
        <is>
          <t>CFS</t>
        </is>
      </c>
      <c r="H351" s="24" t="inlineStr">
        <is>
          <t>BS</t>
        </is>
      </c>
      <c r="I351" s="24" t="inlineStr">
        <is>
          <t>재무상태표</t>
        </is>
      </c>
      <c r="J351" s="24" t="inlineStr">
        <is>
          <t>ifrs-full_CurrentTaxLiabilities</t>
        </is>
      </c>
      <c r="K351" s="24" t="inlineStr">
        <is>
          <t>당기법인세부채</t>
        </is>
      </c>
      <c r="L351" s="24" t="inlineStr">
        <is>
          <t>-</t>
        </is>
      </c>
      <c r="M351" s="24" t="inlineStr">
        <is>
          <t>제 71 기</t>
        </is>
      </c>
      <c r="N351" s="24" t="inlineStr">
        <is>
          <t>7044659049.0</t>
        </is>
      </c>
      <c r="O351" s="24" t="inlineStr">
        <is>
          <t>136178951837.0</t>
        </is>
      </c>
      <c r="P351" s="24" t="inlineStr">
        <is>
          <t>KRW</t>
        </is>
      </c>
      <c r="Q351" s="24" t="inlineStr">
        <is>
          <t>44</t>
        </is>
      </c>
    </row>
    <row r="352" ht="24" customHeight="1">
      <c r="A352" s="29" t="inlineStr">
        <is>
          <t>OpenDART_fnlttSinglAcntAll</t>
        </is>
      </c>
      <c r="B352" s="29" t="inlineStr">
        <is>
          <t>00160843</t>
        </is>
      </c>
      <c r="C352" s="29" t="inlineStr">
        <is>
          <t>DB하이텍</t>
        </is>
      </c>
      <c r="D352" s="29" t="inlineStr">
        <is>
          <t>dbhitek</t>
        </is>
      </c>
      <c r="E352" s="29" t="inlineStr">
        <is>
          <t>000990</t>
        </is>
      </c>
      <c r="F352" s="29" t="inlineStr">
        <is>
          <t>2023</t>
        </is>
      </c>
      <c r="G352" s="29" t="inlineStr">
        <is>
          <t>CFS</t>
        </is>
      </c>
      <c r="H352" s="29" t="inlineStr">
        <is>
          <t>BS</t>
        </is>
      </c>
      <c r="I352" s="29" t="inlineStr">
        <is>
          <t>재무상태표</t>
        </is>
      </c>
      <c r="J352" s="29" t="inlineStr">
        <is>
          <t>ifrs-full_OtherCurrentFinancialLiabilities</t>
        </is>
      </c>
      <c r="K352" s="29" t="inlineStr">
        <is>
          <t>기타금융부채</t>
        </is>
      </c>
      <c r="L352" s="29" t="inlineStr">
        <is>
          <t>-</t>
        </is>
      </c>
      <c r="M352" s="29" t="inlineStr">
        <is>
          <t>제 71 기</t>
        </is>
      </c>
      <c r="N352" s="29" t="inlineStr">
        <is>
          <t>5822271519.0</t>
        </is>
      </c>
      <c r="O352" s="29" t="inlineStr">
        <is>
          <t>3483483199.0</t>
        </is>
      </c>
      <c r="P352" s="29" t="inlineStr">
        <is>
          <t>KRW</t>
        </is>
      </c>
      <c r="Q352" s="29" t="inlineStr">
        <is>
          <t>45</t>
        </is>
      </c>
    </row>
    <row r="353" ht="24" customHeight="1">
      <c r="A353" s="24" t="inlineStr">
        <is>
          <t>OpenDART_fnlttSinglAcntAll</t>
        </is>
      </c>
      <c r="B353" s="24" t="inlineStr">
        <is>
          <t>00160843</t>
        </is>
      </c>
      <c r="C353" s="24" t="inlineStr">
        <is>
          <t>DB하이텍</t>
        </is>
      </c>
      <c r="D353" s="24" t="inlineStr">
        <is>
          <t>dbhitek</t>
        </is>
      </c>
      <c r="E353" s="24" t="inlineStr">
        <is>
          <t>000990</t>
        </is>
      </c>
      <c r="F353" s="24" t="inlineStr">
        <is>
          <t>2023</t>
        </is>
      </c>
      <c r="G353" s="24" t="inlineStr">
        <is>
          <t>CFS</t>
        </is>
      </c>
      <c r="H353" s="24" t="inlineStr">
        <is>
          <t>BS</t>
        </is>
      </c>
      <c r="I353" s="24" t="inlineStr">
        <is>
          <t>재무상태표</t>
        </is>
      </c>
      <c r="J353" s="24" t="inlineStr">
        <is>
          <t>ifrs-full_OtherCurrentLiabilities</t>
        </is>
      </c>
      <c r="K353" s="24" t="inlineStr">
        <is>
          <t>기타 유동부채</t>
        </is>
      </c>
      <c r="L353" s="24" t="inlineStr">
        <is>
          <t>-</t>
        </is>
      </c>
      <c r="M353" s="24" t="inlineStr">
        <is>
          <t>제 71 기</t>
        </is>
      </c>
      <c r="N353" s="24" t="inlineStr">
        <is>
          <t>32515091119.0</t>
        </is>
      </c>
      <c r="O353" s="24" t="inlineStr">
        <is>
          <t>46315959168.0</t>
        </is>
      </c>
      <c r="P353" s="24" t="inlineStr">
        <is>
          <t>KRW</t>
        </is>
      </c>
      <c r="Q353" s="24" t="inlineStr">
        <is>
          <t>46</t>
        </is>
      </c>
    </row>
    <row r="354" ht="24" customHeight="1">
      <c r="A354" s="29" t="inlineStr">
        <is>
          <t>OpenDART_fnlttSinglAcntAll</t>
        </is>
      </c>
      <c r="B354" s="29" t="inlineStr">
        <is>
          <t>00160843</t>
        </is>
      </c>
      <c r="C354" s="29" t="inlineStr">
        <is>
          <t>DB하이텍</t>
        </is>
      </c>
      <c r="D354" s="29" t="inlineStr">
        <is>
          <t>dbhitek</t>
        </is>
      </c>
      <c r="E354" s="29" t="inlineStr">
        <is>
          <t>000990</t>
        </is>
      </c>
      <c r="F354" s="29" t="inlineStr">
        <is>
          <t>2023</t>
        </is>
      </c>
      <c r="G354" s="29" t="inlineStr">
        <is>
          <t>CFS</t>
        </is>
      </c>
      <c r="H354" s="29" t="inlineStr">
        <is>
          <t>BS</t>
        </is>
      </c>
      <c r="I354" s="29" t="inlineStr">
        <is>
          <t>재무상태표</t>
        </is>
      </c>
      <c r="J354" s="29" t="inlineStr">
        <is>
          <t>ifrs-full_ShorttermBorrowings</t>
        </is>
      </c>
      <c r="K354" s="29" t="inlineStr">
        <is>
          <t>단기차입금</t>
        </is>
      </c>
      <c r="L354" s="29" t="inlineStr">
        <is>
          <t>-</t>
        </is>
      </c>
      <c r="M354" s="29" t="inlineStr">
        <is>
          <t>제 71 기</t>
        </is>
      </c>
      <c r="N354" s="29" t="inlineStr">
        <is>
          <t>13123799237.0</t>
        </is>
      </c>
      <c r="O354" s="29" t="inlineStr">
        <is>
          <t>26652891819.0</t>
        </is>
      </c>
      <c r="P354" s="29" t="inlineStr">
        <is>
          <t>KRW</t>
        </is>
      </c>
      <c r="Q354" s="29" t="inlineStr">
        <is>
          <t>47</t>
        </is>
      </c>
    </row>
    <row r="355" ht="24" customHeight="1">
      <c r="A355" s="24" t="inlineStr">
        <is>
          <t>OpenDART_fnlttSinglAcntAll</t>
        </is>
      </c>
      <c r="B355" s="24" t="inlineStr">
        <is>
          <t>00160843</t>
        </is>
      </c>
      <c r="C355" s="24" t="inlineStr">
        <is>
          <t>DB하이텍</t>
        </is>
      </c>
      <c r="D355" s="24" t="inlineStr">
        <is>
          <t>dbhitek</t>
        </is>
      </c>
      <c r="E355" s="24" t="inlineStr">
        <is>
          <t>000990</t>
        </is>
      </c>
      <c r="F355" s="24" t="inlineStr">
        <is>
          <t>2023</t>
        </is>
      </c>
      <c r="G355" s="24" t="inlineStr">
        <is>
          <t>CFS</t>
        </is>
      </c>
      <c r="H355" s="24" t="inlineStr">
        <is>
          <t>BS</t>
        </is>
      </c>
      <c r="I355" s="24" t="inlineStr">
        <is>
          <t>재무상태표</t>
        </is>
      </c>
      <c r="J355" s="24" t="inlineStr">
        <is>
          <t>ifrs-full_Liabilities</t>
        </is>
      </c>
      <c r="K355" s="24" t="inlineStr">
        <is>
          <t>부채총계</t>
        </is>
      </c>
      <c r="L355" s="24" t="inlineStr">
        <is>
          <t>-</t>
        </is>
      </c>
      <c r="M355" s="24" t="inlineStr">
        <is>
          <t>제 71 기</t>
        </is>
      </c>
      <c r="N355" s="24" t="inlineStr">
        <is>
          <t>303296256385.0</t>
        </is>
      </c>
      <c r="O355" s="24" t="inlineStr">
        <is>
          <t>507381718523.0</t>
        </is>
      </c>
      <c r="P355" s="24" t="inlineStr">
        <is>
          <t>KRW</t>
        </is>
      </c>
      <c r="Q355" s="24" t="inlineStr">
        <is>
          <t>48</t>
        </is>
      </c>
    </row>
    <row r="356" ht="24" customHeight="1">
      <c r="A356" s="29" t="inlineStr">
        <is>
          <t>OpenDART_fnlttSinglAcntAll</t>
        </is>
      </c>
      <c r="B356" s="29" t="inlineStr">
        <is>
          <t>00160843</t>
        </is>
      </c>
      <c r="C356" s="29" t="inlineStr">
        <is>
          <t>DB하이텍</t>
        </is>
      </c>
      <c r="D356" s="29" t="inlineStr">
        <is>
          <t>dbhitek</t>
        </is>
      </c>
      <c r="E356" s="29" t="inlineStr">
        <is>
          <t>000990</t>
        </is>
      </c>
      <c r="F356" s="29" t="inlineStr">
        <is>
          <t>2023</t>
        </is>
      </c>
      <c r="G356" s="29" t="inlineStr">
        <is>
          <t>CFS</t>
        </is>
      </c>
      <c r="H356" s="29" t="inlineStr">
        <is>
          <t>BS</t>
        </is>
      </c>
      <c r="I356" s="29" t="inlineStr">
        <is>
          <t>재무상태표</t>
        </is>
      </c>
      <c r="J356" s="29" t="inlineStr">
        <is>
          <t>ifrs-full_NoncurrentLiabilities</t>
        </is>
      </c>
      <c r="K356" s="29" t="inlineStr">
        <is>
          <t>비유동부채</t>
        </is>
      </c>
      <c r="L356" s="29" t="inlineStr">
        <is>
          <t>-</t>
        </is>
      </c>
      <c r="M356" s="29" t="inlineStr">
        <is>
          <t>제 71 기</t>
        </is>
      </c>
      <c r="N356" s="29" t="inlineStr">
        <is>
          <t>83145844152.0</t>
        </is>
      </c>
      <c r="O356" s="29" t="inlineStr">
        <is>
          <t>91282216191.0</t>
        </is>
      </c>
      <c r="P356" s="29" t="inlineStr">
        <is>
          <t>KRW</t>
        </is>
      </c>
      <c r="Q356" s="29" t="inlineStr">
        <is>
          <t>49</t>
        </is>
      </c>
    </row>
    <row r="357" ht="24" customHeight="1">
      <c r="A357" s="24" t="inlineStr">
        <is>
          <t>OpenDART_fnlttSinglAcntAll</t>
        </is>
      </c>
      <c r="B357" s="24" t="inlineStr">
        <is>
          <t>00160843</t>
        </is>
      </c>
      <c r="C357" s="24" t="inlineStr">
        <is>
          <t>DB하이텍</t>
        </is>
      </c>
      <c r="D357" s="24" t="inlineStr">
        <is>
          <t>dbhitek</t>
        </is>
      </c>
      <c r="E357" s="24" t="inlineStr">
        <is>
          <t>000990</t>
        </is>
      </c>
      <c r="F357" s="24" t="inlineStr">
        <is>
          <t>2023</t>
        </is>
      </c>
      <c r="G357" s="24" t="inlineStr">
        <is>
          <t>CFS</t>
        </is>
      </c>
      <c r="H357" s="24" t="inlineStr">
        <is>
          <t>BS</t>
        </is>
      </c>
      <c r="I357" s="24" t="inlineStr">
        <is>
          <t>재무상태표</t>
        </is>
      </c>
      <c r="J357" s="24" t="inlineStr">
        <is>
          <t>dart_PostemploymentBenefitObligations</t>
        </is>
      </c>
      <c r="K357" s="24" t="inlineStr">
        <is>
          <t>순확정급여부채</t>
        </is>
      </c>
      <c r="L357" s="24" t="inlineStr">
        <is>
          <t>-</t>
        </is>
      </c>
      <c r="M357" s="24" t="inlineStr">
        <is>
          <t>제 71 기</t>
        </is>
      </c>
      <c r="N357" s="24" t="inlineStr">
        <is>
          <t>26367755.0</t>
        </is>
      </c>
      <c r="O357" s="24" t="inlineStr">
        <is>
          <t>0.0</t>
        </is>
      </c>
      <c r="P357" s="24" t="inlineStr">
        <is>
          <t>KRW</t>
        </is>
      </c>
      <c r="Q357" s="24" t="inlineStr">
        <is>
          <t>50</t>
        </is>
      </c>
    </row>
    <row r="358" ht="24" customHeight="1">
      <c r="A358" s="29" t="inlineStr">
        <is>
          <t>OpenDART_fnlttSinglAcntAll</t>
        </is>
      </c>
      <c r="B358" s="29" t="inlineStr">
        <is>
          <t>00160843</t>
        </is>
      </c>
      <c r="C358" s="29" t="inlineStr">
        <is>
          <t>DB하이텍</t>
        </is>
      </c>
      <c r="D358" s="29" t="inlineStr">
        <is>
          <t>dbhitek</t>
        </is>
      </c>
      <c r="E358" s="29" t="inlineStr">
        <is>
          <t>000990</t>
        </is>
      </c>
      <c r="F358" s="29" t="inlineStr">
        <is>
          <t>2023</t>
        </is>
      </c>
      <c r="G358" s="29" t="inlineStr">
        <is>
          <t>CFS</t>
        </is>
      </c>
      <c r="H358" s="29" t="inlineStr">
        <is>
          <t>BS</t>
        </is>
      </c>
      <c r="I358" s="29" t="inlineStr">
        <is>
          <t>재무상태표</t>
        </is>
      </c>
      <c r="J358" s="29" t="inlineStr">
        <is>
          <t>-표준계정코드 미사용-</t>
        </is>
      </c>
      <c r="K358" s="29" t="inlineStr">
        <is>
          <t>기타장기종업원급여부채</t>
        </is>
      </c>
      <c r="L358" s="29" t="inlineStr">
        <is>
          <t>-</t>
        </is>
      </c>
      <c r="M358" s="29" t="inlineStr">
        <is>
          <t>제 71 기</t>
        </is>
      </c>
      <c r="N358" s="29" t="inlineStr">
        <is>
          <t>4996387874.0</t>
        </is>
      </c>
      <c r="O358" s="29" t="inlineStr">
        <is>
          <t>5613309874.0</t>
        </is>
      </c>
      <c r="P358" s="29" t="inlineStr">
        <is>
          <t>KRW</t>
        </is>
      </c>
      <c r="Q358" s="29" t="inlineStr">
        <is>
          <t>51</t>
        </is>
      </c>
    </row>
    <row r="359" ht="24" customHeight="1">
      <c r="A359" s="24" t="inlineStr">
        <is>
          <t>OpenDART_fnlttSinglAcntAll</t>
        </is>
      </c>
      <c r="B359" s="24" t="inlineStr">
        <is>
          <t>00160843</t>
        </is>
      </c>
      <c r="C359" s="24" t="inlineStr">
        <is>
          <t>DB하이텍</t>
        </is>
      </c>
      <c r="D359" s="24" t="inlineStr">
        <is>
          <t>dbhitek</t>
        </is>
      </c>
      <c r="E359" s="24" t="inlineStr">
        <is>
          <t>000990</t>
        </is>
      </c>
      <c r="F359" s="24" t="inlineStr">
        <is>
          <t>2023</t>
        </is>
      </c>
      <c r="G359" s="24" t="inlineStr">
        <is>
          <t>CFS</t>
        </is>
      </c>
      <c r="H359" s="24" t="inlineStr">
        <is>
          <t>BS</t>
        </is>
      </c>
      <c r="I359" s="24" t="inlineStr">
        <is>
          <t>재무상태표</t>
        </is>
      </c>
      <c r="J359" s="24" t="inlineStr">
        <is>
          <t>-표준계정코드 미사용-</t>
        </is>
      </c>
      <c r="K359" s="24" t="inlineStr">
        <is>
          <t>장기기타지급채무</t>
        </is>
      </c>
      <c r="L359" s="24" t="inlineStr">
        <is>
          <t>-</t>
        </is>
      </c>
      <c r="M359" s="24" t="inlineStr">
        <is>
          <t>제 71 기</t>
        </is>
      </c>
      <c r="N359" s="24" t="inlineStr">
        <is>
          <t>8338537592.0</t>
        </is>
      </c>
      <c r="O359" s="24" t="inlineStr">
        <is>
          <t>8372198326.0</t>
        </is>
      </c>
      <c r="P359" s="24" t="inlineStr">
        <is>
          <t>KRW</t>
        </is>
      </c>
      <c r="Q359" s="24" t="inlineStr">
        <is>
          <t>52</t>
        </is>
      </c>
    </row>
    <row r="360" ht="24" customHeight="1">
      <c r="A360" s="29" t="inlineStr">
        <is>
          <t>OpenDART_fnlttSinglAcntAll</t>
        </is>
      </c>
      <c r="B360" s="29" t="inlineStr">
        <is>
          <t>00160843</t>
        </is>
      </c>
      <c r="C360" s="29" t="inlineStr">
        <is>
          <t>DB하이텍</t>
        </is>
      </c>
      <c r="D360" s="29" t="inlineStr">
        <is>
          <t>dbhitek</t>
        </is>
      </c>
      <c r="E360" s="29" t="inlineStr">
        <is>
          <t>000990</t>
        </is>
      </c>
      <c r="F360" s="29" t="inlineStr">
        <is>
          <t>2023</t>
        </is>
      </c>
      <c r="G360" s="29" t="inlineStr">
        <is>
          <t>CFS</t>
        </is>
      </c>
      <c r="H360" s="29" t="inlineStr">
        <is>
          <t>BS</t>
        </is>
      </c>
      <c r="I360" s="29" t="inlineStr">
        <is>
          <t>재무상태표</t>
        </is>
      </c>
      <c r="J360" s="29" t="inlineStr">
        <is>
          <t>ifrs-full_LongtermBorrowings</t>
        </is>
      </c>
      <c r="K360" s="29" t="inlineStr">
        <is>
          <t>장기차입금</t>
        </is>
      </c>
      <c r="L360" s="29" t="inlineStr">
        <is>
          <t>-</t>
        </is>
      </c>
      <c r="M360" s="29" t="inlineStr">
        <is>
          <t>제 71 기</t>
        </is>
      </c>
      <c r="N360" s="29" t="inlineStr">
        <is>
          <t>46833320000.0</t>
        </is>
      </c>
      <c r="O360" s="29" t="inlineStr">
        <is>
          <t>68499960000.0</t>
        </is>
      </c>
      <c r="P360" s="29" t="inlineStr">
        <is>
          <t>KRW</t>
        </is>
      </c>
      <c r="Q360" s="29" t="inlineStr">
        <is>
          <t>53</t>
        </is>
      </c>
    </row>
    <row r="361" ht="24" customHeight="1">
      <c r="A361" s="24" t="inlineStr">
        <is>
          <t>OpenDART_fnlttSinglAcntAll</t>
        </is>
      </c>
      <c r="B361" s="24" t="inlineStr">
        <is>
          <t>00160843</t>
        </is>
      </c>
      <c r="C361" s="24" t="inlineStr">
        <is>
          <t>DB하이텍</t>
        </is>
      </c>
      <c r="D361" s="24" t="inlineStr">
        <is>
          <t>dbhitek</t>
        </is>
      </c>
      <c r="E361" s="24" t="inlineStr">
        <is>
          <t>000990</t>
        </is>
      </c>
      <c r="F361" s="24" t="inlineStr">
        <is>
          <t>2023</t>
        </is>
      </c>
      <c r="G361" s="24" t="inlineStr">
        <is>
          <t>CFS</t>
        </is>
      </c>
      <c r="H361" s="24" t="inlineStr">
        <is>
          <t>BS</t>
        </is>
      </c>
      <c r="I361" s="24" t="inlineStr">
        <is>
          <t>재무상태표</t>
        </is>
      </c>
      <c r="J361" s="24" t="inlineStr">
        <is>
          <t>ifrs-full_NoncurrentProvisions</t>
        </is>
      </c>
      <c r="K361" s="24" t="inlineStr">
        <is>
          <t>장기충당부채</t>
        </is>
      </c>
      <c r="L361" s="24" t="inlineStr">
        <is>
          <t>-</t>
        </is>
      </c>
      <c r="M361" s="24" t="inlineStr">
        <is>
          <t>제 71 기</t>
        </is>
      </c>
      <c r="N361" s="24" t="inlineStr">
        <is>
          <t>442044463.0</t>
        </is>
      </c>
      <c r="O361" s="24" t="inlineStr">
        <is>
          <t>67769493.0</t>
        </is>
      </c>
      <c r="P361" s="24" t="inlineStr">
        <is>
          <t>KRW</t>
        </is>
      </c>
      <c r="Q361" s="24" t="inlineStr">
        <is>
          <t>54</t>
        </is>
      </c>
    </row>
    <row r="362" ht="24" customHeight="1">
      <c r="A362" s="29" t="inlineStr">
        <is>
          <t>OpenDART_fnlttSinglAcntAll</t>
        </is>
      </c>
      <c r="B362" s="29" t="inlineStr">
        <is>
          <t>00160843</t>
        </is>
      </c>
      <c r="C362" s="29" t="inlineStr">
        <is>
          <t>DB하이텍</t>
        </is>
      </c>
      <c r="D362" s="29" t="inlineStr">
        <is>
          <t>dbhitek</t>
        </is>
      </c>
      <c r="E362" s="29" t="inlineStr">
        <is>
          <t>000990</t>
        </is>
      </c>
      <c r="F362" s="29" t="inlineStr">
        <is>
          <t>2023</t>
        </is>
      </c>
      <c r="G362" s="29" t="inlineStr">
        <is>
          <t>CFS</t>
        </is>
      </c>
      <c r="H362" s="29" t="inlineStr">
        <is>
          <t>BS</t>
        </is>
      </c>
      <c r="I362" s="29" t="inlineStr">
        <is>
          <t>재무상태표</t>
        </is>
      </c>
      <c r="J362" s="29" t="inlineStr">
        <is>
          <t>ifrs-full_OtherNoncurrentFinancialLiabilities</t>
        </is>
      </c>
      <c r="K362" s="29" t="inlineStr">
        <is>
          <t>장기기타금융부채</t>
        </is>
      </c>
      <c r="L362" s="29" t="inlineStr">
        <is>
          <t>-</t>
        </is>
      </c>
      <c r="M362" s="29" t="inlineStr">
        <is>
          <t>제 71 기</t>
        </is>
      </c>
      <c r="N362" s="29" t="inlineStr">
        <is>
          <t>22509186468.0</t>
        </is>
      </c>
      <c r="O362" s="29" t="inlineStr">
        <is>
          <t>8728978498.0</t>
        </is>
      </c>
      <c r="P362" s="29" t="inlineStr">
        <is>
          <t>KRW</t>
        </is>
      </c>
      <c r="Q362" s="29" t="inlineStr">
        <is>
          <t>55</t>
        </is>
      </c>
    </row>
    <row r="363" ht="24" customHeight="1">
      <c r="A363" s="24" t="inlineStr">
        <is>
          <t>OpenDART_fnlttSinglAcntAll</t>
        </is>
      </c>
      <c r="B363" s="24" t="inlineStr">
        <is>
          <t>00160843</t>
        </is>
      </c>
      <c r="C363" s="24" t="inlineStr">
        <is>
          <t>DB하이텍</t>
        </is>
      </c>
      <c r="D363" s="24" t="inlineStr">
        <is>
          <t>dbhitek</t>
        </is>
      </c>
      <c r="E363" s="24" t="inlineStr">
        <is>
          <t>000990</t>
        </is>
      </c>
      <c r="F363" s="24" t="inlineStr">
        <is>
          <t>2023</t>
        </is>
      </c>
      <c r="G363" s="24" t="inlineStr">
        <is>
          <t>CFS</t>
        </is>
      </c>
      <c r="H363" s="24" t="inlineStr">
        <is>
          <t>IS</t>
        </is>
      </c>
      <c r="I363" s="24" t="inlineStr">
        <is>
          <t>손익계산서</t>
        </is>
      </c>
      <c r="J363" s="24" t="inlineStr">
        <is>
          <t>dart_ImpairmentLossesOnAssociates</t>
        </is>
      </c>
      <c r="K363" s="24" t="inlineStr">
        <is>
          <t>관계기업/공동기업투자손상차손</t>
        </is>
      </c>
      <c r="L363" s="24" t="inlineStr">
        <is>
          <t>-</t>
        </is>
      </c>
      <c r="M363" s="24" t="inlineStr">
        <is>
          <t>제 71 기</t>
        </is>
      </c>
      <c r="N363" s="24" t="inlineStr">
        <is>
          <t>0.0</t>
        </is>
      </c>
      <c r="O363" s="24" t="inlineStr">
        <is>
          <t>33394488724.0</t>
        </is>
      </c>
      <c r="P363" s="24" t="inlineStr">
        <is>
          <t>KRW</t>
        </is>
      </c>
      <c r="Q363" s="24" t="inlineStr">
        <is>
          <t>6</t>
        </is>
      </c>
    </row>
    <row r="364" ht="24" customHeight="1">
      <c r="A364" s="29" t="inlineStr">
        <is>
          <t>OpenDART_fnlttSinglAcntAll</t>
        </is>
      </c>
      <c r="B364" s="29" t="inlineStr">
        <is>
          <t>00160843</t>
        </is>
      </c>
      <c r="C364" s="29" t="inlineStr">
        <is>
          <t>DB하이텍</t>
        </is>
      </c>
      <c r="D364" s="29" t="inlineStr">
        <is>
          <t>dbhitek</t>
        </is>
      </c>
      <c r="E364" s="29" t="inlineStr">
        <is>
          <t>000990</t>
        </is>
      </c>
      <c r="F364" s="29" t="inlineStr">
        <is>
          <t>2023</t>
        </is>
      </c>
      <c r="G364" s="29" t="inlineStr">
        <is>
          <t>CFS</t>
        </is>
      </c>
      <c r="H364" s="29" t="inlineStr">
        <is>
          <t>IS</t>
        </is>
      </c>
      <c r="I364" s="29" t="inlineStr">
        <is>
          <t>손익계산서</t>
        </is>
      </c>
      <c r="J364" s="29" t="inlineStr">
        <is>
          <t>dart_LossesOfAssociatesAndJointVenturesAccountedForUsingEquityMethod</t>
        </is>
      </c>
      <c r="K364" s="29" t="inlineStr">
        <is>
          <t>지분법손실</t>
        </is>
      </c>
      <c r="L364" s="29" t="inlineStr">
        <is>
          <t>-</t>
        </is>
      </c>
      <c r="M364" s="29" t="inlineStr">
        <is>
          <t>제 71 기</t>
        </is>
      </c>
      <c r="N364" s="29" t="inlineStr">
        <is>
          <t>6404097647.0</t>
        </is>
      </c>
      <c r="O364" s="29" t="inlineStr">
        <is>
          <t>866644.0</t>
        </is>
      </c>
      <c r="P364" s="29" t="inlineStr">
        <is>
          <t>KRW</t>
        </is>
      </c>
      <c r="Q364" s="29" t="inlineStr">
        <is>
          <t>7</t>
        </is>
      </c>
    </row>
    <row r="365" ht="24" customHeight="1">
      <c r="A365" s="24" t="inlineStr">
        <is>
          <t>OpenDART_fnlttSinglAcntAll</t>
        </is>
      </c>
      <c r="B365" s="24" t="inlineStr">
        <is>
          <t>00160843</t>
        </is>
      </c>
      <c r="C365" s="24" t="inlineStr">
        <is>
          <t>DB하이텍</t>
        </is>
      </c>
      <c r="D365" s="24" t="inlineStr">
        <is>
          <t>dbhitek</t>
        </is>
      </c>
      <c r="E365" s="24" t="inlineStr">
        <is>
          <t>000990</t>
        </is>
      </c>
      <c r="F365" s="24" t="inlineStr">
        <is>
          <t>2023</t>
        </is>
      </c>
      <c r="G365" s="24" t="inlineStr">
        <is>
          <t>CFS</t>
        </is>
      </c>
      <c r="H365" s="24" t="inlineStr">
        <is>
          <t>IS</t>
        </is>
      </c>
      <c r="I365" s="24" t="inlineStr">
        <is>
          <t>손익계산서</t>
        </is>
      </c>
      <c r="J365" s="24" t="inlineStr">
        <is>
          <t>dart_OperatingIncomeLoss</t>
        </is>
      </c>
      <c r="K365" s="24" t="inlineStr">
        <is>
          <t>영업이익(손실)</t>
        </is>
      </c>
      <c r="L365" s="24" t="inlineStr">
        <is>
          <t>-</t>
        </is>
      </c>
      <c r="M365" s="24" t="inlineStr">
        <is>
          <t>제 71 기</t>
        </is>
      </c>
      <c r="N365" s="24" t="inlineStr">
        <is>
          <t>265437456373.0</t>
        </is>
      </c>
      <c r="O365" s="24" t="inlineStr">
        <is>
          <t>761884807377.0</t>
        </is>
      </c>
      <c r="P365" s="24" t="inlineStr">
        <is>
          <t>KRW</t>
        </is>
      </c>
      <c r="Q365" s="24" t="inlineStr">
        <is>
          <t>8</t>
        </is>
      </c>
    </row>
    <row r="366" ht="24" customHeight="1">
      <c r="A366" s="29" t="inlineStr">
        <is>
          <t>OpenDART_fnlttSinglAcntAll</t>
        </is>
      </c>
      <c r="B366" s="29" t="inlineStr">
        <is>
          <t>00160843</t>
        </is>
      </c>
      <c r="C366" s="29" t="inlineStr">
        <is>
          <t>DB하이텍</t>
        </is>
      </c>
      <c r="D366" s="29" t="inlineStr">
        <is>
          <t>dbhitek</t>
        </is>
      </c>
      <c r="E366" s="29" t="inlineStr">
        <is>
          <t>000990</t>
        </is>
      </c>
      <c r="F366" s="29" t="inlineStr">
        <is>
          <t>2023</t>
        </is>
      </c>
      <c r="G366" s="29" t="inlineStr">
        <is>
          <t>CFS</t>
        </is>
      </c>
      <c r="H366" s="29" t="inlineStr">
        <is>
          <t>IS</t>
        </is>
      </c>
      <c r="I366" s="29" t="inlineStr">
        <is>
          <t>손익계산서</t>
        </is>
      </c>
      <c r="J366" s="29" t="inlineStr">
        <is>
          <t>dart_OtherGains</t>
        </is>
      </c>
      <c r="K366" s="29" t="inlineStr">
        <is>
          <t>기타이익</t>
        </is>
      </c>
      <c r="L366" s="29" t="inlineStr">
        <is>
          <t>-</t>
        </is>
      </c>
      <c r="M366" s="29" t="inlineStr">
        <is>
          <t>제 71 기</t>
        </is>
      </c>
      <c r="N366" s="29" t="inlineStr">
        <is>
          <t>38210870129.0</t>
        </is>
      </c>
      <c r="O366" s="29" t="inlineStr">
        <is>
          <t>45041136923.0</t>
        </is>
      </c>
      <c r="P366" s="29" t="inlineStr">
        <is>
          <t>KRW</t>
        </is>
      </c>
      <c r="Q366" s="29" t="inlineStr">
        <is>
          <t>9</t>
        </is>
      </c>
    </row>
    <row r="367" ht="24" customHeight="1">
      <c r="A367" s="24" t="inlineStr">
        <is>
          <t>OpenDART_fnlttSinglAcntAll</t>
        </is>
      </c>
      <c r="B367" s="24" t="inlineStr">
        <is>
          <t>00160843</t>
        </is>
      </c>
      <c r="C367" s="24" t="inlineStr">
        <is>
          <t>DB하이텍</t>
        </is>
      </c>
      <c r="D367" s="24" t="inlineStr">
        <is>
          <t>dbhitek</t>
        </is>
      </c>
      <c r="E367" s="24" t="inlineStr">
        <is>
          <t>000990</t>
        </is>
      </c>
      <c r="F367" s="24" t="inlineStr">
        <is>
          <t>2023</t>
        </is>
      </c>
      <c r="G367" s="24" t="inlineStr">
        <is>
          <t>CFS</t>
        </is>
      </c>
      <c r="H367" s="24" t="inlineStr">
        <is>
          <t>IS</t>
        </is>
      </c>
      <c r="I367" s="24" t="inlineStr">
        <is>
          <t>손익계산서</t>
        </is>
      </c>
      <c r="J367" s="24" t="inlineStr">
        <is>
          <t>dart_OtherLosses</t>
        </is>
      </c>
      <c r="K367" s="24" t="inlineStr">
        <is>
          <t>기타손실</t>
        </is>
      </c>
      <c r="L367" s="24" t="inlineStr">
        <is>
          <t>-</t>
        </is>
      </c>
      <c r="M367" s="24" t="inlineStr">
        <is>
          <t>제 71 기</t>
        </is>
      </c>
      <c r="N367" s="24" t="inlineStr">
        <is>
          <t>24067450596.0</t>
        </is>
      </c>
      <c r="O367" s="24" t="inlineStr">
        <is>
          <t>47114684851.0</t>
        </is>
      </c>
      <c r="P367" s="24" t="inlineStr">
        <is>
          <t>KRW</t>
        </is>
      </c>
      <c r="Q367" s="24" t="inlineStr">
        <is>
          <t>10</t>
        </is>
      </c>
    </row>
    <row r="368" ht="24" customHeight="1">
      <c r="A368" s="29" t="inlineStr">
        <is>
          <t>OpenDART_fnlttSinglAcntAll</t>
        </is>
      </c>
      <c r="B368" s="29" t="inlineStr">
        <is>
          <t>00160843</t>
        </is>
      </c>
      <c r="C368" s="29" t="inlineStr">
        <is>
          <t>DB하이텍</t>
        </is>
      </c>
      <c r="D368" s="29" t="inlineStr">
        <is>
          <t>dbhitek</t>
        </is>
      </c>
      <c r="E368" s="29" t="inlineStr">
        <is>
          <t>000990</t>
        </is>
      </c>
      <c r="F368" s="29" t="inlineStr">
        <is>
          <t>2023</t>
        </is>
      </c>
      <c r="G368" s="29" t="inlineStr">
        <is>
          <t>CFS</t>
        </is>
      </c>
      <c r="H368" s="29" t="inlineStr">
        <is>
          <t>IS</t>
        </is>
      </c>
      <c r="I368" s="29" t="inlineStr">
        <is>
          <t>손익계산서</t>
        </is>
      </c>
      <c r="J368" s="29" t="inlineStr">
        <is>
          <t>dart_ProfitsOfAssociatesAndJointVenturesAccountedForUsingEquityMethod</t>
        </is>
      </c>
      <c r="K368" s="29" t="inlineStr">
        <is>
          <t>지분법이익</t>
        </is>
      </c>
      <c r="L368" s="29" t="inlineStr">
        <is>
          <t>-</t>
        </is>
      </c>
      <c r="M368" s="29" t="inlineStr">
        <is>
          <t>제 71 기</t>
        </is>
      </c>
      <c r="N368" s="29" t="inlineStr">
        <is>
          <t>0.0</t>
        </is>
      </c>
      <c r="O368" s="29" t="inlineStr">
        <is>
          <t>10434240404.0</t>
        </is>
      </c>
      <c r="P368" s="29" t="inlineStr">
        <is>
          <t>KRW</t>
        </is>
      </c>
      <c r="Q368" s="29" t="inlineStr">
        <is>
          <t>11</t>
        </is>
      </c>
    </row>
    <row r="369" ht="24" customHeight="1">
      <c r="A369" s="24" t="inlineStr">
        <is>
          <t>OpenDART_fnlttSinglAcntAll</t>
        </is>
      </c>
      <c r="B369" s="24" t="inlineStr">
        <is>
          <t>00160843</t>
        </is>
      </c>
      <c r="C369" s="24" t="inlineStr">
        <is>
          <t>DB하이텍</t>
        </is>
      </c>
      <c r="D369" s="24" t="inlineStr">
        <is>
          <t>dbhitek</t>
        </is>
      </c>
      <c r="E369" s="24" t="inlineStr">
        <is>
          <t>000990</t>
        </is>
      </c>
      <c r="F369" s="24" t="inlineStr">
        <is>
          <t>2023</t>
        </is>
      </c>
      <c r="G369" s="24" t="inlineStr">
        <is>
          <t>CFS</t>
        </is>
      </c>
      <c r="H369" s="24" t="inlineStr">
        <is>
          <t>IS</t>
        </is>
      </c>
      <c r="I369" s="24" t="inlineStr">
        <is>
          <t>손익계산서</t>
        </is>
      </c>
      <c r="J369" s="24" t="inlineStr">
        <is>
          <t>dart_ReversalsOfImpairmentLossesOnAssociates</t>
        </is>
      </c>
      <c r="K369" s="24" t="inlineStr">
        <is>
          <t>관계기업/공동기업투자손상차손환입</t>
        </is>
      </c>
      <c r="L369" s="24" t="inlineStr">
        <is>
          <t>-</t>
        </is>
      </c>
      <c r="M369" s="24" t="inlineStr">
        <is>
          <t>제 71 기</t>
        </is>
      </c>
      <c r="N369" s="24" t="inlineStr">
        <is>
          <t>0.0</t>
        </is>
      </c>
      <c r="O369" s="24" t="inlineStr">
        <is>
          <t>0.0</t>
        </is>
      </c>
      <c r="P369" s="24" t="inlineStr">
        <is>
          <t>KRW</t>
        </is>
      </c>
      <c r="Q369" s="24" t="inlineStr">
        <is>
          <t>12</t>
        </is>
      </c>
    </row>
    <row r="370" ht="24" customHeight="1">
      <c r="A370" s="29" t="inlineStr">
        <is>
          <t>OpenDART_fnlttSinglAcntAll</t>
        </is>
      </c>
      <c r="B370" s="29" t="inlineStr">
        <is>
          <t>00160843</t>
        </is>
      </c>
      <c r="C370" s="29" t="inlineStr">
        <is>
          <t>DB하이텍</t>
        </is>
      </c>
      <c r="D370" s="29" t="inlineStr">
        <is>
          <t>dbhitek</t>
        </is>
      </c>
      <c r="E370" s="29" t="inlineStr">
        <is>
          <t>000990</t>
        </is>
      </c>
      <c r="F370" s="29" t="inlineStr">
        <is>
          <t>2023</t>
        </is>
      </c>
      <c r="G370" s="29" t="inlineStr">
        <is>
          <t>CFS</t>
        </is>
      </c>
      <c r="H370" s="29" t="inlineStr">
        <is>
          <t>IS</t>
        </is>
      </c>
      <c r="I370" s="29" t="inlineStr">
        <is>
          <t>손익계산서</t>
        </is>
      </c>
      <c r="J370" s="29" t="inlineStr">
        <is>
          <t>dart_TotalSellingGeneralAdministrativeExpenses</t>
        </is>
      </c>
      <c r="K370" s="29" t="inlineStr">
        <is>
          <t>판매비와관리비</t>
        </is>
      </c>
      <c r="L370" s="29" t="inlineStr">
        <is>
          <t>-</t>
        </is>
      </c>
      <c r="M370" s="29" t="inlineStr">
        <is>
          <t>제 71 기</t>
        </is>
      </c>
      <c r="N370" s="29" t="inlineStr">
        <is>
          <t>176581726069.0</t>
        </is>
      </c>
      <c r="O370" s="29" t="inlineStr">
        <is>
          <t>165939692250.0</t>
        </is>
      </c>
      <c r="P370" s="29" t="inlineStr">
        <is>
          <t>KRW</t>
        </is>
      </c>
      <c r="Q370" s="29" t="inlineStr">
        <is>
          <t>13</t>
        </is>
      </c>
    </row>
    <row r="371" ht="24" customHeight="1">
      <c r="A371" s="24" t="inlineStr">
        <is>
          <t>OpenDART_fnlttSinglAcntAll</t>
        </is>
      </c>
      <c r="B371" s="24" t="inlineStr">
        <is>
          <t>00160843</t>
        </is>
      </c>
      <c r="C371" s="24" t="inlineStr">
        <is>
          <t>DB하이텍</t>
        </is>
      </c>
      <c r="D371" s="24" t="inlineStr">
        <is>
          <t>dbhitek</t>
        </is>
      </c>
      <c r="E371" s="24" t="inlineStr">
        <is>
          <t>000990</t>
        </is>
      </c>
      <c r="F371" s="24" t="inlineStr">
        <is>
          <t>2023</t>
        </is>
      </c>
      <c r="G371" s="24" t="inlineStr">
        <is>
          <t>CFS</t>
        </is>
      </c>
      <c r="H371" s="24" t="inlineStr">
        <is>
          <t>IS</t>
        </is>
      </c>
      <c r="I371" s="24" t="inlineStr">
        <is>
          <t>손익계산서</t>
        </is>
      </c>
      <c r="J371" s="24" t="inlineStr">
        <is>
          <t>ifrs-full_CostOfSales</t>
        </is>
      </c>
      <c r="K371" s="24" t="inlineStr">
        <is>
          <t>매출원가</t>
        </is>
      </c>
      <c r="L371" s="24" t="inlineStr">
        <is>
          <t>-</t>
        </is>
      </c>
      <c r="M371" s="24" t="inlineStr">
        <is>
          <t>제 71 기</t>
        </is>
      </c>
      <c r="N371" s="24" t="inlineStr">
        <is>
          <t>712204456498.0</t>
        </is>
      </c>
      <c r="O371" s="24" t="inlineStr">
        <is>
          <t>741652222649.0</t>
        </is>
      </c>
      <c r="P371" s="24" t="inlineStr">
        <is>
          <t>KRW</t>
        </is>
      </c>
      <c r="Q371" s="24" t="inlineStr">
        <is>
          <t>14</t>
        </is>
      </c>
    </row>
    <row r="372" ht="24" customHeight="1">
      <c r="A372" s="29" t="inlineStr">
        <is>
          <t>OpenDART_fnlttSinglAcntAll</t>
        </is>
      </c>
      <c r="B372" s="29" t="inlineStr">
        <is>
          <t>00160843</t>
        </is>
      </c>
      <c r="C372" s="29" t="inlineStr">
        <is>
          <t>DB하이텍</t>
        </is>
      </c>
      <c r="D372" s="29" t="inlineStr">
        <is>
          <t>dbhitek</t>
        </is>
      </c>
      <c r="E372" s="29" t="inlineStr">
        <is>
          <t>000990</t>
        </is>
      </c>
      <c r="F372" s="29" t="inlineStr">
        <is>
          <t>2023</t>
        </is>
      </c>
      <c r="G372" s="29" t="inlineStr">
        <is>
          <t>CFS</t>
        </is>
      </c>
      <c r="H372" s="29" t="inlineStr">
        <is>
          <t>IS</t>
        </is>
      </c>
      <c r="I372" s="29" t="inlineStr">
        <is>
          <t>손익계산서</t>
        </is>
      </c>
      <c r="J372" s="29" t="inlineStr">
        <is>
          <t>ifrs-full_BasicEarningsLossPerShare</t>
        </is>
      </c>
      <c r="K372" s="29" t="inlineStr">
        <is>
          <t>기본주당이익(손실)</t>
        </is>
      </c>
      <c r="L372" s="29" t="inlineStr">
        <is>
          <t>-</t>
        </is>
      </c>
      <c r="M372" s="29" t="inlineStr">
        <is>
          <t>제 71 기</t>
        </is>
      </c>
      <c r="N372" s="29" t="inlineStr">
        <is>
          <t>6241.0</t>
        </is>
      </c>
      <c r="O372" s="29" t="inlineStr">
        <is>
          <t>12798.0</t>
        </is>
      </c>
      <c r="P372" s="29" t="inlineStr">
        <is>
          <t>KRW</t>
        </is>
      </c>
      <c r="Q372" s="29" t="inlineStr">
        <is>
          <t>16</t>
        </is>
      </c>
    </row>
    <row r="373" ht="24" customHeight="1">
      <c r="A373" s="24" t="inlineStr">
        <is>
          <t>OpenDART_fnlttSinglAcntAll</t>
        </is>
      </c>
      <c r="B373" s="24" t="inlineStr">
        <is>
          <t>00160843</t>
        </is>
      </c>
      <c r="C373" s="24" t="inlineStr">
        <is>
          <t>DB하이텍</t>
        </is>
      </c>
      <c r="D373" s="24" t="inlineStr">
        <is>
          <t>dbhitek</t>
        </is>
      </c>
      <c r="E373" s="24" t="inlineStr">
        <is>
          <t>000990</t>
        </is>
      </c>
      <c r="F373" s="24" t="inlineStr">
        <is>
          <t>2023</t>
        </is>
      </c>
      <c r="G373" s="24" t="inlineStr">
        <is>
          <t>CFS</t>
        </is>
      </c>
      <c r="H373" s="24" t="inlineStr">
        <is>
          <t>IS</t>
        </is>
      </c>
      <c r="I373" s="24" t="inlineStr">
        <is>
          <t>손익계산서</t>
        </is>
      </c>
      <c r="J373" s="24" t="inlineStr">
        <is>
          <t>ifrs-full_DilutedEarningsLossPerShare</t>
        </is>
      </c>
      <c r="K373" s="24" t="inlineStr">
        <is>
          <t>희석주당이익(손실)</t>
        </is>
      </c>
      <c r="L373" s="24" t="inlineStr">
        <is>
          <t>-</t>
        </is>
      </c>
      <c r="M373" s="24" t="inlineStr">
        <is>
          <t>제 71 기</t>
        </is>
      </c>
      <c r="N373" s="24" t="inlineStr">
        <is>
          <t>6241.0</t>
        </is>
      </c>
      <c r="O373" s="24" t="inlineStr">
        <is>
          <t>12798.0</t>
        </is>
      </c>
      <c r="P373" s="24" t="inlineStr">
        <is>
          <t>KRW</t>
        </is>
      </c>
      <c r="Q373" s="24" t="inlineStr">
        <is>
          <t>17</t>
        </is>
      </c>
    </row>
    <row r="374" ht="24" customHeight="1">
      <c r="A374" s="29" t="inlineStr">
        <is>
          <t>OpenDART_fnlttSinglAcntAll</t>
        </is>
      </c>
      <c r="B374" s="29" t="inlineStr">
        <is>
          <t>00160843</t>
        </is>
      </c>
      <c r="C374" s="29" t="inlineStr">
        <is>
          <t>DB하이텍</t>
        </is>
      </c>
      <c r="D374" s="29" t="inlineStr">
        <is>
          <t>dbhitek</t>
        </is>
      </c>
      <c r="E374" s="29" t="inlineStr">
        <is>
          <t>000990</t>
        </is>
      </c>
      <c r="F374" s="29" t="inlineStr">
        <is>
          <t>2023</t>
        </is>
      </c>
      <c r="G374" s="29" t="inlineStr">
        <is>
          <t>CFS</t>
        </is>
      </c>
      <c r="H374" s="29" t="inlineStr">
        <is>
          <t>IS</t>
        </is>
      </c>
      <c r="I374" s="29" t="inlineStr">
        <is>
          <t>손익계산서</t>
        </is>
      </c>
      <c r="J374" s="29" t="inlineStr">
        <is>
          <t>ifrs-full_FinanceCosts</t>
        </is>
      </c>
      <c r="K374" s="29" t="inlineStr">
        <is>
          <t>금융원가</t>
        </is>
      </c>
      <c r="L374" s="29" t="inlineStr">
        <is>
          <t>-</t>
        </is>
      </c>
      <c r="M374" s="29" t="inlineStr">
        <is>
          <t>제 71 기</t>
        </is>
      </c>
      <c r="N374" s="29" t="inlineStr">
        <is>
          <t>10636467274.0</t>
        </is>
      </c>
      <c r="O374" s="29" t="inlineStr">
        <is>
          <t>19338490603.0</t>
        </is>
      </c>
      <c r="P374" s="29" t="inlineStr">
        <is>
          <t>KRW</t>
        </is>
      </c>
      <c r="Q374" s="29" t="inlineStr">
        <is>
          <t>18</t>
        </is>
      </c>
    </row>
    <row r="375" ht="24" customHeight="1">
      <c r="A375" s="24" t="inlineStr">
        <is>
          <t>OpenDART_fnlttSinglAcntAll</t>
        </is>
      </c>
      <c r="B375" s="24" t="inlineStr">
        <is>
          <t>00160843</t>
        </is>
      </c>
      <c r="C375" s="24" t="inlineStr">
        <is>
          <t>DB하이텍</t>
        </is>
      </c>
      <c r="D375" s="24" t="inlineStr">
        <is>
          <t>dbhitek</t>
        </is>
      </c>
      <c r="E375" s="24" t="inlineStr">
        <is>
          <t>000990</t>
        </is>
      </c>
      <c r="F375" s="24" t="inlineStr">
        <is>
          <t>2023</t>
        </is>
      </c>
      <c r="G375" s="24" t="inlineStr">
        <is>
          <t>CFS</t>
        </is>
      </c>
      <c r="H375" s="24" t="inlineStr">
        <is>
          <t>IS</t>
        </is>
      </c>
      <c r="I375" s="24" t="inlineStr">
        <is>
          <t>손익계산서</t>
        </is>
      </c>
      <c r="J375" s="24" t="inlineStr">
        <is>
          <t>ifrs-full_FinanceIncome</t>
        </is>
      </c>
      <c r="K375" s="24" t="inlineStr">
        <is>
          <t>금융수익</t>
        </is>
      </c>
      <c r="L375" s="24" t="inlineStr">
        <is>
          <t>-</t>
        </is>
      </c>
      <c r="M375" s="24" t="inlineStr">
        <is>
          <t>제 71 기</t>
        </is>
      </c>
      <c r="N375" s="24" t="inlineStr">
        <is>
          <t>43359948391.0</t>
        </is>
      </c>
      <c r="O375" s="24" t="inlineStr">
        <is>
          <t>25117720362.0</t>
        </is>
      </c>
      <c r="P375" s="24" t="inlineStr">
        <is>
          <t>KRW</t>
        </is>
      </c>
      <c r="Q375" s="24" t="inlineStr">
        <is>
          <t>19</t>
        </is>
      </c>
    </row>
    <row r="376" ht="24" customHeight="1">
      <c r="A376" s="29" t="inlineStr">
        <is>
          <t>OpenDART_fnlttSinglAcntAll</t>
        </is>
      </c>
      <c r="B376" s="29" t="inlineStr">
        <is>
          <t>00160843</t>
        </is>
      </c>
      <c r="C376" s="29" t="inlineStr">
        <is>
          <t>DB하이텍</t>
        </is>
      </c>
      <c r="D376" s="29" t="inlineStr">
        <is>
          <t>dbhitek</t>
        </is>
      </c>
      <c r="E376" s="29" t="inlineStr">
        <is>
          <t>000990</t>
        </is>
      </c>
      <c r="F376" s="29" t="inlineStr">
        <is>
          <t>2023</t>
        </is>
      </c>
      <c r="G376" s="29" t="inlineStr">
        <is>
          <t>CFS</t>
        </is>
      </c>
      <c r="H376" s="29" t="inlineStr">
        <is>
          <t>IS</t>
        </is>
      </c>
      <c r="I376" s="29" t="inlineStr">
        <is>
          <t>손익계산서</t>
        </is>
      </c>
      <c r="J376" s="29" t="inlineStr">
        <is>
          <t>ifrs-full_GrossProfit</t>
        </is>
      </c>
      <c r="K376" s="29" t="inlineStr">
        <is>
          <t>매출총이익</t>
        </is>
      </c>
      <c r="L376" s="29" t="inlineStr">
        <is>
          <t>-</t>
        </is>
      </c>
      <c r="M376" s="29" t="inlineStr">
        <is>
          <t>제 71 기</t>
        </is>
      </c>
      <c r="N376" s="29" t="inlineStr">
        <is>
          <t>442019182442.0</t>
        </is>
      </c>
      <c r="O376" s="29" t="inlineStr">
        <is>
          <t>927824499627.0</t>
        </is>
      </c>
      <c r="P376" s="29" t="inlineStr">
        <is>
          <t>KRW</t>
        </is>
      </c>
      <c r="Q376" s="29" t="inlineStr">
        <is>
          <t>20</t>
        </is>
      </c>
    </row>
    <row r="377" ht="24" customHeight="1">
      <c r="A377" s="24" t="inlineStr">
        <is>
          <t>OpenDART_fnlttSinglAcntAll</t>
        </is>
      </c>
      <c r="B377" s="24" t="inlineStr">
        <is>
          <t>00160843</t>
        </is>
      </c>
      <c r="C377" s="24" t="inlineStr">
        <is>
          <t>DB하이텍</t>
        </is>
      </c>
      <c r="D377" s="24" t="inlineStr">
        <is>
          <t>dbhitek</t>
        </is>
      </c>
      <c r="E377" s="24" t="inlineStr">
        <is>
          <t>000990</t>
        </is>
      </c>
      <c r="F377" s="24" t="inlineStr">
        <is>
          <t>2023</t>
        </is>
      </c>
      <c r="G377" s="24" t="inlineStr">
        <is>
          <t>CFS</t>
        </is>
      </c>
      <c r="H377" s="24" t="inlineStr">
        <is>
          <t>IS</t>
        </is>
      </c>
      <c r="I377" s="24" t="inlineStr">
        <is>
          <t>손익계산서</t>
        </is>
      </c>
      <c r="J377" s="24" t="inlineStr">
        <is>
          <t>ifrs-full_IncomeTaxExpenseContinuingOperations</t>
        </is>
      </c>
      <c r="K377" s="24" t="inlineStr">
        <is>
          <t>법인세비용(수익)</t>
        </is>
      </c>
      <c r="L377" s="24" t="inlineStr">
        <is>
          <t>-</t>
        </is>
      </c>
      <c r="M377" s="24" t="inlineStr">
        <is>
          <t>제 71 기</t>
        </is>
      </c>
      <c r="N377" s="24" t="inlineStr">
        <is>
          <t>41751008397.0</t>
        </is>
      </c>
      <c r="O377" s="24" t="inlineStr">
        <is>
          <t>186402278310.0</t>
        </is>
      </c>
      <c r="P377" s="24" t="inlineStr">
        <is>
          <t>KRW</t>
        </is>
      </c>
      <c r="Q377" s="24" t="inlineStr">
        <is>
          <t>21</t>
        </is>
      </c>
    </row>
    <row r="378" ht="24" customHeight="1">
      <c r="A378" s="29" t="inlineStr">
        <is>
          <t>OpenDART_fnlttSinglAcntAll</t>
        </is>
      </c>
      <c r="B378" s="29" t="inlineStr">
        <is>
          <t>00160843</t>
        </is>
      </c>
      <c r="C378" s="29" t="inlineStr">
        <is>
          <t>DB하이텍</t>
        </is>
      </c>
      <c r="D378" s="29" t="inlineStr">
        <is>
          <t>dbhitek</t>
        </is>
      </c>
      <c r="E378" s="29" t="inlineStr">
        <is>
          <t>000990</t>
        </is>
      </c>
      <c r="F378" s="29" t="inlineStr">
        <is>
          <t>2023</t>
        </is>
      </c>
      <c r="G378" s="29" t="inlineStr">
        <is>
          <t>CFS</t>
        </is>
      </c>
      <c r="H378" s="29" t="inlineStr">
        <is>
          <t>IS</t>
        </is>
      </c>
      <c r="I378" s="29" t="inlineStr">
        <is>
          <t>손익계산서</t>
        </is>
      </c>
      <c r="J378" s="29" t="inlineStr">
        <is>
          <t>ifrs-full_ProfitLoss</t>
        </is>
      </c>
      <c r="K378" s="29" t="inlineStr">
        <is>
          <t>당기순이익(손실)</t>
        </is>
      </c>
      <c r="L378" s="29" t="inlineStr">
        <is>
          <t>-</t>
        </is>
      </c>
      <c r="M378" s="29" t="inlineStr">
        <is>
          <t>제 71 기</t>
        </is>
      </c>
      <c r="N378" s="29" t="inlineStr">
        <is>
          <t>264149250979.0</t>
        </is>
      </c>
      <c r="O378" s="29" t="inlineStr">
        <is>
          <t>556227095934.0</t>
        </is>
      </c>
      <c r="P378" s="29" t="inlineStr">
        <is>
          <t>KRW</t>
        </is>
      </c>
      <c r="Q378" s="29" t="inlineStr">
        <is>
          <t>22</t>
        </is>
      </c>
    </row>
    <row r="379" ht="24" customHeight="1">
      <c r="A379" s="24" t="inlineStr">
        <is>
          <t>OpenDART_fnlttSinglAcntAll</t>
        </is>
      </c>
      <c r="B379" s="24" t="inlineStr">
        <is>
          <t>00160843</t>
        </is>
      </c>
      <c r="C379" s="24" t="inlineStr">
        <is>
          <t>DB하이텍</t>
        </is>
      </c>
      <c r="D379" s="24" t="inlineStr">
        <is>
          <t>dbhitek</t>
        </is>
      </c>
      <c r="E379" s="24" t="inlineStr">
        <is>
          <t>000990</t>
        </is>
      </c>
      <c r="F379" s="24" t="inlineStr">
        <is>
          <t>2023</t>
        </is>
      </c>
      <c r="G379" s="24" t="inlineStr">
        <is>
          <t>CFS</t>
        </is>
      </c>
      <c r="H379" s="24" t="inlineStr">
        <is>
          <t>IS</t>
        </is>
      </c>
      <c r="I379" s="24" t="inlineStr">
        <is>
          <t>손익계산서</t>
        </is>
      </c>
      <c r="J379" s="24" t="inlineStr">
        <is>
          <t>ifrs-full_ProfitLossAttributableToNoncontrollingInterests</t>
        </is>
      </c>
      <c r="K379" s="24" t="inlineStr">
        <is>
          <t>비지배지분에 귀속되는 당기순이익(손실)</t>
        </is>
      </c>
      <c r="L379" s="24" t="inlineStr">
        <is>
          <t>-</t>
        </is>
      </c>
      <c r="M379" s="24" t="inlineStr">
        <is>
          <t>제 71 기</t>
        </is>
      </c>
      <c r="N379" s="24" t="inlineStr">
        <is>
          <t>0.0</t>
        </is>
      </c>
      <c r="O379" s="24" t="inlineStr">
        <is>
          <t>0.0</t>
        </is>
      </c>
      <c r="P379" s="24" t="inlineStr">
        <is>
          <t>KRW</t>
        </is>
      </c>
      <c r="Q379" s="24" t="inlineStr">
        <is>
          <t>24</t>
        </is>
      </c>
    </row>
    <row r="380" ht="24" customHeight="1">
      <c r="A380" s="29" t="inlineStr">
        <is>
          <t>OpenDART_fnlttSinglAcntAll</t>
        </is>
      </c>
      <c r="B380" s="29" t="inlineStr">
        <is>
          <t>00160843</t>
        </is>
      </c>
      <c r="C380" s="29" t="inlineStr">
        <is>
          <t>DB하이텍</t>
        </is>
      </c>
      <c r="D380" s="29" t="inlineStr">
        <is>
          <t>dbhitek</t>
        </is>
      </c>
      <c r="E380" s="29" t="inlineStr">
        <is>
          <t>000990</t>
        </is>
      </c>
      <c r="F380" s="29" t="inlineStr">
        <is>
          <t>2023</t>
        </is>
      </c>
      <c r="G380" s="29" t="inlineStr">
        <is>
          <t>CFS</t>
        </is>
      </c>
      <c r="H380" s="29" t="inlineStr">
        <is>
          <t>IS</t>
        </is>
      </c>
      <c r="I380" s="29" t="inlineStr">
        <is>
          <t>손익계산서</t>
        </is>
      </c>
      <c r="J380" s="29" t="inlineStr">
        <is>
          <t>ifrs-full_ProfitLossAttributableToOwnersOfParent</t>
        </is>
      </c>
      <c r="K380" s="29" t="inlineStr">
        <is>
          <t>지배기업의 소유주에게 귀속되는 당기순이익(손실)</t>
        </is>
      </c>
      <c r="L380" s="29" t="inlineStr">
        <is>
          <t>-</t>
        </is>
      </c>
      <c r="M380" s="29" t="inlineStr">
        <is>
          <t>제 71 기</t>
        </is>
      </c>
      <c r="N380" s="29" t="inlineStr">
        <is>
          <t>264149250979.0</t>
        </is>
      </c>
      <c r="O380" s="29" t="inlineStr">
        <is>
          <t>556227095934.0</t>
        </is>
      </c>
      <c r="P380" s="29" t="inlineStr">
        <is>
          <t>KRW</t>
        </is>
      </c>
      <c r="Q380" s="29" t="inlineStr">
        <is>
          <t>25</t>
        </is>
      </c>
    </row>
    <row r="381" ht="24" customHeight="1">
      <c r="A381" s="24" t="inlineStr">
        <is>
          <t>OpenDART_fnlttSinglAcntAll</t>
        </is>
      </c>
      <c r="B381" s="24" t="inlineStr">
        <is>
          <t>00160843</t>
        </is>
      </c>
      <c r="C381" s="24" t="inlineStr">
        <is>
          <t>DB하이텍</t>
        </is>
      </c>
      <c r="D381" s="24" t="inlineStr">
        <is>
          <t>dbhitek</t>
        </is>
      </c>
      <c r="E381" s="24" t="inlineStr">
        <is>
          <t>000990</t>
        </is>
      </c>
      <c r="F381" s="24" t="inlineStr">
        <is>
          <t>2023</t>
        </is>
      </c>
      <c r="G381" s="24" t="inlineStr">
        <is>
          <t>CFS</t>
        </is>
      </c>
      <c r="H381" s="24" t="inlineStr">
        <is>
          <t>IS</t>
        </is>
      </c>
      <c r="I381" s="24" t="inlineStr">
        <is>
          <t>손익계산서</t>
        </is>
      </c>
      <c r="J381" s="24" t="inlineStr">
        <is>
          <t>ifrs-full_ProfitLossBeforeTax</t>
        </is>
      </c>
      <c r="K381" s="24" t="inlineStr">
        <is>
          <t>법인세비용차감전순이익(손실)</t>
        </is>
      </c>
      <c r="L381" s="24" t="inlineStr">
        <is>
          <t>-</t>
        </is>
      </c>
      <c r="M381" s="24" t="inlineStr">
        <is>
          <t>제 71 기</t>
        </is>
      </c>
      <c r="N381" s="24" t="inlineStr">
        <is>
          <t>305900259376.0</t>
        </is>
      </c>
      <c r="O381" s="24" t="inlineStr">
        <is>
          <t>742629374244.0</t>
        </is>
      </c>
      <c r="P381" s="24" t="inlineStr">
        <is>
          <t>KRW</t>
        </is>
      </c>
      <c r="Q381" s="24" t="inlineStr">
        <is>
          <t>26</t>
        </is>
      </c>
    </row>
    <row r="382" ht="24" customHeight="1">
      <c r="A382" s="29" t="inlineStr">
        <is>
          <t>OpenDART_fnlttSinglAcntAll</t>
        </is>
      </c>
      <c r="B382" s="29" t="inlineStr">
        <is>
          <t>00160843</t>
        </is>
      </c>
      <c r="C382" s="29" t="inlineStr">
        <is>
          <t>DB하이텍</t>
        </is>
      </c>
      <c r="D382" s="29" t="inlineStr">
        <is>
          <t>dbhitek</t>
        </is>
      </c>
      <c r="E382" s="29" t="inlineStr">
        <is>
          <t>000990</t>
        </is>
      </c>
      <c r="F382" s="29" t="inlineStr">
        <is>
          <t>2023</t>
        </is>
      </c>
      <c r="G382" s="29" t="inlineStr">
        <is>
          <t>CFS</t>
        </is>
      </c>
      <c r="H382" s="29" t="inlineStr">
        <is>
          <t>IS</t>
        </is>
      </c>
      <c r="I382" s="29" t="inlineStr">
        <is>
          <t>손익계산서</t>
        </is>
      </c>
      <c r="J382" s="29" t="inlineStr">
        <is>
          <t>ifrs-full_Revenue</t>
        </is>
      </c>
      <c r="K382" s="29" t="inlineStr">
        <is>
          <t>수익(매출액)</t>
        </is>
      </c>
      <c r="L382" s="29" t="inlineStr">
        <is>
          <t>-</t>
        </is>
      </c>
      <c r="M382" s="29" t="inlineStr">
        <is>
          <t>제 71 기</t>
        </is>
      </c>
      <c r="N382" s="29" t="inlineStr">
        <is>
          <t>1154223638940.0</t>
        </is>
      </c>
      <c r="O382" s="29" t="inlineStr">
        <is>
          <t>1669476722276.0</t>
        </is>
      </c>
      <c r="P382" s="29" t="inlineStr">
        <is>
          <t>KRW</t>
        </is>
      </c>
      <c r="Q382" s="29" t="inlineStr">
        <is>
          <t>27</t>
        </is>
      </c>
    </row>
    <row r="383" ht="24" customHeight="1">
      <c r="A383" s="24" t="inlineStr">
        <is>
          <t>OpenDART_fnlttSinglAcntAll</t>
        </is>
      </c>
      <c r="B383" s="24" t="inlineStr">
        <is>
          <t>00160843</t>
        </is>
      </c>
      <c r="C383" s="24" t="inlineStr">
        <is>
          <t>DB하이텍</t>
        </is>
      </c>
      <c r="D383" s="24" t="inlineStr">
        <is>
          <t>dbhitek</t>
        </is>
      </c>
      <c r="E383" s="24" t="inlineStr">
        <is>
          <t>000990</t>
        </is>
      </c>
      <c r="F383" s="24" t="inlineStr">
        <is>
          <t>2023</t>
        </is>
      </c>
      <c r="G383" s="24" t="inlineStr">
        <is>
          <t>CFS</t>
        </is>
      </c>
      <c r="H383" s="24" t="inlineStr">
        <is>
          <t>CIS</t>
        </is>
      </c>
      <c r="I383" s="24" t="inlineStr">
        <is>
          <t>포괄손익계산서</t>
        </is>
      </c>
      <c r="J383" s="24" t="inlineStr">
        <is>
          <t>ifrs-full_ComprehensiveIncome</t>
        </is>
      </c>
      <c r="K383" s="24" t="inlineStr">
        <is>
          <t>총포괄손익</t>
        </is>
      </c>
      <c r="L383" s="24" t="inlineStr">
        <is>
          <t>-</t>
        </is>
      </c>
      <c r="M383" s="24" t="inlineStr">
        <is>
          <t>제 71 기</t>
        </is>
      </c>
      <c r="N383" s="24" t="inlineStr">
        <is>
          <t>262253237512.0</t>
        </is>
      </c>
      <c r="O383" s="24" t="inlineStr">
        <is>
          <t>549187444164.0</t>
        </is>
      </c>
      <c r="P383" s="24" t="inlineStr">
        <is>
          <t>KRW</t>
        </is>
      </c>
      <c r="Q383" s="24" t="inlineStr">
        <is>
          <t>6</t>
        </is>
      </c>
    </row>
    <row r="384" ht="24" customHeight="1">
      <c r="A384" s="29" t="inlineStr">
        <is>
          <t>OpenDART_fnlttSinglAcntAll</t>
        </is>
      </c>
      <c r="B384" s="29" t="inlineStr">
        <is>
          <t>00160843</t>
        </is>
      </c>
      <c r="C384" s="29" t="inlineStr">
        <is>
          <t>DB하이텍</t>
        </is>
      </c>
      <c r="D384" s="29" t="inlineStr">
        <is>
          <t>dbhitek</t>
        </is>
      </c>
      <c r="E384" s="29" t="inlineStr">
        <is>
          <t>000990</t>
        </is>
      </c>
      <c r="F384" s="29" t="inlineStr">
        <is>
          <t>2023</t>
        </is>
      </c>
      <c r="G384" s="29" t="inlineStr">
        <is>
          <t>CFS</t>
        </is>
      </c>
      <c r="H384" s="29" t="inlineStr">
        <is>
          <t>CIS</t>
        </is>
      </c>
      <c r="I384" s="29" t="inlineStr">
        <is>
          <t>포괄손익계산서</t>
        </is>
      </c>
      <c r="J384" s="29" t="inlineStr">
        <is>
          <t>ifrs-full_ComprehensiveIncomeAttributableToNoncontrollingInterests</t>
        </is>
      </c>
      <c r="K384" s="29" t="inlineStr">
        <is>
          <t>포괄손익, 비지배지분</t>
        </is>
      </c>
      <c r="L384" s="29" t="inlineStr">
        <is>
          <t>-</t>
        </is>
      </c>
      <c r="M384" s="29" t="inlineStr">
        <is>
          <t>제 71 기</t>
        </is>
      </c>
      <c r="N384" s="29" t="inlineStr">
        <is>
          <t>0.0</t>
        </is>
      </c>
      <c r="O384" s="29" t="inlineStr">
        <is>
          <t>0.0</t>
        </is>
      </c>
      <c r="P384" s="29" t="inlineStr">
        <is>
          <t>KRW</t>
        </is>
      </c>
      <c r="Q384" s="29" t="inlineStr">
        <is>
          <t>8</t>
        </is>
      </c>
    </row>
    <row r="385" ht="24" customHeight="1">
      <c r="A385" s="24" t="inlineStr">
        <is>
          <t>OpenDART_fnlttSinglAcntAll</t>
        </is>
      </c>
      <c r="B385" s="24" t="inlineStr">
        <is>
          <t>00160843</t>
        </is>
      </c>
      <c r="C385" s="24" t="inlineStr">
        <is>
          <t>DB하이텍</t>
        </is>
      </c>
      <c r="D385" s="24" t="inlineStr">
        <is>
          <t>dbhitek</t>
        </is>
      </c>
      <c r="E385" s="24" t="inlineStr">
        <is>
          <t>000990</t>
        </is>
      </c>
      <c r="F385" s="24" t="inlineStr">
        <is>
          <t>2023</t>
        </is>
      </c>
      <c r="G385" s="24" t="inlineStr">
        <is>
          <t>CFS</t>
        </is>
      </c>
      <c r="H385" s="24" t="inlineStr">
        <is>
          <t>CIS</t>
        </is>
      </c>
      <c r="I385" s="24" t="inlineStr">
        <is>
          <t>포괄손익계산서</t>
        </is>
      </c>
      <c r="J385" s="24" t="inlineStr">
        <is>
          <t>ifrs-full_ComprehensiveIncomeAttributableToOwnersOfParent</t>
        </is>
      </c>
      <c r="K385" s="24" t="inlineStr">
        <is>
          <t>포괄손익, 지배기업의 소유주에게 귀속되는 지분</t>
        </is>
      </c>
      <c r="L385" s="24" t="inlineStr">
        <is>
          <t>-</t>
        </is>
      </c>
      <c r="M385" s="24" t="inlineStr">
        <is>
          <t>제 71 기</t>
        </is>
      </c>
      <c r="N385" s="24" t="inlineStr">
        <is>
          <t>262253237512.0</t>
        </is>
      </c>
      <c r="O385" s="24" t="inlineStr">
        <is>
          <t>549187444164.0</t>
        </is>
      </c>
      <c r="P385" s="24" t="inlineStr">
        <is>
          <t>KRW</t>
        </is>
      </c>
      <c r="Q385" s="24" t="inlineStr">
        <is>
          <t>9</t>
        </is>
      </c>
    </row>
    <row r="386" ht="24" customHeight="1">
      <c r="A386" s="29" t="inlineStr">
        <is>
          <t>OpenDART_fnlttSinglAcntAll</t>
        </is>
      </c>
      <c r="B386" s="29" t="inlineStr">
        <is>
          <t>00160843</t>
        </is>
      </c>
      <c r="C386" s="29" t="inlineStr">
        <is>
          <t>DB하이텍</t>
        </is>
      </c>
      <c r="D386" s="29" t="inlineStr">
        <is>
          <t>dbhitek</t>
        </is>
      </c>
      <c r="E386" s="29" t="inlineStr">
        <is>
          <t>000990</t>
        </is>
      </c>
      <c r="F386" s="29" t="inlineStr">
        <is>
          <t>2023</t>
        </is>
      </c>
      <c r="G386" s="29" t="inlineStr">
        <is>
          <t>CFS</t>
        </is>
      </c>
      <c r="H386" s="29" t="inlineStr">
        <is>
          <t>CIS</t>
        </is>
      </c>
      <c r="I386" s="29" t="inlineStr">
        <is>
          <t>포괄손익계산서</t>
        </is>
      </c>
      <c r="J386" s="29" t="inlineStr">
        <is>
          <t>ifrs-full_OtherComprehensiveIncome</t>
        </is>
      </c>
      <c r="K386" s="29" t="inlineStr">
        <is>
          <t>기타포괄손익</t>
        </is>
      </c>
      <c r="L386" s="29" t="inlineStr">
        <is>
          <t>-</t>
        </is>
      </c>
      <c r="M386" s="29" t="inlineStr">
        <is>
          <t>제 71 기</t>
        </is>
      </c>
      <c r="N386" s="29" t="inlineStr">
        <is>
          <t>-1896013467.0</t>
        </is>
      </c>
      <c r="O386" s="29" t="inlineStr">
        <is>
          <t>-7039651770.0</t>
        </is>
      </c>
      <c r="P386" s="29" t="inlineStr">
        <is>
          <t>KRW</t>
        </is>
      </c>
      <c r="Q386" s="29" t="inlineStr">
        <is>
          <t>10</t>
        </is>
      </c>
    </row>
    <row r="387" ht="24" customHeight="1">
      <c r="A387" s="24" t="inlineStr">
        <is>
          <t>OpenDART_fnlttSinglAcntAll</t>
        </is>
      </c>
      <c r="B387" s="24" t="inlineStr">
        <is>
          <t>00160843</t>
        </is>
      </c>
      <c r="C387" s="24" t="inlineStr">
        <is>
          <t>DB하이텍</t>
        </is>
      </c>
      <c r="D387" s="24" t="inlineStr">
        <is>
          <t>dbhitek</t>
        </is>
      </c>
      <c r="E387" s="24" t="inlineStr">
        <is>
          <t>000990</t>
        </is>
      </c>
      <c r="F387" s="24" t="inlineStr">
        <is>
          <t>2023</t>
        </is>
      </c>
      <c r="G387" s="24" t="inlineStr">
        <is>
          <t>CFS</t>
        </is>
      </c>
      <c r="H387" s="24" t="inlineStr">
        <is>
          <t>CIS</t>
        </is>
      </c>
      <c r="I387" s="24" t="inlineStr">
        <is>
          <t>포괄손익계산서</t>
        </is>
      </c>
      <c r="J387" s="24" t="inlineStr">
        <is>
          <t>ifrs-full_OtherComprehensiveIncomeThatWillBeReclassifiedToProfitOrLossNetOfTax</t>
        </is>
      </c>
      <c r="K387" s="24" t="inlineStr">
        <is>
          <t>당기손익으로 재분류될 수 있는 항목(세후기타포괄손익)</t>
        </is>
      </c>
      <c r="L387" s="24" t="inlineStr">
        <is>
          <t>-</t>
        </is>
      </c>
      <c r="M387" s="24" t="inlineStr">
        <is>
          <t>제 71 기</t>
        </is>
      </c>
      <c r="N387" s="24" t="inlineStr">
        <is>
          <t>130823323.0</t>
        </is>
      </c>
      <c r="O387" s="24" t="inlineStr">
        <is>
          <t>365814632.0</t>
        </is>
      </c>
      <c r="P387" s="24" t="inlineStr">
        <is>
          <t>KRW</t>
        </is>
      </c>
      <c r="Q387" s="24" t="inlineStr">
        <is>
          <t>11</t>
        </is>
      </c>
    </row>
    <row r="388" ht="24" customHeight="1">
      <c r="A388" s="29" t="inlineStr">
        <is>
          <t>OpenDART_fnlttSinglAcntAll</t>
        </is>
      </c>
      <c r="B388" s="29" t="inlineStr">
        <is>
          <t>00160843</t>
        </is>
      </c>
      <c r="C388" s="29" t="inlineStr">
        <is>
          <t>DB하이텍</t>
        </is>
      </c>
      <c r="D388" s="29" t="inlineStr">
        <is>
          <t>dbhitek</t>
        </is>
      </c>
      <c r="E388" s="29" t="inlineStr">
        <is>
          <t>000990</t>
        </is>
      </c>
      <c r="F388" s="29" t="inlineStr">
        <is>
          <t>2023</t>
        </is>
      </c>
      <c r="G388" s="29" t="inlineStr">
        <is>
          <t>CFS</t>
        </is>
      </c>
      <c r="H388" s="29" t="inlineStr">
        <is>
          <t>CIS</t>
        </is>
      </c>
      <c r="I388" s="29" t="inlineStr">
        <is>
          <t>포괄손익계산서</t>
        </is>
      </c>
      <c r="J388" s="29" t="inlineStr">
        <is>
          <t>ifrs-full_GainsLossesOnExchangeDifferencesOnTranslationNetOfTax</t>
        </is>
      </c>
      <c r="K388" s="29" t="inlineStr">
        <is>
          <t>해외사업장환산외환차이(세후기타포괄손익)</t>
        </is>
      </c>
      <c r="L388" s="29" t="inlineStr">
        <is>
          <t>-</t>
        </is>
      </c>
      <c r="M388" s="29" t="inlineStr">
        <is>
          <t>제 71 기</t>
        </is>
      </c>
      <c r="N388" s="29" t="inlineStr">
        <is>
          <t>82463947.0</t>
        </is>
      </c>
      <c r="O388" s="29" t="inlineStr">
        <is>
          <t>301627377.0</t>
        </is>
      </c>
      <c r="P388" s="29" t="inlineStr">
        <is>
          <t>KRW</t>
        </is>
      </c>
      <c r="Q388" s="29" t="inlineStr">
        <is>
          <t>12</t>
        </is>
      </c>
    </row>
    <row r="389" ht="24" customHeight="1">
      <c r="A389" s="24" t="inlineStr">
        <is>
          <t>OpenDART_fnlttSinglAcntAll</t>
        </is>
      </c>
      <c r="B389" s="24" t="inlineStr">
        <is>
          <t>00160843</t>
        </is>
      </c>
      <c r="C389" s="24" t="inlineStr">
        <is>
          <t>DB하이텍</t>
        </is>
      </c>
      <c r="D389" s="24" t="inlineStr">
        <is>
          <t>dbhitek</t>
        </is>
      </c>
      <c r="E389" s="24" t="inlineStr">
        <is>
          <t>000990</t>
        </is>
      </c>
      <c r="F389" s="24" t="inlineStr">
        <is>
          <t>2023</t>
        </is>
      </c>
      <c r="G389" s="24" t="inlineStr">
        <is>
          <t>CFS</t>
        </is>
      </c>
      <c r="H389" s="24" t="inlineStr">
        <is>
          <t>CIS</t>
        </is>
      </c>
      <c r="I389" s="24" t="inlineStr">
        <is>
          <t>포괄손익계산서</t>
        </is>
      </c>
      <c r="J389" s="24" t="inlineStr">
        <is>
          <t>ifrs-full_ShareOfOtherComprehensiveIncomeOfAssociatesAndJointVenturesAccountedForUsingEquityMethodThatWillBeReclassifiedToProfitOrLossNetOfTax</t>
        </is>
      </c>
      <c r="K389" s="24" t="inlineStr">
        <is>
          <t>지분법 적용대상 관계기업과 공동기업의 기타포괄손익에 대한 지분(세후기타포괄손익)</t>
        </is>
      </c>
      <c r="L389" s="24" t="inlineStr">
        <is>
          <t>-</t>
        </is>
      </c>
      <c r="M389" s="24" t="inlineStr">
        <is>
          <t>제 71 기</t>
        </is>
      </c>
      <c r="N389" s="24" t="inlineStr">
        <is>
          <t>48359376.0</t>
        </is>
      </c>
      <c r="O389" s="24" t="inlineStr">
        <is>
          <t>64187255.0</t>
        </is>
      </c>
      <c r="P389" s="24" t="inlineStr">
        <is>
          <t>KRW</t>
        </is>
      </c>
      <c r="Q389" s="24" t="inlineStr">
        <is>
          <t>13</t>
        </is>
      </c>
    </row>
    <row r="390" ht="24" customHeight="1">
      <c r="A390" s="29" t="inlineStr">
        <is>
          <t>OpenDART_fnlttSinglAcntAll</t>
        </is>
      </c>
      <c r="B390" s="29" t="inlineStr">
        <is>
          <t>00160843</t>
        </is>
      </c>
      <c r="C390" s="29" t="inlineStr">
        <is>
          <t>DB하이텍</t>
        </is>
      </c>
      <c r="D390" s="29" t="inlineStr">
        <is>
          <t>dbhitek</t>
        </is>
      </c>
      <c r="E390" s="29" t="inlineStr">
        <is>
          <t>000990</t>
        </is>
      </c>
      <c r="F390" s="29" t="inlineStr">
        <is>
          <t>2023</t>
        </is>
      </c>
      <c r="G390" s="29" t="inlineStr">
        <is>
          <t>CFS</t>
        </is>
      </c>
      <c r="H390" s="29" t="inlineStr">
        <is>
          <t>CIS</t>
        </is>
      </c>
      <c r="I390" s="29" t="inlineStr">
        <is>
          <t>포괄손익계산서</t>
        </is>
      </c>
      <c r="J390" s="29" t="inlineStr">
        <is>
          <t>ifrs-full_OtherComprehensiveIncomeThatWillNotBeReclassifiedToProfitOrLossNetOfTax</t>
        </is>
      </c>
      <c r="K390" s="29" t="inlineStr">
        <is>
          <t>당기손익으로 재분류되지 않는항목(세후기타포괄손익)</t>
        </is>
      </c>
      <c r="L390" s="29" t="inlineStr">
        <is>
          <t>-</t>
        </is>
      </c>
      <c r="M390" s="29" t="inlineStr">
        <is>
          <t>제 71 기</t>
        </is>
      </c>
      <c r="N390" s="29" t="inlineStr">
        <is>
          <t>-2026836790.0</t>
        </is>
      </c>
      <c r="O390" s="29" t="inlineStr">
        <is>
          <t>-7405466402.0</t>
        </is>
      </c>
      <c r="P390" s="29" t="inlineStr">
        <is>
          <t>KRW</t>
        </is>
      </c>
      <c r="Q390" s="29" t="inlineStr">
        <is>
          <t>14</t>
        </is>
      </c>
    </row>
    <row r="391" ht="24" customHeight="1">
      <c r="A391" s="24" t="inlineStr">
        <is>
          <t>OpenDART_fnlttSinglAcntAll</t>
        </is>
      </c>
      <c r="B391" s="24" t="inlineStr">
        <is>
          <t>00160843</t>
        </is>
      </c>
      <c r="C391" s="24" t="inlineStr">
        <is>
          <t>DB하이텍</t>
        </is>
      </c>
      <c r="D391" s="24" t="inlineStr">
        <is>
          <t>dbhitek</t>
        </is>
      </c>
      <c r="E391" s="24" t="inlineStr">
        <is>
          <t>000990</t>
        </is>
      </c>
      <c r="F391" s="24" t="inlineStr">
        <is>
          <t>2023</t>
        </is>
      </c>
      <c r="G391" s="24" t="inlineStr">
        <is>
          <t>CFS</t>
        </is>
      </c>
      <c r="H391" s="24" t="inlineStr">
        <is>
          <t>CIS</t>
        </is>
      </c>
      <c r="I391" s="24" t="inlineStr">
        <is>
          <t>포괄손익계산서</t>
        </is>
      </c>
      <c r="J391" s="24" t="inlineStr">
        <is>
          <t>ifrs-full_OtherComprehensiveIncomeNetOfTaxGainsLossesFromInvestmentsInEquityInstruments</t>
        </is>
      </c>
      <c r="K391" s="24" t="inlineStr">
        <is>
          <t>세후기타포괄손익, 지분상품에 대한 투자자산</t>
        </is>
      </c>
      <c r="L391" s="24" t="inlineStr">
        <is>
          <t>-</t>
        </is>
      </c>
      <c r="M391" s="24" t="inlineStr">
        <is>
          <t>제 71 기</t>
        </is>
      </c>
      <c r="N391" s="24" t="inlineStr">
        <is>
          <t>4717518281.0</t>
        </is>
      </c>
      <c r="O391" s="24" t="inlineStr">
        <is>
          <t>-2022990261.0</t>
        </is>
      </c>
      <c r="P391" s="24" t="inlineStr">
        <is>
          <t>KRW</t>
        </is>
      </c>
      <c r="Q391" s="24" t="inlineStr">
        <is>
          <t>15</t>
        </is>
      </c>
    </row>
    <row r="392" ht="24" customHeight="1">
      <c r="A392" s="29" t="inlineStr">
        <is>
          <t>OpenDART_fnlttSinglAcntAll</t>
        </is>
      </c>
      <c r="B392" s="29" t="inlineStr">
        <is>
          <t>00160843</t>
        </is>
      </c>
      <c r="C392" s="29" t="inlineStr">
        <is>
          <t>DB하이텍</t>
        </is>
      </c>
      <c r="D392" s="29" t="inlineStr">
        <is>
          <t>dbhitek</t>
        </is>
      </c>
      <c r="E392" s="29" t="inlineStr">
        <is>
          <t>000990</t>
        </is>
      </c>
      <c r="F392" s="29" t="inlineStr">
        <is>
          <t>2023</t>
        </is>
      </c>
      <c r="G392" s="29" t="inlineStr">
        <is>
          <t>CFS</t>
        </is>
      </c>
      <c r="H392" s="29" t="inlineStr">
        <is>
          <t>CIS</t>
        </is>
      </c>
      <c r="I392" s="29" t="inlineStr">
        <is>
          <t>포괄손익계산서</t>
        </is>
      </c>
      <c r="J392" s="29" t="inlineStr">
        <is>
          <t>ifrs-full_OtherComprehensiveIncomeNetOfTaxGainsLossesOnRemeasurementsOfDefinedBenefitPlans</t>
        </is>
      </c>
      <c r="K392" s="29" t="inlineStr">
        <is>
          <t>확정급여제도의 재측정손익(세후기타포괄손익)</t>
        </is>
      </c>
      <c r="L392" s="29" t="inlineStr">
        <is>
          <t>-</t>
        </is>
      </c>
      <c r="M392" s="29" t="inlineStr">
        <is>
          <t>제 71 기</t>
        </is>
      </c>
      <c r="N392" s="29" t="inlineStr">
        <is>
          <t>-7790272254.0</t>
        </is>
      </c>
      <c r="O392" s="29" t="inlineStr">
        <is>
          <t>-5608802774.0</t>
        </is>
      </c>
      <c r="P392" s="29" t="inlineStr">
        <is>
          <t>KRW</t>
        </is>
      </c>
      <c r="Q392" s="29" t="inlineStr">
        <is>
          <t>16</t>
        </is>
      </c>
    </row>
    <row r="393" ht="24" customHeight="1">
      <c r="A393" s="24" t="inlineStr">
        <is>
          <t>OpenDART_fnlttSinglAcntAll</t>
        </is>
      </c>
      <c r="B393" s="24" t="inlineStr">
        <is>
          <t>00160843</t>
        </is>
      </c>
      <c r="C393" s="24" t="inlineStr">
        <is>
          <t>DB하이텍</t>
        </is>
      </c>
      <c r="D393" s="24" t="inlineStr">
        <is>
          <t>dbhitek</t>
        </is>
      </c>
      <c r="E393" s="24" t="inlineStr">
        <is>
          <t>000990</t>
        </is>
      </c>
      <c r="F393" s="24" t="inlineStr">
        <is>
          <t>2023</t>
        </is>
      </c>
      <c r="G393" s="24" t="inlineStr">
        <is>
          <t>CFS</t>
        </is>
      </c>
      <c r="H393" s="24" t="inlineStr">
        <is>
          <t>CIS</t>
        </is>
      </c>
      <c r="I393" s="24" t="inlineStr">
        <is>
          <t>포괄손익계산서</t>
        </is>
      </c>
      <c r="J393" s="24" t="inlineStr">
        <is>
          <t>ifrs-full_ShareOfOtherComprehensiveIncomeOfAssociatesAndJointVenturesAccountedForUsingEquityMethodThatWillNotBeReclassifiedToProfitOrLossNetOfTax</t>
        </is>
      </c>
      <c r="K393" s="24" t="inlineStr">
        <is>
          <t>지분법 적용대상 관계기업과 공동기업의 기타포괄손익에 대한 지분(세후기타포괄손익)</t>
        </is>
      </c>
      <c r="L393" s="24" t="inlineStr">
        <is>
          <t>-</t>
        </is>
      </c>
      <c r="M393" s="24" t="inlineStr">
        <is>
          <t>제 71 기</t>
        </is>
      </c>
      <c r="N393" s="24" t="inlineStr">
        <is>
          <t>1045917183.0</t>
        </is>
      </c>
      <c r="O393" s="24" t="inlineStr">
        <is>
          <t>226326633.0</t>
        </is>
      </c>
      <c r="P393" s="24" t="inlineStr">
        <is>
          <t>KRW</t>
        </is>
      </c>
      <c r="Q393" s="24" t="inlineStr">
        <is>
          <t>17</t>
        </is>
      </c>
    </row>
    <row r="394" ht="24" customHeight="1">
      <c r="A394" s="29" t="inlineStr">
        <is>
          <t>OpenDART_fnlttSinglAcntAll</t>
        </is>
      </c>
      <c r="B394" s="29" t="inlineStr">
        <is>
          <t>00160843</t>
        </is>
      </c>
      <c r="C394" s="29" t="inlineStr">
        <is>
          <t>DB하이텍</t>
        </is>
      </c>
      <c r="D394" s="29" t="inlineStr">
        <is>
          <t>dbhitek</t>
        </is>
      </c>
      <c r="E394" s="29" t="inlineStr">
        <is>
          <t>000990</t>
        </is>
      </c>
      <c r="F394" s="29" t="inlineStr">
        <is>
          <t>2023</t>
        </is>
      </c>
      <c r="G394" s="29" t="inlineStr">
        <is>
          <t>CFS</t>
        </is>
      </c>
      <c r="H394" s="29" t="inlineStr">
        <is>
          <t>CIS</t>
        </is>
      </c>
      <c r="I394" s="29" t="inlineStr">
        <is>
          <t>포괄손익계산서</t>
        </is>
      </c>
      <c r="J394" s="29" t="inlineStr">
        <is>
          <t>ifrs-full_ProfitLoss</t>
        </is>
      </c>
      <c r="K394" s="29" t="inlineStr">
        <is>
          <t>당기순이익(손실)</t>
        </is>
      </c>
      <c r="L394" s="29" t="inlineStr">
        <is>
          <t>-</t>
        </is>
      </c>
      <c r="M394" s="29" t="inlineStr">
        <is>
          <t>제 71 기</t>
        </is>
      </c>
      <c r="N394" s="29" t="inlineStr">
        <is>
          <t>264149250979.0</t>
        </is>
      </c>
      <c r="O394" s="29" t="inlineStr">
        <is>
          <t>556227095934.0</t>
        </is>
      </c>
      <c r="P394" s="29" t="inlineStr">
        <is>
          <t>KRW</t>
        </is>
      </c>
      <c r="Q394" s="29" t="inlineStr">
        <is>
          <t>18</t>
        </is>
      </c>
    </row>
    <row r="395" ht="24" customHeight="1">
      <c r="A395" s="24" t="inlineStr">
        <is>
          <t>OpenDART_fnlttSinglAcntAll</t>
        </is>
      </c>
      <c r="B395" s="24" t="inlineStr">
        <is>
          <t>00160843</t>
        </is>
      </c>
      <c r="C395" s="24" t="inlineStr">
        <is>
          <t>DB하이텍</t>
        </is>
      </c>
      <c r="D395" s="24" t="inlineStr">
        <is>
          <t>dbhitek</t>
        </is>
      </c>
      <c r="E395" s="24" t="inlineStr">
        <is>
          <t>000990</t>
        </is>
      </c>
      <c r="F395" s="24" t="inlineStr">
        <is>
          <t>2023</t>
        </is>
      </c>
      <c r="G395" s="24" t="inlineStr">
        <is>
          <t>CFS</t>
        </is>
      </c>
      <c r="H395" s="24" t="inlineStr">
        <is>
          <t>CF</t>
        </is>
      </c>
      <c r="I395" s="24" t="inlineStr">
        <is>
          <t>현금흐름표</t>
        </is>
      </c>
      <c r="J395" s="24" t="inlineStr">
        <is>
          <t>dart_CashAndCashEquivalentsAtBeginningOfPeriodCf</t>
        </is>
      </c>
      <c r="K395" s="24" t="inlineStr">
        <is>
          <t>기초현금및현금성자산</t>
        </is>
      </c>
      <c r="L395" s="24" t="inlineStr">
        <is>
          <t>-</t>
        </is>
      </c>
      <c r="M395" s="24" t="inlineStr">
        <is>
          <t>제 71 기</t>
        </is>
      </c>
      <c r="N395" s="24" t="inlineStr">
        <is>
          <t>153658158262.0</t>
        </is>
      </c>
      <c r="O395" s="24" t="inlineStr">
        <is>
          <t>183017846365.0</t>
        </is>
      </c>
      <c r="P395" s="24" t="inlineStr">
        <is>
          <t>KRW</t>
        </is>
      </c>
      <c r="Q395" s="24" t="inlineStr">
        <is>
          <t>2</t>
        </is>
      </c>
    </row>
    <row r="396" ht="24" customHeight="1">
      <c r="A396" s="29" t="inlineStr">
        <is>
          <t>OpenDART_fnlttSinglAcntAll</t>
        </is>
      </c>
      <c r="B396" s="29" t="inlineStr">
        <is>
          <t>00160843</t>
        </is>
      </c>
      <c r="C396" s="29" t="inlineStr">
        <is>
          <t>DB하이텍</t>
        </is>
      </c>
      <c r="D396" s="29" t="inlineStr">
        <is>
          <t>dbhitek</t>
        </is>
      </c>
      <c r="E396" s="29" t="inlineStr">
        <is>
          <t>000990</t>
        </is>
      </c>
      <c r="F396" s="29" t="inlineStr">
        <is>
          <t>2023</t>
        </is>
      </c>
      <c r="G396" s="29" t="inlineStr">
        <is>
          <t>CFS</t>
        </is>
      </c>
      <c r="H396" s="29" t="inlineStr">
        <is>
          <t>CF</t>
        </is>
      </c>
      <c r="I396" s="29" t="inlineStr">
        <is>
          <t>현금흐름표</t>
        </is>
      </c>
      <c r="J396" s="29" t="inlineStr">
        <is>
          <t>dart_CashAndCashEquivalentsAtEndOfPeriodCf</t>
        </is>
      </c>
      <c r="K396" s="29" t="inlineStr">
        <is>
          <t>기말현금및현금성자산</t>
        </is>
      </c>
      <c r="L396" s="29" t="inlineStr">
        <is>
          <t>-</t>
        </is>
      </c>
      <c r="M396" s="29" t="inlineStr">
        <is>
          <t>제 71 기</t>
        </is>
      </c>
      <c r="N396" s="29" t="inlineStr">
        <is>
          <t>253329763803.0</t>
        </is>
      </c>
      <c r="O396" s="29" t="inlineStr">
        <is>
          <t>153658158262.0</t>
        </is>
      </c>
      <c r="P396" s="29" t="inlineStr">
        <is>
          <t>KRW</t>
        </is>
      </c>
      <c r="Q396" s="29" t="inlineStr">
        <is>
          <t>3</t>
        </is>
      </c>
    </row>
    <row r="397" ht="24" customHeight="1">
      <c r="A397" s="24" t="inlineStr">
        <is>
          <t>OpenDART_fnlttSinglAcntAll</t>
        </is>
      </c>
      <c r="B397" s="24" t="inlineStr">
        <is>
          <t>00160843</t>
        </is>
      </c>
      <c r="C397" s="24" t="inlineStr">
        <is>
          <t>DB하이텍</t>
        </is>
      </c>
      <c r="D397" s="24" t="inlineStr">
        <is>
          <t>dbhitek</t>
        </is>
      </c>
      <c r="E397" s="24" t="inlineStr">
        <is>
          <t>000990</t>
        </is>
      </c>
      <c r="F397" s="24" t="inlineStr">
        <is>
          <t>2023</t>
        </is>
      </c>
      <c r="G397" s="24" t="inlineStr">
        <is>
          <t>CFS</t>
        </is>
      </c>
      <c r="H397" s="24" t="inlineStr">
        <is>
          <t>CF</t>
        </is>
      </c>
      <c r="I397" s="24" t="inlineStr">
        <is>
          <t>현금흐름표</t>
        </is>
      </c>
      <c r="J397" s="24" t="inlineStr">
        <is>
          <t>ifrs-full_CashFlowsFromUsedInFinancingActivities</t>
        </is>
      </c>
      <c r="K397" s="24" t="inlineStr">
        <is>
          <t>재무활동현금흐름</t>
        </is>
      </c>
      <c r="L397" s="24" t="inlineStr">
        <is>
          <t>-</t>
        </is>
      </c>
      <c r="M397" s="24" t="inlineStr">
        <is>
          <t>제 71 기</t>
        </is>
      </c>
      <c r="N397" s="24" t="inlineStr">
        <is>
          <t>-146697209774.0</t>
        </is>
      </c>
      <c r="O397" s="24" t="inlineStr">
        <is>
          <t>-45816865845.0</t>
        </is>
      </c>
      <c r="P397" s="24" t="inlineStr">
        <is>
          <t>KRW</t>
        </is>
      </c>
      <c r="Q397" s="24" t="inlineStr">
        <is>
          <t>8</t>
        </is>
      </c>
    </row>
    <row r="398" ht="24" customHeight="1">
      <c r="A398" s="29" t="inlineStr">
        <is>
          <t>OpenDART_fnlttSinglAcntAll</t>
        </is>
      </c>
      <c r="B398" s="29" t="inlineStr">
        <is>
          <t>00160843</t>
        </is>
      </c>
      <c r="C398" s="29" t="inlineStr">
        <is>
          <t>DB하이텍</t>
        </is>
      </c>
      <c r="D398" s="29" t="inlineStr">
        <is>
          <t>dbhitek</t>
        </is>
      </c>
      <c r="E398" s="29" t="inlineStr">
        <is>
          <t>000990</t>
        </is>
      </c>
      <c r="F398" s="29" t="inlineStr">
        <is>
          <t>2023</t>
        </is>
      </c>
      <c r="G398" s="29" t="inlineStr">
        <is>
          <t>CFS</t>
        </is>
      </c>
      <c r="H398" s="29" t="inlineStr">
        <is>
          <t>CF</t>
        </is>
      </c>
      <c r="I398" s="29" t="inlineStr">
        <is>
          <t>현금흐름표</t>
        </is>
      </c>
      <c r="J398" s="29" t="inlineStr">
        <is>
          <t>dart_AcquisitionOfTreasuryShares</t>
        </is>
      </c>
      <c r="K398" s="29" t="inlineStr">
        <is>
          <t>자기주식의 취득으로 인한 현금의 유출</t>
        </is>
      </c>
      <c r="L398" s="29" t="inlineStr">
        <is>
          <t>-</t>
        </is>
      </c>
      <c r="M398" s="29" t="inlineStr">
        <is>
          <t>제 71 기</t>
        </is>
      </c>
      <c r="N398" s="29" t="inlineStr">
        <is>
          <t>100450331460.0</t>
        </is>
      </c>
      <c r="O398" s="29" t="inlineStr">
        <is>
          <t>0.0</t>
        </is>
      </c>
      <c r="P398" s="29" t="inlineStr">
        <is>
          <t>KRW</t>
        </is>
      </c>
      <c r="Q398" s="29" t="inlineStr">
        <is>
          <t>9</t>
        </is>
      </c>
    </row>
    <row r="399" ht="24" customHeight="1">
      <c r="A399" s="24" t="inlineStr">
        <is>
          <t>OpenDART_fnlttSinglAcntAll</t>
        </is>
      </c>
      <c r="B399" s="24" t="inlineStr">
        <is>
          <t>00160843</t>
        </is>
      </c>
      <c r="C399" s="24" t="inlineStr">
        <is>
          <t>DB하이텍</t>
        </is>
      </c>
      <c r="D399" s="24" t="inlineStr">
        <is>
          <t>dbhitek</t>
        </is>
      </c>
      <c r="E399" s="24" t="inlineStr">
        <is>
          <t>000990</t>
        </is>
      </c>
      <c r="F399" s="24" t="inlineStr">
        <is>
          <t>2023</t>
        </is>
      </c>
      <c r="G399" s="24" t="inlineStr">
        <is>
          <t>CFS</t>
        </is>
      </c>
      <c r="H399" s="24" t="inlineStr">
        <is>
          <t>CF</t>
        </is>
      </c>
      <c r="I399" s="24" t="inlineStr">
        <is>
          <t>현금흐름표</t>
        </is>
      </c>
      <c r="J399" s="24" t="inlineStr">
        <is>
          <t>dart_DispositionOfTreasuryShares</t>
        </is>
      </c>
      <c r="K399" s="24" t="inlineStr">
        <is>
          <t>자기주식의 처분</t>
        </is>
      </c>
      <c r="L399" s="24" t="inlineStr">
        <is>
          <t>-</t>
        </is>
      </c>
      <c r="M399" s="24" t="inlineStr">
        <is>
          <t>제 71 기</t>
        </is>
      </c>
      <c r="N399" s="24" t="inlineStr">
        <is>
          <t>0.0</t>
        </is>
      </c>
      <c r="O399" s="24" t="inlineStr">
        <is>
          <t>0.0</t>
        </is>
      </c>
      <c r="P399" s="24" t="inlineStr">
        <is>
          <t>KRW</t>
        </is>
      </c>
      <c r="Q399" s="24" t="inlineStr">
        <is>
          <t>10</t>
        </is>
      </c>
    </row>
    <row r="400" ht="24" customHeight="1">
      <c r="A400" s="29" t="inlineStr">
        <is>
          <t>OpenDART_fnlttSinglAcntAll</t>
        </is>
      </c>
      <c r="B400" s="29" t="inlineStr">
        <is>
          <t>00160843</t>
        </is>
      </c>
      <c r="C400" s="29" t="inlineStr">
        <is>
          <t>DB하이텍</t>
        </is>
      </c>
      <c r="D400" s="29" t="inlineStr">
        <is>
          <t>dbhitek</t>
        </is>
      </c>
      <c r="E400" s="29" t="inlineStr">
        <is>
          <t>000990</t>
        </is>
      </c>
      <c r="F400" s="29" t="inlineStr">
        <is>
          <t>2023</t>
        </is>
      </c>
      <c r="G400" s="29" t="inlineStr">
        <is>
          <t>CFS</t>
        </is>
      </c>
      <c r="H400" s="29" t="inlineStr">
        <is>
          <t>CF</t>
        </is>
      </c>
      <c r="I400" s="29" t="inlineStr">
        <is>
          <t>현금흐름표</t>
        </is>
      </c>
      <c r="J400" s="29" t="inlineStr">
        <is>
          <t>dart_ProceedsFromShortTermBorrowings</t>
        </is>
      </c>
      <c r="K400" s="29" t="inlineStr">
        <is>
          <t>단기차입금의 증가</t>
        </is>
      </c>
      <c r="L400" s="29" t="inlineStr">
        <is>
          <t>-</t>
        </is>
      </c>
      <c r="M400" s="29" t="inlineStr">
        <is>
          <t>제 71 기</t>
        </is>
      </c>
      <c r="N400" s="29" t="inlineStr">
        <is>
          <t>43688433351.0</t>
        </is>
      </c>
      <c r="O400" s="29" t="inlineStr">
        <is>
          <t>47995301969.0</t>
        </is>
      </c>
      <c r="P400" s="29" t="inlineStr">
        <is>
          <t>KRW</t>
        </is>
      </c>
      <c r="Q400" s="29" t="inlineStr">
        <is>
          <t>11</t>
        </is>
      </c>
    </row>
    <row r="401" ht="24" customHeight="1">
      <c r="A401" s="24" t="inlineStr">
        <is>
          <t>OpenDART_fnlttSinglAcntAll</t>
        </is>
      </c>
      <c r="B401" s="24" t="inlineStr">
        <is>
          <t>00160843</t>
        </is>
      </c>
      <c r="C401" s="24" t="inlineStr">
        <is>
          <t>DB하이텍</t>
        </is>
      </c>
      <c r="D401" s="24" t="inlineStr">
        <is>
          <t>dbhitek</t>
        </is>
      </c>
      <c r="E401" s="24" t="inlineStr">
        <is>
          <t>000990</t>
        </is>
      </c>
      <c r="F401" s="24" t="inlineStr">
        <is>
          <t>2023</t>
        </is>
      </c>
      <c r="G401" s="24" t="inlineStr">
        <is>
          <t>CFS</t>
        </is>
      </c>
      <c r="H401" s="24" t="inlineStr">
        <is>
          <t>CF</t>
        </is>
      </c>
      <c r="I401" s="24" t="inlineStr">
        <is>
          <t>현금흐름표</t>
        </is>
      </c>
      <c r="J401" s="24" t="inlineStr">
        <is>
          <t>dart_RepaymentsOfShortTermBorrowings</t>
        </is>
      </c>
      <c r="K401" s="24" t="inlineStr">
        <is>
          <t>단기차입금의 상환</t>
        </is>
      </c>
      <c r="L401" s="24" t="inlineStr">
        <is>
          <t>-</t>
        </is>
      </c>
      <c r="M401" s="24" t="inlineStr">
        <is>
          <t>제 71 기</t>
        </is>
      </c>
      <c r="N401" s="24" t="inlineStr">
        <is>
          <t>57405543566.0</t>
        </is>
      </c>
      <c r="O401" s="24" t="inlineStr">
        <is>
          <t>53648679620.0</t>
        </is>
      </c>
      <c r="P401" s="24" t="inlineStr">
        <is>
          <t>KRW</t>
        </is>
      </c>
      <c r="Q401" s="24" t="inlineStr">
        <is>
          <t>12</t>
        </is>
      </c>
    </row>
    <row r="402" ht="24" customHeight="1">
      <c r="A402" s="29" t="inlineStr">
        <is>
          <t>OpenDART_fnlttSinglAcntAll</t>
        </is>
      </c>
      <c r="B402" s="29" t="inlineStr">
        <is>
          <t>00160843</t>
        </is>
      </c>
      <c r="C402" s="29" t="inlineStr">
        <is>
          <t>DB하이텍</t>
        </is>
      </c>
      <c r="D402" s="29" t="inlineStr">
        <is>
          <t>dbhitek</t>
        </is>
      </c>
      <c r="E402" s="29" t="inlineStr">
        <is>
          <t>000990</t>
        </is>
      </c>
      <c r="F402" s="29" t="inlineStr">
        <is>
          <t>2023</t>
        </is>
      </c>
      <c r="G402" s="29" t="inlineStr">
        <is>
          <t>CFS</t>
        </is>
      </c>
      <c r="H402" s="29" t="inlineStr">
        <is>
          <t>CF</t>
        </is>
      </c>
      <c r="I402" s="29" t="inlineStr">
        <is>
          <t>현금흐름표</t>
        </is>
      </c>
      <c r="J402" s="29" t="inlineStr">
        <is>
          <t>-표준계정코드 미사용-</t>
        </is>
      </c>
      <c r="K402" s="29" t="inlineStr">
        <is>
          <t>유동성장기차입금의 상환</t>
        </is>
      </c>
      <c r="L402" s="29" t="inlineStr">
        <is>
          <t>-</t>
        </is>
      </c>
      <c r="M402" s="29" t="inlineStr">
        <is>
          <t>제 71 기</t>
        </is>
      </c>
      <c r="N402" s="29" t="inlineStr">
        <is>
          <t>27999960000.0</t>
        </is>
      </c>
      <c r="O402" s="29" t="inlineStr">
        <is>
          <t>36463750000.0</t>
        </is>
      </c>
      <c r="P402" s="29" t="inlineStr">
        <is>
          <t>KRW</t>
        </is>
      </c>
      <c r="Q402" s="29" t="inlineStr">
        <is>
          <t>13</t>
        </is>
      </c>
    </row>
    <row r="403" ht="24" customHeight="1">
      <c r="A403" s="24" t="inlineStr">
        <is>
          <t>OpenDART_fnlttSinglAcntAll</t>
        </is>
      </c>
      <c r="B403" s="24" t="inlineStr">
        <is>
          <t>00160843</t>
        </is>
      </c>
      <c r="C403" s="24" t="inlineStr">
        <is>
          <t>DB하이텍</t>
        </is>
      </c>
      <c r="D403" s="24" t="inlineStr">
        <is>
          <t>dbhitek</t>
        </is>
      </c>
      <c r="E403" s="24" t="inlineStr">
        <is>
          <t>000990</t>
        </is>
      </c>
      <c r="F403" s="24" t="inlineStr">
        <is>
          <t>2023</t>
        </is>
      </c>
      <c r="G403" s="24" t="inlineStr">
        <is>
          <t>CFS</t>
        </is>
      </c>
      <c r="H403" s="24" t="inlineStr">
        <is>
          <t>CF</t>
        </is>
      </c>
      <c r="I403" s="24" t="inlineStr">
        <is>
          <t>현금흐름표</t>
        </is>
      </c>
      <c r="J403" s="24" t="inlineStr">
        <is>
          <t>-표준계정코드 미사용-</t>
        </is>
      </c>
      <c r="K403" s="24" t="inlineStr">
        <is>
          <t>장기차입금의 증가</t>
        </is>
      </c>
      <c r="L403" s="24" t="inlineStr">
        <is>
          <t>-</t>
        </is>
      </c>
      <c r="M403" s="24" t="inlineStr">
        <is>
          <t>제 71 기</t>
        </is>
      </c>
      <c r="N403" s="24" t="inlineStr">
        <is>
          <t>0.0</t>
        </is>
      </c>
      <c r="O403" s="24" t="inlineStr">
        <is>
          <t>0.0</t>
        </is>
      </c>
      <c r="P403" s="24" t="inlineStr">
        <is>
          <t>KRW</t>
        </is>
      </c>
      <c r="Q403" s="24" t="inlineStr">
        <is>
          <t>14</t>
        </is>
      </c>
    </row>
    <row r="404" ht="24" customHeight="1">
      <c r="A404" s="29" t="inlineStr">
        <is>
          <t>OpenDART_fnlttSinglAcntAll</t>
        </is>
      </c>
      <c r="B404" s="29" t="inlineStr">
        <is>
          <t>00160843</t>
        </is>
      </c>
      <c r="C404" s="29" t="inlineStr">
        <is>
          <t>DB하이텍</t>
        </is>
      </c>
      <c r="D404" s="29" t="inlineStr">
        <is>
          <t>dbhitek</t>
        </is>
      </c>
      <c r="E404" s="29" t="inlineStr">
        <is>
          <t>000990</t>
        </is>
      </c>
      <c r="F404" s="29" t="inlineStr">
        <is>
          <t>2023</t>
        </is>
      </c>
      <c r="G404" s="29" t="inlineStr">
        <is>
          <t>CFS</t>
        </is>
      </c>
      <c r="H404" s="29" t="inlineStr">
        <is>
          <t>CF</t>
        </is>
      </c>
      <c r="I404" s="29" t="inlineStr">
        <is>
          <t>현금흐름표</t>
        </is>
      </c>
      <c r="J404" s="29" t="inlineStr">
        <is>
          <t>ifrs-full_PaymentsOfLeaseLiabilitiesClassifiedAsFinancingActivities</t>
        </is>
      </c>
      <c r="K404" s="29" t="inlineStr">
        <is>
          <t>리스부채의 지급</t>
        </is>
      </c>
      <c r="L404" s="29" t="inlineStr">
        <is>
          <t>-</t>
        </is>
      </c>
      <c r="M404" s="29" t="inlineStr">
        <is>
          <t>제 71 기</t>
        </is>
      </c>
      <c r="N404" s="29" t="inlineStr">
        <is>
          <t>4674847365.0</t>
        </is>
      </c>
      <c r="O404" s="29" t="inlineStr">
        <is>
          <t>3780569912.0</t>
        </is>
      </c>
      <c r="P404" s="29" t="inlineStr">
        <is>
          <t>KRW</t>
        </is>
      </c>
      <c r="Q404" s="29" t="inlineStr">
        <is>
          <t>15</t>
        </is>
      </c>
    </row>
    <row r="405" ht="24" customHeight="1">
      <c r="A405" s="24" t="inlineStr">
        <is>
          <t>OpenDART_fnlttSinglAcntAll</t>
        </is>
      </c>
      <c r="B405" s="24" t="inlineStr">
        <is>
          <t>00160843</t>
        </is>
      </c>
      <c r="C405" s="24" t="inlineStr">
        <is>
          <t>DB하이텍</t>
        </is>
      </c>
      <c r="D405" s="24" t="inlineStr">
        <is>
          <t>dbhitek</t>
        </is>
      </c>
      <c r="E405" s="24" t="inlineStr">
        <is>
          <t>000990</t>
        </is>
      </c>
      <c r="F405" s="24" t="inlineStr">
        <is>
          <t>2023</t>
        </is>
      </c>
      <c r="G405" s="24" t="inlineStr">
        <is>
          <t>CFS</t>
        </is>
      </c>
      <c r="H405" s="24" t="inlineStr">
        <is>
          <t>CF</t>
        </is>
      </c>
      <c r="I405" s="24" t="inlineStr">
        <is>
          <t>현금흐름표</t>
        </is>
      </c>
      <c r="J405" s="24" t="inlineStr">
        <is>
          <t>ifrs-full_ProceedsFromGovernmentGrantsClassifiedAsFinancingActivities</t>
        </is>
      </c>
      <c r="K405" s="24" t="inlineStr">
        <is>
          <t>정부보조금의 수취</t>
        </is>
      </c>
      <c r="L405" s="24" t="inlineStr">
        <is>
          <t>-</t>
        </is>
      </c>
      <c r="M405" s="24" t="inlineStr">
        <is>
          <t>제 71 기</t>
        </is>
      </c>
      <c r="N405" s="24" t="inlineStr">
        <is>
          <t>145039266.0</t>
        </is>
      </c>
      <c r="O405" s="24" t="inlineStr">
        <is>
          <t>80831718.0</t>
        </is>
      </c>
      <c r="P405" s="24" t="inlineStr">
        <is>
          <t>KRW</t>
        </is>
      </c>
      <c r="Q405" s="24" t="inlineStr">
        <is>
          <t>16</t>
        </is>
      </c>
    </row>
    <row r="406" ht="24" customHeight="1">
      <c r="A406" s="29" t="inlineStr">
        <is>
          <t>OpenDART_fnlttSinglAcntAll</t>
        </is>
      </c>
      <c r="B406" s="29" t="inlineStr">
        <is>
          <t>00160843</t>
        </is>
      </c>
      <c r="C406" s="29" t="inlineStr">
        <is>
          <t>DB하이텍</t>
        </is>
      </c>
      <c r="D406" s="29" t="inlineStr">
        <is>
          <t>dbhitek</t>
        </is>
      </c>
      <c r="E406" s="29" t="inlineStr">
        <is>
          <t>000990</t>
        </is>
      </c>
      <c r="F406" s="29" t="inlineStr">
        <is>
          <t>2023</t>
        </is>
      </c>
      <c r="G406" s="29" t="inlineStr">
        <is>
          <t>CFS</t>
        </is>
      </c>
      <c r="H406" s="29" t="inlineStr">
        <is>
          <t>CF</t>
        </is>
      </c>
      <c r="I406" s="29" t="inlineStr">
        <is>
          <t>현금흐름표</t>
        </is>
      </c>
      <c r="J406" s="29" t="inlineStr">
        <is>
          <t>ifrs-full_CashFlowsFromUsedInInvestingActivities</t>
        </is>
      </c>
      <c r="K406" s="29" t="inlineStr">
        <is>
          <t>투자활동현금흐름</t>
        </is>
      </c>
      <c r="L406" s="29" t="inlineStr">
        <is>
          <t>-</t>
        </is>
      </c>
      <c r="M406" s="29" t="inlineStr">
        <is>
          <t>제 71 기</t>
        </is>
      </c>
      <c r="N406" s="29" t="inlineStr">
        <is>
          <t>27488934945.0</t>
        </is>
      </c>
      <c r="O406" s="29" t="inlineStr">
        <is>
          <t>-708793931234.0</t>
        </is>
      </c>
      <c r="P406" s="29" t="inlineStr">
        <is>
          <t>KRW</t>
        </is>
      </c>
      <c r="Q406" s="29" t="inlineStr">
        <is>
          <t>17</t>
        </is>
      </c>
    </row>
    <row r="407" ht="24" customHeight="1">
      <c r="A407" s="24" t="inlineStr">
        <is>
          <t>OpenDART_fnlttSinglAcntAll</t>
        </is>
      </c>
      <c r="B407" s="24" t="inlineStr">
        <is>
          <t>00160843</t>
        </is>
      </c>
      <c r="C407" s="24" t="inlineStr">
        <is>
          <t>DB하이텍</t>
        </is>
      </c>
      <c r="D407" s="24" t="inlineStr">
        <is>
          <t>dbhitek</t>
        </is>
      </c>
      <c r="E407" s="24" t="inlineStr">
        <is>
          <t>000990</t>
        </is>
      </c>
      <c r="F407" s="24" t="inlineStr">
        <is>
          <t>2023</t>
        </is>
      </c>
      <c r="G407" s="24" t="inlineStr">
        <is>
          <t>CFS</t>
        </is>
      </c>
      <c r="H407" s="24" t="inlineStr">
        <is>
          <t>CF</t>
        </is>
      </c>
      <c r="I407" s="24" t="inlineStr">
        <is>
          <t>현금흐름표</t>
        </is>
      </c>
      <c r="J407" s="24" t="inlineStr">
        <is>
          <t>dart_DecreaseInGuaranteeDeposits</t>
        </is>
      </c>
      <c r="K407" s="24" t="inlineStr">
        <is>
          <t>임차보증금의 감소</t>
        </is>
      </c>
      <c r="L407" s="24" t="inlineStr">
        <is>
          <t>-</t>
        </is>
      </c>
      <c r="M407" s="24" t="inlineStr">
        <is>
          <t>제 71 기</t>
        </is>
      </c>
      <c r="N407" s="24" t="inlineStr">
        <is>
          <t>507170602.0</t>
        </is>
      </c>
      <c r="O407" s="24" t="inlineStr">
        <is>
          <t>1691131108.0</t>
        </is>
      </c>
      <c r="P407" s="24" t="inlineStr">
        <is>
          <t>KRW</t>
        </is>
      </c>
      <c r="Q407" s="24" t="inlineStr">
        <is>
          <t>18</t>
        </is>
      </c>
    </row>
    <row r="408" ht="24" customHeight="1">
      <c r="A408" s="29" t="inlineStr">
        <is>
          <t>OpenDART_fnlttSinglAcntAll</t>
        </is>
      </c>
      <c r="B408" s="29" t="inlineStr">
        <is>
          <t>00160843</t>
        </is>
      </c>
      <c r="C408" s="29" t="inlineStr">
        <is>
          <t>DB하이텍</t>
        </is>
      </c>
      <c r="D408" s="29" t="inlineStr">
        <is>
          <t>dbhitek</t>
        </is>
      </c>
      <c r="E408" s="29" t="inlineStr">
        <is>
          <t>000990</t>
        </is>
      </c>
      <c r="F408" s="29" t="inlineStr">
        <is>
          <t>2023</t>
        </is>
      </c>
      <c r="G408" s="29" t="inlineStr">
        <is>
          <t>CFS</t>
        </is>
      </c>
      <c r="H408" s="29" t="inlineStr">
        <is>
          <t>CF</t>
        </is>
      </c>
      <c r="I408" s="29" t="inlineStr">
        <is>
          <t>현금흐름표</t>
        </is>
      </c>
      <c r="J408" s="29" t="inlineStr">
        <is>
          <t>dart_IncreaseInGuaranteeDeposits</t>
        </is>
      </c>
      <c r="K408" s="29" t="inlineStr">
        <is>
          <t>임차보증금의 증가</t>
        </is>
      </c>
      <c r="L408" s="29" t="inlineStr">
        <is>
          <t>-</t>
        </is>
      </c>
      <c r="M408" s="29" t="inlineStr">
        <is>
          <t>제 71 기</t>
        </is>
      </c>
      <c r="N408" s="29" t="inlineStr">
        <is>
          <t>1551875567.0</t>
        </is>
      </c>
      <c r="O408" s="29" t="inlineStr">
        <is>
          <t>2364084883.0</t>
        </is>
      </c>
      <c r="P408" s="29" t="inlineStr">
        <is>
          <t>KRW</t>
        </is>
      </c>
      <c r="Q408" s="29" t="inlineStr">
        <is>
          <t>19</t>
        </is>
      </c>
    </row>
    <row r="409" ht="24" customHeight="1">
      <c r="A409" s="24" t="inlineStr">
        <is>
          <t>OpenDART_fnlttSinglAcntAll</t>
        </is>
      </c>
      <c r="B409" s="24" t="inlineStr">
        <is>
          <t>00160843</t>
        </is>
      </c>
      <c r="C409" s="24" t="inlineStr">
        <is>
          <t>DB하이텍</t>
        </is>
      </c>
      <c r="D409" s="24" t="inlineStr">
        <is>
          <t>dbhitek</t>
        </is>
      </c>
      <c r="E409" s="24" t="inlineStr">
        <is>
          <t>000990</t>
        </is>
      </c>
      <c r="F409" s="24" t="inlineStr">
        <is>
          <t>2023</t>
        </is>
      </c>
      <c r="G409" s="24" t="inlineStr">
        <is>
          <t>CFS</t>
        </is>
      </c>
      <c r="H409" s="24" t="inlineStr">
        <is>
          <t>CF</t>
        </is>
      </c>
      <c r="I409" s="24" t="inlineStr">
        <is>
          <t>현금흐름표</t>
        </is>
      </c>
      <c r="J409" s="24" t="inlineStr">
        <is>
          <t>dart_ProceedsFromSalesOfLongTermFinancialInstruments</t>
        </is>
      </c>
      <c r="K409" s="24" t="inlineStr">
        <is>
          <t>장기금융상품의 처분</t>
        </is>
      </c>
      <c r="L409" s="24" t="inlineStr">
        <is>
          <t>-</t>
        </is>
      </c>
      <c r="M409" s="24" t="inlineStr">
        <is>
          <t>제 71 기</t>
        </is>
      </c>
      <c r="N409" s="24" t="inlineStr">
        <is>
          <t>87933575.0</t>
        </is>
      </c>
      <c r="O409" s="24" t="inlineStr">
        <is>
          <t>3000000.0</t>
        </is>
      </c>
      <c r="P409" s="24" t="inlineStr">
        <is>
          <t>KRW</t>
        </is>
      </c>
      <c r="Q409" s="24" t="inlineStr">
        <is>
          <t>20</t>
        </is>
      </c>
    </row>
    <row r="410" ht="24" customHeight="1">
      <c r="A410" s="29" t="inlineStr">
        <is>
          <t>OpenDART_fnlttSinglAcntAll</t>
        </is>
      </c>
      <c r="B410" s="29" t="inlineStr">
        <is>
          <t>00160843</t>
        </is>
      </c>
      <c r="C410" s="29" t="inlineStr">
        <is>
          <t>DB하이텍</t>
        </is>
      </c>
      <c r="D410" s="29" t="inlineStr">
        <is>
          <t>dbhitek</t>
        </is>
      </c>
      <c r="E410" s="29" t="inlineStr">
        <is>
          <t>000990</t>
        </is>
      </c>
      <c r="F410" s="29" t="inlineStr">
        <is>
          <t>2023</t>
        </is>
      </c>
      <c r="G410" s="29" t="inlineStr">
        <is>
          <t>CFS</t>
        </is>
      </c>
      <c r="H410" s="29" t="inlineStr">
        <is>
          <t>CF</t>
        </is>
      </c>
      <c r="I410" s="29" t="inlineStr">
        <is>
          <t>현금흐름표</t>
        </is>
      </c>
      <c r="J410" s="29" t="inlineStr">
        <is>
          <t>dart_ProceedsFromSalesOfLongTermLoansAndReceivables</t>
        </is>
      </c>
      <c r="K410" s="29" t="inlineStr">
        <is>
          <t>장기대여금및수취채권의 처분</t>
        </is>
      </c>
      <c r="L410" s="29" t="inlineStr">
        <is>
          <t>-</t>
        </is>
      </c>
      <c r="M410" s="29" t="inlineStr">
        <is>
          <t>제 71 기</t>
        </is>
      </c>
      <c r="N410" s="29" t="inlineStr">
        <is>
          <t>24814910.0</t>
        </is>
      </c>
      <c r="O410" s="29" t="inlineStr">
        <is>
          <t>6000000.0</t>
        </is>
      </c>
      <c r="P410" s="29" t="inlineStr">
        <is>
          <t>KRW</t>
        </is>
      </c>
      <c r="Q410" s="29" t="inlineStr">
        <is>
          <t>21</t>
        </is>
      </c>
    </row>
    <row r="411" ht="24" customHeight="1">
      <c r="A411" s="24" t="inlineStr">
        <is>
          <t>OpenDART_fnlttSinglAcntAll</t>
        </is>
      </c>
      <c r="B411" s="24" t="inlineStr">
        <is>
          <t>00160843</t>
        </is>
      </c>
      <c r="C411" s="24" t="inlineStr">
        <is>
          <t>DB하이텍</t>
        </is>
      </c>
      <c r="D411" s="24" t="inlineStr">
        <is>
          <t>dbhitek</t>
        </is>
      </c>
      <c r="E411" s="24" t="inlineStr">
        <is>
          <t>000990</t>
        </is>
      </c>
      <c r="F411" s="24" t="inlineStr">
        <is>
          <t>2023</t>
        </is>
      </c>
      <c r="G411" s="24" t="inlineStr">
        <is>
          <t>CFS</t>
        </is>
      </c>
      <c r="H411" s="24" t="inlineStr">
        <is>
          <t>CF</t>
        </is>
      </c>
      <c r="I411" s="24" t="inlineStr">
        <is>
          <t>현금흐름표</t>
        </is>
      </c>
      <c r="J411" s="24" t="inlineStr">
        <is>
          <t>dart_ProceedsFromSalesOfShortTermFinancialInstruments</t>
        </is>
      </c>
      <c r="K411" s="24" t="inlineStr">
        <is>
          <t>단기금융상품의 처분</t>
        </is>
      </c>
      <c r="L411" s="24" t="inlineStr">
        <is>
          <t>-</t>
        </is>
      </c>
      <c r="M411" s="24" t="inlineStr">
        <is>
          <t>제 71 기</t>
        </is>
      </c>
      <c r="N411" s="24" t="inlineStr">
        <is>
          <t>875876213101.0</t>
        </is>
      </c>
      <c r="O411" s="24" t="inlineStr">
        <is>
          <t>569850142535.0</t>
        </is>
      </c>
      <c r="P411" s="24" t="inlineStr">
        <is>
          <t>KRW</t>
        </is>
      </c>
      <c r="Q411" s="24" t="inlineStr">
        <is>
          <t>22</t>
        </is>
      </c>
    </row>
    <row r="412" ht="24" customHeight="1">
      <c r="A412" s="29" t="inlineStr">
        <is>
          <t>OpenDART_fnlttSinglAcntAll</t>
        </is>
      </c>
      <c r="B412" s="29" t="inlineStr">
        <is>
          <t>00160843</t>
        </is>
      </c>
      <c r="C412" s="29" t="inlineStr">
        <is>
          <t>DB하이텍</t>
        </is>
      </c>
      <c r="D412" s="29" t="inlineStr">
        <is>
          <t>dbhitek</t>
        </is>
      </c>
      <c r="E412" s="29" t="inlineStr">
        <is>
          <t>000990</t>
        </is>
      </c>
      <c r="F412" s="29" t="inlineStr">
        <is>
          <t>2023</t>
        </is>
      </c>
      <c r="G412" s="29" t="inlineStr">
        <is>
          <t>CFS</t>
        </is>
      </c>
      <c r="H412" s="29" t="inlineStr">
        <is>
          <t>CF</t>
        </is>
      </c>
      <c r="I412" s="29" t="inlineStr">
        <is>
          <t>현금흐름표</t>
        </is>
      </c>
      <c r="J412" s="29" t="inlineStr">
        <is>
          <t>dart_PurchaseOfFinancialAssetsAtFairValueThroughOtherComprehensiveIncome</t>
        </is>
      </c>
      <c r="K412" s="29" t="inlineStr">
        <is>
          <t>기타포괄손익-공정가치측정금융자산의취득</t>
        </is>
      </c>
      <c r="L412" s="29" t="inlineStr">
        <is>
          <t>-</t>
        </is>
      </c>
      <c r="M412" s="29" t="inlineStr">
        <is>
          <t>제 71 기</t>
        </is>
      </c>
      <c r="N412" s="29" t="inlineStr">
        <is>
          <t>160000000.0</t>
        </is>
      </c>
      <c r="O412" s="29" t="inlineStr">
        <is>
          <t>0.0</t>
        </is>
      </c>
      <c r="P412" s="29" t="inlineStr">
        <is>
          <t>KRW</t>
        </is>
      </c>
      <c r="Q412" s="29" t="inlineStr">
        <is>
          <t>23</t>
        </is>
      </c>
    </row>
    <row r="413" ht="24" customHeight="1">
      <c r="A413" s="24" t="inlineStr">
        <is>
          <t>OpenDART_fnlttSinglAcntAll</t>
        </is>
      </c>
      <c r="B413" s="24" t="inlineStr">
        <is>
          <t>00160843</t>
        </is>
      </c>
      <c r="C413" s="24" t="inlineStr">
        <is>
          <t>DB하이텍</t>
        </is>
      </c>
      <c r="D413" s="24" t="inlineStr">
        <is>
          <t>dbhitek</t>
        </is>
      </c>
      <c r="E413" s="24" t="inlineStr">
        <is>
          <t>000990</t>
        </is>
      </c>
      <c r="F413" s="24" t="inlineStr">
        <is>
          <t>2023</t>
        </is>
      </c>
      <c r="G413" s="24" t="inlineStr">
        <is>
          <t>CFS</t>
        </is>
      </c>
      <c r="H413" s="24" t="inlineStr">
        <is>
          <t>CF</t>
        </is>
      </c>
      <c r="I413" s="24" t="inlineStr">
        <is>
          <t>현금흐름표</t>
        </is>
      </c>
      <c r="J413" s="24" t="inlineStr">
        <is>
          <t>dart_PurchaseOfInvestmentsInAssociates</t>
        </is>
      </c>
      <c r="K413" s="24" t="inlineStr">
        <is>
          <t>관계기업에 대한 투자자산의 취득</t>
        </is>
      </c>
      <c r="L413" s="24" t="inlineStr">
        <is>
          <t>-</t>
        </is>
      </c>
      <c r="M413" s="24" t="inlineStr">
        <is>
          <t>제 71 기</t>
        </is>
      </c>
      <c r="N413" s="24" t="inlineStr">
        <is>
          <t>0.0</t>
        </is>
      </c>
      <c r="O413" s="24" t="inlineStr">
        <is>
          <t>1674000000.0</t>
        </is>
      </c>
      <c r="P413" s="24" t="inlineStr">
        <is>
          <t>KRW</t>
        </is>
      </c>
      <c r="Q413" s="24" t="inlineStr">
        <is>
          <t>24</t>
        </is>
      </c>
    </row>
    <row r="414" ht="24" customHeight="1">
      <c r="A414" s="29" t="inlineStr">
        <is>
          <t>OpenDART_fnlttSinglAcntAll</t>
        </is>
      </c>
      <c r="B414" s="29" t="inlineStr">
        <is>
          <t>00160843</t>
        </is>
      </c>
      <c r="C414" s="29" t="inlineStr">
        <is>
          <t>DB하이텍</t>
        </is>
      </c>
      <c r="D414" s="29" t="inlineStr">
        <is>
          <t>dbhitek</t>
        </is>
      </c>
      <c r="E414" s="29" t="inlineStr">
        <is>
          <t>000990</t>
        </is>
      </c>
      <c r="F414" s="29" t="inlineStr">
        <is>
          <t>2023</t>
        </is>
      </c>
      <c r="G414" s="29" t="inlineStr">
        <is>
          <t>CFS</t>
        </is>
      </c>
      <c r="H414" s="29" t="inlineStr">
        <is>
          <t>CF</t>
        </is>
      </c>
      <c r="I414" s="29" t="inlineStr">
        <is>
          <t>현금흐름표</t>
        </is>
      </c>
      <c r="J414" s="29" t="inlineStr">
        <is>
          <t>dart_PurchaseOfLongTermFinancialInstruments</t>
        </is>
      </c>
      <c r="K414" s="29" t="inlineStr">
        <is>
          <t>장기금융상품의 취득</t>
        </is>
      </c>
      <c r="L414" s="29" t="inlineStr">
        <is>
          <t>-</t>
        </is>
      </c>
      <c r="M414" s="29" t="inlineStr">
        <is>
          <t>제 71 기</t>
        </is>
      </c>
      <c r="N414" s="29" t="inlineStr">
        <is>
          <t>0.0</t>
        </is>
      </c>
      <c r="O414" s="29" t="inlineStr">
        <is>
          <t>357147.0</t>
        </is>
      </c>
      <c r="P414" s="29" t="inlineStr">
        <is>
          <t>KRW</t>
        </is>
      </c>
      <c r="Q414" s="29" t="inlineStr">
        <is>
          <t>25</t>
        </is>
      </c>
    </row>
    <row r="415" ht="24" customHeight="1">
      <c r="A415" s="24" t="inlineStr">
        <is>
          <t>OpenDART_fnlttSinglAcntAll</t>
        </is>
      </c>
      <c r="B415" s="24" t="inlineStr">
        <is>
          <t>00160843</t>
        </is>
      </c>
      <c r="C415" s="24" t="inlineStr">
        <is>
          <t>DB하이텍</t>
        </is>
      </c>
      <c r="D415" s="24" t="inlineStr">
        <is>
          <t>dbhitek</t>
        </is>
      </c>
      <c r="E415" s="24" t="inlineStr">
        <is>
          <t>000990</t>
        </is>
      </c>
      <c r="F415" s="24" t="inlineStr">
        <is>
          <t>2023</t>
        </is>
      </c>
      <c r="G415" s="24" t="inlineStr">
        <is>
          <t>CFS</t>
        </is>
      </c>
      <c r="H415" s="24" t="inlineStr">
        <is>
          <t>CF</t>
        </is>
      </c>
      <c r="I415" s="24" t="inlineStr">
        <is>
          <t>현금흐름표</t>
        </is>
      </c>
      <c r="J415" s="24" t="inlineStr">
        <is>
          <t>dart_PurchaseOfLongTermLoansAndReceivables</t>
        </is>
      </c>
      <c r="K415" s="24" t="inlineStr">
        <is>
          <t>장기대여금및수취채권의 취득</t>
        </is>
      </c>
      <c r="L415" s="24" t="inlineStr">
        <is>
          <t>-</t>
        </is>
      </c>
      <c r="M415" s="24" t="inlineStr">
        <is>
          <t>제 71 기</t>
        </is>
      </c>
      <c r="N415" s="24" t="inlineStr">
        <is>
          <t>1350000000.0</t>
        </is>
      </c>
      <c r="O415" s="24" t="inlineStr">
        <is>
          <t>37000000.0</t>
        </is>
      </c>
      <c r="P415" s="24" t="inlineStr">
        <is>
          <t>KRW</t>
        </is>
      </c>
      <c r="Q415" s="24" t="inlineStr">
        <is>
          <t>26</t>
        </is>
      </c>
    </row>
    <row r="416" ht="24" customHeight="1">
      <c r="A416" s="29" t="inlineStr">
        <is>
          <t>OpenDART_fnlttSinglAcntAll</t>
        </is>
      </c>
      <c r="B416" s="29" t="inlineStr">
        <is>
          <t>00160843</t>
        </is>
      </c>
      <c r="C416" s="29" t="inlineStr">
        <is>
          <t>DB하이텍</t>
        </is>
      </c>
      <c r="D416" s="29" t="inlineStr">
        <is>
          <t>dbhitek</t>
        </is>
      </c>
      <c r="E416" s="29" t="inlineStr">
        <is>
          <t>000990</t>
        </is>
      </c>
      <c r="F416" s="29" t="inlineStr">
        <is>
          <t>2023</t>
        </is>
      </c>
      <c r="G416" s="29" t="inlineStr">
        <is>
          <t>CFS</t>
        </is>
      </c>
      <c r="H416" s="29" t="inlineStr">
        <is>
          <t>CF</t>
        </is>
      </c>
      <c r="I416" s="29" t="inlineStr">
        <is>
          <t>현금흐름표</t>
        </is>
      </c>
      <c r="J416" s="29" t="inlineStr">
        <is>
          <t>dart_PurchaseOfShortTermFinancialInstruments</t>
        </is>
      </c>
      <c r="K416" s="29" t="inlineStr">
        <is>
          <t>단기금융상품의 증가</t>
        </is>
      </c>
      <c r="L416" s="29" t="inlineStr">
        <is>
          <t>-</t>
        </is>
      </c>
      <c r="M416" s="29" t="inlineStr">
        <is>
          <t>제 71 기</t>
        </is>
      </c>
      <c r="N416" s="29" t="inlineStr">
        <is>
          <t>610825643836.0</t>
        </is>
      </c>
      <c r="O416" s="29" t="inlineStr">
        <is>
          <t>988517442923.0</t>
        </is>
      </c>
      <c r="P416" s="29" t="inlineStr">
        <is>
          <t>KRW</t>
        </is>
      </c>
      <c r="Q416" s="29" t="inlineStr">
        <is>
          <t>27</t>
        </is>
      </c>
    </row>
    <row r="417" ht="24" customHeight="1">
      <c r="A417" s="24" t="inlineStr">
        <is>
          <t>OpenDART_fnlttSinglAcntAll</t>
        </is>
      </c>
      <c r="B417" s="24" t="inlineStr">
        <is>
          <t>00160843</t>
        </is>
      </c>
      <c r="C417" s="24" t="inlineStr">
        <is>
          <t>DB하이텍</t>
        </is>
      </c>
      <c r="D417" s="24" t="inlineStr">
        <is>
          <t>dbhitek</t>
        </is>
      </c>
      <c r="E417" s="24" t="inlineStr">
        <is>
          <t>000990</t>
        </is>
      </c>
      <c r="F417" s="24" t="inlineStr">
        <is>
          <t>2023</t>
        </is>
      </c>
      <c r="G417" s="24" t="inlineStr">
        <is>
          <t>CFS</t>
        </is>
      </c>
      <c r="H417" s="24" t="inlineStr">
        <is>
          <t>CF</t>
        </is>
      </c>
      <c r="I417" s="24" t="inlineStr">
        <is>
          <t>현금흐름표</t>
        </is>
      </c>
      <c r="J417" s="24" t="inlineStr">
        <is>
          <t>dart_PurchaseOfShortTermLoansAndReceivables</t>
        </is>
      </c>
      <c r="K417" s="24" t="inlineStr">
        <is>
          <t>단기대여금및수취채권의 취득</t>
        </is>
      </c>
      <c r="L417" s="24" t="inlineStr">
        <is>
          <t>-</t>
        </is>
      </c>
      <c r="M417" s="24" t="inlineStr">
        <is>
          <t>제 71 기</t>
        </is>
      </c>
      <c r="N417" s="24" t="inlineStr">
        <is>
          <t>-14400000.0</t>
        </is>
      </c>
      <c r="O417" s="24" t="inlineStr">
        <is>
          <t>0.0</t>
        </is>
      </c>
      <c r="P417" s="24" t="inlineStr">
        <is>
          <t>KRW</t>
        </is>
      </c>
      <c r="Q417" s="24" t="inlineStr">
        <is>
          <t>28</t>
        </is>
      </c>
    </row>
    <row r="418" ht="24" customHeight="1">
      <c r="A418" s="29" t="inlineStr">
        <is>
          <t>OpenDART_fnlttSinglAcntAll</t>
        </is>
      </c>
      <c r="B418" s="29" t="inlineStr">
        <is>
          <t>00160843</t>
        </is>
      </c>
      <c r="C418" s="29" t="inlineStr">
        <is>
          <t>DB하이텍</t>
        </is>
      </c>
      <c r="D418" s="29" t="inlineStr">
        <is>
          <t>dbhitek</t>
        </is>
      </c>
      <c r="E418" s="29" t="inlineStr">
        <is>
          <t>000990</t>
        </is>
      </c>
      <c r="F418" s="29" t="inlineStr">
        <is>
          <t>2023</t>
        </is>
      </c>
      <c r="G418" s="29" t="inlineStr">
        <is>
          <t>CFS</t>
        </is>
      </c>
      <c r="H418" s="29" t="inlineStr">
        <is>
          <t>CF</t>
        </is>
      </c>
      <c r="I418" s="29" t="inlineStr">
        <is>
          <t>현금흐름표</t>
        </is>
      </c>
      <c r="J418" s="29" t="inlineStr">
        <is>
          <t>-표준계정코드 미사용-</t>
        </is>
      </c>
      <c r="K418" s="29" t="inlineStr">
        <is>
          <t>기타금융자산의 순증감</t>
        </is>
      </c>
      <c r="L418" s="29" t="inlineStr">
        <is>
          <t>-</t>
        </is>
      </c>
      <c r="M418" s="29" t="inlineStr">
        <is>
          <t>제 71 기</t>
        </is>
      </c>
      <c r="N418" s="29" t="inlineStr">
        <is>
          <t>88607867488.0</t>
        </is>
      </c>
      <c r="O418" s="29" t="inlineStr">
        <is>
          <t>-101692523176.0</t>
        </is>
      </c>
      <c r="P418" s="29" t="inlineStr">
        <is>
          <t>KRW</t>
        </is>
      </c>
      <c r="Q418" s="29" t="inlineStr">
        <is>
          <t>29</t>
        </is>
      </c>
    </row>
    <row r="419" ht="24" customHeight="1">
      <c r="A419" s="24" t="inlineStr">
        <is>
          <t>OpenDART_fnlttSinglAcntAll</t>
        </is>
      </c>
      <c r="B419" s="24" t="inlineStr">
        <is>
          <t>00160843</t>
        </is>
      </c>
      <c r="C419" s="24" t="inlineStr">
        <is>
          <t>DB하이텍</t>
        </is>
      </c>
      <c r="D419" s="24" t="inlineStr">
        <is>
          <t>dbhitek</t>
        </is>
      </c>
      <c r="E419" s="24" t="inlineStr">
        <is>
          <t>000990</t>
        </is>
      </c>
      <c r="F419" s="24" t="inlineStr">
        <is>
          <t>2023</t>
        </is>
      </c>
      <c r="G419" s="24" t="inlineStr">
        <is>
          <t>CFS</t>
        </is>
      </c>
      <c r="H419" s="24" t="inlineStr">
        <is>
          <t>CF</t>
        </is>
      </c>
      <c r="I419" s="24" t="inlineStr">
        <is>
          <t>현금흐름표</t>
        </is>
      </c>
      <c r="J419" s="24" t="inlineStr">
        <is>
          <t>ifrs-full_CashAdvancesAndLoansMadeToOtherPartiesClassifiedAsInvestingActivities</t>
        </is>
      </c>
      <c r="K419" s="24" t="inlineStr">
        <is>
          <t>장기선급금의 증가</t>
        </is>
      </c>
      <c r="L419" s="24" t="inlineStr">
        <is>
          <t>-</t>
        </is>
      </c>
      <c r="M419" s="24" t="inlineStr">
        <is>
          <t>제 71 기</t>
        </is>
      </c>
      <c r="N419" s="24" t="inlineStr">
        <is>
          <t>20215347.0</t>
        </is>
      </c>
      <c r="O419" s="24" t="inlineStr">
        <is>
          <t>0.0</t>
        </is>
      </c>
      <c r="P419" s="24" t="inlineStr">
        <is>
          <t>KRW</t>
        </is>
      </c>
      <c r="Q419" s="24" t="inlineStr">
        <is>
          <t>30</t>
        </is>
      </c>
    </row>
    <row r="420" ht="24" customHeight="1">
      <c r="A420" s="29" t="inlineStr">
        <is>
          <t>OpenDART_fnlttSinglAcntAll</t>
        </is>
      </c>
      <c r="B420" s="29" t="inlineStr">
        <is>
          <t>00160843</t>
        </is>
      </c>
      <c r="C420" s="29" t="inlineStr">
        <is>
          <t>DB하이텍</t>
        </is>
      </c>
      <c r="D420" s="29" t="inlineStr">
        <is>
          <t>dbhitek</t>
        </is>
      </c>
      <c r="E420" s="29" t="inlineStr">
        <is>
          <t>000990</t>
        </is>
      </c>
      <c r="F420" s="29" t="inlineStr">
        <is>
          <t>2023</t>
        </is>
      </c>
      <c r="G420" s="29" t="inlineStr">
        <is>
          <t>CFS</t>
        </is>
      </c>
      <c r="H420" s="29" t="inlineStr">
        <is>
          <t>CF</t>
        </is>
      </c>
      <c r="I420" s="29" t="inlineStr">
        <is>
          <t>현금흐름표</t>
        </is>
      </c>
      <c r="J420" s="29" t="inlineStr">
        <is>
          <t>ifrs-full_ProceedsFromGovernmentGrantsClassifiedAsInvestingActivities</t>
        </is>
      </c>
      <c r="K420" s="29" t="inlineStr">
        <is>
          <t>정부보조금의 수취</t>
        </is>
      </c>
      <c r="L420" s="29" t="inlineStr">
        <is>
          <t>-</t>
        </is>
      </c>
      <c r="M420" s="29" t="inlineStr">
        <is>
          <t>제 71 기</t>
        </is>
      </c>
      <c r="N420" s="29" t="inlineStr">
        <is>
          <t>1619686139.0</t>
        </is>
      </c>
      <c r="O420" s="29" t="inlineStr">
        <is>
          <t>124654529.0</t>
        </is>
      </c>
      <c r="P420" s="29" t="inlineStr">
        <is>
          <t>KRW</t>
        </is>
      </c>
      <c r="Q420" s="29" t="inlineStr">
        <is>
          <t>31</t>
        </is>
      </c>
    </row>
    <row r="421" ht="24" customHeight="1">
      <c r="A421" s="24" t="inlineStr">
        <is>
          <t>OpenDART_fnlttSinglAcntAll</t>
        </is>
      </c>
      <c r="B421" s="24" t="inlineStr">
        <is>
          <t>00160843</t>
        </is>
      </c>
      <c r="C421" s="24" t="inlineStr">
        <is>
          <t>DB하이텍</t>
        </is>
      </c>
      <c r="D421" s="24" t="inlineStr">
        <is>
          <t>dbhitek</t>
        </is>
      </c>
      <c r="E421" s="24" t="inlineStr">
        <is>
          <t>000990</t>
        </is>
      </c>
      <c r="F421" s="24" t="inlineStr">
        <is>
          <t>2023</t>
        </is>
      </c>
      <c r="G421" s="24" t="inlineStr">
        <is>
          <t>CFS</t>
        </is>
      </c>
      <c r="H421" s="24" t="inlineStr">
        <is>
          <t>CF</t>
        </is>
      </c>
      <c r="I421" s="24" t="inlineStr">
        <is>
          <t>현금흐름표</t>
        </is>
      </c>
      <c r="J421" s="24" t="inlineStr">
        <is>
          <t>ifrs-full_ProceedsFromSalesOfIntangibleAssetsClassifiedAsInvestingActivities</t>
        </is>
      </c>
      <c r="K421" s="24" t="inlineStr">
        <is>
          <t>무형자산의 처분</t>
        </is>
      </c>
      <c r="L421" s="24" t="inlineStr">
        <is>
          <t>-</t>
        </is>
      </c>
      <c r="M421" s="24" t="inlineStr">
        <is>
          <t>제 71 기</t>
        </is>
      </c>
      <c r="N421" s="24" t="inlineStr">
        <is>
          <t>162818182.0</t>
        </is>
      </c>
      <c r="O421" s="24" t="inlineStr">
        <is>
          <t>58218724.0</t>
        </is>
      </c>
      <c r="P421" s="24" t="inlineStr">
        <is>
          <t>KRW</t>
        </is>
      </c>
      <c r="Q421" s="24" t="inlineStr">
        <is>
          <t>32</t>
        </is>
      </c>
    </row>
    <row r="422" ht="24" customHeight="1">
      <c r="A422" s="29" t="inlineStr">
        <is>
          <t>OpenDART_fnlttSinglAcntAll</t>
        </is>
      </c>
      <c r="B422" s="29" t="inlineStr">
        <is>
          <t>00160843</t>
        </is>
      </c>
      <c r="C422" s="29" t="inlineStr">
        <is>
          <t>DB하이텍</t>
        </is>
      </c>
      <c r="D422" s="29" t="inlineStr">
        <is>
          <t>dbhitek</t>
        </is>
      </c>
      <c r="E422" s="29" t="inlineStr">
        <is>
          <t>000990</t>
        </is>
      </c>
      <c r="F422" s="29" t="inlineStr">
        <is>
          <t>2023</t>
        </is>
      </c>
      <c r="G422" s="29" t="inlineStr">
        <is>
          <t>CFS</t>
        </is>
      </c>
      <c r="H422" s="29" t="inlineStr">
        <is>
          <t>CF</t>
        </is>
      </c>
      <c r="I422" s="29" t="inlineStr">
        <is>
          <t>현금흐름표</t>
        </is>
      </c>
      <c r="J422" s="29" t="inlineStr">
        <is>
          <t>ifrs-full_ProceedsFromSalesOfPropertyPlantAndEquipmentClassifiedAsInvestingActivities</t>
        </is>
      </c>
      <c r="K422" s="29" t="inlineStr">
        <is>
          <t>유형자산의 처분</t>
        </is>
      </c>
      <c r="L422" s="29" t="inlineStr">
        <is>
          <t>-</t>
        </is>
      </c>
      <c r="M422" s="29" t="inlineStr">
        <is>
          <t>제 71 기</t>
        </is>
      </c>
      <c r="N422" s="29" t="inlineStr">
        <is>
          <t>10094308367.0</t>
        </is>
      </c>
      <c r="O422" s="29" t="inlineStr">
        <is>
          <t>60810333.0</t>
        </is>
      </c>
      <c r="P422" s="29" t="inlineStr">
        <is>
          <t>KRW</t>
        </is>
      </c>
      <c r="Q422" s="29" t="inlineStr">
        <is>
          <t>33</t>
        </is>
      </c>
    </row>
    <row r="423" ht="24" customHeight="1">
      <c r="A423" s="24" t="inlineStr">
        <is>
          <t>OpenDART_fnlttSinglAcntAll</t>
        </is>
      </c>
      <c r="B423" s="24" t="inlineStr">
        <is>
          <t>00160843</t>
        </is>
      </c>
      <c r="C423" s="24" t="inlineStr">
        <is>
          <t>DB하이텍</t>
        </is>
      </c>
      <c r="D423" s="24" t="inlineStr">
        <is>
          <t>dbhitek</t>
        </is>
      </c>
      <c r="E423" s="24" t="inlineStr">
        <is>
          <t>000990</t>
        </is>
      </c>
      <c r="F423" s="24" t="inlineStr">
        <is>
          <t>2023</t>
        </is>
      </c>
      <c r="G423" s="24" t="inlineStr">
        <is>
          <t>CFS</t>
        </is>
      </c>
      <c r="H423" s="24" t="inlineStr">
        <is>
          <t>CF</t>
        </is>
      </c>
      <c r="I423" s="24" t="inlineStr">
        <is>
          <t>현금흐름표</t>
        </is>
      </c>
      <c r="J423" s="24" t="inlineStr">
        <is>
          <t>ifrs-full_PurchaseOfIntangibleAssetsClassifiedAsInvestingActivities</t>
        </is>
      </c>
      <c r="K423" s="24" t="inlineStr">
        <is>
          <t>무형자산의 취득</t>
        </is>
      </c>
      <c r="L423" s="24" t="inlineStr">
        <is>
          <t>-</t>
        </is>
      </c>
      <c r="M423" s="24" t="inlineStr">
        <is>
          <t>제 71 기</t>
        </is>
      </c>
      <c r="N423" s="24" t="inlineStr">
        <is>
          <t>6287486130.0</t>
        </is>
      </c>
      <c r="O423" s="24" t="inlineStr">
        <is>
          <t>4510411442.0</t>
        </is>
      </c>
      <c r="P423" s="24" t="inlineStr">
        <is>
          <t>KRW</t>
        </is>
      </c>
      <c r="Q423" s="24" t="inlineStr">
        <is>
          <t>34</t>
        </is>
      </c>
    </row>
    <row r="424" ht="24" customHeight="1">
      <c r="A424" s="29" t="inlineStr">
        <is>
          <t>OpenDART_fnlttSinglAcntAll</t>
        </is>
      </c>
      <c r="B424" s="29" t="inlineStr">
        <is>
          <t>00160843</t>
        </is>
      </c>
      <c r="C424" s="29" t="inlineStr">
        <is>
          <t>DB하이텍</t>
        </is>
      </c>
      <c r="D424" s="29" t="inlineStr">
        <is>
          <t>dbhitek</t>
        </is>
      </c>
      <c r="E424" s="29" t="inlineStr">
        <is>
          <t>000990</t>
        </is>
      </c>
      <c r="F424" s="29" t="inlineStr">
        <is>
          <t>2023</t>
        </is>
      </c>
      <c r="G424" s="29" t="inlineStr">
        <is>
          <t>CFS</t>
        </is>
      </c>
      <c r="H424" s="29" t="inlineStr">
        <is>
          <t>CF</t>
        </is>
      </c>
      <c r="I424" s="29" t="inlineStr">
        <is>
          <t>현금흐름표</t>
        </is>
      </c>
      <c r="J424" s="29" t="inlineStr">
        <is>
          <t>ifrs-full_PurchaseOfPropertyPlantAndEquipmentClassifiedAsInvestingActivities</t>
        </is>
      </c>
      <c r="K424" s="29" t="inlineStr">
        <is>
          <t>유형자산의 취득</t>
        </is>
      </c>
      <c r="L424" s="29" t="inlineStr">
        <is>
          <t>-</t>
        </is>
      </c>
      <c r="M424" s="29" t="inlineStr">
        <is>
          <t>제 71 기</t>
        </is>
      </c>
      <c r="N424" s="29" t="inlineStr">
        <is>
          <t>329311056539.0</t>
        </is>
      </c>
      <c r="O424" s="29" t="inlineStr">
        <is>
          <t>181792068892.0</t>
        </is>
      </c>
      <c r="P424" s="29" t="inlineStr">
        <is>
          <t>KRW</t>
        </is>
      </c>
      <c r="Q424" s="29" t="inlineStr">
        <is>
          <t>35</t>
        </is>
      </c>
    </row>
    <row r="425" ht="24" customHeight="1">
      <c r="A425" s="24" t="inlineStr">
        <is>
          <t>OpenDART_fnlttSinglAcntAll</t>
        </is>
      </c>
      <c r="B425" s="24" t="inlineStr">
        <is>
          <t>00160843</t>
        </is>
      </c>
      <c r="C425" s="24" t="inlineStr">
        <is>
          <t>DB하이텍</t>
        </is>
      </c>
      <c r="D425" s="24" t="inlineStr">
        <is>
          <t>dbhitek</t>
        </is>
      </c>
      <c r="E425" s="24" t="inlineStr">
        <is>
          <t>000990</t>
        </is>
      </c>
      <c r="F425" s="24" t="inlineStr">
        <is>
          <t>2023</t>
        </is>
      </c>
      <c r="G425" s="24" t="inlineStr">
        <is>
          <t>CFS</t>
        </is>
      </c>
      <c r="H425" s="24" t="inlineStr">
        <is>
          <t>CF</t>
        </is>
      </c>
      <c r="I425" s="24" t="inlineStr">
        <is>
          <t>현금흐름표</t>
        </is>
      </c>
      <c r="J425" s="24" t="inlineStr">
        <is>
          <t>ifrs-full_CashFlowsFromUsedInOperatingActivities</t>
        </is>
      </c>
      <c r="K425" s="24" t="inlineStr">
        <is>
          <t>영업활동현금흐름</t>
        </is>
      </c>
      <c r="L425" s="24" t="inlineStr">
        <is>
          <t>-</t>
        </is>
      </c>
      <c r="M425" s="24" t="inlineStr">
        <is>
          <t>제 71 기</t>
        </is>
      </c>
      <c r="N425" s="24" t="inlineStr">
        <is>
          <t>224258155766.0</t>
        </is>
      </c>
      <c r="O425" s="24" t="inlineStr">
        <is>
          <t>730905287732.0</t>
        </is>
      </c>
      <c r="P425" s="24" t="inlineStr">
        <is>
          <t>KRW</t>
        </is>
      </c>
      <c r="Q425" s="24" t="inlineStr">
        <is>
          <t>36</t>
        </is>
      </c>
    </row>
    <row r="426" ht="24" customHeight="1">
      <c r="A426" s="29" t="inlineStr">
        <is>
          <t>OpenDART_fnlttSinglAcntAll</t>
        </is>
      </c>
      <c r="B426" s="29" t="inlineStr">
        <is>
          <t>00160843</t>
        </is>
      </c>
      <c r="C426" s="29" t="inlineStr">
        <is>
          <t>DB하이텍</t>
        </is>
      </c>
      <c r="D426" s="29" t="inlineStr">
        <is>
          <t>dbhitek</t>
        </is>
      </c>
      <c r="E426" s="29" t="inlineStr">
        <is>
          <t>000990</t>
        </is>
      </c>
      <c r="F426" s="29" t="inlineStr">
        <is>
          <t>2023</t>
        </is>
      </c>
      <c r="G426" s="29" t="inlineStr">
        <is>
          <t>CFS</t>
        </is>
      </c>
      <c r="H426" s="29" t="inlineStr">
        <is>
          <t>CF</t>
        </is>
      </c>
      <c r="I426" s="29" t="inlineStr">
        <is>
          <t>현금흐름표</t>
        </is>
      </c>
      <c r="J426" s="29" t="inlineStr">
        <is>
          <t>dart_NetCashflowsFromUsedInOperations</t>
        </is>
      </c>
      <c r="K426" s="29" t="inlineStr">
        <is>
          <t>영업에서 창출된 현금</t>
        </is>
      </c>
      <c r="L426" s="29" t="inlineStr">
        <is>
          <t>-</t>
        </is>
      </c>
      <c r="M426" s="29" t="inlineStr">
        <is>
          <t>제 71 기</t>
        </is>
      </c>
      <c r="N426" s="29" t="inlineStr">
        <is>
          <t>434713142956.0</t>
        </is>
      </c>
      <c r="O426" s="29" t="inlineStr">
        <is>
          <t>863145831752.0</t>
        </is>
      </c>
      <c r="P426" s="29" t="inlineStr">
        <is>
          <t>KRW</t>
        </is>
      </c>
      <c r="Q426" s="29" t="inlineStr">
        <is>
          <t>37</t>
        </is>
      </c>
    </row>
    <row r="427" ht="24" customHeight="1">
      <c r="A427" s="24" t="inlineStr">
        <is>
          <t>OpenDART_fnlttSinglAcntAll</t>
        </is>
      </c>
      <c r="B427" s="24" t="inlineStr">
        <is>
          <t>00160843</t>
        </is>
      </c>
      <c r="C427" s="24" t="inlineStr">
        <is>
          <t>DB하이텍</t>
        </is>
      </c>
      <c r="D427" s="24" t="inlineStr">
        <is>
          <t>dbhitek</t>
        </is>
      </c>
      <c r="E427" s="24" t="inlineStr">
        <is>
          <t>000990</t>
        </is>
      </c>
      <c r="F427" s="24" t="inlineStr">
        <is>
          <t>2023</t>
        </is>
      </c>
      <c r="G427" s="24" t="inlineStr">
        <is>
          <t>CFS</t>
        </is>
      </c>
      <c r="H427" s="24" t="inlineStr">
        <is>
          <t>CF</t>
        </is>
      </c>
      <c r="I427" s="24" t="inlineStr">
        <is>
          <t>현금흐름표</t>
        </is>
      </c>
      <c r="J427" s="24" t="inlineStr">
        <is>
          <t>ifrs-full_DividendsPaidClassifiedAsOperatingActivities</t>
        </is>
      </c>
      <c r="K427" s="24" t="inlineStr">
        <is>
          <t>배당금지급(영업)</t>
        </is>
      </c>
      <c r="L427" s="24" t="inlineStr">
        <is>
          <t>-</t>
        </is>
      </c>
      <c r="M427" s="24" t="inlineStr">
        <is>
          <t>제 71 기</t>
        </is>
      </c>
      <c r="N427" s="24" t="inlineStr">
        <is>
          <t>56504612200.0</t>
        </is>
      </c>
      <c r="O427" s="24" t="inlineStr">
        <is>
          <t>19562638100.0</t>
        </is>
      </c>
      <c r="P427" s="24" t="inlineStr">
        <is>
          <t>KRW</t>
        </is>
      </c>
      <c r="Q427" s="24" t="inlineStr">
        <is>
          <t>38</t>
        </is>
      </c>
    </row>
    <row r="428" ht="24" customHeight="1">
      <c r="A428" s="29" t="inlineStr">
        <is>
          <t>OpenDART_fnlttSinglAcntAll</t>
        </is>
      </c>
      <c r="B428" s="29" t="inlineStr">
        <is>
          <t>00160843</t>
        </is>
      </c>
      <c r="C428" s="29" t="inlineStr">
        <is>
          <t>DB하이텍</t>
        </is>
      </c>
      <c r="D428" s="29" t="inlineStr">
        <is>
          <t>dbhitek</t>
        </is>
      </c>
      <c r="E428" s="29" t="inlineStr">
        <is>
          <t>000990</t>
        </is>
      </c>
      <c r="F428" s="29" t="inlineStr">
        <is>
          <t>2023</t>
        </is>
      </c>
      <c r="G428" s="29" t="inlineStr">
        <is>
          <t>CFS</t>
        </is>
      </c>
      <c r="H428" s="29" t="inlineStr">
        <is>
          <t>CF</t>
        </is>
      </c>
      <c r="I428" s="29" t="inlineStr">
        <is>
          <t>현금흐름표</t>
        </is>
      </c>
      <c r="J428" s="29" t="inlineStr">
        <is>
          <t>ifrs-full_DividendsReceivedClassifiedAsOperatingActivities</t>
        </is>
      </c>
      <c r="K428" s="29" t="inlineStr">
        <is>
          <t>배당금수취(영업)</t>
        </is>
      </c>
      <c r="L428" s="29" t="inlineStr">
        <is>
          <t>-</t>
        </is>
      </c>
      <c r="M428" s="29" t="inlineStr">
        <is>
          <t>제 71 기</t>
        </is>
      </c>
      <c r="N428" s="29" t="inlineStr">
        <is>
          <t>542439652.0</t>
        </is>
      </c>
      <c r="O428" s="29" t="inlineStr">
        <is>
          <t>299341093.0</t>
        </is>
      </c>
      <c r="P428" s="29" t="inlineStr">
        <is>
          <t>KRW</t>
        </is>
      </c>
      <c r="Q428" s="29" t="inlineStr">
        <is>
          <t>39</t>
        </is>
      </c>
    </row>
    <row r="429" ht="24" customHeight="1">
      <c r="A429" s="24" t="inlineStr">
        <is>
          <t>OpenDART_fnlttSinglAcntAll</t>
        </is>
      </c>
      <c r="B429" s="24" t="inlineStr">
        <is>
          <t>00160843</t>
        </is>
      </c>
      <c r="C429" s="24" t="inlineStr">
        <is>
          <t>DB하이텍</t>
        </is>
      </c>
      <c r="D429" s="24" t="inlineStr">
        <is>
          <t>dbhitek</t>
        </is>
      </c>
      <c r="E429" s="24" t="inlineStr">
        <is>
          <t>000990</t>
        </is>
      </c>
      <c r="F429" s="24" t="inlineStr">
        <is>
          <t>2023</t>
        </is>
      </c>
      <c r="G429" s="24" t="inlineStr">
        <is>
          <t>CFS</t>
        </is>
      </c>
      <c r="H429" s="24" t="inlineStr">
        <is>
          <t>CF</t>
        </is>
      </c>
      <c r="I429" s="24" t="inlineStr">
        <is>
          <t>현금흐름표</t>
        </is>
      </c>
      <c r="J429" s="24" t="inlineStr">
        <is>
          <t>ifrs-full_IncomeTaxesPaidRefundClassifiedAsOperatingActivities</t>
        </is>
      </c>
      <c r="K429" s="24" t="inlineStr">
        <is>
          <t>법인세환급(납부)</t>
        </is>
      </c>
      <c r="L429" s="24" t="inlineStr">
        <is>
          <t>-</t>
        </is>
      </c>
      <c r="M429" s="24" t="inlineStr">
        <is>
          <t>제 71 기</t>
        </is>
      </c>
      <c r="N429" s="24" t="inlineStr">
        <is>
          <t>178717371100.0</t>
        </is>
      </c>
      <c r="O429" s="24" t="inlineStr">
        <is>
          <t>120926946670.0</t>
        </is>
      </c>
      <c r="P429" s="24" t="inlineStr">
        <is>
          <t>KRW</t>
        </is>
      </c>
      <c r="Q429" s="24" t="inlineStr">
        <is>
          <t>40</t>
        </is>
      </c>
    </row>
    <row r="430" ht="24" customHeight="1">
      <c r="A430" s="29" t="inlineStr">
        <is>
          <t>OpenDART_fnlttSinglAcntAll</t>
        </is>
      </c>
      <c r="B430" s="29" t="inlineStr">
        <is>
          <t>00160843</t>
        </is>
      </c>
      <c r="C430" s="29" t="inlineStr">
        <is>
          <t>DB하이텍</t>
        </is>
      </c>
      <c r="D430" s="29" t="inlineStr">
        <is>
          <t>dbhitek</t>
        </is>
      </c>
      <c r="E430" s="29" t="inlineStr">
        <is>
          <t>000990</t>
        </is>
      </c>
      <c r="F430" s="29" t="inlineStr">
        <is>
          <t>2023</t>
        </is>
      </c>
      <c r="G430" s="29" t="inlineStr">
        <is>
          <t>CFS</t>
        </is>
      </c>
      <c r="H430" s="29" t="inlineStr">
        <is>
          <t>CF</t>
        </is>
      </c>
      <c r="I430" s="29" t="inlineStr">
        <is>
          <t>현금흐름표</t>
        </is>
      </c>
      <c r="J430" s="29" t="inlineStr">
        <is>
          <t>ifrs-full_InterestPaidClassifiedAsOperatingActivities</t>
        </is>
      </c>
      <c r="K430" s="29" t="inlineStr">
        <is>
          <t>이자지급(영업)</t>
        </is>
      </c>
      <c r="L430" s="29" t="inlineStr">
        <is>
          <t>-</t>
        </is>
      </c>
      <c r="M430" s="29" t="inlineStr">
        <is>
          <t>제 71 기</t>
        </is>
      </c>
      <c r="N430" s="29" t="inlineStr">
        <is>
          <t>1153045852.0</t>
        </is>
      </c>
      <c r="O430" s="29" t="inlineStr">
        <is>
          <t>1473108208.0</t>
        </is>
      </c>
      <c r="P430" s="29" t="inlineStr">
        <is>
          <t>KRW</t>
        </is>
      </c>
      <c r="Q430" s="29" t="inlineStr">
        <is>
          <t>41</t>
        </is>
      </c>
    </row>
    <row r="431" ht="24" customHeight="1">
      <c r="A431" s="24" t="inlineStr">
        <is>
          <t>OpenDART_fnlttSinglAcntAll</t>
        </is>
      </c>
      <c r="B431" s="24" t="inlineStr">
        <is>
          <t>00160843</t>
        </is>
      </c>
      <c r="C431" s="24" t="inlineStr">
        <is>
          <t>DB하이텍</t>
        </is>
      </c>
      <c r="D431" s="24" t="inlineStr">
        <is>
          <t>dbhitek</t>
        </is>
      </c>
      <c r="E431" s="24" t="inlineStr">
        <is>
          <t>000990</t>
        </is>
      </c>
      <c r="F431" s="24" t="inlineStr">
        <is>
          <t>2023</t>
        </is>
      </c>
      <c r="G431" s="24" t="inlineStr">
        <is>
          <t>CFS</t>
        </is>
      </c>
      <c r="H431" s="24" t="inlineStr">
        <is>
          <t>CF</t>
        </is>
      </c>
      <c r="I431" s="24" t="inlineStr">
        <is>
          <t>현금흐름표</t>
        </is>
      </c>
      <c r="J431" s="24" t="inlineStr">
        <is>
          <t>ifrs-full_InterestReceivedClassifiedAsOperatingActivities</t>
        </is>
      </c>
      <c r="K431" s="24" t="inlineStr">
        <is>
          <t>이자수취</t>
        </is>
      </c>
      <c r="L431" s="24" t="inlineStr">
        <is>
          <t>-</t>
        </is>
      </c>
      <c r="M431" s="24" t="inlineStr">
        <is>
          <t>제 71 기</t>
        </is>
      </c>
      <c r="N431" s="24" t="inlineStr">
        <is>
          <t>25377602310.0</t>
        </is>
      </c>
      <c r="O431" s="24" t="inlineStr">
        <is>
          <t>9422807865.0</t>
        </is>
      </c>
      <c r="P431" s="24" t="inlineStr">
        <is>
          <t>KRW</t>
        </is>
      </c>
      <c r="Q431" s="24" t="inlineStr">
        <is>
          <t>42</t>
        </is>
      </c>
    </row>
    <row r="432" ht="24" customHeight="1">
      <c r="A432" s="29" t="inlineStr">
        <is>
          <t>OpenDART_fnlttSinglAcntAll</t>
        </is>
      </c>
      <c r="B432" s="29" t="inlineStr">
        <is>
          <t>00160843</t>
        </is>
      </c>
      <c r="C432" s="29" t="inlineStr">
        <is>
          <t>DB하이텍</t>
        </is>
      </c>
      <c r="D432" s="29" t="inlineStr">
        <is>
          <t>dbhitek</t>
        </is>
      </c>
      <c r="E432" s="29" t="inlineStr">
        <is>
          <t>000990</t>
        </is>
      </c>
      <c r="F432" s="29" t="inlineStr">
        <is>
          <t>2023</t>
        </is>
      </c>
      <c r="G432" s="29" t="inlineStr">
        <is>
          <t>CFS</t>
        </is>
      </c>
      <c r="H432" s="29" t="inlineStr">
        <is>
          <t>CF</t>
        </is>
      </c>
      <c r="I432" s="29" t="inlineStr">
        <is>
          <t>현금흐름표</t>
        </is>
      </c>
      <c r="J432" s="29" t="inlineStr">
        <is>
          <t>ifrs-full_EffectOfExchangeRateChangesOnCashAndCashEquivalents</t>
        </is>
      </c>
      <c r="K432" s="29" t="inlineStr">
        <is>
          <t>현금및현금성자산에 대한 환율변동효과</t>
        </is>
      </c>
      <c r="L432" s="29" t="inlineStr">
        <is>
          <t>-</t>
        </is>
      </c>
      <c r="M432" s="29" t="inlineStr">
        <is>
          <t>제 71 기</t>
        </is>
      </c>
      <c r="N432" s="29" t="inlineStr">
        <is>
          <t>-5378275396.0</t>
        </is>
      </c>
      <c r="O432" s="29" t="inlineStr">
        <is>
          <t>-5654178756.0</t>
        </is>
      </c>
      <c r="P432" s="29" t="inlineStr">
        <is>
          <t>KRW</t>
        </is>
      </c>
      <c r="Q432" s="29" t="inlineStr">
        <is>
          <t>43</t>
        </is>
      </c>
    </row>
    <row r="433" ht="24" customHeight="1">
      <c r="A433" s="24" t="inlineStr">
        <is>
          <t>OpenDART_fnlttSinglAcntAll</t>
        </is>
      </c>
      <c r="B433" s="24" t="inlineStr">
        <is>
          <t>00160843</t>
        </is>
      </c>
      <c r="C433" s="24" t="inlineStr">
        <is>
          <t>DB하이텍</t>
        </is>
      </c>
      <c r="D433" s="24" t="inlineStr">
        <is>
          <t>dbhitek</t>
        </is>
      </c>
      <c r="E433" s="24" t="inlineStr">
        <is>
          <t>000990</t>
        </is>
      </c>
      <c r="F433" s="24" t="inlineStr">
        <is>
          <t>2023</t>
        </is>
      </c>
      <c r="G433" s="24" t="inlineStr">
        <is>
          <t>CFS</t>
        </is>
      </c>
      <c r="H433" s="24" t="inlineStr">
        <is>
          <t>CF</t>
        </is>
      </c>
      <c r="I433" s="24" t="inlineStr">
        <is>
          <t>현금흐름표</t>
        </is>
      </c>
      <c r="J433" s="24" t="inlineStr">
        <is>
          <t>ifrs-full_IncreaseDecreaseInCashAndCashEquivalentsBeforeEffectOfExchangeRateChanges</t>
        </is>
      </c>
      <c r="K433" s="24" t="inlineStr">
        <is>
          <t>환율변동효과 반영전 현금및현금성자산의 순증가(감소)</t>
        </is>
      </c>
      <c r="L433" s="24" t="inlineStr">
        <is>
          <t>-</t>
        </is>
      </c>
      <c r="M433" s="24" t="inlineStr">
        <is>
          <t>제 71 기</t>
        </is>
      </c>
      <c r="N433" s="24" t="inlineStr">
        <is>
          <t>105049880937.0</t>
        </is>
      </c>
      <c r="O433" s="24" t="inlineStr">
        <is>
          <t>-23705509347.0</t>
        </is>
      </c>
      <c r="P433" s="24" t="inlineStr">
        <is>
          <t>KRW</t>
        </is>
      </c>
      <c r="Q433" s="24" t="inlineStr">
        <is>
          <t>44</t>
        </is>
      </c>
    </row>
    <row r="434" ht="24" customHeight="1">
      <c r="A434" s="29" t="inlineStr">
        <is>
          <t>OpenDART_fnlttSinglAcntAll</t>
        </is>
      </c>
      <c r="B434" s="29" t="inlineStr">
        <is>
          <t>00160843</t>
        </is>
      </c>
      <c r="C434" s="29" t="inlineStr">
        <is>
          <t>DB하이텍</t>
        </is>
      </c>
      <c r="D434" s="29" t="inlineStr">
        <is>
          <t>dbhitek</t>
        </is>
      </c>
      <c r="E434" s="29" t="inlineStr">
        <is>
          <t>000990</t>
        </is>
      </c>
      <c r="F434" s="29" t="inlineStr">
        <is>
          <t>2023</t>
        </is>
      </c>
      <c r="G434" s="29" t="inlineStr">
        <is>
          <t>CFS</t>
        </is>
      </c>
      <c r="H434" s="29" t="inlineStr">
        <is>
          <t>SCE</t>
        </is>
      </c>
      <c r="I434" s="29" t="inlineStr">
        <is>
          <t>자본변동표</t>
        </is>
      </c>
      <c r="J434" s="29" t="inlineStr">
        <is>
          <t>dart_EquityAtBeginningOfPeriod</t>
        </is>
      </c>
      <c r="K434" s="29" t="inlineStr">
        <is>
          <t>기초자본</t>
        </is>
      </c>
      <c r="L434" s="29" t="inlineStr">
        <is>
          <t>자본 [구성요소]|지배기업의 소유주에게 귀속되는 지분 [구성요소]|자본금 [구성요소]</t>
        </is>
      </c>
      <c r="M434" s="29" t="inlineStr">
        <is>
          <t>제 71 기</t>
        </is>
      </c>
      <c r="N434" s="29" t="inlineStr">
        <is>
          <t>222555835000.0</t>
        </is>
      </c>
      <c r="O434" s="29" t="inlineStr">
        <is>
          <t>222555835000.0</t>
        </is>
      </c>
      <c r="P434" s="29" t="inlineStr">
        <is>
          <t>KRW</t>
        </is>
      </c>
      <c r="Q434" s="29" t="inlineStr">
        <is>
          <t>3</t>
        </is>
      </c>
    </row>
    <row r="435" ht="24" customHeight="1">
      <c r="A435" s="24" t="inlineStr">
        <is>
          <t>OpenDART_fnlttSinglAcntAll</t>
        </is>
      </c>
      <c r="B435" s="24" t="inlineStr">
        <is>
          <t>00160843</t>
        </is>
      </c>
      <c r="C435" s="24" t="inlineStr">
        <is>
          <t>DB하이텍</t>
        </is>
      </c>
      <c r="D435" s="24" t="inlineStr">
        <is>
          <t>dbhitek</t>
        </is>
      </c>
      <c r="E435" s="24" t="inlineStr">
        <is>
          <t>000990</t>
        </is>
      </c>
      <c r="F435" s="24" t="inlineStr">
        <is>
          <t>2023</t>
        </is>
      </c>
      <c r="G435" s="24" t="inlineStr">
        <is>
          <t>CFS</t>
        </is>
      </c>
      <c r="H435" s="24" t="inlineStr">
        <is>
          <t>SCE</t>
        </is>
      </c>
      <c r="I435" s="24" t="inlineStr">
        <is>
          <t>자본변동표</t>
        </is>
      </c>
      <c r="J435" s="24" t="inlineStr">
        <is>
          <t>dart_EquityAtBeginningOfPeriod</t>
        </is>
      </c>
      <c r="K435" s="24" t="inlineStr">
        <is>
          <t>기초자본</t>
        </is>
      </c>
      <c r="L435" s="24" t="inlineStr">
        <is>
          <t>자본 [구성요소]|지배기업의 소유주에게 귀속되는 지분 [구성요소]|이익잉여금 [구성요소]</t>
        </is>
      </c>
      <c r="M435" s="24" t="inlineStr">
        <is>
          <t>제 71 기</t>
        </is>
      </c>
      <c r="N435" s="24" t="inlineStr">
        <is>
          <t>1362360581571.0</t>
        </is>
      </c>
      <c r="O435" s="24" t="inlineStr">
        <is>
          <t>831078599878.0</t>
        </is>
      </c>
      <c r="P435" s="24" t="inlineStr">
        <is>
          <t>KRW</t>
        </is>
      </c>
      <c r="Q435" s="24" t="inlineStr">
        <is>
          <t>3</t>
        </is>
      </c>
    </row>
    <row r="436" ht="24" customHeight="1">
      <c r="A436" s="29" t="inlineStr">
        <is>
          <t>OpenDART_fnlttSinglAcntAll</t>
        </is>
      </c>
      <c r="B436" s="29" t="inlineStr">
        <is>
          <t>00160843</t>
        </is>
      </c>
      <c r="C436" s="29" t="inlineStr">
        <is>
          <t>DB하이텍</t>
        </is>
      </c>
      <c r="D436" s="29" t="inlineStr">
        <is>
          <t>dbhitek</t>
        </is>
      </c>
      <c r="E436" s="29" t="inlineStr">
        <is>
          <t>000990</t>
        </is>
      </c>
      <c r="F436" s="29" t="inlineStr">
        <is>
          <t>2023</t>
        </is>
      </c>
      <c r="G436" s="29" t="inlineStr">
        <is>
          <t>CFS</t>
        </is>
      </c>
      <c r="H436" s="29" t="inlineStr">
        <is>
          <t>SCE</t>
        </is>
      </c>
      <c r="I436" s="29" t="inlineStr">
        <is>
          <t>자본변동표</t>
        </is>
      </c>
      <c r="J436" s="29" t="inlineStr">
        <is>
          <t>dart_EquityAtBeginningOfPeriod</t>
        </is>
      </c>
      <c r="K436" s="29" t="inlineStr">
        <is>
          <t>기초자본</t>
        </is>
      </c>
      <c r="L436" s="29" t="inlineStr">
        <is>
          <t>자본 [구성요소]|지배기업의 소유주에게 귀속되는 지분 [구성요소]|기타자본구성요소 [구성요소]</t>
        </is>
      </c>
      <c r="M436" s="29" t="inlineStr">
        <is>
          <t>제 71 기</t>
        </is>
      </c>
      <c r="N436" s="29" t="inlineStr">
        <is>
          <t>-77460548970.0</t>
        </is>
      </c>
      <c r="O436" s="29" t="inlineStr">
        <is>
          <t>-75803373341.0</t>
        </is>
      </c>
      <c r="P436" s="29" t="inlineStr">
        <is>
          <t>KRW</t>
        </is>
      </c>
      <c r="Q436" s="29" t="inlineStr">
        <is>
          <t>3</t>
        </is>
      </c>
    </row>
    <row r="437" ht="24" customHeight="1">
      <c r="A437" s="24" t="inlineStr">
        <is>
          <t>OpenDART_fnlttSinglAcntAll</t>
        </is>
      </c>
      <c r="B437" s="24" t="inlineStr">
        <is>
          <t>00160843</t>
        </is>
      </c>
      <c r="C437" s="24" t="inlineStr">
        <is>
          <t>DB하이텍</t>
        </is>
      </c>
      <c r="D437" s="24" t="inlineStr">
        <is>
          <t>dbhitek</t>
        </is>
      </c>
      <c r="E437" s="24" t="inlineStr">
        <is>
          <t>000990</t>
        </is>
      </c>
      <c r="F437" s="24" t="inlineStr">
        <is>
          <t>2023</t>
        </is>
      </c>
      <c r="G437" s="24" t="inlineStr">
        <is>
          <t>CFS</t>
        </is>
      </c>
      <c r="H437" s="24" t="inlineStr">
        <is>
          <t>SCE</t>
        </is>
      </c>
      <c r="I437" s="24" t="inlineStr">
        <is>
          <t>자본변동표</t>
        </is>
      </c>
      <c r="J437" s="24" t="inlineStr">
        <is>
          <t>dart_EquityAtBeginningOfPeriod</t>
        </is>
      </c>
      <c r="K437" s="24" t="inlineStr">
        <is>
          <t>기초자본</t>
        </is>
      </c>
      <c r="L437" s="24" t="inlineStr">
        <is>
          <t>연결재무제표 [member]</t>
        </is>
      </c>
      <c r="M437" s="24" t="inlineStr">
        <is>
          <t>제 71 기</t>
        </is>
      </c>
      <c r="N437" s="24" t="inlineStr">
        <is>
          <t>1634784143895.0</t>
        </is>
      </c>
      <c r="O437" s="24" t="inlineStr">
        <is>
          <t>1105159337831.0</t>
        </is>
      </c>
      <c r="P437" s="24" t="inlineStr">
        <is>
          <t>KRW</t>
        </is>
      </c>
      <c r="Q437" s="24" t="inlineStr">
        <is>
          <t>3</t>
        </is>
      </c>
    </row>
    <row r="438" ht="24" customHeight="1">
      <c r="A438" s="29" t="inlineStr">
        <is>
          <t>OpenDART_fnlttSinglAcntAll</t>
        </is>
      </c>
      <c r="B438" s="29" t="inlineStr">
        <is>
          <t>00160843</t>
        </is>
      </c>
      <c r="C438" s="29" t="inlineStr">
        <is>
          <t>DB하이텍</t>
        </is>
      </c>
      <c r="D438" s="29" t="inlineStr">
        <is>
          <t>dbhitek</t>
        </is>
      </c>
      <c r="E438" s="29" t="inlineStr">
        <is>
          <t>000990</t>
        </is>
      </c>
      <c r="F438" s="29" t="inlineStr">
        <is>
          <t>2023</t>
        </is>
      </c>
      <c r="G438" s="29" t="inlineStr">
        <is>
          <t>CFS</t>
        </is>
      </c>
      <c r="H438" s="29" t="inlineStr">
        <is>
          <t>SCE</t>
        </is>
      </c>
      <c r="I438" s="29" t="inlineStr">
        <is>
          <t>자본변동표</t>
        </is>
      </c>
      <c r="J438" s="29" t="inlineStr">
        <is>
          <t>dart_EquityAtBeginningOfPeriod</t>
        </is>
      </c>
      <c r="K438" s="29" t="inlineStr">
        <is>
          <t>기초자본</t>
        </is>
      </c>
      <c r="L438" s="29" t="inlineStr">
        <is>
          <t>자본 [구성요소]|비지배지분 [구성요소]</t>
        </is>
      </c>
      <c r="M438" s="29" t="inlineStr">
        <is>
          <t>제 71 기</t>
        </is>
      </c>
      <c r="N438" s="29" t="inlineStr">
        <is>
          <t>0.0</t>
        </is>
      </c>
      <c r="O438" s="29" t="inlineStr">
        <is>
          <t>0.0</t>
        </is>
      </c>
      <c r="P438" s="29" t="inlineStr">
        <is>
          <t>KRW</t>
        </is>
      </c>
      <c r="Q438" s="29" t="inlineStr">
        <is>
          <t>3</t>
        </is>
      </c>
    </row>
    <row r="439" ht="24" customHeight="1">
      <c r="A439" s="24" t="inlineStr">
        <is>
          <t>OpenDART_fnlttSinglAcntAll</t>
        </is>
      </c>
      <c r="B439" s="24" t="inlineStr">
        <is>
          <t>00160843</t>
        </is>
      </c>
      <c r="C439" s="24" t="inlineStr">
        <is>
          <t>DB하이텍</t>
        </is>
      </c>
      <c r="D439" s="24" t="inlineStr">
        <is>
          <t>dbhitek</t>
        </is>
      </c>
      <c r="E439" s="24" t="inlineStr">
        <is>
          <t>000990</t>
        </is>
      </c>
      <c r="F439" s="24" t="inlineStr">
        <is>
          <t>2023</t>
        </is>
      </c>
      <c r="G439" s="24" t="inlineStr">
        <is>
          <t>CFS</t>
        </is>
      </c>
      <c r="H439" s="24" t="inlineStr">
        <is>
          <t>SCE</t>
        </is>
      </c>
      <c r="I439" s="24" t="inlineStr">
        <is>
          <t>자본변동표</t>
        </is>
      </c>
      <c r="J439" s="24" t="inlineStr">
        <is>
          <t>dart_EquityAtBeginningOfPeriod</t>
        </is>
      </c>
      <c r="K439" s="24" t="inlineStr">
        <is>
          <t>기초자본</t>
        </is>
      </c>
      <c r="L439" s="24" t="inlineStr">
        <is>
          <t>자본 [구성요소]|지배기업의 소유주에게 귀속되는 지분 [구성요소]</t>
        </is>
      </c>
      <c r="M439" s="24" t="inlineStr">
        <is>
          <t>제 71 기</t>
        </is>
      </c>
      <c r="N439" s="24" t="inlineStr">
        <is>
          <t>1634784143895.0</t>
        </is>
      </c>
      <c r="O439" s="24" t="inlineStr">
        <is>
          <t>1105159337831.0</t>
        </is>
      </c>
      <c r="P439" s="24" t="inlineStr">
        <is>
          <t>KRW</t>
        </is>
      </c>
      <c r="Q439" s="24" t="inlineStr">
        <is>
          <t>3</t>
        </is>
      </c>
    </row>
    <row r="440" ht="24" customHeight="1">
      <c r="A440" s="29" t="inlineStr">
        <is>
          <t>OpenDART_fnlttSinglAcntAll</t>
        </is>
      </c>
      <c r="B440" s="29" t="inlineStr">
        <is>
          <t>00160843</t>
        </is>
      </c>
      <c r="C440" s="29" t="inlineStr">
        <is>
          <t>DB하이텍</t>
        </is>
      </c>
      <c r="D440" s="29" t="inlineStr">
        <is>
          <t>dbhitek</t>
        </is>
      </c>
      <c r="E440" s="29" t="inlineStr">
        <is>
          <t>000990</t>
        </is>
      </c>
      <c r="F440" s="29" t="inlineStr">
        <is>
          <t>2023</t>
        </is>
      </c>
      <c r="G440" s="29" t="inlineStr">
        <is>
          <t>CFS</t>
        </is>
      </c>
      <c r="H440" s="29" t="inlineStr">
        <is>
          <t>SCE</t>
        </is>
      </c>
      <c r="I440" s="29" t="inlineStr">
        <is>
          <t>자본변동표</t>
        </is>
      </c>
      <c r="J440" s="29" t="inlineStr">
        <is>
          <t>dart_EquityAtBeginningOfPeriod</t>
        </is>
      </c>
      <c r="K440" s="29" t="inlineStr">
        <is>
          <t>기초자본</t>
        </is>
      </c>
      <c r="L440" s="29" t="inlineStr">
        <is>
          <t>자본 [구성요소]|지배기업의 소유주에게 귀속되는 지분 [구성요소]|자본잉여금 [구성요소]</t>
        </is>
      </c>
      <c r="M440" s="29" t="inlineStr">
        <is>
          <t>제 71 기</t>
        </is>
      </c>
      <c r="N440" s="29" t="inlineStr">
        <is>
          <t>127328276294.0</t>
        </is>
      </c>
      <c r="O440" s="29" t="inlineStr">
        <is>
          <t>127328276294.0</t>
        </is>
      </c>
      <c r="P440" s="29" t="inlineStr">
        <is>
          <t>KRW</t>
        </is>
      </c>
      <c r="Q440" s="29" t="inlineStr">
        <is>
          <t>3</t>
        </is>
      </c>
    </row>
    <row r="441" ht="24" customHeight="1">
      <c r="A441" s="24" t="inlineStr">
        <is>
          <t>OpenDART_fnlttSinglAcntAll</t>
        </is>
      </c>
      <c r="B441" s="24" t="inlineStr">
        <is>
          <t>00160843</t>
        </is>
      </c>
      <c r="C441" s="24" t="inlineStr">
        <is>
          <t>DB하이텍</t>
        </is>
      </c>
      <c r="D441" s="24" t="inlineStr">
        <is>
          <t>dbhitek</t>
        </is>
      </c>
      <c r="E441" s="24" t="inlineStr">
        <is>
          <t>000990</t>
        </is>
      </c>
      <c r="F441" s="24" t="inlineStr">
        <is>
          <t>2023</t>
        </is>
      </c>
      <c r="G441" s="24" t="inlineStr">
        <is>
          <t>CFS</t>
        </is>
      </c>
      <c r="H441" s="24" t="inlineStr">
        <is>
          <t>SCE</t>
        </is>
      </c>
      <c r="I441" s="24" t="inlineStr">
        <is>
          <t>자본변동표</t>
        </is>
      </c>
      <c r="J441" s="24" t="inlineStr">
        <is>
          <t>dart_TreasuryShareTransactions</t>
        </is>
      </c>
      <c r="K441" s="24" t="inlineStr">
        <is>
          <t>자기주식 거래로 인한 증감</t>
        </is>
      </c>
      <c r="L441" s="24" t="inlineStr">
        <is>
          <t>자본 [구성요소]|지배기업의 소유주에게 귀속되는 지분 [구성요소]|자본금 [구성요소]</t>
        </is>
      </c>
      <c r="M441" s="24" t="inlineStr">
        <is>
          <t>제 71 기</t>
        </is>
      </c>
      <c r="N441" s="24" t="inlineStr">
        <is>
          <t>0.0</t>
        </is>
      </c>
      <c r="O441" s="24" t="inlineStr">
        <is>
          <t>0.0</t>
        </is>
      </c>
      <c r="P441" s="24" t="inlineStr">
        <is>
          <t>KRW</t>
        </is>
      </c>
      <c r="Q441" s="24" t="inlineStr">
        <is>
          <t>4</t>
        </is>
      </c>
    </row>
    <row r="442" ht="24" customHeight="1">
      <c r="A442" s="29" t="inlineStr">
        <is>
          <t>OpenDART_fnlttSinglAcntAll</t>
        </is>
      </c>
      <c r="B442" s="29" t="inlineStr">
        <is>
          <t>00160843</t>
        </is>
      </c>
      <c r="C442" s="29" t="inlineStr">
        <is>
          <t>DB하이텍</t>
        </is>
      </c>
      <c r="D442" s="29" t="inlineStr">
        <is>
          <t>dbhitek</t>
        </is>
      </c>
      <c r="E442" s="29" t="inlineStr">
        <is>
          <t>000990</t>
        </is>
      </c>
      <c r="F442" s="29" t="inlineStr">
        <is>
          <t>2023</t>
        </is>
      </c>
      <c r="G442" s="29" t="inlineStr">
        <is>
          <t>CFS</t>
        </is>
      </c>
      <c r="H442" s="29" t="inlineStr">
        <is>
          <t>SCE</t>
        </is>
      </c>
      <c r="I442" s="29" t="inlineStr">
        <is>
          <t>자본변동표</t>
        </is>
      </c>
      <c r="J442" s="29" t="inlineStr">
        <is>
          <t>dart_TreasuryShareTransactions</t>
        </is>
      </c>
      <c r="K442" s="29" t="inlineStr">
        <is>
          <t>자기주식 거래로 인한 증감</t>
        </is>
      </c>
      <c r="L442" s="29" t="inlineStr">
        <is>
          <t>자본 [구성요소]|지배기업의 소유주에게 귀속되는 지분 [구성요소]|이익잉여금 [구성요소]</t>
        </is>
      </c>
      <c r="M442" s="29" t="inlineStr">
        <is>
          <t>제 71 기</t>
        </is>
      </c>
      <c r="N442" s="29" t="inlineStr">
        <is>
          <t>0.0</t>
        </is>
      </c>
      <c r="O442" s="29" t="inlineStr">
        <is>
          <t>0.0</t>
        </is>
      </c>
      <c r="P442" s="29" t="inlineStr">
        <is>
          <t>KRW</t>
        </is>
      </c>
      <c r="Q442" s="29" t="inlineStr">
        <is>
          <t>4</t>
        </is>
      </c>
    </row>
    <row r="443" ht="24" customHeight="1">
      <c r="A443" s="24" t="inlineStr">
        <is>
          <t>OpenDART_fnlttSinglAcntAll</t>
        </is>
      </c>
      <c r="B443" s="24" t="inlineStr">
        <is>
          <t>00160843</t>
        </is>
      </c>
      <c r="C443" s="24" t="inlineStr">
        <is>
          <t>DB하이텍</t>
        </is>
      </c>
      <c r="D443" s="24" t="inlineStr">
        <is>
          <t>dbhitek</t>
        </is>
      </c>
      <c r="E443" s="24" t="inlineStr">
        <is>
          <t>000990</t>
        </is>
      </c>
      <c r="F443" s="24" t="inlineStr">
        <is>
          <t>2023</t>
        </is>
      </c>
      <c r="G443" s="24" t="inlineStr">
        <is>
          <t>CFS</t>
        </is>
      </c>
      <c r="H443" s="24" t="inlineStr">
        <is>
          <t>SCE</t>
        </is>
      </c>
      <c r="I443" s="24" t="inlineStr">
        <is>
          <t>자본변동표</t>
        </is>
      </c>
      <c r="J443" s="24" t="inlineStr">
        <is>
          <t>dart_TreasuryShareTransactions</t>
        </is>
      </c>
      <c r="K443" s="24" t="inlineStr">
        <is>
          <t>자기주식 거래로 인한 증감</t>
        </is>
      </c>
      <c r="L443" s="24" t="inlineStr">
        <is>
          <t>자본 [구성요소]|지배기업의 소유주에게 귀속되는 지분 [구성요소]|기타자본구성요소 [구성요소]</t>
        </is>
      </c>
      <c r="M443" s="24" t="inlineStr">
        <is>
          <t>제 71 기</t>
        </is>
      </c>
      <c r="N443" s="24" t="inlineStr">
        <is>
          <t>-100450331460.0</t>
        </is>
      </c>
      <c r="O443" s="24" t="inlineStr">
        <is>
          <t>0.0</t>
        </is>
      </c>
      <c r="P443" s="24" t="inlineStr">
        <is>
          <t>KRW</t>
        </is>
      </c>
      <c r="Q443" s="24" t="inlineStr">
        <is>
          <t>4</t>
        </is>
      </c>
    </row>
    <row r="444" ht="24" customHeight="1">
      <c r="A444" s="29" t="inlineStr">
        <is>
          <t>OpenDART_fnlttSinglAcntAll</t>
        </is>
      </c>
      <c r="B444" s="29" t="inlineStr">
        <is>
          <t>00160843</t>
        </is>
      </c>
      <c r="C444" s="29" t="inlineStr">
        <is>
          <t>DB하이텍</t>
        </is>
      </c>
      <c r="D444" s="29" t="inlineStr">
        <is>
          <t>dbhitek</t>
        </is>
      </c>
      <c r="E444" s="29" t="inlineStr">
        <is>
          <t>000990</t>
        </is>
      </c>
      <c r="F444" s="29" t="inlineStr">
        <is>
          <t>2023</t>
        </is>
      </c>
      <c r="G444" s="29" t="inlineStr">
        <is>
          <t>CFS</t>
        </is>
      </c>
      <c r="H444" s="29" t="inlineStr">
        <is>
          <t>SCE</t>
        </is>
      </c>
      <c r="I444" s="29" t="inlineStr">
        <is>
          <t>자본변동표</t>
        </is>
      </c>
      <c r="J444" s="29" t="inlineStr">
        <is>
          <t>dart_TreasuryShareTransactions</t>
        </is>
      </c>
      <c r="K444" s="29" t="inlineStr">
        <is>
          <t>자기주식 거래로 인한 증감</t>
        </is>
      </c>
      <c r="L444" s="29" t="inlineStr">
        <is>
          <t>자본 [구성요소]|지배기업의 소유주에게 귀속되는 지분 [구성요소]</t>
        </is>
      </c>
      <c r="M444" s="29" t="inlineStr">
        <is>
          <t>제 71 기</t>
        </is>
      </c>
      <c r="N444" s="29" t="inlineStr">
        <is>
          <t>-100450331460.0</t>
        </is>
      </c>
      <c r="O444" s="29" t="inlineStr">
        <is>
          <t>0.0</t>
        </is>
      </c>
      <c r="P444" s="29" t="inlineStr">
        <is>
          <t>KRW</t>
        </is>
      </c>
      <c r="Q444" s="29" t="inlineStr">
        <is>
          <t>4</t>
        </is>
      </c>
    </row>
    <row r="445" ht="24" customHeight="1">
      <c r="A445" s="24" t="inlineStr">
        <is>
          <t>OpenDART_fnlttSinglAcntAll</t>
        </is>
      </c>
      <c r="B445" s="24" t="inlineStr">
        <is>
          <t>00160843</t>
        </is>
      </c>
      <c r="C445" s="24" t="inlineStr">
        <is>
          <t>DB하이텍</t>
        </is>
      </c>
      <c r="D445" s="24" t="inlineStr">
        <is>
          <t>dbhitek</t>
        </is>
      </c>
      <c r="E445" s="24" t="inlineStr">
        <is>
          <t>000990</t>
        </is>
      </c>
      <c r="F445" s="24" t="inlineStr">
        <is>
          <t>2023</t>
        </is>
      </c>
      <c r="G445" s="24" t="inlineStr">
        <is>
          <t>CFS</t>
        </is>
      </c>
      <c r="H445" s="24" t="inlineStr">
        <is>
          <t>SCE</t>
        </is>
      </c>
      <c r="I445" s="24" t="inlineStr">
        <is>
          <t>자본변동표</t>
        </is>
      </c>
      <c r="J445" s="24" t="inlineStr">
        <is>
          <t>dart_TreasuryShareTransactions</t>
        </is>
      </c>
      <c r="K445" s="24" t="inlineStr">
        <is>
          <t>자기주식 거래로 인한 증감</t>
        </is>
      </c>
      <c r="L445" s="24" t="inlineStr">
        <is>
          <t>자본 [구성요소]|비지배지분 [구성요소]</t>
        </is>
      </c>
      <c r="M445" s="24" t="inlineStr">
        <is>
          <t>제 71 기</t>
        </is>
      </c>
      <c r="N445" s="24" t="inlineStr">
        <is>
          <t>0.0</t>
        </is>
      </c>
      <c r="O445" s="24" t="inlineStr">
        <is>
          <t>0.0</t>
        </is>
      </c>
      <c r="P445" s="24" t="inlineStr">
        <is>
          <t>KRW</t>
        </is>
      </c>
      <c r="Q445" s="24" t="inlineStr">
        <is>
          <t>4</t>
        </is>
      </c>
    </row>
    <row r="446" ht="24" customHeight="1">
      <c r="A446" s="29" t="inlineStr">
        <is>
          <t>OpenDART_fnlttSinglAcntAll</t>
        </is>
      </c>
      <c r="B446" s="29" t="inlineStr">
        <is>
          <t>00160843</t>
        </is>
      </c>
      <c r="C446" s="29" t="inlineStr">
        <is>
          <t>DB하이텍</t>
        </is>
      </c>
      <c r="D446" s="29" t="inlineStr">
        <is>
          <t>dbhitek</t>
        </is>
      </c>
      <c r="E446" s="29" t="inlineStr">
        <is>
          <t>000990</t>
        </is>
      </c>
      <c r="F446" s="29" t="inlineStr">
        <is>
          <t>2023</t>
        </is>
      </c>
      <c r="G446" s="29" t="inlineStr">
        <is>
          <t>CFS</t>
        </is>
      </c>
      <c r="H446" s="29" t="inlineStr">
        <is>
          <t>SCE</t>
        </is>
      </c>
      <c r="I446" s="29" t="inlineStr">
        <is>
          <t>자본변동표</t>
        </is>
      </c>
      <c r="J446" s="29" t="inlineStr">
        <is>
          <t>dart_TreasuryShareTransactions</t>
        </is>
      </c>
      <c r="K446" s="29" t="inlineStr">
        <is>
          <t>자기주식 거래로 인한 증감</t>
        </is>
      </c>
      <c r="L446" s="29" t="inlineStr">
        <is>
          <t>연결재무제표 [member]</t>
        </is>
      </c>
      <c r="M446" s="29" t="inlineStr">
        <is>
          <t>제 71 기</t>
        </is>
      </c>
      <c r="N446" s="29" t="inlineStr">
        <is>
          <t>-100450331460.0</t>
        </is>
      </c>
      <c r="O446" s="29" t="inlineStr">
        <is>
          <t>0.0</t>
        </is>
      </c>
      <c r="P446" s="29" t="inlineStr">
        <is>
          <t>KRW</t>
        </is>
      </c>
      <c r="Q446" s="29" t="inlineStr">
        <is>
          <t>4</t>
        </is>
      </c>
    </row>
    <row r="447" ht="24" customHeight="1">
      <c r="A447" s="24" t="inlineStr">
        <is>
          <t>OpenDART_fnlttSinglAcntAll</t>
        </is>
      </c>
      <c r="B447" s="24" t="inlineStr">
        <is>
          <t>00160843</t>
        </is>
      </c>
      <c r="C447" s="24" t="inlineStr">
        <is>
          <t>DB하이텍</t>
        </is>
      </c>
      <c r="D447" s="24" t="inlineStr">
        <is>
          <t>dbhitek</t>
        </is>
      </c>
      <c r="E447" s="24" t="inlineStr">
        <is>
          <t>000990</t>
        </is>
      </c>
      <c r="F447" s="24" t="inlineStr">
        <is>
          <t>2023</t>
        </is>
      </c>
      <c r="G447" s="24" t="inlineStr">
        <is>
          <t>CFS</t>
        </is>
      </c>
      <c r="H447" s="24" t="inlineStr">
        <is>
          <t>SCE</t>
        </is>
      </c>
      <c r="I447" s="24" t="inlineStr">
        <is>
          <t>자본변동표</t>
        </is>
      </c>
      <c r="J447" s="24" t="inlineStr">
        <is>
          <t>dart_TreasuryShareTransactions</t>
        </is>
      </c>
      <c r="K447" s="24" t="inlineStr">
        <is>
          <t>자기주식 거래로 인한 증감</t>
        </is>
      </c>
      <c r="L447" s="24" t="inlineStr">
        <is>
          <t>자본 [구성요소]|지배기업의 소유주에게 귀속되는 지분 [구성요소]|자본잉여금 [구성요소]</t>
        </is>
      </c>
      <c r="M447" s="24" t="inlineStr">
        <is>
          <t>제 71 기</t>
        </is>
      </c>
      <c r="N447" s="24" t="inlineStr">
        <is>
          <t>0.0</t>
        </is>
      </c>
      <c r="O447" s="24" t="inlineStr">
        <is>
          <t>0.0</t>
        </is>
      </c>
      <c r="P447" s="24" t="inlineStr">
        <is>
          <t>KRW</t>
        </is>
      </c>
      <c r="Q447" s="24" t="inlineStr">
        <is>
          <t>4</t>
        </is>
      </c>
    </row>
    <row r="448" ht="24" customHeight="1">
      <c r="A448" s="29" t="inlineStr">
        <is>
          <t>OpenDART_fnlttSinglAcntAll</t>
        </is>
      </c>
      <c r="B448" s="29" t="inlineStr">
        <is>
          <t>00160843</t>
        </is>
      </c>
      <c r="C448" s="29" t="inlineStr">
        <is>
          <t>DB하이텍</t>
        </is>
      </c>
      <c r="D448" s="29" t="inlineStr">
        <is>
          <t>dbhitek</t>
        </is>
      </c>
      <c r="E448" s="29" t="inlineStr">
        <is>
          <t>000990</t>
        </is>
      </c>
      <c r="F448" s="29" t="inlineStr">
        <is>
          <t>2023</t>
        </is>
      </c>
      <c r="G448" s="29" t="inlineStr">
        <is>
          <t>CFS</t>
        </is>
      </c>
      <c r="H448" s="29" t="inlineStr">
        <is>
          <t>SCE</t>
        </is>
      </c>
      <c r="I448" s="29" t="inlineStr">
        <is>
          <t>자본변동표</t>
        </is>
      </c>
      <c r="J448" s="29" t="inlineStr">
        <is>
          <t>-표준계정코드 미사용-</t>
        </is>
      </c>
      <c r="K448" s="29" t="inlineStr">
        <is>
          <t>관계기업투자 평가</t>
        </is>
      </c>
      <c r="L448" s="29" t="inlineStr">
        <is>
          <t>연결재무제표 [member]</t>
        </is>
      </c>
      <c r="M448" s="29" t="inlineStr">
        <is>
          <t>제 71 기</t>
        </is>
      </c>
      <c r="N448" s="29" t="inlineStr">
        <is>
          <t>1094276559.0</t>
        </is>
      </c>
      <c r="O448" s="29" t="inlineStr">
        <is>
          <t>290513888.0</t>
        </is>
      </c>
      <c r="P448" s="29" t="inlineStr">
        <is>
          <t>KRW</t>
        </is>
      </c>
      <c r="Q448" s="29" t="inlineStr">
        <is>
          <t>5</t>
        </is>
      </c>
    </row>
    <row r="449" ht="24" customHeight="1">
      <c r="A449" s="24" t="inlineStr">
        <is>
          <t>OpenDART_fnlttSinglAcntAll</t>
        </is>
      </c>
      <c r="B449" s="24" t="inlineStr">
        <is>
          <t>00160843</t>
        </is>
      </c>
      <c r="C449" s="24" t="inlineStr">
        <is>
          <t>DB하이텍</t>
        </is>
      </c>
      <c r="D449" s="24" t="inlineStr">
        <is>
          <t>dbhitek</t>
        </is>
      </c>
      <c r="E449" s="24" t="inlineStr">
        <is>
          <t>000990</t>
        </is>
      </c>
      <c r="F449" s="24" t="inlineStr">
        <is>
          <t>2023</t>
        </is>
      </c>
      <c r="G449" s="24" t="inlineStr">
        <is>
          <t>CFS</t>
        </is>
      </c>
      <c r="H449" s="24" t="inlineStr">
        <is>
          <t>SCE</t>
        </is>
      </c>
      <c r="I449" s="24" t="inlineStr">
        <is>
          <t>자본변동표</t>
        </is>
      </c>
      <c r="J449" s="24" t="inlineStr">
        <is>
          <t>-표준계정코드 미사용-</t>
        </is>
      </c>
      <c r="K449" s="24" t="inlineStr">
        <is>
          <t>관계기업투자 평가</t>
        </is>
      </c>
      <c r="L449" s="24" t="inlineStr">
        <is>
          <t>자본 [구성요소]|비지배지분 [구성요소]</t>
        </is>
      </c>
      <c r="M449" s="24" t="inlineStr">
        <is>
          <t>제 71 기</t>
        </is>
      </c>
      <c r="N449" s="24" t="inlineStr">
        <is>
          <t>0.0</t>
        </is>
      </c>
      <c r="O449" s="24" t="inlineStr">
        <is>
          <t>0.0</t>
        </is>
      </c>
      <c r="P449" s="24" t="inlineStr">
        <is>
          <t>KRW</t>
        </is>
      </c>
      <c r="Q449" s="24" t="inlineStr">
        <is>
          <t>5</t>
        </is>
      </c>
    </row>
    <row r="450" ht="24" customHeight="1">
      <c r="A450" s="29" t="inlineStr">
        <is>
          <t>OpenDART_fnlttSinglAcntAll</t>
        </is>
      </c>
      <c r="B450" s="29" t="inlineStr">
        <is>
          <t>00160843</t>
        </is>
      </c>
      <c r="C450" s="29" t="inlineStr">
        <is>
          <t>DB하이텍</t>
        </is>
      </c>
      <c r="D450" s="29" t="inlineStr">
        <is>
          <t>dbhitek</t>
        </is>
      </c>
      <c r="E450" s="29" t="inlineStr">
        <is>
          <t>000990</t>
        </is>
      </c>
      <c r="F450" s="29" t="inlineStr">
        <is>
          <t>2023</t>
        </is>
      </c>
      <c r="G450" s="29" t="inlineStr">
        <is>
          <t>CFS</t>
        </is>
      </c>
      <c r="H450" s="29" t="inlineStr">
        <is>
          <t>SCE</t>
        </is>
      </c>
      <c r="I450" s="29" t="inlineStr">
        <is>
          <t>자본변동표</t>
        </is>
      </c>
      <c r="J450" s="29" t="inlineStr">
        <is>
          <t>-표준계정코드 미사용-</t>
        </is>
      </c>
      <c r="K450" s="29" t="inlineStr">
        <is>
          <t>관계기업투자 평가</t>
        </is>
      </c>
      <c r="L450" s="29" t="inlineStr">
        <is>
          <t>자본 [구성요소]|지배기업의 소유주에게 귀속되는 지분 [구성요소]</t>
        </is>
      </c>
      <c r="M450" s="29" t="inlineStr">
        <is>
          <t>제 71 기</t>
        </is>
      </c>
      <c r="N450" s="29" t="inlineStr">
        <is>
          <t>1094276559.0</t>
        </is>
      </c>
      <c r="O450" s="29" t="inlineStr">
        <is>
          <t>290513888.0</t>
        </is>
      </c>
      <c r="P450" s="29" t="inlineStr">
        <is>
          <t>KRW</t>
        </is>
      </c>
      <c r="Q450" s="29" t="inlineStr">
        <is>
          <t>5</t>
        </is>
      </c>
    </row>
    <row r="451" ht="24" customHeight="1">
      <c r="A451" s="24" t="inlineStr">
        <is>
          <t>OpenDART_fnlttSinglAcntAll</t>
        </is>
      </c>
      <c r="B451" s="24" t="inlineStr">
        <is>
          <t>00160843</t>
        </is>
      </c>
      <c r="C451" s="24" t="inlineStr">
        <is>
          <t>DB하이텍</t>
        </is>
      </c>
      <c r="D451" s="24" t="inlineStr">
        <is>
          <t>dbhitek</t>
        </is>
      </c>
      <c r="E451" s="24" t="inlineStr">
        <is>
          <t>000990</t>
        </is>
      </c>
      <c r="F451" s="24" t="inlineStr">
        <is>
          <t>2023</t>
        </is>
      </c>
      <c r="G451" s="24" t="inlineStr">
        <is>
          <t>CFS</t>
        </is>
      </c>
      <c r="H451" s="24" t="inlineStr">
        <is>
          <t>SCE</t>
        </is>
      </c>
      <c r="I451" s="24" t="inlineStr">
        <is>
          <t>자본변동표</t>
        </is>
      </c>
      <c r="J451" s="24" t="inlineStr">
        <is>
          <t>-표준계정코드 미사용-</t>
        </is>
      </c>
      <c r="K451" s="24" t="inlineStr">
        <is>
          <t>관계기업투자 평가</t>
        </is>
      </c>
      <c r="L451" s="24" t="inlineStr">
        <is>
          <t>자본 [구성요소]|지배기업의 소유주에게 귀속되는 지분 [구성요소]|기타자본구성요소 [구성요소]</t>
        </is>
      </c>
      <c r="M451" s="24" t="inlineStr">
        <is>
          <t>제 71 기</t>
        </is>
      </c>
      <c r="N451" s="24" t="inlineStr">
        <is>
          <t>48359376.0</t>
        </is>
      </c>
      <c r="O451" s="24" t="inlineStr">
        <is>
          <t>64187255.0</t>
        </is>
      </c>
      <c r="P451" s="24" t="inlineStr">
        <is>
          <t>KRW</t>
        </is>
      </c>
      <c r="Q451" s="24" t="inlineStr">
        <is>
          <t>5</t>
        </is>
      </c>
    </row>
    <row r="452" ht="24" customHeight="1">
      <c r="A452" s="29" t="inlineStr">
        <is>
          <t>OpenDART_fnlttSinglAcntAll</t>
        </is>
      </c>
      <c r="B452" s="29" t="inlineStr">
        <is>
          <t>00160843</t>
        </is>
      </c>
      <c r="C452" s="29" t="inlineStr">
        <is>
          <t>DB하이텍</t>
        </is>
      </c>
      <c r="D452" s="29" t="inlineStr">
        <is>
          <t>dbhitek</t>
        </is>
      </c>
      <c r="E452" s="29" t="inlineStr">
        <is>
          <t>000990</t>
        </is>
      </c>
      <c r="F452" s="29" t="inlineStr">
        <is>
          <t>2023</t>
        </is>
      </c>
      <c r="G452" s="29" t="inlineStr">
        <is>
          <t>CFS</t>
        </is>
      </c>
      <c r="H452" s="29" t="inlineStr">
        <is>
          <t>SCE</t>
        </is>
      </c>
      <c r="I452" s="29" t="inlineStr">
        <is>
          <t>자본변동표</t>
        </is>
      </c>
      <c r="J452" s="29" t="inlineStr">
        <is>
          <t>-표준계정코드 미사용-</t>
        </is>
      </c>
      <c r="K452" s="29" t="inlineStr">
        <is>
          <t>관계기업투자 평가</t>
        </is>
      </c>
      <c r="L452" s="29" t="inlineStr">
        <is>
          <t>자본 [구성요소]|지배기업의 소유주에게 귀속되는 지분 [구성요소]|이익잉여금 [구성요소]</t>
        </is>
      </c>
      <c r="M452" s="29" t="inlineStr">
        <is>
          <t>제 71 기</t>
        </is>
      </c>
      <c r="N452" s="29" t="inlineStr">
        <is>
          <t>1045917183.0</t>
        </is>
      </c>
      <c r="O452" s="29" t="inlineStr">
        <is>
          <t>226326633.0</t>
        </is>
      </c>
      <c r="P452" s="29" t="inlineStr">
        <is>
          <t>KRW</t>
        </is>
      </c>
      <c r="Q452" s="29" t="inlineStr">
        <is>
          <t>5</t>
        </is>
      </c>
    </row>
    <row r="453" ht="24" customHeight="1">
      <c r="A453" s="24" t="inlineStr">
        <is>
          <t>OpenDART_fnlttSinglAcntAll</t>
        </is>
      </c>
      <c r="B453" s="24" t="inlineStr">
        <is>
          <t>00160843</t>
        </is>
      </c>
      <c r="C453" s="24" t="inlineStr">
        <is>
          <t>DB하이텍</t>
        </is>
      </c>
      <c r="D453" s="24" t="inlineStr">
        <is>
          <t>dbhitek</t>
        </is>
      </c>
      <c r="E453" s="24" t="inlineStr">
        <is>
          <t>000990</t>
        </is>
      </c>
      <c r="F453" s="24" t="inlineStr">
        <is>
          <t>2023</t>
        </is>
      </c>
      <c r="G453" s="24" t="inlineStr">
        <is>
          <t>CFS</t>
        </is>
      </c>
      <c r="H453" s="24" t="inlineStr">
        <is>
          <t>SCE</t>
        </is>
      </c>
      <c r="I453" s="24" t="inlineStr">
        <is>
          <t>자본변동표</t>
        </is>
      </c>
      <c r="J453" s="24" t="inlineStr">
        <is>
          <t>-표준계정코드 미사용-</t>
        </is>
      </c>
      <c r="K453" s="24" t="inlineStr">
        <is>
          <t>관계기업투자 평가</t>
        </is>
      </c>
      <c r="L453" s="24" t="inlineStr">
        <is>
          <t>자본 [구성요소]|지배기업의 소유주에게 귀속되는 지분 [구성요소]|자본금 [구성요소]</t>
        </is>
      </c>
      <c r="M453" s="24" t="inlineStr">
        <is>
          <t>제 71 기</t>
        </is>
      </c>
      <c r="N453" s="24" t="inlineStr">
        <is>
          <t>0.0</t>
        </is>
      </c>
      <c r="O453" s="24" t="inlineStr">
        <is>
          <t>0.0</t>
        </is>
      </c>
      <c r="P453" s="24" t="inlineStr">
        <is>
          <t>KRW</t>
        </is>
      </c>
      <c r="Q453" s="24" t="inlineStr">
        <is>
          <t>5</t>
        </is>
      </c>
    </row>
    <row r="454" ht="24" customHeight="1">
      <c r="A454" s="29" t="inlineStr">
        <is>
          <t>OpenDART_fnlttSinglAcntAll</t>
        </is>
      </c>
      <c r="B454" s="29" t="inlineStr">
        <is>
          <t>00160843</t>
        </is>
      </c>
      <c r="C454" s="29" t="inlineStr">
        <is>
          <t>DB하이텍</t>
        </is>
      </c>
      <c r="D454" s="29" t="inlineStr">
        <is>
          <t>dbhitek</t>
        </is>
      </c>
      <c r="E454" s="29" t="inlineStr">
        <is>
          <t>000990</t>
        </is>
      </c>
      <c r="F454" s="29" t="inlineStr">
        <is>
          <t>2023</t>
        </is>
      </c>
      <c r="G454" s="29" t="inlineStr">
        <is>
          <t>CFS</t>
        </is>
      </c>
      <c r="H454" s="29" t="inlineStr">
        <is>
          <t>SCE</t>
        </is>
      </c>
      <c r="I454" s="29" t="inlineStr">
        <is>
          <t>자본변동표</t>
        </is>
      </c>
      <c r="J454" s="29" t="inlineStr">
        <is>
          <t>-표준계정코드 미사용-</t>
        </is>
      </c>
      <c r="K454" s="29" t="inlineStr">
        <is>
          <t>관계기업투자 평가</t>
        </is>
      </c>
      <c r="L454" s="29" t="inlineStr">
        <is>
          <t>자본 [구성요소]|지배기업의 소유주에게 귀속되는 지분 [구성요소]|자본잉여금 [구성요소]</t>
        </is>
      </c>
      <c r="M454" s="29" t="inlineStr">
        <is>
          <t>제 71 기</t>
        </is>
      </c>
      <c r="N454" s="29" t="inlineStr">
        <is>
          <t>0.0</t>
        </is>
      </c>
      <c r="O454" s="29" t="inlineStr">
        <is>
          <t>0.0</t>
        </is>
      </c>
      <c r="P454" s="29" t="inlineStr">
        <is>
          <t>KRW</t>
        </is>
      </c>
      <c r="Q454" s="29" t="inlineStr">
        <is>
          <t>5</t>
        </is>
      </c>
    </row>
    <row r="455" ht="24" customHeight="1">
      <c r="A455" s="24" t="inlineStr">
        <is>
          <t>OpenDART_fnlttSinglAcntAll</t>
        </is>
      </c>
      <c r="B455" s="24" t="inlineStr">
        <is>
          <t>00160843</t>
        </is>
      </c>
      <c r="C455" s="24" t="inlineStr">
        <is>
          <t>DB하이텍</t>
        </is>
      </c>
      <c r="D455" s="24" t="inlineStr">
        <is>
          <t>dbhitek</t>
        </is>
      </c>
      <c r="E455" s="24" t="inlineStr">
        <is>
          <t>000990</t>
        </is>
      </c>
      <c r="F455" s="24" t="inlineStr">
        <is>
          <t>2023</t>
        </is>
      </c>
      <c r="G455" s="24" t="inlineStr">
        <is>
          <t>CFS</t>
        </is>
      </c>
      <c r="H455" s="24" t="inlineStr">
        <is>
          <t>SCE</t>
        </is>
      </c>
      <c r="I455" s="24" t="inlineStr">
        <is>
          <t>자본변동표</t>
        </is>
      </c>
      <c r="J455" s="24" t="inlineStr">
        <is>
          <t>ifrs-full_ComprehensiveIncome</t>
        </is>
      </c>
      <c r="K455" s="24" t="inlineStr">
        <is>
          <t>총포괄손익</t>
        </is>
      </c>
      <c r="L455" s="24" t="inlineStr">
        <is>
          <t>연결재무제표 [member]</t>
        </is>
      </c>
      <c r="M455" s="24" t="inlineStr">
        <is>
          <t>제 71 기</t>
        </is>
      </c>
      <c r="N455" s="24" t="inlineStr">
        <is>
          <t>262253237512.0</t>
        </is>
      </c>
      <c r="O455" s="24" t="inlineStr">
        <is>
          <t>549187444164.0</t>
        </is>
      </c>
      <c r="P455" s="24" t="inlineStr">
        <is>
          <t>KRW</t>
        </is>
      </c>
      <c r="Q455" s="24" t="inlineStr">
        <is>
          <t>6</t>
        </is>
      </c>
    </row>
    <row r="456" ht="24" customHeight="1">
      <c r="A456" s="29" t="inlineStr">
        <is>
          <t>OpenDART_fnlttSinglAcntAll</t>
        </is>
      </c>
      <c r="B456" s="29" t="inlineStr">
        <is>
          <t>00160843</t>
        </is>
      </c>
      <c r="C456" s="29" t="inlineStr">
        <is>
          <t>DB하이텍</t>
        </is>
      </c>
      <c r="D456" s="29" t="inlineStr">
        <is>
          <t>dbhitek</t>
        </is>
      </c>
      <c r="E456" s="29" t="inlineStr">
        <is>
          <t>000990</t>
        </is>
      </c>
      <c r="F456" s="29" t="inlineStr">
        <is>
          <t>2023</t>
        </is>
      </c>
      <c r="G456" s="29" t="inlineStr">
        <is>
          <t>CFS</t>
        </is>
      </c>
      <c r="H456" s="29" t="inlineStr">
        <is>
          <t>SCE</t>
        </is>
      </c>
      <c r="I456" s="29" t="inlineStr">
        <is>
          <t>자본변동표</t>
        </is>
      </c>
      <c r="J456" s="29" t="inlineStr">
        <is>
          <t>ifrs-full_ComprehensiveIncome</t>
        </is>
      </c>
      <c r="K456" s="29" t="inlineStr">
        <is>
          <t>총포괄손익</t>
        </is>
      </c>
      <c r="L456" s="29" t="inlineStr">
        <is>
          <t>자본 [구성요소]|비지배지분 [구성요소]</t>
        </is>
      </c>
      <c r="M456" s="29" t="inlineStr">
        <is>
          <t>제 71 기</t>
        </is>
      </c>
      <c r="N456" s="29" t="inlineStr">
        <is>
          <t>0.0</t>
        </is>
      </c>
      <c r="O456" s="29" t="inlineStr">
        <is>
          <t>0.0</t>
        </is>
      </c>
      <c r="P456" s="29" t="inlineStr">
        <is>
          <t>KRW</t>
        </is>
      </c>
      <c r="Q456" s="29" t="inlineStr">
        <is>
          <t>6</t>
        </is>
      </c>
    </row>
    <row r="457" ht="24" customHeight="1">
      <c r="A457" s="24" t="inlineStr">
        <is>
          <t>OpenDART_fnlttSinglAcntAll</t>
        </is>
      </c>
      <c r="B457" s="24" t="inlineStr">
        <is>
          <t>00160843</t>
        </is>
      </c>
      <c r="C457" s="24" t="inlineStr">
        <is>
          <t>DB하이텍</t>
        </is>
      </c>
      <c r="D457" s="24" t="inlineStr">
        <is>
          <t>dbhitek</t>
        </is>
      </c>
      <c r="E457" s="24" t="inlineStr">
        <is>
          <t>000990</t>
        </is>
      </c>
      <c r="F457" s="24" t="inlineStr">
        <is>
          <t>2023</t>
        </is>
      </c>
      <c r="G457" s="24" t="inlineStr">
        <is>
          <t>CFS</t>
        </is>
      </c>
      <c r="H457" s="24" t="inlineStr">
        <is>
          <t>SCE</t>
        </is>
      </c>
      <c r="I457" s="24" t="inlineStr">
        <is>
          <t>자본변동표</t>
        </is>
      </c>
      <c r="J457" s="24" t="inlineStr">
        <is>
          <t>ifrs-full_ComprehensiveIncome</t>
        </is>
      </c>
      <c r="K457" s="24" t="inlineStr">
        <is>
          <t>총포괄손익</t>
        </is>
      </c>
      <c r="L457" s="24" t="inlineStr">
        <is>
          <t>자본 [구성요소]|지배기업의 소유주에게 귀속되는 지분 [구성요소]</t>
        </is>
      </c>
      <c r="M457" s="24" t="inlineStr">
        <is>
          <t>제 71 기</t>
        </is>
      </c>
      <c r="N457" s="24" t="inlineStr">
        <is>
          <t>262253237512.0</t>
        </is>
      </c>
      <c r="O457" s="24" t="inlineStr">
        <is>
          <t>549187444164.0</t>
        </is>
      </c>
      <c r="P457" s="24" t="inlineStr">
        <is>
          <t>KRW</t>
        </is>
      </c>
      <c r="Q457" s="24" t="inlineStr">
        <is>
          <t>6</t>
        </is>
      </c>
    </row>
    <row r="458" ht="24" customHeight="1">
      <c r="A458" s="29" t="inlineStr">
        <is>
          <t>OpenDART_fnlttSinglAcntAll</t>
        </is>
      </c>
      <c r="B458" s="29" t="inlineStr">
        <is>
          <t>00160843</t>
        </is>
      </c>
      <c r="C458" s="29" t="inlineStr">
        <is>
          <t>DB하이텍</t>
        </is>
      </c>
      <c r="D458" s="29" t="inlineStr">
        <is>
          <t>dbhitek</t>
        </is>
      </c>
      <c r="E458" s="29" t="inlineStr">
        <is>
          <t>000990</t>
        </is>
      </c>
      <c r="F458" s="29" t="inlineStr">
        <is>
          <t>2023</t>
        </is>
      </c>
      <c r="G458" s="29" t="inlineStr">
        <is>
          <t>CFS</t>
        </is>
      </c>
      <c r="H458" s="29" t="inlineStr">
        <is>
          <t>SCE</t>
        </is>
      </c>
      <c r="I458" s="29" t="inlineStr">
        <is>
          <t>자본변동표</t>
        </is>
      </c>
      <c r="J458" s="29" t="inlineStr">
        <is>
          <t>ifrs-full_ComprehensiveIncome</t>
        </is>
      </c>
      <c r="K458" s="29" t="inlineStr">
        <is>
          <t>총포괄손익</t>
        </is>
      </c>
      <c r="L458" s="29" t="inlineStr">
        <is>
          <t>자본 [구성요소]|지배기업의 소유주에게 귀속되는 지분 [구성요소]|기타자본구성요소 [구성요소]</t>
        </is>
      </c>
      <c r="M458" s="29" t="inlineStr">
        <is>
          <t>제 71 기</t>
        </is>
      </c>
      <c r="N458" s="29" t="inlineStr">
        <is>
          <t>4848341604.0</t>
        </is>
      </c>
      <c r="O458" s="29" t="inlineStr">
        <is>
          <t>-1657175629.0</t>
        </is>
      </c>
      <c r="P458" s="29" t="inlineStr">
        <is>
          <t>KRW</t>
        </is>
      </c>
      <c r="Q458" s="29" t="inlineStr">
        <is>
          <t>6</t>
        </is>
      </c>
    </row>
    <row r="459" ht="24" customHeight="1">
      <c r="A459" s="24" t="inlineStr">
        <is>
          <t>OpenDART_fnlttSinglAcntAll</t>
        </is>
      </c>
      <c r="B459" s="24" t="inlineStr">
        <is>
          <t>00160843</t>
        </is>
      </c>
      <c r="C459" s="24" t="inlineStr">
        <is>
          <t>DB하이텍</t>
        </is>
      </c>
      <c r="D459" s="24" t="inlineStr">
        <is>
          <t>dbhitek</t>
        </is>
      </c>
      <c r="E459" s="24" t="inlineStr">
        <is>
          <t>000990</t>
        </is>
      </c>
      <c r="F459" s="24" t="inlineStr">
        <is>
          <t>2023</t>
        </is>
      </c>
      <c r="G459" s="24" t="inlineStr">
        <is>
          <t>CFS</t>
        </is>
      </c>
      <c r="H459" s="24" t="inlineStr">
        <is>
          <t>SCE</t>
        </is>
      </c>
      <c r="I459" s="24" t="inlineStr">
        <is>
          <t>자본변동표</t>
        </is>
      </c>
      <c r="J459" s="24" t="inlineStr">
        <is>
          <t>ifrs-full_ComprehensiveIncome</t>
        </is>
      </c>
      <c r="K459" s="24" t="inlineStr">
        <is>
          <t>총포괄손익</t>
        </is>
      </c>
      <c r="L459" s="24" t="inlineStr">
        <is>
          <t>자본 [구성요소]|지배기업의 소유주에게 귀속되는 지분 [구성요소]|이익잉여금 [구성요소]</t>
        </is>
      </c>
      <c r="M459" s="24" t="inlineStr">
        <is>
          <t>제 71 기</t>
        </is>
      </c>
      <c r="N459" s="24" t="inlineStr">
        <is>
          <t>257404895908.0</t>
        </is>
      </c>
      <c r="O459" s="24" t="inlineStr">
        <is>
          <t>550844619793.0</t>
        </is>
      </c>
      <c r="P459" s="24" t="inlineStr">
        <is>
          <t>KRW</t>
        </is>
      </c>
      <c r="Q459" s="24" t="inlineStr">
        <is>
          <t>6</t>
        </is>
      </c>
    </row>
    <row r="460" ht="24" customHeight="1">
      <c r="A460" s="29" t="inlineStr">
        <is>
          <t>OpenDART_fnlttSinglAcntAll</t>
        </is>
      </c>
      <c r="B460" s="29" t="inlineStr">
        <is>
          <t>00160843</t>
        </is>
      </c>
      <c r="C460" s="29" t="inlineStr">
        <is>
          <t>DB하이텍</t>
        </is>
      </c>
      <c r="D460" s="29" t="inlineStr">
        <is>
          <t>dbhitek</t>
        </is>
      </c>
      <c r="E460" s="29" t="inlineStr">
        <is>
          <t>000990</t>
        </is>
      </c>
      <c r="F460" s="29" t="inlineStr">
        <is>
          <t>2023</t>
        </is>
      </c>
      <c r="G460" s="29" t="inlineStr">
        <is>
          <t>CFS</t>
        </is>
      </c>
      <c r="H460" s="29" t="inlineStr">
        <is>
          <t>SCE</t>
        </is>
      </c>
      <c r="I460" s="29" t="inlineStr">
        <is>
          <t>자본변동표</t>
        </is>
      </c>
      <c r="J460" s="29" t="inlineStr">
        <is>
          <t>ifrs-full_ComprehensiveIncome</t>
        </is>
      </c>
      <c r="K460" s="29" t="inlineStr">
        <is>
          <t>총포괄손익</t>
        </is>
      </c>
      <c r="L460" s="29" t="inlineStr">
        <is>
          <t>자본 [구성요소]|지배기업의 소유주에게 귀속되는 지분 [구성요소]|자본금 [구성요소]</t>
        </is>
      </c>
      <c r="M460" s="29" t="inlineStr">
        <is>
          <t>제 71 기</t>
        </is>
      </c>
      <c r="N460" s="29" t="inlineStr">
        <is>
          <t>0.0</t>
        </is>
      </c>
      <c r="O460" s="29" t="inlineStr">
        <is>
          <t>0.0</t>
        </is>
      </c>
      <c r="P460" s="29" t="inlineStr">
        <is>
          <t>KRW</t>
        </is>
      </c>
      <c r="Q460" s="29" t="inlineStr">
        <is>
          <t>6</t>
        </is>
      </c>
    </row>
    <row r="461" ht="24" customHeight="1">
      <c r="A461" s="24" t="inlineStr">
        <is>
          <t>OpenDART_fnlttSinglAcntAll</t>
        </is>
      </c>
      <c r="B461" s="24" t="inlineStr">
        <is>
          <t>00160843</t>
        </is>
      </c>
      <c r="C461" s="24" t="inlineStr">
        <is>
          <t>DB하이텍</t>
        </is>
      </c>
      <c r="D461" s="24" t="inlineStr">
        <is>
          <t>dbhitek</t>
        </is>
      </c>
      <c r="E461" s="24" t="inlineStr">
        <is>
          <t>000990</t>
        </is>
      </c>
      <c r="F461" s="24" t="inlineStr">
        <is>
          <t>2023</t>
        </is>
      </c>
      <c r="G461" s="24" t="inlineStr">
        <is>
          <t>CFS</t>
        </is>
      </c>
      <c r="H461" s="24" t="inlineStr">
        <is>
          <t>SCE</t>
        </is>
      </c>
      <c r="I461" s="24" t="inlineStr">
        <is>
          <t>자본변동표</t>
        </is>
      </c>
      <c r="J461" s="24" t="inlineStr">
        <is>
          <t>ifrs-full_ComprehensiveIncome</t>
        </is>
      </c>
      <c r="K461" s="24" t="inlineStr">
        <is>
          <t>총포괄손익</t>
        </is>
      </c>
      <c r="L461" s="24" t="inlineStr">
        <is>
          <t>자본 [구성요소]|지배기업의 소유주에게 귀속되는 지분 [구성요소]|자본잉여금 [구성요소]</t>
        </is>
      </c>
      <c r="M461" s="24" t="inlineStr">
        <is>
          <t>제 71 기</t>
        </is>
      </c>
      <c r="N461" s="24" t="inlineStr">
        <is>
          <t>0.0</t>
        </is>
      </c>
      <c r="O461" s="24" t="inlineStr">
        <is>
          <t>0.0</t>
        </is>
      </c>
      <c r="P461" s="24" t="inlineStr">
        <is>
          <t>KRW</t>
        </is>
      </c>
      <c r="Q461" s="24" t="inlineStr">
        <is>
          <t>6</t>
        </is>
      </c>
    </row>
    <row r="462" ht="24" customHeight="1">
      <c r="A462" s="29" t="inlineStr">
        <is>
          <t>OpenDART_fnlttSinglAcntAll</t>
        </is>
      </c>
      <c r="B462" s="29" t="inlineStr">
        <is>
          <t>00160843</t>
        </is>
      </c>
      <c r="C462" s="29" t="inlineStr">
        <is>
          <t>DB하이텍</t>
        </is>
      </c>
      <c r="D462" s="29" t="inlineStr">
        <is>
          <t>dbhitek</t>
        </is>
      </c>
      <c r="E462" s="29" t="inlineStr">
        <is>
          <t>000990</t>
        </is>
      </c>
      <c r="F462" s="29" t="inlineStr">
        <is>
          <t>2023</t>
        </is>
      </c>
      <c r="G462" s="29" t="inlineStr">
        <is>
          <t>CFS</t>
        </is>
      </c>
      <c r="H462" s="29" t="inlineStr">
        <is>
          <t>SCE</t>
        </is>
      </c>
      <c r="I462" s="29" t="inlineStr">
        <is>
          <t>자본변동표</t>
        </is>
      </c>
      <c r="J462" s="29" t="inlineStr">
        <is>
          <t>ifrs-full_DividendsPaid</t>
        </is>
      </c>
      <c r="K462" s="29" t="inlineStr">
        <is>
          <t>소유주에 대한 배분으로 인식된 배당금</t>
        </is>
      </c>
      <c r="L462" s="29" t="inlineStr">
        <is>
          <t>자본 [구성요소]|지배기업의 소유주에게 귀속되는 지분 [구성요소]</t>
        </is>
      </c>
      <c r="M462" s="29" t="inlineStr">
        <is>
          <t>제 71 기</t>
        </is>
      </c>
      <c r="N462" s="29" t="inlineStr">
        <is>
          <t>56504612200.0</t>
        </is>
      </c>
      <c r="O462" s="29" t="inlineStr">
        <is>
          <t>19562638100.0</t>
        </is>
      </c>
      <c r="P462" s="29" t="inlineStr">
        <is>
          <t>KRW</t>
        </is>
      </c>
      <c r="Q462" s="29" t="inlineStr">
        <is>
          <t>7</t>
        </is>
      </c>
    </row>
    <row r="463" ht="24" customHeight="1">
      <c r="A463" s="24" t="inlineStr">
        <is>
          <t>OpenDART_fnlttSinglAcntAll</t>
        </is>
      </c>
      <c r="B463" s="24" t="inlineStr">
        <is>
          <t>00160843</t>
        </is>
      </c>
      <c r="C463" s="24" t="inlineStr">
        <is>
          <t>DB하이텍</t>
        </is>
      </c>
      <c r="D463" s="24" t="inlineStr">
        <is>
          <t>dbhitek</t>
        </is>
      </c>
      <c r="E463" s="24" t="inlineStr">
        <is>
          <t>000990</t>
        </is>
      </c>
      <c r="F463" s="24" t="inlineStr">
        <is>
          <t>2023</t>
        </is>
      </c>
      <c r="G463" s="24" t="inlineStr">
        <is>
          <t>CFS</t>
        </is>
      </c>
      <c r="H463" s="24" t="inlineStr">
        <is>
          <t>SCE</t>
        </is>
      </c>
      <c r="I463" s="24" t="inlineStr">
        <is>
          <t>자본변동표</t>
        </is>
      </c>
      <c r="J463" s="24" t="inlineStr">
        <is>
          <t>ifrs-full_DividendsPaid</t>
        </is>
      </c>
      <c r="K463" s="24" t="inlineStr">
        <is>
          <t>소유주에 대한 배분으로 인식된 배당금</t>
        </is>
      </c>
      <c r="L463" s="24" t="inlineStr">
        <is>
          <t>자본 [구성요소]|비지배지분 [구성요소]</t>
        </is>
      </c>
      <c r="M463" s="24" t="inlineStr">
        <is>
          <t>제 71 기</t>
        </is>
      </c>
      <c r="N463" s="24" t="inlineStr">
        <is>
          <t>0.0</t>
        </is>
      </c>
      <c r="O463" s="24" t="inlineStr">
        <is>
          <t>0.0</t>
        </is>
      </c>
      <c r="P463" s="24" t="inlineStr">
        <is>
          <t>KRW</t>
        </is>
      </c>
      <c r="Q463" s="24" t="inlineStr">
        <is>
          <t>7</t>
        </is>
      </c>
    </row>
    <row r="464" ht="24" customHeight="1">
      <c r="A464" s="29" t="inlineStr">
        <is>
          <t>OpenDART_fnlttSinglAcntAll</t>
        </is>
      </c>
      <c r="B464" s="29" t="inlineStr">
        <is>
          <t>00160843</t>
        </is>
      </c>
      <c r="C464" s="29" t="inlineStr">
        <is>
          <t>DB하이텍</t>
        </is>
      </c>
      <c r="D464" s="29" t="inlineStr">
        <is>
          <t>dbhitek</t>
        </is>
      </c>
      <c r="E464" s="29" t="inlineStr">
        <is>
          <t>000990</t>
        </is>
      </c>
      <c r="F464" s="29" t="inlineStr">
        <is>
          <t>2023</t>
        </is>
      </c>
      <c r="G464" s="29" t="inlineStr">
        <is>
          <t>CFS</t>
        </is>
      </c>
      <c r="H464" s="29" t="inlineStr">
        <is>
          <t>SCE</t>
        </is>
      </c>
      <c r="I464" s="29" t="inlineStr">
        <is>
          <t>자본변동표</t>
        </is>
      </c>
      <c r="J464" s="29" t="inlineStr">
        <is>
          <t>ifrs-full_DividendsPaid</t>
        </is>
      </c>
      <c r="K464" s="29" t="inlineStr">
        <is>
          <t>소유주에 대한 배분으로 인식된 배당금</t>
        </is>
      </c>
      <c r="L464" s="29" t="inlineStr">
        <is>
          <t>연결재무제표 [member]</t>
        </is>
      </c>
      <c r="M464" s="29" t="inlineStr">
        <is>
          <t>제 71 기</t>
        </is>
      </c>
      <c r="N464" s="29" t="inlineStr">
        <is>
          <t>56504612200.0</t>
        </is>
      </c>
      <c r="O464" s="29" t="inlineStr">
        <is>
          <t>19562638100.0</t>
        </is>
      </c>
      <c r="P464" s="29" t="inlineStr">
        <is>
          <t>KRW</t>
        </is>
      </c>
      <c r="Q464" s="29" t="inlineStr">
        <is>
          <t>7</t>
        </is>
      </c>
    </row>
    <row r="465" ht="24" customHeight="1">
      <c r="A465" s="24" t="inlineStr">
        <is>
          <t>OpenDART_fnlttSinglAcntAll</t>
        </is>
      </c>
      <c r="B465" s="24" t="inlineStr">
        <is>
          <t>00160843</t>
        </is>
      </c>
      <c r="C465" s="24" t="inlineStr">
        <is>
          <t>DB하이텍</t>
        </is>
      </c>
      <c r="D465" s="24" t="inlineStr">
        <is>
          <t>dbhitek</t>
        </is>
      </c>
      <c r="E465" s="24" t="inlineStr">
        <is>
          <t>000990</t>
        </is>
      </c>
      <c r="F465" s="24" t="inlineStr">
        <is>
          <t>2023</t>
        </is>
      </c>
      <c r="G465" s="24" t="inlineStr">
        <is>
          <t>CFS</t>
        </is>
      </c>
      <c r="H465" s="24" t="inlineStr">
        <is>
          <t>SCE</t>
        </is>
      </c>
      <c r="I465" s="24" t="inlineStr">
        <is>
          <t>자본변동표</t>
        </is>
      </c>
      <c r="J465" s="24" t="inlineStr">
        <is>
          <t>ifrs-full_DividendsPaid</t>
        </is>
      </c>
      <c r="K465" s="24" t="inlineStr">
        <is>
          <t>소유주에 대한 배분으로 인식된 배당금</t>
        </is>
      </c>
      <c r="L465" s="24" t="inlineStr">
        <is>
          <t>자본 [구성요소]|지배기업의 소유주에게 귀속되는 지분 [구성요소]|기타자본구성요소 [구성요소]</t>
        </is>
      </c>
      <c r="M465" s="24" t="inlineStr">
        <is>
          <t>제 71 기</t>
        </is>
      </c>
      <c r="N465" s="24" t="inlineStr">
        <is>
          <t>0.0</t>
        </is>
      </c>
      <c r="O465" s="24" t="inlineStr">
        <is>
          <t>0.0</t>
        </is>
      </c>
      <c r="P465" s="24" t="inlineStr">
        <is>
          <t>KRW</t>
        </is>
      </c>
      <c r="Q465" s="24" t="inlineStr">
        <is>
          <t>7</t>
        </is>
      </c>
    </row>
    <row r="466" ht="24" customHeight="1">
      <c r="A466" s="29" t="inlineStr">
        <is>
          <t>OpenDART_fnlttSinglAcntAll</t>
        </is>
      </c>
      <c r="B466" s="29" t="inlineStr">
        <is>
          <t>00160843</t>
        </is>
      </c>
      <c r="C466" s="29" t="inlineStr">
        <is>
          <t>DB하이텍</t>
        </is>
      </c>
      <c r="D466" s="29" t="inlineStr">
        <is>
          <t>dbhitek</t>
        </is>
      </c>
      <c r="E466" s="29" t="inlineStr">
        <is>
          <t>000990</t>
        </is>
      </c>
      <c r="F466" s="29" t="inlineStr">
        <is>
          <t>2023</t>
        </is>
      </c>
      <c r="G466" s="29" t="inlineStr">
        <is>
          <t>CFS</t>
        </is>
      </c>
      <c r="H466" s="29" t="inlineStr">
        <is>
          <t>SCE</t>
        </is>
      </c>
      <c r="I466" s="29" t="inlineStr">
        <is>
          <t>자본변동표</t>
        </is>
      </c>
      <c r="J466" s="29" t="inlineStr">
        <is>
          <t>ifrs-full_DividendsPaid</t>
        </is>
      </c>
      <c r="K466" s="29" t="inlineStr">
        <is>
          <t>소유주에 대한 배분으로 인식된 배당금</t>
        </is>
      </c>
      <c r="L466" s="29" t="inlineStr">
        <is>
          <t>자본 [구성요소]|지배기업의 소유주에게 귀속되는 지분 [구성요소]|자본잉여금 [구성요소]</t>
        </is>
      </c>
      <c r="M466" s="29" t="inlineStr">
        <is>
          <t>제 71 기</t>
        </is>
      </c>
      <c r="N466" s="29" t="inlineStr">
        <is>
          <t>0.0</t>
        </is>
      </c>
      <c r="O466" s="29" t="inlineStr">
        <is>
          <t>0.0</t>
        </is>
      </c>
      <c r="P466" s="29" t="inlineStr">
        <is>
          <t>KRW</t>
        </is>
      </c>
      <c r="Q466" s="29" t="inlineStr">
        <is>
          <t>7</t>
        </is>
      </c>
    </row>
    <row r="467" ht="24" customHeight="1">
      <c r="A467" s="24" t="inlineStr">
        <is>
          <t>OpenDART_fnlttSinglAcntAll</t>
        </is>
      </c>
      <c r="B467" s="24" t="inlineStr">
        <is>
          <t>00160843</t>
        </is>
      </c>
      <c r="C467" s="24" t="inlineStr">
        <is>
          <t>DB하이텍</t>
        </is>
      </c>
      <c r="D467" s="24" t="inlineStr">
        <is>
          <t>dbhitek</t>
        </is>
      </c>
      <c r="E467" s="24" t="inlineStr">
        <is>
          <t>000990</t>
        </is>
      </c>
      <c r="F467" s="24" t="inlineStr">
        <is>
          <t>2023</t>
        </is>
      </c>
      <c r="G467" s="24" t="inlineStr">
        <is>
          <t>CFS</t>
        </is>
      </c>
      <c r="H467" s="24" t="inlineStr">
        <is>
          <t>SCE</t>
        </is>
      </c>
      <c r="I467" s="24" t="inlineStr">
        <is>
          <t>자본변동표</t>
        </is>
      </c>
      <c r="J467" s="24" t="inlineStr">
        <is>
          <t>ifrs-full_DividendsPaid</t>
        </is>
      </c>
      <c r="K467" s="24" t="inlineStr">
        <is>
          <t>소유주에 대한 배분으로 인식된 배당금</t>
        </is>
      </c>
      <c r="L467" s="24" t="inlineStr">
        <is>
          <t>자본 [구성요소]|지배기업의 소유주에게 귀속되는 지분 [구성요소]|자본금 [구성요소]</t>
        </is>
      </c>
      <c r="M467" s="24" t="inlineStr">
        <is>
          <t>제 71 기</t>
        </is>
      </c>
      <c r="N467" s="24" t="inlineStr">
        <is>
          <t>0.0</t>
        </is>
      </c>
      <c r="O467" s="24" t="inlineStr">
        <is>
          <t>0.0</t>
        </is>
      </c>
      <c r="P467" s="24" t="inlineStr">
        <is>
          <t>KRW</t>
        </is>
      </c>
      <c r="Q467" s="24" t="inlineStr">
        <is>
          <t>7</t>
        </is>
      </c>
    </row>
    <row r="468" ht="24" customHeight="1">
      <c r="A468" s="29" t="inlineStr">
        <is>
          <t>OpenDART_fnlttSinglAcntAll</t>
        </is>
      </c>
      <c r="B468" s="29" t="inlineStr">
        <is>
          <t>00160843</t>
        </is>
      </c>
      <c r="C468" s="29" t="inlineStr">
        <is>
          <t>DB하이텍</t>
        </is>
      </c>
      <c r="D468" s="29" t="inlineStr">
        <is>
          <t>dbhitek</t>
        </is>
      </c>
      <c r="E468" s="29" t="inlineStr">
        <is>
          <t>000990</t>
        </is>
      </c>
      <c r="F468" s="29" t="inlineStr">
        <is>
          <t>2023</t>
        </is>
      </c>
      <c r="G468" s="29" t="inlineStr">
        <is>
          <t>CFS</t>
        </is>
      </c>
      <c r="H468" s="29" t="inlineStr">
        <is>
          <t>SCE</t>
        </is>
      </c>
      <c r="I468" s="29" t="inlineStr">
        <is>
          <t>자본변동표</t>
        </is>
      </c>
      <c r="J468" s="29" t="inlineStr">
        <is>
          <t>ifrs-full_DividendsPaid</t>
        </is>
      </c>
      <c r="K468" s="29" t="inlineStr">
        <is>
          <t>소유주에 대한 배분으로 인식된 배당금</t>
        </is>
      </c>
      <c r="L468" s="29" t="inlineStr">
        <is>
          <t>자본 [구성요소]|지배기업의 소유주에게 귀속되는 지분 [구성요소]|이익잉여금 [구성요소]</t>
        </is>
      </c>
      <c r="M468" s="29" t="inlineStr">
        <is>
          <t>제 71 기</t>
        </is>
      </c>
      <c r="N468" s="29" t="inlineStr">
        <is>
          <t>56504612200.0</t>
        </is>
      </c>
      <c r="O468" s="29" t="inlineStr">
        <is>
          <t>19562638100.0</t>
        </is>
      </c>
      <c r="P468" s="29" t="inlineStr">
        <is>
          <t>KRW</t>
        </is>
      </c>
      <c r="Q468" s="29" t="inlineStr">
        <is>
          <t>7</t>
        </is>
      </c>
    </row>
    <row r="469" ht="24" customHeight="1">
      <c r="A469" s="24" t="inlineStr">
        <is>
          <t>OpenDART_fnlttSinglAcntAll</t>
        </is>
      </c>
      <c r="B469" s="24" t="inlineStr">
        <is>
          <t>00160843</t>
        </is>
      </c>
      <c r="C469" s="24" t="inlineStr">
        <is>
          <t>DB하이텍</t>
        </is>
      </c>
      <c r="D469" s="24" t="inlineStr">
        <is>
          <t>dbhitek</t>
        </is>
      </c>
      <c r="E469" s="24" t="inlineStr">
        <is>
          <t>000990</t>
        </is>
      </c>
      <c r="F469" s="24" t="inlineStr">
        <is>
          <t>2023</t>
        </is>
      </c>
      <c r="G469" s="24" t="inlineStr">
        <is>
          <t>CFS</t>
        </is>
      </c>
      <c r="H469" s="24" t="inlineStr">
        <is>
          <t>SCE</t>
        </is>
      </c>
      <c r="I469" s="24" t="inlineStr">
        <is>
          <t>자본변동표</t>
        </is>
      </c>
      <c r="J469" s="24" t="inlineStr">
        <is>
          <t>ifrs-full_Equity</t>
        </is>
      </c>
      <c r="K469" s="24" t="inlineStr">
        <is>
          <t>자본총계</t>
        </is>
      </c>
      <c r="L469" s="24" t="inlineStr">
        <is>
          <t>자본 [구성요소]|지배기업의 소유주에게 귀속되는 지분 [구성요소]|자본금 [구성요소]</t>
        </is>
      </c>
      <c r="M469" s="24" t="inlineStr">
        <is>
          <t>제 71 기</t>
        </is>
      </c>
      <c r="N469" s="24" t="inlineStr">
        <is>
          <t>222555835000.0</t>
        </is>
      </c>
      <c r="O469" s="24" t="inlineStr">
        <is>
          <t>222555835000.0</t>
        </is>
      </c>
      <c r="P469" s="24" t="inlineStr">
        <is>
          <t>KRW</t>
        </is>
      </c>
      <c r="Q469" s="24" t="inlineStr">
        <is>
          <t>8</t>
        </is>
      </c>
    </row>
    <row r="470" ht="24" customHeight="1">
      <c r="A470" s="29" t="inlineStr">
        <is>
          <t>OpenDART_fnlttSinglAcntAll</t>
        </is>
      </c>
      <c r="B470" s="29" t="inlineStr">
        <is>
          <t>00160843</t>
        </is>
      </c>
      <c r="C470" s="29" t="inlineStr">
        <is>
          <t>DB하이텍</t>
        </is>
      </c>
      <c r="D470" s="29" t="inlineStr">
        <is>
          <t>dbhitek</t>
        </is>
      </c>
      <c r="E470" s="29" t="inlineStr">
        <is>
          <t>000990</t>
        </is>
      </c>
      <c r="F470" s="29" t="inlineStr">
        <is>
          <t>2023</t>
        </is>
      </c>
      <c r="G470" s="29" t="inlineStr">
        <is>
          <t>CFS</t>
        </is>
      </c>
      <c r="H470" s="29" t="inlineStr">
        <is>
          <t>SCE</t>
        </is>
      </c>
      <c r="I470" s="29" t="inlineStr">
        <is>
          <t>자본변동표</t>
        </is>
      </c>
      <c r="J470" s="29" t="inlineStr">
        <is>
          <t>ifrs-full_Equity</t>
        </is>
      </c>
      <c r="K470" s="29" t="inlineStr">
        <is>
          <t>자본총계</t>
        </is>
      </c>
      <c r="L470" s="29" t="inlineStr">
        <is>
          <t>자본 [구성요소]|지배기업의 소유주에게 귀속되는 지분 [구성요소]|이익잉여금 [구성요소]</t>
        </is>
      </c>
      <c r="M470" s="29" t="inlineStr">
        <is>
          <t>제 71 기</t>
        </is>
      </c>
      <c r="N470" s="29" t="inlineStr">
        <is>
          <t>1563260865279.0</t>
        </is>
      </c>
      <c r="O470" s="29" t="inlineStr">
        <is>
          <t>1362360581571.0</t>
        </is>
      </c>
      <c r="P470" s="29" t="inlineStr">
        <is>
          <t>KRW</t>
        </is>
      </c>
      <c r="Q470" s="29" t="inlineStr">
        <is>
          <t>8</t>
        </is>
      </c>
    </row>
    <row r="471" ht="24" customHeight="1">
      <c r="A471" s="24" t="inlineStr">
        <is>
          <t>OpenDART_fnlttSinglAcntAll</t>
        </is>
      </c>
      <c r="B471" s="24" t="inlineStr">
        <is>
          <t>00160843</t>
        </is>
      </c>
      <c r="C471" s="24" t="inlineStr">
        <is>
          <t>DB하이텍</t>
        </is>
      </c>
      <c r="D471" s="24" t="inlineStr">
        <is>
          <t>dbhitek</t>
        </is>
      </c>
      <c r="E471" s="24" t="inlineStr">
        <is>
          <t>000990</t>
        </is>
      </c>
      <c r="F471" s="24" t="inlineStr">
        <is>
          <t>2023</t>
        </is>
      </c>
      <c r="G471" s="24" t="inlineStr">
        <is>
          <t>CFS</t>
        </is>
      </c>
      <c r="H471" s="24" t="inlineStr">
        <is>
          <t>SCE</t>
        </is>
      </c>
      <c r="I471" s="24" t="inlineStr">
        <is>
          <t>자본변동표</t>
        </is>
      </c>
      <c r="J471" s="24" t="inlineStr">
        <is>
          <t>ifrs-full_Equity</t>
        </is>
      </c>
      <c r="K471" s="24" t="inlineStr">
        <is>
          <t>자본총계</t>
        </is>
      </c>
      <c r="L471" s="24" t="inlineStr">
        <is>
          <t>자본 [구성요소]|지배기업의 소유주에게 귀속되는 지분 [구성요소]|기타자본구성요소 [구성요소]</t>
        </is>
      </c>
      <c r="M471" s="24" t="inlineStr">
        <is>
          <t>제 71 기</t>
        </is>
      </c>
      <c r="N471" s="24" t="inlineStr">
        <is>
          <t>-173062538826.0</t>
        </is>
      </c>
      <c r="O471" s="24" t="inlineStr">
        <is>
          <t>-77460548970.0</t>
        </is>
      </c>
      <c r="P471" s="24" t="inlineStr">
        <is>
          <t>KRW</t>
        </is>
      </c>
      <c r="Q471" s="24" t="inlineStr">
        <is>
          <t>8</t>
        </is>
      </c>
    </row>
    <row r="472" ht="24" customHeight="1">
      <c r="A472" s="29" t="inlineStr">
        <is>
          <t>OpenDART_fnlttSinglAcntAll</t>
        </is>
      </c>
      <c r="B472" s="29" t="inlineStr">
        <is>
          <t>00160843</t>
        </is>
      </c>
      <c r="C472" s="29" t="inlineStr">
        <is>
          <t>DB하이텍</t>
        </is>
      </c>
      <c r="D472" s="29" t="inlineStr">
        <is>
          <t>dbhitek</t>
        </is>
      </c>
      <c r="E472" s="29" t="inlineStr">
        <is>
          <t>000990</t>
        </is>
      </c>
      <c r="F472" s="29" t="inlineStr">
        <is>
          <t>2023</t>
        </is>
      </c>
      <c r="G472" s="29" t="inlineStr">
        <is>
          <t>CFS</t>
        </is>
      </c>
      <c r="H472" s="29" t="inlineStr">
        <is>
          <t>SCE</t>
        </is>
      </c>
      <c r="I472" s="29" t="inlineStr">
        <is>
          <t>자본변동표</t>
        </is>
      </c>
      <c r="J472" s="29" t="inlineStr">
        <is>
          <t>ifrs-full_Equity</t>
        </is>
      </c>
      <c r="K472" s="29" t="inlineStr">
        <is>
          <t>자본총계</t>
        </is>
      </c>
      <c r="L472" s="29" t="inlineStr">
        <is>
          <t>자본 [구성요소]|지배기업의 소유주에게 귀속되는 지분 [구성요소]</t>
        </is>
      </c>
      <c r="M472" s="29" t="inlineStr">
        <is>
          <t>제 71 기</t>
        </is>
      </c>
      <c r="N472" s="29" t="inlineStr">
        <is>
          <t>1740082437747.0</t>
        </is>
      </c>
      <c r="O472" s="29" t="inlineStr">
        <is>
          <t>1634784143895.0</t>
        </is>
      </c>
      <c r="P472" s="29" t="inlineStr">
        <is>
          <t>KRW</t>
        </is>
      </c>
      <c r="Q472" s="29" t="inlineStr">
        <is>
          <t>8</t>
        </is>
      </c>
    </row>
    <row r="473" ht="24" customHeight="1">
      <c r="A473" s="24" t="inlineStr">
        <is>
          <t>OpenDART_fnlttSinglAcntAll</t>
        </is>
      </c>
      <c r="B473" s="24" t="inlineStr">
        <is>
          <t>00160843</t>
        </is>
      </c>
      <c r="C473" s="24" t="inlineStr">
        <is>
          <t>DB하이텍</t>
        </is>
      </c>
      <c r="D473" s="24" t="inlineStr">
        <is>
          <t>dbhitek</t>
        </is>
      </c>
      <c r="E473" s="24" t="inlineStr">
        <is>
          <t>000990</t>
        </is>
      </c>
      <c r="F473" s="24" t="inlineStr">
        <is>
          <t>2023</t>
        </is>
      </c>
      <c r="G473" s="24" t="inlineStr">
        <is>
          <t>CFS</t>
        </is>
      </c>
      <c r="H473" s="24" t="inlineStr">
        <is>
          <t>SCE</t>
        </is>
      </c>
      <c r="I473" s="24" t="inlineStr">
        <is>
          <t>자본변동표</t>
        </is>
      </c>
      <c r="J473" s="24" t="inlineStr">
        <is>
          <t>ifrs-full_Equity</t>
        </is>
      </c>
      <c r="K473" s="24" t="inlineStr">
        <is>
          <t>자본총계</t>
        </is>
      </c>
      <c r="L473" s="24" t="inlineStr">
        <is>
          <t>자본 [구성요소]|비지배지분 [구성요소]</t>
        </is>
      </c>
      <c r="M473" s="24" t="inlineStr">
        <is>
          <t>제 71 기</t>
        </is>
      </c>
      <c r="N473" s="24" t="inlineStr">
        <is>
          <t>0.0</t>
        </is>
      </c>
      <c r="O473" s="24" t="inlineStr">
        <is>
          <t>0.0</t>
        </is>
      </c>
      <c r="P473" s="24" t="inlineStr">
        <is>
          <t>KRW</t>
        </is>
      </c>
      <c r="Q473" s="24" t="inlineStr">
        <is>
          <t>8</t>
        </is>
      </c>
    </row>
    <row r="474" ht="24" customHeight="1">
      <c r="A474" s="29" t="inlineStr">
        <is>
          <t>OpenDART_fnlttSinglAcntAll</t>
        </is>
      </c>
      <c r="B474" s="29" t="inlineStr">
        <is>
          <t>00160843</t>
        </is>
      </c>
      <c r="C474" s="29" t="inlineStr">
        <is>
          <t>DB하이텍</t>
        </is>
      </c>
      <c r="D474" s="29" t="inlineStr">
        <is>
          <t>dbhitek</t>
        </is>
      </c>
      <c r="E474" s="29" t="inlineStr">
        <is>
          <t>000990</t>
        </is>
      </c>
      <c r="F474" s="29" t="inlineStr">
        <is>
          <t>2023</t>
        </is>
      </c>
      <c r="G474" s="29" t="inlineStr">
        <is>
          <t>CFS</t>
        </is>
      </c>
      <c r="H474" s="29" t="inlineStr">
        <is>
          <t>SCE</t>
        </is>
      </c>
      <c r="I474" s="29" t="inlineStr">
        <is>
          <t>자본변동표</t>
        </is>
      </c>
      <c r="J474" s="29" t="inlineStr">
        <is>
          <t>ifrs-full_Equity</t>
        </is>
      </c>
      <c r="K474" s="29" t="inlineStr">
        <is>
          <t>자본총계</t>
        </is>
      </c>
      <c r="L474" s="29" t="inlineStr">
        <is>
          <t>연결재무제표 [member]</t>
        </is>
      </c>
      <c r="M474" s="29" t="inlineStr">
        <is>
          <t>제 71 기</t>
        </is>
      </c>
      <c r="N474" s="29" t="inlineStr">
        <is>
          <t>1740082437747.0</t>
        </is>
      </c>
      <c r="O474" s="29" t="inlineStr">
        <is>
          <t>1634784143895.0</t>
        </is>
      </c>
      <c r="P474" s="29" t="inlineStr">
        <is>
          <t>KRW</t>
        </is>
      </c>
      <c r="Q474" s="29" t="inlineStr">
        <is>
          <t>8</t>
        </is>
      </c>
    </row>
    <row r="475" ht="24" customHeight="1">
      <c r="A475" s="24" t="inlineStr">
        <is>
          <t>OpenDART_fnlttSinglAcntAll</t>
        </is>
      </c>
      <c r="B475" s="24" t="inlineStr">
        <is>
          <t>00160843</t>
        </is>
      </c>
      <c r="C475" s="24" t="inlineStr">
        <is>
          <t>DB하이텍</t>
        </is>
      </c>
      <c r="D475" s="24" t="inlineStr">
        <is>
          <t>dbhitek</t>
        </is>
      </c>
      <c r="E475" s="24" t="inlineStr">
        <is>
          <t>000990</t>
        </is>
      </c>
      <c r="F475" s="24" t="inlineStr">
        <is>
          <t>2023</t>
        </is>
      </c>
      <c r="G475" s="24" t="inlineStr">
        <is>
          <t>CFS</t>
        </is>
      </c>
      <c r="H475" s="24" t="inlineStr">
        <is>
          <t>SCE</t>
        </is>
      </c>
      <c r="I475" s="24" t="inlineStr">
        <is>
          <t>자본변동표</t>
        </is>
      </c>
      <c r="J475" s="24" t="inlineStr">
        <is>
          <t>ifrs-full_Equity</t>
        </is>
      </c>
      <c r="K475" s="24" t="inlineStr">
        <is>
          <t>자본총계</t>
        </is>
      </c>
      <c r="L475" s="24" t="inlineStr">
        <is>
          <t>자본 [구성요소]|지배기업의 소유주에게 귀속되는 지분 [구성요소]|자본잉여금 [구성요소]</t>
        </is>
      </c>
      <c r="M475" s="24" t="inlineStr">
        <is>
          <t>제 71 기</t>
        </is>
      </c>
      <c r="N475" s="24" t="inlineStr">
        <is>
          <t>127328276294.0</t>
        </is>
      </c>
      <c r="O475" s="24" t="inlineStr">
        <is>
          <t>127328276294.0</t>
        </is>
      </c>
      <c r="P475" s="24" t="inlineStr">
        <is>
          <t>KRW</t>
        </is>
      </c>
      <c r="Q475" s="24" t="inlineStr">
        <is>
          <t>8</t>
        </is>
      </c>
    </row>
    <row r="476" ht="24" customHeight="1">
      <c r="A476" s="29" t="inlineStr">
        <is>
          <t>OpenDART_fnlttSinglAcntAll</t>
        </is>
      </c>
      <c r="B476" s="29" t="inlineStr">
        <is>
          <t>00160843</t>
        </is>
      </c>
      <c r="C476" s="29" t="inlineStr">
        <is>
          <t>DB하이텍</t>
        </is>
      </c>
      <c r="D476" s="29" t="inlineStr">
        <is>
          <t>dbhitek</t>
        </is>
      </c>
      <c r="E476" s="29" t="inlineStr">
        <is>
          <t>000990</t>
        </is>
      </c>
      <c r="F476" s="29" t="inlineStr">
        <is>
          <t>2023</t>
        </is>
      </c>
      <c r="G476" s="29" t="inlineStr">
        <is>
          <t>CFS</t>
        </is>
      </c>
      <c r="H476" s="29" t="inlineStr">
        <is>
          <t>SCE</t>
        </is>
      </c>
      <c r="I476" s="29" t="inlineStr">
        <is>
          <t>자본변동표</t>
        </is>
      </c>
      <c r="J476" s="29" t="inlineStr">
        <is>
          <t>ifrs-full_IncreaseDecreaseThroughTransactionsWithOwners</t>
        </is>
      </c>
      <c r="K476" s="29" t="inlineStr">
        <is>
          <t>소유주와의 거래 합계</t>
        </is>
      </c>
      <c r="L476" s="29" t="inlineStr">
        <is>
          <t>자본 [구성요소]|지배기업의 소유주에게 귀속되는 지분 [구성요소]|자본금 [구성요소]</t>
        </is>
      </c>
      <c r="M476" s="29" t="inlineStr">
        <is>
          <t>제 71 기</t>
        </is>
      </c>
      <c r="N476" s="29" t="inlineStr">
        <is>
          <t>0.0</t>
        </is>
      </c>
      <c r="O476" s="29" t="inlineStr">
        <is>
          <t>0.0</t>
        </is>
      </c>
      <c r="P476" s="29" t="inlineStr">
        <is>
          <t>KRW</t>
        </is>
      </c>
      <c r="Q476" s="29" t="inlineStr">
        <is>
          <t>9</t>
        </is>
      </c>
    </row>
    <row r="477" ht="24" customHeight="1">
      <c r="A477" s="24" t="inlineStr">
        <is>
          <t>OpenDART_fnlttSinglAcntAll</t>
        </is>
      </c>
      <c r="B477" s="24" t="inlineStr">
        <is>
          <t>00160843</t>
        </is>
      </c>
      <c r="C477" s="24" t="inlineStr">
        <is>
          <t>DB하이텍</t>
        </is>
      </c>
      <c r="D477" s="24" t="inlineStr">
        <is>
          <t>dbhitek</t>
        </is>
      </c>
      <c r="E477" s="24" t="inlineStr">
        <is>
          <t>000990</t>
        </is>
      </c>
      <c r="F477" s="24" t="inlineStr">
        <is>
          <t>2023</t>
        </is>
      </c>
      <c r="G477" s="24" t="inlineStr">
        <is>
          <t>CFS</t>
        </is>
      </c>
      <c r="H477" s="24" t="inlineStr">
        <is>
          <t>SCE</t>
        </is>
      </c>
      <c r="I477" s="24" t="inlineStr">
        <is>
          <t>자본변동표</t>
        </is>
      </c>
      <c r="J477" s="24" t="inlineStr">
        <is>
          <t>ifrs-full_IncreaseDecreaseThroughTransactionsWithOwners</t>
        </is>
      </c>
      <c r="K477" s="24" t="inlineStr">
        <is>
          <t>소유주와의 거래 합계</t>
        </is>
      </c>
      <c r="L477" s="24" t="inlineStr">
        <is>
          <t>자본 [구성요소]|지배기업의 소유주에게 귀속되는 지분 [구성요소]|이익잉여금 [구성요소]</t>
        </is>
      </c>
      <c r="M477" s="24" t="inlineStr">
        <is>
          <t>제 71 기</t>
        </is>
      </c>
      <c r="N477" s="24" t="inlineStr">
        <is>
          <t>-56504612200.0</t>
        </is>
      </c>
      <c r="O477" s="24" t="inlineStr">
        <is>
          <t>-19562638100.0</t>
        </is>
      </c>
      <c r="P477" s="24" t="inlineStr">
        <is>
          <t>KRW</t>
        </is>
      </c>
      <c r="Q477" s="24" t="inlineStr">
        <is>
          <t>9</t>
        </is>
      </c>
    </row>
    <row r="478" ht="24" customHeight="1">
      <c r="A478" s="29" t="inlineStr">
        <is>
          <t>OpenDART_fnlttSinglAcntAll</t>
        </is>
      </c>
      <c r="B478" s="29" t="inlineStr">
        <is>
          <t>00160843</t>
        </is>
      </c>
      <c r="C478" s="29" t="inlineStr">
        <is>
          <t>DB하이텍</t>
        </is>
      </c>
      <c r="D478" s="29" t="inlineStr">
        <is>
          <t>dbhitek</t>
        </is>
      </c>
      <c r="E478" s="29" t="inlineStr">
        <is>
          <t>000990</t>
        </is>
      </c>
      <c r="F478" s="29" t="inlineStr">
        <is>
          <t>2023</t>
        </is>
      </c>
      <c r="G478" s="29" t="inlineStr">
        <is>
          <t>CFS</t>
        </is>
      </c>
      <c r="H478" s="29" t="inlineStr">
        <is>
          <t>SCE</t>
        </is>
      </c>
      <c r="I478" s="29" t="inlineStr">
        <is>
          <t>자본변동표</t>
        </is>
      </c>
      <c r="J478" s="29" t="inlineStr">
        <is>
          <t>ifrs-full_IncreaseDecreaseThroughTransactionsWithOwners</t>
        </is>
      </c>
      <c r="K478" s="29" t="inlineStr">
        <is>
          <t>소유주와의 거래 합계</t>
        </is>
      </c>
      <c r="L478" s="29" t="inlineStr">
        <is>
          <t>자본 [구성요소]|지배기업의 소유주에게 귀속되는 지분 [구성요소]|기타자본구성요소 [구성요소]</t>
        </is>
      </c>
      <c r="M478" s="29" t="inlineStr">
        <is>
          <t>제 71 기</t>
        </is>
      </c>
      <c r="N478" s="29" t="inlineStr">
        <is>
          <t>-100450331460.0</t>
        </is>
      </c>
      <c r="O478" s="29" t="inlineStr">
        <is>
          <t>0.0</t>
        </is>
      </c>
      <c r="P478" s="29" t="inlineStr">
        <is>
          <t>KRW</t>
        </is>
      </c>
      <c r="Q478" s="29" t="inlineStr">
        <is>
          <t>9</t>
        </is>
      </c>
    </row>
    <row r="479" ht="24" customHeight="1">
      <c r="A479" s="24" t="inlineStr">
        <is>
          <t>OpenDART_fnlttSinglAcntAll</t>
        </is>
      </c>
      <c r="B479" s="24" t="inlineStr">
        <is>
          <t>00160843</t>
        </is>
      </c>
      <c r="C479" s="24" t="inlineStr">
        <is>
          <t>DB하이텍</t>
        </is>
      </c>
      <c r="D479" s="24" t="inlineStr">
        <is>
          <t>dbhitek</t>
        </is>
      </c>
      <c r="E479" s="24" t="inlineStr">
        <is>
          <t>000990</t>
        </is>
      </c>
      <c r="F479" s="24" t="inlineStr">
        <is>
          <t>2023</t>
        </is>
      </c>
      <c r="G479" s="24" t="inlineStr">
        <is>
          <t>CFS</t>
        </is>
      </c>
      <c r="H479" s="24" t="inlineStr">
        <is>
          <t>SCE</t>
        </is>
      </c>
      <c r="I479" s="24" t="inlineStr">
        <is>
          <t>자본변동표</t>
        </is>
      </c>
      <c r="J479" s="24" t="inlineStr">
        <is>
          <t>ifrs-full_IncreaseDecreaseThroughTransactionsWithOwners</t>
        </is>
      </c>
      <c r="K479" s="24" t="inlineStr">
        <is>
          <t>소유주와의 거래 합계</t>
        </is>
      </c>
      <c r="L479" s="24" t="inlineStr">
        <is>
          <t>자본 [구성요소]|지배기업의 소유주에게 귀속되는 지분 [구성요소]</t>
        </is>
      </c>
      <c r="M479" s="24" t="inlineStr">
        <is>
          <t>제 71 기</t>
        </is>
      </c>
      <c r="N479" s="24" t="inlineStr">
        <is>
          <t>-156954943660.0</t>
        </is>
      </c>
      <c r="O479" s="24" t="inlineStr">
        <is>
          <t>-19562638100.0</t>
        </is>
      </c>
      <c r="P479" s="24" t="inlineStr">
        <is>
          <t>KRW</t>
        </is>
      </c>
      <c r="Q479" s="24" t="inlineStr">
        <is>
          <t>9</t>
        </is>
      </c>
    </row>
    <row r="480" ht="24" customHeight="1">
      <c r="A480" s="29" t="inlineStr">
        <is>
          <t>OpenDART_fnlttSinglAcntAll</t>
        </is>
      </c>
      <c r="B480" s="29" t="inlineStr">
        <is>
          <t>00160843</t>
        </is>
      </c>
      <c r="C480" s="29" t="inlineStr">
        <is>
          <t>DB하이텍</t>
        </is>
      </c>
      <c r="D480" s="29" t="inlineStr">
        <is>
          <t>dbhitek</t>
        </is>
      </c>
      <c r="E480" s="29" t="inlineStr">
        <is>
          <t>000990</t>
        </is>
      </c>
      <c r="F480" s="29" t="inlineStr">
        <is>
          <t>2023</t>
        </is>
      </c>
      <c r="G480" s="29" t="inlineStr">
        <is>
          <t>CFS</t>
        </is>
      </c>
      <c r="H480" s="29" t="inlineStr">
        <is>
          <t>SCE</t>
        </is>
      </c>
      <c r="I480" s="29" t="inlineStr">
        <is>
          <t>자본변동표</t>
        </is>
      </c>
      <c r="J480" s="29" t="inlineStr">
        <is>
          <t>ifrs-full_IncreaseDecreaseThroughTransactionsWithOwners</t>
        </is>
      </c>
      <c r="K480" s="29" t="inlineStr">
        <is>
          <t>소유주와의 거래 합계</t>
        </is>
      </c>
      <c r="L480" s="29" t="inlineStr">
        <is>
          <t>자본 [구성요소]|비지배지분 [구성요소]</t>
        </is>
      </c>
      <c r="M480" s="29" t="inlineStr">
        <is>
          <t>제 71 기</t>
        </is>
      </c>
      <c r="N480" s="29" t="inlineStr">
        <is>
          <t>0.0</t>
        </is>
      </c>
      <c r="O480" s="29" t="inlineStr">
        <is>
          <t>0.0</t>
        </is>
      </c>
      <c r="P480" s="29" t="inlineStr">
        <is>
          <t>KRW</t>
        </is>
      </c>
      <c r="Q480" s="29" t="inlineStr">
        <is>
          <t>9</t>
        </is>
      </c>
    </row>
    <row r="481" ht="24" customHeight="1">
      <c r="A481" s="24" t="inlineStr">
        <is>
          <t>OpenDART_fnlttSinglAcntAll</t>
        </is>
      </c>
      <c r="B481" s="24" t="inlineStr">
        <is>
          <t>00160843</t>
        </is>
      </c>
      <c r="C481" s="24" t="inlineStr">
        <is>
          <t>DB하이텍</t>
        </is>
      </c>
      <c r="D481" s="24" t="inlineStr">
        <is>
          <t>dbhitek</t>
        </is>
      </c>
      <c r="E481" s="24" t="inlineStr">
        <is>
          <t>000990</t>
        </is>
      </c>
      <c r="F481" s="24" t="inlineStr">
        <is>
          <t>2023</t>
        </is>
      </c>
      <c r="G481" s="24" t="inlineStr">
        <is>
          <t>CFS</t>
        </is>
      </c>
      <c r="H481" s="24" t="inlineStr">
        <is>
          <t>SCE</t>
        </is>
      </c>
      <c r="I481" s="24" t="inlineStr">
        <is>
          <t>자본변동표</t>
        </is>
      </c>
      <c r="J481" s="24" t="inlineStr">
        <is>
          <t>ifrs-full_IncreaseDecreaseThroughTransactionsWithOwners</t>
        </is>
      </c>
      <c r="K481" s="24" t="inlineStr">
        <is>
          <t>소유주와의 거래 합계</t>
        </is>
      </c>
      <c r="L481" s="24" t="inlineStr">
        <is>
          <t>연결재무제표 [member]</t>
        </is>
      </c>
      <c r="M481" s="24" t="inlineStr">
        <is>
          <t>제 71 기</t>
        </is>
      </c>
      <c r="N481" s="24" t="inlineStr">
        <is>
          <t>-156954943660.0</t>
        </is>
      </c>
      <c r="O481" s="24" t="inlineStr">
        <is>
          <t>-19562638100.0</t>
        </is>
      </c>
      <c r="P481" s="24" t="inlineStr">
        <is>
          <t>KRW</t>
        </is>
      </c>
      <c r="Q481" s="24" t="inlineStr">
        <is>
          <t>9</t>
        </is>
      </c>
    </row>
    <row r="482" ht="24" customHeight="1">
      <c r="A482" s="29" t="inlineStr">
        <is>
          <t>OpenDART_fnlttSinglAcntAll</t>
        </is>
      </c>
      <c r="B482" s="29" t="inlineStr">
        <is>
          <t>00160843</t>
        </is>
      </c>
      <c r="C482" s="29" t="inlineStr">
        <is>
          <t>DB하이텍</t>
        </is>
      </c>
      <c r="D482" s="29" t="inlineStr">
        <is>
          <t>dbhitek</t>
        </is>
      </c>
      <c r="E482" s="29" t="inlineStr">
        <is>
          <t>000990</t>
        </is>
      </c>
      <c r="F482" s="29" t="inlineStr">
        <is>
          <t>2023</t>
        </is>
      </c>
      <c r="G482" s="29" t="inlineStr">
        <is>
          <t>CFS</t>
        </is>
      </c>
      <c r="H482" s="29" t="inlineStr">
        <is>
          <t>SCE</t>
        </is>
      </c>
      <c r="I482" s="29" t="inlineStr">
        <is>
          <t>자본변동표</t>
        </is>
      </c>
      <c r="J482" s="29" t="inlineStr">
        <is>
          <t>ifrs-full_IncreaseDecreaseThroughTransactionsWithOwners</t>
        </is>
      </c>
      <c r="K482" s="29" t="inlineStr">
        <is>
          <t>소유주와의 거래 합계</t>
        </is>
      </c>
      <c r="L482" s="29" t="inlineStr">
        <is>
          <t>자본 [구성요소]|지배기업의 소유주에게 귀속되는 지분 [구성요소]|자본잉여금 [구성요소]</t>
        </is>
      </c>
      <c r="M482" s="29" t="inlineStr">
        <is>
          <t>제 71 기</t>
        </is>
      </c>
      <c r="N482" s="29" t="inlineStr">
        <is>
          <t>0.0</t>
        </is>
      </c>
      <c r="O482" s="29" t="inlineStr">
        <is>
          <t>0.0</t>
        </is>
      </c>
      <c r="P482" s="29" t="inlineStr">
        <is>
          <t>KRW</t>
        </is>
      </c>
      <c r="Q482" s="29" t="inlineStr">
        <is>
          <t>9</t>
        </is>
      </c>
    </row>
    <row r="483" ht="24" customHeight="1">
      <c r="A483" s="24" t="inlineStr">
        <is>
          <t>OpenDART_fnlttSinglAcntAll</t>
        </is>
      </c>
      <c r="B483" s="24" t="inlineStr">
        <is>
          <t>00160843</t>
        </is>
      </c>
      <c r="C483" s="24" t="inlineStr">
        <is>
          <t>DB하이텍</t>
        </is>
      </c>
      <c r="D483" s="24" t="inlineStr">
        <is>
          <t>dbhitek</t>
        </is>
      </c>
      <c r="E483" s="24" t="inlineStr">
        <is>
          <t>000990</t>
        </is>
      </c>
      <c r="F483" s="24" t="inlineStr">
        <is>
          <t>2023</t>
        </is>
      </c>
      <c r="G483" s="24" t="inlineStr">
        <is>
          <t>CFS</t>
        </is>
      </c>
      <c r="H483" s="24" t="inlineStr">
        <is>
          <t>SCE</t>
        </is>
      </c>
      <c r="I483" s="24" t="inlineStr">
        <is>
          <t>자본변동표</t>
        </is>
      </c>
      <c r="J483" s="24" t="inlineStr">
        <is>
          <t>ifrs-full_OtherComprehensiveIncome</t>
        </is>
      </c>
      <c r="K483" s="24" t="inlineStr">
        <is>
          <t>기타포괄손익</t>
        </is>
      </c>
      <c r="L483" s="24" t="inlineStr">
        <is>
          <t>연결재무제표 [member]</t>
        </is>
      </c>
      <c r="M483" s="24" t="inlineStr">
        <is>
          <t>제 71 기</t>
        </is>
      </c>
      <c r="N483" s="24" t="inlineStr">
        <is>
          <t>-1896013467.0</t>
        </is>
      </c>
      <c r="O483" s="24" t="inlineStr">
        <is>
          <t>-7039651770.0</t>
        </is>
      </c>
      <c r="P483" s="24" t="inlineStr">
        <is>
          <t>KRW</t>
        </is>
      </c>
      <c r="Q483" s="24" t="inlineStr">
        <is>
          <t>10</t>
        </is>
      </c>
    </row>
    <row r="484" ht="24" customHeight="1">
      <c r="A484" s="29" t="inlineStr">
        <is>
          <t>OpenDART_fnlttSinglAcntAll</t>
        </is>
      </c>
      <c r="B484" s="29" t="inlineStr">
        <is>
          <t>00160843</t>
        </is>
      </c>
      <c r="C484" s="29" t="inlineStr">
        <is>
          <t>DB하이텍</t>
        </is>
      </c>
      <c r="D484" s="29" t="inlineStr">
        <is>
          <t>dbhitek</t>
        </is>
      </c>
      <c r="E484" s="29" t="inlineStr">
        <is>
          <t>000990</t>
        </is>
      </c>
      <c r="F484" s="29" t="inlineStr">
        <is>
          <t>2023</t>
        </is>
      </c>
      <c r="G484" s="29" t="inlineStr">
        <is>
          <t>CFS</t>
        </is>
      </c>
      <c r="H484" s="29" t="inlineStr">
        <is>
          <t>SCE</t>
        </is>
      </c>
      <c r="I484" s="29" t="inlineStr">
        <is>
          <t>자본변동표</t>
        </is>
      </c>
      <c r="J484" s="29" t="inlineStr">
        <is>
          <t>ifrs-full_OtherComprehensiveIncome</t>
        </is>
      </c>
      <c r="K484" s="29" t="inlineStr">
        <is>
          <t>기타포괄손익</t>
        </is>
      </c>
      <c r="L484" s="29" t="inlineStr">
        <is>
          <t>자본 [구성요소]|비지배지분 [구성요소]</t>
        </is>
      </c>
      <c r="M484" s="29" t="inlineStr">
        <is>
          <t>제 71 기</t>
        </is>
      </c>
      <c r="N484" s="29" t="inlineStr">
        <is>
          <t>0.0</t>
        </is>
      </c>
      <c r="O484" s="29" t="inlineStr">
        <is>
          <t>0.0</t>
        </is>
      </c>
      <c r="P484" s="29" t="inlineStr">
        <is>
          <t>KRW</t>
        </is>
      </c>
      <c r="Q484" s="29" t="inlineStr">
        <is>
          <t>10</t>
        </is>
      </c>
    </row>
    <row r="485" ht="24" customHeight="1">
      <c r="A485" s="24" t="inlineStr">
        <is>
          <t>OpenDART_fnlttSinglAcntAll</t>
        </is>
      </c>
      <c r="B485" s="24" t="inlineStr">
        <is>
          <t>00160843</t>
        </is>
      </c>
      <c r="C485" s="24" t="inlineStr">
        <is>
          <t>DB하이텍</t>
        </is>
      </c>
      <c r="D485" s="24" t="inlineStr">
        <is>
          <t>dbhitek</t>
        </is>
      </c>
      <c r="E485" s="24" t="inlineStr">
        <is>
          <t>000990</t>
        </is>
      </c>
      <c r="F485" s="24" t="inlineStr">
        <is>
          <t>2023</t>
        </is>
      </c>
      <c r="G485" s="24" t="inlineStr">
        <is>
          <t>CFS</t>
        </is>
      </c>
      <c r="H485" s="24" t="inlineStr">
        <is>
          <t>SCE</t>
        </is>
      </c>
      <c r="I485" s="24" t="inlineStr">
        <is>
          <t>자본변동표</t>
        </is>
      </c>
      <c r="J485" s="24" t="inlineStr">
        <is>
          <t>ifrs-full_OtherComprehensiveIncome</t>
        </is>
      </c>
      <c r="K485" s="24" t="inlineStr">
        <is>
          <t>기타포괄손익</t>
        </is>
      </c>
      <c r="L485" s="24" t="inlineStr">
        <is>
          <t>자본 [구성요소]|지배기업의 소유주에게 귀속되는 지분 [구성요소]</t>
        </is>
      </c>
      <c r="M485" s="24" t="inlineStr">
        <is>
          <t>제 71 기</t>
        </is>
      </c>
      <c r="N485" s="24" t="inlineStr">
        <is>
          <t>-1896013467.0</t>
        </is>
      </c>
      <c r="O485" s="24" t="inlineStr">
        <is>
          <t>-7039651770.0</t>
        </is>
      </c>
      <c r="P485" s="24" t="inlineStr">
        <is>
          <t>KRW</t>
        </is>
      </c>
      <c r="Q485" s="24" t="inlineStr">
        <is>
          <t>10</t>
        </is>
      </c>
    </row>
    <row r="486" ht="24" customHeight="1">
      <c r="A486" s="29" t="inlineStr">
        <is>
          <t>OpenDART_fnlttSinglAcntAll</t>
        </is>
      </c>
      <c r="B486" s="29" t="inlineStr">
        <is>
          <t>00160843</t>
        </is>
      </c>
      <c r="C486" s="29" t="inlineStr">
        <is>
          <t>DB하이텍</t>
        </is>
      </c>
      <c r="D486" s="29" t="inlineStr">
        <is>
          <t>dbhitek</t>
        </is>
      </c>
      <c r="E486" s="29" t="inlineStr">
        <is>
          <t>000990</t>
        </is>
      </c>
      <c r="F486" s="29" t="inlineStr">
        <is>
          <t>2023</t>
        </is>
      </c>
      <c r="G486" s="29" t="inlineStr">
        <is>
          <t>CFS</t>
        </is>
      </c>
      <c r="H486" s="29" t="inlineStr">
        <is>
          <t>SCE</t>
        </is>
      </c>
      <c r="I486" s="29" t="inlineStr">
        <is>
          <t>자본변동표</t>
        </is>
      </c>
      <c r="J486" s="29" t="inlineStr">
        <is>
          <t>ifrs-full_OtherComprehensiveIncome</t>
        </is>
      </c>
      <c r="K486" s="29" t="inlineStr">
        <is>
          <t>기타포괄손익</t>
        </is>
      </c>
      <c r="L486" s="29" t="inlineStr">
        <is>
          <t>자본 [구성요소]|지배기업의 소유주에게 귀속되는 지분 [구성요소]|기타자본구성요소 [구성요소]</t>
        </is>
      </c>
      <c r="M486" s="29" t="inlineStr">
        <is>
          <t>제 71 기</t>
        </is>
      </c>
      <c r="N486" s="29" t="inlineStr">
        <is>
          <t>4848341604.0</t>
        </is>
      </c>
      <c r="O486" s="29" t="inlineStr">
        <is>
          <t>-1657175629.0</t>
        </is>
      </c>
      <c r="P486" s="29" t="inlineStr">
        <is>
          <t>KRW</t>
        </is>
      </c>
      <c r="Q486" s="29" t="inlineStr">
        <is>
          <t>10</t>
        </is>
      </c>
    </row>
    <row r="487" ht="24" customHeight="1">
      <c r="A487" s="24" t="inlineStr">
        <is>
          <t>OpenDART_fnlttSinglAcntAll</t>
        </is>
      </c>
      <c r="B487" s="24" t="inlineStr">
        <is>
          <t>00160843</t>
        </is>
      </c>
      <c r="C487" s="24" t="inlineStr">
        <is>
          <t>DB하이텍</t>
        </is>
      </c>
      <c r="D487" s="24" t="inlineStr">
        <is>
          <t>dbhitek</t>
        </is>
      </c>
      <c r="E487" s="24" t="inlineStr">
        <is>
          <t>000990</t>
        </is>
      </c>
      <c r="F487" s="24" t="inlineStr">
        <is>
          <t>2023</t>
        </is>
      </c>
      <c r="G487" s="24" t="inlineStr">
        <is>
          <t>CFS</t>
        </is>
      </c>
      <c r="H487" s="24" t="inlineStr">
        <is>
          <t>SCE</t>
        </is>
      </c>
      <c r="I487" s="24" t="inlineStr">
        <is>
          <t>자본변동표</t>
        </is>
      </c>
      <c r="J487" s="24" t="inlineStr">
        <is>
          <t>ifrs-full_OtherComprehensiveIncome</t>
        </is>
      </c>
      <c r="K487" s="24" t="inlineStr">
        <is>
          <t>기타포괄손익</t>
        </is>
      </c>
      <c r="L487" s="24" t="inlineStr">
        <is>
          <t>자본 [구성요소]|지배기업의 소유주에게 귀속되는 지분 [구성요소]|이익잉여금 [구성요소]</t>
        </is>
      </c>
      <c r="M487" s="24" t="inlineStr">
        <is>
          <t>제 71 기</t>
        </is>
      </c>
      <c r="N487" s="24" t="inlineStr">
        <is>
          <t>-6744355071.0</t>
        </is>
      </c>
      <c r="O487" s="24" t="inlineStr">
        <is>
          <t>-5382476141.0</t>
        </is>
      </c>
      <c r="P487" s="24" t="inlineStr">
        <is>
          <t>KRW</t>
        </is>
      </c>
      <c r="Q487" s="24" t="inlineStr">
        <is>
          <t>10</t>
        </is>
      </c>
    </row>
    <row r="488" ht="24" customHeight="1">
      <c r="A488" s="29" t="inlineStr">
        <is>
          <t>OpenDART_fnlttSinglAcntAll</t>
        </is>
      </c>
      <c r="B488" s="29" t="inlineStr">
        <is>
          <t>00160843</t>
        </is>
      </c>
      <c r="C488" s="29" t="inlineStr">
        <is>
          <t>DB하이텍</t>
        </is>
      </c>
      <c r="D488" s="29" t="inlineStr">
        <is>
          <t>dbhitek</t>
        </is>
      </c>
      <c r="E488" s="29" t="inlineStr">
        <is>
          <t>000990</t>
        </is>
      </c>
      <c r="F488" s="29" t="inlineStr">
        <is>
          <t>2023</t>
        </is>
      </c>
      <c r="G488" s="29" t="inlineStr">
        <is>
          <t>CFS</t>
        </is>
      </c>
      <c r="H488" s="29" t="inlineStr">
        <is>
          <t>SCE</t>
        </is>
      </c>
      <c r="I488" s="29" t="inlineStr">
        <is>
          <t>자본변동표</t>
        </is>
      </c>
      <c r="J488" s="29" t="inlineStr">
        <is>
          <t>ifrs-full_OtherComprehensiveIncome</t>
        </is>
      </c>
      <c r="K488" s="29" t="inlineStr">
        <is>
          <t>기타포괄손익</t>
        </is>
      </c>
      <c r="L488" s="29" t="inlineStr">
        <is>
          <t>자본 [구성요소]|지배기업의 소유주에게 귀속되는 지분 [구성요소]|자본금 [구성요소]</t>
        </is>
      </c>
      <c r="M488" s="29" t="inlineStr">
        <is>
          <t>제 71 기</t>
        </is>
      </c>
      <c r="N488" s="29" t="inlineStr">
        <is>
          <t>0.0</t>
        </is>
      </c>
      <c r="O488" s="29" t="inlineStr">
        <is>
          <t>0.0</t>
        </is>
      </c>
      <c r="P488" s="29" t="inlineStr">
        <is>
          <t>KRW</t>
        </is>
      </c>
      <c r="Q488" s="29" t="inlineStr">
        <is>
          <t>10</t>
        </is>
      </c>
    </row>
    <row r="489" ht="24" customHeight="1">
      <c r="A489" s="24" t="inlineStr">
        <is>
          <t>OpenDART_fnlttSinglAcntAll</t>
        </is>
      </c>
      <c r="B489" s="24" t="inlineStr">
        <is>
          <t>00160843</t>
        </is>
      </c>
      <c r="C489" s="24" t="inlineStr">
        <is>
          <t>DB하이텍</t>
        </is>
      </c>
      <c r="D489" s="24" t="inlineStr">
        <is>
          <t>dbhitek</t>
        </is>
      </c>
      <c r="E489" s="24" t="inlineStr">
        <is>
          <t>000990</t>
        </is>
      </c>
      <c r="F489" s="24" t="inlineStr">
        <is>
          <t>2023</t>
        </is>
      </c>
      <c r="G489" s="24" t="inlineStr">
        <is>
          <t>CFS</t>
        </is>
      </c>
      <c r="H489" s="24" t="inlineStr">
        <is>
          <t>SCE</t>
        </is>
      </c>
      <c r="I489" s="24" t="inlineStr">
        <is>
          <t>자본변동표</t>
        </is>
      </c>
      <c r="J489" s="24" t="inlineStr">
        <is>
          <t>ifrs-full_OtherComprehensiveIncome</t>
        </is>
      </c>
      <c r="K489" s="24" t="inlineStr">
        <is>
          <t>기타포괄손익</t>
        </is>
      </c>
      <c r="L489" s="24" t="inlineStr">
        <is>
          <t>자본 [구성요소]|지배기업의 소유주에게 귀속되는 지분 [구성요소]|자본잉여금 [구성요소]</t>
        </is>
      </c>
      <c r="M489" s="24" t="inlineStr">
        <is>
          <t>제 71 기</t>
        </is>
      </c>
      <c r="N489" s="24" t="inlineStr">
        <is>
          <t>0.0</t>
        </is>
      </c>
      <c r="O489" s="24" t="inlineStr">
        <is>
          <t>0.0</t>
        </is>
      </c>
      <c r="P489" s="24" t="inlineStr">
        <is>
          <t>KRW</t>
        </is>
      </c>
      <c r="Q489" s="24" t="inlineStr">
        <is>
          <t>10</t>
        </is>
      </c>
    </row>
    <row r="490" ht="24" customHeight="1">
      <c r="A490" s="29" t="inlineStr">
        <is>
          <t>OpenDART_fnlttSinglAcntAll</t>
        </is>
      </c>
      <c r="B490" s="29" t="inlineStr">
        <is>
          <t>00160843</t>
        </is>
      </c>
      <c r="C490" s="29" t="inlineStr">
        <is>
          <t>DB하이텍</t>
        </is>
      </c>
      <c r="D490" s="29" t="inlineStr">
        <is>
          <t>dbhitek</t>
        </is>
      </c>
      <c r="E490" s="29" t="inlineStr">
        <is>
          <t>000990</t>
        </is>
      </c>
      <c r="F490" s="29" t="inlineStr">
        <is>
          <t>2023</t>
        </is>
      </c>
      <c r="G490" s="29" t="inlineStr">
        <is>
          <t>CFS</t>
        </is>
      </c>
      <c r="H490" s="29" t="inlineStr">
        <is>
          <t>SCE</t>
        </is>
      </c>
      <c r="I490" s="29" t="inlineStr">
        <is>
          <t>자본변동표</t>
        </is>
      </c>
      <c r="J490" s="29" t="inlineStr">
        <is>
          <t>ifrs-full_OtherComprehensiveIncomeNetOfTaxExchangeDifferencesOnTranslationOfForeignOperationsAndHedgesOfNetInvestmentsInForeignOperations</t>
        </is>
      </c>
      <c r="K490" s="29" t="inlineStr">
        <is>
          <t>해외사업환산손익</t>
        </is>
      </c>
      <c r="L490" s="29" t="inlineStr">
        <is>
          <t>연결재무제표 [member]</t>
        </is>
      </c>
      <c r="M490" s="29" t="inlineStr">
        <is>
          <t>제 71 기</t>
        </is>
      </c>
      <c r="N490" s="29" t="inlineStr">
        <is>
          <t>82463947.0</t>
        </is>
      </c>
      <c r="O490" s="29" t="inlineStr">
        <is>
          <t>301627377.0</t>
        </is>
      </c>
      <c r="P490" s="29" t="inlineStr">
        <is>
          <t>KRW</t>
        </is>
      </c>
      <c r="Q490" s="29" t="inlineStr">
        <is>
          <t>11</t>
        </is>
      </c>
    </row>
    <row r="491" ht="24" customHeight="1">
      <c r="A491" s="24" t="inlineStr">
        <is>
          <t>OpenDART_fnlttSinglAcntAll</t>
        </is>
      </c>
      <c r="B491" s="24" t="inlineStr">
        <is>
          <t>00160843</t>
        </is>
      </c>
      <c r="C491" s="24" t="inlineStr">
        <is>
          <t>DB하이텍</t>
        </is>
      </c>
      <c r="D491" s="24" t="inlineStr">
        <is>
          <t>dbhitek</t>
        </is>
      </c>
      <c r="E491" s="24" t="inlineStr">
        <is>
          <t>000990</t>
        </is>
      </c>
      <c r="F491" s="24" t="inlineStr">
        <is>
          <t>2023</t>
        </is>
      </c>
      <c r="G491" s="24" t="inlineStr">
        <is>
          <t>CFS</t>
        </is>
      </c>
      <c r="H491" s="24" t="inlineStr">
        <is>
          <t>SCE</t>
        </is>
      </c>
      <c r="I491" s="24" t="inlineStr">
        <is>
          <t>자본변동표</t>
        </is>
      </c>
      <c r="J491" s="24" t="inlineStr">
        <is>
          <t>ifrs-full_OtherComprehensiveIncomeNetOfTaxExchangeDifferencesOnTranslationOfForeignOperationsAndHedgesOfNetInvestmentsInForeignOperations</t>
        </is>
      </c>
      <c r="K491" s="24" t="inlineStr">
        <is>
          <t>해외사업환산손익</t>
        </is>
      </c>
      <c r="L491" s="24" t="inlineStr">
        <is>
          <t>자본 [구성요소]|비지배지분 [구성요소]</t>
        </is>
      </c>
      <c r="M491" s="24" t="inlineStr">
        <is>
          <t>제 71 기</t>
        </is>
      </c>
      <c r="N491" s="24" t="inlineStr">
        <is>
          <t>0.0</t>
        </is>
      </c>
      <c r="O491" s="24" t="inlineStr">
        <is>
          <t>0.0</t>
        </is>
      </c>
      <c r="P491" s="24" t="inlineStr">
        <is>
          <t>KRW</t>
        </is>
      </c>
      <c r="Q491" s="24" t="inlineStr">
        <is>
          <t>11</t>
        </is>
      </c>
    </row>
    <row r="492" ht="24" customHeight="1">
      <c r="A492" s="29" t="inlineStr">
        <is>
          <t>OpenDART_fnlttSinglAcntAll</t>
        </is>
      </c>
      <c r="B492" s="29" t="inlineStr">
        <is>
          <t>00160843</t>
        </is>
      </c>
      <c r="C492" s="29" t="inlineStr">
        <is>
          <t>DB하이텍</t>
        </is>
      </c>
      <c r="D492" s="29" t="inlineStr">
        <is>
          <t>dbhitek</t>
        </is>
      </c>
      <c r="E492" s="29" t="inlineStr">
        <is>
          <t>000990</t>
        </is>
      </c>
      <c r="F492" s="29" t="inlineStr">
        <is>
          <t>2023</t>
        </is>
      </c>
      <c r="G492" s="29" t="inlineStr">
        <is>
          <t>CFS</t>
        </is>
      </c>
      <c r="H492" s="29" t="inlineStr">
        <is>
          <t>SCE</t>
        </is>
      </c>
      <c r="I492" s="29" t="inlineStr">
        <is>
          <t>자본변동표</t>
        </is>
      </c>
      <c r="J492" s="29" t="inlineStr">
        <is>
          <t>ifrs-full_OtherComprehensiveIncomeNetOfTaxExchangeDifferencesOnTranslationOfForeignOperationsAndHedgesOfNetInvestmentsInForeignOperations</t>
        </is>
      </c>
      <c r="K492" s="29" t="inlineStr">
        <is>
          <t>해외사업환산손익</t>
        </is>
      </c>
      <c r="L492" s="29" t="inlineStr">
        <is>
          <t>자본 [구성요소]|지배기업의 소유주에게 귀속되는 지분 [구성요소]</t>
        </is>
      </c>
      <c r="M492" s="29" t="inlineStr">
        <is>
          <t>제 71 기</t>
        </is>
      </c>
      <c r="N492" s="29" t="inlineStr">
        <is>
          <t>82463947.0</t>
        </is>
      </c>
      <c r="O492" s="29" t="inlineStr">
        <is>
          <t>301627377.0</t>
        </is>
      </c>
      <c r="P492" s="29" t="inlineStr">
        <is>
          <t>KRW</t>
        </is>
      </c>
      <c r="Q492" s="29" t="inlineStr">
        <is>
          <t>11</t>
        </is>
      </c>
    </row>
    <row r="493" ht="24" customHeight="1">
      <c r="A493" s="24" t="inlineStr">
        <is>
          <t>OpenDART_fnlttSinglAcntAll</t>
        </is>
      </c>
      <c r="B493" s="24" t="inlineStr">
        <is>
          <t>00160843</t>
        </is>
      </c>
      <c r="C493" s="24" t="inlineStr">
        <is>
          <t>DB하이텍</t>
        </is>
      </c>
      <c r="D493" s="24" t="inlineStr">
        <is>
          <t>dbhitek</t>
        </is>
      </c>
      <c r="E493" s="24" t="inlineStr">
        <is>
          <t>000990</t>
        </is>
      </c>
      <c r="F493" s="24" t="inlineStr">
        <is>
          <t>2023</t>
        </is>
      </c>
      <c r="G493" s="24" t="inlineStr">
        <is>
          <t>CFS</t>
        </is>
      </c>
      <c r="H493" s="24" t="inlineStr">
        <is>
          <t>SCE</t>
        </is>
      </c>
      <c r="I493" s="24" t="inlineStr">
        <is>
          <t>자본변동표</t>
        </is>
      </c>
      <c r="J493" s="24" t="inlineStr">
        <is>
          <t>ifrs-full_OtherComprehensiveIncomeNetOfTaxExchangeDifferencesOnTranslationOfForeignOperationsAndHedgesOfNetInvestmentsInForeignOperations</t>
        </is>
      </c>
      <c r="K493" s="24" t="inlineStr">
        <is>
          <t>해외사업환산손익</t>
        </is>
      </c>
      <c r="L493" s="24" t="inlineStr">
        <is>
          <t>자본 [구성요소]|지배기업의 소유주에게 귀속되는 지분 [구성요소]|자본금 [구성요소]</t>
        </is>
      </c>
      <c r="M493" s="24" t="inlineStr">
        <is>
          <t>제 71 기</t>
        </is>
      </c>
      <c r="N493" s="24" t="inlineStr">
        <is>
          <t>0.0</t>
        </is>
      </c>
      <c r="O493" s="24" t="inlineStr">
        <is>
          <t>0.0</t>
        </is>
      </c>
      <c r="P493" s="24" t="inlineStr">
        <is>
          <t>KRW</t>
        </is>
      </c>
      <c r="Q493" s="24" t="inlineStr">
        <is>
          <t>11</t>
        </is>
      </c>
    </row>
    <row r="494" ht="24" customHeight="1">
      <c r="A494" s="29" t="inlineStr">
        <is>
          <t>OpenDART_fnlttSinglAcntAll</t>
        </is>
      </c>
      <c r="B494" s="29" t="inlineStr">
        <is>
          <t>00160843</t>
        </is>
      </c>
      <c r="C494" s="29" t="inlineStr">
        <is>
          <t>DB하이텍</t>
        </is>
      </c>
      <c r="D494" s="29" t="inlineStr">
        <is>
          <t>dbhitek</t>
        </is>
      </c>
      <c r="E494" s="29" t="inlineStr">
        <is>
          <t>000990</t>
        </is>
      </c>
      <c r="F494" s="29" t="inlineStr">
        <is>
          <t>2023</t>
        </is>
      </c>
      <c r="G494" s="29" t="inlineStr">
        <is>
          <t>CFS</t>
        </is>
      </c>
      <c r="H494" s="29" t="inlineStr">
        <is>
          <t>SCE</t>
        </is>
      </c>
      <c r="I494" s="29" t="inlineStr">
        <is>
          <t>자본변동표</t>
        </is>
      </c>
      <c r="J494" s="29" t="inlineStr">
        <is>
          <t>ifrs-full_OtherComprehensiveIncomeNetOfTaxExchangeDifferencesOnTranslationOfForeignOperationsAndHedgesOfNetInvestmentsInForeignOperations</t>
        </is>
      </c>
      <c r="K494" s="29" t="inlineStr">
        <is>
          <t>해외사업환산손익</t>
        </is>
      </c>
      <c r="L494" s="29" t="inlineStr">
        <is>
          <t>자본 [구성요소]|지배기업의 소유주에게 귀속되는 지분 [구성요소]|이익잉여금 [구성요소]</t>
        </is>
      </c>
      <c r="M494" s="29" t="inlineStr">
        <is>
          <t>제 71 기</t>
        </is>
      </c>
      <c r="N494" s="29" t="inlineStr">
        <is>
          <t>0.0</t>
        </is>
      </c>
      <c r="O494" s="29" t="inlineStr">
        <is>
          <t>0.0</t>
        </is>
      </c>
      <c r="P494" s="29" t="inlineStr">
        <is>
          <t>KRW</t>
        </is>
      </c>
      <c r="Q494" s="29" t="inlineStr">
        <is>
          <t>11</t>
        </is>
      </c>
    </row>
    <row r="495" ht="24" customHeight="1">
      <c r="A495" s="24" t="inlineStr">
        <is>
          <t>OpenDART_fnlttSinglAcntAll</t>
        </is>
      </c>
      <c r="B495" s="24" t="inlineStr">
        <is>
          <t>00160843</t>
        </is>
      </c>
      <c r="C495" s="24" t="inlineStr">
        <is>
          <t>DB하이텍</t>
        </is>
      </c>
      <c r="D495" s="24" t="inlineStr">
        <is>
          <t>dbhitek</t>
        </is>
      </c>
      <c r="E495" s="24" t="inlineStr">
        <is>
          <t>000990</t>
        </is>
      </c>
      <c r="F495" s="24" t="inlineStr">
        <is>
          <t>2023</t>
        </is>
      </c>
      <c r="G495" s="24" t="inlineStr">
        <is>
          <t>CFS</t>
        </is>
      </c>
      <c r="H495" s="24" t="inlineStr">
        <is>
          <t>SCE</t>
        </is>
      </c>
      <c r="I495" s="24" t="inlineStr">
        <is>
          <t>자본변동표</t>
        </is>
      </c>
      <c r="J495" s="24" t="inlineStr">
        <is>
          <t>ifrs-full_OtherComprehensiveIncomeNetOfTaxExchangeDifferencesOnTranslationOfForeignOperationsAndHedgesOfNetInvestmentsInForeignOperations</t>
        </is>
      </c>
      <c r="K495" s="24" t="inlineStr">
        <is>
          <t>해외사업환산손익</t>
        </is>
      </c>
      <c r="L495" s="24" t="inlineStr">
        <is>
          <t>자본 [구성요소]|지배기업의 소유주에게 귀속되는 지분 [구성요소]|기타자본구성요소 [구성요소]</t>
        </is>
      </c>
      <c r="M495" s="24" t="inlineStr">
        <is>
          <t>제 71 기</t>
        </is>
      </c>
      <c r="N495" s="24" t="inlineStr">
        <is>
          <t>82463947.0</t>
        </is>
      </c>
      <c r="O495" s="24" t="inlineStr">
        <is>
          <t>301627377.0</t>
        </is>
      </c>
      <c r="P495" s="24" t="inlineStr">
        <is>
          <t>KRW</t>
        </is>
      </c>
      <c r="Q495" s="24" t="inlineStr">
        <is>
          <t>11</t>
        </is>
      </c>
    </row>
    <row r="496" ht="24" customHeight="1">
      <c r="A496" s="29" t="inlineStr">
        <is>
          <t>OpenDART_fnlttSinglAcntAll</t>
        </is>
      </c>
      <c r="B496" s="29" t="inlineStr">
        <is>
          <t>00160843</t>
        </is>
      </c>
      <c r="C496" s="29" t="inlineStr">
        <is>
          <t>DB하이텍</t>
        </is>
      </c>
      <c r="D496" s="29" t="inlineStr">
        <is>
          <t>dbhitek</t>
        </is>
      </c>
      <c r="E496" s="29" t="inlineStr">
        <is>
          <t>000990</t>
        </is>
      </c>
      <c r="F496" s="29" t="inlineStr">
        <is>
          <t>2023</t>
        </is>
      </c>
      <c r="G496" s="29" t="inlineStr">
        <is>
          <t>CFS</t>
        </is>
      </c>
      <c r="H496" s="29" t="inlineStr">
        <is>
          <t>SCE</t>
        </is>
      </c>
      <c r="I496" s="29" t="inlineStr">
        <is>
          <t>자본변동표</t>
        </is>
      </c>
      <c r="J496" s="29" t="inlineStr">
        <is>
          <t>ifrs-full_OtherComprehensiveIncomeNetOfTaxExchangeDifferencesOnTranslationOfForeignOperationsAndHedgesOfNetInvestmentsInForeignOperations</t>
        </is>
      </c>
      <c r="K496" s="29" t="inlineStr">
        <is>
          <t>해외사업환산손익</t>
        </is>
      </c>
      <c r="L496" s="29" t="inlineStr">
        <is>
          <t>자본 [구성요소]|지배기업의 소유주에게 귀속되는 지분 [구성요소]|자본잉여금 [구성요소]</t>
        </is>
      </c>
      <c r="M496" s="29" t="inlineStr">
        <is>
          <t>제 71 기</t>
        </is>
      </c>
      <c r="N496" s="29" t="inlineStr">
        <is>
          <t>0.0</t>
        </is>
      </c>
      <c r="O496" s="29" t="inlineStr">
        <is>
          <t>0.0</t>
        </is>
      </c>
      <c r="P496" s="29" t="inlineStr">
        <is>
          <t>KRW</t>
        </is>
      </c>
      <c r="Q496" s="29" t="inlineStr">
        <is>
          <t>11</t>
        </is>
      </c>
    </row>
    <row r="497" ht="24" customHeight="1">
      <c r="A497" s="24" t="inlineStr">
        <is>
          <t>OpenDART_fnlttSinglAcntAll</t>
        </is>
      </c>
      <c r="B497" s="24" t="inlineStr">
        <is>
          <t>00160843</t>
        </is>
      </c>
      <c r="C497" s="24" t="inlineStr">
        <is>
          <t>DB하이텍</t>
        </is>
      </c>
      <c r="D497" s="24" t="inlineStr">
        <is>
          <t>dbhitek</t>
        </is>
      </c>
      <c r="E497" s="24" t="inlineStr">
        <is>
          <t>000990</t>
        </is>
      </c>
      <c r="F497" s="24" t="inlineStr">
        <is>
          <t>2023</t>
        </is>
      </c>
      <c r="G497" s="24" t="inlineStr">
        <is>
          <t>CFS</t>
        </is>
      </c>
      <c r="H497" s="24" t="inlineStr">
        <is>
          <t>SCE</t>
        </is>
      </c>
      <c r="I497" s="24" t="inlineStr">
        <is>
          <t>자본변동표</t>
        </is>
      </c>
      <c r="J497" s="24" t="inlineStr">
        <is>
          <t>ifrs-full_OtherComprehensiveIncomeNetOfTaxGainsLossesFromInvestmentsInEquityInstruments</t>
        </is>
      </c>
      <c r="K497" s="24" t="inlineStr">
        <is>
          <t>세후기타포괄손익, 지분상품에 대한 투자자산</t>
        </is>
      </c>
      <c r="L497" s="24" t="inlineStr">
        <is>
          <t>자본 [구성요소]|비지배지분 [구성요소]</t>
        </is>
      </c>
      <c r="M497" s="24" t="inlineStr">
        <is>
          <t>제 71 기</t>
        </is>
      </c>
      <c r="N497" s="24" t="inlineStr">
        <is>
          <t>0.0</t>
        </is>
      </c>
      <c r="O497" s="24" t="inlineStr">
        <is>
          <t>0.0</t>
        </is>
      </c>
      <c r="P497" s="24" t="inlineStr">
        <is>
          <t>KRW</t>
        </is>
      </c>
      <c r="Q497" s="24" t="inlineStr">
        <is>
          <t>12</t>
        </is>
      </c>
    </row>
    <row r="498" ht="24" customHeight="1">
      <c r="A498" s="29" t="inlineStr">
        <is>
          <t>OpenDART_fnlttSinglAcntAll</t>
        </is>
      </c>
      <c r="B498" s="29" t="inlineStr">
        <is>
          <t>00160843</t>
        </is>
      </c>
      <c r="C498" s="29" t="inlineStr">
        <is>
          <t>DB하이텍</t>
        </is>
      </c>
      <c r="D498" s="29" t="inlineStr">
        <is>
          <t>dbhitek</t>
        </is>
      </c>
      <c r="E498" s="29" t="inlineStr">
        <is>
          <t>000990</t>
        </is>
      </c>
      <c r="F498" s="29" t="inlineStr">
        <is>
          <t>2023</t>
        </is>
      </c>
      <c r="G498" s="29" t="inlineStr">
        <is>
          <t>CFS</t>
        </is>
      </c>
      <c r="H498" s="29" t="inlineStr">
        <is>
          <t>SCE</t>
        </is>
      </c>
      <c r="I498" s="29" t="inlineStr">
        <is>
          <t>자본변동표</t>
        </is>
      </c>
      <c r="J498" s="29" t="inlineStr">
        <is>
          <t>ifrs-full_OtherComprehensiveIncomeNetOfTaxGainsLossesFromInvestmentsInEquityInstruments</t>
        </is>
      </c>
      <c r="K498" s="29" t="inlineStr">
        <is>
          <t>세후기타포괄손익, 지분상품에 대한 투자자산</t>
        </is>
      </c>
      <c r="L498" s="29" t="inlineStr">
        <is>
          <t>자본 [구성요소]|지배기업의 소유주에게 귀속되는 지분 [구성요소]</t>
        </is>
      </c>
      <c r="M498" s="29" t="inlineStr">
        <is>
          <t>제 71 기</t>
        </is>
      </c>
      <c r="N498" s="29" t="inlineStr">
        <is>
          <t>4717518281.0</t>
        </is>
      </c>
      <c r="O498" s="29" t="inlineStr">
        <is>
          <t>-2022990261.0</t>
        </is>
      </c>
      <c r="P498" s="29" t="inlineStr">
        <is>
          <t>KRW</t>
        </is>
      </c>
      <c r="Q498" s="29" t="inlineStr">
        <is>
          <t>12</t>
        </is>
      </c>
    </row>
    <row r="499" ht="24" customHeight="1">
      <c r="A499" s="24" t="inlineStr">
        <is>
          <t>OpenDART_fnlttSinglAcntAll</t>
        </is>
      </c>
      <c r="B499" s="24" t="inlineStr">
        <is>
          <t>00160843</t>
        </is>
      </c>
      <c r="C499" s="24" t="inlineStr">
        <is>
          <t>DB하이텍</t>
        </is>
      </c>
      <c r="D499" s="24" t="inlineStr">
        <is>
          <t>dbhitek</t>
        </is>
      </c>
      <c r="E499" s="24" t="inlineStr">
        <is>
          <t>000990</t>
        </is>
      </c>
      <c r="F499" s="24" t="inlineStr">
        <is>
          <t>2023</t>
        </is>
      </c>
      <c r="G499" s="24" t="inlineStr">
        <is>
          <t>CFS</t>
        </is>
      </c>
      <c r="H499" s="24" t="inlineStr">
        <is>
          <t>SCE</t>
        </is>
      </c>
      <c r="I499" s="24" t="inlineStr">
        <is>
          <t>자본변동표</t>
        </is>
      </c>
      <c r="J499" s="24" t="inlineStr">
        <is>
          <t>ifrs-full_OtherComprehensiveIncomeNetOfTaxGainsLossesFromInvestmentsInEquityInstruments</t>
        </is>
      </c>
      <c r="K499" s="24" t="inlineStr">
        <is>
          <t>세후기타포괄손익, 지분상품에 대한 투자자산</t>
        </is>
      </c>
      <c r="L499" s="24" t="inlineStr">
        <is>
          <t>자본 [구성요소]|지배기업의 소유주에게 귀속되는 지분 [구성요소]|기타자본구성요소 [구성요소]</t>
        </is>
      </c>
      <c r="M499" s="24" t="inlineStr">
        <is>
          <t>제 71 기</t>
        </is>
      </c>
      <c r="N499" s="24" t="inlineStr">
        <is>
          <t>4717518281.0</t>
        </is>
      </c>
      <c r="O499" s="24" t="inlineStr">
        <is>
          <t>-2022990261.0</t>
        </is>
      </c>
      <c r="P499" s="24" t="inlineStr">
        <is>
          <t>KRW</t>
        </is>
      </c>
      <c r="Q499" s="24" t="inlineStr">
        <is>
          <t>12</t>
        </is>
      </c>
    </row>
    <row r="500" ht="24" customHeight="1">
      <c r="A500" s="29" t="inlineStr">
        <is>
          <t>OpenDART_fnlttSinglAcntAll</t>
        </is>
      </c>
      <c r="B500" s="29" t="inlineStr">
        <is>
          <t>00160843</t>
        </is>
      </c>
      <c r="C500" s="29" t="inlineStr">
        <is>
          <t>DB하이텍</t>
        </is>
      </c>
      <c r="D500" s="29" t="inlineStr">
        <is>
          <t>dbhitek</t>
        </is>
      </c>
      <c r="E500" s="29" t="inlineStr">
        <is>
          <t>000990</t>
        </is>
      </c>
      <c r="F500" s="29" t="inlineStr">
        <is>
          <t>2023</t>
        </is>
      </c>
      <c r="G500" s="29" t="inlineStr">
        <is>
          <t>CFS</t>
        </is>
      </c>
      <c r="H500" s="29" t="inlineStr">
        <is>
          <t>SCE</t>
        </is>
      </c>
      <c r="I500" s="29" t="inlineStr">
        <is>
          <t>자본변동표</t>
        </is>
      </c>
      <c r="J500" s="29" t="inlineStr">
        <is>
          <t>ifrs-full_OtherComprehensiveIncomeNetOfTaxGainsLossesFromInvestmentsInEquityInstruments</t>
        </is>
      </c>
      <c r="K500" s="29" t="inlineStr">
        <is>
          <t>세후기타포괄손익, 지분상품에 대한 투자자산</t>
        </is>
      </c>
      <c r="L500" s="29" t="inlineStr">
        <is>
          <t>자본 [구성요소]|지배기업의 소유주에게 귀속되는 지분 [구성요소]|이익잉여금 [구성요소]</t>
        </is>
      </c>
      <c r="M500" s="29" t="inlineStr">
        <is>
          <t>제 71 기</t>
        </is>
      </c>
      <c r="N500" s="29" t="inlineStr">
        <is>
          <t>0.0</t>
        </is>
      </c>
      <c r="O500" s="29" t="inlineStr">
        <is>
          <t>0.0</t>
        </is>
      </c>
      <c r="P500" s="29" t="inlineStr">
        <is>
          <t>KRW</t>
        </is>
      </c>
      <c r="Q500" s="29" t="inlineStr">
        <is>
          <t>12</t>
        </is>
      </c>
    </row>
    <row r="501" ht="24" customHeight="1">
      <c r="A501" s="24" t="inlineStr">
        <is>
          <t>OpenDART_fnlttSinglAcntAll</t>
        </is>
      </c>
      <c r="B501" s="24" t="inlineStr">
        <is>
          <t>00160843</t>
        </is>
      </c>
      <c r="C501" s="24" t="inlineStr">
        <is>
          <t>DB하이텍</t>
        </is>
      </c>
      <c r="D501" s="24" t="inlineStr">
        <is>
          <t>dbhitek</t>
        </is>
      </c>
      <c r="E501" s="24" t="inlineStr">
        <is>
          <t>000990</t>
        </is>
      </c>
      <c r="F501" s="24" t="inlineStr">
        <is>
          <t>2023</t>
        </is>
      </c>
      <c r="G501" s="24" t="inlineStr">
        <is>
          <t>CFS</t>
        </is>
      </c>
      <c r="H501" s="24" t="inlineStr">
        <is>
          <t>SCE</t>
        </is>
      </c>
      <c r="I501" s="24" t="inlineStr">
        <is>
          <t>자본변동표</t>
        </is>
      </c>
      <c r="J501" s="24" t="inlineStr">
        <is>
          <t>ifrs-full_OtherComprehensiveIncomeNetOfTaxGainsLossesFromInvestmentsInEquityInstruments</t>
        </is>
      </c>
      <c r="K501" s="24" t="inlineStr">
        <is>
          <t>세후기타포괄손익, 지분상품에 대한 투자자산</t>
        </is>
      </c>
      <c r="L501" s="24" t="inlineStr">
        <is>
          <t>자본 [구성요소]|지배기업의 소유주에게 귀속되는 지분 [구성요소]|자본금 [구성요소]</t>
        </is>
      </c>
      <c r="M501" s="24" t="inlineStr">
        <is>
          <t>제 71 기</t>
        </is>
      </c>
      <c r="N501" s="24" t="inlineStr">
        <is>
          <t>0.0</t>
        </is>
      </c>
      <c r="O501" s="24" t="inlineStr">
        <is>
          <t>0.0</t>
        </is>
      </c>
      <c r="P501" s="24" t="inlineStr">
        <is>
          <t>KRW</t>
        </is>
      </c>
      <c r="Q501" s="24" t="inlineStr">
        <is>
          <t>12</t>
        </is>
      </c>
    </row>
    <row r="502" ht="24" customHeight="1">
      <c r="A502" s="29" t="inlineStr">
        <is>
          <t>OpenDART_fnlttSinglAcntAll</t>
        </is>
      </c>
      <c r="B502" s="29" t="inlineStr">
        <is>
          <t>00160843</t>
        </is>
      </c>
      <c r="C502" s="29" t="inlineStr">
        <is>
          <t>DB하이텍</t>
        </is>
      </c>
      <c r="D502" s="29" t="inlineStr">
        <is>
          <t>dbhitek</t>
        </is>
      </c>
      <c r="E502" s="29" t="inlineStr">
        <is>
          <t>000990</t>
        </is>
      </c>
      <c r="F502" s="29" t="inlineStr">
        <is>
          <t>2023</t>
        </is>
      </c>
      <c r="G502" s="29" t="inlineStr">
        <is>
          <t>CFS</t>
        </is>
      </c>
      <c r="H502" s="29" t="inlineStr">
        <is>
          <t>SCE</t>
        </is>
      </c>
      <c r="I502" s="29" t="inlineStr">
        <is>
          <t>자본변동표</t>
        </is>
      </c>
      <c r="J502" s="29" t="inlineStr">
        <is>
          <t>ifrs-full_OtherComprehensiveIncomeNetOfTaxGainsLossesFromInvestmentsInEquityInstruments</t>
        </is>
      </c>
      <c r="K502" s="29" t="inlineStr">
        <is>
          <t>세후기타포괄손익, 지분상품에 대한 투자자산</t>
        </is>
      </c>
      <c r="L502" s="29" t="inlineStr">
        <is>
          <t>자본 [구성요소]|지배기업의 소유주에게 귀속되는 지분 [구성요소]|자본잉여금 [구성요소]</t>
        </is>
      </c>
      <c r="M502" s="29" t="inlineStr">
        <is>
          <t>제 71 기</t>
        </is>
      </c>
      <c r="N502" s="29" t="inlineStr">
        <is>
          <t>0.0</t>
        </is>
      </c>
      <c r="O502" s="29" t="inlineStr">
        <is>
          <t>0.0</t>
        </is>
      </c>
      <c r="P502" s="29" t="inlineStr">
        <is>
          <t>KRW</t>
        </is>
      </c>
      <c r="Q502" s="29" t="inlineStr">
        <is>
          <t>12</t>
        </is>
      </c>
    </row>
    <row r="503" ht="24" customHeight="1">
      <c r="A503" s="24" t="inlineStr">
        <is>
          <t>OpenDART_fnlttSinglAcntAll</t>
        </is>
      </c>
      <c r="B503" s="24" t="inlineStr">
        <is>
          <t>00160843</t>
        </is>
      </c>
      <c r="C503" s="24" t="inlineStr">
        <is>
          <t>DB하이텍</t>
        </is>
      </c>
      <c r="D503" s="24" t="inlineStr">
        <is>
          <t>dbhitek</t>
        </is>
      </c>
      <c r="E503" s="24" t="inlineStr">
        <is>
          <t>000990</t>
        </is>
      </c>
      <c r="F503" s="24" t="inlineStr">
        <is>
          <t>2023</t>
        </is>
      </c>
      <c r="G503" s="24" t="inlineStr">
        <is>
          <t>CFS</t>
        </is>
      </c>
      <c r="H503" s="24" t="inlineStr">
        <is>
          <t>SCE</t>
        </is>
      </c>
      <c r="I503" s="24" t="inlineStr">
        <is>
          <t>자본변동표</t>
        </is>
      </c>
      <c r="J503" s="24" t="inlineStr">
        <is>
          <t>ifrs-full_OtherComprehensiveIncomeNetOfTaxGainsLossesFromInvestmentsInEquityInstruments</t>
        </is>
      </c>
      <c r="K503" s="24" t="inlineStr">
        <is>
          <t>세후기타포괄손익, 지분상품에 대한 투자자산</t>
        </is>
      </c>
      <c r="L503" s="24" t="inlineStr">
        <is>
          <t>연결재무제표 [member]</t>
        </is>
      </c>
      <c r="M503" s="24" t="inlineStr">
        <is>
          <t>제 71 기</t>
        </is>
      </c>
      <c r="N503" s="24" t="inlineStr">
        <is>
          <t>4717518281.0</t>
        </is>
      </c>
      <c r="O503" s="24" t="inlineStr">
        <is>
          <t>-2022990261.0</t>
        </is>
      </c>
      <c r="P503" s="24" t="inlineStr">
        <is>
          <t>KRW</t>
        </is>
      </c>
      <c r="Q503" s="24" t="inlineStr">
        <is>
          <t>12</t>
        </is>
      </c>
    </row>
    <row r="504" ht="24" customHeight="1">
      <c r="A504" s="29" t="inlineStr">
        <is>
          <t>OpenDART_fnlttSinglAcntAll</t>
        </is>
      </c>
      <c r="B504" s="29" t="inlineStr">
        <is>
          <t>00160843</t>
        </is>
      </c>
      <c r="C504" s="29" t="inlineStr">
        <is>
          <t>DB하이텍</t>
        </is>
      </c>
      <c r="D504" s="29" t="inlineStr">
        <is>
          <t>dbhitek</t>
        </is>
      </c>
      <c r="E504" s="29" t="inlineStr">
        <is>
          <t>000990</t>
        </is>
      </c>
      <c r="F504" s="29" t="inlineStr">
        <is>
          <t>2023</t>
        </is>
      </c>
      <c r="G504" s="29" t="inlineStr">
        <is>
          <t>CFS</t>
        </is>
      </c>
      <c r="H504" s="29" t="inlineStr">
        <is>
          <t>SCE</t>
        </is>
      </c>
      <c r="I504" s="29" t="inlineStr">
        <is>
          <t>자본변동표</t>
        </is>
      </c>
      <c r="J504" s="29" t="inlineStr">
        <is>
          <t>ifrs-full_OtherComprehensiveIncomeNetOfTaxGainsLossesOnRemeasurementsOfDefinedBenefitPlans</t>
        </is>
      </c>
      <c r="K504" s="29" t="inlineStr">
        <is>
          <t>확정급여제도의 재측정손익(세후기타포괄손익)</t>
        </is>
      </c>
      <c r="L504" s="29" t="inlineStr">
        <is>
          <t>연결재무제표 [member]</t>
        </is>
      </c>
      <c r="M504" s="29" t="inlineStr">
        <is>
          <t>제 71 기</t>
        </is>
      </c>
      <c r="N504" s="29" t="inlineStr">
        <is>
          <t>-7790272254.0</t>
        </is>
      </c>
      <c r="O504" s="29" t="inlineStr">
        <is>
          <t>-5608802774.0</t>
        </is>
      </c>
      <c r="P504" s="29" t="inlineStr">
        <is>
          <t>KRW</t>
        </is>
      </c>
      <c r="Q504" s="29" t="inlineStr">
        <is>
          <t>13</t>
        </is>
      </c>
    </row>
    <row r="505" ht="24" customHeight="1">
      <c r="A505" s="24" t="inlineStr">
        <is>
          <t>OpenDART_fnlttSinglAcntAll</t>
        </is>
      </c>
      <c r="B505" s="24" t="inlineStr">
        <is>
          <t>00160843</t>
        </is>
      </c>
      <c r="C505" s="24" t="inlineStr">
        <is>
          <t>DB하이텍</t>
        </is>
      </c>
      <c r="D505" s="24" t="inlineStr">
        <is>
          <t>dbhitek</t>
        </is>
      </c>
      <c r="E505" s="24" t="inlineStr">
        <is>
          <t>000990</t>
        </is>
      </c>
      <c r="F505" s="24" t="inlineStr">
        <is>
          <t>2023</t>
        </is>
      </c>
      <c r="G505" s="24" t="inlineStr">
        <is>
          <t>CFS</t>
        </is>
      </c>
      <c r="H505" s="24" t="inlineStr">
        <is>
          <t>SCE</t>
        </is>
      </c>
      <c r="I505" s="24" t="inlineStr">
        <is>
          <t>자본변동표</t>
        </is>
      </c>
      <c r="J505" s="24" t="inlineStr">
        <is>
          <t>ifrs-full_OtherComprehensiveIncomeNetOfTaxGainsLossesOnRemeasurementsOfDefinedBenefitPlans</t>
        </is>
      </c>
      <c r="K505" s="24" t="inlineStr">
        <is>
          <t>확정급여제도의 재측정손익(세후기타포괄손익)</t>
        </is>
      </c>
      <c r="L505" s="24" t="inlineStr">
        <is>
          <t>자본 [구성요소]|비지배지분 [구성요소]</t>
        </is>
      </c>
      <c r="M505" s="24" t="inlineStr">
        <is>
          <t>제 71 기</t>
        </is>
      </c>
      <c r="N505" s="24" t="inlineStr">
        <is>
          <t>0.0</t>
        </is>
      </c>
      <c r="O505" s="24" t="inlineStr">
        <is>
          <t>0.0</t>
        </is>
      </c>
      <c r="P505" s="24" t="inlineStr">
        <is>
          <t>KRW</t>
        </is>
      </c>
      <c r="Q505" s="24" t="inlineStr">
        <is>
          <t>13</t>
        </is>
      </c>
    </row>
    <row r="506" ht="24" customHeight="1">
      <c r="A506" s="29" t="inlineStr">
        <is>
          <t>OpenDART_fnlttSinglAcntAll</t>
        </is>
      </c>
      <c r="B506" s="29" t="inlineStr">
        <is>
          <t>00160843</t>
        </is>
      </c>
      <c r="C506" s="29" t="inlineStr">
        <is>
          <t>DB하이텍</t>
        </is>
      </c>
      <c r="D506" s="29" t="inlineStr">
        <is>
          <t>dbhitek</t>
        </is>
      </c>
      <c r="E506" s="29" t="inlineStr">
        <is>
          <t>000990</t>
        </is>
      </c>
      <c r="F506" s="29" t="inlineStr">
        <is>
          <t>2023</t>
        </is>
      </c>
      <c r="G506" s="29" t="inlineStr">
        <is>
          <t>CFS</t>
        </is>
      </c>
      <c r="H506" s="29" t="inlineStr">
        <is>
          <t>SCE</t>
        </is>
      </c>
      <c r="I506" s="29" t="inlineStr">
        <is>
          <t>자본변동표</t>
        </is>
      </c>
      <c r="J506" s="29" t="inlineStr">
        <is>
          <t>ifrs-full_OtherComprehensiveIncomeNetOfTaxGainsLossesOnRemeasurementsOfDefinedBenefitPlans</t>
        </is>
      </c>
      <c r="K506" s="29" t="inlineStr">
        <is>
          <t>확정급여제도의 재측정손익(세후기타포괄손익)</t>
        </is>
      </c>
      <c r="L506" s="29" t="inlineStr">
        <is>
          <t>자본 [구성요소]|지배기업의 소유주에게 귀속되는 지분 [구성요소]</t>
        </is>
      </c>
      <c r="M506" s="29" t="inlineStr">
        <is>
          <t>제 71 기</t>
        </is>
      </c>
      <c r="N506" s="29" t="inlineStr">
        <is>
          <t>-7790272254.0</t>
        </is>
      </c>
      <c r="O506" s="29" t="inlineStr">
        <is>
          <t>-5608802774.0</t>
        </is>
      </c>
      <c r="P506" s="29" t="inlineStr">
        <is>
          <t>KRW</t>
        </is>
      </c>
      <c r="Q506" s="29" t="inlineStr">
        <is>
          <t>13</t>
        </is>
      </c>
    </row>
    <row r="507" ht="24" customHeight="1">
      <c r="A507" s="24" t="inlineStr">
        <is>
          <t>OpenDART_fnlttSinglAcntAll</t>
        </is>
      </c>
      <c r="B507" s="24" t="inlineStr">
        <is>
          <t>00160843</t>
        </is>
      </c>
      <c r="C507" s="24" t="inlineStr">
        <is>
          <t>DB하이텍</t>
        </is>
      </c>
      <c r="D507" s="24" t="inlineStr">
        <is>
          <t>dbhitek</t>
        </is>
      </c>
      <c r="E507" s="24" t="inlineStr">
        <is>
          <t>000990</t>
        </is>
      </c>
      <c r="F507" s="24" t="inlineStr">
        <is>
          <t>2023</t>
        </is>
      </c>
      <c r="G507" s="24" t="inlineStr">
        <is>
          <t>CFS</t>
        </is>
      </c>
      <c r="H507" s="24" t="inlineStr">
        <is>
          <t>SCE</t>
        </is>
      </c>
      <c r="I507" s="24" t="inlineStr">
        <is>
          <t>자본변동표</t>
        </is>
      </c>
      <c r="J507" s="24" t="inlineStr">
        <is>
          <t>ifrs-full_OtherComprehensiveIncomeNetOfTaxGainsLossesOnRemeasurementsOfDefinedBenefitPlans</t>
        </is>
      </c>
      <c r="K507" s="24" t="inlineStr">
        <is>
          <t>확정급여제도의 재측정손익(세후기타포괄손익)</t>
        </is>
      </c>
      <c r="L507" s="24" t="inlineStr">
        <is>
          <t>자본 [구성요소]|지배기업의 소유주에게 귀속되는 지분 [구성요소]|기타자본구성요소 [구성요소]</t>
        </is>
      </c>
      <c r="M507" s="24" t="inlineStr">
        <is>
          <t>제 71 기</t>
        </is>
      </c>
      <c r="N507" s="24" t="inlineStr">
        <is>
          <t>0.0</t>
        </is>
      </c>
      <c r="O507" s="24" t="inlineStr">
        <is>
          <t>0.0</t>
        </is>
      </c>
      <c r="P507" s="24" t="inlineStr">
        <is>
          <t>KRW</t>
        </is>
      </c>
      <c r="Q507" s="24" t="inlineStr">
        <is>
          <t>13</t>
        </is>
      </c>
    </row>
    <row r="508" ht="24" customHeight="1">
      <c r="A508" s="29" t="inlineStr">
        <is>
          <t>OpenDART_fnlttSinglAcntAll</t>
        </is>
      </c>
      <c r="B508" s="29" t="inlineStr">
        <is>
          <t>00160843</t>
        </is>
      </c>
      <c r="C508" s="29" t="inlineStr">
        <is>
          <t>DB하이텍</t>
        </is>
      </c>
      <c r="D508" s="29" t="inlineStr">
        <is>
          <t>dbhitek</t>
        </is>
      </c>
      <c r="E508" s="29" t="inlineStr">
        <is>
          <t>000990</t>
        </is>
      </c>
      <c r="F508" s="29" t="inlineStr">
        <is>
          <t>2023</t>
        </is>
      </c>
      <c r="G508" s="29" t="inlineStr">
        <is>
          <t>CFS</t>
        </is>
      </c>
      <c r="H508" s="29" t="inlineStr">
        <is>
          <t>SCE</t>
        </is>
      </c>
      <c r="I508" s="29" t="inlineStr">
        <is>
          <t>자본변동표</t>
        </is>
      </c>
      <c r="J508" s="29" t="inlineStr">
        <is>
          <t>ifrs-full_OtherComprehensiveIncomeNetOfTaxGainsLossesOnRemeasurementsOfDefinedBenefitPlans</t>
        </is>
      </c>
      <c r="K508" s="29" t="inlineStr">
        <is>
          <t>확정급여제도의 재측정손익(세후기타포괄손익)</t>
        </is>
      </c>
      <c r="L508" s="29" t="inlineStr">
        <is>
          <t>자본 [구성요소]|지배기업의 소유주에게 귀속되는 지분 [구성요소]|이익잉여금 [구성요소]</t>
        </is>
      </c>
      <c r="M508" s="29" t="inlineStr">
        <is>
          <t>제 71 기</t>
        </is>
      </c>
      <c r="N508" s="29" t="inlineStr">
        <is>
          <t>-7790272254.0</t>
        </is>
      </c>
      <c r="O508" s="29" t="inlineStr">
        <is>
          <t>-5608802774.0</t>
        </is>
      </c>
      <c r="P508" s="29" t="inlineStr">
        <is>
          <t>KRW</t>
        </is>
      </c>
      <c r="Q508" s="29" t="inlineStr">
        <is>
          <t>13</t>
        </is>
      </c>
    </row>
    <row r="509" ht="24" customHeight="1">
      <c r="A509" s="24" t="inlineStr">
        <is>
          <t>OpenDART_fnlttSinglAcntAll</t>
        </is>
      </c>
      <c r="B509" s="24" t="inlineStr">
        <is>
          <t>00160843</t>
        </is>
      </c>
      <c r="C509" s="24" t="inlineStr">
        <is>
          <t>DB하이텍</t>
        </is>
      </c>
      <c r="D509" s="24" t="inlineStr">
        <is>
          <t>dbhitek</t>
        </is>
      </c>
      <c r="E509" s="24" t="inlineStr">
        <is>
          <t>000990</t>
        </is>
      </c>
      <c r="F509" s="24" t="inlineStr">
        <is>
          <t>2023</t>
        </is>
      </c>
      <c r="G509" s="24" t="inlineStr">
        <is>
          <t>CFS</t>
        </is>
      </c>
      <c r="H509" s="24" t="inlineStr">
        <is>
          <t>SCE</t>
        </is>
      </c>
      <c r="I509" s="24" t="inlineStr">
        <is>
          <t>자본변동표</t>
        </is>
      </c>
      <c r="J509" s="24" t="inlineStr">
        <is>
          <t>ifrs-full_OtherComprehensiveIncomeNetOfTaxGainsLossesOnRemeasurementsOfDefinedBenefitPlans</t>
        </is>
      </c>
      <c r="K509" s="24" t="inlineStr">
        <is>
          <t>확정급여제도의 재측정손익(세후기타포괄손익)</t>
        </is>
      </c>
      <c r="L509" s="24" t="inlineStr">
        <is>
          <t>자본 [구성요소]|지배기업의 소유주에게 귀속되는 지분 [구성요소]|자본금 [구성요소]</t>
        </is>
      </c>
      <c r="M509" s="24" t="inlineStr">
        <is>
          <t>제 71 기</t>
        </is>
      </c>
      <c r="N509" s="24" t="inlineStr">
        <is>
          <t>0.0</t>
        </is>
      </c>
      <c r="O509" s="24" t="inlineStr">
        <is>
          <t>0.0</t>
        </is>
      </c>
      <c r="P509" s="24" t="inlineStr">
        <is>
          <t>KRW</t>
        </is>
      </c>
      <c r="Q509" s="24" t="inlineStr">
        <is>
          <t>13</t>
        </is>
      </c>
    </row>
    <row r="510" ht="24" customHeight="1">
      <c r="A510" s="29" t="inlineStr">
        <is>
          <t>OpenDART_fnlttSinglAcntAll</t>
        </is>
      </c>
      <c r="B510" s="29" t="inlineStr">
        <is>
          <t>00160843</t>
        </is>
      </c>
      <c r="C510" s="29" t="inlineStr">
        <is>
          <t>DB하이텍</t>
        </is>
      </c>
      <c r="D510" s="29" t="inlineStr">
        <is>
          <t>dbhitek</t>
        </is>
      </c>
      <c r="E510" s="29" t="inlineStr">
        <is>
          <t>000990</t>
        </is>
      </c>
      <c r="F510" s="29" t="inlineStr">
        <is>
          <t>2023</t>
        </is>
      </c>
      <c r="G510" s="29" t="inlineStr">
        <is>
          <t>CFS</t>
        </is>
      </c>
      <c r="H510" s="29" t="inlineStr">
        <is>
          <t>SCE</t>
        </is>
      </c>
      <c r="I510" s="29" t="inlineStr">
        <is>
          <t>자본변동표</t>
        </is>
      </c>
      <c r="J510" s="29" t="inlineStr">
        <is>
          <t>ifrs-full_OtherComprehensiveIncomeNetOfTaxGainsLossesOnRemeasurementsOfDefinedBenefitPlans</t>
        </is>
      </c>
      <c r="K510" s="29" t="inlineStr">
        <is>
          <t>확정급여제도의 재측정손익(세후기타포괄손익)</t>
        </is>
      </c>
      <c r="L510" s="29" t="inlineStr">
        <is>
          <t>자본 [구성요소]|지배기업의 소유주에게 귀속되는 지분 [구성요소]|자본잉여금 [구성요소]</t>
        </is>
      </c>
      <c r="M510" s="29" t="inlineStr">
        <is>
          <t>제 71 기</t>
        </is>
      </c>
      <c r="N510" s="29" t="inlineStr">
        <is>
          <t>0.0</t>
        </is>
      </c>
      <c r="O510" s="29" t="inlineStr">
        <is>
          <t>0.0</t>
        </is>
      </c>
      <c r="P510" s="29" t="inlineStr">
        <is>
          <t>KRW</t>
        </is>
      </c>
      <c r="Q510" s="29" t="inlineStr">
        <is>
          <t>13</t>
        </is>
      </c>
    </row>
    <row r="511" ht="24" customHeight="1">
      <c r="A511" s="24" t="inlineStr">
        <is>
          <t>OpenDART_fnlttSinglAcntAll</t>
        </is>
      </c>
      <c r="B511" s="24" t="inlineStr">
        <is>
          <t>00160843</t>
        </is>
      </c>
      <c r="C511" s="24" t="inlineStr">
        <is>
          <t>DB하이텍</t>
        </is>
      </c>
      <c r="D511" s="24" t="inlineStr">
        <is>
          <t>dbhitek</t>
        </is>
      </c>
      <c r="E511" s="24" t="inlineStr">
        <is>
          <t>000990</t>
        </is>
      </c>
      <c r="F511" s="24" t="inlineStr">
        <is>
          <t>2023</t>
        </is>
      </c>
      <c r="G511" s="24" t="inlineStr">
        <is>
          <t>CFS</t>
        </is>
      </c>
      <c r="H511" s="24" t="inlineStr">
        <is>
          <t>SCE</t>
        </is>
      </c>
      <c r="I511" s="24" t="inlineStr">
        <is>
          <t>자본변동표</t>
        </is>
      </c>
      <c r="J511" s="24" t="inlineStr">
        <is>
          <t>ifrs-full_ProfitLoss</t>
        </is>
      </c>
      <c r="K511" s="24" t="inlineStr">
        <is>
          <t>당기순이익(손실)</t>
        </is>
      </c>
      <c r="L511" s="24" t="inlineStr">
        <is>
          <t>연결재무제표 [member]</t>
        </is>
      </c>
      <c r="M511" s="24" t="inlineStr">
        <is>
          <t>제 71 기</t>
        </is>
      </c>
      <c r="N511" s="24" t="inlineStr">
        <is>
          <t>264149250979.0</t>
        </is>
      </c>
      <c r="O511" s="24" t="inlineStr">
        <is>
          <t>556227095934.0</t>
        </is>
      </c>
      <c r="P511" s="24" t="inlineStr">
        <is>
          <t>KRW</t>
        </is>
      </c>
      <c r="Q511" s="24" t="inlineStr">
        <is>
          <t>14</t>
        </is>
      </c>
    </row>
    <row r="512" ht="24" customHeight="1">
      <c r="A512" s="29" t="inlineStr">
        <is>
          <t>OpenDART_fnlttSinglAcntAll</t>
        </is>
      </c>
      <c r="B512" s="29" t="inlineStr">
        <is>
          <t>00160843</t>
        </is>
      </c>
      <c r="C512" s="29" t="inlineStr">
        <is>
          <t>DB하이텍</t>
        </is>
      </c>
      <c r="D512" s="29" t="inlineStr">
        <is>
          <t>dbhitek</t>
        </is>
      </c>
      <c r="E512" s="29" t="inlineStr">
        <is>
          <t>000990</t>
        </is>
      </c>
      <c r="F512" s="29" t="inlineStr">
        <is>
          <t>2023</t>
        </is>
      </c>
      <c r="G512" s="29" t="inlineStr">
        <is>
          <t>CFS</t>
        </is>
      </c>
      <c r="H512" s="29" t="inlineStr">
        <is>
          <t>SCE</t>
        </is>
      </c>
      <c r="I512" s="29" t="inlineStr">
        <is>
          <t>자본변동표</t>
        </is>
      </c>
      <c r="J512" s="29" t="inlineStr">
        <is>
          <t>ifrs-full_ProfitLoss</t>
        </is>
      </c>
      <c r="K512" s="29" t="inlineStr">
        <is>
          <t>당기순이익(손실)</t>
        </is>
      </c>
      <c r="L512" s="29" t="inlineStr">
        <is>
          <t>자본 [구성요소]|비지배지분 [구성요소]</t>
        </is>
      </c>
      <c r="M512" s="29" t="inlineStr">
        <is>
          <t>제 71 기</t>
        </is>
      </c>
      <c r="N512" s="29" t="inlineStr">
        <is>
          <t>0.0</t>
        </is>
      </c>
      <c r="O512" s="29" t="inlineStr">
        <is>
          <t>0.0</t>
        </is>
      </c>
      <c r="P512" s="29" t="inlineStr">
        <is>
          <t>KRW</t>
        </is>
      </c>
      <c r="Q512" s="29" t="inlineStr">
        <is>
          <t>14</t>
        </is>
      </c>
    </row>
    <row r="513" ht="24" customHeight="1">
      <c r="A513" s="24" t="inlineStr">
        <is>
          <t>OpenDART_fnlttSinglAcntAll</t>
        </is>
      </c>
      <c r="B513" s="24" t="inlineStr">
        <is>
          <t>00160843</t>
        </is>
      </c>
      <c r="C513" s="24" t="inlineStr">
        <is>
          <t>DB하이텍</t>
        </is>
      </c>
      <c r="D513" s="24" t="inlineStr">
        <is>
          <t>dbhitek</t>
        </is>
      </c>
      <c r="E513" s="24" t="inlineStr">
        <is>
          <t>000990</t>
        </is>
      </c>
      <c r="F513" s="24" t="inlineStr">
        <is>
          <t>2023</t>
        </is>
      </c>
      <c r="G513" s="24" t="inlineStr">
        <is>
          <t>CFS</t>
        </is>
      </c>
      <c r="H513" s="24" t="inlineStr">
        <is>
          <t>SCE</t>
        </is>
      </c>
      <c r="I513" s="24" t="inlineStr">
        <is>
          <t>자본변동표</t>
        </is>
      </c>
      <c r="J513" s="24" t="inlineStr">
        <is>
          <t>ifrs-full_ProfitLoss</t>
        </is>
      </c>
      <c r="K513" s="24" t="inlineStr">
        <is>
          <t>당기순이익(손실)</t>
        </is>
      </c>
      <c r="L513" s="24" t="inlineStr">
        <is>
          <t>자본 [구성요소]|지배기업의 소유주에게 귀속되는 지분 [구성요소]</t>
        </is>
      </c>
      <c r="M513" s="24" t="inlineStr">
        <is>
          <t>제 71 기</t>
        </is>
      </c>
      <c r="N513" s="24" t="inlineStr">
        <is>
          <t>264149250979.0</t>
        </is>
      </c>
      <c r="O513" s="24" t="inlineStr">
        <is>
          <t>556227095934.0</t>
        </is>
      </c>
      <c r="P513" s="24" t="inlineStr">
        <is>
          <t>KRW</t>
        </is>
      </c>
      <c r="Q513" s="24" t="inlineStr">
        <is>
          <t>14</t>
        </is>
      </c>
    </row>
    <row r="514" ht="24" customHeight="1">
      <c r="A514" s="29" t="inlineStr">
        <is>
          <t>OpenDART_fnlttSinglAcntAll</t>
        </is>
      </c>
      <c r="B514" s="29" t="inlineStr">
        <is>
          <t>00160843</t>
        </is>
      </c>
      <c r="C514" s="29" t="inlineStr">
        <is>
          <t>DB하이텍</t>
        </is>
      </c>
      <c r="D514" s="29" t="inlineStr">
        <is>
          <t>dbhitek</t>
        </is>
      </c>
      <c r="E514" s="29" t="inlineStr">
        <is>
          <t>000990</t>
        </is>
      </c>
      <c r="F514" s="29" t="inlineStr">
        <is>
          <t>2023</t>
        </is>
      </c>
      <c r="G514" s="29" t="inlineStr">
        <is>
          <t>CFS</t>
        </is>
      </c>
      <c r="H514" s="29" t="inlineStr">
        <is>
          <t>SCE</t>
        </is>
      </c>
      <c r="I514" s="29" t="inlineStr">
        <is>
          <t>자본변동표</t>
        </is>
      </c>
      <c r="J514" s="29" t="inlineStr">
        <is>
          <t>ifrs-full_ProfitLoss</t>
        </is>
      </c>
      <c r="K514" s="29" t="inlineStr">
        <is>
          <t>당기순이익(손실)</t>
        </is>
      </c>
      <c r="L514" s="29" t="inlineStr">
        <is>
          <t>자본 [구성요소]|지배기업의 소유주에게 귀속되는 지분 [구성요소]|기타자본구성요소 [구성요소]</t>
        </is>
      </c>
      <c r="M514" s="29" t="inlineStr">
        <is>
          <t>제 71 기</t>
        </is>
      </c>
      <c r="N514" s="29" t="inlineStr">
        <is>
          <t>0.0</t>
        </is>
      </c>
      <c r="O514" s="29" t="inlineStr">
        <is>
          <t>0.0</t>
        </is>
      </c>
      <c r="P514" s="29" t="inlineStr">
        <is>
          <t>KRW</t>
        </is>
      </c>
      <c r="Q514" s="29" t="inlineStr">
        <is>
          <t>14</t>
        </is>
      </c>
    </row>
    <row r="515" ht="24" customHeight="1">
      <c r="A515" s="24" t="inlineStr">
        <is>
          <t>OpenDART_fnlttSinglAcntAll</t>
        </is>
      </c>
      <c r="B515" s="24" t="inlineStr">
        <is>
          <t>00160843</t>
        </is>
      </c>
      <c r="C515" s="24" t="inlineStr">
        <is>
          <t>DB하이텍</t>
        </is>
      </c>
      <c r="D515" s="24" t="inlineStr">
        <is>
          <t>dbhitek</t>
        </is>
      </c>
      <c r="E515" s="24" t="inlineStr">
        <is>
          <t>000990</t>
        </is>
      </c>
      <c r="F515" s="24" t="inlineStr">
        <is>
          <t>2023</t>
        </is>
      </c>
      <c r="G515" s="24" t="inlineStr">
        <is>
          <t>CFS</t>
        </is>
      </c>
      <c r="H515" s="24" t="inlineStr">
        <is>
          <t>SCE</t>
        </is>
      </c>
      <c r="I515" s="24" t="inlineStr">
        <is>
          <t>자본변동표</t>
        </is>
      </c>
      <c r="J515" s="24" t="inlineStr">
        <is>
          <t>ifrs-full_ProfitLoss</t>
        </is>
      </c>
      <c r="K515" s="24" t="inlineStr">
        <is>
          <t>당기순이익(손실)</t>
        </is>
      </c>
      <c r="L515" s="24" t="inlineStr">
        <is>
          <t>자본 [구성요소]|지배기업의 소유주에게 귀속되는 지분 [구성요소]|이익잉여금 [구성요소]</t>
        </is>
      </c>
      <c r="M515" s="24" t="inlineStr">
        <is>
          <t>제 71 기</t>
        </is>
      </c>
      <c r="N515" s="24" t="inlineStr">
        <is>
          <t>264149250979.0</t>
        </is>
      </c>
      <c r="O515" s="24" t="inlineStr">
        <is>
          <t>556227095934.0</t>
        </is>
      </c>
      <c r="P515" s="24" t="inlineStr">
        <is>
          <t>KRW</t>
        </is>
      </c>
      <c r="Q515" s="24" t="inlineStr">
        <is>
          <t>14</t>
        </is>
      </c>
    </row>
    <row r="516" ht="24" customHeight="1">
      <c r="A516" s="29" t="inlineStr">
        <is>
          <t>OpenDART_fnlttSinglAcntAll</t>
        </is>
      </c>
      <c r="B516" s="29" t="inlineStr">
        <is>
          <t>00160843</t>
        </is>
      </c>
      <c r="C516" s="29" t="inlineStr">
        <is>
          <t>DB하이텍</t>
        </is>
      </c>
      <c r="D516" s="29" t="inlineStr">
        <is>
          <t>dbhitek</t>
        </is>
      </c>
      <c r="E516" s="29" t="inlineStr">
        <is>
          <t>000990</t>
        </is>
      </c>
      <c r="F516" s="29" t="inlineStr">
        <is>
          <t>2023</t>
        </is>
      </c>
      <c r="G516" s="29" t="inlineStr">
        <is>
          <t>CFS</t>
        </is>
      </c>
      <c r="H516" s="29" t="inlineStr">
        <is>
          <t>SCE</t>
        </is>
      </c>
      <c r="I516" s="29" t="inlineStr">
        <is>
          <t>자본변동표</t>
        </is>
      </c>
      <c r="J516" s="29" t="inlineStr">
        <is>
          <t>ifrs-full_ProfitLoss</t>
        </is>
      </c>
      <c r="K516" s="29" t="inlineStr">
        <is>
          <t>당기순이익(손실)</t>
        </is>
      </c>
      <c r="L516" s="29" t="inlineStr">
        <is>
          <t>자본 [구성요소]|지배기업의 소유주에게 귀속되는 지분 [구성요소]|자본금 [구성요소]</t>
        </is>
      </c>
      <c r="M516" s="29" t="inlineStr">
        <is>
          <t>제 71 기</t>
        </is>
      </c>
      <c r="N516" s="29" t="inlineStr">
        <is>
          <t>0.0</t>
        </is>
      </c>
      <c r="O516" s="29" t="inlineStr">
        <is>
          <t>0.0</t>
        </is>
      </c>
      <c r="P516" s="29" t="inlineStr">
        <is>
          <t>KRW</t>
        </is>
      </c>
      <c r="Q516" s="29" t="inlineStr">
        <is>
          <t>14</t>
        </is>
      </c>
    </row>
    <row r="517" ht="24" customHeight="1">
      <c r="A517" s="24" t="inlineStr">
        <is>
          <t>OpenDART_fnlttSinglAcntAll</t>
        </is>
      </c>
      <c r="B517" s="24" t="inlineStr">
        <is>
          <t>00160843</t>
        </is>
      </c>
      <c r="C517" s="24" t="inlineStr">
        <is>
          <t>DB하이텍</t>
        </is>
      </c>
      <c r="D517" s="24" t="inlineStr">
        <is>
          <t>dbhitek</t>
        </is>
      </c>
      <c r="E517" s="24" t="inlineStr">
        <is>
          <t>000990</t>
        </is>
      </c>
      <c r="F517" s="24" t="inlineStr">
        <is>
          <t>2023</t>
        </is>
      </c>
      <c r="G517" s="24" t="inlineStr">
        <is>
          <t>CFS</t>
        </is>
      </c>
      <c r="H517" s="24" t="inlineStr">
        <is>
          <t>SCE</t>
        </is>
      </c>
      <c r="I517" s="24" t="inlineStr">
        <is>
          <t>자본변동표</t>
        </is>
      </c>
      <c r="J517" s="24" t="inlineStr">
        <is>
          <t>ifrs-full_ProfitLoss</t>
        </is>
      </c>
      <c r="K517" s="24" t="inlineStr">
        <is>
          <t>당기순이익(손실)</t>
        </is>
      </c>
      <c r="L517" s="24" t="inlineStr">
        <is>
          <t>자본 [구성요소]|지배기업의 소유주에게 귀속되는 지분 [구성요소]|자본잉여금 [구성요소]</t>
        </is>
      </c>
      <c r="M517" s="24" t="inlineStr">
        <is>
          <t>제 71 기</t>
        </is>
      </c>
      <c r="N517" s="24" t="inlineStr">
        <is>
          <t>0.0</t>
        </is>
      </c>
      <c r="O517" s="24" t="inlineStr">
        <is>
          <t>0.0</t>
        </is>
      </c>
      <c r="P517" s="24" t="inlineStr">
        <is>
          <t>KRW</t>
        </is>
      </c>
      <c r="Q517" s="24" t="inlineStr">
        <is>
          <t>14</t>
        </is>
      </c>
    </row>
    <row r="518" ht="24" customHeight="1">
      <c r="A518" s="29" t="inlineStr">
        <is>
          <t>OpenDART_fnlttSinglAcntAll</t>
        </is>
      </c>
      <c r="B518" s="29" t="inlineStr">
        <is>
          <t>00160843</t>
        </is>
      </c>
      <c r="C518" s="29" t="inlineStr">
        <is>
          <t>DB하이텍</t>
        </is>
      </c>
      <c r="D518" s="29" t="inlineStr">
        <is>
          <t>dbhitek</t>
        </is>
      </c>
      <c r="E518" s="29" t="inlineStr">
        <is>
          <t>000990</t>
        </is>
      </c>
      <c r="F518" s="29" t="inlineStr">
        <is>
          <t>2024</t>
        </is>
      </c>
      <c r="G518" s="29" t="inlineStr">
        <is>
          <t>CFS</t>
        </is>
      </c>
      <c r="H518" s="29" t="inlineStr">
        <is>
          <t>BS</t>
        </is>
      </c>
      <c r="I518" s="29" t="inlineStr">
        <is>
          <t>재무상태표</t>
        </is>
      </c>
      <c r="J518" s="29" t="inlineStr">
        <is>
          <t>ifrs-full_Assets</t>
        </is>
      </c>
      <c r="K518" s="29" t="inlineStr">
        <is>
          <t>자산총계</t>
        </is>
      </c>
      <c r="L518" s="29" t="inlineStr">
        <is>
          <t>-</t>
        </is>
      </c>
      <c r="M518" s="29" t="inlineStr">
        <is>
          <t>제 72 기</t>
        </is>
      </c>
      <c r="N518" s="29" t="inlineStr">
        <is>
          <t>2396851168578.0</t>
        </is>
      </c>
      <c r="O518" s="29" t="inlineStr">
        <is>
          <t>2043378694132.0</t>
        </is>
      </c>
      <c r="P518" s="29" t="inlineStr">
        <is>
          <t>KRW</t>
        </is>
      </c>
      <c r="Q518" s="29" t="inlineStr">
        <is>
          <t>7</t>
        </is>
      </c>
    </row>
    <row r="519" ht="24" customHeight="1">
      <c r="A519" s="24" t="inlineStr">
        <is>
          <t>OpenDART_fnlttSinglAcntAll</t>
        </is>
      </c>
      <c r="B519" s="24" t="inlineStr">
        <is>
          <t>00160843</t>
        </is>
      </c>
      <c r="C519" s="24" t="inlineStr">
        <is>
          <t>DB하이텍</t>
        </is>
      </c>
      <c r="D519" s="24" t="inlineStr">
        <is>
          <t>dbhitek</t>
        </is>
      </c>
      <c r="E519" s="24" t="inlineStr">
        <is>
          <t>000990</t>
        </is>
      </c>
      <c r="F519" s="24" t="inlineStr">
        <is>
          <t>2024</t>
        </is>
      </c>
      <c r="G519" s="24" t="inlineStr">
        <is>
          <t>CFS</t>
        </is>
      </c>
      <c r="H519" s="24" t="inlineStr">
        <is>
          <t>BS</t>
        </is>
      </c>
      <c r="I519" s="24" t="inlineStr">
        <is>
          <t>재무상태표</t>
        </is>
      </c>
      <c r="J519" s="24" t="inlineStr">
        <is>
          <t>ifrs-full_CurrentAssets</t>
        </is>
      </c>
      <c r="K519" s="24" t="inlineStr">
        <is>
          <t>유동자산</t>
        </is>
      </c>
      <c r="L519" s="24" t="inlineStr">
        <is>
          <t>-</t>
        </is>
      </c>
      <c r="M519" s="24" t="inlineStr">
        <is>
          <t>제 72 기</t>
        </is>
      </c>
      <c r="N519" s="24" t="inlineStr">
        <is>
          <t>1194370198832.0</t>
        </is>
      </c>
      <c r="O519" s="24" t="inlineStr">
        <is>
          <t>1027982955095.0</t>
        </is>
      </c>
      <c r="P519" s="24" t="inlineStr">
        <is>
          <t>KRW</t>
        </is>
      </c>
      <c r="Q519" s="24" t="inlineStr">
        <is>
          <t>8</t>
        </is>
      </c>
    </row>
    <row r="520" ht="24" customHeight="1">
      <c r="A520" s="29" t="inlineStr">
        <is>
          <t>OpenDART_fnlttSinglAcntAll</t>
        </is>
      </c>
      <c r="B520" s="29" t="inlineStr">
        <is>
          <t>00160843</t>
        </is>
      </c>
      <c r="C520" s="29" t="inlineStr">
        <is>
          <t>DB하이텍</t>
        </is>
      </c>
      <c r="D520" s="29" t="inlineStr">
        <is>
          <t>dbhitek</t>
        </is>
      </c>
      <c r="E520" s="29" t="inlineStr">
        <is>
          <t>000990</t>
        </is>
      </c>
      <c r="F520" s="29" t="inlineStr">
        <is>
          <t>2024</t>
        </is>
      </c>
      <c r="G520" s="29" t="inlineStr">
        <is>
          <t>CFS</t>
        </is>
      </c>
      <c r="H520" s="29" t="inlineStr">
        <is>
          <t>BS</t>
        </is>
      </c>
      <c r="I520" s="29" t="inlineStr">
        <is>
          <t>재무상태표</t>
        </is>
      </c>
      <c r="J520" s="29" t="inlineStr">
        <is>
          <t>ifrs-full_CashAndCashEquivalents</t>
        </is>
      </c>
      <c r="K520" s="29" t="inlineStr">
        <is>
          <t>현금및현금성자산</t>
        </is>
      </c>
      <c r="L520" s="29" t="inlineStr">
        <is>
          <t>-</t>
        </is>
      </c>
      <c r="M520" s="29" t="inlineStr">
        <is>
          <t>제 72 기</t>
        </is>
      </c>
      <c r="N520" s="29" t="inlineStr">
        <is>
          <t>297054100758.0</t>
        </is>
      </c>
      <c r="O520" s="29" t="inlineStr">
        <is>
          <t>253329763803.0</t>
        </is>
      </c>
      <c r="P520" s="29" t="inlineStr">
        <is>
          <t>KRW</t>
        </is>
      </c>
      <c r="Q520" s="29" t="inlineStr">
        <is>
          <t>9</t>
        </is>
      </c>
    </row>
    <row r="521" ht="24" customHeight="1">
      <c r="A521" s="24" t="inlineStr">
        <is>
          <t>OpenDART_fnlttSinglAcntAll</t>
        </is>
      </c>
      <c r="B521" s="24" t="inlineStr">
        <is>
          <t>00160843</t>
        </is>
      </c>
      <c r="C521" s="24" t="inlineStr">
        <is>
          <t>DB하이텍</t>
        </is>
      </c>
      <c r="D521" s="24" t="inlineStr">
        <is>
          <t>dbhitek</t>
        </is>
      </c>
      <c r="E521" s="24" t="inlineStr">
        <is>
          <t>000990</t>
        </is>
      </c>
      <c r="F521" s="24" t="inlineStr">
        <is>
          <t>2024</t>
        </is>
      </c>
      <c r="G521" s="24" t="inlineStr">
        <is>
          <t>CFS</t>
        </is>
      </c>
      <c r="H521" s="24" t="inlineStr">
        <is>
          <t>BS</t>
        </is>
      </c>
      <c r="I521" s="24" t="inlineStr">
        <is>
          <t>재무상태표</t>
        </is>
      </c>
      <c r="J521" s="24" t="inlineStr">
        <is>
          <t>ifrs-full_CurrentContractAssets</t>
        </is>
      </c>
      <c r="K521" s="24" t="inlineStr">
        <is>
          <t>미청구공사</t>
        </is>
      </c>
      <c r="L521" s="24" t="inlineStr">
        <is>
          <t>-</t>
        </is>
      </c>
      <c r="M521" s="24" t="inlineStr">
        <is>
          <t>제 72 기</t>
        </is>
      </c>
      <c r="N521" s="24" t="inlineStr">
        <is>
          <t>74336195524.0</t>
        </is>
      </c>
      <c r="O521" s="24" t="inlineStr">
        <is>
          <t>77628333737.0</t>
        </is>
      </c>
      <c r="P521" s="24" t="inlineStr">
        <is>
          <t>KRW</t>
        </is>
      </c>
      <c r="Q521" s="24" t="inlineStr">
        <is>
          <t>10</t>
        </is>
      </c>
    </row>
    <row r="522" ht="24" customHeight="1">
      <c r="A522" s="29" t="inlineStr">
        <is>
          <t>OpenDART_fnlttSinglAcntAll</t>
        </is>
      </c>
      <c r="B522" s="29" t="inlineStr">
        <is>
          <t>00160843</t>
        </is>
      </c>
      <c r="C522" s="29" t="inlineStr">
        <is>
          <t>DB하이텍</t>
        </is>
      </c>
      <c r="D522" s="29" t="inlineStr">
        <is>
          <t>dbhitek</t>
        </is>
      </c>
      <c r="E522" s="29" t="inlineStr">
        <is>
          <t>000990</t>
        </is>
      </c>
      <c r="F522" s="29" t="inlineStr">
        <is>
          <t>2024</t>
        </is>
      </c>
      <c r="G522" s="29" t="inlineStr">
        <is>
          <t>CFS</t>
        </is>
      </c>
      <c r="H522" s="29" t="inlineStr">
        <is>
          <t>BS</t>
        </is>
      </c>
      <c r="I522" s="29" t="inlineStr">
        <is>
          <t>재무상태표</t>
        </is>
      </c>
      <c r="J522" s="29" t="inlineStr">
        <is>
          <t>ifrs-full_CurrentTaxAssets</t>
        </is>
      </c>
      <c r="K522" s="29" t="inlineStr">
        <is>
          <t>당기법인세자산</t>
        </is>
      </c>
      <c r="L522" s="29" t="inlineStr">
        <is>
          <t>-</t>
        </is>
      </c>
      <c r="M522" s="29" t="inlineStr">
        <is>
          <t>제 72 기</t>
        </is>
      </c>
      <c r="N522" s="29" t="inlineStr">
        <is>
          <t>1133805410.0</t>
        </is>
      </c>
      <c r="O522" s="29" t="inlineStr">
        <is>
          <t>6773700035.0</t>
        </is>
      </c>
      <c r="P522" s="29" t="inlineStr">
        <is>
          <t>KRW</t>
        </is>
      </c>
      <c r="Q522" s="29" t="inlineStr">
        <is>
          <t>11</t>
        </is>
      </c>
    </row>
    <row r="523" ht="24" customHeight="1">
      <c r="A523" s="24" t="inlineStr">
        <is>
          <t>OpenDART_fnlttSinglAcntAll</t>
        </is>
      </c>
      <c r="B523" s="24" t="inlineStr">
        <is>
          <t>00160843</t>
        </is>
      </c>
      <c r="C523" s="24" t="inlineStr">
        <is>
          <t>DB하이텍</t>
        </is>
      </c>
      <c r="D523" s="24" t="inlineStr">
        <is>
          <t>dbhitek</t>
        </is>
      </c>
      <c r="E523" s="24" t="inlineStr">
        <is>
          <t>000990</t>
        </is>
      </c>
      <c r="F523" s="24" t="inlineStr">
        <is>
          <t>2024</t>
        </is>
      </c>
      <c r="G523" s="24" t="inlineStr">
        <is>
          <t>CFS</t>
        </is>
      </c>
      <c r="H523" s="24" t="inlineStr">
        <is>
          <t>BS</t>
        </is>
      </c>
      <c r="I523" s="24" t="inlineStr">
        <is>
          <t>재무상태표</t>
        </is>
      </c>
      <c r="J523" s="24" t="inlineStr">
        <is>
          <t>ifrs-full_CurrentTradeReceivables</t>
        </is>
      </c>
      <c r="K523" s="24" t="inlineStr">
        <is>
          <t>매출채권</t>
        </is>
      </c>
      <c r="L523" s="24" t="inlineStr">
        <is>
          <t>-</t>
        </is>
      </c>
      <c r="M523" s="24" t="inlineStr">
        <is>
          <t>제 72 기</t>
        </is>
      </c>
      <c r="N523" s="24" t="inlineStr">
        <is>
          <t>100427284862.0</t>
        </is>
      </c>
      <c r="O523" s="24" t="inlineStr">
        <is>
          <t>109613109613.0</t>
        </is>
      </c>
      <c r="P523" s="24" t="inlineStr">
        <is>
          <t>KRW</t>
        </is>
      </c>
      <c r="Q523" s="24" t="inlineStr">
        <is>
          <t>12</t>
        </is>
      </c>
    </row>
    <row r="524" ht="24" customHeight="1">
      <c r="A524" s="29" t="inlineStr">
        <is>
          <t>OpenDART_fnlttSinglAcntAll</t>
        </is>
      </c>
      <c r="B524" s="29" t="inlineStr">
        <is>
          <t>00160843</t>
        </is>
      </c>
      <c r="C524" s="29" t="inlineStr">
        <is>
          <t>DB하이텍</t>
        </is>
      </c>
      <c r="D524" s="29" t="inlineStr">
        <is>
          <t>dbhitek</t>
        </is>
      </c>
      <c r="E524" s="29" t="inlineStr">
        <is>
          <t>000990</t>
        </is>
      </c>
      <c r="F524" s="29" t="inlineStr">
        <is>
          <t>2024</t>
        </is>
      </c>
      <c r="G524" s="29" t="inlineStr">
        <is>
          <t>CFS</t>
        </is>
      </c>
      <c r="H524" s="29" t="inlineStr">
        <is>
          <t>BS</t>
        </is>
      </c>
      <c r="I524" s="29" t="inlineStr">
        <is>
          <t>재무상태표</t>
        </is>
      </c>
      <c r="J524" s="29" t="inlineStr">
        <is>
          <t>ifrs-full_Inventories</t>
        </is>
      </c>
      <c r="K524" s="29" t="inlineStr">
        <is>
          <t>재고자산</t>
        </is>
      </c>
      <c r="L524" s="29" t="inlineStr">
        <is>
          <t>-</t>
        </is>
      </c>
      <c r="M524" s="29" t="inlineStr">
        <is>
          <t>제 72 기</t>
        </is>
      </c>
      <c r="N524" s="29" t="inlineStr">
        <is>
          <t>70392571642.0</t>
        </is>
      </c>
      <c r="O524" s="29" t="inlineStr">
        <is>
          <t>81645551677.0</t>
        </is>
      </c>
      <c r="P524" s="29" t="inlineStr">
        <is>
          <t>KRW</t>
        </is>
      </c>
      <c r="Q524" s="29" t="inlineStr">
        <is>
          <t>13</t>
        </is>
      </c>
    </row>
    <row r="525" ht="24" customHeight="1">
      <c r="A525" s="24" t="inlineStr">
        <is>
          <t>OpenDART_fnlttSinglAcntAll</t>
        </is>
      </c>
      <c r="B525" s="24" t="inlineStr">
        <is>
          <t>00160843</t>
        </is>
      </c>
      <c r="C525" s="24" t="inlineStr">
        <is>
          <t>DB하이텍</t>
        </is>
      </c>
      <c r="D525" s="24" t="inlineStr">
        <is>
          <t>dbhitek</t>
        </is>
      </c>
      <c r="E525" s="24" t="inlineStr">
        <is>
          <t>000990</t>
        </is>
      </c>
      <c r="F525" s="24" t="inlineStr">
        <is>
          <t>2024</t>
        </is>
      </c>
      <c r="G525" s="24" t="inlineStr">
        <is>
          <t>CFS</t>
        </is>
      </c>
      <c r="H525" s="24" t="inlineStr">
        <is>
          <t>BS</t>
        </is>
      </c>
      <c r="I525" s="24" t="inlineStr">
        <is>
          <t>재무상태표</t>
        </is>
      </c>
      <c r="J525" s="24" t="inlineStr">
        <is>
          <t>ifrs-full_OtherCurrentAssets</t>
        </is>
      </c>
      <c r="K525" s="24" t="inlineStr">
        <is>
          <t>기타유동자산</t>
        </is>
      </c>
      <c r="L525" s="24" t="inlineStr">
        <is>
          <t>-</t>
        </is>
      </c>
      <c r="M525" s="24" t="inlineStr">
        <is>
          <t>제 72 기</t>
        </is>
      </c>
      <c r="N525" s="24" t="inlineStr">
        <is>
          <t>21981078460.0</t>
        </is>
      </c>
      <c r="O525" s="24" t="inlineStr">
        <is>
          <t>30830477618.0</t>
        </is>
      </c>
      <c r="P525" s="24" t="inlineStr">
        <is>
          <t>KRW</t>
        </is>
      </c>
      <c r="Q525" s="24" t="inlineStr">
        <is>
          <t>14</t>
        </is>
      </c>
    </row>
    <row r="526" ht="24" customHeight="1">
      <c r="A526" s="29" t="inlineStr">
        <is>
          <t>OpenDART_fnlttSinglAcntAll</t>
        </is>
      </c>
      <c r="B526" s="29" t="inlineStr">
        <is>
          <t>00160843</t>
        </is>
      </c>
      <c r="C526" s="29" t="inlineStr">
        <is>
          <t>DB하이텍</t>
        </is>
      </c>
      <c r="D526" s="29" t="inlineStr">
        <is>
          <t>dbhitek</t>
        </is>
      </c>
      <c r="E526" s="29" t="inlineStr">
        <is>
          <t>000990</t>
        </is>
      </c>
      <c r="F526" s="29" t="inlineStr">
        <is>
          <t>2024</t>
        </is>
      </c>
      <c r="G526" s="29" t="inlineStr">
        <is>
          <t>CFS</t>
        </is>
      </c>
      <c r="H526" s="29" t="inlineStr">
        <is>
          <t>BS</t>
        </is>
      </c>
      <c r="I526" s="29" t="inlineStr">
        <is>
          <t>재무상태표</t>
        </is>
      </c>
      <c r="J526" s="29" t="inlineStr">
        <is>
          <t>ifrs-full_OtherCurrentFinancialAssets</t>
        </is>
      </c>
      <c r="K526" s="29" t="inlineStr">
        <is>
          <t>기타금융자산</t>
        </is>
      </c>
      <c r="L526" s="29" t="inlineStr">
        <is>
          <t>-</t>
        </is>
      </c>
      <c r="M526" s="29" t="inlineStr">
        <is>
          <t>제 72 기</t>
        </is>
      </c>
      <c r="N526" s="29" t="inlineStr">
        <is>
          <t>487979917360.0</t>
        </is>
      </c>
      <c r="O526" s="29" t="inlineStr">
        <is>
          <t>121118929570.0</t>
        </is>
      </c>
      <c r="P526" s="29" t="inlineStr">
        <is>
          <t>KRW</t>
        </is>
      </c>
      <c r="Q526" s="29" t="inlineStr">
        <is>
          <t>15</t>
        </is>
      </c>
    </row>
    <row r="527" ht="24" customHeight="1">
      <c r="A527" s="24" t="inlineStr">
        <is>
          <t>OpenDART_fnlttSinglAcntAll</t>
        </is>
      </c>
      <c r="B527" s="24" t="inlineStr">
        <is>
          <t>00160843</t>
        </is>
      </c>
      <c r="C527" s="24" t="inlineStr">
        <is>
          <t>DB하이텍</t>
        </is>
      </c>
      <c r="D527" s="24" t="inlineStr">
        <is>
          <t>dbhitek</t>
        </is>
      </c>
      <c r="E527" s="24" t="inlineStr">
        <is>
          <t>000990</t>
        </is>
      </c>
      <c r="F527" s="24" t="inlineStr">
        <is>
          <t>2024</t>
        </is>
      </c>
      <c r="G527" s="24" t="inlineStr">
        <is>
          <t>CFS</t>
        </is>
      </c>
      <c r="H527" s="24" t="inlineStr">
        <is>
          <t>BS</t>
        </is>
      </c>
      <c r="I527" s="24" t="inlineStr">
        <is>
          <t>재무상태표</t>
        </is>
      </c>
      <c r="J527" s="24" t="inlineStr">
        <is>
          <t>ifrs-full_OtherCurrentReceivables</t>
        </is>
      </c>
      <c r="K527" s="24" t="inlineStr">
        <is>
          <t>기타채권</t>
        </is>
      </c>
      <c r="L527" s="24" t="inlineStr">
        <is>
          <t>-</t>
        </is>
      </c>
      <c r="M527" s="24" t="inlineStr">
        <is>
          <t>제 72 기</t>
        </is>
      </c>
      <c r="N527" s="24" t="inlineStr">
        <is>
          <t>2958506583.0</t>
        </is>
      </c>
      <c r="O527" s="24" t="inlineStr">
        <is>
          <t>7097213225.0</t>
        </is>
      </c>
      <c r="P527" s="24" t="inlineStr">
        <is>
          <t>KRW</t>
        </is>
      </c>
      <c r="Q527" s="24" t="inlineStr">
        <is>
          <t>16</t>
        </is>
      </c>
    </row>
    <row r="528" ht="24" customHeight="1">
      <c r="A528" s="29" t="inlineStr">
        <is>
          <t>OpenDART_fnlttSinglAcntAll</t>
        </is>
      </c>
      <c r="B528" s="29" t="inlineStr">
        <is>
          <t>00160843</t>
        </is>
      </c>
      <c r="C528" s="29" t="inlineStr">
        <is>
          <t>DB하이텍</t>
        </is>
      </c>
      <c r="D528" s="29" t="inlineStr">
        <is>
          <t>dbhitek</t>
        </is>
      </c>
      <c r="E528" s="29" t="inlineStr">
        <is>
          <t>000990</t>
        </is>
      </c>
      <c r="F528" s="29" t="inlineStr">
        <is>
          <t>2024</t>
        </is>
      </c>
      <c r="G528" s="29" t="inlineStr">
        <is>
          <t>CFS</t>
        </is>
      </c>
      <c r="H528" s="29" t="inlineStr">
        <is>
          <t>BS</t>
        </is>
      </c>
      <c r="I528" s="29" t="inlineStr">
        <is>
          <t>재무상태표</t>
        </is>
      </c>
      <c r="J528" s="29" t="inlineStr">
        <is>
          <t>ifrs-full_ShorttermDepositsNotClassifiedAsCashEquivalents</t>
        </is>
      </c>
      <c r="K528" s="29" t="inlineStr">
        <is>
          <t>단기금융상품</t>
        </is>
      </c>
      <c r="L528" s="29" t="inlineStr">
        <is>
          <t>-</t>
        </is>
      </c>
      <c r="M528" s="29" t="inlineStr">
        <is>
          <t>제 72 기</t>
        </is>
      </c>
      <c r="N528" s="29" t="inlineStr">
        <is>
          <t>138106738233.0</t>
        </is>
      </c>
      <c r="O528" s="29" t="inlineStr">
        <is>
          <t>339945875817.0</t>
        </is>
      </c>
      <c r="P528" s="29" t="inlineStr">
        <is>
          <t>KRW</t>
        </is>
      </c>
      <c r="Q528" s="29" t="inlineStr">
        <is>
          <t>17</t>
        </is>
      </c>
    </row>
    <row r="529" ht="24" customHeight="1">
      <c r="A529" s="24" t="inlineStr">
        <is>
          <t>OpenDART_fnlttSinglAcntAll</t>
        </is>
      </c>
      <c r="B529" s="24" t="inlineStr">
        <is>
          <t>00160843</t>
        </is>
      </c>
      <c r="C529" s="24" t="inlineStr">
        <is>
          <t>DB하이텍</t>
        </is>
      </c>
      <c r="D529" s="24" t="inlineStr">
        <is>
          <t>dbhitek</t>
        </is>
      </c>
      <c r="E529" s="24" t="inlineStr">
        <is>
          <t>000990</t>
        </is>
      </c>
      <c r="F529" s="24" t="inlineStr">
        <is>
          <t>2024</t>
        </is>
      </c>
      <c r="G529" s="24" t="inlineStr">
        <is>
          <t>CFS</t>
        </is>
      </c>
      <c r="H529" s="24" t="inlineStr">
        <is>
          <t>BS</t>
        </is>
      </c>
      <c r="I529" s="24" t="inlineStr">
        <is>
          <t>재무상태표</t>
        </is>
      </c>
      <c r="J529" s="24" t="inlineStr">
        <is>
          <t>ifrs-full_NoncurrentAssets</t>
        </is>
      </c>
      <c r="K529" s="24" t="inlineStr">
        <is>
          <t>비유동자산</t>
        </is>
      </c>
      <c r="L529" s="24" t="inlineStr">
        <is>
          <t>-</t>
        </is>
      </c>
      <c r="M529" s="24" t="inlineStr">
        <is>
          <t>제 72 기</t>
        </is>
      </c>
      <c r="N529" s="24" t="inlineStr">
        <is>
          <t>1202480969746.0</t>
        </is>
      </c>
      <c r="O529" s="24" t="inlineStr">
        <is>
          <t>1015395739037.0</t>
        </is>
      </c>
      <c r="P529" s="24" t="inlineStr">
        <is>
          <t>KRW</t>
        </is>
      </c>
      <c r="Q529" s="24" t="inlineStr">
        <is>
          <t>18</t>
        </is>
      </c>
    </row>
    <row r="530" ht="24" customHeight="1">
      <c r="A530" s="29" t="inlineStr">
        <is>
          <t>OpenDART_fnlttSinglAcntAll</t>
        </is>
      </c>
      <c r="B530" s="29" t="inlineStr">
        <is>
          <t>00160843</t>
        </is>
      </c>
      <c r="C530" s="29" t="inlineStr">
        <is>
          <t>DB하이텍</t>
        </is>
      </c>
      <c r="D530" s="29" t="inlineStr">
        <is>
          <t>dbhitek</t>
        </is>
      </c>
      <c r="E530" s="29" t="inlineStr">
        <is>
          <t>000990</t>
        </is>
      </c>
      <c r="F530" s="29" t="inlineStr">
        <is>
          <t>2024</t>
        </is>
      </c>
      <c r="G530" s="29" t="inlineStr">
        <is>
          <t>CFS</t>
        </is>
      </c>
      <c r="H530" s="29" t="inlineStr">
        <is>
          <t>BS</t>
        </is>
      </c>
      <c r="I530" s="29" t="inlineStr">
        <is>
          <t>재무상태표</t>
        </is>
      </c>
      <c r="J530" s="29" t="inlineStr">
        <is>
          <t>dart_InvestedAssetForPostemploymentBenefit</t>
        </is>
      </c>
      <c r="K530" s="29" t="inlineStr">
        <is>
          <t>순확정급여자산</t>
        </is>
      </c>
      <c r="L530" s="29" t="inlineStr">
        <is>
          <t>-</t>
        </is>
      </c>
      <c r="M530" s="29" t="inlineStr">
        <is>
          <t>제 72 기</t>
        </is>
      </c>
      <c r="N530" s="29" t="inlineStr">
        <is>
          <t>0.0</t>
        </is>
      </c>
      <c r="O530" s="29" t="inlineStr">
        <is>
          <t>4200378262.0</t>
        </is>
      </c>
      <c r="P530" s="29" t="inlineStr">
        <is>
          <t>KRW</t>
        </is>
      </c>
      <c r="Q530" s="29" t="inlineStr">
        <is>
          <t>19</t>
        </is>
      </c>
    </row>
    <row r="531" ht="24" customHeight="1">
      <c r="A531" s="24" t="inlineStr">
        <is>
          <t>OpenDART_fnlttSinglAcntAll</t>
        </is>
      </c>
      <c r="B531" s="24" t="inlineStr">
        <is>
          <t>00160843</t>
        </is>
      </c>
      <c r="C531" s="24" t="inlineStr">
        <is>
          <t>DB하이텍</t>
        </is>
      </c>
      <c r="D531" s="24" t="inlineStr">
        <is>
          <t>dbhitek</t>
        </is>
      </c>
      <c r="E531" s="24" t="inlineStr">
        <is>
          <t>000990</t>
        </is>
      </c>
      <c r="F531" s="24" t="inlineStr">
        <is>
          <t>2024</t>
        </is>
      </c>
      <c r="G531" s="24" t="inlineStr">
        <is>
          <t>CFS</t>
        </is>
      </c>
      <c r="H531" s="24" t="inlineStr">
        <is>
          <t>BS</t>
        </is>
      </c>
      <c r="I531" s="24" t="inlineStr">
        <is>
          <t>재무상태표</t>
        </is>
      </c>
      <c r="J531" s="24" t="inlineStr">
        <is>
          <t>-표준계정코드 미사용-</t>
        </is>
      </c>
      <c r="K531" s="24" t="inlineStr">
        <is>
          <t>당기법인세자산</t>
        </is>
      </c>
      <c r="L531" s="24" t="inlineStr">
        <is>
          <t>-</t>
        </is>
      </c>
      <c r="M531" s="24" t="inlineStr">
        <is>
          <t>제 72 기</t>
        </is>
      </c>
      <c r="N531" s="24" t="inlineStr">
        <is>
          <t>0.0</t>
        </is>
      </c>
      <c r="O531" s="24" t="inlineStr">
        <is>
          <t>2030074649.0</t>
        </is>
      </c>
      <c r="P531" s="24" t="inlineStr">
        <is>
          <t>KRW</t>
        </is>
      </c>
      <c r="Q531" s="24" t="inlineStr">
        <is>
          <t>20</t>
        </is>
      </c>
    </row>
    <row r="532" ht="24" customHeight="1">
      <c r="A532" s="29" t="inlineStr">
        <is>
          <t>OpenDART_fnlttSinglAcntAll</t>
        </is>
      </c>
      <c r="B532" s="29" t="inlineStr">
        <is>
          <t>00160843</t>
        </is>
      </c>
      <c r="C532" s="29" t="inlineStr">
        <is>
          <t>DB하이텍</t>
        </is>
      </c>
      <c r="D532" s="29" t="inlineStr">
        <is>
          <t>dbhitek</t>
        </is>
      </c>
      <c r="E532" s="29" t="inlineStr">
        <is>
          <t>000990</t>
        </is>
      </c>
      <c r="F532" s="29" t="inlineStr">
        <is>
          <t>2024</t>
        </is>
      </c>
      <c r="G532" s="29" t="inlineStr">
        <is>
          <t>CFS</t>
        </is>
      </c>
      <c r="H532" s="29" t="inlineStr">
        <is>
          <t>BS</t>
        </is>
      </c>
      <c r="I532" s="29" t="inlineStr">
        <is>
          <t>재무상태표</t>
        </is>
      </c>
      <c r="J532" s="29" t="inlineStr">
        <is>
          <t>ifrs-full_DeferredTaxAssets</t>
        </is>
      </c>
      <c r="K532" s="29" t="inlineStr">
        <is>
          <t>이연법인세자산</t>
        </is>
      </c>
      <c r="L532" s="29" t="inlineStr">
        <is>
          <t>-</t>
        </is>
      </c>
      <c r="M532" s="29" t="inlineStr">
        <is>
          <t>제 72 기</t>
        </is>
      </c>
      <c r="N532" s="29" t="inlineStr">
        <is>
          <t>21648595427.0</t>
        </is>
      </c>
      <c r="O532" s="29" t="inlineStr">
        <is>
          <t>11507261121.0</t>
        </is>
      </c>
      <c r="P532" s="29" t="inlineStr">
        <is>
          <t>KRW</t>
        </is>
      </c>
      <c r="Q532" s="29" t="inlineStr">
        <is>
          <t>21</t>
        </is>
      </c>
    </row>
    <row r="533" ht="24" customHeight="1">
      <c r="A533" s="24" t="inlineStr">
        <is>
          <t>OpenDART_fnlttSinglAcntAll</t>
        </is>
      </c>
      <c r="B533" s="24" t="inlineStr">
        <is>
          <t>00160843</t>
        </is>
      </c>
      <c r="C533" s="24" t="inlineStr">
        <is>
          <t>DB하이텍</t>
        </is>
      </c>
      <c r="D533" s="24" t="inlineStr">
        <is>
          <t>dbhitek</t>
        </is>
      </c>
      <c r="E533" s="24" t="inlineStr">
        <is>
          <t>000990</t>
        </is>
      </c>
      <c r="F533" s="24" t="inlineStr">
        <is>
          <t>2024</t>
        </is>
      </c>
      <c r="G533" s="24" t="inlineStr">
        <is>
          <t>CFS</t>
        </is>
      </c>
      <c r="H533" s="24" t="inlineStr">
        <is>
          <t>BS</t>
        </is>
      </c>
      <c r="I533" s="24" t="inlineStr">
        <is>
          <t>재무상태표</t>
        </is>
      </c>
      <c r="J533" s="24" t="inlineStr">
        <is>
          <t>ifrs-full_IntangibleAssetsOtherThanGoodwill</t>
        </is>
      </c>
      <c r="K533" s="24" t="inlineStr">
        <is>
          <t>영업권 이외의 무형자산</t>
        </is>
      </c>
      <c r="L533" s="24" t="inlineStr">
        <is>
          <t>-</t>
        </is>
      </c>
      <c r="M533" s="24" t="inlineStr">
        <is>
          <t>제 72 기</t>
        </is>
      </c>
      <c r="N533" s="24" t="inlineStr">
        <is>
          <t>24839701375.0</t>
        </is>
      </c>
      <c r="O533" s="24" t="inlineStr">
        <is>
          <t>21605474111.0</t>
        </is>
      </c>
      <c r="P533" s="24" t="inlineStr">
        <is>
          <t>KRW</t>
        </is>
      </c>
      <c r="Q533" s="24" t="inlineStr">
        <is>
          <t>22</t>
        </is>
      </c>
    </row>
    <row r="534" ht="24" customHeight="1">
      <c r="A534" s="29" t="inlineStr">
        <is>
          <t>OpenDART_fnlttSinglAcntAll</t>
        </is>
      </c>
      <c r="B534" s="29" t="inlineStr">
        <is>
          <t>00160843</t>
        </is>
      </c>
      <c r="C534" s="29" t="inlineStr">
        <is>
          <t>DB하이텍</t>
        </is>
      </c>
      <c r="D534" s="29" t="inlineStr">
        <is>
          <t>dbhitek</t>
        </is>
      </c>
      <c r="E534" s="29" t="inlineStr">
        <is>
          <t>000990</t>
        </is>
      </c>
      <c r="F534" s="29" t="inlineStr">
        <is>
          <t>2024</t>
        </is>
      </c>
      <c r="G534" s="29" t="inlineStr">
        <is>
          <t>CFS</t>
        </is>
      </c>
      <c r="H534" s="29" t="inlineStr">
        <is>
          <t>BS</t>
        </is>
      </c>
      <c r="I534" s="29" t="inlineStr">
        <is>
          <t>재무상태표</t>
        </is>
      </c>
      <c r="J534" s="29" t="inlineStr">
        <is>
          <t>ifrs-full_InvestmentAccountedForUsingEquityMethod</t>
        </is>
      </c>
      <c r="K534" s="29" t="inlineStr">
        <is>
          <t>종속기업및관계기업투자</t>
        </is>
      </c>
      <c r="L534" s="29" t="inlineStr">
        <is>
          <t>-</t>
        </is>
      </c>
      <c r="M534" s="29" t="inlineStr">
        <is>
          <t>제 72 기</t>
        </is>
      </c>
      <c r="N534" s="29" t="inlineStr">
        <is>
          <t>3718171658.0</t>
        </is>
      </c>
      <c r="O534" s="29" t="inlineStr">
        <is>
          <t>3588649217.0</t>
        </is>
      </c>
      <c r="P534" s="29" t="inlineStr">
        <is>
          <t>KRW</t>
        </is>
      </c>
      <c r="Q534" s="29" t="inlineStr">
        <is>
          <t>23</t>
        </is>
      </c>
    </row>
    <row r="535" ht="24" customHeight="1">
      <c r="A535" s="24" t="inlineStr">
        <is>
          <t>OpenDART_fnlttSinglAcntAll</t>
        </is>
      </c>
      <c r="B535" s="24" t="inlineStr">
        <is>
          <t>00160843</t>
        </is>
      </c>
      <c r="C535" s="24" t="inlineStr">
        <is>
          <t>DB하이텍</t>
        </is>
      </c>
      <c r="D535" s="24" t="inlineStr">
        <is>
          <t>dbhitek</t>
        </is>
      </c>
      <c r="E535" s="24" t="inlineStr">
        <is>
          <t>000990</t>
        </is>
      </c>
      <c r="F535" s="24" t="inlineStr">
        <is>
          <t>2024</t>
        </is>
      </c>
      <c r="G535" s="24" t="inlineStr">
        <is>
          <t>CFS</t>
        </is>
      </c>
      <c r="H535" s="24" t="inlineStr">
        <is>
          <t>BS</t>
        </is>
      </c>
      <c r="I535" s="24" t="inlineStr">
        <is>
          <t>재무상태표</t>
        </is>
      </c>
      <c r="J535" s="24" t="inlineStr">
        <is>
          <t>ifrs-full_InvestmentProperty</t>
        </is>
      </c>
      <c r="K535" s="24" t="inlineStr">
        <is>
          <t>투자부동산</t>
        </is>
      </c>
      <c r="L535" s="24" t="inlineStr">
        <is>
          <t>-</t>
        </is>
      </c>
      <c r="M535" s="24" t="inlineStr">
        <is>
          <t>제 72 기</t>
        </is>
      </c>
      <c r="N535" s="24" t="inlineStr">
        <is>
          <t>363248659.0</t>
        </is>
      </c>
      <c r="O535" s="24" t="inlineStr">
        <is>
          <t>0.0</t>
        </is>
      </c>
      <c r="P535" s="24" t="inlineStr">
        <is>
          <t>KRW</t>
        </is>
      </c>
      <c r="Q535" s="24" t="inlineStr">
        <is>
          <t>24</t>
        </is>
      </c>
    </row>
    <row r="536" ht="24" customHeight="1">
      <c r="A536" s="29" t="inlineStr">
        <is>
          <t>OpenDART_fnlttSinglAcntAll</t>
        </is>
      </c>
      <c r="B536" s="29" t="inlineStr">
        <is>
          <t>00160843</t>
        </is>
      </c>
      <c r="C536" s="29" t="inlineStr">
        <is>
          <t>DB하이텍</t>
        </is>
      </c>
      <c r="D536" s="29" t="inlineStr">
        <is>
          <t>dbhitek</t>
        </is>
      </c>
      <c r="E536" s="29" t="inlineStr">
        <is>
          <t>000990</t>
        </is>
      </c>
      <c r="F536" s="29" t="inlineStr">
        <is>
          <t>2024</t>
        </is>
      </c>
      <c r="G536" s="29" t="inlineStr">
        <is>
          <t>CFS</t>
        </is>
      </c>
      <c r="H536" s="29" t="inlineStr">
        <is>
          <t>BS</t>
        </is>
      </c>
      <c r="I536" s="29" t="inlineStr">
        <is>
          <t>재무상태표</t>
        </is>
      </c>
      <c r="J536" s="29" t="inlineStr">
        <is>
          <t>ifrs-full_NoncurrentInvestmentsInEquityInstrumentsDesignatedAtFairValueThroughOtherComprehensiveIncome</t>
        </is>
      </c>
      <c r="K536" s="29" t="inlineStr">
        <is>
          <t>기타포괄손익 공정가치 측정 금융자산</t>
        </is>
      </c>
      <c r="L536" s="29" t="inlineStr">
        <is>
          <t>-</t>
        </is>
      </c>
      <c r="M536" s="29" t="inlineStr">
        <is>
          <t>제 72 기</t>
        </is>
      </c>
      <c r="N536" s="29" t="inlineStr">
        <is>
          <t>4247019968.0</t>
        </is>
      </c>
      <c r="O536" s="29" t="inlineStr">
        <is>
          <t>15150342921.0</t>
        </is>
      </c>
      <c r="P536" s="29" t="inlineStr">
        <is>
          <t>KRW</t>
        </is>
      </c>
      <c r="Q536" s="29" t="inlineStr">
        <is>
          <t>25</t>
        </is>
      </c>
    </row>
    <row r="537" ht="24" customHeight="1">
      <c r="A537" s="24" t="inlineStr">
        <is>
          <t>OpenDART_fnlttSinglAcntAll</t>
        </is>
      </c>
      <c r="B537" s="24" t="inlineStr">
        <is>
          <t>00160843</t>
        </is>
      </c>
      <c r="C537" s="24" t="inlineStr">
        <is>
          <t>DB하이텍</t>
        </is>
      </c>
      <c r="D537" s="24" t="inlineStr">
        <is>
          <t>dbhitek</t>
        </is>
      </c>
      <c r="E537" s="24" t="inlineStr">
        <is>
          <t>000990</t>
        </is>
      </c>
      <c r="F537" s="24" t="inlineStr">
        <is>
          <t>2024</t>
        </is>
      </c>
      <c r="G537" s="24" t="inlineStr">
        <is>
          <t>CFS</t>
        </is>
      </c>
      <c r="H537" s="24" t="inlineStr">
        <is>
          <t>BS</t>
        </is>
      </c>
      <c r="I537" s="24" t="inlineStr">
        <is>
          <t>재무상태표</t>
        </is>
      </c>
      <c r="J537" s="24" t="inlineStr">
        <is>
          <t>ifrs-full_OtherNoncurrentAssets</t>
        </is>
      </c>
      <c r="K537" s="24" t="inlineStr">
        <is>
          <t>기타비유동자산</t>
        </is>
      </c>
      <c r="L537" s="24" t="inlineStr">
        <is>
          <t>-</t>
        </is>
      </c>
      <c r="M537" s="24" t="inlineStr">
        <is>
          <t>제 72 기</t>
        </is>
      </c>
      <c r="N537" s="24" t="inlineStr">
        <is>
          <t>2005048063.0</t>
        </is>
      </c>
      <c r="O537" s="24" t="inlineStr">
        <is>
          <t>1341298257.0</t>
        </is>
      </c>
      <c r="P537" s="24" t="inlineStr">
        <is>
          <t>KRW</t>
        </is>
      </c>
      <c r="Q537" s="24" t="inlineStr">
        <is>
          <t>26</t>
        </is>
      </c>
    </row>
    <row r="538" ht="24" customHeight="1">
      <c r="A538" s="29" t="inlineStr">
        <is>
          <t>OpenDART_fnlttSinglAcntAll</t>
        </is>
      </c>
      <c r="B538" s="29" t="inlineStr">
        <is>
          <t>00160843</t>
        </is>
      </c>
      <c r="C538" s="29" t="inlineStr">
        <is>
          <t>DB하이텍</t>
        </is>
      </c>
      <c r="D538" s="29" t="inlineStr">
        <is>
          <t>dbhitek</t>
        </is>
      </c>
      <c r="E538" s="29" t="inlineStr">
        <is>
          <t>000990</t>
        </is>
      </c>
      <c r="F538" s="29" t="inlineStr">
        <is>
          <t>2024</t>
        </is>
      </c>
      <c r="G538" s="29" t="inlineStr">
        <is>
          <t>CFS</t>
        </is>
      </c>
      <c r="H538" s="29" t="inlineStr">
        <is>
          <t>BS</t>
        </is>
      </c>
      <c r="I538" s="29" t="inlineStr">
        <is>
          <t>재무상태표</t>
        </is>
      </c>
      <c r="J538" s="29" t="inlineStr">
        <is>
          <t>ifrs-full_OtherNoncurrentFinancialAssets</t>
        </is>
      </c>
      <c r="K538" s="29" t="inlineStr">
        <is>
          <t>장기금융자산</t>
        </is>
      </c>
      <c r="L538" s="29" t="inlineStr">
        <is>
          <t>-</t>
        </is>
      </c>
      <c r="M538" s="29" t="inlineStr">
        <is>
          <t>제 72 기</t>
        </is>
      </c>
      <c r="N538" s="29" t="inlineStr">
        <is>
          <t>3000000.0</t>
        </is>
      </c>
      <c r="O538" s="29" t="inlineStr">
        <is>
          <t>5000000.0</t>
        </is>
      </c>
      <c r="P538" s="29" t="inlineStr">
        <is>
          <t>KRW</t>
        </is>
      </c>
      <c r="Q538" s="29" t="inlineStr">
        <is>
          <t>27</t>
        </is>
      </c>
    </row>
    <row r="539" ht="24" customHeight="1">
      <c r="A539" s="24" t="inlineStr">
        <is>
          <t>OpenDART_fnlttSinglAcntAll</t>
        </is>
      </c>
      <c r="B539" s="24" t="inlineStr">
        <is>
          <t>00160843</t>
        </is>
      </c>
      <c r="C539" s="24" t="inlineStr">
        <is>
          <t>DB하이텍</t>
        </is>
      </c>
      <c r="D539" s="24" t="inlineStr">
        <is>
          <t>dbhitek</t>
        </is>
      </c>
      <c r="E539" s="24" t="inlineStr">
        <is>
          <t>000990</t>
        </is>
      </c>
      <c r="F539" s="24" t="inlineStr">
        <is>
          <t>2024</t>
        </is>
      </c>
      <c r="G539" s="24" t="inlineStr">
        <is>
          <t>CFS</t>
        </is>
      </c>
      <c r="H539" s="24" t="inlineStr">
        <is>
          <t>BS</t>
        </is>
      </c>
      <c r="I539" s="24" t="inlineStr">
        <is>
          <t>재무상태표</t>
        </is>
      </c>
      <c r="J539" s="24" t="inlineStr">
        <is>
          <t>ifrs-full_OtherNoncurrentReceivables</t>
        </is>
      </c>
      <c r="K539" s="24" t="inlineStr">
        <is>
          <t>장기기타채권</t>
        </is>
      </c>
      <c r="L539" s="24" t="inlineStr">
        <is>
          <t>-</t>
        </is>
      </c>
      <c r="M539" s="24" t="inlineStr">
        <is>
          <t>제 72 기</t>
        </is>
      </c>
      <c r="N539" s="24" t="inlineStr">
        <is>
          <t>10246028609.0</t>
        </is>
      </c>
      <c r="O539" s="24" t="inlineStr">
        <is>
          <t>5052130661.0</t>
        </is>
      </c>
      <c r="P539" s="24" t="inlineStr">
        <is>
          <t>KRW</t>
        </is>
      </c>
      <c r="Q539" s="24" t="inlineStr">
        <is>
          <t>28</t>
        </is>
      </c>
    </row>
    <row r="540" ht="24" customHeight="1">
      <c r="A540" s="29" t="inlineStr">
        <is>
          <t>OpenDART_fnlttSinglAcntAll</t>
        </is>
      </c>
      <c r="B540" s="29" t="inlineStr">
        <is>
          <t>00160843</t>
        </is>
      </c>
      <c r="C540" s="29" t="inlineStr">
        <is>
          <t>DB하이텍</t>
        </is>
      </c>
      <c r="D540" s="29" t="inlineStr">
        <is>
          <t>dbhitek</t>
        </is>
      </c>
      <c r="E540" s="29" t="inlineStr">
        <is>
          <t>000990</t>
        </is>
      </c>
      <c r="F540" s="29" t="inlineStr">
        <is>
          <t>2024</t>
        </is>
      </c>
      <c r="G540" s="29" t="inlineStr">
        <is>
          <t>CFS</t>
        </is>
      </c>
      <c r="H540" s="29" t="inlineStr">
        <is>
          <t>BS</t>
        </is>
      </c>
      <c r="I540" s="29" t="inlineStr">
        <is>
          <t>재무상태표</t>
        </is>
      </c>
      <c r="J540" s="29" t="inlineStr">
        <is>
          <t>ifrs-full_PropertyPlantAndEquipment</t>
        </is>
      </c>
      <c r="K540" s="29" t="inlineStr">
        <is>
          <t>유형자산</t>
        </is>
      </c>
      <c r="L540" s="29" t="inlineStr">
        <is>
          <t>-</t>
        </is>
      </c>
      <c r="M540" s="29" t="inlineStr">
        <is>
          <t>제 72 기</t>
        </is>
      </c>
      <c r="N540" s="29" t="inlineStr">
        <is>
          <t>1135410155987.0</t>
        </is>
      </c>
      <c r="O540" s="29" t="inlineStr">
        <is>
          <t>950915129838.0</t>
        </is>
      </c>
      <c r="P540" s="29" t="inlineStr">
        <is>
          <t>KRW</t>
        </is>
      </c>
      <c r="Q540" s="29" t="inlineStr">
        <is>
          <t>29</t>
        </is>
      </c>
    </row>
    <row r="541" ht="24" customHeight="1">
      <c r="A541" s="24" t="inlineStr">
        <is>
          <t>OpenDART_fnlttSinglAcntAll</t>
        </is>
      </c>
      <c r="B541" s="24" t="inlineStr">
        <is>
          <t>00160843</t>
        </is>
      </c>
      <c r="C541" s="24" t="inlineStr">
        <is>
          <t>DB하이텍</t>
        </is>
      </c>
      <c r="D541" s="24" t="inlineStr">
        <is>
          <t>dbhitek</t>
        </is>
      </c>
      <c r="E541" s="24" t="inlineStr">
        <is>
          <t>000990</t>
        </is>
      </c>
      <c r="F541" s="24" t="inlineStr">
        <is>
          <t>2024</t>
        </is>
      </c>
      <c r="G541" s="24" t="inlineStr">
        <is>
          <t>CFS</t>
        </is>
      </c>
      <c r="H541" s="24" t="inlineStr">
        <is>
          <t>BS</t>
        </is>
      </c>
      <c r="I541" s="24" t="inlineStr">
        <is>
          <t>재무상태표</t>
        </is>
      </c>
      <c r="J541" s="24" t="inlineStr">
        <is>
          <t>ifrs-full_Equity</t>
        </is>
      </c>
      <c r="K541" s="24" t="inlineStr">
        <is>
          <t>자본총계</t>
        </is>
      </c>
      <c r="L541" s="24" t="inlineStr">
        <is>
          <t>-</t>
        </is>
      </c>
      <c r="M541" s="24" t="inlineStr">
        <is>
          <t>제 72 기</t>
        </is>
      </c>
      <c r="N541" s="24" t="inlineStr">
        <is>
          <t>2000688804317.0</t>
        </is>
      </c>
      <c r="O541" s="24" t="inlineStr">
        <is>
          <t>1740082437747.0</t>
        </is>
      </c>
      <c r="P541" s="24" t="inlineStr">
        <is>
          <t>KRW</t>
        </is>
      </c>
      <c r="Q541" s="24" t="inlineStr">
        <is>
          <t>31</t>
        </is>
      </c>
    </row>
    <row r="542" ht="24" customHeight="1">
      <c r="A542" s="29" t="inlineStr">
        <is>
          <t>OpenDART_fnlttSinglAcntAll</t>
        </is>
      </c>
      <c r="B542" s="29" t="inlineStr">
        <is>
          <t>00160843</t>
        </is>
      </c>
      <c r="C542" s="29" t="inlineStr">
        <is>
          <t>DB하이텍</t>
        </is>
      </c>
      <c r="D542" s="29" t="inlineStr">
        <is>
          <t>dbhitek</t>
        </is>
      </c>
      <c r="E542" s="29" t="inlineStr">
        <is>
          <t>000990</t>
        </is>
      </c>
      <c r="F542" s="29" t="inlineStr">
        <is>
          <t>2024</t>
        </is>
      </c>
      <c r="G542" s="29" t="inlineStr">
        <is>
          <t>CFS</t>
        </is>
      </c>
      <c r="H542" s="29" t="inlineStr">
        <is>
          <t>BS</t>
        </is>
      </c>
      <c r="I542" s="29" t="inlineStr">
        <is>
          <t>재무상태표</t>
        </is>
      </c>
      <c r="J542" s="29" t="inlineStr">
        <is>
          <t>ifrs-full_EquityAttributableToOwnersOfParent</t>
        </is>
      </c>
      <c r="K542" s="29" t="inlineStr">
        <is>
          <t>지배기업의 소유주에게 귀속되는 자본</t>
        </is>
      </c>
      <c r="L542" s="29" t="inlineStr">
        <is>
          <t>-</t>
        </is>
      </c>
      <c r="M542" s="29" t="inlineStr">
        <is>
          <t>제 72 기</t>
        </is>
      </c>
      <c r="N542" s="29" t="inlineStr">
        <is>
          <t>1949982258640.0</t>
        </is>
      </c>
      <c r="O542" s="29" t="inlineStr">
        <is>
          <t>1740082437747.0</t>
        </is>
      </c>
      <c r="P542" s="29" t="inlineStr">
        <is>
          <t>KRW</t>
        </is>
      </c>
      <c r="Q542" s="29" t="inlineStr">
        <is>
          <t>32</t>
        </is>
      </c>
    </row>
    <row r="543" ht="24" customHeight="1">
      <c r="A543" s="24" t="inlineStr">
        <is>
          <t>OpenDART_fnlttSinglAcntAll</t>
        </is>
      </c>
      <c r="B543" s="24" t="inlineStr">
        <is>
          <t>00160843</t>
        </is>
      </c>
      <c r="C543" s="24" t="inlineStr">
        <is>
          <t>DB하이텍</t>
        </is>
      </c>
      <c r="D543" s="24" t="inlineStr">
        <is>
          <t>dbhitek</t>
        </is>
      </c>
      <c r="E543" s="24" t="inlineStr">
        <is>
          <t>000990</t>
        </is>
      </c>
      <c r="F543" s="24" t="inlineStr">
        <is>
          <t>2024</t>
        </is>
      </c>
      <c r="G543" s="24" t="inlineStr">
        <is>
          <t>CFS</t>
        </is>
      </c>
      <c r="H543" s="24" t="inlineStr">
        <is>
          <t>BS</t>
        </is>
      </c>
      <c r="I543" s="24" t="inlineStr">
        <is>
          <t>재무상태표</t>
        </is>
      </c>
      <c r="J543" s="24" t="inlineStr">
        <is>
          <t>dart_ElementsOfOtherStockholdersEquity</t>
        </is>
      </c>
      <c r="K543" s="24" t="inlineStr">
        <is>
          <t>기타자본구성요소</t>
        </is>
      </c>
      <c r="L543" s="24" t="inlineStr">
        <is>
          <t>-</t>
        </is>
      </c>
      <c r="M543" s="24" t="inlineStr">
        <is>
          <t>제 72 기</t>
        </is>
      </c>
      <c r="N543" s="24" t="inlineStr">
        <is>
          <t>-163336720157.0</t>
        </is>
      </c>
      <c r="O543" s="24" t="inlineStr">
        <is>
          <t>-173062538826.0</t>
        </is>
      </c>
      <c r="P543" s="24" t="inlineStr">
        <is>
          <t>KRW</t>
        </is>
      </c>
      <c r="Q543" s="24" t="inlineStr">
        <is>
          <t>33</t>
        </is>
      </c>
    </row>
    <row r="544" ht="24" customHeight="1">
      <c r="A544" s="29" t="inlineStr">
        <is>
          <t>OpenDART_fnlttSinglAcntAll</t>
        </is>
      </c>
      <c r="B544" s="29" t="inlineStr">
        <is>
          <t>00160843</t>
        </is>
      </c>
      <c r="C544" s="29" t="inlineStr">
        <is>
          <t>DB하이텍</t>
        </is>
      </c>
      <c r="D544" s="29" t="inlineStr">
        <is>
          <t>dbhitek</t>
        </is>
      </c>
      <c r="E544" s="29" t="inlineStr">
        <is>
          <t>000990</t>
        </is>
      </c>
      <c r="F544" s="29" t="inlineStr">
        <is>
          <t>2024</t>
        </is>
      </c>
      <c r="G544" s="29" t="inlineStr">
        <is>
          <t>CFS</t>
        </is>
      </c>
      <c r="H544" s="29" t="inlineStr">
        <is>
          <t>BS</t>
        </is>
      </c>
      <c r="I544" s="29" t="inlineStr">
        <is>
          <t>재무상태표</t>
        </is>
      </c>
      <c r="J544" s="29" t="inlineStr">
        <is>
          <t>ifrs-full_IssuedCapital</t>
        </is>
      </c>
      <c r="K544" s="29" t="inlineStr">
        <is>
          <t>자본금</t>
        </is>
      </c>
      <c r="L544" s="29" t="inlineStr">
        <is>
          <t>-</t>
        </is>
      </c>
      <c r="M544" s="29" t="inlineStr">
        <is>
          <t>제 72 기</t>
        </is>
      </c>
      <c r="N544" s="29" t="inlineStr">
        <is>
          <t>222555835000.0</t>
        </is>
      </c>
      <c r="O544" s="29" t="inlineStr">
        <is>
          <t>222555835000.0</t>
        </is>
      </c>
      <c r="P544" s="29" t="inlineStr">
        <is>
          <t>KRW</t>
        </is>
      </c>
      <c r="Q544" s="29" t="inlineStr">
        <is>
          <t>34</t>
        </is>
      </c>
    </row>
    <row r="545" ht="24" customHeight="1">
      <c r="A545" s="24" t="inlineStr">
        <is>
          <t>OpenDART_fnlttSinglAcntAll</t>
        </is>
      </c>
      <c r="B545" s="24" t="inlineStr">
        <is>
          <t>00160843</t>
        </is>
      </c>
      <c r="C545" s="24" t="inlineStr">
        <is>
          <t>DB하이텍</t>
        </is>
      </c>
      <c r="D545" s="24" t="inlineStr">
        <is>
          <t>dbhitek</t>
        </is>
      </c>
      <c r="E545" s="24" t="inlineStr">
        <is>
          <t>000990</t>
        </is>
      </c>
      <c r="F545" s="24" t="inlineStr">
        <is>
          <t>2024</t>
        </is>
      </c>
      <c r="G545" s="24" t="inlineStr">
        <is>
          <t>CFS</t>
        </is>
      </c>
      <c r="H545" s="24" t="inlineStr">
        <is>
          <t>BS</t>
        </is>
      </c>
      <c r="I545" s="24" t="inlineStr">
        <is>
          <t>재무상태표</t>
        </is>
      </c>
      <c r="J545" s="24" t="inlineStr">
        <is>
          <t>ifrs-full_RetainedEarnings</t>
        </is>
      </c>
      <c r="K545" s="24" t="inlineStr">
        <is>
          <t>이익잉여금(결손금)</t>
        </is>
      </c>
      <c r="L545" s="24" t="inlineStr">
        <is>
          <t>-</t>
        </is>
      </c>
      <c r="M545" s="24" t="inlineStr">
        <is>
          <t>제 72 기</t>
        </is>
      </c>
      <c r="N545" s="24" t="inlineStr">
        <is>
          <t>1763434867503.0</t>
        </is>
      </c>
      <c r="O545" s="24" t="inlineStr">
        <is>
          <t>1563260865279.0</t>
        </is>
      </c>
      <c r="P545" s="24" t="inlineStr">
        <is>
          <t>KRW</t>
        </is>
      </c>
      <c r="Q545" s="24" t="inlineStr">
        <is>
          <t>35</t>
        </is>
      </c>
    </row>
    <row r="546" ht="24" customHeight="1">
      <c r="A546" s="29" t="inlineStr">
        <is>
          <t>OpenDART_fnlttSinglAcntAll</t>
        </is>
      </c>
      <c r="B546" s="29" t="inlineStr">
        <is>
          <t>00160843</t>
        </is>
      </c>
      <c r="C546" s="29" t="inlineStr">
        <is>
          <t>DB하이텍</t>
        </is>
      </c>
      <c r="D546" s="29" t="inlineStr">
        <is>
          <t>dbhitek</t>
        </is>
      </c>
      <c r="E546" s="29" t="inlineStr">
        <is>
          <t>000990</t>
        </is>
      </c>
      <c r="F546" s="29" t="inlineStr">
        <is>
          <t>2024</t>
        </is>
      </c>
      <c r="G546" s="29" t="inlineStr">
        <is>
          <t>CFS</t>
        </is>
      </c>
      <c r="H546" s="29" t="inlineStr">
        <is>
          <t>BS</t>
        </is>
      </c>
      <c r="I546" s="29" t="inlineStr">
        <is>
          <t>재무상태표</t>
        </is>
      </c>
      <c r="J546" s="29" t="inlineStr">
        <is>
          <t>ifrs-full_SharePremium</t>
        </is>
      </c>
      <c r="K546" s="29" t="inlineStr">
        <is>
          <t>주식발행초과금</t>
        </is>
      </c>
      <c r="L546" s="29" t="inlineStr">
        <is>
          <t>-</t>
        </is>
      </c>
      <c r="M546" s="29" t="inlineStr">
        <is>
          <t>제 72 기</t>
        </is>
      </c>
      <c r="N546" s="29" t="inlineStr">
        <is>
          <t>127328276294.0</t>
        </is>
      </c>
      <c r="O546" s="29" t="inlineStr">
        <is>
          <t>127328276294.0</t>
        </is>
      </c>
      <c r="P546" s="29" t="inlineStr">
        <is>
          <t>KRW</t>
        </is>
      </c>
      <c r="Q546" s="29" t="inlineStr">
        <is>
          <t>36</t>
        </is>
      </c>
    </row>
    <row r="547" ht="24" customHeight="1">
      <c r="A547" s="24" t="inlineStr">
        <is>
          <t>OpenDART_fnlttSinglAcntAll</t>
        </is>
      </c>
      <c r="B547" s="24" t="inlineStr">
        <is>
          <t>00160843</t>
        </is>
      </c>
      <c r="C547" s="24" t="inlineStr">
        <is>
          <t>DB하이텍</t>
        </is>
      </c>
      <c r="D547" s="24" t="inlineStr">
        <is>
          <t>dbhitek</t>
        </is>
      </c>
      <c r="E547" s="24" t="inlineStr">
        <is>
          <t>000990</t>
        </is>
      </c>
      <c r="F547" s="24" t="inlineStr">
        <is>
          <t>2024</t>
        </is>
      </c>
      <c r="G547" s="24" t="inlineStr">
        <is>
          <t>CFS</t>
        </is>
      </c>
      <c r="H547" s="24" t="inlineStr">
        <is>
          <t>BS</t>
        </is>
      </c>
      <c r="I547" s="24" t="inlineStr">
        <is>
          <t>재무상태표</t>
        </is>
      </c>
      <c r="J547" s="24" t="inlineStr">
        <is>
          <t>ifrs-full_NoncontrollingInterests</t>
        </is>
      </c>
      <c r="K547" s="24" t="inlineStr">
        <is>
          <t>비지배지분</t>
        </is>
      </c>
      <c r="L547" s="24" t="inlineStr">
        <is>
          <t>-</t>
        </is>
      </c>
      <c r="M547" s="24" t="inlineStr">
        <is>
          <t>제 72 기</t>
        </is>
      </c>
      <c r="N547" s="24" t="inlineStr">
        <is>
          <t>50706545677.0</t>
        </is>
      </c>
      <c r="O547" s="24" t="inlineStr">
        <is>
          <t>0.0</t>
        </is>
      </c>
      <c r="P547" s="24" t="inlineStr">
        <is>
          <t>KRW</t>
        </is>
      </c>
      <c r="Q547" s="24" t="inlineStr">
        <is>
          <t>37</t>
        </is>
      </c>
    </row>
    <row r="548" ht="24" customHeight="1">
      <c r="A548" s="29" t="inlineStr">
        <is>
          <t>OpenDART_fnlttSinglAcntAll</t>
        </is>
      </c>
      <c r="B548" s="29" t="inlineStr">
        <is>
          <t>00160843</t>
        </is>
      </c>
      <c r="C548" s="29" t="inlineStr">
        <is>
          <t>DB하이텍</t>
        </is>
      </c>
      <c r="D548" s="29" t="inlineStr">
        <is>
          <t>dbhitek</t>
        </is>
      </c>
      <c r="E548" s="29" t="inlineStr">
        <is>
          <t>000990</t>
        </is>
      </c>
      <c r="F548" s="29" t="inlineStr">
        <is>
          <t>2024</t>
        </is>
      </c>
      <c r="G548" s="29" t="inlineStr">
        <is>
          <t>CFS</t>
        </is>
      </c>
      <c r="H548" s="29" t="inlineStr">
        <is>
          <t>BS</t>
        </is>
      </c>
      <c r="I548" s="29" t="inlineStr">
        <is>
          <t>재무상태표</t>
        </is>
      </c>
      <c r="J548" s="29" t="inlineStr">
        <is>
          <t>ifrs-full_EquityAndLiabilities</t>
        </is>
      </c>
      <c r="K548" s="29" t="inlineStr">
        <is>
          <t>자본과부채총계</t>
        </is>
      </c>
      <c r="L548" s="29" t="inlineStr">
        <is>
          <t>-</t>
        </is>
      </c>
      <c r="M548" s="29" t="inlineStr">
        <is>
          <t>제 72 기</t>
        </is>
      </c>
      <c r="N548" s="29" t="inlineStr">
        <is>
          <t>2396851168578.0</t>
        </is>
      </c>
      <c r="O548" s="29" t="inlineStr">
        <is>
          <t>2043378694132.0</t>
        </is>
      </c>
      <c r="P548" s="29" t="inlineStr">
        <is>
          <t>KRW</t>
        </is>
      </c>
      <c r="Q548" s="29" t="inlineStr">
        <is>
          <t>38</t>
        </is>
      </c>
    </row>
    <row r="549" ht="24" customHeight="1">
      <c r="A549" s="24" t="inlineStr">
        <is>
          <t>OpenDART_fnlttSinglAcntAll</t>
        </is>
      </c>
      <c r="B549" s="24" t="inlineStr">
        <is>
          <t>00160843</t>
        </is>
      </c>
      <c r="C549" s="24" t="inlineStr">
        <is>
          <t>DB하이텍</t>
        </is>
      </c>
      <c r="D549" s="24" t="inlineStr">
        <is>
          <t>dbhitek</t>
        </is>
      </c>
      <c r="E549" s="24" t="inlineStr">
        <is>
          <t>000990</t>
        </is>
      </c>
      <c r="F549" s="24" t="inlineStr">
        <is>
          <t>2024</t>
        </is>
      </c>
      <c r="G549" s="24" t="inlineStr">
        <is>
          <t>CFS</t>
        </is>
      </c>
      <c r="H549" s="24" t="inlineStr">
        <is>
          <t>BS</t>
        </is>
      </c>
      <c r="I549" s="24" t="inlineStr">
        <is>
          <t>재무상태표</t>
        </is>
      </c>
      <c r="J549" s="24" t="inlineStr">
        <is>
          <t>ifrs-full_CurrentLiabilities</t>
        </is>
      </c>
      <c r="K549" s="24" t="inlineStr">
        <is>
          <t>유동부채</t>
        </is>
      </c>
      <c r="L549" s="24" t="inlineStr">
        <is>
          <t>-</t>
        </is>
      </c>
      <c r="M549" s="24" t="inlineStr">
        <is>
          <t>제 72 기</t>
        </is>
      </c>
      <c r="N549" s="24" t="inlineStr">
        <is>
          <t>316866668877.0</t>
        </is>
      </c>
      <c r="O549" s="24" t="inlineStr">
        <is>
          <t>220150412233.0</t>
        </is>
      </c>
      <c r="P549" s="24" t="inlineStr">
        <is>
          <t>KRW</t>
        </is>
      </c>
      <c r="Q549" s="24" t="inlineStr">
        <is>
          <t>40</t>
        </is>
      </c>
    </row>
    <row r="550" ht="24" customHeight="1">
      <c r="A550" s="29" t="inlineStr">
        <is>
          <t>OpenDART_fnlttSinglAcntAll</t>
        </is>
      </c>
      <c r="B550" s="29" t="inlineStr">
        <is>
          <t>00160843</t>
        </is>
      </c>
      <c r="C550" s="29" t="inlineStr">
        <is>
          <t>DB하이텍</t>
        </is>
      </c>
      <c r="D550" s="29" t="inlineStr">
        <is>
          <t>dbhitek</t>
        </is>
      </c>
      <c r="E550" s="29" t="inlineStr">
        <is>
          <t>000990</t>
        </is>
      </c>
      <c r="F550" s="29" t="inlineStr">
        <is>
          <t>2024</t>
        </is>
      </c>
      <c r="G550" s="29" t="inlineStr">
        <is>
          <t>CFS</t>
        </is>
      </c>
      <c r="H550" s="29" t="inlineStr">
        <is>
          <t>BS</t>
        </is>
      </c>
      <c r="I550" s="29" t="inlineStr">
        <is>
          <t>재무상태표</t>
        </is>
      </c>
      <c r="J550" s="29" t="inlineStr">
        <is>
          <t>dart_CurrentNontradePayables</t>
        </is>
      </c>
      <c r="K550" s="29" t="inlineStr">
        <is>
          <t>기타지급채무</t>
        </is>
      </c>
      <c r="L550" s="29" t="inlineStr">
        <is>
          <t>-</t>
        </is>
      </c>
      <c r="M550" s="29" t="inlineStr">
        <is>
          <t>제 72 기</t>
        </is>
      </c>
      <c r="N550" s="29" t="inlineStr">
        <is>
          <t>92102835096.0</t>
        </is>
      </c>
      <c r="O550" s="29" t="inlineStr">
        <is>
          <t>83750639303.0</t>
        </is>
      </c>
      <c r="P550" s="29" t="inlineStr">
        <is>
          <t>KRW</t>
        </is>
      </c>
      <c r="Q550" s="29" t="inlineStr">
        <is>
          <t>41</t>
        </is>
      </c>
    </row>
    <row r="551" ht="24" customHeight="1">
      <c r="A551" s="24" t="inlineStr">
        <is>
          <t>OpenDART_fnlttSinglAcntAll</t>
        </is>
      </c>
      <c r="B551" s="24" t="inlineStr">
        <is>
          <t>00160843</t>
        </is>
      </c>
      <c r="C551" s="24" t="inlineStr">
        <is>
          <t>DB하이텍</t>
        </is>
      </c>
      <c r="D551" s="24" t="inlineStr">
        <is>
          <t>dbhitek</t>
        </is>
      </c>
      <c r="E551" s="24" t="inlineStr">
        <is>
          <t>000990</t>
        </is>
      </c>
      <c r="F551" s="24" t="inlineStr">
        <is>
          <t>2024</t>
        </is>
      </c>
      <c r="G551" s="24" t="inlineStr">
        <is>
          <t>CFS</t>
        </is>
      </c>
      <c r="H551" s="24" t="inlineStr">
        <is>
          <t>BS</t>
        </is>
      </c>
      <c r="I551" s="24" t="inlineStr">
        <is>
          <t>재무상태표</t>
        </is>
      </c>
      <c r="J551" s="24" t="inlineStr">
        <is>
          <t>dart_ShortTermTradePayables</t>
        </is>
      </c>
      <c r="K551" s="24" t="inlineStr">
        <is>
          <t>단기매입채무</t>
        </is>
      </c>
      <c r="L551" s="24" t="inlineStr">
        <is>
          <t>-</t>
        </is>
      </c>
      <c r="M551" s="24" t="inlineStr">
        <is>
          <t>제 72 기</t>
        </is>
      </c>
      <c r="N551" s="24" t="inlineStr">
        <is>
          <t>45031082721.0</t>
        </is>
      </c>
      <c r="O551" s="24" t="inlineStr">
        <is>
          <t>50101343507.0</t>
        </is>
      </c>
      <c r="P551" s="24" t="inlineStr">
        <is>
          <t>KRW</t>
        </is>
      </c>
      <c r="Q551" s="24" t="inlineStr">
        <is>
          <t>42</t>
        </is>
      </c>
    </row>
    <row r="552" ht="24" customHeight="1">
      <c r="A552" s="29" t="inlineStr">
        <is>
          <t>OpenDART_fnlttSinglAcntAll</t>
        </is>
      </c>
      <c r="B552" s="29" t="inlineStr">
        <is>
          <t>00160843</t>
        </is>
      </c>
      <c r="C552" s="29" t="inlineStr">
        <is>
          <t>DB하이텍</t>
        </is>
      </c>
      <c r="D552" s="29" t="inlineStr">
        <is>
          <t>dbhitek</t>
        </is>
      </c>
      <c r="E552" s="29" t="inlineStr">
        <is>
          <t>000990</t>
        </is>
      </c>
      <c r="F552" s="29" t="inlineStr">
        <is>
          <t>2024</t>
        </is>
      </c>
      <c r="G552" s="29" t="inlineStr">
        <is>
          <t>CFS</t>
        </is>
      </c>
      <c r="H552" s="29" t="inlineStr">
        <is>
          <t>BS</t>
        </is>
      </c>
      <c r="I552" s="29" t="inlineStr">
        <is>
          <t>재무상태표</t>
        </is>
      </c>
      <c r="J552" s="29" t="inlineStr">
        <is>
          <t>ifrs-full_CurrentPortionOfLongtermBorrowings</t>
        </is>
      </c>
      <c r="K552" s="29" t="inlineStr">
        <is>
          <t>유동성장기차입금</t>
        </is>
      </c>
      <c r="L552" s="29" t="inlineStr">
        <is>
          <t>-</t>
        </is>
      </c>
      <c r="M552" s="29" t="inlineStr">
        <is>
          <t>제 72 기</t>
        </is>
      </c>
      <c r="N552" s="29" t="inlineStr">
        <is>
          <t>19833320000.0</t>
        </is>
      </c>
      <c r="O552" s="29" t="inlineStr">
        <is>
          <t>21666640000.0</t>
        </is>
      </c>
      <c r="P552" s="29" t="inlineStr">
        <is>
          <t>KRW</t>
        </is>
      </c>
      <c r="Q552" s="29" t="inlineStr">
        <is>
          <t>43</t>
        </is>
      </c>
    </row>
    <row r="553" ht="24" customHeight="1">
      <c r="A553" s="24" t="inlineStr">
        <is>
          <t>OpenDART_fnlttSinglAcntAll</t>
        </is>
      </c>
      <c r="B553" s="24" t="inlineStr">
        <is>
          <t>00160843</t>
        </is>
      </c>
      <c r="C553" s="24" t="inlineStr">
        <is>
          <t>DB하이텍</t>
        </is>
      </c>
      <c r="D553" s="24" t="inlineStr">
        <is>
          <t>dbhitek</t>
        </is>
      </c>
      <c r="E553" s="24" t="inlineStr">
        <is>
          <t>000990</t>
        </is>
      </c>
      <c r="F553" s="24" t="inlineStr">
        <is>
          <t>2024</t>
        </is>
      </c>
      <c r="G553" s="24" t="inlineStr">
        <is>
          <t>CFS</t>
        </is>
      </c>
      <c r="H553" s="24" t="inlineStr">
        <is>
          <t>BS</t>
        </is>
      </c>
      <c r="I553" s="24" t="inlineStr">
        <is>
          <t>재무상태표</t>
        </is>
      </c>
      <c r="J553" s="24" t="inlineStr">
        <is>
          <t>ifrs-full_CurrentProvisions</t>
        </is>
      </c>
      <c r="K553" s="24" t="inlineStr">
        <is>
          <t>충당부채</t>
        </is>
      </c>
      <c r="L553" s="24" t="inlineStr">
        <is>
          <t>-</t>
        </is>
      </c>
      <c r="M553" s="24" t="inlineStr">
        <is>
          <t>제 72 기</t>
        </is>
      </c>
      <c r="N553" s="24" t="inlineStr">
        <is>
          <t>2583543400.0</t>
        </is>
      </c>
      <c r="O553" s="24" t="inlineStr">
        <is>
          <t>6125968499.0</t>
        </is>
      </c>
      <c r="P553" s="24" t="inlineStr">
        <is>
          <t>KRW</t>
        </is>
      </c>
      <c r="Q553" s="24" t="inlineStr">
        <is>
          <t>44</t>
        </is>
      </c>
    </row>
    <row r="554" ht="24" customHeight="1">
      <c r="A554" s="29" t="inlineStr">
        <is>
          <t>OpenDART_fnlttSinglAcntAll</t>
        </is>
      </c>
      <c r="B554" s="29" t="inlineStr">
        <is>
          <t>00160843</t>
        </is>
      </c>
      <c r="C554" s="29" t="inlineStr">
        <is>
          <t>DB하이텍</t>
        </is>
      </c>
      <c r="D554" s="29" t="inlineStr">
        <is>
          <t>dbhitek</t>
        </is>
      </c>
      <c r="E554" s="29" t="inlineStr">
        <is>
          <t>000990</t>
        </is>
      </c>
      <c r="F554" s="29" t="inlineStr">
        <is>
          <t>2024</t>
        </is>
      </c>
      <c r="G554" s="29" t="inlineStr">
        <is>
          <t>CFS</t>
        </is>
      </c>
      <c r="H554" s="29" t="inlineStr">
        <is>
          <t>BS</t>
        </is>
      </c>
      <c r="I554" s="29" t="inlineStr">
        <is>
          <t>재무상태표</t>
        </is>
      </c>
      <c r="J554" s="29" t="inlineStr">
        <is>
          <t>ifrs-full_CurrentTaxLiabilities</t>
        </is>
      </c>
      <c r="K554" s="29" t="inlineStr">
        <is>
          <t>당기법인세부채</t>
        </is>
      </c>
      <c r="L554" s="29" t="inlineStr">
        <is>
          <t>-</t>
        </is>
      </c>
      <c r="M554" s="29" t="inlineStr">
        <is>
          <t>제 72 기</t>
        </is>
      </c>
      <c r="N554" s="29" t="inlineStr">
        <is>
          <t>27349620191.0</t>
        </is>
      </c>
      <c r="O554" s="29" t="inlineStr">
        <is>
          <t>7044659049.0</t>
        </is>
      </c>
      <c r="P554" s="29" t="inlineStr">
        <is>
          <t>KRW</t>
        </is>
      </c>
      <c r="Q554" s="29" t="inlineStr">
        <is>
          <t>45</t>
        </is>
      </c>
    </row>
    <row r="555" ht="24" customHeight="1">
      <c r="A555" s="24" t="inlineStr">
        <is>
          <t>OpenDART_fnlttSinglAcntAll</t>
        </is>
      </c>
      <c r="B555" s="24" t="inlineStr">
        <is>
          <t>00160843</t>
        </is>
      </c>
      <c r="C555" s="24" t="inlineStr">
        <is>
          <t>DB하이텍</t>
        </is>
      </c>
      <c r="D555" s="24" t="inlineStr">
        <is>
          <t>dbhitek</t>
        </is>
      </c>
      <c r="E555" s="24" t="inlineStr">
        <is>
          <t>000990</t>
        </is>
      </c>
      <c r="F555" s="24" t="inlineStr">
        <is>
          <t>2024</t>
        </is>
      </c>
      <c r="G555" s="24" t="inlineStr">
        <is>
          <t>CFS</t>
        </is>
      </c>
      <c r="H555" s="24" t="inlineStr">
        <is>
          <t>BS</t>
        </is>
      </c>
      <c r="I555" s="24" t="inlineStr">
        <is>
          <t>재무상태표</t>
        </is>
      </c>
      <c r="J555" s="24" t="inlineStr">
        <is>
          <t>ifrs-full_OtherCurrentFinancialLiabilities</t>
        </is>
      </c>
      <c r="K555" s="24" t="inlineStr">
        <is>
          <t>기타금융부채</t>
        </is>
      </c>
      <c r="L555" s="24" t="inlineStr">
        <is>
          <t>-</t>
        </is>
      </c>
      <c r="M555" s="24" t="inlineStr">
        <is>
          <t>제 72 기</t>
        </is>
      </c>
      <c r="N555" s="24" t="inlineStr">
        <is>
          <t>6552734967.0</t>
        </is>
      </c>
      <c r="O555" s="24" t="inlineStr">
        <is>
          <t>5822271519.0</t>
        </is>
      </c>
      <c r="P555" s="24" t="inlineStr">
        <is>
          <t>KRW</t>
        </is>
      </c>
      <c r="Q555" s="24" t="inlineStr">
        <is>
          <t>46</t>
        </is>
      </c>
    </row>
    <row r="556" ht="24" customHeight="1">
      <c r="A556" s="29" t="inlineStr">
        <is>
          <t>OpenDART_fnlttSinglAcntAll</t>
        </is>
      </c>
      <c r="B556" s="29" t="inlineStr">
        <is>
          <t>00160843</t>
        </is>
      </c>
      <c r="C556" s="29" t="inlineStr">
        <is>
          <t>DB하이텍</t>
        </is>
      </c>
      <c r="D556" s="29" t="inlineStr">
        <is>
          <t>dbhitek</t>
        </is>
      </c>
      <c r="E556" s="29" t="inlineStr">
        <is>
          <t>000990</t>
        </is>
      </c>
      <c r="F556" s="29" t="inlineStr">
        <is>
          <t>2024</t>
        </is>
      </c>
      <c r="G556" s="29" t="inlineStr">
        <is>
          <t>CFS</t>
        </is>
      </c>
      <c r="H556" s="29" t="inlineStr">
        <is>
          <t>BS</t>
        </is>
      </c>
      <c r="I556" s="29" t="inlineStr">
        <is>
          <t>재무상태표</t>
        </is>
      </c>
      <c r="J556" s="29" t="inlineStr">
        <is>
          <t>ifrs-full_OtherCurrentLiabilities</t>
        </is>
      </c>
      <c r="K556" s="29" t="inlineStr">
        <is>
          <t>기타 유동부채</t>
        </is>
      </c>
      <c r="L556" s="29" t="inlineStr">
        <is>
          <t>-</t>
        </is>
      </c>
      <c r="M556" s="29" t="inlineStr">
        <is>
          <t>제 72 기</t>
        </is>
      </c>
      <c r="N556" s="29" t="inlineStr">
        <is>
          <t>32926801359.0</t>
        </is>
      </c>
      <c r="O556" s="29" t="inlineStr">
        <is>
          <t>32515091119.0</t>
        </is>
      </c>
      <c r="P556" s="29" t="inlineStr">
        <is>
          <t>KRW</t>
        </is>
      </c>
      <c r="Q556" s="29" t="inlineStr">
        <is>
          <t>47</t>
        </is>
      </c>
    </row>
    <row r="557" ht="24" customHeight="1">
      <c r="A557" s="24" t="inlineStr">
        <is>
          <t>OpenDART_fnlttSinglAcntAll</t>
        </is>
      </c>
      <c r="B557" s="24" t="inlineStr">
        <is>
          <t>00160843</t>
        </is>
      </c>
      <c r="C557" s="24" t="inlineStr">
        <is>
          <t>DB하이텍</t>
        </is>
      </c>
      <c r="D557" s="24" t="inlineStr">
        <is>
          <t>dbhitek</t>
        </is>
      </c>
      <c r="E557" s="24" t="inlineStr">
        <is>
          <t>000990</t>
        </is>
      </c>
      <c r="F557" s="24" t="inlineStr">
        <is>
          <t>2024</t>
        </is>
      </c>
      <c r="G557" s="24" t="inlineStr">
        <is>
          <t>CFS</t>
        </is>
      </c>
      <c r="H557" s="24" t="inlineStr">
        <is>
          <t>BS</t>
        </is>
      </c>
      <c r="I557" s="24" t="inlineStr">
        <is>
          <t>재무상태표</t>
        </is>
      </c>
      <c r="J557" s="24" t="inlineStr">
        <is>
          <t>ifrs-full_ShorttermBorrowings</t>
        </is>
      </c>
      <c r="K557" s="24" t="inlineStr">
        <is>
          <t>단기차입금</t>
        </is>
      </c>
      <c r="L557" s="24" t="inlineStr">
        <is>
          <t>-</t>
        </is>
      </c>
      <c r="M557" s="24" t="inlineStr">
        <is>
          <t>제 72 기</t>
        </is>
      </c>
      <c r="N557" s="24" t="inlineStr">
        <is>
          <t>90486731143.0</t>
        </is>
      </c>
      <c r="O557" s="24" t="inlineStr">
        <is>
          <t>13123799237.0</t>
        </is>
      </c>
      <c r="P557" s="24" t="inlineStr">
        <is>
          <t>KRW</t>
        </is>
      </c>
      <c r="Q557" s="24" t="inlineStr">
        <is>
          <t>48</t>
        </is>
      </c>
    </row>
    <row r="558" ht="24" customHeight="1">
      <c r="A558" s="29" t="inlineStr">
        <is>
          <t>OpenDART_fnlttSinglAcntAll</t>
        </is>
      </c>
      <c r="B558" s="29" t="inlineStr">
        <is>
          <t>00160843</t>
        </is>
      </c>
      <c r="C558" s="29" t="inlineStr">
        <is>
          <t>DB하이텍</t>
        </is>
      </c>
      <c r="D558" s="29" t="inlineStr">
        <is>
          <t>dbhitek</t>
        </is>
      </c>
      <c r="E558" s="29" t="inlineStr">
        <is>
          <t>000990</t>
        </is>
      </c>
      <c r="F558" s="29" t="inlineStr">
        <is>
          <t>2024</t>
        </is>
      </c>
      <c r="G558" s="29" t="inlineStr">
        <is>
          <t>CFS</t>
        </is>
      </c>
      <c r="H558" s="29" t="inlineStr">
        <is>
          <t>BS</t>
        </is>
      </c>
      <c r="I558" s="29" t="inlineStr">
        <is>
          <t>재무상태표</t>
        </is>
      </c>
      <c r="J558" s="29" t="inlineStr">
        <is>
          <t>ifrs-full_Liabilities</t>
        </is>
      </c>
      <c r="K558" s="29" t="inlineStr">
        <is>
          <t>부채총계</t>
        </is>
      </c>
      <c r="L558" s="29" t="inlineStr">
        <is>
          <t>-</t>
        </is>
      </c>
      <c r="M558" s="29" t="inlineStr">
        <is>
          <t>제 72 기</t>
        </is>
      </c>
      <c r="N558" s="29" t="inlineStr">
        <is>
          <t>396162364261.0</t>
        </is>
      </c>
      <c r="O558" s="29" t="inlineStr">
        <is>
          <t>303296256385.0</t>
        </is>
      </c>
      <c r="P558" s="29" t="inlineStr">
        <is>
          <t>KRW</t>
        </is>
      </c>
      <c r="Q558" s="29" t="inlineStr">
        <is>
          <t>49</t>
        </is>
      </c>
    </row>
    <row r="559" ht="24" customHeight="1">
      <c r="A559" s="24" t="inlineStr">
        <is>
          <t>OpenDART_fnlttSinglAcntAll</t>
        </is>
      </c>
      <c r="B559" s="24" t="inlineStr">
        <is>
          <t>00160843</t>
        </is>
      </c>
      <c r="C559" s="24" t="inlineStr">
        <is>
          <t>DB하이텍</t>
        </is>
      </c>
      <c r="D559" s="24" t="inlineStr">
        <is>
          <t>dbhitek</t>
        </is>
      </c>
      <c r="E559" s="24" t="inlineStr">
        <is>
          <t>000990</t>
        </is>
      </c>
      <c r="F559" s="24" t="inlineStr">
        <is>
          <t>2024</t>
        </is>
      </c>
      <c r="G559" s="24" t="inlineStr">
        <is>
          <t>CFS</t>
        </is>
      </c>
      <c r="H559" s="24" t="inlineStr">
        <is>
          <t>BS</t>
        </is>
      </c>
      <c r="I559" s="24" t="inlineStr">
        <is>
          <t>재무상태표</t>
        </is>
      </c>
      <c r="J559" s="24" t="inlineStr">
        <is>
          <t>ifrs-full_NoncurrentLiabilities</t>
        </is>
      </c>
      <c r="K559" s="24" t="inlineStr">
        <is>
          <t>비유동부채</t>
        </is>
      </c>
      <c r="L559" s="24" t="inlineStr">
        <is>
          <t>-</t>
        </is>
      </c>
      <c r="M559" s="24" t="inlineStr">
        <is>
          <t>제 72 기</t>
        </is>
      </c>
      <c r="N559" s="24" t="inlineStr">
        <is>
          <t>79295695384.0</t>
        </is>
      </c>
      <c r="O559" s="24" t="inlineStr">
        <is>
          <t>83145844152.0</t>
        </is>
      </c>
      <c r="P559" s="24" t="inlineStr">
        <is>
          <t>KRW</t>
        </is>
      </c>
      <c r="Q559" s="24" t="inlineStr">
        <is>
          <t>50</t>
        </is>
      </c>
    </row>
    <row r="560" ht="24" customHeight="1">
      <c r="A560" s="29" t="inlineStr">
        <is>
          <t>OpenDART_fnlttSinglAcntAll</t>
        </is>
      </c>
      <c r="B560" s="29" t="inlineStr">
        <is>
          <t>00160843</t>
        </is>
      </c>
      <c r="C560" s="29" t="inlineStr">
        <is>
          <t>DB하이텍</t>
        </is>
      </c>
      <c r="D560" s="29" t="inlineStr">
        <is>
          <t>dbhitek</t>
        </is>
      </c>
      <c r="E560" s="29" t="inlineStr">
        <is>
          <t>000990</t>
        </is>
      </c>
      <c r="F560" s="29" t="inlineStr">
        <is>
          <t>2024</t>
        </is>
      </c>
      <c r="G560" s="29" t="inlineStr">
        <is>
          <t>CFS</t>
        </is>
      </c>
      <c r="H560" s="29" t="inlineStr">
        <is>
          <t>BS</t>
        </is>
      </c>
      <c r="I560" s="29" t="inlineStr">
        <is>
          <t>재무상태표</t>
        </is>
      </c>
      <c r="J560" s="29" t="inlineStr">
        <is>
          <t>dart_NoncurrentNontradePayables</t>
        </is>
      </c>
      <c r="K560" s="29" t="inlineStr">
        <is>
          <t>장기기타지급채무</t>
        </is>
      </c>
      <c r="L560" s="29" t="inlineStr">
        <is>
          <t>-</t>
        </is>
      </c>
      <c r="M560" s="29" t="inlineStr">
        <is>
          <t>제 72 기</t>
        </is>
      </c>
      <c r="N560" s="29" t="inlineStr">
        <is>
          <t>5197994355.0</t>
        </is>
      </c>
      <c r="O560" s="29" t="inlineStr">
        <is>
          <t>8338537592.0</t>
        </is>
      </c>
      <c r="P560" s="29" t="inlineStr">
        <is>
          <t>KRW</t>
        </is>
      </c>
      <c r="Q560" s="29" t="inlineStr">
        <is>
          <t>51</t>
        </is>
      </c>
    </row>
    <row r="561" ht="24" customHeight="1">
      <c r="A561" s="24" t="inlineStr">
        <is>
          <t>OpenDART_fnlttSinglAcntAll</t>
        </is>
      </c>
      <c r="B561" s="24" t="inlineStr">
        <is>
          <t>00160843</t>
        </is>
      </c>
      <c r="C561" s="24" t="inlineStr">
        <is>
          <t>DB하이텍</t>
        </is>
      </c>
      <c r="D561" s="24" t="inlineStr">
        <is>
          <t>dbhitek</t>
        </is>
      </c>
      <c r="E561" s="24" t="inlineStr">
        <is>
          <t>000990</t>
        </is>
      </c>
      <c r="F561" s="24" t="inlineStr">
        <is>
          <t>2024</t>
        </is>
      </c>
      <c r="G561" s="24" t="inlineStr">
        <is>
          <t>CFS</t>
        </is>
      </c>
      <c r="H561" s="24" t="inlineStr">
        <is>
          <t>BS</t>
        </is>
      </c>
      <c r="I561" s="24" t="inlineStr">
        <is>
          <t>재무상태표</t>
        </is>
      </c>
      <c r="J561" s="24" t="inlineStr">
        <is>
          <t>dart_PostemploymentBenefitObligations</t>
        </is>
      </c>
      <c r="K561" s="24" t="inlineStr">
        <is>
          <t>순확정급여부채</t>
        </is>
      </c>
      <c r="L561" s="24" t="inlineStr">
        <is>
          <t>-</t>
        </is>
      </c>
      <c r="M561" s="24" t="inlineStr">
        <is>
          <t>제 72 기</t>
        </is>
      </c>
      <c r="N561" s="24" t="inlineStr">
        <is>
          <t>10687328132.0</t>
        </is>
      </c>
      <c r="O561" s="24" t="inlineStr">
        <is>
          <t>26367755.0</t>
        </is>
      </c>
      <c r="P561" s="24" t="inlineStr">
        <is>
          <t>KRW</t>
        </is>
      </c>
      <c r="Q561" s="24" t="inlineStr">
        <is>
          <t>52</t>
        </is>
      </c>
    </row>
    <row r="562" ht="24" customHeight="1">
      <c r="A562" s="29" t="inlineStr">
        <is>
          <t>OpenDART_fnlttSinglAcntAll</t>
        </is>
      </c>
      <c r="B562" s="29" t="inlineStr">
        <is>
          <t>00160843</t>
        </is>
      </c>
      <c r="C562" s="29" t="inlineStr">
        <is>
          <t>DB하이텍</t>
        </is>
      </c>
      <c r="D562" s="29" t="inlineStr">
        <is>
          <t>dbhitek</t>
        </is>
      </c>
      <c r="E562" s="29" t="inlineStr">
        <is>
          <t>000990</t>
        </is>
      </c>
      <c r="F562" s="29" t="inlineStr">
        <is>
          <t>2024</t>
        </is>
      </c>
      <c r="G562" s="29" t="inlineStr">
        <is>
          <t>CFS</t>
        </is>
      </c>
      <c r="H562" s="29" t="inlineStr">
        <is>
          <t>BS</t>
        </is>
      </c>
      <c r="I562" s="29" t="inlineStr">
        <is>
          <t>재무상태표</t>
        </is>
      </c>
      <c r="J562" s="29" t="inlineStr">
        <is>
          <t>-표준계정코드 미사용-</t>
        </is>
      </c>
      <c r="K562" s="29" t="inlineStr">
        <is>
          <t>기타장기종업원급여부채</t>
        </is>
      </c>
      <c r="L562" s="29" t="inlineStr">
        <is>
          <t>-</t>
        </is>
      </c>
      <c r="M562" s="29" t="inlineStr">
        <is>
          <t>제 72 기</t>
        </is>
      </c>
      <c r="N562" s="29" t="inlineStr">
        <is>
          <t>6372948497.0</t>
        </is>
      </c>
      <c r="O562" s="29" t="inlineStr">
        <is>
          <t>4996387874.0</t>
        </is>
      </c>
      <c r="P562" s="29" t="inlineStr">
        <is>
          <t>KRW</t>
        </is>
      </c>
      <c r="Q562" s="29" t="inlineStr">
        <is>
          <t>53</t>
        </is>
      </c>
    </row>
    <row r="563" ht="24" customHeight="1">
      <c r="A563" s="24" t="inlineStr">
        <is>
          <t>OpenDART_fnlttSinglAcntAll</t>
        </is>
      </c>
      <c r="B563" s="24" t="inlineStr">
        <is>
          <t>00160843</t>
        </is>
      </c>
      <c r="C563" s="24" t="inlineStr">
        <is>
          <t>DB하이텍</t>
        </is>
      </c>
      <c r="D563" s="24" t="inlineStr">
        <is>
          <t>dbhitek</t>
        </is>
      </c>
      <c r="E563" s="24" t="inlineStr">
        <is>
          <t>000990</t>
        </is>
      </c>
      <c r="F563" s="24" t="inlineStr">
        <is>
          <t>2024</t>
        </is>
      </c>
      <c r="G563" s="24" t="inlineStr">
        <is>
          <t>CFS</t>
        </is>
      </c>
      <c r="H563" s="24" t="inlineStr">
        <is>
          <t>BS</t>
        </is>
      </c>
      <c r="I563" s="24" t="inlineStr">
        <is>
          <t>재무상태표</t>
        </is>
      </c>
      <c r="J563" s="24" t="inlineStr">
        <is>
          <t>ifrs-full_DeferredTaxLiabilities</t>
        </is>
      </c>
      <c r="K563" s="24" t="inlineStr">
        <is>
          <t>이연법인세부채</t>
        </is>
      </c>
      <c r="L563" s="24" t="inlineStr">
        <is>
          <t>-</t>
        </is>
      </c>
      <c r="M563" s="24" t="inlineStr">
        <is>
          <t>제 72 기</t>
        </is>
      </c>
      <c r="N563" s="24" t="inlineStr">
        <is>
          <t>6299768683.0</t>
        </is>
      </c>
      <c r="O563" s="24" t="inlineStr">
        <is>
          <t>0.0</t>
        </is>
      </c>
      <c r="P563" s="24" t="inlineStr">
        <is>
          <t>KRW</t>
        </is>
      </c>
      <c r="Q563" s="24" t="inlineStr">
        <is>
          <t>54</t>
        </is>
      </c>
    </row>
    <row r="564" ht="24" customHeight="1">
      <c r="A564" s="29" t="inlineStr">
        <is>
          <t>OpenDART_fnlttSinglAcntAll</t>
        </is>
      </c>
      <c r="B564" s="29" t="inlineStr">
        <is>
          <t>00160843</t>
        </is>
      </c>
      <c r="C564" s="29" t="inlineStr">
        <is>
          <t>DB하이텍</t>
        </is>
      </c>
      <c r="D564" s="29" t="inlineStr">
        <is>
          <t>dbhitek</t>
        </is>
      </c>
      <c r="E564" s="29" t="inlineStr">
        <is>
          <t>000990</t>
        </is>
      </c>
      <c r="F564" s="29" t="inlineStr">
        <is>
          <t>2024</t>
        </is>
      </c>
      <c r="G564" s="29" t="inlineStr">
        <is>
          <t>CFS</t>
        </is>
      </c>
      <c r="H564" s="29" t="inlineStr">
        <is>
          <t>BS</t>
        </is>
      </c>
      <c r="I564" s="29" t="inlineStr">
        <is>
          <t>재무상태표</t>
        </is>
      </c>
      <c r="J564" s="29" t="inlineStr">
        <is>
          <t>ifrs-full_LongtermBorrowings</t>
        </is>
      </c>
      <c r="K564" s="29" t="inlineStr">
        <is>
          <t>장기차입금</t>
        </is>
      </c>
      <c r="L564" s="29" t="inlineStr">
        <is>
          <t>-</t>
        </is>
      </c>
      <c r="M564" s="29" t="inlineStr">
        <is>
          <t>제 72 기</t>
        </is>
      </c>
      <c r="N564" s="29" t="inlineStr">
        <is>
          <t>27000000000.0</t>
        </is>
      </c>
      <c r="O564" s="29" t="inlineStr">
        <is>
          <t>46833320000.0</t>
        </is>
      </c>
      <c r="P564" s="29" t="inlineStr">
        <is>
          <t>KRW</t>
        </is>
      </c>
      <c r="Q564" s="29" t="inlineStr">
        <is>
          <t>55</t>
        </is>
      </c>
    </row>
    <row r="565" ht="24" customHeight="1">
      <c r="A565" s="24" t="inlineStr">
        <is>
          <t>OpenDART_fnlttSinglAcntAll</t>
        </is>
      </c>
      <c r="B565" s="24" t="inlineStr">
        <is>
          <t>00160843</t>
        </is>
      </c>
      <c r="C565" s="24" t="inlineStr">
        <is>
          <t>DB하이텍</t>
        </is>
      </c>
      <c r="D565" s="24" t="inlineStr">
        <is>
          <t>dbhitek</t>
        </is>
      </c>
      <c r="E565" s="24" t="inlineStr">
        <is>
          <t>000990</t>
        </is>
      </c>
      <c r="F565" s="24" t="inlineStr">
        <is>
          <t>2024</t>
        </is>
      </c>
      <c r="G565" s="24" t="inlineStr">
        <is>
          <t>CFS</t>
        </is>
      </c>
      <c r="H565" s="24" t="inlineStr">
        <is>
          <t>BS</t>
        </is>
      </c>
      <c r="I565" s="24" t="inlineStr">
        <is>
          <t>재무상태표</t>
        </is>
      </c>
      <c r="J565" s="24" t="inlineStr">
        <is>
          <t>ifrs-full_NoncurrentProvisions</t>
        </is>
      </c>
      <c r="K565" s="24" t="inlineStr">
        <is>
          <t>장기충당부채</t>
        </is>
      </c>
      <c r="L565" s="24" t="inlineStr">
        <is>
          <t>-</t>
        </is>
      </c>
      <c r="M565" s="24" t="inlineStr">
        <is>
          <t>제 72 기</t>
        </is>
      </c>
      <c r="N565" s="24" t="inlineStr">
        <is>
          <t>476452067.0</t>
        </is>
      </c>
      <c r="O565" s="24" t="inlineStr">
        <is>
          <t>442044463.0</t>
        </is>
      </c>
      <c r="P565" s="24" t="inlineStr">
        <is>
          <t>KRW</t>
        </is>
      </c>
      <c r="Q565" s="24" t="inlineStr">
        <is>
          <t>56</t>
        </is>
      </c>
    </row>
    <row r="566" ht="24" customHeight="1">
      <c r="A566" s="29" t="inlineStr">
        <is>
          <t>OpenDART_fnlttSinglAcntAll</t>
        </is>
      </c>
      <c r="B566" s="29" t="inlineStr">
        <is>
          <t>00160843</t>
        </is>
      </c>
      <c r="C566" s="29" t="inlineStr">
        <is>
          <t>DB하이텍</t>
        </is>
      </c>
      <c r="D566" s="29" t="inlineStr">
        <is>
          <t>dbhitek</t>
        </is>
      </c>
      <c r="E566" s="29" t="inlineStr">
        <is>
          <t>000990</t>
        </is>
      </c>
      <c r="F566" s="29" t="inlineStr">
        <is>
          <t>2024</t>
        </is>
      </c>
      <c r="G566" s="29" t="inlineStr">
        <is>
          <t>CFS</t>
        </is>
      </c>
      <c r="H566" s="29" t="inlineStr">
        <is>
          <t>BS</t>
        </is>
      </c>
      <c r="I566" s="29" t="inlineStr">
        <is>
          <t>재무상태표</t>
        </is>
      </c>
      <c r="J566" s="29" t="inlineStr">
        <is>
          <t>ifrs-full_OtherNoncurrentFinancialLiabilities</t>
        </is>
      </c>
      <c r="K566" s="29" t="inlineStr">
        <is>
          <t>장기기타금융부채</t>
        </is>
      </c>
      <c r="L566" s="29" t="inlineStr">
        <is>
          <t>-</t>
        </is>
      </c>
      <c r="M566" s="29" t="inlineStr">
        <is>
          <t>제 72 기</t>
        </is>
      </c>
      <c r="N566" s="29" t="inlineStr">
        <is>
          <t>23261203650.0</t>
        </is>
      </c>
      <c r="O566" s="29" t="inlineStr">
        <is>
          <t>22509186468.0</t>
        </is>
      </c>
      <c r="P566" s="29" t="inlineStr">
        <is>
          <t>KRW</t>
        </is>
      </c>
      <c r="Q566" s="29" t="inlineStr">
        <is>
          <t>57</t>
        </is>
      </c>
    </row>
    <row r="567" ht="24" customHeight="1">
      <c r="A567" s="24" t="inlineStr">
        <is>
          <t>OpenDART_fnlttSinglAcntAll</t>
        </is>
      </c>
      <c r="B567" s="24" t="inlineStr">
        <is>
          <t>00160843</t>
        </is>
      </c>
      <c r="C567" s="24" t="inlineStr">
        <is>
          <t>DB하이텍</t>
        </is>
      </c>
      <c r="D567" s="24" t="inlineStr">
        <is>
          <t>dbhitek</t>
        </is>
      </c>
      <c r="E567" s="24" t="inlineStr">
        <is>
          <t>000990</t>
        </is>
      </c>
      <c r="F567" s="24" t="inlineStr">
        <is>
          <t>2024</t>
        </is>
      </c>
      <c r="G567" s="24" t="inlineStr">
        <is>
          <t>CFS</t>
        </is>
      </c>
      <c r="H567" s="24" t="inlineStr">
        <is>
          <t>IS</t>
        </is>
      </c>
      <c r="I567" s="24" t="inlineStr">
        <is>
          <t>손익계산서</t>
        </is>
      </c>
      <c r="J567" s="24" t="inlineStr">
        <is>
          <t>dart_ImpairmentLossesOnAssociates</t>
        </is>
      </c>
      <c r="K567" s="24" t="inlineStr">
        <is>
          <t>관계기업/공동기업투자손상차손</t>
        </is>
      </c>
      <c r="L567" s="24" t="inlineStr">
        <is>
          <t>-</t>
        </is>
      </c>
      <c r="M567" s="24" t="inlineStr">
        <is>
          <t>제 72 기</t>
        </is>
      </c>
      <c r="N567" s="24" t="inlineStr">
        <is>
          <t>0.0</t>
        </is>
      </c>
      <c r="O567" s="24" t="inlineStr">
        <is>
          <t>0.0</t>
        </is>
      </c>
      <c r="P567" s="24" t="inlineStr">
        <is>
          <t>KRW</t>
        </is>
      </c>
      <c r="Q567" s="24" t="inlineStr">
        <is>
          <t>6</t>
        </is>
      </c>
    </row>
    <row r="568" ht="24" customHeight="1">
      <c r="A568" s="29" t="inlineStr">
        <is>
          <t>OpenDART_fnlttSinglAcntAll</t>
        </is>
      </c>
      <c r="B568" s="29" t="inlineStr">
        <is>
          <t>00160843</t>
        </is>
      </c>
      <c r="C568" s="29" t="inlineStr">
        <is>
          <t>DB하이텍</t>
        </is>
      </c>
      <c r="D568" s="29" t="inlineStr">
        <is>
          <t>dbhitek</t>
        </is>
      </c>
      <c r="E568" s="29" t="inlineStr">
        <is>
          <t>000990</t>
        </is>
      </c>
      <c r="F568" s="29" t="inlineStr">
        <is>
          <t>2024</t>
        </is>
      </c>
      <c r="G568" s="29" t="inlineStr">
        <is>
          <t>CFS</t>
        </is>
      </c>
      <c r="H568" s="29" t="inlineStr">
        <is>
          <t>IS</t>
        </is>
      </c>
      <c r="I568" s="29" t="inlineStr">
        <is>
          <t>손익계산서</t>
        </is>
      </c>
      <c r="J568" s="29" t="inlineStr">
        <is>
          <t>dart_LossesOfAssociatesAndJointVenturesAccountedForUsingEquityMethod</t>
        </is>
      </c>
      <c r="K568" s="29" t="inlineStr">
        <is>
          <t>지분법손실</t>
        </is>
      </c>
      <c r="L568" s="29" t="inlineStr">
        <is>
          <t>-</t>
        </is>
      </c>
      <c r="M568" s="29" t="inlineStr">
        <is>
          <t>제 72 기</t>
        </is>
      </c>
      <c r="N568" s="29" t="inlineStr">
        <is>
          <t>0.0</t>
        </is>
      </c>
      <c r="O568" s="29" t="inlineStr">
        <is>
          <t>6404097647.0</t>
        </is>
      </c>
      <c r="P568" s="29" t="inlineStr">
        <is>
          <t>KRW</t>
        </is>
      </c>
      <c r="Q568" s="29" t="inlineStr">
        <is>
          <t>7</t>
        </is>
      </c>
    </row>
    <row r="569" ht="24" customHeight="1">
      <c r="A569" s="24" t="inlineStr">
        <is>
          <t>OpenDART_fnlttSinglAcntAll</t>
        </is>
      </c>
      <c r="B569" s="24" t="inlineStr">
        <is>
          <t>00160843</t>
        </is>
      </c>
      <c r="C569" s="24" t="inlineStr">
        <is>
          <t>DB하이텍</t>
        </is>
      </c>
      <c r="D569" s="24" t="inlineStr">
        <is>
          <t>dbhitek</t>
        </is>
      </c>
      <c r="E569" s="24" t="inlineStr">
        <is>
          <t>000990</t>
        </is>
      </c>
      <c r="F569" s="24" t="inlineStr">
        <is>
          <t>2024</t>
        </is>
      </c>
      <c r="G569" s="24" t="inlineStr">
        <is>
          <t>CFS</t>
        </is>
      </c>
      <c r="H569" s="24" t="inlineStr">
        <is>
          <t>IS</t>
        </is>
      </c>
      <c r="I569" s="24" t="inlineStr">
        <is>
          <t>손익계산서</t>
        </is>
      </c>
      <c r="J569" s="24" t="inlineStr">
        <is>
          <t>dart_OperatingIncomeLoss</t>
        </is>
      </c>
      <c r="K569" s="24" t="inlineStr">
        <is>
          <t>영업이익(손실)</t>
        </is>
      </c>
      <c r="L569" s="24" t="inlineStr">
        <is>
          <t>-</t>
        </is>
      </c>
      <c r="M569" s="24" t="inlineStr">
        <is>
          <t>제 72 기</t>
        </is>
      </c>
      <c r="N569" s="24" t="inlineStr">
        <is>
          <t>190838683363.0</t>
        </is>
      </c>
      <c r="O569" s="24" t="inlineStr">
        <is>
          <t>265437456373.0</t>
        </is>
      </c>
      <c r="P569" s="24" t="inlineStr">
        <is>
          <t>KRW</t>
        </is>
      </c>
      <c r="Q569" s="24" t="inlineStr">
        <is>
          <t>8</t>
        </is>
      </c>
    </row>
    <row r="570" ht="24" customHeight="1">
      <c r="A570" s="29" t="inlineStr">
        <is>
          <t>OpenDART_fnlttSinglAcntAll</t>
        </is>
      </c>
      <c r="B570" s="29" t="inlineStr">
        <is>
          <t>00160843</t>
        </is>
      </c>
      <c r="C570" s="29" t="inlineStr">
        <is>
          <t>DB하이텍</t>
        </is>
      </c>
      <c r="D570" s="29" t="inlineStr">
        <is>
          <t>dbhitek</t>
        </is>
      </c>
      <c r="E570" s="29" t="inlineStr">
        <is>
          <t>000990</t>
        </is>
      </c>
      <c r="F570" s="29" t="inlineStr">
        <is>
          <t>2024</t>
        </is>
      </c>
      <c r="G570" s="29" t="inlineStr">
        <is>
          <t>CFS</t>
        </is>
      </c>
      <c r="H570" s="29" t="inlineStr">
        <is>
          <t>IS</t>
        </is>
      </c>
      <c r="I570" s="29" t="inlineStr">
        <is>
          <t>손익계산서</t>
        </is>
      </c>
      <c r="J570" s="29" t="inlineStr">
        <is>
          <t>dart_OtherGains</t>
        </is>
      </c>
      <c r="K570" s="29" t="inlineStr">
        <is>
          <t>기타이익</t>
        </is>
      </c>
      <c r="L570" s="29" t="inlineStr">
        <is>
          <t>-</t>
        </is>
      </c>
      <c r="M570" s="29" t="inlineStr">
        <is>
          <t>제 72 기</t>
        </is>
      </c>
      <c r="N570" s="29" t="inlineStr">
        <is>
          <t>72280211039.0</t>
        </is>
      </c>
      <c r="O570" s="29" t="inlineStr">
        <is>
          <t>38210870129.0</t>
        </is>
      </c>
      <c r="P570" s="29" t="inlineStr">
        <is>
          <t>KRW</t>
        </is>
      </c>
      <c r="Q570" s="29" t="inlineStr">
        <is>
          <t>9</t>
        </is>
      </c>
    </row>
    <row r="571" ht="24" customHeight="1">
      <c r="A571" s="24" t="inlineStr">
        <is>
          <t>OpenDART_fnlttSinglAcntAll</t>
        </is>
      </c>
      <c r="B571" s="24" t="inlineStr">
        <is>
          <t>00160843</t>
        </is>
      </c>
      <c r="C571" s="24" t="inlineStr">
        <is>
          <t>DB하이텍</t>
        </is>
      </c>
      <c r="D571" s="24" t="inlineStr">
        <is>
          <t>dbhitek</t>
        </is>
      </c>
      <c r="E571" s="24" t="inlineStr">
        <is>
          <t>000990</t>
        </is>
      </c>
      <c r="F571" s="24" t="inlineStr">
        <is>
          <t>2024</t>
        </is>
      </c>
      <c r="G571" s="24" t="inlineStr">
        <is>
          <t>CFS</t>
        </is>
      </c>
      <c r="H571" s="24" t="inlineStr">
        <is>
          <t>IS</t>
        </is>
      </c>
      <c r="I571" s="24" t="inlineStr">
        <is>
          <t>손익계산서</t>
        </is>
      </c>
      <c r="J571" s="24" t="inlineStr">
        <is>
          <t>dart_OtherLosses</t>
        </is>
      </c>
      <c r="K571" s="24" t="inlineStr">
        <is>
          <t>기타손실</t>
        </is>
      </c>
      <c r="L571" s="24" t="inlineStr">
        <is>
          <t>-</t>
        </is>
      </c>
      <c r="M571" s="24" t="inlineStr">
        <is>
          <t>제 72 기</t>
        </is>
      </c>
      <c r="N571" s="24" t="inlineStr">
        <is>
          <t>22648919941.0</t>
        </is>
      </c>
      <c r="O571" s="24" t="inlineStr">
        <is>
          <t>24067450596.0</t>
        </is>
      </c>
      <c r="P571" s="24" t="inlineStr">
        <is>
          <t>KRW</t>
        </is>
      </c>
      <c r="Q571" s="24" t="inlineStr">
        <is>
          <t>10</t>
        </is>
      </c>
    </row>
    <row r="572" ht="24" customHeight="1">
      <c r="A572" s="29" t="inlineStr">
        <is>
          <t>OpenDART_fnlttSinglAcntAll</t>
        </is>
      </c>
      <c r="B572" s="29" t="inlineStr">
        <is>
          <t>00160843</t>
        </is>
      </c>
      <c r="C572" s="29" t="inlineStr">
        <is>
          <t>DB하이텍</t>
        </is>
      </c>
      <c r="D572" s="29" t="inlineStr">
        <is>
          <t>dbhitek</t>
        </is>
      </c>
      <c r="E572" s="29" t="inlineStr">
        <is>
          <t>000990</t>
        </is>
      </c>
      <c r="F572" s="29" t="inlineStr">
        <is>
          <t>2024</t>
        </is>
      </c>
      <c r="G572" s="29" t="inlineStr">
        <is>
          <t>CFS</t>
        </is>
      </c>
      <c r="H572" s="29" t="inlineStr">
        <is>
          <t>IS</t>
        </is>
      </c>
      <c r="I572" s="29" t="inlineStr">
        <is>
          <t>손익계산서</t>
        </is>
      </c>
      <c r="J572" s="29" t="inlineStr">
        <is>
          <t>dart_ProfitsOfAssociatesAndJointVenturesAccountedForUsingEquityMethod</t>
        </is>
      </c>
      <c r="K572" s="29" t="inlineStr">
        <is>
          <t>지분법이익</t>
        </is>
      </c>
      <c r="L572" s="29" t="inlineStr">
        <is>
          <t>-</t>
        </is>
      </c>
      <c r="M572" s="29" t="inlineStr">
        <is>
          <t>제 72 기</t>
        </is>
      </c>
      <c r="N572" s="29" t="inlineStr">
        <is>
          <t>24792060.0</t>
        </is>
      </c>
      <c r="O572" s="29" t="inlineStr">
        <is>
          <t>0.0</t>
        </is>
      </c>
      <c r="P572" s="29" t="inlineStr">
        <is>
          <t>KRW</t>
        </is>
      </c>
      <c r="Q572" s="29" t="inlineStr">
        <is>
          <t>11</t>
        </is>
      </c>
    </row>
    <row r="573" ht="24" customHeight="1">
      <c r="A573" s="24" t="inlineStr">
        <is>
          <t>OpenDART_fnlttSinglAcntAll</t>
        </is>
      </c>
      <c r="B573" s="24" t="inlineStr">
        <is>
          <t>00160843</t>
        </is>
      </c>
      <c r="C573" s="24" t="inlineStr">
        <is>
          <t>DB하이텍</t>
        </is>
      </c>
      <c r="D573" s="24" t="inlineStr">
        <is>
          <t>dbhitek</t>
        </is>
      </c>
      <c r="E573" s="24" t="inlineStr">
        <is>
          <t>000990</t>
        </is>
      </c>
      <c r="F573" s="24" t="inlineStr">
        <is>
          <t>2024</t>
        </is>
      </c>
      <c r="G573" s="24" t="inlineStr">
        <is>
          <t>CFS</t>
        </is>
      </c>
      <c r="H573" s="24" t="inlineStr">
        <is>
          <t>IS</t>
        </is>
      </c>
      <c r="I573" s="24" t="inlineStr">
        <is>
          <t>손익계산서</t>
        </is>
      </c>
      <c r="J573" s="24" t="inlineStr">
        <is>
          <t>dart_ReversalsOfImpairmentLossesOnAssociates</t>
        </is>
      </c>
      <c r="K573" s="24" t="inlineStr">
        <is>
          <t>관계기업/공동기업투자손상차손환입</t>
        </is>
      </c>
      <c r="L573" s="24" t="inlineStr">
        <is>
          <t>-</t>
        </is>
      </c>
      <c r="M573" s="24" t="inlineStr">
        <is>
          <t>제 72 기</t>
        </is>
      </c>
      <c r="N573" s="24" t="inlineStr">
        <is>
          <t>0.0</t>
        </is>
      </c>
      <c r="O573" s="24" t="inlineStr">
        <is>
          <t>0.0</t>
        </is>
      </c>
      <c r="P573" s="24" t="inlineStr">
        <is>
          <t>KRW</t>
        </is>
      </c>
      <c r="Q573" s="24" t="inlineStr">
        <is>
          <t>12</t>
        </is>
      </c>
    </row>
    <row r="574" ht="24" customHeight="1">
      <c r="A574" s="29" t="inlineStr">
        <is>
          <t>OpenDART_fnlttSinglAcntAll</t>
        </is>
      </c>
      <c r="B574" s="29" t="inlineStr">
        <is>
          <t>00160843</t>
        </is>
      </c>
      <c r="C574" s="29" t="inlineStr">
        <is>
          <t>DB하이텍</t>
        </is>
      </c>
      <c r="D574" s="29" t="inlineStr">
        <is>
          <t>dbhitek</t>
        </is>
      </c>
      <c r="E574" s="29" t="inlineStr">
        <is>
          <t>000990</t>
        </is>
      </c>
      <c r="F574" s="29" t="inlineStr">
        <is>
          <t>2024</t>
        </is>
      </c>
      <c r="G574" s="29" t="inlineStr">
        <is>
          <t>CFS</t>
        </is>
      </c>
      <c r="H574" s="29" t="inlineStr">
        <is>
          <t>IS</t>
        </is>
      </c>
      <c r="I574" s="29" t="inlineStr">
        <is>
          <t>손익계산서</t>
        </is>
      </c>
      <c r="J574" s="29" t="inlineStr">
        <is>
          <t>dart_TotalSellingGeneralAdministrativeExpenses</t>
        </is>
      </c>
      <c r="K574" s="29" t="inlineStr">
        <is>
          <t>판매비와관리비</t>
        </is>
      </c>
      <c r="L574" s="29" t="inlineStr">
        <is>
          <t>-</t>
        </is>
      </c>
      <c r="M574" s="29" t="inlineStr">
        <is>
          <t>제 72 기</t>
        </is>
      </c>
      <c r="N574" s="29" t="inlineStr">
        <is>
          <t>195998043470.0</t>
        </is>
      </c>
      <c r="O574" s="29" t="inlineStr">
        <is>
          <t>176581726069.0</t>
        </is>
      </c>
      <c r="P574" s="29" t="inlineStr">
        <is>
          <t>KRW</t>
        </is>
      </c>
      <c r="Q574" s="29" t="inlineStr">
        <is>
          <t>13</t>
        </is>
      </c>
    </row>
    <row r="575" ht="24" customHeight="1">
      <c r="A575" s="24" t="inlineStr">
        <is>
          <t>OpenDART_fnlttSinglAcntAll</t>
        </is>
      </c>
      <c r="B575" s="24" t="inlineStr">
        <is>
          <t>00160843</t>
        </is>
      </c>
      <c r="C575" s="24" t="inlineStr">
        <is>
          <t>DB하이텍</t>
        </is>
      </c>
      <c r="D575" s="24" t="inlineStr">
        <is>
          <t>dbhitek</t>
        </is>
      </c>
      <c r="E575" s="24" t="inlineStr">
        <is>
          <t>000990</t>
        </is>
      </c>
      <c r="F575" s="24" t="inlineStr">
        <is>
          <t>2024</t>
        </is>
      </c>
      <c r="G575" s="24" t="inlineStr">
        <is>
          <t>CFS</t>
        </is>
      </c>
      <c r="H575" s="24" t="inlineStr">
        <is>
          <t>IS</t>
        </is>
      </c>
      <c r="I575" s="24" t="inlineStr">
        <is>
          <t>손익계산서</t>
        </is>
      </c>
      <c r="J575" s="24" t="inlineStr">
        <is>
          <t>ifrs-full_CostOfSales</t>
        </is>
      </c>
      <c r="K575" s="24" t="inlineStr">
        <is>
          <t>매출원가</t>
        </is>
      </c>
      <c r="L575" s="24" t="inlineStr">
        <is>
          <t>-</t>
        </is>
      </c>
      <c r="M575" s="24" t="inlineStr">
        <is>
          <t>제 72 기</t>
        </is>
      </c>
      <c r="N575" s="24" t="inlineStr">
        <is>
          <t>744330982971.0</t>
        </is>
      </c>
      <c r="O575" s="24" t="inlineStr">
        <is>
          <t>712204456498.0</t>
        </is>
      </c>
      <c r="P575" s="24" t="inlineStr">
        <is>
          <t>KRW</t>
        </is>
      </c>
      <c r="Q575" s="24" t="inlineStr">
        <is>
          <t>14</t>
        </is>
      </c>
    </row>
    <row r="576" ht="24" customHeight="1">
      <c r="A576" s="29" t="inlineStr">
        <is>
          <t>OpenDART_fnlttSinglAcntAll</t>
        </is>
      </c>
      <c r="B576" s="29" t="inlineStr">
        <is>
          <t>00160843</t>
        </is>
      </c>
      <c r="C576" s="29" t="inlineStr">
        <is>
          <t>DB하이텍</t>
        </is>
      </c>
      <c r="D576" s="29" t="inlineStr">
        <is>
          <t>dbhitek</t>
        </is>
      </c>
      <c r="E576" s="29" t="inlineStr">
        <is>
          <t>000990</t>
        </is>
      </c>
      <c r="F576" s="29" t="inlineStr">
        <is>
          <t>2024</t>
        </is>
      </c>
      <c r="G576" s="29" t="inlineStr">
        <is>
          <t>CFS</t>
        </is>
      </c>
      <c r="H576" s="29" t="inlineStr">
        <is>
          <t>IS</t>
        </is>
      </c>
      <c r="I576" s="29" t="inlineStr">
        <is>
          <t>손익계산서</t>
        </is>
      </c>
      <c r="J576" s="29" t="inlineStr">
        <is>
          <t>ifrs-full_BasicEarningsLossPerShare</t>
        </is>
      </c>
      <c r="K576" s="29" t="inlineStr">
        <is>
          <t>기본주당이익(손실)</t>
        </is>
      </c>
      <c r="L576" s="29" t="inlineStr">
        <is>
          <t>-</t>
        </is>
      </c>
      <c r="M576" s="29" t="inlineStr">
        <is>
          <t>제 72 기</t>
        </is>
      </c>
      <c r="N576" s="29" t="inlineStr">
        <is>
          <t>5520.0</t>
        </is>
      </c>
      <c r="O576" s="29" t="inlineStr">
        <is>
          <t>6241.0</t>
        </is>
      </c>
      <c r="P576" s="29" t="inlineStr">
        <is>
          <t>KRW</t>
        </is>
      </c>
      <c r="Q576" s="29" t="inlineStr">
        <is>
          <t>16</t>
        </is>
      </c>
    </row>
    <row r="577" ht="24" customHeight="1">
      <c r="A577" s="24" t="inlineStr">
        <is>
          <t>OpenDART_fnlttSinglAcntAll</t>
        </is>
      </c>
      <c r="B577" s="24" t="inlineStr">
        <is>
          <t>00160843</t>
        </is>
      </c>
      <c r="C577" s="24" t="inlineStr">
        <is>
          <t>DB하이텍</t>
        </is>
      </c>
      <c r="D577" s="24" t="inlineStr">
        <is>
          <t>dbhitek</t>
        </is>
      </c>
      <c r="E577" s="24" t="inlineStr">
        <is>
          <t>000990</t>
        </is>
      </c>
      <c r="F577" s="24" t="inlineStr">
        <is>
          <t>2024</t>
        </is>
      </c>
      <c r="G577" s="24" t="inlineStr">
        <is>
          <t>CFS</t>
        </is>
      </c>
      <c r="H577" s="24" t="inlineStr">
        <is>
          <t>IS</t>
        </is>
      </c>
      <c r="I577" s="24" t="inlineStr">
        <is>
          <t>손익계산서</t>
        </is>
      </c>
      <c r="J577" s="24" t="inlineStr">
        <is>
          <t>ifrs-full_DilutedEarningsLossPerShare</t>
        </is>
      </c>
      <c r="K577" s="24" t="inlineStr">
        <is>
          <t>희석주당이익(손실)</t>
        </is>
      </c>
      <c r="L577" s="24" t="inlineStr">
        <is>
          <t>-</t>
        </is>
      </c>
      <c r="M577" s="24" t="inlineStr">
        <is>
          <t>제 72 기</t>
        </is>
      </c>
      <c r="N577" s="24" t="inlineStr">
        <is>
          <t>5520.0</t>
        </is>
      </c>
      <c r="O577" s="24" t="inlineStr">
        <is>
          <t>6241.0</t>
        </is>
      </c>
      <c r="P577" s="24" t="inlineStr">
        <is>
          <t>KRW</t>
        </is>
      </c>
      <c r="Q577" s="24" t="inlineStr">
        <is>
          <t>17</t>
        </is>
      </c>
    </row>
    <row r="578" ht="24" customHeight="1">
      <c r="A578" s="29" t="inlineStr">
        <is>
          <t>OpenDART_fnlttSinglAcntAll</t>
        </is>
      </c>
      <c r="B578" s="29" t="inlineStr">
        <is>
          <t>00160843</t>
        </is>
      </c>
      <c r="C578" s="29" t="inlineStr">
        <is>
          <t>DB하이텍</t>
        </is>
      </c>
      <c r="D578" s="29" t="inlineStr">
        <is>
          <t>dbhitek</t>
        </is>
      </c>
      <c r="E578" s="29" t="inlineStr">
        <is>
          <t>000990</t>
        </is>
      </c>
      <c r="F578" s="29" t="inlineStr">
        <is>
          <t>2024</t>
        </is>
      </c>
      <c r="G578" s="29" t="inlineStr">
        <is>
          <t>CFS</t>
        </is>
      </c>
      <c r="H578" s="29" t="inlineStr">
        <is>
          <t>IS</t>
        </is>
      </c>
      <c r="I578" s="29" t="inlineStr">
        <is>
          <t>손익계산서</t>
        </is>
      </c>
      <c r="J578" s="29" t="inlineStr">
        <is>
          <t>ifrs-full_FinanceCosts</t>
        </is>
      </c>
      <c r="K578" s="29" t="inlineStr">
        <is>
          <t>금융원가</t>
        </is>
      </c>
      <c r="L578" s="29" t="inlineStr">
        <is>
          <t>-</t>
        </is>
      </c>
      <c r="M578" s="29" t="inlineStr">
        <is>
          <t>제 72 기</t>
        </is>
      </c>
      <c r="N578" s="29" t="inlineStr">
        <is>
          <t>13484106457.0</t>
        </is>
      </c>
      <c r="O578" s="29" t="inlineStr">
        <is>
          <t>10636467274.0</t>
        </is>
      </c>
      <c r="P578" s="29" t="inlineStr">
        <is>
          <t>KRW</t>
        </is>
      </c>
      <c r="Q578" s="29" t="inlineStr">
        <is>
          <t>18</t>
        </is>
      </c>
    </row>
    <row r="579" ht="24" customHeight="1">
      <c r="A579" s="24" t="inlineStr">
        <is>
          <t>OpenDART_fnlttSinglAcntAll</t>
        </is>
      </c>
      <c r="B579" s="24" t="inlineStr">
        <is>
          <t>00160843</t>
        </is>
      </c>
      <c r="C579" s="24" t="inlineStr">
        <is>
          <t>DB하이텍</t>
        </is>
      </c>
      <c r="D579" s="24" t="inlineStr">
        <is>
          <t>dbhitek</t>
        </is>
      </c>
      <c r="E579" s="24" t="inlineStr">
        <is>
          <t>000990</t>
        </is>
      </c>
      <c r="F579" s="24" t="inlineStr">
        <is>
          <t>2024</t>
        </is>
      </c>
      <c r="G579" s="24" t="inlineStr">
        <is>
          <t>CFS</t>
        </is>
      </c>
      <c r="H579" s="24" t="inlineStr">
        <is>
          <t>IS</t>
        </is>
      </c>
      <c r="I579" s="24" t="inlineStr">
        <is>
          <t>손익계산서</t>
        </is>
      </c>
      <c r="J579" s="24" t="inlineStr">
        <is>
          <t>ifrs-full_FinanceIncome</t>
        </is>
      </c>
      <c r="K579" s="24" t="inlineStr">
        <is>
          <t>금융수익</t>
        </is>
      </c>
      <c r="L579" s="24" t="inlineStr">
        <is>
          <t>-</t>
        </is>
      </c>
      <c r="M579" s="24" t="inlineStr">
        <is>
          <t>제 72 기</t>
        </is>
      </c>
      <c r="N579" s="24" t="inlineStr">
        <is>
          <t>48832126963.0</t>
        </is>
      </c>
      <c r="O579" s="24" t="inlineStr">
        <is>
          <t>43359948391.0</t>
        </is>
      </c>
      <c r="P579" s="24" t="inlineStr">
        <is>
          <t>KRW</t>
        </is>
      </c>
      <c r="Q579" s="24" t="inlineStr">
        <is>
          <t>19</t>
        </is>
      </c>
    </row>
    <row r="580" ht="24" customHeight="1">
      <c r="A580" s="29" t="inlineStr">
        <is>
          <t>OpenDART_fnlttSinglAcntAll</t>
        </is>
      </c>
      <c r="B580" s="29" t="inlineStr">
        <is>
          <t>00160843</t>
        </is>
      </c>
      <c r="C580" s="29" t="inlineStr">
        <is>
          <t>DB하이텍</t>
        </is>
      </c>
      <c r="D580" s="29" t="inlineStr">
        <is>
          <t>dbhitek</t>
        </is>
      </c>
      <c r="E580" s="29" t="inlineStr">
        <is>
          <t>000990</t>
        </is>
      </c>
      <c r="F580" s="29" t="inlineStr">
        <is>
          <t>2024</t>
        </is>
      </c>
      <c r="G580" s="29" t="inlineStr">
        <is>
          <t>CFS</t>
        </is>
      </c>
      <c r="H580" s="29" t="inlineStr">
        <is>
          <t>IS</t>
        </is>
      </c>
      <c r="I580" s="29" t="inlineStr">
        <is>
          <t>손익계산서</t>
        </is>
      </c>
      <c r="J580" s="29" t="inlineStr">
        <is>
          <t>ifrs-full_GrossProfit</t>
        </is>
      </c>
      <c r="K580" s="29" t="inlineStr">
        <is>
          <t>매출총이익</t>
        </is>
      </c>
      <c r="L580" s="29" t="inlineStr">
        <is>
          <t>-</t>
        </is>
      </c>
      <c r="M580" s="29" t="inlineStr">
        <is>
          <t>제 72 기</t>
        </is>
      </c>
      <c r="N580" s="29" t="inlineStr">
        <is>
          <t>386836726833.0</t>
        </is>
      </c>
      <c r="O580" s="29" t="inlineStr">
        <is>
          <t>442019182442.0</t>
        </is>
      </c>
      <c r="P580" s="29" t="inlineStr">
        <is>
          <t>KRW</t>
        </is>
      </c>
      <c r="Q580" s="29" t="inlineStr">
        <is>
          <t>20</t>
        </is>
      </c>
    </row>
    <row r="581" ht="24" customHeight="1">
      <c r="A581" s="24" t="inlineStr">
        <is>
          <t>OpenDART_fnlttSinglAcntAll</t>
        </is>
      </c>
      <c r="B581" s="24" t="inlineStr">
        <is>
          <t>00160843</t>
        </is>
      </c>
      <c r="C581" s="24" t="inlineStr">
        <is>
          <t>DB하이텍</t>
        </is>
      </c>
      <c r="D581" s="24" t="inlineStr">
        <is>
          <t>dbhitek</t>
        </is>
      </c>
      <c r="E581" s="24" t="inlineStr">
        <is>
          <t>000990</t>
        </is>
      </c>
      <c r="F581" s="24" t="inlineStr">
        <is>
          <t>2024</t>
        </is>
      </c>
      <c r="G581" s="24" t="inlineStr">
        <is>
          <t>CFS</t>
        </is>
      </c>
      <c r="H581" s="24" t="inlineStr">
        <is>
          <t>IS</t>
        </is>
      </c>
      <c r="I581" s="24" t="inlineStr">
        <is>
          <t>손익계산서</t>
        </is>
      </c>
      <c r="J581" s="24" t="inlineStr">
        <is>
          <t>ifrs-full_IncomeTaxExpenseContinuingOperations</t>
        </is>
      </c>
      <c r="K581" s="24" t="inlineStr">
        <is>
          <t>법인세비용(수익)</t>
        </is>
      </c>
      <c r="L581" s="24" t="inlineStr">
        <is>
          <t>-</t>
        </is>
      </c>
      <c r="M581" s="24" t="inlineStr">
        <is>
          <t>제 72 기</t>
        </is>
      </c>
      <c r="N581" s="24" t="inlineStr">
        <is>
          <t>46456898672.0</t>
        </is>
      </c>
      <c r="O581" s="24" t="inlineStr">
        <is>
          <t>41751008397.0</t>
        </is>
      </c>
      <c r="P581" s="24" t="inlineStr">
        <is>
          <t>KRW</t>
        </is>
      </c>
      <c r="Q581" s="24" t="inlineStr">
        <is>
          <t>21</t>
        </is>
      </c>
    </row>
    <row r="582" ht="24" customHeight="1">
      <c r="A582" s="29" t="inlineStr">
        <is>
          <t>OpenDART_fnlttSinglAcntAll</t>
        </is>
      </c>
      <c r="B582" s="29" t="inlineStr">
        <is>
          <t>00160843</t>
        </is>
      </c>
      <c r="C582" s="29" t="inlineStr">
        <is>
          <t>DB하이텍</t>
        </is>
      </c>
      <c r="D582" s="29" t="inlineStr">
        <is>
          <t>dbhitek</t>
        </is>
      </c>
      <c r="E582" s="29" t="inlineStr">
        <is>
          <t>000990</t>
        </is>
      </c>
      <c r="F582" s="29" t="inlineStr">
        <is>
          <t>2024</t>
        </is>
      </c>
      <c r="G582" s="29" t="inlineStr">
        <is>
          <t>CFS</t>
        </is>
      </c>
      <c r="H582" s="29" t="inlineStr">
        <is>
          <t>IS</t>
        </is>
      </c>
      <c r="I582" s="29" t="inlineStr">
        <is>
          <t>손익계산서</t>
        </is>
      </c>
      <c r="J582" s="29" t="inlineStr">
        <is>
          <t>ifrs-full_ProfitLoss</t>
        </is>
      </c>
      <c r="K582" s="29" t="inlineStr">
        <is>
          <t>당기순이익(손실)</t>
        </is>
      </c>
      <c r="L582" s="29" t="inlineStr">
        <is>
          <t>-</t>
        </is>
      </c>
      <c r="M582" s="29" t="inlineStr">
        <is>
          <t>제 72 기</t>
        </is>
      </c>
      <c r="N582" s="29" t="inlineStr">
        <is>
          <t>229385888355.0</t>
        </is>
      </c>
      <c r="O582" s="29" t="inlineStr">
        <is>
          <t>264149250979.0</t>
        </is>
      </c>
      <c r="P582" s="29" t="inlineStr">
        <is>
          <t>KRW</t>
        </is>
      </c>
      <c r="Q582" s="29" t="inlineStr">
        <is>
          <t>22</t>
        </is>
      </c>
    </row>
    <row r="583" ht="24" customHeight="1">
      <c r="A583" s="24" t="inlineStr">
        <is>
          <t>OpenDART_fnlttSinglAcntAll</t>
        </is>
      </c>
      <c r="B583" s="24" t="inlineStr">
        <is>
          <t>00160843</t>
        </is>
      </c>
      <c r="C583" s="24" t="inlineStr">
        <is>
          <t>DB하이텍</t>
        </is>
      </c>
      <c r="D583" s="24" t="inlineStr">
        <is>
          <t>dbhitek</t>
        </is>
      </c>
      <c r="E583" s="24" t="inlineStr">
        <is>
          <t>000990</t>
        </is>
      </c>
      <c r="F583" s="24" t="inlineStr">
        <is>
          <t>2024</t>
        </is>
      </c>
      <c r="G583" s="24" t="inlineStr">
        <is>
          <t>CFS</t>
        </is>
      </c>
      <c r="H583" s="24" t="inlineStr">
        <is>
          <t>IS</t>
        </is>
      </c>
      <c r="I583" s="24" t="inlineStr">
        <is>
          <t>손익계산서</t>
        </is>
      </c>
      <c r="J583" s="24" t="inlineStr">
        <is>
          <t>ifrs-full_ProfitLossAttributableToNoncontrollingInterests</t>
        </is>
      </c>
      <c r="K583" s="24" t="inlineStr">
        <is>
          <t>비지배지분에 귀속되는 당기순이익(손실)</t>
        </is>
      </c>
      <c r="L583" s="24" t="inlineStr">
        <is>
          <t>-</t>
        </is>
      </c>
      <c r="M583" s="24" t="inlineStr">
        <is>
          <t>제 72 기</t>
        </is>
      </c>
      <c r="N583" s="24" t="inlineStr">
        <is>
          <t>-87727032.0</t>
        </is>
      </c>
      <c r="O583" s="24" t="inlineStr">
        <is>
          <t>0.0</t>
        </is>
      </c>
      <c r="P583" s="24" t="inlineStr">
        <is>
          <t>KRW</t>
        </is>
      </c>
      <c r="Q583" s="24" t="inlineStr">
        <is>
          <t>24</t>
        </is>
      </c>
    </row>
    <row r="584" ht="24" customHeight="1">
      <c r="A584" s="29" t="inlineStr">
        <is>
          <t>OpenDART_fnlttSinglAcntAll</t>
        </is>
      </c>
      <c r="B584" s="29" t="inlineStr">
        <is>
          <t>00160843</t>
        </is>
      </c>
      <c r="C584" s="29" t="inlineStr">
        <is>
          <t>DB하이텍</t>
        </is>
      </c>
      <c r="D584" s="29" t="inlineStr">
        <is>
          <t>dbhitek</t>
        </is>
      </c>
      <c r="E584" s="29" t="inlineStr">
        <is>
          <t>000990</t>
        </is>
      </c>
      <c r="F584" s="29" t="inlineStr">
        <is>
          <t>2024</t>
        </is>
      </c>
      <c r="G584" s="29" t="inlineStr">
        <is>
          <t>CFS</t>
        </is>
      </c>
      <c r="H584" s="29" t="inlineStr">
        <is>
          <t>IS</t>
        </is>
      </c>
      <c r="I584" s="29" t="inlineStr">
        <is>
          <t>손익계산서</t>
        </is>
      </c>
      <c r="J584" s="29" t="inlineStr">
        <is>
          <t>ifrs-full_ProfitLossAttributableToOwnersOfParent</t>
        </is>
      </c>
      <c r="K584" s="29" t="inlineStr">
        <is>
          <t>지배기업의 소유주에게 귀속되는 당기순이익(손실)</t>
        </is>
      </c>
      <c r="L584" s="29" t="inlineStr">
        <is>
          <t>-</t>
        </is>
      </c>
      <c r="M584" s="29" t="inlineStr">
        <is>
          <t>제 72 기</t>
        </is>
      </c>
      <c r="N584" s="29" t="inlineStr">
        <is>
          <t>229473615387.0</t>
        </is>
      </c>
      <c r="O584" s="29" t="inlineStr">
        <is>
          <t>264149250979.0</t>
        </is>
      </c>
      <c r="P584" s="29" t="inlineStr">
        <is>
          <t>KRW</t>
        </is>
      </c>
      <c r="Q584" s="29" t="inlineStr">
        <is>
          <t>25</t>
        </is>
      </c>
    </row>
    <row r="585" ht="24" customHeight="1">
      <c r="A585" s="24" t="inlineStr">
        <is>
          <t>OpenDART_fnlttSinglAcntAll</t>
        </is>
      </c>
      <c r="B585" s="24" t="inlineStr">
        <is>
          <t>00160843</t>
        </is>
      </c>
      <c r="C585" s="24" t="inlineStr">
        <is>
          <t>DB하이텍</t>
        </is>
      </c>
      <c r="D585" s="24" t="inlineStr">
        <is>
          <t>dbhitek</t>
        </is>
      </c>
      <c r="E585" s="24" t="inlineStr">
        <is>
          <t>000990</t>
        </is>
      </c>
      <c r="F585" s="24" t="inlineStr">
        <is>
          <t>2024</t>
        </is>
      </c>
      <c r="G585" s="24" t="inlineStr">
        <is>
          <t>CFS</t>
        </is>
      </c>
      <c r="H585" s="24" t="inlineStr">
        <is>
          <t>IS</t>
        </is>
      </c>
      <c r="I585" s="24" t="inlineStr">
        <is>
          <t>손익계산서</t>
        </is>
      </c>
      <c r="J585" s="24" t="inlineStr">
        <is>
          <t>ifrs-full_ProfitLossBeforeTax</t>
        </is>
      </c>
      <c r="K585" s="24" t="inlineStr">
        <is>
          <t>법인세비용차감전순이익(손실)</t>
        </is>
      </c>
      <c r="L585" s="24" t="inlineStr">
        <is>
          <t>-</t>
        </is>
      </c>
      <c r="M585" s="24" t="inlineStr">
        <is>
          <t>제 72 기</t>
        </is>
      </c>
      <c r="N585" s="24" t="inlineStr">
        <is>
          <t>275842787027.0</t>
        </is>
      </c>
      <c r="O585" s="24" t="inlineStr">
        <is>
          <t>305900259376.0</t>
        </is>
      </c>
      <c r="P585" s="24" t="inlineStr">
        <is>
          <t>KRW</t>
        </is>
      </c>
      <c r="Q585" s="24" t="inlineStr">
        <is>
          <t>26</t>
        </is>
      </c>
    </row>
    <row r="586" ht="24" customHeight="1">
      <c r="A586" s="29" t="inlineStr">
        <is>
          <t>OpenDART_fnlttSinglAcntAll</t>
        </is>
      </c>
      <c r="B586" s="29" t="inlineStr">
        <is>
          <t>00160843</t>
        </is>
      </c>
      <c r="C586" s="29" t="inlineStr">
        <is>
          <t>DB하이텍</t>
        </is>
      </c>
      <c r="D586" s="29" t="inlineStr">
        <is>
          <t>dbhitek</t>
        </is>
      </c>
      <c r="E586" s="29" t="inlineStr">
        <is>
          <t>000990</t>
        </is>
      </c>
      <c r="F586" s="29" t="inlineStr">
        <is>
          <t>2024</t>
        </is>
      </c>
      <c r="G586" s="29" t="inlineStr">
        <is>
          <t>CFS</t>
        </is>
      </c>
      <c r="H586" s="29" t="inlineStr">
        <is>
          <t>IS</t>
        </is>
      </c>
      <c r="I586" s="29" t="inlineStr">
        <is>
          <t>손익계산서</t>
        </is>
      </c>
      <c r="J586" s="29" t="inlineStr">
        <is>
          <t>ifrs-full_Revenue</t>
        </is>
      </c>
      <c r="K586" s="29" t="inlineStr">
        <is>
          <t>수익(매출액)</t>
        </is>
      </c>
      <c r="L586" s="29" t="inlineStr">
        <is>
          <t>-</t>
        </is>
      </c>
      <c r="M586" s="29" t="inlineStr">
        <is>
          <t>제 72 기</t>
        </is>
      </c>
      <c r="N586" s="29" t="inlineStr">
        <is>
          <t>1131167709804.0</t>
        </is>
      </c>
      <c r="O586" s="29" t="inlineStr">
        <is>
          <t>1154223638940.0</t>
        </is>
      </c>
      <c r="P586" s="29" t="inlineStr">
        <is>
          <t>KRW</t>
        </is>
      </c>
      <c r="Q586" s="29" t="inlineStr">
        <is>
          <t>27</t>
        </is>
      </c>
    </row>
    <row r="587" ht="24" customHeight="1">
      <c r="A587" s="24" t="inlineStr">
        <is>
          <t>OpenDART_fnlttSinglAcntAll</t>
        </is>
      </c>
      <c r="B587" s="24" t="inlineStr">
        <is>
          <t>00160843</t>
        </is>
      </c>
      <c r="C587" s="24" t="inlineStr">
        <is>
          <t>DB하이텍</t>
        </is>
      </c>
      <c r="D587" s="24" t="inlineStr">
        <is>
          <t>dbhitek</t>
        </is>
      </c>
      <c r="E587" s="24" t="inlineStr">
        <is>
          <t>000990</t>
        </is>
      </c>
      <c r="F587" s="24" t="inlineStr">
        <is>
          <t>2024</t>
        </is>
      </c>
      <c r="G587" s="24" t="inlineStr">
        <is>
          <t>CFS</t>
        </is>
      </c>
      <c r="H587" s="24" t="inlineStr">
        <is>
          <t>CIS</t>
        </is>
      </c>
      <c r="I587" s="24" t="inlineStr">
        <is>
          <t>포괄손익계산서</t>
        </is>
      </c>
      <c r="J587" s="24" t="inlineStr">
        <is>
          <t>ifrs-full_ComprehensiveIncome</t>
        </is>
      </c>
      <c r="K587" s="24" t="inlineStr">
        <is>
          <t>총포괄손익</t>
        </is>
      </c>
      <c r="L587" s="24" t="inlineStr">
        <is>
          <t>-</t>
        </is>
      </c>
      <c r="M587" s="24" t="inlineStr">
        <is>
          <t>제 72 기</t>
        </is>
      </c>
      <c r="N587" s="24" t="inlineStr">
        <is>
          <t>237816812565.0</t>
        </is>
      </c>
      <c r="O587" s="24" t="inlineStr">
        <is>
          <t>262253237512.0</t>
        </is>
      </c>
      <c r="P587" s="24" t="inlineStr">
        <is>
          <t>KRW</t>
        </is>
      </c>
      <c r="Q587" s="24" t="inlineStr">
        <is>
          <t>6</t>
        </is>
      </c>
    </row>
    <row r="588" ht="24" customHeight="1">
      <c r="A588" s="29" t="inlineStr">
        <is>
          <t>OpenDART_fnlttSinglAcntAll</t>
        </is>
      </c>
      <c r="B588" s="29" t="inlineStr">
        <is>
          <t>00160843</t>
        </is>
      </c>
      <c r="C588" s="29" t="inlineStr">
        <is>
          <t>DB하이텍</t>
        </is>
      </c>
      <c r="D588" s="29" t="inlineStr">
        <is>
          <t>dbhitek</t>
        </is>
      </c>
      <c r="E588" s="29" t="inlineStr">
        <is>
          <t>000990</t>
        </is>
      </c>
      <c r="F588" s="29" t="inlineStr">
        <is>
          <t>2024</t>
        </is>
      </c>
      <c r="G588" s="29" t="inlineStr">
        <is>
          <t>CFS</t>
        </is>
      </c>
      <c r="H588" s="29" t="inlineStr">
        <is>
          <t>CIS</t>
        </is>
      </c>
      <c r="I588" s="29" t="inlineStr">
        <is>
          <t>포괄손익계산서</t>
        </is>
      </c>
      <c r="J588" s="29" t="inlineStr">
        <is>
          <t>ifrs-full_ComprehensiveIncomeAttributableToNoncontrollingInterests</t>
        </is>
      </c>
      <c r="K588" s="29" t="inlineStr">
        <is>
          <t>포괄손익, 비지배지분</t>
        </is>
      </c>
      <c r="L588" s="29" t="inlineStr">
        <is>
          <t>-</t>
        </is>
      </c>
      <c r="M588" s="29" t="inlineStr">
        <is>
          <t>제 72 기</t>
        </is>
      </c>
      <c r="N588" s="29" t="inlineStr">
        <is>
          <t>-87727032.0</t>
        </is>
      </c>
      <c r="O588" s="29" t="inlineStr">
        <is>
          <t>0.0</t>
        </is>
      </c>
      <c r="P588" s="29" t="inlineStr">
        <is>
          <t>KRW</t>
        </is>
      </c>
      <c r="Q588" s="29" t="inlineStr">
        <is>
          <t>8</t>
        </is>
      </c>
    </row>
    <row r="589" ht="24" customHeight="1">
      <c r="A589" s="24" t="inlineStr">
        <is>
          <t>OpenDART_fnlttSinglAcntAll</t>
        </is>
      </c>
      <c r="B589" s="24" t="inlineStr">
        <is>
          <t>00160843</t>
        </is>
      </c>
      <c r="C589" s="24" t="inlineStr">
        <is>
          <t>DB하이텍</t>
        </is>
      </c>
      <c r="D589" s="24" t="inlineStr">
        <is>
          <t>dbhitek</t>
        </is>
      </c>
      <c r="E589" s="24" t="inlineStr">
        <is>
          <t>000990</t>
        </is>
      </c>
      <c r="F589" s="24" t="inlineStr">
        <is>
          <t>2024</t>
        </is>
      </c>
      <c r="G589" s="24" t="inlineStr">
        <is>
          <t>CFS</t>
        </is>
      </c>
      <c r="H589" s="24" t="inlineStr">
        <is>
          <t>CIS</t>
        </is>
      </c>
      <c r="I589" s="24" t="inlineStr">
        <is>
          <t>포괄손익계산서</t>
        </is>
      </c>
      <c r="J589" s="24" t="inlineStr">
        <is>
          <t>ifrs-full_ComprehensiveIncomeAttributableToOwnersOfParent</t>
        </is>
      </c>
      <c r="K589" s="24" t="inlineStr">
        <is>
          <t>포괄손익, 지배기업의 소유주에게 귀속되는 지분</t>
        </is>
      </c>
      <c r="L589" s="24" t="inlineStr">
        <is>
          <t>-</t>
        </is>
      </c>
      <c r="M589" s="24" t="inlineStr">
        <is>
          <t>제 72 기</t>
        </is>
      </c>
      <c r="N589" s="24" t="inlineStr">
        <is>
          <t>237904539597.0</t>
        </is>
      </c>
      <c r="O589" s="24" t="inlineStr">
        <is>
          <t>262253237512.0</t>
        </is>
      </c>
      <c r="P589" s="24" t="inlineStr">
        <is>
          <t>KRW</t>
        </is>
      </c>
      <c r="Q589" s="24" t="inlineStr">
        <is>
          <t>9</t>
        </is>
      </c>
    </row>
    <row r="590" ht="24" customHeight="1">
      <c r="A590" s="29" t="inlineStr">
        <is>
          <t>OpenDART_fnlttSinglAcntAll</t>
        </is>
      </c>
      <c r="B590" s="29" t="inlineStr">
        <is>
          <t>00160843</t>
        </is>
      </c>
      <c r="C590" s="29" t="inlineStr">
        <is>
          <t>DB하이텍</t>
        </is>
      </c>
      <c r="D590" s="29" t="inlineStr">
        <is>
          <t>dbhitek</t>
        </is>
      </c>
      <c r="E590" s="29" t="inlineStr">
        <is>
          <t>000990</t>
        </is>
      </c>
      <c r="F590" s="29" t="inlineStr">
        <is>
          <t>2024</t>
        </is>
      </c>
      <c r="G590" s="29" t="inlineStr">
        <is>
          <t>CFS</t>
        </is>
      </c>
      <c r="H590" s="29" t="inlineStr">
        <is>
          <t>CIS</t>
        </is>
      </c>
      <c r="I590" s="29" t="inlineStr">
        <is>
          <t>포괄손익계산서</t>
        </is>
      </c>
      <c r="J590" s="29" t="inlineStr">
        <is>
          <t>ifrs-full_OtherComprehensiveIncome</t>
        </is>
      </c>
      <c r="K590" s="29" t="inlineStr">
        <is>
          <t>기타포괄손익</t>
        </is>
      </c>
      <c r="L590" s="29" t="inlineStr">
        <is>
          <t>-</t>
        </is>
      </c>
      <c r="M590" s="29" t="inlineStr">
        <is>
          <t>제 72 기</t>
        </is>
      </c>
      <c r="N590" s="29" t="inlineStr">
        <is>
          <t>8430924210.0</t>
        </is>
      </c>
      <c r="O590" s="29" t="inlineStr">
        <is>
          <t>-1896013467.0</t>
        </is>
      </c>
      <c r="P590" s="29" t="inlineStr">
        <is>
          <t>KRW</t>
        </is>
      </c>
      <c r="Q590" s="29" t="inlineStr">
        <is>
          <t>10</t>
        </is>
      </c>
    </row>
    <row r="591" ht="24" customHeight="1">
      <c r="A591" s="24" t="inlineStr">
        <is>
          <t>OpenDART_fnlttSinglAcntAll</t>
        </is>
      </c>
      <c r="B591" s="24" t="inlineStr">
        <is>
          <t>00160843</t>
        </is>
      </c>
      <c r="C591" s="24" t="inlineStr">
        <is>
          <t>DB하이텍</t>
        </is>
      </c>
      <c r="D591" s="24" t="inlineStr">
        <is>
          <t>dbhitek</t>
        </is>
      </c>
      <c r="E591" s="24" t="inlineStr">
        <is>
          <t>000990</t>
        </is>
      </c>
      <c r="F591" s="24" t="inlineStr">
        <is>
          <t>2024</t>
        </is>
      </c>
      <c r="G591" s="24" t="inlineStr">
        <is>
          <t>CFS</t>
        </is>
      </c>
      <c r="H591" s="24" t="inlineStr">
        <is>
          <t>CIS</t>
        </is>
      </c>
      <c r="I591" s="24" t="inlineStr">
        <is>
          <t>포괄손익계산서</t>
        </is>
      </c>
      <c r="J591" s="24" t="inlineStr">
        <is>
          <t>ifrs-full_OtherComprehensiveIncomeThatWillBeReclassifiedToProfitOrLossNetOfTax</t>
        </is>
      </c>
      <c r="K591" s="24" t="inlineStr">
        <is>
          <t>당기손익으로 재분류될 수 있는 항목(세후기타포괄손익)</t>
        </is>
      </c>
      <c r="L591" s="24" t="inlineStr">
        <is>
          <t>-</t>
        </is>
      </c>
      <c r="M591" s="24" t="inlineStr">
        <is>
          <t>제 72 기</t>
        </is>
      </c>
      <c r="N591" s="24" t="inlineStr">
        <is>
          <t>1919793811.0</t>
        </is>
      </c>
      <c r="O591" s="24" t="inlineStr">
        <is>
          <t>130823323.0</t>
        </is>
      </c>
      <c r="P591" s="24" t="inlineStr">
        <is>
          <t>KRW</t>
        </is>
      </c>
      <c r="Q591" s="24" t="inlineStr">
        <is>
          <t>11</t>
        </is>
      </c>
    </row>
    <row r="592" ht="24" customHeight="1">
      <c r="A592" s="29" t="inlineStr">
        <is>
          <t>OpenDART_fnlttSinglAcntAll</t>
        </is>
      </c>
      <c r="B592" s="29" t="inlineStr">
        <is>
          <t>00160843</t>
        </is>
      </c>
      <c r="C592" s="29" t="inlineStr">
        <is>
          <t>DB하이텍</t>
        </is>
      </c>
      <c r="D592" s="29" t="inlineStr">
        <is>
          <t>dbhitek</t>
        </is>
      </c>
      <c r="E592" s="29" t="inlineStr">
        <is>
          <t>000990</t>
        </is>
      </c>
      <c r="F592" s="29" t="inlineStr">
        <is>
          <t>2024</t>
        </is>
      </c>
      <c r="G592" s="29" t="inlineStr">
        <is>
          <t>CFS</t>
        </is>
      </c>
      <c r="H592" s="29" t="inlineStr">
        <is>
          <t>CIS</t>
        </is>
      </c>
      <c r="I592" s="29" t="inlineStr">
        <is>
          <t>포괄손익계산서</t>
        </is>
      </c>
      <c r="J592" s="29" t="inlineStr">
        <is>
          <t>ifrs-full_GainsLossesOnExchangeDifferencesOnTranslationNetOfTax</t>
        </is>
      </c>
      <c r="K592" s="29" t="inlineStr">
        <is>
          <t>해외사업장환산외환차이(세후기타포괄손익)</t>
        </is>
      </c>
      <c r="L592" s="29" t="inlineStr">
        <is>
          <t>-</t>
        </is>
      </c>
      <c r="M592" s="29" t="inlineStr">
        <is>
          <t>제 72 기</t>
        </is>
      </c>
      <c r="N592" s="29" t="inlineStr">
        <is>
          <t>891061188.0</t>
        </is>
      </c>
      <c r="O592" s="29" t="inlineStr">
        <is>
          <t>82463947.0</t>
        </is>
      </c>
      <c r="P592" s="29" t="inlineStr">
        <is>
          <t>KRW</t>
        </is>
      </c>
      <c r="Q592" s="29" t="inlineStr">
        <is>
          <t>12</t>
        </is>
      </c>
    </row>
    <row r="593" ht="24" customHeight="1">
      <c r="A593" s="24" t="inlineStr">
        <is>
          <t>OpenDART_fnlttSinglAcntAll</t>
        </is>
      </c>
      <c r="B593" s="24" t="inlineStr">
        <is>
          <t>00160843</t>
        </is>
      </c>
      <c r="C593" s="24" t="inlineStr">
        <is>
          <t>DB하이텍</t>
        </is>
      </c>
      <c r="D593" s="24" t="inlineStr">
        <is>
          <t>dbhitek</t>
        </is>
      </c>
      <c r="E593" s="24" t="inlineStr">
        <is>
          <t>000990</t>
        </is>
      </c>
      <c r="F593" s="24" t="inlineStr">
        <is>
          <t>2024</t>
        </is>
      </c>
      <c r="G593" s="24" t="inlineStr">
        <is>
          <t>CFS</t>
        </is>
      </c>
      <c r="H593" s="24" t="inlineStr">
        <is>
          <t>CIS</t>
        </is>
      </c>
      <c r="I593" s="24" t="inlineStr">
        <is>
          <t>포괄손익계산서</t>
        </is>
      </c>
      <c r="J593" s="24" t="inlineStr">
        <is>
          <t>ifrs-full_ShareOfOtherComprehensiveIncomeOfAssociatesAndJointVenturesAccountedForUsingEquityMethodThatWillBeReclassifiedToProfitOrLossNetOfTax</t>
        </is>
      </c>
      <c r="K593" s="24" t="inlineStr">
        <is>
          <t>지분법 적용대상 관계기업과 공동기업의 기타포괄손익에 대한 지분(세후기타포괄손익)</t>
        </is>
      </c>
      <c r="L593" s="24" t="inlineStr">
        <is>
          <t>-</t>
        </is>
      </c>
      <c r="M593" s="24" t="inlineStr">
        <is>
          <t>제 72 기</t>
        </is>
      </c>
      <c r="N593" s="24" t="inlineStr">
        <is>
          <t>1028732623.0</t>
        </is>
      </c>
      <c r="O593" s="24" t="inlineStr">
        <is>
          <t>48359376.0</t>
        </is>
      </c>
      <c r="P593" s="24" t="inlineStr">
        <is>
          <t>KRW</t>
        </is>
      </c>
      <c r="Q593" s="24" t="inlineStr">
        <is>
          <t>13</t>
        </is>
      </c>
    </row>
    <row r="594" ht="24" customHeight="1">
      <c r="A594" s="29" t="inlineStr">
        <is>
          <t>OpenDART_fnlttSinglAcntAll</t>
        </is>
      </c>
      <c r="B594" s="29" t="inlineStr">
        <is>
          <t>00160843</t>
        </is>
      </c>
      <c r="C594" s="29" t="inlineStr">
        <is>
          <t>DB하이텍</t>
        </is>
      </c>
      <c r="D594" s="29" t="inlineStr">
        <is>
          <t>dbhitek</t>
        </is>
      </c>
      <c r="E594" s="29" t="inlineStr">
        <is>
          <t>000990</t>
        </is>
      </c>
      <c r="F594" s="29" t="inlineStr">
        <is>
          <t>2024</t>
        </is>
      </c>
      <c r="G594" s="29" t="inlineStr">
        <is>
          <t>CFS</t>
        </is>
      </c>
      <c r="H594" s="29" t="inlineStr">
        <is>
          <t>CIS</t>
        </is>
      </c>
      <c r="I594" s="29" t="inlineStr">
        <is>
          <t>포괄손익계산서</t>
        </is>
      </c>
      <c r="J594" s="29" t="inlineStr">
        <is>
          <t>ifrs-full_OtherComprehensiveIncomeThatWillNotBeReclassifiedToProfitOrLossNetOfTax</t>
        </is>
      </c>
      <c r="K594" s="29" t="inlineStr">
        <is>
          <t>당기손익으로 재분류되지 않는항목(세후기타포괄손익)</t>
        </is>
      </c>
      <c r="L594" s="29" t="inlineStr">
        <is>
          <t>-</t>
        </is>
      </c>
      <c r="M594" s="29" t="inlineStr">
        <is>
          <t>제 72 기</t>
        </is>
      </c>
      <c r="N594" s="29" t="inlineStr">
        <is>
          <t>6511130399.0</t>
        </is>
      </c>
      <c r="O594" s="29" t="inlineStr">
        <is>
          <t>-2026836790.0</t>
        </is>
      </c>
      <c r="P594" s="29" t="inlineStr">
        <is>
          <t>KRW</t>
        </is>
      </c>
      <c r="Q594" s="29" t="inlineStr">
        <is>
          <t>14</t>
        </is>
      </c>
    </row>
    <row r="595" ht="24" customHeight="1">
      <c r="A595" s="24" t="inlineStr">
        <is>
          <t>OpenDART_fnlttSinglAcntAll</t>
        </is>
      </c>
      <c r="B595" s="24" t="inlineStr">
        <is>
          <t>00160843</t>
        </is>
      </c>
      <c r="C595" s="24" t="inlineStr">
        <is>
          <t>DB하이텍</t>
        </is>
      </c>
      <c r="D595" s="24" t="inlineStr">
        <is>
          <t>dbhitek</t>
        </is>
      </c>
      <c r="E595" s="24" t="inlineStr">
        <is>
          <t>000990</t>
        </is>
      </c>
      <c r="F595" s="24" t="inlineStr">
        <is>
          <t>2024</t>
        </is>
      </c>
      <c r="G595" s="24" t="inlineStr">
        <is>
          <t>CFS</t>
        </is>
      </c>
      <c r="H595" s="24" t="inlineStr">
        <is>
          <t>CIS</t>
        </is>
      </c>
      <c r="I595" s="24" t="inlineStr">
        <is>
          <t>포괄손익계산서</t>
        </is>
      </c>
      <c r="J595" s="24" t="inlineStr">
        <is>
          <t>ifrs-full_OtherComprehensiveIncomeNetOfTaxGainsLossesFromInvestmentsInEquityInstruments</t>
        </is>
      </c>
      <c r="K595" s="24" t="inlineStr">
        <is>
          <t>세후기타포괄손익, 지분상품에 대한 투자자산</t>
        </is>
      </c>
      <c r="L595" s="24" t="inlineStr">
        <is>
          <t>-</t>
        </is>
      </c>
      <c r="M595" s="24" t="inlineStr">
        <is>
          <t>제 72 기</t>
        </is>
      </c>
      <c r="N595" s="24" t="inlineStr">
        <is>
          <t>11576787722.0</t>
        </is>
      </c>
      <c r="O595" s="24" t="inlineStr">
        <is>
          <t>4717518281.0</t>
        </is>
      </c>
      <c r="P595" s="24" t="inlineStr">
        <is>
          <t>KRW</t>
        </is>
      </c>
      <c r="Q595" s="24" t="inlineStr">
        <is>
          <t>15</t>
        </is>
      </c>
    </row>
    <row r="596" ht="24" customHeight="1">
      <c r="A596" s="29" t="inlineStr">
        <is>
          <t>OpenDART_fnlttSinglAcntAll</t>
        </is>
      </c>
      <c r="B596" s="29" t="inlineStr">
        <is>
          <t>00160843</t>
        </is>
      </c>
      <c r="C596" s="29" t="inlineStr">
        <is>
          <t>DB하이텍</t>
        </is>
      </c>
      <c r="D596" s="29" t="inlineStr">
        <is>
          <t>dbhitek</t>
        </is>
      </c>
      <c r="E596" s="29" t="inlineStr">
        <is>
          <t>000990</t>
        </is>
      </c>
      <c r="F596" s="29" t="inlineStr">
        <is>
          <t>2024</t>
        </is>
      </c>
      <c r="G596" s="29" t="inlineStr">
        <is>
          <t>CFS</t>
        </is>
      </c>
      <c r="H596" s="29" t="inlineStr">
        <is>
          <t>CIS</t>
        </is>
      </c>
      <c r="I596" s="29" t="inlineStr">
        <is>
          <t>포괄손익계산서</t>
        </is>
      </c>
      <c r="J596" s="29" t="inlineStr">
        <is>
          <t>ifrs-full_OtherComprehensiveIncomeNetOfTaxGainsLossesOnRemeasurementsOfDefinedBenefitPlans</t>
        </is>
      </c>
      <c r="K596" s="29" t="inlineStr">
        <is>
          <t>확정급여제도의 재측정손익(세후기타포괄손익)</t>
        </is>
      </c>
      <c r="L596" s="29" t="inlineStr">
        <is>
          <t>-</t>
        </is>
      </c>
      <c r="M596" s="29" t="inlineStr">
        <is>
          <t>제 72 기</t>
        </is>
      </c>
      <c r="N596" s="29" t="inlineStr">
        <is>
          <t>-4141655081.0</t>
        </is>
      </c>
      <c r="O596" s="29" t="inlineStr">
        <is>
          <t>-7790272254.0</t>
        </is>
      </c>
      <c r="P596" s="29" t="inlineStr">
        <is>
          <t>KRW</t>
        </is>
      </c>
      <c r="Q596" s="29" t="inlineStr">
        <is>
          <t>16</t>
        </is>
      </c>
    </row>
    <row r="597" ht="24" customHeight="1">
      <c r="A597" s="24" t="inlineStr">
        <is>
          <t>OpenDART_fnlttSinglAcntAll</t>
        </is>
      </c>
      <c r="B597" s="24" t="inlineStr">
        <is>
          <t>00160843</t>
        </is>
      </c>
      <c r="C597" s="24" t="inlineStr">
        <is>
          <t>DB하이텍</t>
        </is>
      </c>
      <c r="D597" s="24" t="inlineStr">
        <is>
          <t>dbhitek</t>
        </is>
      </c>
      <c r="E597" s="24" t="inlineStr">
        <is>
          <t>000990</t>
        </is>
      </c>
      <c r="F597" s="24" t="inlineStr">
        <is>
          <t>2024</t>
        </is>
      </c>
      <c r="G597" s="24" t="inlineStr">
        <is>
          <t>CFS</t>
        </is>
      </c>
      <c r="H597" s="24" t="inlineStr">
        <is>
          <t>CIS</t>
        </is>
      </c>
      <c r="I597" s="24" t="inlineStr">
        <is>
          <t>포괄손익계산서</t>
        </is>
      </c>
      <c r="J597" s="24" t="inlineStr">
        <is>
          <t>ifrs-full_ShareOfOtherComprehensiveIncomeOfAssociatesAndJointVenturesAccountedForUsingEquityMethodThatWillNotBeReclassifiedToProfitOrLossNetOfTax</t>
        </is>
      </c>
      <c r="K597" s="24" t="inlineStr">
        <is>
          <t>지분법 적용대상 관계기업과 공동기업의 기타포괄손익에 대한 지분(세후기타포괄손익)</t>
        </is>
      </c>
      <c r="L597" s="24" t="inlineStr">
        <is>
          <t>-</t>
        </is>
      </c>
      <c r="M597" s="24" t="inlineStr">
        <is>
          <t>제 72 기</t>
        </is>
      </c>
      <c r="N597" s="24" t="inlineStr">
        <is>
          <t>-924002242.0</t>
        </is>
      </c>
      <c r="O597" s="24" t="inlineStr">
        <is>
          <t>1045917183.0</t>
        </is>
      </c>
      <c r="P597" s="24" t="inlineStr">
        <is>
          <t>KRW</t>
        </is>
      </c>
      <c r="Q597" s="24" t="inlineStr">
        <is>
          <t>17</t>
        </is>
      </c>
    </row>
    <row r="598" ht="24" customHeight="1">
      <c r="A598" s="29" t="inlineStr">
        <is>
          <t>OpenDART_fnlttSinglAcntAll</t>
        </is>
      </c>
      <c r="B598" s="29" t="inlineStr">
        <is>
          <t>00160843</t>
        </is>
      </c>
      <c r="C598" s="29" t="inlineStr">
        <is>
          <t>DB하이텍</t>
        </is>
      </c>
      <c r="D598" s="29" t="inlineStr">
        <is>
          <t>dbhitek</t>
        </is>
      </c>
      <c r="E598" s="29" t="inlineStr">
        <is>
          <t>000990</t>
        </is>
      </c>
      <c r="F598" s="29" t="inlineStr">
        <is>
          <t>2024</t>
        </is>
      </c>
      <c r="G598" s="29" t="inlineStr">
        <is>
          <t>CFS</t>
        </is>
      </c>
      <c r="H598" s="29" t="inlineStr">
        <is>
          <t>CIS</t>
        </is>
      </c>
      <c r="I598" s="29" t="inlineStr">
        <is>
          <t>포괄손익계산서</t>
        </is>
      </c>
      <c r="J598" s="29" t="inlineStr">
        <is>
          <t>ifrs-full_ProfitLoss</t>
        </is>
      </c>
      <c r="K598" s="29" t="inlineStr">
        <is>
          <t>당기순이익(손실)</t>
        </is>
      </c>
      <c r="L598" s="29" t="inlineStr">
        <is>
          <t>-</t>
        </is>
      </c>
      <c r="M598" s="29" t="inlineStr">
        <is>
          <t>제 72 기</t>
        </is>
      </c>
      <c r="N598" s="29" t="inlineStr">
        <is>
          <t>229385888355.0</t>
        </is>
      </c>
      <c r="O598" s="29" t="inlineStr">
        <is>
          <t>264149250979.0</t>
        </is>
      </c>
      <c r="P598" s="29" t="inlineStr">
        <is>
          <t>KRW</t>
        </is>
      </c>
      <c r="Q598" s="29" t="inlineStr">
        <is>
          <t>18</t>
        </is>
      </c>
    </row>
    <row r="599" ht="24" customHeight="1">
      <c r="A599" s="24" t="inlineStr">
        <is>
          <t>OpenDART_fnlttSinglAcntAll</t>
        </is>
      </c>
      <c r="B599" s="24" t="inlineStr">
        <is>
          <t>00160843</t>
        </is>
      </c>
      <c r="C599" s="24" t="inlineStr">
        <is>
          <t>DB하이텍</t>
        </is>
      </c>
      <c r="D599" s="24" t="inlineStr">
        <is>
          <t>dbhitek</t>
        </is>
      </c>
      <c r="E599" s="24" t="inlineStr">
        <is>
          <t>000990</t>
        </is>
      </c>
      <c r="F599" s="24" t="inlineStr">
        <is>
          <t>2024</t>
        </is>
      </c>
      <c r="G599" s="24" t="inlineStr">
        <is>
          <t>CFS</t>
        </is>
      </c>
      <c r="H599" s="24" t="inlineStr">
        <is>
          <t>CF</t>
        </is>
      </c>
      <c r="I599" s="24" t="inlineStr">
        <is>
          <t>현금흐름표</t>
        </is>
      </c>
      <c r="J599" s="24" t="inlineStr">
        <is>
          <t>dart_CashAndCashEquivalentsAtBeginningOfPeriodCf</t>
        </is>
      </c>
      <c r="K599" s="24" t="inlineStr">
        <is>
          <t>기초현금및현금성자산</t>
        </is>
      </c>
      <c r="L599" s="24" t="inlineStr">
        <is>
          <t>-</t>
        </is>
      </c>
      <c r="M599" s="24" t="inlineStr">
        <is>
          <t>제 72 기</t>
        </is>
      </c>
      <c r="N599" s="24" t="inlineStr">
        <is>
          <t>253329763803.0</t>
        </is>
      </c>
      <c r="O599" s="24" t="inlineStr">
        <is>
          <t>153658158262.0</t>
        </is>
      </c>
      <c r="P599" s="24" t="inlineStr">
        <is>
          <t>KRW</t>
        </is>
      </c>
      <c r="Q599" s="24" t="inlineStr">
        <is>
          <t>2</t>
        </is>
      </c>
    </row>
    <row r="600" ht="24" customHeight="1">
      <c r="A600" s="29" t="inlineStr">
        <is>
          <t>OpenDART_fnlttSinglAcntAll</t>
        </is>
      </c>
      <c r="B600" s="29" t="inlineStr">
        <is>
          <t>00160843</t>
        </is>
      </c>
      <c r="C600" s="29" t="inlineStr">
        <is>
          <t>DB하이텍</t>
        </is>
      </c>
      <c r="D600" s="29" t="inlineStr">
        <is>
          <t>dbhitek</t>
        </is>
      </c>
      <c r="E600" s="29" t="inlineStr">
        <is>
          <t>000990</t>
        </is>
      </c>
      <c r="F600" s="29" t="inlineStr">
        <is>
          <t>2024</t>
        </is>
      </c>
      <c r="G600" s="29" t="inlineStr">
        <is>
          <t>CFS</t>
        </is>
      </c>
      <c r="H600" s="29" t="inlineStr">
        <is>
          <t>CF</t>
        </is>
      </c>
      <c r="I600" s="29" t="inlineStr">
        <is>
          <t>현금흐름표</t>
        </is>
      </c>
      <c r="J600" s="29" t="inlineStr">
        <is>
          <t>dart_CashAndCashEquivalentsAtEndOfPeriodCf</t>
        </is>
      </c>
      <c r="K600" s="29" t="inlineStr">
        <is>
          <t>기말현금및현금성자산</t>
        </is>
      </c>
      <c r="L600" s="29" t="inlineStr">
        <is>
          <t>-</t>
        </is>
      </c>
      <c r="M600" s="29" t="inlineStr">
        <is>
          <t>제 72 기</t>
        </is>
      </c>
      <c r="N600" s="29" t="inlineStr">
        <is>
          <t>297054100758.0</t>
        </is>
      </c>
      <c r="O600" s="29" t="inlineStr">
        <is>
          <t>253329763803.0</t>
        </is>
      </c>
      <c r="P600" s="29" t="inlineStr">
        <is>
          <t>KRW</t>
        </is>
      </c>
      <c r="Q600" s="29" t="inlineStr">
        <is>
          <t>3</t>
        </is>
      </c>
    </row>
    <row r="601" ht="24" customHeight="1">
      <c r="A601" s="24" t="inlineStr">
        <is>
          <t>OpenDART_fnlttSinglAcntAll</t>
        </is>
      </c>
      <c r="B601" s="24" t="inlineStr">
        <is>
          <t>00160843</t>
        </is>
      </c>
      <c r="C601" s="24" t="inlineStr">
        <is>
          <t>DB하이텍</t>
        </is>
      </c>
      <c r="D601" s="24" t="inlineStr">
        <is>
          <t>dbhitek</t>
        </is>
      </c>
      <c r="E601" s="24" t="inlineStr">
        <is>
          <t>000990</t>
        </is>
      </c>
      <c r="F601" s="24" t="inlineStr">
        <is>
          <t>2024</t>
        </is>
      </c>
      <c r="G601" s="24" t="inlineStr">
        <is>
          <t>CFS</t>
        </is>
      </c>
      <c r="H601" s="24" t="inlineStr">
        <is>
          <t>CF</t>
        </is>
      </c>
      <c r="I601" s="24" t="inlineStr">
        <is>
          <t>현금흐름표</t>
        </is>
      </c>
      <c r="J601" s="24" t="inlineStr">
        <is>
          <t>ifrs-full_CashFlowsFromUsedInFinancingActivities</t>
        </is>
      </c>
      <c r="K601" s="24" t="inlineStr">
        <is>
          <t>재무활동현금흐름</t>
        </is>
      </c>
      <c r="L601" s="24" t="inlineStr">
        <is>
          <t>-</t>
        </is>
      </c>
      <c r="M601" s="24" t="inlineStr">
        <is>
          <t>제 72 기</t>
        </is>
      </c>
      <c r="N601" s="24" t="inlineStr">
        <is>
          <t>-11398668194.0</t>
        </is>
      </c>
      <c r="O601" s="24" t="inlineStr">
        <is>
          <t>-146697209774.0</t>
        </is>
      </c>
      <c r="P601" s="24" t="inlineStr">
        <is>
          <t>KRW</t>
        </is>
      </c>
      <c r="Q601" s="24" t="inlineStr">
        <is>
          <t>8</t>
        </is>
      </c>
    </row>
    <row r="602" ht="24" customHeight="1">
      <c r="A602" s="29" t="inlineStr">
        <is>
          <t>OpenDART_fnlttSinglAcntAll</t>
        </is>
      </c>
      <c r="B602" s="29" t="inlineStr">
        <is>
          <t>00160843</t>
        </is>
      </c>
      <c r="C602" s="29" t="inlineStr">
        <is>
          <t>DB하이텍</t>
        </is>
      </c>
      <c r="D602" s="29" t="inlineStr">
        <is>
          <t>dbhitek</t>
        </is>
      </c>
      <c r="E602" s="29" t="inlineStr">
        <is>
          <t>000990</t>
        </is>
      </c>
      <c r="F602" s="29" t="inlineStr">
        <is>
          <t>2024</t>
        </is>
      </c>
      <c r="G602" s="29" t="inlineStr">
        <is>
          <t>CFS</t>
        </is>
      </c>
      <c r="H602" s="29" t="inlineStr">
        <is>
          <t>CF</t>
        </is>
      </c>
      <c r="I602" s="29" t="inlineStr">
        <is>
          <t>현금흐름표</t>
        </is>
      </c>
      <c r="J602" s="29" t="inlineStr">
        <is>
          <t>dart_AcquisitionOfTreasuryShares</t>
        </is>
      </c>
      <c r="K602" s="29" t="inlineStr">
        <is>
          <t>자기주식의 취득으로 인한 현금의 유출</t>
        </is>
      </c>
      <c r="L602" s="29" t="inlineStr">
        <is>
          <t>-</t>
        </is>
      </c>
      <c r="M602" s="29" t="inlineStr">
        <is>
          <t>제 72 기</t>
        </is>
      </c>
      <c r="N602" s="29" t="inlineStr">
        <is>
          <t>20000876130.0</t>
        </is>
      </c>
      <c r="O602" s="29" t="inlineStr">
        <is>
          <t>100450331460.0</t>
        </is>
      </c>
      <c r="P602" s="29" t="inlineStr">
        <is>
          <t>KRW</t>
        </is>
      </c>
      <c r="Q602" s="29" t="inlineStr">
        <is>
          <t>9</t>
        </is>
      </c>
    </row>
    <row r="603" ht="24" customHeight="1">
      <c r="A603" s="24" t="inlineStr">
        <is>
          <t>OpenDART_fnlttSinglAcntAll</t>
        </is>
      </c>
      <c r="B603" s="24" t="inlineStr">
        <is>
          <t>00160843</t>
        </is>
      </c>
      <c r="C603" s="24" t="inlineStr">
        <is>
          <t>DB하이텍</t>
        </is>
      </c>
      <c r="D603" s="24" t="inlineStr">
        <is>
          <t>dbhitek</t>
        </is>
      </c>
      <c r="E603" s="24" t="inlineStr">
        <is>
          <t>000990</t>
        </is>
      </c>
      <c r="F603" s="24" t="inlineStr">
        <is>
          <t>2024</t>
        </is>
      </c>
      <c r="G603" s="24" t="inlineStr">
        <is>
          <t>CFS</t>
        </is>
      </c>
      <c r="H603" s="24" t="inlineStr">
        <is>
          <t>CF</t>
        </is>
      </c>
      <c r="I603" s="24" t="inlineStr">
        <is>
          <t>현금흐름표</t>
        </is>
      </c>
      <c r="J603" s="24" t="inlineStr">
        <is>
          <t>dart_ProceedsFromPaidinCapitalIncrease</t>
        </is>
      </c>
      <c r="K603" s="24" t="inlineStr">
        <is>
          <t>유상증자</t>
        </is>
      </c>
      <c r="L603" s="24" t="inlineStr">
        <is>
          <t>-</t>
        </is>
      </c>
      <c r="M603" s="24" t="inlineStr">
        <is>
          <t>제 72 기</t>
        </is>
      </c>
      <c r="N603" s="24" t="inlineStr">
        <is>
          <t>4894300000.0</t>
        </is>
      </c>
      <c r="O603" s="24" t="inlineStr">
        <is>
          <t>0.0</t>
        </is>
      </c>
      <c r="P603" s="24" t="inlineStr">
        <is>
          <t>KRW</t>
        </is>
      </c>
      <c r="Q603" s="24" t="inlineStr">
        <is>
          <t>10</t>
        </is>
      </c>
    </row>
    <row r="604" ht="24" customHeight="1">
      <c r="A604" s="29" t="inlineStr">
        <is>
          <t>OpenDART_fnlttSinglAcntAll</t>
        </is>
      </c>
      <c r="B604" s="29" t="inlineStr">
        <is>
          <t>00160843</t>
        </is>
      </c>
      <c r="C604" s="29" t="inlineStr">
        <is>
          <t>DB하이텍</t>
        </is>
      </c>
      <c r="D604" s="29" t="inlineStr">
        <is>
          <t>dbhitek</t>
        </is>
      </c>
      <c r="E604" s="29" t="inlineStr">
        <is>
          <t>000990</t>
        </is>
      </c>
      <c r="F604" s="29" t="inlineStr">
        <is>
          <t>2024</t>
        </is>
      </c>
      <c r="G604" s="29" t="inlineStr">
        <is>
          <t>CFS</t>
        </is>
      </c>
      <c r="H604" s="29" t="inlineStr">
        <is>
          <t>CF</t>
        </is>
      </c>
      <c r="I604" s="29" t="inlineStr">
        <is>
          <t>현금흐름표</t>
        </is>
      </c>
      <c r="J604" s="29" t="inlineStr">
        <is>
          <t>dart_ProceedsFromShortTermBorrowings</t>
        </is>
      </c>
      <c r="K604" s="29" t="inlineStr">
        <is>
          <t>단기차입금의 증가</t>
        </is>
      </c>
      <c r="L604" s="29" t="inlineStr">
        <is>
          <t>-</t>
        </is>
      </c>
      <c r="M604" s="29" t="inlineStr">
        <is>
          <t>제 72 기</t>
        </is>
      </c>
      <c r="N604" s="29" t="inlineStr">
        <is>
          <t>66883890609.0</t>
        </is>
      </c>
      <c r="O604" s="29" t="inlineStr">
        <is>
          <t>43688433351.0</t>
        </is>
      </c>
      <c r="P604" s="29" t="inlineStr">
        <is>
          <t>KRW</t>
        </is>
      </c>
      <c r="Q604" s="29" t="inlineStr">
        <is>
          <t>11</t>
        </is>
      </c>
    </row>
    <row r="605" ht="24" customHeight="1">
      <c r="A605" s="24" t="inlineStr">
        <is>
          <t>OpenDART_fnlttSinglAcntAll</t>
        </is>
      </c>
      <c r="B605" s="24" t="inlineStr">
        <is>
          <t>00160843</t>
        </is>
      </c>
      <c r="C605" s="24" t="inlineStr">
        <is>
          <t>DB하이텍</t>
        </is>
      </c>
      <c r="D605" s="24" t="inlineStr">
        <is>
          <t>dbhitek</t>
        </is>
      </c>
      <c r="E605" s="24" t="inlineStr">
        <is>
          <t>000990</t>
        </is>
      </c>
      <c r="F605" s="24" t="inlineStr">
        <is>
          <t>2024</t>
        </is>
      </c>
      <c r="G605" s="24" t="inlineStr">
        <is>
          <t>CFS</t>
        </is>
      </c>
      <c r="H605" s="24" t="inlineStr">
        <is>
          <t>CF</t>
        </is>
      </c>
      <c r="I605" s="24" t="inlineStr">
        <is>
          <t>현금흐름표</t>
        </is>
      </c>
      <c r="J605" s="24" t="inlineStr">
        <is>
          <t>dart_RepaymentsOfShortTermBorrowings</t>
        </is>
      </c>
      <c r="K605" s="24" t="inlineStr">
        <is>
          <t>단기차입금의 상환</t>
        </is>
      </c>
      <c r="L605" s="24" t="inlineStr">
        <is>
          <t>-</t>
        </is>
      </c>
      <c r="M605" s="24" t="inlineStr">
        <is>
          <t>제 72 기</t>
        </is>
      </c>
      <c r="N605" s="24" t="inlineStr">
        <is>
          <t>21684369930.0</t>
        </is>
      </c>
      <c r="O605" s="24" t="inlineStr">
        <is>
          <t>57405543566.0</t>
        </is>
      </c>
      <c r="P605" s="24" t="inlineStr">
        <is>
          <t>KRW</t>
        </is>
      </c>
      <c r="Q605" s="24" t="inlineStr">
        <is>
          <t>12</t>
        </is>
      </c>
    </row>
    <row r="606" ht="24" customHeight="1">
      <c r="A606" s="29" t="inlineStr">
        <is>
          <t>OpenDART_fnlttSinglAcntAll</t>
        </is>
      </c>
      <c r="B606" s="29" t="inlineStr">
        <is>
          <t>00160843</t>
        </is>
      </c>
      <c r="C606" s="29" t="inlineStr">
        <is>
          <t>DB하이텍</t>
        </is>
      </c>
      <c r="D606" s="29" t="inlineStr">
        <is>
          <t>dbhitek</t>
        </is>
      </c>
      <c r="E606" s="29" t="inlineStr">
        <is>
          <t>000990</t>
        </is>
      </c>
      <c r="F606" s="29" t="inlineStr">
        <is>
          <t>2024</t>
        </is>
      </c>
      <c r="G606" s="29" t="inlineStr">
        <is>
          <t>CFS</t>
        </is>
      </c>
      <c r="H606" s="29" t="inlineStr">
        <is>
          <t>CF</t>
        </is>
      </c>
      <c r="I606" s="29" t="inlineStr">
        <is>
          <t>현금흐름표</t>
        </is>
      </c>
      <c r="J606" s="29" t="inlineStr">
        <is>
          <t>-표준계정코드 미사용-</t>
        </is>
      </c>
      <c r="K606" s="29" t="inlineStr">
        <is>
          <t>유동성장기차입금의 상환</t>
        </is>
      </c>
      <c r="L606" s="29" t="inlineStr">
        <is>
          <t>-</t>
        </is>
      </c>
      <c r="M606" s="29" t="inlineStr">
        <is>
          <t>제 72 기</t>
        </is>
      </c>
      <c r="N606" s="29" t="inlineStr">
        <is>
          <t>21666640000.0</t>
        </is>
      </c>
      <c r="O606" s="29" t="inlineStr">
        <is>
          <t>27999960000.0</t>
        </is>
      </c>
      <c r="P606" s="29" t="inlineStr">
        <is>
          <t>KRW</t>
        </is>
      </c>
      <c r="Q606" s="29" t="inlineStr">
        <is>
          <t>13</t>
        </is>
      </c>
    </row>
    <row r="607" ht="24" customHeight="1">
      <c r="A607" s="24" t="inlineStr">
        <is>
          <t>OpenDART_fnlttSinglAcntAll</t>
        </is>
      </c>
      <c r="B607" s="24" t="inlineStr">
        <is>
          <t>00160843</t>
        </is>
      </c>
      <c r="C607" s="24" t="inlineStr">
        <is>
          <t>DB하이텍</t>
        </is>
      </c>
      <c r="D607" s="24" t="inlineStr">
        <is>
          <t>dbhitek</t>
        </is>
      </c>
      <c r="E607" s="24" t="inlineStr">
        <is>
          <t>000990</t>
        </is>
      </c>
      <c r="F607" s="24" t="inlineStr">
        <is>
          <t>2024</t>
        </is>
      </c>
      <c r="G607" s="24" t="inlineStr">
        <is>
          <t>CFS</t>
        </is>
      </c>
      <c r="H607" s="24" t="inlineStr">
        <is>
          <t>CF</t>
        </is>
      </c>
      <c r="I607" s="24" t="inlineStr">
        <is>
          <t>현금흐름표</t>
        </is>
      </c>
      <c r="J607" s="24" t="inlineStr">
        <is>
          <t>ifrs-full_IncreaseDecreaseThroughObtainingOrLosingControlOfSubsidiariesOrOtherBusinessesLiabilitiesArisingFromFinancingActivities</t>
        </is>
      </c>
      <c r="K607" s="24" t="inlineStr">
        <is>
          <t>종속기업이나 그 밖의 사업에 대한 지배력 획득 또는 상실에서 생기는 변동, 재무활동에서 생기는 부채의 증가(감소)</t>
        </is>
      </c>
      <c r="L607" s="24" t="inlineStr">
        <is>
          <t>-</t>
        </is>
      </c>
      <c r="M607" s="24" t="inlineStr">
        <is>
          <t>제 72 기</t>
        </is>
      </c>
      <c r="N607" s="24" t="inlineStr">
        <is>
          <t>14483870565.0</t>
        </is>
      </c>
      <c r="O607" s="24" t="inlineStr">
        <is>
          <t>0.0</t>
        </is>
      </c>
      <c r="P607" s="24" t="inlineStr">
        <is>
          <t>KRW</t>
        </is>
      </c>
      <c r="Q607" s="24" t="inlineStr">
        <is>
          <t>14</t>
        </is>
      </c>
    </row>
    <row r="608" ht="24" customHeight="1">
      <c r="A608" s="29" t="inlineStr">
        <is>
          <t>OpenDART_fnlttSinglAcntAll</t>
        </is>
      </c>
      <c r="B608" s="29" t="inlineStr">
        <is>
          <t>00160843</t>
        </is>
      </c>
      <c r="C608" s="29" t="inlineStr">
        <is>
          <t>DB하이텍</t>
        </is>
      </c>
      <c r="D608" s="29" t="inlineStr">
        <is>
          <t>dbhitek</t>
        </is>
      </c>
      <c r="E608" s="29" t="inlineStr">
        <is>
          <t>000990</t>
        </is>
      </c>
      <c r="F608" s="29" t="inlineStr">
        <is>
          <t>2024</t>
        </is>
      </c>
      <c r="G608" s="29" t="inlineStr">
        <is>
          <t>CFS</t>
        </is>
      </c>
      <c r="H608" s="29" t="inlineStr">
        <is>
          <t>CF</t>
        </is>
      </c>
      <c r="I608" s="29" t="inlineStr">
        <is>
          <t>현금흐름표</t>
        </is>
      </c>
      <c r="J608" s="29" t="inlineStr">
        <is>
          <t>ifrs-full_PaymentsOfLeaseLiabilitiesClassifiedAsFinancingActivities</t>
        </is>
      </c>
      <c r="K608" s="29" t="inlineStr">
        <is>
          <t>리스부채의 지급</t>
        </is>
      </c>
      <c r="L608" s="29" t="inlineStr">
        <is>
          <t>-</t>
        </is>
      </c>
      <c r="M608" s="29" t="inlineStr">
        <is>
          <t>제 72 기</t>
        </is>
      </c>
      <c r="N608" s="29" t="inlineStr">
        <is>
          <t>5544571321.0</t>
        </is>
      </c>
      <c r="O608" s="29" t="inlineStr">
        <is>
          <t>4674847365.0</t>
        </is>
      </c>
      <c r="P608" s="29" t="inlineStr">
        <is>
          <t>KRW</t>
        </is>
      </c>
      <c r="Q608" s="29" t="inlineStr">
        <is>
          <t>15</t>
        </is>
      </c>
    </row>
    <row r="609" ht="24" customHeight="1">
      <c r="A609" s="24" t="inlineStr">
        <is>
          <t>OpenDART_fnlttSinglAcntAll</t>
        </is>
      </c>
      <c r="B609" s="24" t="inlineStr">
        <is>
          <t>00160843</t>
        </is>
      </c>
      <c r="C609" s="24" t="inlineStr">
        <is>
          <t>DB하이텍</t>
        </is>
      </c>
      <c r="D609" s="24" t="inlineStr">
        <is>
          <t>dbhitek</t>
        </is>
      </c>
      <c r="E609" s="24" t="inlineStr">
        <is>
          <t>000990</t>
        </is>
      </c>
      <c r="F609" s="24" t="inlineStr">
        <is>
          <t>2024</t>
        </is>
      </c>
      <c r="G609" s="24" t="inlineStr">
        <is>
          <t>CFS</t>
        </is>
      </c>
      <c r="H609" s="24" t="inlineStr">
        <is>
          <t>CF</t>
        </is>
      </c>
      <c r="I609" s="24" t="inlineStr">
        <is>
          <t>현금흐름표</t>
        </is>
      </c>
      <c r="J609" s="24" t="inlineStr">
        <is>
          <t>ifrs-full_ProceedsFromGovernmentGrantsClassifiedAsFinancingActivities</t>
        </is>
      </c>
      <c r="K609" s="24" t="inlineStr">
        <is>
          <t>정부보조금의 수취</t>
        </is>
      </c>
      <c r="L609" s="24" t="inlineStr">
        <is>
          <t>-</t>
        </is>
      </c>
      <c r="M609" s="24" t="inlineStr">
        <is>
          <t>제 72 기</t>
        </is>
      </c>
      <c r="N609" s="24" t="inlineStr">
        <is>
          <t>288355213.0</t>
        </is>
      </c>
      <c r="O609" s="24" t="inlineStr">
        <is>
          <t>145039266.0</t>
        </is>
      </c>
      <c r="P609" s="24" t="inlineStr">
        <is>
          <t>KRW</t>
        </is>
      </c>
      <c r="Q609" s="24" t="inlineStr">
        <is>
          <t>16</t>
        </is>
      </c>
    </row>
    <row r="610" ht="24" customHeight="1">
      <c r="A610" s="29" t="inlineStr">
        <is>
          <t>OpenDART_fnlttSinglAcntAll</t>
        </is>
      </c>
      <c r="B610" s="29" t="inlineStr">
        <is>
          <t>00160843</t>
        </is>
      </c>
      <c r="C610" s="29" t="inlineStr">
        <is>
          <t>DB하이텍</t>
        </is>
      </c>
      <c r="D610" s="29" t="inlineStr">
        <is>
          <t>dbhitek</t>
        </is>
      </c>
      <c r="E610" s="29" t="inlineStr">
        <is>
          <t>000990</t>
        </is>
      </c>
      <c r="F610" s="29" t="inlineStr">
        <is>
          <t>2024</t>
        </is>
      </c>
      <c r="G610" s="29" t="inlineStr">
        <is>
          <t>CFS</t>
        </is>
      </c>
      <c r="H610" s="29" t="inlineStr">
        <is>
          <t>CF</t>
        </is>
      </c>
      <c r="I610" s="29" t="inlineStr">
        <is>
          <t>현금흐름표</t>
        </is>
      </c>
      <c r="J610" s="29" t="inlineStr">
        <is>
          <t>ifrs-full_ShareIssueRelatedCost</t>
        </is>
      </c>
      <c r="K610" s="29" t="inlineStr">
        <is>
          <t>주식발행비</t>
        </is>
      </c>
      <c r="L610" s="29" t="inlineStr">
        <is>
          <t>-</t>
        </is>
      </c>
      <c r="M610" s="29" t="inlineStr">
        <is>
          <t>제 72 기</t>
        </is>
      </c>
      <c r="N610" s="29" t="inlineStr">
        <is>
          <t>84886070.0</t>
        </is>
      </c>
      <c r="O610" s="29" t="inlineStr">
        <is>
          <t>0.0</t>
        </is>
      </c>
      <c r="P610" s="29" t="inlineStr">
        <is>
          <t>KRW</t>
        </is>
      </c>
      <c r="Q610" s="29" t="inlineStr">
        <is>
          <t>17</t>
        </is>
      </c>
    </row>
    <row r="611" ht="24" customHeight="1">
      <c r="A611" s="24" t="inlineStr">
        <is>
          <t>OpenDART_fnlttSinglAcntAll</t>
        </is>
      </c>
      <c r="B611" s="24" t="inlineStr">
        <is>
          <t>00160843</t>
        </is>
      </c>
      <c r="C611" s="24" t="inlineStr">
        <is>
          <t>DB하이텍</t>
        </is>
      </c>
      <c r="D611" s="24" t="inlineStr">
        <is>
          <t>dbhitek</t>
        </is>
      </c>
      <c r="E611" s="24" t="inlineStr">
        <is>
          <t>000990</t>
        </is>
      </c>
      <c r="F611" s="24" t="inlineStr">
        <is>
          <t>2024</t>
        </is>
      </c>
      <c r="G611" s="24" t="inlineStr">
        <is>
          <t>CFS</t>
        </is>
      </c>
      <c r="H611" s="24" t="inlineStr">
        <is>
          <t>CF</t>
        </is>
      </c>
      <c r="I611" s="24" t="inlineStr">
        <is>
          <t>현금흐름표</t>
        </is>
      </c>
      <c r="J611" s="24" t="inlineStr">
        <is>
          <t>ifrs-full_CashFlowsFromUsedInInvestingActivities</t>
        </is>
      </c>
      <c r="K611" s="24" t="inlineStr">
        <is>
          <t>투자활동현금흐름</t>
        </is>
      </c>
      <c r="L611" s="24" t="inlineStr">
        <is>
          <t>-</t>
        </is>
      </c>
      <c r="M611" s="24" t="inlineStr">
        <is>
          <t>제 72 기</t>
        </is>
      </c>
      <c r="N611" s="24" t="inlineStr">
        <is>
          <t>-330981683566.0</t>
        </is>
      </c>
      <c r="O611" s="24" t="inlineStr">
        <is>
          <t>27488934945.0</t>
        </is>
      </c>
      <c r="P611" s="24" t="inlineStr">
        <is>
          <t>KRW</t>
        </is>
      </c>
      <c r="Q611" s="24" t="inlineStr">
        <is>
          <t>18</t>
        </is>
      </c>
    </row>
    <row r="612" ht="24" customHeight="1">
      <c r="A612" s="29" t="inlineStr">
        <is>
          <t>OpenDART_fnlttSinglAcntAll</t>
        </is>
      </c>
      <c r="B612" s="29" t="inlineStr">
        <is>
          <t>00160843</t>
        </is>
      </c>
      <c r="C612" s="29" t="inlineStr">
        <is>
          <t>DB하이텍</t>
        </is>
      </c>
      <c r="D612" s="29" t="inlineStr">
        <is>
          <t>dbhitek</t>
        </is>
      </c>
      <c r="E612" s="29" t="inlineStr">
        <is>
          <t>000990</t>
        </is>
      </c>
      <c r="F612" s="29" t="inlineStr">
        <is>
          <t>2024</t>
        </is>
      </c>
      <c r="G612" s="29" t="inlineStr">
        <is>
          <t>CFS</t>
        </is>
      </c>
      <c r="H612" s="29" t="inlineStr">
        <is>
          <t>CF</t>
        </is>
      </c>
      <c r="I612" s="29" t="inlineStr">
        <is>
          <t>현금흐름표</t>
        </is>
      </c>
      <c r="J612" s="29" t="inlineStr">
        <is>
          <t>dart_AdjustmentsForDecreaseincreaseInLongTermAdvancePayments</t>
        </is>
      </c>
      <c r="K612" s="29" t="inlineStr">
        <is>
          <t>장기선급금의 증가</t>
        </is>
      </c>
      <c r="L612" s="29" t="inlineStr">
        <is>
          <t>-</t>
        </is>
      </c>
      <c r="M612" s="29" t="inlineStr">
        <is>
          <t>제 72 기</t>
        </is>
      </c>
      <c r="N612" s="29" t="inlineStr">
        <is>
          <t>-35273484.0</t>
        </is>
      </c>
      <c r="O612" s="29" t="inlineStr">
        <is>
          <t>-20215347.0</t>
        </is>
      </c>
      <c r="P612" s="29" t="inlineStr">
        <is>
          <t>KRW</t>
        </is>
      </c>
      <c r="Q612" s="29" t="inlineStr">
        <is>
          <t>19</t>
        </is>
      </c>
    </row>
    <row r="613" ht="24" customHeight="1">
      <c r="A613" s="24" t="inlineStr">
        <is>
          <t>OpenDART_fnlttSinglAcntAll</t>
        </is>
      </c>
      <c r="B613" s="24" t="inlineStr">
        <is>
          <t>00160843</t>
        </is>
      </c>
      <c r="C613" s="24" t="inlineStr">
        <is>
          <t>DB하이텍</t>
        </is>
      </c>
      <c r="D613" s="24" t="inlineStr">
        <is>
          <t>dbhitek</t>
        </is>
      </c>
      <c r="E613" s="24" t="inlineStr">
        <is>
          <t>000990</t>
        </is>
      </c>
      <c r="F613" s="24" t="inlineStr">
        <is>
          <t>2024</t>
        </is>
      </c>
      <c r="G613" s="24" t="inlineStr">
        <is>
          <t>CFS</t>
        </is>
      </c>
      <c r="H613" s="24" t="inlineStr">
        <is>
          <t>CF</t>
        </is>
      </c>
      <c r="I613" s="24" t="inlineStr">
        <is>
          <t>현금흐름표</t>
        </is>
      </c>
      <c r="J613" s="24" t="inlineStr">
        <is>
          <t>dart_AdjustmentsForDecreaseincreaseInOtherFinancialAssets</t>
        </is>
      </c>
      <c r="K613" s="24" t="inlineStr">
        <is>
          <t>기타금융자산의 감소(증가)</t>
        </is>
      </c>
      <c r="L613" s="24" t="inlineStr">
        <is>
          <t>-</t>
        </is>
      </c>
      <c r="M613" s="24" t="inlineStr">
        <is>
          <t>제 72 기</t>
        </is>
      </c>
      <c r="N613" s="24" t="inlineStr">
        <is>
          <t>-358793390813.0</t>
        </is>
      </c>
      <c r="O613" s="24" t="inlineStr">
        <is>
          <t>88607867488.0</t>
        </is>
      </c>
      <c r="P613" s="24" t="inlineStr">
        <is>
          <t>KRW</t>
        </is>
      </c>
      <c r="Q613" s="24" t="inlineStr">
        <is>
          <t>20</t>
        </is>
      </c>
    </row>
    <row r="614" ht="24" customHeight="1">
      <c r="A614" s="29" t="inlineStr">
        <is>
          <t>OpenDART_fnlttSinglAcntAll</t>
        </is>
      </c>
      <c r="B614" s="29" t="inlineStr">
        <is>
          <t>00160843</t>
        </is>
      </c>
      <c r="C614" s="29" t="inlineStr">
        <is>
          <t>DB하이텍</t>
        </is>
      </c>
      <c r="D614" s="29" t="inlineStr">
        <is>
          <t>dbhitek</t>
        </is>
      </c>
      <c r="E614" s="29" t="inlineStr">
        <is>
          <t>000990</t>
        </is>
      </c>
      <c r="F614" s="29" t="inlineStr">
        <is>
          <t>2024</t>
        </is>
      </c>
      <c r="G614" s="29" t="inlineStr">
        <is>
          <t>CFS</t>
        </is>
      </c>
      <c r="H614" s="29" t="inlineStr">
        <is>
          <t>CF</t>
        </is>
      </c>
      <c r="I614" s="29" t="inlineStr">
        <is>
          <t>현금흐름표</t>
        </is>
      </c>
      <c r="J614" s="29" t="inlineStr">
        <is>
          <t>dart_DecreaseInGuaranteeDeposits</t>
        </is>
      </c>
      <c r="K614" s="29" t="inlineStr">
        <is>
          <t>보증금의 감소</t>
        </is>
      </c>
      <c r="L614" s="29" t="inlineStr">
        <is>
          <t>-</t>
        </is>
      </c>
      <c r="M614" s="29" t="inlineStr">
        <is>
          <t>제 72 기</t>
        </is>
      </c>
      <c r="N614" s="29" t="inlineStr">
        <is>
          <t>888143264.0</t>
        </is>
      </c>
      <c r="O614" s="29" t="inlineStr">
        <is>
          <t>507170602.0</t>
        </is>
      </c>
      <c r="P614" s="29" t="inlineStr">
        <is>
          <t>KRW</t>
        </is>
      </c>
      <c r="Q614" s="29" t="inlineStr">
        <is>
          <t>21</t>
        </is>
      </c>
    </row>
    <row r="615" ht="24" customHeight="1">
      <c r="A615" s="24" t="inlineStr">
        <is>
          <t>OpenDART_fnlttSinglAcntAll</t>
        </is>
      </c>
      <c r="B615" s="24" t="inlineStr">
        <is>
          <t>00160843</t>
        </is>
      </c>
      <c r="C615" s="24" t="inlineStr">
        <is>
          <t>DB하이텍</t>
        </is>
      </c>
      <c r="D615" s="24" t="inlineStr">
        <is>
          <t>dbhitek</t>
        </is>
      </c>
      <c r="E615" s="24" t="inlineStr">
        <is>
          <t>000990</t>
        </is>
      </c>
      <c r="F615" s="24" t="inlineStr">
        <is>
          <t>2024</t>
        </is>
      </c>
      <c r="G615" s="24" t="inlineStr">
        <is>
          <t>CFS</t>
        </is>
      </c>
      <c r="H615" s="24" t="inlineStr">
        <is>
          <t>CF</t>
        </is>
      </c>
      <c r="I615" s="24" t="inlineStr">
        <is>
          <t>현금흐름표</t>
        </is>
      </c>
      <c r="J615" s="24" t="inlineStr">
        <is>
          <t>dart_IncreaseInGuaranteeDeposits</t>
        </is>
      </c>
      <c r="K615" s="24" t="inlineStr">
        <is>
          <t>보증금의 증가</t>
        </is>
      </c>
      <c r="L615" s="24" t="inlineStr">
        <is>
          <t>-</t>
        </is>
      </c>
      <c r="M615" s="24" t="inlineStr">
        <is>
          <t>제 72 기</t>
        </is>
      </c>
      <c r="N615" s="24" t="inlineStr">
        <is>
          <t>943659242.0</t>
        </is>
      </c>
      <c r="O615" s="24" t="inlineStr">
        <is>
          <t>1551875567.0</t>
        </is>
      </c>
      <c r="P615" s="24" t="inlineStr">
        <is>
          <t>KRW</t>
        </is>
      </c>
      <c r="Q615" s="24" t="inlineStr">
        <is>
          <t>22</t>
        </is>
      </c>
    </row>
    <row r="616" ht="24" customHeight="1">
      <c r="A616" s="29" t="inlineStr">
        <is>
          <t>OpenDART_fnlttSinglAcntAll</t>
        </is>
      </c>
      <c r="B616" s="29" t="inlineStr">
        <is>
          <t>00160843</t>
        </is>
      </c>
      <c r="C616" s="29" t="inlineStr">
        <is>
          <t>DB하이텍</t>
        </is>
      </c>
      <c r="D616" s="29" t="inlineStr">
        <is>
          <t>dbhitek</t>
        </is>
      </c>
      <c r="E616" s="29" t="inlineStr">
        <is>
          <t>000990</t>
        </is>
      </c>
      <c r="F616" s="29" t="inlineStr">
        <is>
          <t>2024</t>
        </is>
      </c>
      <c r="G616" s="29" t="inlineStr">
        <is>
          <t>CFS</t>
        </is>
      </c>
      <c r="H616" s="29" t="inlineStr">
        <is>
          <t>CF</t>
        </is>
      </c>
      <c r="I616" s="29" t="inlineStr">
        <is>
          <t>현금흐름표</t>
        </is>
      </c>
      <c r="J616" s="29" t="inlineStr">
        <is>
          <t>dart_ProceedsFromSalesOfLongTermFinancialInstruments</t>
        </is>
      </c>
      <c r="K616" s="29" t="inlineStr">
        <is>
          <t>장기금융상품의 처분</t>
        </is>
      </c>
      <c r="L616" s="29" t="inlineStr">
        <is>
          <t>-</t>
        </is>
      </c>
      <c r="M616" s="29" t="inlineStr">
        <is>
          <t>제 72 기</t>
        </is>
      </c>
      <c r="N616" s="29" t="inlineStr">
        <is>
          <t>2000000.0</t>
        </is>
      </c>
      <c r="O616" s="29" t="inlineStr">
        <is>
          <t>87933575.0</t>
        </is>
      </c>
      <c r="P616" s="29" t="inlineStr">
        <is>
          <t>KRW</t>
        </is>
      </c>
      <c r="Q616" s="29" t="inlineStr">
        <is>
          <t>23</t>
        </is>
      </c>
    </row>
    <row r="617" ht="24" customHeight="1">
      <c r="A617" s="24" t="inlineStr">
        <is>
          <t>OpenDART_fnlttSinglAcntAll</t>
        </is>
      </c>
      <c r="B617" s="24" t="inlineStr">
        <is>
          <t>00160843</t>
        </is>
      </c>
      <c r="C617" s="24" t="inlineStr">
        <is>
          <t>DB하이텍</t>
        </is>
      </c>
      <c r="D617" s="24" t="inlineStr">
        <is>
          <t>dbhitek</t>
        </is>
      </c>
      <c r="E617" s="24" t="inlineStr">
        <is>
          <t>000990</t>
        </is>
      </c>
      <c r="F617" s="24" t="inlineStr">
        <is>
          <t>2024</t>
        </is>
      </c>
      <c r="G617" s="24" t="inlineStr">
        <is>
          <t>CFS</t>
        </is>
      </c>
      <c r="H617" s="24" t="inlineStr">
        <is>
          <t>CF</t>
        </is>
      </c>
      <c r="I617" s="24" t="inlineStr">
        <is>
          <t>현금흐름표</t>
        </is>
      </c>
      <c r="J617" s="24" t="inlineStr">
        <is>
          <t>dart_ProceedsFromSalesOfLongTermLoansAndReceivables</t>
        </is>
      </c>
      <c r="K617" s="24" t="inlineStr">
        <is>
          <t>장기대여금및수취채권의 처분</t>
        </is>
      </c>
      <c r="L617" s="24" t="inlineStr">
        <is>
          <t>-</t>
        </is>
      </c>
      <c r="M617" s="24" t="inlineStr">
        <is>
          <t>제 72 기</t>
        </is>
      </c>
      <c r="N617" s="24" t="inlineStr">
        <is>
          <t>412035104.0</t>
        </is>
      </c>
      <c r="O617" s="24" t="inlineStr">
        <is>
          <t>24814910.0</t>
        </is>
      </c>
      <c r="P617" s="24" t="inlineStr">
        <is>
          <t>KRW</t>
        </is>
      </c>
      <c r="Q617" s="24" t="inlineStr">
        <is>
          <t>24</t>
        </is>
      </c>
    </row>
    <row r="618" ht="24" customHeight="1">
      <c r="A618" s="29" t="inlineStr">
        <is>
          <t>OpenDART_fnlttSinglAcntAll</t>
        </is>
      </c>
      <c r="B618" s="29" t="inlineStr">
        <is>
          <t>00160843</t>
        </is>
      </c>
      <c r="C618" s="29" t="inlineStr">
        <is>
          <t>DB하이텍</t>
        </is>
      </c>
      <c r="D618" s="29" t="inlineStr">
        <is>
          <t>dbhitek</t>
        </is>
      </c>
      <c r="E618" s="29" t="inlineStr">
        <is>
          <t>000990</t>
        </is>
      </c>
      <c r="F618" s="29" t="inlineStr">
        <is>
          <t>2024</t>
        </is>
      </c>
      <c r="G618" s="29" t="inlineStr">
        <is>
          <t>CFS</t>
        </is>
      </c>
      <c r="H618" s="29" t="inlineStr">
        <is>
          <t>CF</t>
        </is>
      </c>
      <c r="I618" s="29" t="inlineStr">
        <is>
          <t>현금흐름표</t>
        </is>
      </c>
      <c r="J618" s="29" t="inlineStr">
        <is>
          <t>dart_ProceedsFromSalesOfShortTermFinancialInstruments</t>
        </is>
      </c>
      <c r="K618" s="29" t="inlineStr">
        <is>
          <t>단기금융상품의 처분</t>
        </is>
      </c>
      <c r="L618" s="29" t="inlineStr">
        <is>
          <t>-</t>
        </is>
      </c>
      <c r="M618" s="29" t="inlineStr">
        <is>
          <t>제 72 기</t>
        </is>
      </c>
      <c r="N618" s="29" t="inlineStr">
        <is>
          <t>874169585326.0</t>
        </is>
      </c>
      <c r="O618" s="29" t="inlineStr">
        <is>
          <t>875876213101.0</t>
        </is>
      </c>
      <c r="P618" s="29" t="inlineStr">
        <is>
          <t>KRW</t>
        </is>
      </c>
      <c r="Q618" s="29" t="inlineStr">
        <is>
          <t>25</t>
        </is>
      </c>
    </row>
    <row r="619" ht="24" customHeight="1">
      <c r="A619" s="24" t="inlineStr">
        <is>
          <t>OpenDART_fnlttSinglAcntAll</t>
        </is>
      </c>
      <c r="B619" s="24" t="inlineStr">
        <is>
          <t>00160843</t>
        </is>
      </c>
      <c r="C619" s="24" t="inlineStr">
        <is>
          <t>DB하이텍</t>
        </is>
      </c>
      <c r="D619" s="24" t="inlineStr">
        <is>
          <t>dbhitek</t>
        </is>
      </c>
      <c r="E619" s="24" t="inlineStr">
        <is>
          <t>000990</t>
        </is>
      </c>
      <c r="F619" s="24" t="inlineStr">
        <is>
          <t>2024</t>
        </is>
      </c>
      <c r="G619" s="24" t="inlineStr">
        <is>
          <t>CFS</t>
        </is>
      </c>
      <c r="H619" s="24" t="inlineStr">
        <is>
          <t>CF</t>
        </is>
      </c>
      <c r="I619" s="24" t="inlineStr">
        <is>
          <t>현금흐름표</t>
        </is>
      </c>
      <c r="J619" s="24" t="inlineStr">
        <is>
          <t>dart_ProceedsFromSalesOfShortTermLoansAndReceivables</t>
        </is>
      </c>
      <c r="K619" s="24" t="inlineStr">
        <is>
          <t>단기대여금및수취채권의 처분</t>
        </is>
      </c>
      <c r="L619" s="24" t="inlineStr">
        <is>
          <t>-</t>
        </is>
      </c>
      <c r="M619" s="24" t="inlineStr">
        <is>
          <t>제 72 기</t>
        </is>
      </c>
      <c r="N619" s="24" t="inlineStr">
        <is>
          <t>0.0</t>
        </is>
      </c>
      <c r="O619" s="24" t="inlineStr">
        <is>
          <t>14400000.0</t>
        </is>
      </c>
      <c r="P619" s="24" t="inlineStr">
        <is>
          <t>KRW</t>
        </is>
      </c>
      <c r="Q619" s="24" t="inlineStr">
        <is>
          <t>26</t>
        </is>
      </c>
    </row>
    <row r="620" ht="24" customHeight="1">
      <c r="A620" s="29" t="inlineStr">
        <is>
          <t>OpenDART_fnlttSinglAcntAll</t>
        </is>
      </c>
      <c r="B620" s="29" t="inlineStr">
        <is>
          <t>00160843</t>
        </is>
      </c>
      <c r="C620" s="29" t="inlineStr">
        <is>
          <t>DB하이텍</t>
        </is>
      </c>
      <c r="D620" s="29" t="inlineStr">
        <is>
          <t>dbhitek</t>
        </is>
      </c>
      <c r="E620" s="29" t="inlineStr">
        <is>
          <t>000990</t>
        </is>
      </c>
      <c r="F620" s="29" t="inlineStr">
        <is>
          <t>2024</t>
        </is>
      </c>
      <c r="G620" s="29" t="inlineStr">
        <is>
          <t>CFS</t>
        </is>
      </c>
      <c r="H620" s="29" t="inlineStr">
        <is>
          <t>CF</t>
        </is>
      </c>
      <c r="I620" s="29" t="inlineStr">
        <is>
          <t>현금흐름표</t>
        </is>
      </c>
      <c r="J620" s="29" t="inlineStr">
        <is>
          <t>dart_PurchaseOfFinancialAssetsAtFairValueThroughOtherComprehensiveIncome</t>
        </is>
      </c>
      <c r="K620" s="29" t="inlineStr">
        <is>
          <t>기타포괄손익-공정가치측정금융자산의취득</t>
        </is>
      </c>
      <c r="L620" s="29" t="inlineStr">
        <is>
          <t>-</t>
        </is>
      </c>
      <c r="M620" s="29" t="inlineStr">
        <is>
          <t>제 72 기</t>
        </is>
      </c>
      <c r="N620" s="29" t="inlineStr">
        <is>
          <t>59800000.0</t>
        </is>
      </c>
      <c r="O620" s="29" t="inlineStr">
        <is>
          <t>160000000.0</t>
        </is>
      </c>
      <c r="P620" s="29" t="inlineStr">
        <is>
          <t>KRW</t>
        </is>
      </c>
      <c r="Q620" s="29" t="inlineStr">
        <is>
          <t>27</t>
        </is>
      </c>
    </row>
    <row r="621" ht="24" customHeight="1">
      <c r="A621" s="24" t="inlineStr">
        <is>
          <t>OpenDART_fnlttSinglAcntAll</t>
        </is>
      </c>
      <c r="B621" s="24" t="inlineStr">
        <is>
          <t>00160843</t>
        </is>
      </c>
      <c r="C621" s="24" t="inlineStr">
        <is>
          <t>DB하이텍</t>
        </is>
      </c>
      <c r="D621" s="24" t="inlineStr">
        <is>
          <t>dbhitek</t>
        </is>
      </c>
      <c r="E621" s="24" t="inlineStr">
        <is>
          <t>000990</t>
        </is>
      </c>
      <c r="F621" s="24" t="inlineStr">
        <is>
          <t>2024</t>
        </is>
      </c>
      <c r="G621" s="24" t="inlineStr">
        <is>
          <t>CFS</t>
        </is>
      </c>
      <c r="H621" s="24" t="inlineStr">
        <is>
          <t>CF</t>
        </is>
      </c>
      <c r="I621" s="24" t="inlineStr">
        <is>
          <t>현금흐름표</t>
        </is>
      </c>
      <c r="J621" s="24" t="inlineStr">
        <is>
          <t>dart_PurchaseOfInvestmentsInAssociates</t>
        </is>
      </c>
      <c r="K621" s="24" t="inlineStr">
        <is>
          <t>관계기업에 대한 투자자산의 취득</t>
        </is>
      </c>
      <c r="L621" s="24" t="inlineStr">
        <is>
          <t>-</t>
        </is>
      </c>
      <c r="M621" s="24" t="inlineStr">
        <is>
          <t>제 72 기</t>
        </is>
      </c>
      <c r="N621" s="24" t="inlineStr">
        <is>
          <t>0.0</t>
        </is>
      </c>
      <c r="O621" s="24" t="inlineStr">
        <is>
          <t>0.0</t>
        </is>
      </c>
      <c r="P621" s="24" t="inlineStr">
        <is>
          <t>KRW</t>
        </is>
      </c>
      <c r="Q621" s="24" t="inlineStr">
        <is>
          <t>28</t>
        </is>
      </c>
    </row>
    <row r="622" ht="24" customHeight="1">
      <c r="A622" s="29" t="inlineStr">
        <is>
          <t>OpenDART_fnlttSinglAcntAll</t>
        </is>
      </c>
      <c r="B622" s="29" t="inlineStr">
        <is>
          <t>00160843</t>
        </is>
      </c>
      <c r="C622" s="29" t="inlineStr">
        <is>
          <t>DB하이텍</t>
        </is>
      </c>
      <c r="D622" s="29" t="inlineStr">
        <is>
          <t>dbhitek</t>
        </is>
      </c>
      <c r="E622" s="29" t="inlineStr">
        <is>
          <t>000990</t>
        </is>
      </c>
      <c r="F622" s="29" t="inlineStr">
        <is>
          <t>2024</t>
        </is>
      </c>
      <c r="G622" s="29" t="inlineStr">
        <is>
          <t>CFS</t>
        </is>
      </c>
      <c r="H622" s="29" t="inlineStr">
        <is>
          <t>CF</t>
        </is>
      </c>
      <c r="I622" s="29" t="inlineStr">
        <is>
          <t>현금흐름표</t>
        </is>
      </c>
      <c r="J622" s="29" t="inlineStr">
        <is>
          <t>dart_PurchaseOfInvestmentsInSubsidiaries</t>
        </is>
      </c>
      <c r="K622" s="29" t="inlineStr">
        <is>
          <t>종속기업에 대한 투자자산의 취득</t>
        </is>
      </c>
      <c r="L622" s="29" t="inlineStr">
        <is>
          <t>-</t>
        </is>
      </c>
      <c r="M622" s="29" t="inlineStr">
        <is>
          <t>제 72 기</t>
        </is>
      </c>
      <c r="N622" s="29" t="inlineStr">
        <is>
          <t>55457056774.0</t>
        </is>
      </c>
      <c r="O622" s="29" t="inlineStr">
        <is>
          <t>0.0</t>
        </is>
      </c>
      <c r="P622" s="29" t="inlineStr">
        <is>
          <t>KRW</t>
        </is>
      </c>
      <c r="Q622" s="29" t="inlineStr">
        <is>
          <t>29</t>
        </is>
      </c>
    </row>
    <row r="623" ht="24" customHeight="1">
      <c r="A623" s="24" t="inlineStr">
        <is>
          <t>OpenDART_fnlttSinglAcntAll</t>
        </is>
      </c>
      <c r="B623" s="24" t="inlineStr">
        <is>
          <t>00160843</t>
        </is>
      </c>
      <c r="C623" s="24" t="inlineStr">
        <is>
          <t>DB하이텍</t>
        </is>
      </c>
      <c r="D623" s="24" t="inlineStr">
        <is>
          <t>dbhitek</t>
        </is>
      </c>
      <c r="E623" s="24" t="inlineStr">
        <is>
          <t>000990</t>
        </is>
      </c>
      <c r="F623" s="24" t="inlineStr">
        <is>
          <t>2024</t>
        </is>
      </c>
      <c r="G623" s="24" t="inlineStr">
        <is>
          <t>CFS</t>
        </is>
      </c>
      <c r="H623" s="24" t="inlineStr">
        <is>
          <t>CF</t>
        </is>
      </c>
      <c r="I623" s="24" t="inlineStr">
        <is>
          <t>현금흐름표</t>
        </is>
      </c>
      <c r="J623" s="24" t="inlineStr">
        <is>
          <t>dart_PurchaseOfLongTermFinancialInstruments</t>
        </is>
      </c>
      <c r="K623" s="24" t="inlineStr">
        <is>
          <t>장기금융상품의 취득</t>
        </is>
      </c>
      <c r="L623" s="24" t="inlineStr">
        <is>
          <t>-</t>
        </is>
      </c>
      <c r="M623" s="24" t="inlineStr">
        <is>
          <t>제 72 기</t>
        </is>
      </c>
      <c r="N623" s="24" t="inlineStr">
        <is>
          <t>0.0</t>
        </is>
      </c>
      <c r="O623" s="24" t="inlineStr">
        <is>
          <t>0.0</t>
        </is>
      </c>
      <c r="P623" s="24" t="inlineStr">
        <is>
          <t>KRW</t>
        </is>
      </c>
      <c r="Q623" s="24" t="inlineStr">
        <is>
          <t>30</t>
        </is>
      </c>
    </row>
    <row r="624" ht="24" customHeight="1">
      <c r="A624" s="29" t="inlineStr">
        <is>
          <t>OpenDART_fnlttSinglAcntAll</t>
        </is>
      </c>
      <c r="B624" s="29" t="inlineStr">
        <is>
          <t>00160843</t>
        </is>
      </c>
      <c r="C624" s="29" t="inlineStr">
        <is>
          <t>DB하이텍</t>
        </is>
      </c>
      <c r="D624" s="29" t="inlineStr">
        <is>
          <t>dbhitek</t>
        </is>
      </c>
      <c r="E624" s="29" t="inlineStr">
        <is>
          <t>000990</t>
        </is>
      </c>
      <c r="F624" s="29" t="inlineStr">
        <is>
          <t>2024</t>
        </is>
      </c>
      <c r="G624" s="29" t="inlineStr">
        <is>
          <t>CFS</t>
        </is>
      </c>
      <c r="H624" s="29" t="inlineStr">
        <is>
          <t>CF</t>
        </is>
      </c>
      <c r="I624" s="29" t="inlineStr">
        <is>
          <t>현금흐름표</t>
        </is>
      </c>
      <c r="J624" s="29" t="inlineStr">
        <is>
          <t>dart_PurchaseOfLongTermLoansAndReceivables</t>
        </is>
      </c>
      <c r="K624" s="29" t="inlineStr">
        <is>
          <t>장기대여금및수취채권의 취득</t>
        </is>
      </c>
      <c r="L624" s="29" t="inlineStr">
        <is>
          <t>-</t>
        </is>
      </c>
      <c r="M624" s="29" t="inlineStr">
        <is>
          <t>제 72 기</t>
        </is>
      </c>
      <c r="N624" s="29" t="inlineStr">
        <is>
          <t>1280000000.0</t>
        </is>
      </c>
      <c r="O624" s="29" t="inlineStr">
        <is>
          <t>1350000000.0</t>
        </is>
      </c>
      <c r="P624" s="29" t="inlineStr">
        <is>
          <t>KRW</t>
        </is>
      </c>
      <c r="Q624" s="29" t="inlineStr">
        <is>
          <t>31</t>
        </is>
      </c>
    </row>
    <row r="625" ht="24" customHeight="1">
      <c r="A625" s="24" t="inlineStr">
        <is>
          <t>OpenDART_fnlttSinglAcntAll</t>
        </is>
      </c>
      <c r="B625" s="24" t="inlineStr">
        <is>
          <t>00160843</t>
        </is>
      </c>
      <c r="C625" s="24" t="inlineStr">
        <is>
          <t>DB하이텍</t>
        </is>
      </c>
      <c r="D625" s="24" t="inlineStr">
        <is>
          <t>dbhitek</t>
        </is>
      </c>
      <c r="E625" s="24" t="inlineStr">
        <is>
          <t>000990</t>
        </is>
      </c>
      <c r="F625" s="24" t="inlineStr">
        <is>
          <t>2024</t>
        </is>
      </c>
      <c r="G625" s="24" t="inlineStr">
        <is>
          <t>CFS</t>
        </is>
      </c>
      <c r="H625" s="24" t="inlineStr">
        <is>
          <t>CF</t>
        </is>
      </c>
      <c r="I625" s="24" t="inlineStr">
        <is>
          <t>현금흐름표</t>
        </is>
      </c>
      <c r="J625" s="24" t="inlineStr">
        <is>
          <t>dart_PurchaseOfShortTermFinancialInstruments</t>
        </is>
      </c>
      <c r="K625" s="24" t="inlineStr">
        <is>
          <t>단기금융상품의 취득</t>
        </is>
      </c>
      <c r="L625" s="24" t="inlineStr">
        <is>
          <t>-</t>
        </is>
      </c>
      <c r="M625" s="24" t="inlineStr">
        <is>
          <t>제 72 기</t>
        </is>
      </c>
      <c r="N625" s="24" t="inlineStr">
        <is>
          <t>670256960903.0</t>
        </is>
      </c>
      <c r="O625" s="24" t="inlineStr">
        <is>
          <t>610825643836.0</t>
        </is>
      </c>
      <c r="P625" s="24" t="inlineStr">
        <is>
          <t>KRW</t>
        </is>
      </c>
      <c r="Q625" s="24" t="inlineStr">
        <is>
          <t>32</t>
        </is>
      </c>
    </row>
    <row r="626" ht="24" customHeight="1">
      <c r="A626" s="29" t="inlineStr">
        <is>
          <t>OpenDART_fnlttSinglAcntAll</t>
        </is>
      </c>
      <c r="B626" s="29" t="inlineStr">
        <is>
          <t>00160843</t>
        </is>
      </c>
      <c r="C626" s="29" t="inlineStr">
        <is>
          <t>DB하이텍</t>
        </is>
      </c>
      <c r="D626" s="29" t="inlineStr">
        <is>
          <t>dbhitek</t>
        </is>
      </c>
      <c r="E626" s="29" t="inlineStr">
        <is>
          <t>000990</t>
        </is>
      </c>
      <c r="F626" s="29" t="inlineStr">
        <is>
          <t>2024</t>
        </is>
      </c>
      <c r="G626" s="29" t="inlineStr">
        <is>
          <t>CFS</t>
        </is>
      </c>
      <c r="H626" s="29" t="inlineStr">
        <is>
          <t>CF</t>
        </is>
      </c>
      <c r="I626" s="29" t="inlineStr">
        <is>
          <t>현금흐름표</t>
        </is>
      </c>
      <c r="J626" s="29" t="inlineStr">
        <is>
          <t>-표준계정코드 미사용-</t>
        </is>
      </c>
      <c r="K626" s="29" t="inlineStr">
        <is>
          <t>통화선도부채의 감소</t>
        </is>
      </c>
      <c r="L626" s="29" t="inlineStr">
        <is>
          <t>-</t>
        </is>
      </c>
      <c r="M626" s="29" t="inlineStr">
        <is>
          <t>제 72 기</t>
        </is>
      </c>
      <c r="N626" s="29" t="inlineStr">
        <is>
          <t>-60113520000.0</t>
        </is>
      </c>
      <c r="O626" s="29" t="inlineStr">
        <is>
          <t>0.0</t>
        </is>
      </c>
      <c r="P626" s="29" t="inlineStr">
        <is>
          <t>KRW</t>
        </is>
      </c>
      <c r="Q626" s="29" t="inlineStr">
        <is>
          <t>33</t>
        </is>
      </c>
    </row>
    <row r="627" ht="24" customHeight="1">
      <c r="A627" s="24" t="inlineStr">
        <is>
          <t>OpenDART_fnlttSinglAcntAll</t>
        </is>
      </c>
      <c r="B627" s="24" t="inlineStr">
        <is>
          <t>00160843</t>
        </is>
      </c>
      <c r="C627" s="24" t="inlineStr">
        <is>
          <t>DB하이텍</t>
        </is>
      </c>
      <c r="D627" s="24" t="inlineStr">
        <is>
          <t>dbhitek</t>
        </is>
      </c>
      <c r="E627" s="24" t="inlineStr">
        <is>
          <t>000990</t>
        </is>
      </c>
      <c r="F627" s="24" t="inlineStr">
        <is>
          <t>2024</t>
        </is>
      </c>
      <c r="G627" s="24" t="inlineStr">
        <is>
          <t>CFS</t>
        </is>
      </c>
      <c r="H627" s="24" t="inlineStr">
        <is>
          <t>CF</t>
        </is>
      </c>
      <c r="I627" s="24" t="inlineStr">
        <is>
          <t>현금흐름표</t>
        </is>
      </c>
      <c r="J627" s="24" t="inlineStr">
        <is>
          <t>-표준계정코드 미사용-</t>
        </is>
      </c>
      <c r="K627" s="24" t="inlineStr">
        <is>
          <t>통화선도부채의 증가</t>
        </is>
      </c>
      <c r="L627" s="24" t="inlineStr">
        <is>
          <t>-</t>
        </is>
      </c>
      <c r="M627" s="24" t="inlineStr">
        <is>
          <t>제 72 기</t>
        </is>
      </c>
      <c r="N627" s="24" t="inlineStr">
        <is>
          <t>-61675700000.0</t>
        </is>
      </c>
      <c r="O627" s="24" t="inlineStr">
        <is>
          <t>0.0</t>
        </is>
      </c>
      <c r="P627" s="24" t="inlineStr">
        <is>
          <t>KRW</t>
        </is>
      </c>
      <c r="Q627" s="24" t="inlineStr">
        <is>
          <t>34</t>
        </is>
      </c>
    </row>
    <row r="628" ht="24" customHeight="1">
      <c r="A628" s="29" t="inlineStr">
        <is>
          <t>OpenDART_fnlttSinglAcntAll</t>
        </is>
      </c>
      <c r="B628" s="29" t="inlineStr">
        <is>
          <t>00160843</t>
        </is>
      </c>
      <c r="C628" s="29" t="inlineStr">
        <is>
          <t>DB하이텍</t>
        </is>
      </c>
      <c r="D628" s="29" t="inlineStr">
        <is>
          <t>dbhitek</t>
        </is>
      </c>
      <c r="E628" s="29" t="inlineStr">
        <is>
          <t>000990</t>
        </is>
      </c>
      <c r="F628" s="29" t="inlineStr">
        <is>
          <t>2024</t>
        </is>
      </c>
      <c r="G628" s="29" t="inlineStr">
        <is>
          <t>CFS</t>
        </is>
      </c>
      <c r="H628" s="29" t="inlineStr">
        <is>
          <t>CF</t>
        </is>
      </c>
      <c r="I628" s="29" t="inlineStr">
        <is>
          <t>현금흐름표</t>
        </is>
      </c>
      <c r="J628" s="29" t="inlineStr">
        <is>
          <t>ifrs-full_ProceedsFromGovernmentGrantsClassifiedAsInvestingActivities</t>
        </is>
      </c>
      <c r="K628" s="29" t="inlineStr">
        <is>
          <t>정부보조금의 수취</t>
        </is>
      </c>
      <c r="L628" s="29" t="inlineStr">
        <is>
          <t>-</t>
        </is>
      </c>
      <c r="M628" s="29" t="inlineStr">
        <is>
          <t>제 72 기</t>
        </is>
      </c>
      <c r="N628" s="29" t="inlineStr">
        <is>
          <t>532856669.0</t>
        </is>
      </c>
      <c r="O628" s="29" t="inlineStr">
        <is>
          <t>1619686139.0</t>
        </is>
      </c>
      <c r="P628" s="29" t="inlineStr">
        <is>
          <t>KRW</t>
        </is>
      </c>
      <c r="Q628" s="29" t="inlineStr">
        <is>
          <t>35</t>
        </is>
      </c>
    </row>
    <row r="629" ht="24" customHeight="1">
      <c r="A629" s="24" t="inlineStr">
        <is>
          <t>OpenDART_fnlttSinglAcntAll</t>
        </is>
      </c>
      <c r="B629" s="24" t="inlineStr">
        <is>
          <t>00160843</t>
        </is>
      </c>
      <c r="C629" s="24" t="inlineStr">
        <is>
          <t>DB하이텍</t>
        </is>
      </c>
      <c r="D629" s="24" t="inlineStr">
        <is>
          <t>dbhitek</t>
        </is>
      </c>
      <c r="E629" s="24" t="inlineStr">
        <is>
          <t>000990</t>
        </is>
      </c>
      <c r="F629" s="24" t="inlineStr">
        <is>
          <t>2024</t>
        </is>
      </c>
      <c r="G629" s="24" t="inlineStr">
        <is>
          <t>CFS</t>
        </is>
      </c>
      <c r="H629" s="24" t="inlineStr">
        <is>
          <t>CF</t>
        </is>
      </c>
      <c r="I629" s="24" t="inlineStr">
        <is>
          <t>현금흐름표</t>
        </is>
      </c>
      <c r="J629" s="24" t="inlineStr">
        <is>
          <t>ifrs-full_ProceedsFromSalesOfIntangibleAssetsClassifiedAsInvestingActivities</t>
        </is>
      </c>
      <c r="K629" s="24" t="inlineStr">
        <is>
          <t>무형자산의 처분</t>
        </is>
      </c>
      <c r="L629" s="24" t="inlineStr">
        <is>
          <t>-</t>
        </is>
      </c>
      <c r="M629" s="24" t="inlineStr">
        <is>
          <t>제 72 기</t>
        </is>
      </c>
      <c r="N629" s="24" t="inlineStr">
        <is>
          <t>171777272.0</t>
        </is>
      </c>
      <c r="O629" s="24" t="inlineStr">
        <is>
          <t>162818182.0</t>
        </is>
      </c>
      <c r="P629" s="24" t="inlineStr">
        <is>
          <t>KRW</t>
        </is>
      </c>
      <c r="Q629" s="24" t="inlineStr">
        <is>
          <t>36</t>
        </is>
      </c>
    </row>
    <row r="630" ht="24" customHeight="1">
      <c r="A630" s="29" t="inlineStr">
        <is>
          <t>OpenDART_fnlttSinglAcntAll</t>
        </is>
      </c>
      <c r="B630" s="29" t="inlineStr">
        <is>
          <t>00160843</t>
        </is>
      </c>
      <c r="C630" s="29" t="inlineStr">
        <is>
          <t>DB하이텍</t>
        </is>
      </c>
      <c r="D630" s="29" t="inlineStr">
        <is>
          <t>dbhitek</t>
        </is>
      </c>
      <c r="E630" s="29" t="inlineStr">
        <is>
          <t>000990</t>
        </is>
      </c>
      <c r="F630" s="29" t="inlineStr">
        <is>
          <t>2024</t>
        </is>
      </c>
      <c r="G630" s="29" t="inlineStr">
        <is>
          <t>CFS</t>
        </is>
      </c>
      <c r="H630" s="29" t="inlineStr">
        <is>
          <t>CF</t>
        </is>
      </c>
      <c r="I630" s="29" t="inlineStr">
        <is>
          <t>현금흐름표</t>
        </is>
      </c>
      <c r="J630" s="29" t="inlineStr">
        <is>
          <t>ifrs-full_ProceedsFromSalesOfPropertyPlantAndEquipmentClassifiedAsInvestingActivities</t>
        </is>
      </c>
      <c r="K630" s="29" t="inlineStr">
        <is>
          <t>유형자산의 처분</t>
        </is>
      </c>
      <c r="L630" s="29" t="inlineStr">
        <is>
          <t>-</t>
        </is>
      </c>
      <c r="M630" s="29" t="inlineStr">
        <is>
          <t>제 72 기</t>
        </is>
      </c>
      <c r="N630" s="29" t="inlineStr">
        <is>
          <t>14762707610.0</t>
        </is>
      </c>
      <c r="O630" s="29" t="inlineStr">
        <is>
          <t>10094308367.0</t>
        </is>
      </c>
      <c r="P630" s="29" t="inlineStr">
        <is>
          <t>KRW</t>
        </is>
      </c>
      <c r="Q630" s="29" t="inlineStr">
        <is>
          <t>37</t>
        </is>
      </c>
    </row>
    <row r="631" ht="24" customHeight="1">
      <c r="A631" s="24" t="inlineStr">
        <is>
          <t>OpenDART_fnlttSinglAcntAll</t>
        </is>
      </c>
      <c r="B631" s="24" t="inlineStr">
        <is>
          <t>00160843</t>
        </is>
      </c>
      <c r="C631" s="24" t="inlineStr">
        <is>
          <t>DB하이텍</t>
        </is>
      </c>
      <c r="D631" s="24" t="inlineStr">
        <is>
          <t>dbhitek</t>
        </is>
      </c>
      <c r="E631" s="24" t="inlineStr">
        <is>
          <t>000990</t>
        </is>
      </c>
      <c r="F631" s="24" t="inlineStr">
        <is>
          <t>2024</t>
        </is>
      </c>
      <c r="G631" s="24" t="inlineStr">
        <is>
          <t>CFS</t>
        </is>
      </c>
      <c r="H631" s="24" t="inlineStr">
        <is>
          <t>CF</t>
        </is>
      </c>
      <c r="I631" s="24" t="inlineStr">
        <is>
          <t>현금흐름표</t>
        </is>
      </c>
      <c r="J631" s="24" t="inlineStr">
        <is>
          <t>ifrs-full_PurchaseOfIntangibleAssetsClassifiedAsInvestingActivities</t>
        </is>
      </c>
      <c r="K631" s="24" t="inlineStr">
        <is>
          <t>무형자산의 취득</t>
        </is>
      </c>
      <c r="L631" s="24" t="inlineStr">
        <is>
          <t>-</t>
        </is>
      </c>
      <c r="M631" s="24" t="inlineStr">
        <is>
          <t>제 72 기</t>
        </is>
      </c>
      <c r="N631" s="24" t="inlineStr">
        <is>
          <t>6842584171.0</t>
        </is>
      </c>
      <c r="O631" s="24" t="inlineStr">
        <is>
          <t>6287486130.0</t>
        </is>
      </c>
      <c r="P631" s="24" t="inlineStr">
        <is>
          <t>KRW</t>
        </is>
      </c>
      <c r="Q631" s="24" t="inlineStr">
        <is>
          <t>38</t>
        </is>
      </c>
    </row>
    <row r="632" ht="24" customHeight="1">
      <c r="A632" s="29" t="inlineStr">
        <is>
          <t>OpenDART_fnlttSinglAcntAll</t>
        </is>
      </c>
      <c r="B632" s="29" t="inlineStr">
        <is>
          <t>00160843</t>
        </is>
      </c>
      <c r="C632" s="29" t="inlineStr">
        <is>
          <t>DB하이텍</t>
        </is>
      </c>
      <c r="D632" s="29" t="inlineStr">
        <is>
          <t>dbhitek</t>
        </is>
      </c>
      <c r="E632" s="29" t="inlineStr">
        <is>
          <t>000990</t>
        </is>
      </c>
      <c r="F632" s="29" t="inlineStr">
        <is>
          <t>2024</t>
        </is>
      </c>
      <c r="G632" s="29" t="inlineStr">
        <is>
          <t>CFS</t>
        </is>
      </c>
      <c r="H632" s="29" t="inlineStr">
        <is>
          <t>CF</t>
        </is>
      </c>
      <c r="I632" s="29" t="inlineStr">
        <is>
          <t>현금흐름표</t>
        </is>
      </c>
      <c r="J632" s="29" t="inlineStr">
        <is>
          <t>ifrs-full_PurchaseOfPropertyPlantAndEquipmentClassifiedAsInvestingActivities</t>
        </is>
      </c>
      <c r="K632" s="29" t="inlineStr">
        <is>
          <t>유형자산의 취득</t>
        </is>
      </c>
      <c r="L632" s="29" t="inlineStr">
        <is>
          <t>-</t>
        </is>
      </c>
      <c r="M632" s="29" t="inlineStr">
        <is>
          <t>제 72 기</t>
        </is>
      </c>
      <c r="N632" s="29" t="inlineStr">
        <is>
          <t>126689883424.0</t>
        </is>
      </c>
      <c r="O632" s="29" t="inlineStr">
        <is>
          <t>329311056539.0</t>
        </is>
      </c>
      <c r="P632" s="29" t="inlineStr">
        <is>
          <t>KRW</t>
        </is>
      </c>
      <c r="Q632" s="29" t="inlineStr">
        <is>
          <t>39</t>
        </is>
      </c>
    </row>
    <row r="633" ht="24" customHeight="1">
      <c r="A633" s="24" t="inlineStr">
        <is>
          <t>OpenDART_fnlttSinglAcntAll</t>
        </is>
      </c>
      <c r="B633" s="24" t="inlineStr">
        <is>
          <t>00160843</t>
        </is>
      </c>
      <c r="C633" s="24" t="inlineStr">
        <is>
          <t>DB하이텍</t>
        </is>
      </c>
      <c r="D633" s="24" t="inlineStr">
        <is>
          <t>dbhitek</t>
        </is>
      </c>
      <c r="E633" s="24" t="inlineStr">
        <is>
          <t>000990</t>
        </is>
      </c>
      <c r="F633" s="24" t="inlineStr">
        <is>
          <t>2024</t>
        </is>
      </c>
      <c r="G633" s="24" t="inlineStr">
        <is>
          <t>CFS</t>
        </is>
      </c>
      <c r="H633" s="24" t="inlineStr">
        <is>
          <t>CF</t>
        </is>
      </c>
      <c r="I633" s="24" t="inlineStr">
        <is>
          <t>현금흐름표</t>
        </is>
      </c>
      <c r="J633" s="24" t="inlineStr">
        <is>
          <t>ifrs-full_CashFlowsFromUsedInOperatingActivities</t>
        </is>
      </c>
      <c r="K633" s="24" t="inlineStr">
        <is>
          <t>영업활동현금흐름</t>
        </is>
      </c>
      <c r="L633" s="24" t="inlineStr">
        <is>
          <t>-</t>
        </is>
      </c>
      <c r="M633" s="24" t="inlineStr">
        <is>
          <t>제 72 기</t>
        </is>
      </c>
      <c r="N633" s="24" t="inlineStr">
        <is>
          <t>382634373825.0</t>
        </is>
      </c>
      <c r="O633" s="24" t="inlineStr">
        <is>
          <t>224258155766.0</t>
        </is>
      </c>
      <c r="P633" s="24" t="inlineStr">
        <is>
          <t>KRW</t>
        </is>
      </c>
      <c r="Q633" s="24" t="inlineStr">
        <is>
          <t>40</t>
        </is>
      </c>
    </row>
    <row r="634" ht="24" customHeight="1">
      <c r="A634" s="29" t="inlineStr">
        <is>
          <t>OpenDART_fnlttSinglAcntAll</t>
        </is>
      </c>
      <c r="B634" s="29" t="inlineStr">
        <is>
          <t>00160843</t>
        </is>
      </c>
      <c r="C634" s="29" t="inlineStr">
        <is>
          <t>DB하이텍</t>
        </is>
      </c>
      <c r="D634" s="29" t="inlineStr">
        <is>
          <t>dbhitek</t>
        </is>
      </c>
      <c r="E634" s="29" t="inlineStr">
        <is>
          <t>000990</t>
        </is>
      </c>
      <c r="F634" s="29" t="inlineStr">
        <is>
          <t>2024</t>
        </is>
      </c>
      <c r="G634" s="29" t="inlineStr">
        <is>
          <t>CFS</t>
        </is>
      </c>
      <c r="H634" s="29" t="inlineStr">
        <is>
          <t>CF</t>
        </is>
      </c>
      <c r="I634" s="29" t="inlineStr">
        <is>
          <t>현금흐름표</t>
        </is>
      </c>
      <c r="J634" s="29" t="inlineStr">
        <is>
          <t>dart_NetCashflowsFromUsedInOperations</t>
        </is>
      </c>
      <c r="K634" s="29" t="inlineStr">
        <is>
          <t>영업에서 창출된 현금</t>
        </is>
      </c>
      <c r="L634" s="29" t="inlineStr">
        <is>
          <t>-</t>
        </is>
      </c>
      <c r="M634" s="29" t="inlineStr">
        <is>
          <t>제 72 기</t>
        </is>
      </c>
      <c r="N634" s="29" t="inlineStr">
        <is>
          <t>409722012459.0</t>
        </is>
      </c>
      <c r="O634" s="29" t="inlineStr">
        <is>
          <t>434713142956.0</t>
        </is>
      </c>
      <c r="P634" s="29" t="inlineStr">
        <is>
          <t>KRW</t>
        </is>
      </c>
      <c r="Q634" s="29" t="inlineStr">
        <is>
          <t>41</t>
        </is>
      </c>
    </row>
    <row r="635" ht="24" customHeight="1">
      <c r="A635" s="24" t="inlineStr">
        <is>
          <t>OpenDART_fnlttSinglAcntAll</t>
        </is>
      </c>
      <c r="B635" s="24" t="inlineStr">
        <is>
          <t>00160843</t>
        </is>
      </c>
      <c r="C635" s="24" t="inlineStr">
        <is>
          <t>DB하이텍</t>
        </is>
      </c>
      <c r="D635" s="24" t="inlineStr">
        <is>
          <t>dbhitek</t>
        </is>
      </c>
      <c r="E635" s="24" t="inlineStr">
        <is>
          <t>000990</t>
        </is>
      </c>
      <c r="F635" s="24" t="inlineStr">
        <is>
          <t>2024</t>
        </is>
      </c>
      <c r="G635" s="24" t="inlineStr">
        <is>
          <t>CFS</t>
        </is>
      </c>
      <c r="H635" s="24" t="inlineStr">
        <is>
          <t>CF</t>
        </is>
      </c>
      <c r="I635" s="24" t="inlineStr">
        <is>
          <t>현금흐름표</t>
        </is>
      </c>
      <c r="J635" s="24" t="inlineStr">
        <is>
          <t>ifrs-full_DividendsPaidClassifiedAsOperatingActivities</t>
        </is>
      </c>
      <c r="K635" s="24" t="inlineStr">
        <is>
          <t>배당금지급(영업)</t>
        </is>
      </c>
      <c r="L635" s="24" t="inlineStr">
        <is>
          <t>-</t>
        </is>
      </c>
      <c r="M635" s="24" t="inlineStr">
        <is>
          <t>제 72 기</t>
        </is>
      </c>
      <c r="N635" s="24" t="inlineStr">
        <is>
          <t>24248339817.0</t>
        </is>
      </c>
      <c r="O635" s="24" t="inlineStr">
        <is>
          <t>56504612200.0</t>
        </is>
      </c>
      <c r="P635" s="24" t="inlineStr">
        <is>
          <t>KRW</t>
        </is>
      </c>
      <c r="Q635" s="24" t="inlineStr">
        <is>
          <t>42</t>
        </is>
      </c>
    </row>
    <row r="636" ht="24" customHeight="1">
      <c r="A636" s="29" t="inlineStr">
        <is>
          <t>OpenDART_fnlttSinglAcntAll</t>
        </is>
      </c>
      <c r="B636" s="29" t="inlineStr">
        <is>
          <t>00160843</t>
        </is>
      </c>
      <c r="C636" s="29" t="inlineStr">
        <is>
          <t>DB하이텍</t>
        </is>
      </c>
      <c r="D636" s="29" t="inlineStr">
        <is>
          <t>dbhitek</t>
        </is>
      </c>
      <c r="E636" s="29" t="inlineStr">
        <is>
          <t>000990</t>
        </is>
      </c>
      <c r="F636" s="29" t="inlineStr">
        <is>
          <t>2024</t>
        </is>
      </c>
      <c r="G636" s="29" t="inlineStr">
        <is>
          <t>CFS</t>
        </is>
      </c>
      <c r="H636" s="29" t="inlineStr">
        <is>
          <t>CF</t>
        </is>
      </c>
      <c r="I636" s="29" t="inlineStr">
        <is>
          <t>현금흐름표</t>
        </is>
      </c>
      <c r="J636" s="29" t="inlineStr">
        <is>
          <t>ifrs-full_DividendsReceivedClassifiedAsOperatingActivities</t>
        </is>
      </c>
      <c r="K636" s="29" t="inlineStr">
        <is>
          <t>배당금수취(영업)</t>
        </is>
      </c>
      <c r="L636" s="29" t="inlineStr">
        <is>
          <t>-</t>
        </is>
      </c>
      <c r="M636" s="29" t="inlineStr">
        <is>
          <t>제 72 기</t>
        </is>
      </c>
      <c r="N636" s="29" t="inlineStr">
        <is>
          <t>5341460615.0</t>
        </is>
      </c>
      <c r="O636" s="29" t="inlineStr">
        <is>
          <t>542439652.0</t>
        </is>
      </c>
      <c r="P636" s="29" t="inlineStr">
        <is>
          <t>KRW</t>
        </is>
      </c>
      <c r="Q636" s="29" t="inlineStr">
        <is>
          <t>43</t>
        </is>
      </c>
    </row>
    <row r="637" ht="24" customHeight="1">
      <c r="A637" s="24" t="inlineStr">
        <is>
          <t>OpenDART_fnlttSinglAcntAll</t>
        </is>
      </c>
      <c r="B637" s="24" t="inlineStr">
        <is>
          <t>00160843</t>
        </is>
      </c>
      <c r="C637" s="24" t="inlineStr">
        <is>
          <t>DB하이텍</t>
        </is>
      </c>
      <c r="D637" s="24" t="inlineStr">
        <is>
          <t>dbhitek</t>
        </is>
      </c>
      <c r="E637" s="24" t="inlineStr">
        <is>
          <t>000990</t>
        </is>
      </c>
      <c r="F637" s="24" t="inlineStr">
        <is>
          <t>2024</t>
        </is>
      </c>
      <c r="G637" s="24" t="inlineStr">
        <is>
          <t>CFS</t>
        </is>
      </c>
      <c r="H637" s="24" t="inlineStr">
        <is>
          <t>CF</t>
        </is>
      </c>
      <c r="I637" s="24" t="inlineStr">
        <is>
          <t>현금흐름표</t>
        </is>
      </c>
      <c r="J637" s="24" t="inlineStr">
        <is>
          <t>ifrs-full_IncomeTaxesPaidRefundClassifiedAsOperatingActivities</t>
        </is>
      </c>
      <c r="K637" s="24" t="inlineStr">
        <is>
          <t>법인세환급(납부)</t>
        </is>
      </c>
      <c r="L637" s="24" t="inlineStr">
        <is>
          <t>-</t>
        </is>
      </c>
      <c r="M637" s="24" t="inlineStr">
        <is>
          <t>제 72 기</t>
        </is>
      </c>
      <c r="N637" s="24" t="inlineStr">
        <is>
          <t>30827242959.0</t>
        </is>
      </c>
      <c r="O637" s="24" t="inlineStr">
        <is>
          <t>178717371100.0</t>
        </is>
      </c>
      <c r="P637" s="24" t="inlineStr">
        <is>
          <t>KRW</t>
        </is>
      </c>
      <c r="Q637" s="24" t="inlineStr">
        <is>
          <t>44</t>
        </is>
      </c>
    </row>
    <row r="638" ht="24" customHeight="1">
      <c r="A638" s="29" t="inlineStr">
        <is>
          <t>OpenDART_fnlttSinglAcntAll</t>
        </is>
      </c>
      <c r="B638" s="29" t="inlineStr">
        <is>
          <t>00160843</t>
        </is>
      </c>
      <c r="C638" s="29" t="inlineStr">
        <is>
          <t>DB하이텍</t>
        </is>
      </c>
      <c r="D638" s="29" t="inlineStr">
        <is>
          <t>dbhitek</t>
        </is>
      </c>
      <c r="E638" s="29" t="inlineStr">
        <is>
          <t>000990</t>
        </is>
      </c>
      <c r="F638" s="29" t="inlineStr">
        <is>
          <t>2024</t>
        </is>
      </c>
      <c r="G638" s="29" t="inlineStr">
        <is>
          <t>CFS</t>
        </is>
      </c>
      <c r="H638" s="29" t="inlineStr">
        <is>
          <t>CF</t>
        </is>
      </c>
      <c r="I638" s="29" t="inlineStr">
        <is>
          <t>현금흐름표</t>
        </is>
      </c>
      <c r="J638" s="29" t="inlineStr">
        <is>
          <t>ifrs-full_InterestPaidClassifiedAsOperatingActivities</t>
        </is>
      </c>
      <c r="K638" s="29" t="inlineStr">
        <is>
          <t>이자지급(영업)</t>
        </is>
      </c>
      <c r="L638" s="29" t="inlineStr">
        <is>
          <t>-</t>
        </is>
      </c>
      <c r="M638" s="29" t="inlineStr">
        <is>
          <t>제 72 기</t>
        </is>
      </c>
      <c r="N638" s="29" t="inlineStr">
        <is>
          <t>2769205248.0</t>
        </is>
      </c>
      <c r="O638" s="29" t="inlineStr">
        <is>
          <t>1153045852.0</t>
        </is>
      </c>
      <c r="P638" s="29" t="inlineStr">
        <is>
          <t>KRW</t>
        </is>
      </c>
      <c r="Q638" s="29" t="inlineStr">
        <is>
          <t>45</t>
        </is>
      </c>
    </row>
    <row r="639" ht="24" customHeight="1">
      <c r="A639" s="24" t="inlineStr">
        <is>
          <t>OpenDART_fnlttSinglAcntAll</t>
        </is>
      </c>
      <c r="B639" s="24" t="inlineStr">
        <is>
          <t>00160843</t>
        </is>
      </c>
      <c r="C639" s="24" t="inlineStr">
        <is>
          <t>DB하이텍</t>
        </is>
      </c>
      <c r="D639" s="24" t="inlineStr">
        <is>
          <t>dbhitek</t>
        </is>
      </c>
      <c r="E639" s="24" t="inlineStr">
        <is>
          <t>000990</t>
        </is>
      </c>
      <c r="F639" s="24" t="inlineStr">
        <is>
          <t>2024</t>
        </is>
      </c>
      <c r="G639" s="24" t="inlineStr">
        <is>
          <t>CFS</t>
        </is>
      </c>
      <c r="H639" s="24" t="inlineStr">
        <is>
          <t>CF</t>
        </is>
      </c>
      <c r="I639" s="24" t="inlineStr">
        <is>
          <t>현금흐름표</t>
        </is>
      </c>
      <c r="J639" s="24" t="inlineStr">
        <is>
          <t>ifrs-full_InterestReceivedClassifiedAsOperatingActivities</t>
        </is>
      </c>
      <c r="K639" s="24" t="inlineStr">
        <is>
          <t>이자수취</t>
        </is>
      </c>
      <c r="L639" s="24" t="inlineStr">
        <is>
          <t>-</t>
        </is>
      </c>
      <c r="M639" s="24" t="inlineStr">
        <is>
          <t>제 72 기</t>
        </is>
      </c>
      <c r="N639" s="24" t="inlineStr">
        <is>
          <t>25415688775.0</t>
        </is>
      </c>
      <c r="O639" s="24" t="inlineStr">
        <is>
          <t>25377602310.0</t>
        </is>
      </c>
      <c r="P639" s="24" t="inlineStr">
        <is>
          <t>KRW</t>
        </is>
      </c>
      <c r="Q639" s="24" t="inlineStr">
        <is>
          <t>46</t>
        </is>
      </c>
    </row>
    <row r="640" ht="24" customHeight="1">
      <c r="A640" s="29" t="inlineStr">
        <is>
          <t>OpenDART_fnlttSinglAcntAll</t>
        </is>
      </c>
      <c r="B640" s="29" t="inlineStr">
        <is>
          <t>00160843</t>
        </is>
      </c>
      <c r="C640" s="29" t="inlineStr">
        <is>
          <t>DB하이텍</t>
        </is>
      </c>
      <c r="D640" s="29" t="inlineStr">
        <is>
          <t>dbhitek</t>
        </is>
      </c>
      <c r="E640" s="29" t="inlineStr">
        <is>
          <t>000990</t>
        </is>
      </c>
      <c r="F640" s="29" t="inlineStr">
        <is>
          <t>2024</t>
        </is>
      </c>
      <c r="G640" s="29" t="inlineStr">
        <is>
          <t>CFS</t>
        </is>
      </c>
      <c r="H640" s="29" t="inlineStr">
        <is>
          <t>CF</t>
        </is>
      </c>
      <c r="I640" s="29" t="inlineStr">
        <is>
          <t>현금흐름표</t>
        </is>
      </c>
      <c r="J640" s="29" t="inlineStr">
        <is>
          <t>ifrs-full_EffectOfExchangeRateChangesOnCashAndCashEquivalents</t>
        </is>
      </c>
      <c r="K640" s="29" t="inlineStr">
        <is>
          <t>현금및현금성자산에 대한 환율변동효과</t>
        </is>
      </c>
      <c r="L640" s="29" t="inlineStr">
        <is>
          <t>-</t>
        </is>
      </c>
      <c r="M640" s="29" t="inlineStr">
        <is>
          <t>제 72 기</t>
        </is>
      </c>
      <c r="N640" s="29" t="inlineStr">
        <is>
          <t>3470314890.0</t>
        </is>
      </c>
      <c r="O640" s="29" t="inlineStr">
        <is>
          <t>-5378275396.0</t>
        </is>
      </c>
      <c r="P640" s="29" t="inlineStr">
        <is>
          <t>KRW</t>
        </is>
      </c>
      <c r="Q640" s="29" t="inlineStr">
        <is>
          <t>47</t>
        </is>
      </c>
    </row>
    <row r="641" ht="24" customHeight="1">
      <c r="A641" s="24" t="inlineStr">
        <is>
          <t>OpenDART_fnlttSinglAcntAll</t>
        </is>
      </c>
      <c r="B641" s="24" t="inlineStr">
        <is>
          <t>00160843</t>
        </is>
      </c>
      <c r="C641" s="24" t="inlineStr">
        <is>
          <t>DB하이텍</t>
        </is>
      </c>
      <c r="D641" s="24" t="inlineStr">
        <is>
          <t>dbhitek</t>
        </is>
      </c>
      <c r="E641" s="24" t="inlineStr">
        <is>
          <t>000990</t>
        </is>
      </c>
      <c r="F641" s="24" t="inlineStr">
        <is>
          <t>2024</t>
        </is>
      </c>
      <c r="G641" s="24" t="inlineStr">
        <is>
          <t>CFS</t>
        </is>
      </c>
      <c r="H641" s="24" t="inlineStr">
        <is>
          <t>CF</t>
        </is>
      </c>
      <c r="I641" s="24" t="inlineStr">
        <is>
          <t>현금흐름표</t>
        </is>
      </c>
      <c r="J641" s="24" t="inlineStr">
        <is>
          <t>ifrs-full_IncreaseDecreaseInCashAndCashEquivalentsBeforeEffectOfExchangeRateChanges</t>
        </is>
      </c>
      <c r="K641" s="24" t="inlineStr">
        <is>
          <t>환율변동효과 반영전 현금및현금성자산의 순증가(감소)</t>
        </is>
      </c>
      <c r="L641" s="24" t="inlineStr">
        <is>
          <t>-</t>
        </is>
      </c>
      <c r="M641" s="24" t="inlineStr">
        <is>
          <t>제 72 기</t>
        </is>
      </c>
      <c r="N641" s="24" t="inlineStr">
        <is>
          <t>40254022065.0</t>
        </is>
      </c>
      <c r="O641" s="24" t="inlineStr">
        <is>
          <t>105049880937.0</t>
        </is>
      </c>
      <c r="P641" s="24" t="inlineStr">
        <is>
          <t>KRW</t>
        </is>
      </c>
      <c r="Q641" s="24" t="inlineStr">
        <is>
          <t>48</t>
        </is>
      </c>
    </row>
    <row r="642" ht="24" customHeight="1">
      <c r="A642" s="29" t="inlineStr">
        <is>
          <t>OpenDART_fnlttSinglAcntAll</t>
        </is>
      </c>
      <c r="B642" s="29" t="inlineStr">
        <is>
          <t>00160843</t>
        </is>
      </c>
      <c r="C642" s="29" t="inlineStr">
        <is>
          <t>DB하이텍</t>
        </is>
      </c>
      <c r="D642" s="29" t="inlineStr">
        <is>
          <t>dbhitek</t>
        </is>
      </c>
      <c r="E642" s="29" t="inlineStr">
        <is>
          <t>000990</t>
        </is>
      </c>
      <c r="F642" s="29" t="inlineStr">
        <is>
          <t>2024</t>
        </is>
      </c>
      <c r="G642" s="29" t="inlineStr">
        <is>
          <t>CFS</t>
        </is>
      </c>
      <c r="H642" s="29" t="inlineStr">
        <is>
          <t>SCE</t>
        </is>
      </c>
      <c r="I642" s="29" t="inlineStr">
        <is>
          <t>자본변동표</t>
        </is>
      </c>
      <c r="J642" s="29" t="inlineStr">
        <is>
          <t>dart_EquityAtBeginningOfPeriod</t>
        </is>
      </c>
      <c r="K642" s="29" t="inlineStr">
        <is>
          <t>기초자본</t>
        </is>
      </c>
      <c r="L642" s="29" t="inlineStr">
        <is>
          <t>자본 [구성요소]|지배기업의 소유주에게 귀속되는 지분 [구성요소]|자본금 [구성요소]</t>
        </is>
      </c>
      <c r="M642" s="29" t="inlineStr">
        <is>
          <t>제 72 기</t>
        </is>
      </c>
      <c r="N642" s="29" t="inlineStr">
        <is>
          <t>222555835000.0</t>
        </is>
      </c>
      <c r="O642" s="29" t="inlineStr">
        <is>
          <t>222555835000.0</t>
        </is>
      </c>
      <c r="P642" s="29" t="inlineStr">
        <is>
          <t>KRW</t>
        </is>
      </c>
      <c r="Q642" s="29" t="inlineStr">
        <is>
          <t>3</t>
        </is>
      </c>
    </row>
    <row r="643" ht="24" customHeight="1">
      <c r="A643" s="24" t="inlineStr">
        <is>
          <t>OpenDART_fnlttSinglAcntAll</t>
        </is>
      </c>
      <c r="B643" s="24" t="inlineStr">
        <is>
          <t>00160843</t>
        </is>
      </c>
      <c r="C643" s="24" t="inlineStr">
        <is>
          <t>DB하이텍</t>
        </is>
      </c>
      <c r="D643" s="24" t="inlineStr">
        <is>
          <t>dbhitek</t>
        </is>
      </c>
      <c r="E643" s="24" t="inlineStr">
        <is>
          <t>000990</t>
        </is>
      </c>
      <c r="F643" s="24" t="inlineStr">
        <is>
          <t>2024</t>
        </is>
      </c>
      <c r="G643" s="24" t="inlineStr">
        <is>
          <t>CFS</t>
        </is>
      </c>
      <c r="H643" s="24" t="inlineStr">
        <is>
          <t>SCE</t>
        </is>
      </c>
      <c r="I643" s="24" t="inlineStr">
        <is>
          <t>자본변동표</t>
        </is>
      </c>
      <c r="J643" s="24" t="inlineStr">
        <is>
          <t>dart_EquityAtBeginningOfPeriod</t>
        </is>
      </c>
      <c r="K643" s="24" t="inlineStr">
        <is>
          <t>기초자본</t>
        </is>
      </c>
      <c r="L643" s="24" t="inlineStr">
        <is>
          <t>자본 [구성요소]|지배기업의 소유주에게 귀속되는 지분 [구성요소]|이익잉여금 [구성요소]</t>
        </is>
      </c>
      <c r="M643" s="24" t="inlineStr">
        <is>
          <t>제 72 기</t>
        </is>
      </c>
      <c r="N643" s="24" t="inlineStr">
        <is>
          <t>1563260865279.0</t>
        </is>
      </c>
      <c r="O643" s="24" t="inlineStr">
        <is>
          <t>1362360581571.0</t>
        </is>
      </c>
      <c r="P643" s="24" t="inlineStr">
        <is>
          <t>KRW</t>
        </is>
      </c>
      <c r="Q643" s="24" t="inlineStr">
        <is>
          <t>3</t>
        </is>
      </c>
    </row>
    <row r="644" ht="24" customHeight="1">
      <c r="A644" s="29" t="inlineStr">
        <is>
          <t>OpenDART_fnlttSinglAcntAll</t>
        </is>
      </c>
      <c r="B644" s="29" t="inlineStr">
        <is>
          <t>00160843</t>
        </is>
      </c>
      <c r="C644" s="29" t="inlineStr">
        <is>
          <t>DB하이텍</t>
        </is>
      </c>
      <c r="D644" s="29" t="inlineStr">
        <is>
          <t>dbhitek</t>
        </is>
      </c>
      <c r="E644" s="29" t="inlineStr">
        <is>
          <t>000990</t>
        </is>
      </c>
      <c r="F644" s="29" t="inlineStr">
        <is>
          <t>2024</t>
        </is>
      </c>
      <c r="G644" s="29" t="inlineStr">
        <is>
          <t>CFS</t>
        </is>
      </c>
      <c r="H644" s="29" t="inlineStr">
        <is>
          <t>SCE</t>
        </is>
      </c>
      <c r="I644" s="29" t="inlineStr">
        <is>
          <t>자본변동표</t>
        </is>
      </c>
      <c r="J644" s="29" t="inlineStr">
        <is>
          <t>dart_EquityAtBeginningOfPeriod</t>
        </is>
      </c>
      <c r="K644" s="29" t="inlineStr">
        <is>
          <t>기초자본</t>
        </is>
      </c>
      <c r="L644" s="29" t="inlineStr">
        <is>
          <t>자본 [구성요소]|지배기업의 소유주에게 귀속되는 지분 [구성요소]|기타자본구성요소 [구성요소]</t>
        </is>
      </c>
      <c r="M644" s="29" t="inlineStr">
        <is>
          <t>제 72 기</t>
        </is>
      </c>
      <c r="N644" s="29" t="inlineStr">
        <is>
          <t>-173062538826.0</t>
        </is>
      </c>
      <c r="O644" s="29" t="inlineStr">
        <is>
          <t>-77460548970.0</t>
        </is>
      </c>
      <c r="P644" s="29" t="inlineStr">
        <is>
          <t>KRW</t>
        </is>
      </c>
      <c r="Q644" s="29" t="inlineStr">
        <is>
          <t>3</t>
        </is>
      </c>
    </row>
    <row r="645" ht="24" customHeight="1">
      <c r="A645" s="24" t="inlineStr">
        <is>
          <t>OpenDART_fnlttSinglAcntAll</t>
        </is>
      </c>
      <c r="B645" s="24" t="inlineStr">
        <is>
          <t>00160843</t>
        </is>
      </c>
      <c r="C645" s="24" t="inlineStr">
        <is>
          <t>DB하이텍</t>
        </is>
      </c>
      <c r="D645" s="24" t="inlineStr">
        <is>
          <t>dbhitek</t>
        </is>
      </c>
      <c r="E645" s="24" t="inlineStr">
        <is>
          <t>000990</t>
        </is>
      </c>
      <c r="F645" s="24" t="inlineStr">
        <is>
          <t>2024</t>
        </is>
      </c>
      <c r="G645" s="24" t="inlineStr">
        <is>
          <t>CFS</t>
        </is>
      </c>
      <c r="H645" s="24" t="inlineStr">
        <is>
          <t>SCE</t>
        </is>
      </c>
      <c r="I645" s="24" t="inlineStr">
        <is>
          <t>자본변동표</t>
        </is>
      </c>
      <c r="J645" s="24" t="inlineStr">
        <is>
          <t>dart_EquityAtBeginningOfPeriod</t>
        </is>
      </c>
      <c r="K645" s="24" t="inlineStr">
        <is>
          <t>기초자본</t>
        </is>
      </c>
      <c r="L645" s="24" t="inlineStr">
        <is>
          <t>연결재무제표 [member]</t>
        </is>
      </c>
      <c r="M645" s="24" t="inlineStr">
        <is>
          <t>제 72 기</t>
        </is>
      </c>
      <c r="N645" s="24" t="inlineStr">
        <is>
          <t>1740082437747.0</t>
        </is>
      </c>
      <c r="O645" s="24" t="inlineStr">
        <is>
          <t>1634784143895.0</t>
        </is>
      </c>
      <c r="P645" s="24" t="inlineStr">
        <is>
          <t>KRW</t>
        </is>
      </c>
      <c r="Q645" s="24" t="inlineStr">
        <is>
          <t>3</t>
        </is>
      </c>
    </row>
    <row r="646" ht="24" customHeight="1">
      <c r="A646" s="29" t="inlineStr">
        <is>
          <t>OpenDART_fnlttSinglAcntAll</t>
        </is>
      </c>
      <c r="B646" s="29" t="inlineStr">
        <is>
          <t>00160843</t>
        </is>
      </c>
      <c r="C646" s="29" t="inlineStr">
        <is>
          <t>DB하이텍</t>
        </is>
      </c>
      <c r="D646" s="29" t="inlineStr">
        <is>
          <t>dbhitek</t>
        </is>
      </c>
      <c r="E646" s="29" t="inlineStr">
        <is>
          <t>000990</t>
        </is>
      </c>
      <c r="F646" s="29" t="inlineStr">
        <is>
          <t>2024</t>
        </is>
      </c>
      <c r="G646" s="29" t="inlineStr">
        <is>
          <t>CFS</t>
        </is>
      </c>
      <c r="H646" s="29" t="inlineStr">
        <is>
          <t>SCE</t>
        </is>
      </c>
      <c r="I646" s="29" t="inlineStr">
        <is>
          <t>자본변동표</t>
        </is>
      </c>
      <c r="J646" s="29" t="inlineStr">
        <is>
          <t>dart_EquityAtBeginningOfPeriod</t>
        </is>
      </c>
      <c r="K646" s="29" t="inlineStr">
        <is>
          <t>기초자본</t>
        </is>
      </c>
      <c r="L646" s="29" t="inlineStr">
        <is>
          <t>자본 [구성요소]|비지배지분 [구성요소]</t>
        </is>
      </c>
      <c r="M646" s="29" t="inlineStr">
        <is>
          <t>제 72 기</t>
        </is>
      </c>
      <c r="N646" s="29" t="inlineStr">
        <is>
          <t>0.0</t>
        </is>
      </c>
      <c r="O646" s="29" t="inlineStr">
        <is>
          <t>0.0</t>
        </is>
      </c>
      <c r="P646" s="29" t="inlineStr">
        <is>
          <t>KRW</t>
        </is>
      </c>
      <c r="Q646" s="29" t="inlineStr">
        <is>
          <t>3</t>
        </is>
      </c>
    </row>
    <row r="647" ht="24" customHeight="1">
      <c r="A647" s="24" t="inlineStr">
        <is>
          <t>OpenDART_fnlttSinglAcntAll</t>
        </is>
      </c>
      <c r="B647" s="24" t="inlineStr">
        <is>
          <t>00160843</t>
        </is>
      </c>
      <c r="C647" s="24" t="inlineStr">
        <is>
          <t>DB하이텍</t>
        </is>
      </c>
      <c r="D647" s="24" t="inlineStr">
        <is>
          <t>dbhitek</t>
        </is>
      </c>
      <c r="E647" s="24" t="inlineStr">
        <is>
          <t>000990</t>
        </is>
      </c>
      <c r="F647" s="24" t="inlineStr">
        <is>
          <t>2024</t>
        </is>
      </c>
      <c r="G647" s="24" t="inlineStr">
        <is>
          <t>CFS</t>
        </is>
      </c>
      <c r="H647" s="24" t="inlineStr">
        <is>
          <t>SCE</t>
        </is>
      </c>
      <c r="I647" s="24" t="inlineStr">
        <is>
          <t>자본변동표</t>
        </is>
      </c>
      <c r="J647" s="24" t="inlineStr">
        <is>
          <t>dart_EquityAtBeginningOfPeriod</t>
        </is>
      </c>
      <c r="K647" s="24" t="inlineStr">
        <is>
          <t>기초자본</t>
        </is>
      </c>
      <c r="L647" s="24" t="inlineStr">
        <is>
          <t>자본 [구성요소]|지배기업의 소유주에게 귀속되는 지분 [구성요소]</t>
        </is>
      </c>
      <c r="M647" s="24" t="inlineStr">
        <is>
          <t>제 72 기</t>
        </is>
      </c>
      <c r="N647" s="24" t="inlineStr">
        <is>
          <t>1740082437747.0</t>
        </is>
      </c>
      <c r="O647" s="24" t="inlineStr">
        <is>
          <t>1634784143895.0</t>
        </is>
      </c>
      <c r="P647" s="24" t="inlineStr">
        <is>
          <t>KRW</t>
        </is>
      </c>
      <c r="Q647" s="24" t="inlineStr">
        <is>
          <t>3</t>
        </is>
      </c>
    </row>
    <row r="648" ht="24" customHeight="1">
      <c r="A648" s="29" t="inlineStr">
        <is>
          <t>OpenDART_fnlttSinglAcntAll</t>
        </is>
      </c>
      <c r="B648" s="29" t="inlineStr">
        <is>
          <t>00160843</t>
        </is>
      </c>
      <c r="C648" s="29" t="inlineStr">
        <is>
          <t>DB하이텍</t>
        </is>
      </c>
      <c r="D648" s="29" t="inlineStr">
        <is>
          <t>dbhitek</t>
        </is>
      </c>
      <c r="E648" s="29" t="inlineStr">
        <is>
          <t>000990</t>
        </is>
      </c>
      <c r="F648" s="29" t="inlineStr">
        <is>
          <t>2024</t>
        </is>
      </c>
      <c r="G648" s="29" t="inlineStr">
        <is>
          <t>CFS</t>
        </is>
      </c>
      <c r="H648" s="29" t="inlineStr">
        <is>
          <t>SCE</t>
        </is>
      </c>
      <c r="I648" s="29" t="inlineStr">
        <is>
          <t>자본변동표</t>
        </is>
      </c>
      <c r="J648" s="29" t="inlineStr">
        <is>
          <t>dart_EquityAtBeginningOfPeriod</t>
        </is>
      </c>
      <c r="K648" s="29" t="inlineStr">
        <is>
          <t>기초자본</t>
        </is>
      </c>
      <c r="L648" s="29" t="inlineStr">
        <is>
          <t>자본 [구성요소]|지배기업의 소유주에게 귀속되는 지분 [구성요소]|자본잉여금 [구성요소]</t>
        </is>
      </c>
      <c r="M648" s="29" t="inlineStr">
        <is>
          <t>제 72 기</t>
        </is>
      </c>
      <c r="N648" s="29" t="inlineStr">
        <is>
          <t>127328276294.0</t>
        </is>
      </c>
      <c r="O648" s="29" t="inlineStr">
        <is>
          <t>127328276294.0</t>
        </is>
      </c>
      <c r="P648" s="29" t="inlineStr">
        <is>
          <t>KRW</t>
        </is>
      </c>
      <c r="Q648" s="29" t="inlineStr">
        <is>
          <t>3</t>
        </is>
      </c>
    </row>
    <row r="649" ht="24" customHeight="1">
      <c r="A649" s="24" t="inlineStr">
        <is>
          <t>OpenDART_fnlttSinglAcntAll</t>
        </is>
      </c>
      <c r="B649" s="24" t="inlineStr">
        <is>
          <t>00160843</t>
        </is>
      </c>
      <c r="C649" s="24" t="inlineStr">
        <is>
          <t>DB하이텍</t>
        </is>
      </c>
      <c r="D649" s="24" t="inlineStr">
        <is>
          <t>dbhitek</t>
        </is>
      </c>
      <c r="E649" s="24" t="inlineStr">
        <is>
          <t>000990</t>
        </is>
      </c>
      <c r="F649" s="24" t="inlineStr">
        <is>
          <t>2024</t>
        </is>
      </c>
      <c r="G649" s="24" t="inlineStr">
        <is>
          <t>CFS</t>
        </is>
      </c>
      <c r="H649" s="24" t="inlineStr">
        <is>
          <t>SCE</t>
        </is>
      </c>
      <c r="I649" s="24" t="inlineStr">
        <is>
          <t>자본변동표</t>
        </is>
      </c>
      <c r="J649" s="24" t="inlineStr">
        <is>
          <t>dart_TreasuryShareTransactions</t>
        </is>
      </c>
      <c r="K649" s="24" t="inlineStr">
        <is>
          <t>자기주식 거래로 인한 증감</t>
        </is>
      </c>
      <c r="L649" s="24" t="inlineStr">
        <is>
          <t>자본 [구성요소]|지배기업의 소유주에게 귀속되는 지분 [구성요소]|자본금 [구성요소]</t>
        </is>
      </c>
      <c r="M649" s="24" t="inlineStr">
        <is>
          <t>제 72 기</t>
        </is>
      </c>
      <c r="N649" s="24" t="inlineStr">
        <is>
          <t>0.0</t>
        </is>
      </c>
      <c r="O649" s="24" t="inlineStr">
        <is>
          <t>0.0</t>
        </is>
      </c>
      <c r="P649" s="24" t="inlineStr">
        <is>
          <t>KRW</t>
        </is>
      </c>
      <c r="Q649" s="24" t="inlineStr">
        <is>
          <t>4</t>
        </is>
      </c>
    </row>
    <row r="650" ht="24" customHeight="1">
      <c r="A650" s="29" t="inlineStr">
        <is>
          <t>OpenDART_fnlttSinglAcntAll</t>
        </is>
      </c>
      <c r="B650" s="29" t="inlineStr">
        <is>
          <t>00160843</t>
        </is>
      </c>
      <c r="C650" s="29" t="inlineStr">
        <is>
          <t>DB하이텍</t>
        </is>
      </c>
      <c r="D650" s="29" t="inlineStr">
        <is>
          <t>dbhitek</t>
        </is>
      </c>
      <c r="E650" s="29" t="inlineStr">
        <is>
          <t>000990</t>
        </is>
      </c>
      <c r="F650" s="29" t="inlineStr">
        <is>
          <t>2024</t>
        </is>
      </c>
      <c r="G650" s="29" t="inlineStr">
        <is>
          <t>CFS</t>
        </is>
      </c>
      <c r="H650" s="29" t="inlineStr">
        <is>
          <t>SCE</t>
        </is>
      </c>
      <c r="I650" s="29" t="inlineStr">
        <is>
          <t>자본변동표</t>
        </is>
      </c>
      <c r="J650" s="29" t="inlineStr">
        <is>
          <t>dart_TreasuryShareTransactions</t>
        </is>
      </c>
      <c r="K650" s="29" t="inlineStr">
        <is>
          <t>자기주식 거래로 인한 증감</t>
        </is>
      </c>
      <c r="L650" s="29" t="inlineStr">
        <is>
          <t>자본 [구성요소]|지배기업의 소유주에게 귀속되는 지분 [구성요소]|이익잉여금 [구성요소]</t>
        </is>
      </c>
      <c r="M650" s="29" t="inlineStr">
        <is>
          <t>제 72 기</t>
        </is>
      </c>
      <c r="N650" s="29" t="inlineStr">
        <is>
          <t>0.0</t>
        </is>
      </c>
      <c r="O650" s="29" t="inlineStr">
        <is>
          <t>0.0</t>
        </is>
      </c>
      <c r="P650" s="29" t="inlineStr">
        <is>
          <t>KRW</t>
        </is>
      </c>
      <c r="Q650" s="29" t="inlineStr">
        <is>
          <t>4</t>
        </is>
      </c>
    </row>
    <row r="651" ht="24" customHeight="1">
      <c r="A651" s="24" t="inlineStr">
        <is>
          <t>OpenDART_fnlttSinglAcntAll</t>
        </is>
      </c>
      <c r="B651" s="24" t="inlineStr">
        <is>
          <t>00160843</t>
        </is>
      </c>
      <c r="C651" s="24" t="inlineStr">
        <is>
          <t>DB하이텍</t>
        </is>
      </c>
      <c r="D651" s="24" t="inlineStr">
        <is>
          <t>dbhitek</t>
        </is>
      </c>
      <c r="E651" s="24" t="inlineStr">
        <is>
          <t>000990</t>
        </is>
      </c>
      <c r="F651" s="24" t="inlineStr">
        <is>
          <t>2024</t>
        </is>
      </c>
      <c r="G651" s="24" t="inlineStr">
        <is>
          <t>CFS</t>
        </is>
      </c>
      <c r="H651" s="24" t="inlineStr">
        <is>
          <t>SCE</t>
        </is>
      </c>
      <c r="I651" s="24" t="inlineStr">
        <is>
          <t>자본변동표</t>
        </is>
      </c>
      <c r="J651" s="24" t="inlineStr">
        <is>
          <t>dart_TreasuryShareTransactions</t>
        </is>
      </c>
      <c r="K651" s="24" t="inlineStr">
        <is>
          <t>자기주식 거래로 인한 증감</t>
        </is>
      </c>
      <c r="L651" s="24" t="inlineStr">
        <is>
          <t>자본 [구성요소]|지배기업의 소유주에게 귀속되는 지분 [구성요소]|기타자본구성요소 [구성요소]</t>
        </is>
      </c>
      <c r="M651" s="24" t="inlineStr">
        <is>
          <t>제 72 기</t>
        </is>
      </c>
      <c r="N651" s="24" t="inlineStr">
        <is>
          <t>-20000876130.0</t>
        </is>
      </c>
      <c r="O651" s="24" t="inlineStr">
        <is>
          <t>-100450331460.0</t>
        </is>
      </c>
      <c r="P651" s="24" t="inlineStr">
        <is>
          <t>KRW</t>
        </is>
      </c>
      <c r="Q651" s="24" t="inlineStr">
        <is>
          <t>4</t>
        </is>
      </c>
    </row>
    <row r="652" ht="24" customHeight="1">
      <c r="A652" s="29" t="inlineStr">
        <is>
          <t>OpenDART_fnlttSinglAcntAll</t>
        </is>
      </c>
      <c r="B652" s="29" t="inlineStr">
        <is>
          <t>00160843</t>
        </is>
      </c>
      <c r="C652" s="29" t="inlineStr">
        <is>
          <t>DB하이텍</t>
        </is>
      </c>
      <c r="D652" s="29" t="inlineStr">
        <is>
          <t>dbhitek</t>
        </is>
      </c>
      <c r="E652" s="29" t="inlineStr">
        <is>
          <t>000990</t>
        </is>
      </c>
      <c r="F652" s="29" t="inlineStr">
        <is>
          <t>2024</t>
        </is>
      </c>
      <c r="G652" s="29" t="inlineStr">
        <is>
          <t>CFS</t>
        </is>
      </c>
      <c r="H652" s="29" t="inlineStr">
        <is>
          <t>SCE</t>
        </is>
      </c>
      <c r="I652" s="29" t="inlineStr">
        <is>
          <t>자본변동표</t>
        </is>
      </c>
      <c r="J652" s="29" t="inlineStr">
        <is>
          <t>dart_TreasuryShareTransactions</t>
        </is>
      </c>
      <c r="K652" s="29" t="inlineStr">
        <is>
          <t>자기주식 거래로 인한 증감</t>
        </is>
      </c>
      <c r="L652" s="29" t="inlineStr">
        <is>
          <t>자본 [구성요소]|지배기업의 소유주에게 귀속되는 지분 [구성요소]</t>
        </is>
      </c>
      <c r="M652" s="29" t="inlineStr">
        <is>
          <t>제 72 기</t>
        </is>
      </c>
      <c r="N652" s="29" t="inlineStr">
        <is>
          <t>-20000876130.0</t>
        </is>
      </c>
      <c r="O652" s="29" t="inlineStr">
        <is>
          <t>-100450331460.0</t>
        </is>
      </c>
      <c r="P652" s="29" t="inlineStr">
        <is>
          <t>KRW</t>
        </is>
      </c>
      <c r="Q652" s="29" t="inlineStr">
        <is>
          <t>4</t>
        </is>
      </c>
    </row>
    <row r="653" ht="24" customHeight="1">
      <c r="A653" s="24" t="inlineStr">
        <is>
          <t>OpenDART_fnlttSinglAcntAll</t>
        </is>
      </c>
      <c r="B653" s="24" t="inlineStr">
        <is>
          <t>00160843</t>
        </is>
      </c>
      <c r="C653" s="24" t="inlineStr">
        <is>
          <t>DB하이텍</t>
        </is>
      </c>
      <c r="D653" s="24" t="inlineStr">
        <is>
          <t>dbhitek</t>
        </is>
      </c>
      <c r="E653" s="24" t="inlineStr">
        <is>
          <t>000990</t>
        </is>
      </c>
      <c r="F653" s="24" t="inlineStr">
        <is>
          <t>2024</t>
        </is>
      </c>
      <c r="G653" s="24" t="inlineStr">
        <is>
          <t>CFS</t>
        </is>
      </c>
      <c r="H653" s="24" t="inlineStr">
        <is>
          <t>SCE</t>
        </is>
      </c>
      <c r="I653" s="24" t="inlineStr">
        <is>
          <t>자본변동표</t>
        </is>
      </c>
      <c r="J653" s="24" t="inlineStr">
        <is>
          <t>dart_TreasuryShareTransactions</t>
        </is>
      </c>
      <c r="K653" s="24" t="inlineStr">
        <is>
          <t>자기주식 거래로 인한 증감</t>
        </is>
      </c>
      <c r="L653" s="24" t="inlineStr">
        <is>
          <t>자본 [구성요소]|비지배지분 [구성요소]</t>
        </is>
      </c>
      <c r="M653" s="24" t="inlineStr">
        <is>
          <t>제 72 기</t>
        </is>
      </c>
      <c r="N653" s="24" t="inlineStr">
        <is>
          <t>0.0</t>
        </is>
      </c>
      <c r="O653" s="24" t="inlineStr">
        <is>
          <t>0.0</t>
        </is>
      </c>
      <c r="P653" s="24" t="inlineStr">
        <is>
          <t>KRW</t>
        </is>
      </c>
      <c r="Q653" s="24" t="inlineStr">
        <is>
          <t>4</t>
        </is>
      </c>
    </row>
    <row r="654" ht="24" customHeight="1">
      <c r="A654" s="29" t="inlineStr">
        <is>
          <t>OpenDART_fnlttSinglAcntAll</t>
        </is>
      </c>
      <c r="B654" s="29" t="inlineStr">
        <is>
          <t>00160843</t>
        </is>
      </c>
      <c r="C654" s="29" t="inlineStr">
        <is>
          <t>DB하이텍</t>
        </is>
      </c>
      <c r="D654" s="29" t="inlineStr">
        <is>
          <t>dbhitek</t>
        </is>
      </c>
      <c r="E654" s="29" t="inlineStr">
        <is>
          <t>000990</t>
        </is>
      </c>
      <c r="F654" s="29" t="inlineStr">
        <is>
          <t>2024</t>
        </is>
      </c>
      <c r="G654" s="29" t="inlineStr">
        <is>
          <t>CFS</t>
        </is>
      </c>
      <c r="H654" s="29" t="inlineStr">
        <is>
          <t>SCE</t>
        </is>
      </c>
      <c r="I654" s="29" t="inlineStr">
        <is>
          <t>자본변동표</t>
        </is>
      </c>
      <c r="J654" s="29" t="inlineStr">
        <is>
          <t>dart_TreasuryShareTransactions</t>
        </is>
      </c>
      <c r="K654" s="29" t="inlineStr">
        <is>
          <t>자기주식 거래로 인한 증감</t>
        </is>
      </c>
      <c r="L654" s="29" t="inlineStr">
        <is>
          <t>연결재무제표 [member]</t>
        </is>
      </c>
      <c r="M654" s="29" t="inlineStr">
        <is>
          <t>제 72 기</t>
        </is>
      </c>
      <c r="N654" s="29" t="inlineStr">
        <is>
          <t>-20000876130.0</t>
        </is>
      </c>
      <c r="O654" s="29" t="inlineStr">
        <is>
          <t>-100450331460.0</t>
        </is>
      </c>
      <c r="P654" s="29" t="inlineStr">
        <is>
          <t>KRW</t>
        </is>
      </c>
      <c r="Q654" s="29" t="inlineStr">
        <is>
          <t>4</t>
        </is>
      </c>
    </row>
    <row r="655" ht="24" customHeight="1">
      <c r="A655" s="24" t="inlineStr">
        <is>
          <t>OpenDART_fnlttSinglAcntAll</t>
        </is>
      </c>
      <c r="B655" s="24" t="inlineStr">
        <is>
          <t>00160843</t>
        </is>
      </c>
      <c r="C655" s="24" t="inlineStr">
        <is>
          <t>DB하이텍</t>
        </is>
      </c>
      <c r="D655" s="24" t="inlineStr">
        <is>
          <t>dbhitek</t>
        </is>
      </c>
      <c r="E655" s="24" t="inlineStr">
        <is>
          <t>000990</t>
        </is>
      </c>
      <c r="F655" s="24" t="inlineStr">
        <is>
          <t>2024</t>
        </is>
      </c>
      <c r="G655" s="24" t="inlineStr">
        <is>
          <t>CFS</t>
        </is>
      </c>
      <c r="H655" s="24" t="inlineStr">
        <is>
          <t>SCE</t>
        </is>
      </c>
      <c r="I655" s="24" t="inlineStr">
        <is>
          <t>자본변동표</t>
        </is>
      </c>
      <c r="J655" s="24" t="inlineStr">
        <is>
          <t>dart_TreasuryShareTransactions</t>
        </is>
      </c>
      <c r="K655" s="24" t="inlineStr">
        <is>
          <t>자기주식 거래로 인한 증감</t>
        </is>
      </c>
      <c r="L655" s="24" t="inlineStr">
        <is>
          <t>자본 [구성요소]|지배기업의 소유주에게 귀속되는 지분 [구성요소]|자본잉여금 [구성요소]</t>
        </is>
      </c>
      <c r="M655" s="24" t="inlineStr">
        <is>
          <t>제 72 기</t>
        </is>
      </c>
      <c r="N655" s="24" t="inlineStr">
        <is>
          <t>0.0</t>
        </is>
      </c>
      <c r="O655" s="24" t="inlineStr">
        <is>
          <t>0.0</t>
        </is>
      </c>
      <c r="P655" s="24" t="inlineStr">
        <is>
          <t>KRW</t>
        </is>
      </c>
      <c r="Q655" s="24" t="inlineStr">
        <is>
          <t>4</t>
        </is>
      </c>
    </row>
    <row r="656" ht="24" customHeight="1">
      <c r="A656" s="29" t="inlineStr">
        <is>
          <t>OpenDART_fnlttSinglAcntAll</t>
        </is>
      </c>
      <c r="B656" s="29" t="inlineStr">
        <is>
          <t>00160843</t>
        </is>
      </c>
      <c r="C656" s="29" t="inlineStr">
        <is>
          <t>DB하이텍</t>
        </is>
      </c>
      <c r="D656" s="29" t="inlineStr">
        <is>
          <t>dbhitek</t>
        </is>
      </c>
      <c r="E656" s="29" t="inlineStr">
        <is>
          <t>000990</t>
        </is>
      </c>
      <c r="F656" s="29" t="inlineStr">
        <is>
          <t>2024</t>
        </is>
      </c>
      <c r="G656" s="29" t="inlineStr">
        <is>
          <t>CFS</t>
        </is>
      </c>
      <c r="H656" s="29" t="inlineStr">
        <is>
          <t>SCE</t>
        </is>
      </c>
      <c r="I656" s="29" t="inlineStr">
        <is>
          <t>자본변동표</t>
        </is>
      </c>
      <c r="J656" s="29" t="inlineStr">
        <is>
          <t>ifrs-full_ComprehensiveIncome</t>
        </is>
      </c>
      <c r="K656" s="29" t="inlineStr">
        <is>
          <t>총포괄손익</t>
        </is>
      </c>
      <c r="L656" s="29" t="inlineStr">
        <is>
          <t>연결재무제표 [member]</t>
        </is>
      </c>
      <c r="M656" s="29" t="inlineStr">
        <is>
          <t>제 72 기</t>
        </is>
      </c>
      <c r="N656" s="29" t="inlineStr">
        <is>
          <t>237816812565.0</t>
        </is>
      </c>
      <c r="O656" s="29" t="inlineStr">
        <is>
          <t>262253237512.0</t>
        </is>
      </c>
      <c r="P656" s="29" t="inlineStr">
        <is>
          <t>KRW</t>
        </is>
      </c>
      <c r="Q656" s="29" t="inlineStr">
        <is>
          <t>5</t>
        </is>
      </c>
    </row>
    <row r="657" ht="24" customHeight="1">
      <c r="A657" s="24" t="inlineStr">
        <is>
          <t>OpenDART_fnlttSinglAcntAll</t>
        </is>
      </c>
      <c r="B657" s="24" t="inlineStr">
        <is>
          <t>00160843</t>
        </is>
      </c>
      <c r="C657" s="24" t="inlineStr">
        <is>
          <t>DB하이텍</t>
        </is>
      </c>
      <c r="D657" s="24" t="inlineStr">
        <is>
          <t>dbhitek</t>
        </is>
      </c>
      <c r="E657" s="24" t="inlineStr">
        <is>
          <t>000990</t>
        </is>
      </c>
      <c r="F657" s="24" t="inlineStr">
        <is>
          <t>2024</t>
        </is>
      </c>
      <c r="G657" s="24" t="inlineStr">
        <is>
          <t>CFS</t>
        </is>
      </c>
      <c r="H657" s="24" t="inlineStr">
        <is>
          <t>SCE</t>
        </is>
      </c>
      <c r="I657" s="24" t="inlineStr">
        <is>
          <t>자본변동표</t>
        </is>
      </c>
      <c r="J657" s="24" t="inlineStr">
        <is>
          <t>ifrs-full_ComprehensiveIncome</t>
        </is>
      </c>
      <c r="K657" s="24" t="inlineStr">
        <is>
          <t>총포괄손익</t>
        </is>
      </c>
      <c r="L657" s="24" t="inlineStr">
        <is>
          <t>자본 [구성요소]|비지배지분 [구성요소]</t>
        </is>
      </c>
      <c r="M657" s="24" t="inlineStr">
        <is>
          <t>제 72 기</t>
        </is>
      </c>
      <c r="N657" s="24" t="inlineStr">
        <is>
          <t>-87727032.0</t>
        </is>
      </c>
      <c r="O657" s="24" t="inlineStr">
        <is>
          <t>0.0</t>
        </is>
      </c>
      <c r="P657" s="24" t="inlineStr">
        <is>
          <t>KRW</t>
        </is>
      </c>
      <c r="Q657" s="24" t="inlineStr">
        <is>
          <t>5</t>
        </is>
      </c>
    </row>
    <row r="658" ht="24" customHeight="1">
      <c r="A658" s="29" t="inlineStr">
        <is>
          <t>OpenDART_fnlttSinglAcntAll</t>
        </is>
      </c>
      <c r="B658" s="29" t="inlineStr">
        <is>
          <t>00160843</t>
        </is>
      </c>
      <c r="C658" s="29" t="inlineStr">
        <is>
          <t>DB하이텍</t>
        </is>
      </c>
      <c r="D658" s="29" t="inlineStr">
        <is>
          <t>dbhitek</t>
        </is>
      </c>
      <c r="E658" s="29" t="inlineStr">
        <is>
          <t>000990</t>
        </is>
      </c>
      <c r="F658" s="29" t="inlineStr">
        <is>
          <t>2024</t>
        </is>
      </c>
      <c r="G658" s="29" t="inlineStr">
        <is>
          <t>CFS</t>
        </is>
      </c>
      <c r="H658" s="29" t="inlineStr">
        <is>
          <t>SCE</t>
        </is>
      </c>
      <c r="I658" s="29" t="inlineStr">
        <is>
          <t>자본변동표</t>
        </is>
      </c>
      <c r="J658" s="29" t="inlineStr">
        <is>
          <t>ifrs-full_ComprehensiveIncome</t>
        </is>
      </c>
      <c r="K658" s="29" t="inlineStr">
        <is>
          <t>총포괄손익</t>
        </is>
      </c>
      <c r="L658" s="29" t="inlineStr">
        <is>
          <t>자본 [구성요소]|지배기업의 소유주에게 귀속되는 지분 [구성요소]</t>
        </is>
      </c>
      <c r="M658" s="29" t="inlineStr">
        <is>
          <t>제 72 기</t>
        </is>
      </c>
      <c r="N658" s="29" t="inlineStr">
        <is>
          <t>237904539597.0</t>
        </is>
      </c>
      <c r="O658" s="29" t="inlineStr">
        <is>
          <t>262253237512.0</t>
        </is>
      </c>
      <c r="P658" s="29" t="inlineStr">
        <is>
          <t>KRW</t>
        </is>
      </c>
      <c r="Q658" s="29" t="inlineStr">
        <is>
          <t>5</t>
        </is>
      </c>
    </row>
    <row r="659" ht="24" customHeight="1">
      <c r="A659" s="24" t="inlineStr">
        <is>
          <t>OpenDART_fnlttSinglAcntAll</t>
        </is>
      </c>
      <c r="B659" s="24" t="inlineStr">
        <is>
          <t>00160843</t>
        </is>
      </c>
      <c r="C659" s="24" t="inlineStr">
        <is>
          <t>DB하이텍</t>
        </is>
      </c>
      <c r="D659" s="24" t="inlineStr">
        <is>
          <t>dbhitek</t>
        </is>
      </c>
      <c r="E659" s="24" t="inlineStr">
        <is>
          <t>000990</t>
        </is>
      </c>
      <c r="F659" s="24" t="inlineStr">
        <is>
          <t>2024</t>
        </is>
      </c>
      <c r="G659" s="24" t="inlineStr">
        <is>
          <t>CFS</t>
        </is>
      </c>
      <c r="H659" s="24" t="inlineStr">
        <is>
          <t>SCE</t>
        </is>
      </c>
      <c r="I659" s="24" t="inlineStr">
        <is>
          <t>자본변동표</t>
        </is>
      </c>
      <c r="J659" s="24" t="inlineStr">
        <is>
          <t>ifrs-full_ComprehensiveIncome</t>
        </is>
      </c>
      <c r="K659" s="24" t="inlineStr">
        <is>
          <t>총포괄손익</t>
        </is>
      </c>
      <c r="L659" s="24" t="inlineStr">
        <is>
          <t>자본 [구성요소]|지배기업의 소유주에게 귀속되는 지분 [구성요소]|기타자본구성요소 [구성요소]</t>
        </is>
      </c>
      <c r="M659" s="24" t="inlineStr">
        <is>
          <t>제 72 기</t>
        </is>
      </c>
      <c r="N659" s="24" t="inlineStr">
        <is>
          <t>13496581533.0</t>
        </is>
      </c>
      <c r="O659" s="24" t="inlineStr">
        <is>
          <t>4848341604.0</t>
        </is>
      </c>
      <c r="P659" s="24" t="inlineStr">
        <is>
          <t>KRW</t>
        </is>
      </c>
      <c r="Q659" s="24" t="inlineStr">
        <is>
          <t>5</t>
        </is>
      </c>
    </row>
    <row r="660" ht="24" customHeight="1">
      <c r="A660" s="29" t="inlineStr">
        <is>
          <t>OpenDART_fnlttSinglAcntAll</t>
        </is>
      </c>
      <c r="B660" s="29" t="inlineStr">
        <is>
          <t>00160843</t>
        </is>
      </c>
      <c r="C660" s="29" t="inlineStr">
        <is>
          <t>DB하이텍</t>
        </is>
      </c>
      <c r="D660" s="29" t="inlineStr">
        <is>
          <t>dbhitek</t>
        </is>
      </c>
      <c r="E660" s="29" t="inlineStr">
        <is>
          <t>000990</t>
        </is>
      </c>
      <c r="F660" s="29" t="inlineStr">
        <is>
          <t>2024</t>
        </is>
      </c>
      <c r="G660" s="29" t="inlineStr">
        <is>
          <t>CFS</t>
        </is>
      </c>
      <c r="H660" s="29" t="inlineStr">
        <is>
          <t>SCE</t>
        </is>
      </c>
      <c r="I660" s="29" t="inlineStr">
        <is>
          <t>자본변동표</t>
        </is>
      </c>
      <c r="J660" s="29" t="inlineStr">
        <is>
          <t>ifrs-full_ComprehensiveIncome</t>
        </is>
      </c>
      <c r="K660" s="29" t="inlineStr">
        <is>
          <t>총포괄손익</t>
        </is>
      </c>
      <c r="L660" s="29" t="inlineStr">
        <is>
          <t>자본 [구성요소]|지배기업의 소유주에게 귀속되는 지분 [구성요소]|이익잉여금 [구성요소]</t>
        </is>
      </c>
      <c r="M660" s="29" t="inlineStr">
        <is>
          <t>제 72 기</t>
        </is>
      </c>
      <c r="N660" s="29" t="inlineStr">
        <is>
          <t>224407958064.0</t>
        </is>
      </c>
      <c r="O660" s="29" t="inlineStr">
        <is>
          <t>257404895908.0</t>
        </is>
      </c>
      <c r="P660" s="29" t="inlineStr">
        <is>
          <t>KRW</t>
        </is>
      </c>
      <c r="Q660" s="29" t="inlineStr">
        <is>
          <t>5</t>
        </is>
      </c>
    </row>
    <row r="661" ht="24" customHeight="1">
      <c r="A661" s="24" t="inlineStr">
        <is>
          <t>OpenDART_fnlttSinglAcntAll</t>
        </is>
      </c>
      <c r="B661" s="24" t="inlineStr">
        <is>
          <t>00160843</t>
        </is>
      </c>
      <c r="C661" s="24" t="inlineStr">
        <is>
          <t>DB하이텍</t>
        </is>
      </c>
      <c r="D661" s="24" t="inlineStr">
        <is>
          <t>dbhitek</t>
        </is>
      </c>
      <c r="E661" s="24" t="inlineStr">
        <is>
          <t>000990</t>
        </is>
      </c>
      <c r="F661" s="24" t="inlineStr">
        <is>
          <t>2024</t>
        </is>
      </c>
      <c r="G661" s="24" t="inlineStr">
        <is>
          <t>CFS</t>
        </is>
      </c>
      <c r="H661" s="24" t="inlineStr">
        <is>
          <t>SCE</t>
        </is>
      </c>
      <c r="I661" s="24" t="inlineStr">
        <is>
          <t>자본변동표</t>
        </is>
      </c>
      <c r="J661" s="24" t="inlineStr">
        <is>
          <t>ifrs-full_ComprehensiveIncome</t>
        </is>
      </c>
      <c r="K661" s="24" t="inlineStr">
        <is>
          <t>총포괄손익</t>
        </is>
      </c>
      <c r="L661" s="24" t="inlineStr">
        <is>
          <t>자본 [구성요소]|지배기업의 소유주에게 귀속되는 지분 [구성요소]|자본금 [구성요소]</t>
        </is>
      </c>
      <c r="M661" s="24" t="inlineStr">
        <is>
          <t>제 72 기</t>
        </is>
      </c>
      <c r="N661" s="24" t="inlineStr">
        <is>
          <t>0.0</t>
        </is>
      </c>
      <c r="O661" s="24" t="inlineStr">
        <is>
          <t>0.0</t>
        </is>
      </c>
      <c r="P661" s="24" t="inlineStr">
        <is>
          <t>KRW</t>
        </is>
      </c>
      <c r="Q661" s="24" t="inlineStr">
        <is>
          <t>5</t>
        </is>
      </c>
    </row>
    <row r="662" ht="24" customHeight="1">
      <c r="A662" s="29" t="inlineStr">
        <is>
          <t>OpenDART_fnlttSinglAcntAll</t>
        </is>
      </c>
      <c r="B662" s="29" t="inlineStr">
        <is>
          <t>00160843</t>
        </is>
      </c>
      <c r="C662" s="29" t="inlineStr">
        <is>
          <t>DB하이텍</t>
        </is>
      </c>
      <c r="D662" s="29" t="inlineStr">
        <is>
          <t>dbhitek</t>
        </is>
      </c>
      <c r="E662" s="29" t="inlineStr">
        <is>
          <t>000990</t>
        </is>
      </c>
      <c r="F662" s="29" t="inlineStr">
        <is>
          <t>2024</t>
        </is>
      </c>
      <c r="G662" s="29" t="inlineStr">
        <is>
          <t>CFS</t>
        </is>
      </c>
      <c r="H662" s="29" t="inlineStr">
        <is>
          <t>SCE</t>
        </is>
      </c>
      <c r="I662" s="29" t="inlineStr">
        <is>
          <t>자본변동표</t>
        </is>
      </c>
      <c r="J662" s="29" t="inlineStr">
        <is>
          <t>ifrs-full_ComprehensiveIncome</t>
        </is>
      </c>
      <c r="K662" s="29" t="inlineStr">
        <is>
          <t>총포괄손익</t>
        </is>
      </c>
      <c r="L662" s="29" t="inlineStr">
        <is>
          <t>자본 [구성요소]|지배기업의 소유주에게 귀속되는 지분 [구성요소]|자본잉여금 [구성요소]</t>
        </is>
      </c>
      <c r="M662" s="29" t="inlineStr">
        <is>
          <t>제 72 기</t>
        </is>
      </c>
      <c r="N662" s="29" t="inlineStr">
        <is>
          <t>0.0</t>
        </is>
      </c>
      <c r="O662" s="29" t="inlineStr">
        <is>
          <t>0.0</t>
        </is>
      </c>
      <c r="P662" s="29" t="inlineStr">
        <is>
          <t>KRW</t>
        </is>
      </c>
      <c r="Q662" s="29" t="inlineStr">
        <is>
          <t>5</t>
        </is>
      </c>
    </row>
    <row r="663" ht="24" customHeight="1">
      <c r="A663" s="24" t="inlineStr">
        <is>
          <t>OpenDART_fnlttSinglAcntAll</t>
        </is>
      </c>
      <c r="B663" s="24" t="inlineStr">
        <is>
          <t>00160843</t>
        </is>
      </c>
      <c r="C663" s="24" t="inlineStr">
        <is>
          <t>DB하이텍</t>
        </is>
      </c>
      <c r="D663" s="24" t="inlineStr">
        <is>
          <t>dbhitek</t>
        </is>
      </c>
      <c r="E663" s="24" t="inlineStr">
        <is>
          <t>000990</t>
        </is>
      </c>
      <c r="F663" s="24" t="inlineStr">
        <is>
          <t>2024</t>
        </is>
      </c>
      <c r="G663" s="24" t="inlineStr">
        <is>
          <t>CFS</t>
        </is>
      </c>
      <c r="H663" s="24" t="inlineStr">
        <is>
          <t>SCE</t>
        </is>
      </c>
      <c r="I663" s="24" t="inlineStr">
        <is>
          <t>자본변동표</t>
        </is>
      </c>
      <c r="J663" s="24" t="inlineStr">
        <is>
          <t>ifrs-full_DividendsPaid</t>
        </is>
      </c>
      <c r="K663" s="24" t="inlineStr">
        <is>
          <t>소유주에 대한 배분으로 인식된 배당금</t>
        </is>
      </c>
      <c r="L663" s="24" t="inlineStr">
        <is>
          <t>연결재무제표 [member]</t>
        </is>
      </c>
      <c r="M663" s="24" t="inlineStr">
        <is>
          <t>제 72 기</t>
        </is>
      </c>
      <c r="N663" s="24" t="inlineStr">
        <is>
          <t>24233955840.0</t>
        </is>
      </c>
      <c r="O663" s="24" t="inlineStr">
        <is>
          <t>56504612200.0</t>
        </is>
      </c>
      <c r="P663" s="24" t="inlineStr">
        <is>
          <t>KRW</t>
        </is>
      </c>
      <c r="Q663" s="24" t="inlineStr">
        <is>
          <t>6</t>
        </is>
      </c>
    </row>
    <row r="664" ht="24" customHeight="1">
      <c r="A664" s="29" t="inlineStr">
        <is>
          <t>OpenDART_fnlttSinglAcntAll</t>
        </is>
      </c>
      <c r="B664" s="29" t="inlineStr">
        <is>
          <t>00160843</t>
        </is>
      </c>
      <c r="C664" s="29" t="inlineStr">
        <is>
          <t>DB하이텍</t>
        </is>
      </c>
      <c r="D664" s="29" t="inlineStr">
        <is>
          <t>dbhitek</t>
        </is>
      </c>
      <c r="E664" s="29" t="inlineStr">
        <is>
          <t>000990</t>
        </is>
      </c>
      <c r="F664" s="29" t="inlineStr">
        <is>
          <t>2024</t>
        </is>
      </c>
      <c r="G664" s="29" t="inlineStr">
        <is>
          <t>CFS</t>
        </is>
      </c>
      <c r="H664" s="29" t="inlineStr">
        <is>
          <t>SCE</t>
        </is>
      </c>
      <c r="I664" s="29" t="inlineStr">
        <is>
          <t>자본변동표</t>
        </is>
      </c>
      <c r="J664" s="29" t="inlineStr">
        <is>
          <t>ifrs-full_DividendsPaid</t>
        </is>
      </c>
      <c r="K664" s="29" t="inlineStr">
        <is>
          <t>소유주에 대한 배분으로 인식된 배당금</t>
        </is>
      </c>
      <c r="L664" s="29" t="inlineStr">
        <is>
          <t>자본 [구성요소]|비지배지분 [구성요소]</t>
        </is>
      </c>
      <c r="M664" s="29" t="inlineStr">
        <is>
          <t>제 72 기</t>
        </is>
      </c>
      <c r="N664" s="29" t="inlineStr">
        <is>
          <t>0.0</t>
        </is>
      </c>
      <c r="O664" s="29" t="inlineStr">
        <is>
          <t>0.0</t>
        </is>
      </c>
      <c r="P664" s="29" t="inlineStr">
        <is>
          <t>KRW</t>
        </is>
      </c>
      <c r="Q664" s="29" t="inlineStr">
        <is>
          <t>6</t>
        </is>
      </c>
    </row>
    <row r="665" ht="24" customHeight="1">
      <c r="A665" s="24" t="inlineStr">
        <is>
          <t>OpenDART_fnlttSinglAcntAll</t>
        </is>
      </c>
      <c r="B665" s="24" t="inlineStr">
        <is>
          <t>00160843</t>
        </is>
      </c>
      <c r="C665" s="24" t="inlineStr">
        <is>
          <t>DB하이텍</t>
        </is>
      </c>
      <c r="D665" s="24" t="inlineStr">
        <is>
          <t>dbhitek</t>
        </is>
      </c>
      <c r="E665" s="24" t="inlineStr">
        <is>
          <t>000990</t>
        </is>
      </c>
      <c r="F665" s="24" t="inlineStr">
        <is>
          <t>2024</t>
        </is>
      </c>
      <c r="G665" s="24" t="inlineStr">
        <is>
          <t>CFS</t>
        </is>
      </c>
      <c r="H665" s="24" t="inlineStr">
        <is>
          <t>SCE</t>
        </is>
      </c>
      <c r="I665" s="24" t="inlineStr">
        <is>
          <t>자본변동표</t>
        </is>
      </c>
      <c r="J665" s="24" t="inlineStr">
        <is>
          <t>ifrs-full_DividendsPaid</t>
        </is>
      </c>
      <c r="K665" s="24" t="inlineStr">
        <is>
          <t>소유주에 대한 배분으로 인식된 배당금</t>
        </is>
      </c>
      <c r="L665" s="24" t="inlineStr">
        <is>
          <t>자본 [구성요소]|지배기업의 소유주에게 귀속되는 지분 [구성요소]</t>
        </is>
      </c>
      <c r="M665" s="24" t="inlineStr">
        <is>
          <t>제 72 기</t>
        </is>
      </c>
      <c r="N665" s="24" t="inlineStr">
        <is>
          <t>24233955840.0</t>
        </is>
      </c>
      <c r="O665" s="24" t="inlineStr">
        <is>
          <t>56504612200.0</t>
        </is>
      </c>
      <c r="P665" s="24" t="inlineStr">
        <is>
          <t>KRW</t>
        </is>
      </c>
      <c r="Q665" s="24" t="inlineStr">
        <is>
          <t>6</t>
        </is>
      </c>
    </row>
    <row r="666" ht="24" customHeight="1">
      <c r="A666" s="29" t="inlineStr">
        <is>
          <t>OpenDART_fnlttSinglAcntAll</t>
        </is>
      </c>
      <c r="B666" s="29" t="inlineStr">
        <is>
          <t>00160843</t>
        </is>
      </c>
      <c r="C666" s="29" t="inlineStr">
        <is>
          <t>DB하이텍</t>
        </is>
      </c>
      <c r="D666" s="29" t="inlineStr">
        <is>
          <t>dbhitek</t>
        </is>
      </c>
      <c r="E666" s="29" t="inlineStr">
        <is>
          <t>000990</t>
        </is>
      </c>
      <c r="F666" s="29" t="inlineStr">
        <is>
          <t>2024</t>
        </is>
      </c>
      <c r="G666" s="29" t="inlineStr">
        <is>
          <t>CFS</t>
        </is>
      </c>
      <c r="H666" s="29" t="inlineStr">
        <is>
          <t>SCE</t>
        </is>
      </c>
      <c r="I666" s="29" t="inlineStr">
        <is>
          <t>자본변동표</t>
        </is>
      </c>
      <c r="J666" s="29" t="inlineStr">
        <is>
          <t>ifrs-full_DividendsPaid</t>
        </is>
      </c>
      <c r="K666" s="29" t="inlineStr">
        <is>
          <t>소유주에 대한 배분으로 인식된 배당금</t>
        </is>
      </c>
      <c r="L666" s="29" t="inlineStr">
        <is>
          <t>자본 [구성요소]|지배기업의 소유주에게 귀속되는 지분 [구성요소]|기타자본구성요소 [구성요소]</t>
        </is>
      </c>
      <c r="M666" s="29" t="inlineStr">
        <is>
          <t>제 72 기</t>
        </is>
      </c>
      <c r="N666" s="29" t="inlineStr">
        <is>
          <t>0.0</t>
        </is>
      </c>
      <c r="O666" s="29" t="inlineStr">
        <is>
          <t>0.0</t>
        </is>
      </c>
      <c r="P666" s="29" t="inlineStr">
        <is>
          <t>KRW</t>
        </is>
      </c>
      <c r="Q666" s="29" t="inlineStr">
        <is>
          <t>6</t>
        </is>
      </c>
    </row>
    <row r="667" ht="24" customHeight="1">
      <c r="A667" s="24" t="inlineStr">
        <is>
          <t>OpenDART_fnlttSinglAcntAll</t>
        </is>
      </c>
      <c r="B667" s="24" t="inlineStr">
        <is>
          <t>00160843</t>
        </is>
      </c>
      <c r="C667" s="24" t="inlineStr">
        <is>
          <t>DB하이텍</t>
        </is>
      </c>
      <c r="D667" s="24" t="inlineStr">
        <is>
          <t>dbhitek</t>
        </is>
      </c>
      <c r="E667" s="24" t="inlineStr">
        <is>
          <t>000990</t>
        </is>
      </c>
      <c r="F667" s="24" t="inlineStr">
        <is>
          <t>2024</t>
        </is>
      </c>
      <c r="G667" s="24" t="inlineStr">
        <is>
          <t>CFS</t>
        </is>
      </c>
      <c r="H667" s="24" t="inlineStr">
        <is>
          <t>SCE</t>
        </is>
      </c>
      <c r="I667" s="24" t="inlineStr">
        <is>
          <t>자본변동표</t>
        </is>
      </c>
      <c r="J667" s="24" t="inlineStr">
        <is>
          <t>ifrs-full_DividendsPaid</t>
        </is>
      </c>
      <c r="K667" s="24" t="inlineStr">
        <is>
          <t>소유주에 대한 배분으로 인식된 배당금</t>
        </is>
      </c>
      <c r="L667" s="24" t="inlineStr">
        <is>
          <t>자본 [구성요소]|지배기업의 소유주에게 귀속되는 지분 [구성요소]|이익잉여금 [구성요소]</t>
        </is>
      </c>
      <c r="M667" s="24" t="inlineStr">
        <is>
          <t>제 72 기</t>
        </is>
      </c>
      <c r="N667" s="24" t="inlineStr">
        <is>
          <t>24233955840.0</t>
        </is>
      </c>
      <c r="O667" s="24" t="inlineStr">
        <is>
          <t>56504612200.0</t>
        </is>
      </c>
      <c r="P667" s="24" t="inlineStr">
        <is>
          <t>KRW</t>
        </is>
      </c>
      <c r="Q667" s="24" t="inlineStr">
        <is>
          <t>6</t>
        </is>
      </c>
    </row>
    <row r="668" ht="24" customHeight="1">
      <c r="A668" s="29" t="inlineStr">
        <is>
          <t>OpenDART_fnlttSinglAcntAll</t>
        </is>
      </c>
      <c r="B668" s="29" t="inlineStr">
        <is>
          <t>00160843</t>
        </is>
      </c>
      <c r="C668" s="29" t="inlineStr">
        <is>
          <t>DB하이텍</t>
        </is>
      </c>
      <c r="D668" s="29" t="inlineStr">
        <is>
          <t>dbhitek</t>
        </is>
      </c>
      <c r="E668" s="29" t="inlineStr">
        <is>
          <t>000990</t>
        </is>
      </c>
      <c r="F668" s="29" t="inlineStr">
        <is>
          <t>2024</t>
        </is>
      </c>
      <c r="G668" s="29" t="inlineStr">
        <is>
          <t>CFS</t>
        </is>
      </c>
      <c r="H668" s="29" t="inlineStr">
        <is>
          <t>SCE</t>
        </is>
      </c>
      <c r="I668" s="29" t="inlineStr">
        <is>
          <t>자본변동표</t>
        </is>
      </c>
      <c r="J668" s="29" t="inlineStr">
        <is>
          <t>ifrs-full_DividendsPaid</t>
        </is>
      </c>
      <c r="K668" s="29" t="inlineStr">
        <is>
          <t>소유주에 대한 배분으로 인식된 배당금</t>
        </is>
      </c>
      <c r="L668" s="29" t="inlineStr">
        <is>
          <t>자본 [구성요소]|지배기업의 소유주에게 귀속되는 지분 [구성요소]|자본금 [구성요소]</t>
        </is>
      </c>
      <c r="M668" s="29" t="inlineStr">
        <is>
          <t>제 72 기</t>
        </is>
      </c>
      <c r="N668" s="29" t="inlineStr">
        <is>
          <t>0.0</t>
        </is>
      </c>
      <c r="O668" s="29" t="inlineStr">
        <is>
          <t>0.0</t>
        </is>
      </c>
      <c r="P668" s="29" t="inlineStr">
        <is>
          <t>KRW</t>
        </is>
      </c>
      <c r="Q668" s="29" t="inlineStr">
        <is>
          <t>6</t>
        </is>
      </c>
    </row>
    <row r="669" ht="24" customHeight="1">
      <c r="A669" s="24" t="inlineStr">
        <is>
          <t>OpenDART_fnlttSinglAcntAll</t>
        </is>
      </c>
      <c r="B669" s="24" t="inlineStr">
        <is>
          <t>00160843</t>
        </is>
      </c>
      <c r="C669" s="24" t="inlineStr">
        <is>
          <t>DB하이텍</t>
        </is>
      </c>
      <c r="D669" s="24" t="inlineStr">
        <is>
          <t>dbhitek</t>
        </is>
      </c>
      <c r="E669" s="24" t="inlineStr">
        <is>
          <t>000990</t>
        </is>
      </c>
      <c r="F669" s="24" t="inlineStr">
        <is>
          <t>2024</t>
        </is>
      </c>
      <c r="G669" s="24" t="inlineStr">
        <is>
          <t>CFS</t>
        </is>
      </c>
      <c r="H669" s="24" t="inlineStr">
        <is>
          <t>SCE</t>
        </is>
      </c>
      <c r="I669" s="24" t="inlineStr">
        <is>
          <t>자본변동표</t>
        </is>
      </c>
      <c r="J669" s="24" t="inlineStr">
        <is>
          <t>ifrs-full_DividendsPaid</t>
        </is>
      </c>
      <c r="K669" s="24" t="inlineStr">
        <is>
          <t>소유주에 대한 배분으로 인식된 배당금</t>
        </is>
      </c>
      <c r="L669" s="24" t="inlineStr">
        <is>
          <t>자본 [구성요소]|지배기업의 소유주에게 귀속되는 지분 [구성요소]|자본잉여금 [구성요소]</t>
        </is>
      </c>
      <c r="M669" s="24" t="inlineStr">
        <is>
          <t>제 72 기</t>
        </is>
      </c>
      <c r="N669" s="24" t="inlineStr">
        <is>
          <t>0.0</t>
        </is>
      </c>
      <c r="O669" s="24" t="inlineStr">
        <is>
          <t>0.0</t>
        </is>
      </c>
      <c r="P669" s="24" t="inlineStr">
        <is>
          <t>KRW</t>
        </is>
      </c>
      <c r="Q669" s="24" t="inlineStr">
        <is>
          <t>6</t>
        </is>
      </c>
    </row>
    <row r="670" ht="24" customHeight="1">
      <c r="A670" s="29" t="inlineStr">
        <is>
          <t>OpenDART_fnlttSinglAcntAll</t>
        </is>
      </c>
      <c r="B670" s="29" t="inlineStr">
        <is>
          <t>00160843</t>
        </is>
      </c>
      <c r="C670" s="29" t="inlineStr">
        <is>
          <t>DB하이텍</t>
        </is>
      </c>
      <c r="D670" s="29" t="inlineStr">
        <is>
          <t>dbhitek</t>
        </is>
      </c>
      <c r="E670" s="29" t="inlineStr">
        <is>
          <t>000990</t>
        </is>
      </c>
      <c r="F670" s="29" t="inlineStr">
        <is>
          <t>2024</t>
        </is>
      </c>
      <c r="G670" s="29" t="inlineStr">
        <is>
          <t>CFS</t>
        </is>
      </c>
      <c r="H670" s="29" t="inlineStr">
        <is>
          <t>SCE</t>
        </is>
      </c>
      <c r="I670" s="29" t="inlineStr">
        <is>
          <t>자본변동표</t>
        </is>
      </c>
      <c r="J670" s="29" t="inlineStr">
        <is>
          <t>ifrs-full_Equity</t>
        </is>
      </c>
      <c r="K670" s="29" t="inlineStr">
        <is>
          <t>자본총계</t>
        </is>
      </c>
      <c r="L670" s="29" t="inlineStr">
        <is>
          <t>자본 [구성요소]|지배기업의 소유주에게 귀속되는 지분 [구성요소]</t>
        </is>
      </c>
      <c r="M670" s="29" t="inlineStr">
        <is>
          <t>제 72 기</t>
        </is>
      </c>
      <c r="N670" s="29" t="inlineStr">
        <is>
          <t>1949982258640.0</t>
        </is>
      </c>
      <c r="O670" s="29" t="inlineStr">
        <is>
          <t>1740082437747.0</t>
        </is>
      </c>
      <c r="P670" s="29" t="inlineStr">
        <is>
          <t>KRW</t>
        </is>
      </c>
      <c r="Q670" s="29" t="inlineStr">
        <is>
          <t>7</t>
        </is>
      </c>
    </row>
    <row r="671" ht="24" customHeight="1">
      <c r="A671" s="24" t="inlineStr">
        <is>
          <t>OpenDART_fnlttSinglAcntAll</t>
        </is>
      </c>
      <c r="B671" s="24" t="inlineStr">
        <is>
          <t>00160843</t>
        </is>
      </c>
      <c r="C671" s="24" t="inlineStr">
        <is>
          <t>DB하이텍</t>
        </is>
      </c>
      <c r="D671" s="24" t="inlineStr">
        <is>
          <t>dbhitek</t>
        </is>
      </c>
      <c r="E671" s="24" t="inlineStr">
        <is>
          <t>000990</t>
        </is>
      </c>
      <c r="F671" s="24" t="inlineStr">
        <is>
          <t>2024</t>
        </is>
      </c>
      <c r="G671" s="24" t="inlineStr">
        <is>
          <t>CFS</t>
        </is>
      </c>
      <c r="H671" s="24" t="inlineStr">
        <is>
          <t>SCE</t>
        </is>
      </c>
      <c r="I671" s="24" t="inlineStr">
        <is>
          <t>자본변동표</t>
        </is>
      </c>
      <c r="J671" s="24" t="inlineStr">
        <is>
          <t>ifrs-full_Equity</t>
        </is>
      </c>
      <c r="K671" s="24" t="inlineStr">
        <is>
          <t>자본총계</t>
        </is>
      </c>
      <c r="L671" s="24" t="inlineStr">
        <is>
          <t>자본 [구성요소]|비지배지분 [구성요소]</t>
        </is>
      </c>
      <c r="M671" s="24" t="inlineStr">
        <is>
          <t>제 72 기</t>
        </is>
      </c>
      <c r="N671" s="24" t="inlineStr">
        <is>
          <t>50706545677.0</t>
        </is>
      </c>
      <c r="O671" s="24" t="inlineStr">
        <is>
          <t>0.0</t>
        </is>
      </c>
      <c r="P671" s="24" t="inlineStr">
        <is>
          <t>KRW</t>
        </is>
      </c>
      <c r="Q671" s="24" t="inlineStr">
        <is>
          <t>7</t>
        </is>
      </c>
    </row>
    <row r="672" ht="24" customHeight="1">
      <c r="A672" s="29" t="inlineStr">
        <is>
          <t>OpenDART_fnlttSinglAcntAll</t>
        </is>
      </c>
      <c r="B672" s="29" t="inlineStr">
        <is>
          <t>00160843</t>
        </is>
      </c>
      <c r="C672" s="29" t="inlineStr">
        <is>
          <t>DB하이텍</t>
        </is>
      </c>
      <c r="D672" s="29" t="inlineStr">
        <is>
          <t>dbhitek</t>
        </is>
      </c>
      <c r="E672" s="29" t="inlineStr">
        <is>
          <t>000990</t>
        </is>
      </c>
      <c r="F672" s="29" t="inlineStr">
        <is>
          <t>2024</t>
        </is>
      </c>
      <c r="G672" s="29" t="inlineStr">
        <is>
          <t>CFS</t>
        </is>
      </c>
      <c r="H672" s="29" t="inlineStr">
        <is>
          <t>SCE</t>
        </is>
      </c>
      <c r="I672" s="29" t="inlineStr">
        <is>
          <t>자본변동표</t>
        </is>
      </c>
      <c r="J672" s="29" t="inlineStr">
        <is>
          <t>ifrs-full_Equity</t>
        </is>
      </c>
      <c r="K672" s="29" t="inlineStr">
        <is>
          <t>자본총계</t>
        </is>
      </c>
      <c r="L672" s="29" t="inlineStr">
        <is>
          <t>연결재무제표 [member]</t>
        </is>
      </c>
      <c r="M672" s="29" t="inlineStr">
        <is>
          <t>제 72 기</t>
        </is>
      </c>
      <c r="N672" s="29" t="inlineStr">
        <is>
          <t>2000688804317.0</t>
        </is>
      </c>
      <c r="O672" s="29" t="inlineStr">
        <is>
          <t>1740082437747.0</t>
        </is>
      </c>
      <c r="P672" s="29" t="inlineStr">
        <is>
          <t>KRW</t>
        </is>
      </c>
      <c r="Q672" s="29" t="inlineStr">
        <is>
          <t>7</t>
        </is>
      </c>
    </row>
    <row r="673" ht="24" customHeight="1">
      <c r="A673" s="24" t="inlineStr">
        <is>
          <t>OpenDART_fnlttSinglAcntAll</t>
        </is>
      </c>
      <c r="B673" s="24" t="inlineStr">
        <is>
          <t>00160843</t>
        </is>
      </c>
      <c r="C673" s="24" t="inlineStr">
        <is>
          <t>DB하이텍</t>
        </is>
      </c>
      <c r="D673" s="24" t="inlineStr">
        <is>
          <t>dbhitek</t>
        </is>
      </c>
      <c r="E673" s="24" t="inlineStr">
        <is>
          <t>000990</t>
        </is>
      </c>
      <c r="F673" s="24" t="inlineStr">
        <is>
          <t>2024</t>
        </is>
      </c>
      <c r="G673" s="24" t="inlineStr">
        <is>
          <t>CFS</t>
        </is>
      </c>
      <c r="H673" s="24" t="inlineStr">
        <is>
          <t>SCE</t>
        </is>
      </c>
      <c r="I673" s="24" t="inlineStr">
        <is>
          <t>자본변동표</t>
        </is>
      </c>
      <c r="J673" s="24" t="inlineStr">
        <is>
          <t>ifrs-full_Equity</t>
        </is>
      </c>
      <c r="K673" s="24" t="inlineStr">
        <is>
          <t>자본총계</t>
        </is>
      </c>
      <c r="L673" s="24" t="inlineStr">
        <is>
          <t>자본 [구성요소]|지배기업의 소유주에게 귀속되는 지분 [구성요소]|기타자본구성요소 [구성요소]</t>
        </is>
      </c>
      <c r="M673" s="24" t="inlineStr">
        <is>
          <t>제 72 기</t>
        </is>
      </c>
      <c r="N673" s="24" t="inlineStr">
        <is>
          <t>-163336720157.0</t>
        </is>
      </c>
      <c r="O673" s="24" t="inlineStr">
        <is>
          <t>-173062538826.0</t>
        </is>
      </c>
      <c r="P673" s="24" t="inlineStr">
        <is>
          <t>KRW</t>
        </is>
      </c>
      <c r="Q673" s="24" t="inlineStr">
        <is>
          <t>7</t>
        </is>
      </c>
    </row>
    <row r="674" ht="24" customHeight="1">
      <c r="A674" s="29" t="inlineStr">
        <is>
          <t>OpenDART_fnlttSinglAcntAll</t>
        </is>
      </c>
      <c r="B674" s="29" t="inlineStr">
        <is>
          <t>00160843</t>
        </is>
      </c>
      <c r="C674" s="29" t="inlineStr">
        <is>
          <t>DB하이텍</t>
        </is>
      </c>
      <c r="D674" s="29" t="inlineStr">
        <is>
          <t>dbhitek</t>
        </is>
      </c>
      <c r="E674" s="29" t="inlineStr">
        <is>
          <t>000990</t>
        </is>
      </c>
      <c r="F674" s="29" t="inlineStr">
        <is>
          <t>2024</t>
        </is>
      </c>
      <c r="G674" s="29" t="inlineStr">
        <is>
          <t>CFS</t>
        </is>
      </c>
      <c r="H674" s="29" t="inlineStr">
        <is>
          <t>SCE</t>
        </is>
      </c>
      <c r="I674" s="29" t="inlineStr">
        <is>
          <t>자본변동표</t>
        </is>
      </c>
      <c r="J674" s="29" t="inlineStr">
        <is>
          <t>ifrs-full_Equity</t>
        </is>
      </c>
      <c r="K674" s="29" t="inlineStr">
        <is>
          <t>자본총계</t>
        </is>
      </c>
      <c r="L674" s="29" t="inlineStr">
        <is>
          <t>자본 [구성요소]|지배기업의 소유주에게 귀속되는 지분 [구성요소]|자본잉여금 [구성요소]</t>
        </is>
      </c>
      <c r="M674" s="29" t="inlineStr">
        <is>
          <t>제 72 기</t>
        </is>
      </c>
      <c r="N674" s="29" t="inlineStr">
        <is>
          <t>127328276294.0</t>
        </is>
      </c>
      <c r="O674" s="29" t="inlineStr">
        <is>
          <t>127328276294.0</t>
        </is>
      </c>
      <c r="P674" s="29" t="inlineStr">
        <is>
          <t>KRW</t>
        </is>
      </c>
      <c r="Q674" s="29" t="inlineStr">
        <is>
          <t>7</t>
        </is>
      </c>
    </row>
    <row r="675" ht="24" customHeight="1">
      <c r="A675" s="24" t="inlineStr">
        <is>
          <t>OpenDART_fnlttSinglAcntAll</t>
        </is>
      </c>
      <c r="B675" s="24" t="inlineStr">
        <is>
          <t>00160843</t>
        </is>
      </c>
      <c r="C675" s="24" t="inlineStr">
        <is>
          <t>DB하이텍</t>
        </is>
      </c>
      <c r="D675" s="24" t="inlineStr">
        <is>
          <t>dbhitek</t>
        </is>
      </c>
      <c r="E675" s="24" t="inlineStr">
        <is>
          <t>000990</t>
        </is>
      </c>
      <c r="F675" s="24" t="inlineStr">
        <is>
          <t>2024</t>
        </is>
      </c>
      <c r="G675" s="24" t="inlineStr">
        <is>
          <t>CFS</t>
        </is>
      </c>
      <c r="H675" s="24" t="inlineStr">
        <is>
          <t>SCE</t>
        </is>
      </c>
      <c r="I675" s="24" t="inlineStr">
        <is>
          <t>자본변동표</t>
        </is>
      </c>
      <c r="J675" s="24" t="inlineStr">
        <is>
          <t>ifrs-full_Equity</t>
        </is>
      </c>
      <c r="K675" s="24" t="inlineStr">
        <is>
          <t>자본총계</t>
        </is>
      </c>
      <c r="L675" s="24" t="inlineStr">
        <is>
          <t>자본 [구성요소]|지배기업의 소유주에게 귀속되는 지분 [구성요소]|자본금 [구성요소]</t>
        </is>
      </c>
      <c r="M675" s="24" t="inlineStr">
        <is>
          <t>제 72 기</t>
        </is>
      </c>
      <c r="N675" s="24" t="inlineStr">
        <is>
          <t>222555835000.0</t>
        </is>
      </c>
      <c r="O675" s="24" t="inlineStr">
        <is>
          <t>222555835000.0</t>
        </is>
      </c>
      <c r="P675" s="24" t="inlineStr">
        <is>
          <t>KRW</t>
        </is>
      </c>
      <c r="Q675" s="24" t="inlineStr">
        <is>
          <t>7</t>
        </is>
      </c>
    </row>
    <row r="676" ht="24" customHeight="1">
      <c r="A676" s="29" t="inlineStr">
        <is>
          <t>OpenDART_fnlttSinglAcntAll</t>
        </is>
      </c>
      <c r="B676" s="29" t="inlineStr">
        <is>
          <t>00160843</t>
        </is>
      </c>
      <c r="C676" s="29" t="inlineStr">
        <is>
          <t>DB하이텍</t>
        </is>
      </c>
      <c r="D676" s="29" t="inlineStr">
        <is>
          <t>dbhitek</t>
        </is>
      </c>
      <c r="E676" s="29" t="inlineStr">
        <is>
          <t>000990</t>
        </is>
      </c>
      <c r="F676" s="29" t="inlineStr">
        <is>
          <t>2024</t>
        </is>
      </c>
      <c r="G676" s="29" t="inlineStr">
        <is>
          <t>CFS</t>
        </is>
      </c>
      <c r="H676" s="29" t="inlineStr">
        <is>
          <t>SCE</t>
        </is>
      </c>
      <c r="I676" s="29" t="inlineStr">
        <is>
          <t>자본변동표</t>
        </is>
      </c>
      <c r="J676" s="29" t="inlineStr">
        <is>
          <t>ifrs-full_Equity</t>
        </is>
      </c>
      <c r="K676" s="29" t="inlineStr">
        <is>
          <t>자본총계</t>
        </is>
      </c>
      <c r="L676" s="29" t="inlineStr">
        <is>
          <t>자본 [구성요소]|지배기업의 소유주에게 귀속되는 지분 [구성요소]|이익잉여금 [구성요소]</t>
        </is>
      </c>
      <c r="M676" s="29" t="inlineStr">
        <is>
          <t>제 72 기</t>
        </is>
      </c>
      <c r="N676" s="29" t="inlineStr">
        <is>
          <t>1763434867503.0</t>
        </is>
      </c>
      <c r="O676" s="29" t="inlineStr">
        <is>
          <t>1563260865279.0</t>
        </is>
      </c>
      <c r="P676" s="29" t="inlineStr">
        <is>
          <t>KRW</t>
        </is>
      </c>
      <c r="Q676" s="29" t="inlineStr">
        <is>
          <t>7</t>
        </is>
      </c>
    </row>
    <row r="677" ht="24" customHeight="1">
      <c r="A677" s="24" t="inlineStr">
        <is>
          <t>OpenDART_fnlttSinglAcntAll</t>
        </is>
      </c>
      <c r="B677" s="24" t="inlineStr">
        <is>
          <t>00160843</t>
        </is>
      </c>
      <c r="C677" s="24" t="inlineStr">
        <is>
          <t>DB하이텍</t>
        </is>
      </c>
      <c r="D677" s="24" t="inlineStr">
        <is>
          <t>dbhitek</t>
        </is>
      </c>
      <c r="E677" s="24" t="inlineStr">
        <is>
          <t>000990</t>
        </is>
      </c>
      <c r="F677" s="24" t="inlineStr">
        <is>
          <t>2024</t>
        </is>
      </c>
      <c r="G677" s="24" t="inlineStr">
        <is>
          <t>CFS</t>
        </is>
      </c>
      <c r="H677" s="24" t="inlineStr">
        <is>
          <t>SCE</t>
        </is>
      </c>
      <c r="I677" s="24" t="inlineStr">
        <is>
          <t>자본변동표</t>
        </is>
      </c>
      <c r="J677" s="24" t="inlineStr">
        <is>
          <t>ifrs-full_IncreaseDecreaseThroughAcquisitionOfSubsidiary</t>
        </is>
      </c>
      <c r="K677" s="24" t="inlineStr">
        <is>
          <t>사업결합</t>
        </is>
      </c>
      <c r="L677" s="24" t="inlineStr">
        <is>
          <t>자본 [구성요소]|지배기업의 소유주에게 귀속되는 지분 [구성요소]|자본금 [구성요소]</t>
        </is>
      </c>
      <c r="M677" s="24" t="inlineStr">
        <is>
          <t>제 72 기</t>
        </is>
      </c>
      <c r="N677" s="24" t="inlineStr">
        <is>
          <t>0.0</t>
        </is>
      </c>
      <c r="O677" s="24" t="inlineStr">
        <is>
          <t>0.0</t>
        </is>
      </c>
      <c r="P677" s="24" t="inlineStr">
        <is>
          <t>KRW</t>
        </is>
      </c>
      <c r="Q677" s="24" t="inlineStr">
        <is>
          <t>8</t>
        </is>
      </c>
    </row>
    <row r="678" ht="24" customHeight="1">
      <c r="A678" s="29" t="inlineStr">
        <is>
          <t>OpenDART_fnlttSinglAcntAll</t>
        </is>
      </c>
      <c r="B678" s="29" t="inlineStr">
        <is>
          <t>00160843</t>
        </is>
      </c>
      <c r="C678" s="29" t="inlineStr">
        <is>
          <t>DB하이텍</t>
        </is>
      </c>
      <c r="D678" s="29" t="inlineStr">
        <is>
          <t>dbhitek</t>
        </is>
      </c>
      <c r="E678" s="29" t="inlineStr">
        <is>
          <t>000990</t>
        </is>
      </c>
      <c r="F678" s="29" t="inlineStr">
        <is>
          <t>2024</t>
        </is>
      </c>
      <c r="G678" s="29" t="inlineStr">
        <is>
          <t>CFS</t>
        </is>
      </c>
      <c r="H678" s="29" t="inlineStr">
        <is>
          <t>SCE</t>
        </is>
      </c>
      <c r="I678" s="29" t="inlineStr">
        <is>
          <t>자본변동표</t>
        </is>
      </c>
      <c r="J678" s="29" t="inlineStr">
        <is>
          <t>ifrs-full_IncreaseDecreaseThroughAcquisitionOfSubsidiary</t>
        </is>
      </c>
      <c r="K678" s="29" t="inlineStr">
        <is>
          <t>사업결합</t>
        </is>
      </c>
      <c r="L678" s="29" t="inlineStr">
        <is>
          <t>자본 [구성요소]|지배기업의 소유주에게 귀속되는 지분 [구성요소]|이익잉여금 [구성요소]</t>
        </is>
      </c>
      <c r="M678" s="29" t="inlineStr">
        <is>
          <t>제 72 기</t>
        </is>
      </c>
      <c r="N678" s="29" t="inlineStr">
        <is>
          <t>0.0</t>
        </is>
      </c>
      <c r="O678" s="29" t="inlineStr">
        <is>
          <t>0.0</t>
        </is>
      </c>
      <c r="P678" s="29" t="inlineStr">
        <is>
          <t>KRW</t>
        </is>
      </c>
      <c r="Q678" s="29" t="inlineStr">
        <is>
          <t>8</t>
        </is>
      </c>
    </row>
    <row r="679" ht="24" customHeight="1">
      <c r="A679" s="24" t="inlineStr">
        <is>
          <t>OpenDART_fnlttSinglAcntAll</t>
        </is>
      </c>
      <c r="B679" s="24" t="inlineStr">
        <is>
          <t>00160843</t>
        </is>
      </c>
      <c r="C679" s="24" t="inlineStr">
        <is>
          <t>DB하이텍</t>
        </is>
      </c>
      <c r="D679" s="24" t="inlineStr">
        <is>
          <t>dbhitek</t>
        </is>
      </c>
      <c r="E679" s="24" t="inlineStr">
        <is>
          <t>000990</t>
        </is>
      </c>
      <c r="F679" s="24" t="inlineStr">
        <is>
          <t>2024</t>
        </is>
      </c>
      <c r="G679" s="24" t="inlineStr">
        <is>
          <t>CFS</t>
        </is>
      </c>
      <c r="H679" s="24" t="inlineStr">
        <is>
          <t>SCE</t>
        </is>
      </c>
      <c r="I679" s="24" t="inlineStr">
        <is>
          <t>자본변동표</t>
        </is>
      </c>
      <c r="J679" s="24" t="inlineStr">
        <is>
          <t>ifrs-full_IncreaseDecreaseThroughAcquisitionOfSubsidiary</t>
        </is>
      </c>
      <c r="K679" s="24" t="inlineStr">
        <is>
          <t>사업결합</t>
        </is>
      </c>
      <c r="L679" s="24" t="inlineStr">
        <is>
          <t>자본 [구성요소]|지배기업의 소유주에게 귀속되는 지분 [구성요소]|기타자본구성요소 [구성요소]</t>
        </is>
      </c>
      <c r="M679" s="24" t="inlineStr">
        <is>
          <t>제 72 기</t>
        </is>
      </c>
      <c r="N679" s="24" t="inlineStr">
        <is>
          <t>0.0</t>
        </is>
      </c>
      <c r="O679" s="24" t="inlineStr">
        <is>
          <t>0.0</t>
        </is>
      </c>
      <c r="P679" s="24" t="inlineStr">
        <is>
          <t>KRW</t>
        </is>
      </c>
      <c r="Q679" s="24" t="inlineStr">
        <is>
          <t>8</t>
        </is>
      </c>
    </row>
    <row r="680" ht="24" customHeight="1">
      <c r="A680" s="29" t="inlineStr">
        <is>
          <t>OpenDART_fnlttSinglAcntAll</t>
        </is>
      </c>
      <c r="B680" s="29" t="inlineStr">
        <is>
          <t>00160843</t>
        </is>
      </c>
      <c r="C680" s="29" t="inlineStr">
        <is>
          <t>DB하이텍</t>
        </is>
      </c>
      <c r="D680" s="29" t="inlineStr">
        <is>
          <t>dbhitek</t>
        </is>
      </c>
      <c r="E680" s="29" t="inlineStr">
        <is>
          <t>000990</t>
        </is>
      </c>
      <c r="F680" s="29" t="inlineStr">
        <is>
          <t>2024</t>
        </is>
      </c>
      <c r="G680" s="29" t="inlineStr">
        <is>
          <t>CFS</t>
        </is>
      </c>
      <c r="H680" s="29" t="inlineStr">
        <is>
          <t>SCE</t>
        </is>
      </c>
      <c r="I680" s="29" t="inlineStr">
        <is>
          <t>자본변동표</t>
        </is>
      </c>
      <c r="J680" s="29" t="inlineStr">
        <is>
          <t>ifrs-full_IncreaseDecreaseThroughAcquisitionOfSubsidiary</t>
        </is>
      </c>
      <c r="K680" s="29" t="inlineStr">
        <is>
          <t>사업결합</t>
        </is>
      </c>
      <c r="L680" s="29" t="inlineStr">
        <is>
          <t>자본 [구성요소]|지배기업의 소유주에게 귀속되는 지분 [구성요소]</t>
        </is>
      </c>
      <c r="M680" s="29" t="inlineStr">
        <is>
          <t>제 72 기</t>
        </is>
      </c>
      <c r="N680" s="29" t="inlineStr">
        <is>
          <t>0.0</t>
        </is>
      </c>
      <c r="O680" s="29" t="inlineStr">
        <is>
          <t>0.0</t>
        </is>
      </c>
      <c r="P680" s="29" t="inlineStr">
        <is>
          <t>KRW</t>
        </is>
      </c>
      <c r="Q680" s="29" t="inlineStr">
        <is>
          <t>8</t>
        </is>
      </c>
    </row>
    <row r="681" ht="24" customHeight="1">
      <c r="A681" s="24" t="inlineStr">
        <is>
          <t>OpenDART_fnlttSinglAcntAll</t>
        </is>
      </c>
      <c r="B681" s="24" t="inlineStr">
        <is>
          <t>00160843</t>
        </is>
      </c>
      <c r="C681" s="24" t="inlineStr">
        <is>
          <t>DB하이텍</t>
        </is>
      </c>
      <c r="D681" s="24" t="inlineStr">
        <is>
          <t>dbhitek</t>
        </is>
      </c>
      <c r="E681" s="24" t="inlineStr">
        <is>
          <t>000990</t>
        </is>
      </c>
      <c r="F681" s="24" t="inlineStr">
        <is>
          <t>2024</t>
        </is>
      </c>
      <c r="G681" s="24" t="inlineStr">
        <is>
          <t>CFS</t>
        </is>
      </c>
      <c r="H681" s="24" t="inlineStr">
        <is>
          <t>SCE</t>
        </is>
      </c>
      <c r="I681" s="24" t="inlineStr">
        <is>
          <t>자본변동표</t>
        </is>
      </c>
      <c r="J681" s="24" t="inlineStr">
        <is>
          <t>ifrs-full_IncreaseDecreaseThroughAcquisitionOfSubsidiary</t>
        </is>
      </c>
      <c r="K681" s="24" t="inlineStr">
        <is>
          <t>사업결합</t>
        </is>
      </c>
      <c r="L681" s="24" t="inlineStr">
        <is>
          <t>자본 [구성요소]|비지배지분 [구성요소]</t>
        </is>
      </c>
      <c r="M681" s="24" t="inlineStr">
        <is>
          <t>제 72 기</t>
        </is>
      </c>
      <c r="N681" s="24" t="inlineStr">
        <is>
          <t>77683043345.0</t>
        </is>
      </c>
      <c r="O681" s="24" t="inlineStr">
        <is>
          <t>0.0</t>
        </is>
      </c>
      <c r="P681" s="24" t="inlineStr">
        <is>
          <t>KRW</t>
        </is>
      </c>
      <c r="Q681" s="24" t="inlineStr">
        <is>
          <t>8</t>
        </is>
      </c>
    </row>
    <row r="682" ht="24" customHeight="1">
      <c r="A682" s="29" t="inlineStr">
        <is>
          <t>OpenDART_fnlttSinglAcntAll</t>
        </is>
      </c>
      <c r="B682" s="29" t="inlineStr">
        <is>
          <t>00160843</t>
        </is>
      </c>
      <c r="C682" s="29" t="inlineStr">
        <is>
          <t>DB하이텍</t>
        </is>
      </c>
      <c r="D682" s="29" t="inlineStr">
        <is>
          <t>dbhitek</t>
        </is>
      </c>
      <c r="E682" s="29" t="inlineStr">
        <is>
          <t>000990</t>
        </is>
      </c>
      <c r="F682" s="29" t="inlineStr">
        <is>
          <t>2024</t>
        </is>
      </c>
      <c r="G682" s="29" t="inlineStr">
        <is>
          <t>CFS</t>
        </is>
      </c>
      <c r="H682" s="29" t="inlineStr">
        <is>
          <t>SCE</t>
        </is>
      </c>
      <c r="I682" s="29" t="inlineStr">
        <is>
          <t>자본변동표</t>
        </is>
      </c>
      <c r="J682" s="29" t="inlineStr">
        <is>
          <t>ifrs-full_IncreaseDecreaseThroughAcquisitionOfSubsidiary</t>
        </is>
      </c>
      <c r="K682" s="29" t="inlineStr">
        <is>
          <t>사업결합</t>
        </is>
      </c>
      <c r="L682" s="29" t="inlineStr">
        <is>
          <t>연결재무제표 [member]</t>
        </is>
      </c>
      <c r="M682" s="29" t="inlineStr">
        <is>
          <t>제 72 기</t>
        </is>
      </c>
      <c r="N682" s="29" t="inlineStr">
        <is>
          <t>77683043345.0</t>
        </is>
      </c>
      <c r="O682" s="29" t="inlineStr">
        <is>
          <t>0.0</t>
        </is>
      </c>
      <c r="P682" s="29" t="inlineStr">
        <is>
          <t>KRW</t>
        </is>
      </c>
      <c r="Q682" s="29" t="inlineStr">
        <is>
          <t>8</t>
        </is>
      </c>
    </row>
    <row r="683" ht="24" customHeight="1">
      <c r="A683" s="24" t="inlineStr">
        <is>
          <t>OpenDART_fnlttSinglAcntAll</t>
        </is>
      </c>
      <c r="B683" s="24" t="inlineStr">
        <is>
          <t>00160843</t>
        </is>
      </c>
      <c r="C683" s="24" t="inlineStr">
        <is>
          <t>DB하이텍</t>
        </is>
      </c>
      <c r="D683" s="24" t="inlineStr">
        <is>
          <t>dbhitek</t>
        </is>
      </c>
      <c r="E683" s="24" t="inlineStr">
        <is>
          <t>000990</t>
        </is>
      </c>
      <c r="F683" s="24" t="inlineStr">
        <is>
          <t>2024</t>
        </is>
      </c>
      <c r="G683" s="24" t="inlineStr">
        <is>
          <t>CFS</t>
        </is>
      </c>
      <c r="H683" s="24" t="inlineStr">
        <is>
          <t>SCE</t>
        </is>
      </c>
      <c r="I683" s="24" t="inlineStr">
        <is>
          <t>자본변동표</t>
        </is>
      </c>
      <c r="J683" s="24" t="inlineStr">
        <is>
          <t>ifrs-full_IncreaseDecreaseThroughAcquisitionOfSubsidiary</t>
        </is>
      </c>
      <c r="K683" s="24" t="inlineStr">
        <is>
          <t>사업결합</t>
        </is>
      </c>
      <c r="L683" s="24" t="inlineStr">
        <is>
          <t>자본 [구성요소]|지배기업의 소유주에게 귀속되는 지분 [구성요소]|자본잉여금 [구성요소]</t>
        </is>
      </c>
      <c r="M683" s="24" t="inlineStr">
        <is>
          <t>제 72 기</t>
        </is>
      </c>
      <c r="N683" s="24" t="inlineStr">
        <is>
          <t>0.0</t>
        </is>
      </c>
      <c r="O683" s="24" t="inlineStr">
        <is>
          <t>0.0</t>
        </is>
      </c>
      <c r="P683" s="24" t="inlineStr">
        <is>
          <t>KRW</t>
        </is>
      </c>
      <c r="Q683" s="24" t="inlineStr">
        <is>
          <t>8</t>
        </is>
      </c>
    </row>
    <row r="684" ht="24" customHeight="1">
      <c r="A684" s="29" t="inlineStr">
        <is>
          <t>OpenDART_fnlttSinglAcntAll</t>
        </is>
      </c>
      <c r="B684" s="29" t="inlineStr">
        <is>
          <t>00160843</t>
        </is>
      </c>
      <c r="C684" s="29" t="inlineStr">
        <is>
          <t>DB하이텍</t>
        </is>
      </c>
      <c r="D684" s="29" t="inlineStr">
        <is>
          <t>dbhitek</t>
        </is>
      </c>
      <c r="E684" s="29" t="inlineStr">
        <is>
          <t>000990</t>
        </is>
      </c>
      <c r="F684" s="29" t="inlineStr">
        <is>
          <t>2024</t>
        </is>
      </c>
      <c r="G684" s="29" t="inlineStr">
        <is>
          <t>CFS</t>
        </is>
      </c>
      <c r="H684" s="29" t="inlineStr">
        <is>
          <t>SCE</t>
        </is>
      </c>
      <c r="I684" s="29" t="inlineStr">
        <is>
          <t>자본변동표</t>
        </is>
      </c>
      <c r="J684" s="29" t="inlineStr">
        <is>
          <t>ifrs-full_IncreaseDecreaseThroughChangesInOwnershipInterestsInSubsidiariesThatDoNotResultInLossOfControlEquityAttributableToOwnersOfParent</t>
        </is>
      </c>
      <c r="K684" s="29" t="inlineStr">
        <is>
          <t>비지배지분과의 거래</t>
        </is>
      </c>
      <c r="L684" s="29" t="inlineStr">
        <is>
          <t>자본 [구성요소]|지배기업의 소유주에게 귀속되는 지분 [구성요소]|자본금 [구성요소]</t>
        </is>
      </c>
      <c r="M684" s="29" t="inlineStr">
        <is>
          <t>제 72 기</t>
        </is>
      </c>
      <c r="N684" s="29" t="inlineStr">
        <is>
          <t>0.0</t>
        </is>
      </c>
      <c r="O684" s="29" t="inlineStr">
        <is>
          <t>0.0</t>
        </is>
      </c>
      <c r="P684" s="29" t="inlineStr">
        <is>
          <t>KRW</t>
        </is>
      </c>
      <c r="Q684" s="29" t="inlineStr">
        <is>
          <t>9</t>
        </is>
      </c>
    </row>
    <row r="685" ht="24" customHeight="1">
      <c r="A685" s="24" t="inlineStr">
        <is>
          <t>OpenDART_fnlttSinglAcntAll</t>
        </is>
      </c>
      <c r="B685" s="24" t="inlineStr">
        <is>
          <t>00160843</t>
        </is>
      </c>
      <c r="C685" s="24" t="inlineStr">
        <is>
          <t>DB하이텍</t>
        </is>
      </c>
      <c r="D685" s="24" t="inlineStr">
        <is>
          <t>dbhitek</t>
        </is>
      </c>
      <c r="E685" s="24" t="inlineStr">
        <is>
          <t>000990</t>
        </is>
      </c>
      <c r="F685" s="24" t="inlineStr">
        <is>
          <t>2024</t>
        </is>
      </c>
      <c r="G685" s="24" t="inlineStr">
        <is>
          <t>CFS</t>
        </is>
      </c>
      <c r="H685" s="24" t="inlineStr">
        <is>
          <t>SCE</t>
        </is>
      </c>
      <c r="I685" s="24" t="inlineStr">
        <is>
          <t>자본변동표</t>
        </is>
      </c>
      <c r="J685" s="24" t="inlineStr">
        <is>
          <t>ifrs-full_IncreaseDecreaseThroughChangesInOwnershipInterestsInSubsidiariesThatDoNotResultInLossOfControlEquityAttributableToOwnersOfParent</t>
        </is>
      </c>
      <c r="K685" s="24" t="inlineStr">
        <is>
          <t>비지배지분과의 거래</t>
        </is>
      </c>
      <c r="L685" s="24" t="inlineStr">
        <is>
          <t>자본 [구성요소]|지배기업의 소유주에게 귀속되는 지분 [구성요소]|이익잉여금 [구성요소]</t>
        </is>
      </c>
      <c r="M685" s="24" t="inlineStr">
        <is>
          <t>제 72 기</t>
        </is>
      </c>
      <c r="N685" s="24" t="inlineStr">
        <is>
          <t>0.0</t>
        </is>
      </c>
      <c r="O685" s="24" t="inlineStr">
        <is>
          <t>0.0</t>
        </is>
      </c>
      <c r="P685" s="24" t="inlineStr">
        <is>
          <t>KRW</t>
        </is>
      </c>
      <c r="Q685" s="24" t="inlineStr">
        <is>
          <t>9</t>
        </is>
      </c>
    </row>
    <row r="686" ht="24" customHeight="1">
      <c r="A686" s="29" t="inlineStr">
        <is>
          <t>OpenDART_fnlttSinglAcntAll</t>
        </is>
      </c>
      <c r="B686" s="29" t="inlineStr">
        <is>
          <t>00160843</t>
        </is>
      </c>
      <c r="C686" s="29" t="inlineStr">
        <is>
          <t>DB하이텍</t>
        </is>
      </c>
      <c r="D686" s="29" t="inlineStr">
        <is>
          <t>dbhitek</t>
        </is>
      </c>
      <c r="E686" s="29" t="inlineStr">
        <is>
          <t>000990</t>
        </is>
      </c>
      <c r="F686" s="29" t="inlineStr">
        <is>
          <t>2024</t>
        </is>
      </c>
      <c r="G686" s="29" t="inlineStr">
        <is>
          <t>CFS</t>
        </is>
      </c>
      <c r="H686" s="29" t="inlineStr">
        <is>
          <t>SCE</t>
        </is>
      </c>
      <c r="I686" s="29" t="inlineStr">
        <is>
          <t>자본변동표</t>
        </is>
      </c>
      <c r="J686" s="29" t="inlineStr">
        <is>
          <t>ifrs-full_IncreaseDecreaseThroughChangesInOwnershipInterestsInSubsidiariesThatDoNotResultInLossOfControlEquityAttributableToOwnersOfParent</t>
        </is>
      </c>
      <c r="K686" s="29" t="inlineStr">
        <is>
          <t>비지배지분과의 거래</t>
        </is>
      </c>
      <c r="L686" s="29" t="inlineStr">
        <is>
          <t>자본 [구성요소]|지배기업의 소유주에게 귀속되는 지분 [구성요소]|기타자본구성요소 [구성요소]</t>
        </is>
      </c>
      <c r="M686" s="29" t="inlineStr">
        <is>
          <t>제 72 기</t>
        </is>
      </c>
      <c r="N686" s="29" t="inlineStr">
        <is>
          <t>16230113266.0</t>
        </is>
      </c>
      <c r="O686" s="29" t="inlineStr">
        <is>
          <t>0.0</t>
        </is>
      </c>
      <c r="P686" s="29" t="inlineStr">
        <is>
          <t>KRW</t>
        </is>
      </c>
      <c r="Q686" s="29" t="inlineStr">
        <is>
          <t>9</t>
        </is>
      </c>
    </row>
    <row r="687" ht="24" customHeight="1">
      <c r="A687" s="24" t="inlineStr">
        <is>
          <t>OpenDART_fnlttSinglAcntAll</t>
        </is>
      </c>
      <c r="B687" s="24" t="inlineStr">
        <is>
          <t>00160843</t>
        </is>
      </c>
      <c r="C687" s="24" t="inlineStr">
        <is>
          <t>DB하이텍</t>
        </is>
      </c>
      <c r="D687" s="24" t="inlineStr">
        <is>
          <t>dbhitek</t>
        </is>
      </c>
      <c r="E687" s="24" t="inlineStr">
        <is>
          <t>000990</t>
        </is>
      </c>
      <c r="F687" s="24" t="inlineStr">
        <is>
          <t>2024</t>
        </is>
      </c>
      <c r="G687" s="24" t="inlineStr">
        <is>
          <t>CFS</t>
        </is>
      </c>
      <c r="H687" s="24" t="inlineStr">
        <is>
          <t>SCE</t>
        </is>
      </c>
      <c r="I687" s="24" t="inlineStr">
        <is>
          <t>자본변동표</t>
        </is>
      </c>
      <c r="J687" s="24" t="inlineStr">
        <is>
          <t>ifrs-full_IncreaseDecreaseThroughChangesInOwnershipInterestsInSubsidiariesThatDoNotResultInLossOfControlEquityAttributableToOwnersOfParent</t>
        </is>
      </c>
      <c r="K687" s="24" t="inlineStr">
        <is>
          <t>비지배지분과의 거래</t>
        </is>
      </c>
      <c r="L687" s="24" t="inlineStr">
        <is>
          <t>자본 [구성요소]|지배기업의 소유주에게 귀속되는 지분 [구성요소]</t>
        </is>
      </c>
      <c r="M687" s="24" t="inlineStr">
        <is>
          <t>제 72 기</t>
        </is>
      </c>
      <c r="N687" s="24" t="inlineStr">
        <is>
          <t>16230113266.0</t>
        </is>
      </c>
      <c r="O687" s="24" t="inlineStr">
        <is>
          <t>0.0</t>
        </is>
      </c>
      <c r="P687" s="24" t="inlineStr">
        <is>
          <t>KRW</t>
        </is>
      </c>
      <c r="Q687" s="24" t="inlineStr">
        <is>
          <t>9</t>
        </is>
      </c>
    </row>
    <row r="688" ht="24" customHeight="1">
      <c r="A688" s="29" t="inlineStr">
        <is>
          <t>OpenDART_fnlttSinglAcntAll</t>
        </is>
      </c>
      <c r="B688" s="29" t="inlineStr">
        <is>
          <t>00160843</t>
        </is>
      </c>
      <c r="C688" s="29" t="inlineStr">
        <is>
          <t>DB하이텍</t>
        </is>
      </c>
      <c r="D688" s="29" t="inlineStr">
        <is>
          <t>dbhitek</t>
        </is>
      </c>
      <c r="E688" s="29" t="inlineStr">
        <is>
          <t>000990</t>
        </is>
      </c>
      <c r="F688" s="29" t="inlineStr">
        <is>
          <t>2024</t>
        </is>
      </c>
      <c r="G688" s="29" t="inlineStr">
        <is>
          <t>CFS</t>
        </is>
      </c>
      <c r="H688" s="29" t="inlineStr">
        <is>
          <t>SCE</t>
        </is>
      </c>
      <c r="I688" s="29" t="inlineStr">
        <is>
          <t>자본변동표</t>
        </is>
      </c>
      <c r="J688" s="29" t="inlineStr">
        <is>
          <t>ifrs-full_IncreaseDecreaseThroughChangesInOwnershipInterestsInSubsidiariesThatDoNotResultInLossOfControlEquityAttributableToOwnersOfParent</t>
        </is>
      </c>
      <c r="K688" s="29" t="inlineStr">
        <is>
          <t>비지배지분과의 거래</t>
        </is>
      </c>
      <c r="L688" s="29" t="inlineStr">
        <is>
          <t>자본 [구성요소]|비지배지분 [구성요소]</t>
        </is>
      </c>
      <c r="M688" s="29" t="inlineStr">
        <is>
          <t>제 72 기</t>
        </is>
      </c>
      <c r="N688" s="29" t="inlineStr">
        <is>
          <t>-26888770636.0</t>
        </is>
      </c>
      <c r="O688" s="29" t="inlineStr">
        <is>
          <t>0.0</t>
        </is>
      </c>
      <c r="P688" s="29" t="inlineStr">
        <is>
          <t>KRW</t>
        </is>
      </c>
      <c r="Q688" s="29" t="inlineStr">
        <is>
          <t>9</t>
        </is>
      </c>
    </row>
    <row r="689" ht="24" customHeight="1">
      <c r="A689" s="24" t="inlineStr">
        <is>
          <t>OpenDART_fnlttSinglAcntAll</t>
        </is>
      </c>
      <c r="B689" s="24" t="inlineStr">
        <is>
          <t>00160843</t>
        </is>
      </c>
      <c r="C689" s="24" t="inlineStr">
        <is>
          <t>DB하이텍</t>
        </is>
      </c>
      <c r="D689" s="24" t="inlineStr">
        <is>
          <t>dbhitek</t>
        </is>
      </c>
      <c r="E689" s="24" t="inlineStr">
        <is>
          <t>000990</t>
        </is>
      </c>
      <c r="F689" s="24" t="inlineStr">
        <is>
          <t>2024</t>
        </is>
      </c>
      <c r="G689" s="24" t="inlineStr">
        <is>
          <t>CFS</t>
        </is>
      </c>
      <c r="H689" s="24" t="inlineStr">
        <is>
          <t>SCE</t>
        </is>
      </c>
      <c r="I689" s="24" t="inlineStr">
        <is>
          <t>자본변동표</t>
        </is>
      </c>
      <c r="J689" s="24" t="inlineStr">
        <is>
          <t>ifrs-full_IncreaseDecreaseThroughChangesInOwnershipInterestsInSubsidiariesThatDoNotResultInLossOfControlEquityAttributableToOwnersOfParent</t>
        </is>
      </c>
      <c r="K689" s="24" t="inlineStr">
        <is>
          <t>비지배지분과의 거래</t>
        </is>
      </c>
      <c r="L689" s="24" t="inlineStr">
        <is>
          <t>연결재무제표 [member]</t>
        </is>
      </c>
      <c r="M689" s="24" t="inlineStr">
        <is>
          <t>제 72 기</t>
        </is>
      </c>
      <c r="N689" s="24" t="inlineStr">
        <is>
          <t>-10658657370.0</t>
        </is>
      </c>
      <c r="O689" s="24" t="inlineStr">
        <is>
          <t>0.0</t>
        </is>
      </c>
      <c r="P689" s="24" t="inlineStr">
        <is>
          <t>KRW</t>
        </is>
      </c>
      <c r="Q689" s="24" t="inlineStr">
        <is>
          <t>9</t>
        </is>
      </c>
    </row>
    <row r="690" ht="24" customHeight="1">
      <c r="A690" s="29" t="inlineStr">
        <is>
          <t>OpenDART_fnlttSinglAcntAll</t>
        </is>
      </c>
      <c r="B690" s="29" t="inlineStr">
        <is>
          <t>00160843</t>
        </is>
      </c>
      <c r="C690" s="29" t="inlineStr">
        <is>
          <t>DB하이텍</t>
        </is>
      </c>
      <c r="D690" s="29" t="inlineStr">
        <is>
          <t>dbhitek</t>
        </is>
      </c>
      <c r="E690" s="29" t="inlineStr">
        <is>
          <t>000990</t>
        </is>
      </c>
      <c r="F690" s="29" t="inlineStr">
        <is>
          <t>2024</t>
        </is>
      </c>
      <c r="G690" s="29" t="inlineStr">
        <is>
          <t>CFS</t>
        </is>
      </c>
      <c r="H690" s="29" t="inlineStr">
        <is>
          <t>SCE</t>
        </is>
      </c>
      <c r="I690" s="29" t="inlineStr">
        <is>
          <t>자본변동표</t>
        </is>
      </c>
      <c r="J690" s="29" t="inlineStr">
        <is>
          <t>ifrs-full_IncreaseDecreaseThroughChangesInOwnershipInterestsInSubsidiariesThatDoNotResultInLossOfControlEquityAttributableToOwnersOfParent</t>
        </is>
      </c>
      <c r="K690" s="29" t="inlineStr">
        <is>
          <t>비지배지분과의 거래</t>
        </is>
      </c>
      <c r="L690" s="29" t="inlineStr">
        <is>
          <t>자본 [구성요소]|지배기업의 소유주에게 귀속되는 지분 [구성요소]|자본잉여금 [구성요소]</t>
        </is>
      </c>
      <c r="M690" s="29" t="inlineStr">
        <is>
          <t>제 72 기</t>
        </is>
      </c>
      <c r="N690" s="29" t="inlineStr">
        <is>
          <t>0.0</t>
        </is>
      </c>
      <c r="O690" s="29" t="inlineStr">
        <is>
          <t>0.0</t>
        </is>
      </c>
      <c r="P690" s="29" t="inlineStr">
        <is>
          <t>KRW</t>
        </is>
      </c>
      <c r="Q690" s="29" t="inlineStr">
        <is>
          <t>9</t>
        </is>
      </c>
    </row>
    <row r="691" ht="24" customHeight="1">
      <c r="A691" s="24" t="inlineStr">
        <is>
          <t>OpenDART_fnlttSinglAcntAll</t>
        </is>
      </c>
      <c r="B691" s="24" t="inlineStr">
        <is>
          <t>00160843</t>
        </is>
      </c>
      <c r="C691" s="24" t="inlineStr">
        <is>
          <t>DB하이텍</t>
        </is>
      </c>
      <c r="D691" s="24" t="inlineStr">
        <is>
          <t>dbhitek</t>
        </is>
      </c>
      <c r="E691" s="24" t="inlineStr">
        <is>
          <t>000990</t>
        </is>
      </c>
      <c r="F691" s="24" t="inlineStr">
        <is>
          <t>2024</t>
        </is>
      </c>
      <c r="G691" s="24" t="inlineStr">
        <is>
          <t>CFS</t>
        </is>
      </c>
      <c r="H691" s="24" t="inlineStr">
        <is>
          <t>SCE</t>
        </is>
      </c>
      <c r="I691" s="24" t="inlineStr">
        <is>
          <t>자본변동표</t>
        </is>
      </c>
      <c r="J691" s="24" t="inlineStr">
        <is>
          <t>ifrs-full_IncreaseDecreaseThroughTransactionsWithOwners</t>
        </is>
      </c>
      <c r="K691" s="24" t="inlineStr">
        <is>
          <t>소유주와의 거래 합계</t>
        </is>
      </c>
      <c r="L691" s="24" t="inlineStr">
        <is>
          <t>연결재무제표 [member]</t>
        </is>
      </c>
      <c r="M691" s="24" t="inlineStr">
        <is>
          <t>제 72 기</t>
        </is>
      </c>
      <c r="N691" s="24" t="inlineStr">
        <is>
          <t>22789554005.0</t>
        </is>
      </c>
      <c r="O691" s="24" t="inlineStr">
        <is>
          <t>-156954943660.0</t>
        </is>
      </c>
      <c r="P691" s="24" t="inlineStr">
        <is>
          <t>KRW</t>
        </is>
      </c>
      <c r="Q691" s="24" t="inlineStr">
        <is>
          <t>10</t>
        </is>
      </c>
    </row>
    <row r="692" ht="24" customHeight="1">
      <c r="A692" s="29" t="inlineStr">
        <is>
          <t>OpenDART_fnlttSinglAcntAll</t>
        </is>
      </c>
      <c r="B692" s="29" t="inlineStr">
        <is>
          <t>00160843</t>
        </is>
      </c>
      <c r="C692" s="29" t="inlineStr">
        <is>
          <t>DB하이텍</t>
        </is>
      </c>
      <c r="D692" s="29" t="inlineStr">
        <is>
          <t>dbhitek</t>
        </is>
      </c>
      <c r="E692" s="29" t="inlineStr">
        <is>
          <t>000990</t>
        </is>
      </c>
      <c r="F692" s="29" t="inlineStr">
        <is>
          <t>2024</t>
        </is>
      </c>
      <c r="G692" s="29" t="inlineStr">
        <is>
          <t>CFS</t>
        </is>
      </c>
      <c r="H692" s="29" t="inlineStr">
        <is>
          <t>SCE</t>
        </is>
      </c>
      <c r="I692" s="29" t="inlineStr">
        <is>
          <t>자본변동표</t>
        </is>
      </c>
      <c r="J692" s="29" t="inlineStr">
        <is>
          <t>ifrs-full_IncreaseDecreaseThroughTransactionsWithOwners</t>
        </is>
      </c>
      <c r="K692" s="29" t="inlineStr">
        <is>
          <t>소유주와의 거래 합계</t>
        </is>
      </c>
      <c r="L692" s="29" t="inlineStr">
        <is>
          <t>자본 [구성요소]|비지배지분 [구성요소]</t>
        </is>
      </c>
      <c r="M692" s="29" t="inlineStr">
        <is>
          <t>제 72 기</t>
        </is>
      </c>
      <c r="N692" s="29" t="inlineStr">
        <is>
          <t>50794272709.0</t>
        </is>
      </c>
      <c r="O692" s="29" t="inlineStr">
        <is>
          <t>0.0</t>
        </is>
      </c>
      <c r="P692" s="29" t="inlineStr">
        <is>
          <t>KRW</t>
        </is>
      </c>
      <c r="Q692" s="29" t="inlineStr">
        <is>
          <t>10</t>
        </is>
      </c>
    </row>
    <row r="693" ht="24" customHeight="1">
      <c r="A693" s="24" t="inlineStr">
        <is>
          <t>OpenDART_fnlttSinglAcntAll</t>
        </is>
      </c>
      <c r="B693" s="24" t="inlineStr">
        <is>
          <t>00160843</t>
        </is>
      </c>
      <c r="C693" s="24" t="inlineStr">
        <is>
          <t>DB하이텍</t>
        </is>
      </c>
      <c r="D693" s="24" t="inlineStr">
        <is>
          <t>dbhitek</t>
        </is>
      </c>
      <c r="E693" s="24" t="inlineStr">
        <is>
          <t>000990</t>
        </is>
      </c>
      <c r="F693" s="24" t="inlineStr">
        <is>
          <t>2024</t>
        </is>
      </c>
      <c r="G693" s="24" t="inlineStr">
        <is>
          <t>CFS</t>
        </is>
      </c>
      <c r="H693" s="24" t="inlineStr">
        <is>
          <t>SCE</t>
        </is>
      </c>
      <c r="I693" s="24" t="inlineStr">
        <is>
          <t>자본변동표</t>
        </is>
      </c>
      <c r="J693" s="24" t="inlineStr">
        <is>
          <t>ifrs-full_IncreaseDecreaseThroughTransactionsWithOwners</t>
        </is>
      </c>
      <c r="K693" s="24" t="inlineStr">
        <is>
          <t>소유주와의 거래 합계</t>
        </is>
      </c>
      <c r="L693" s="24" t="inlineStr">
        <is>
          <t>자본 [구성요소]|지배기업의 소유주에게 귀속되는 지분 [구성요소]</t>
        </is>
      </c>
      <c r="M693" s="24" t="inlineStr">
        <is>
          <t>제 72 기</t>
        </is>
      </c>
      <c r="N693" s="24" t="inlineStr">
        <is>
          <t>-28004718704.0</t>
        </is>
      </c>
      <c r="O693" s="24" t="inlineStr">
        <is>
          <t>-156954943660.0</t>
        </is>
      </c>
      <c r="P693" s="24" t="inlineStr">
        <is>
          <t>KRW</t>
        </is>
      </c>
      <c r="Q693" s="24" t="inlineStr">
        <is>
          <t>10</t>
        </is>
      </c>
    </row>
    <row r="694" ht="24" customHeight="1">
      <c r="A694" s="29" t="inlineStr">
        <is>
          <t>OpenDART_fnlttSinglAcntAll</t>
        </is>
      </c>
      <c r="B694" s="29" t="inlineStr">
        <is>
          <t>00160843</t>
        </is>
      </c>
      <c r="C694" s="29" t="inlineStr">
        <is>
          <t>DB하이텍</t>
        </is>
      </c>
      <c r="D694" s="29" t="inlineStr">
        <is>
          <t>dbhitek</t>
        </is>
      </c>
      <c r="E694" s="29" t="inlineStr">
        <is>
          <t>000990</t>
        </is>
      </c>
      <c r="F694" s="29" t="inlineStr">
        <is>
          <t>2024</t>
        </is>
      </c>
      <c r="G694" s="29" t="inlineStr">
        <is>
          <t>CFS</t>
        </is>
      </c>
      <c r="H694" s="29" t="inlineStr">
        <is>
          <t>SCE</t>
        </is>
      </c>
      <c r="I694" s="29" t="inlineStr">
        <is>
          <t>자본변동표</t>
        </is>
      </c>
      <c r="J694" s="29" t="inlineStr">
        <is>
          <t>ifrs-full_IncreaseDecreaseThroughTransactionsWithOwners</t>
        </is>
      </c>
      <c r="K694" s="29" t="inlineStr">
        <is>
          <t>소유주와의 거래 합계</t>
        </is>
      </c>
      <c r="L694" s="29" t="inlineStr">
        <is>
          <t>자본 [구성요소]|지배기업의 소유주에게 귀속되는 지분 [구성요소]|기타자본구성요소 [구성요소]</t>
        </is>
      </c>
      <c r="M694" s="29" t="inlineStr">
        <is>
          <t>제 72 기</t>
        </is>
      </c>
      <c r="N694" s="29" t="inlineStr">
        <is>
          <t>-3770762864.0</t>
        </is>
      </c>
      <c r="O694" s="29" t="inlineStr">
        <is>
          <t>-100450331460.0</t>
        </is>
      </c>
      <c r="P694" s="29" t="inlineStr">
        <is>
          <t>KRW</t>
        </is>
      </c>
      <c r="Q694" s="29" t="inlineStr">
        <is>
          <t>10</t>
        </is>
      </c>
    </row>
    <row r="695" ht="24" customHeight="1">
      <c r="A695" s="24" t="inlineStr">
        <is>
          <t>OpenDART_fnlttSinglAcntAll</t>
        </is>
      </c>
      <c r="B695" s="24" t="inlineStr">
        <is>
          <t>00160843</t>
        </is>
      </c>
      <c r="C695" s="24" t="inlineStr">
        <is>
          <t>DB하이텍</t>
        </is>
      </c>
      <c r="D695" s="24" t="inlineStr">
        <is>
          <t>dbhitek</t>
        </is>
      </c>
      <c r="E695" s="24" t="inlineStr">
        <is>
          <t>000990</t>
        </is>
      </c>
      <c r="F695" s="24" t="inlineStr">
        <is>
          <t>2024</t>
        </is>
      </c>
      <c r="G695" s="24" t="inlineStr">
        <is>
          <t>CFS</t>
        </is>
      </c>
      <c r="H695" s="24" t="inlineStr">
        <is>
          <t>SCE</t>
        </is>
      </c>
      <c r="I695" s="24" t="inlineStr">
        <is>
          <t>자본변동표</t>
        </is>
      </c>
      <c r="J695" s="24" t="inlineStr">
        <is>
          <t>ifrs-full_IncreaseDecreaseThroughTransactionsWithOwners</t>
        </is>
      </c>
      <c r="K695" s="24" t="inlineStr">
        <is>
          <t>소유주와의 거래 합계</t>
        </is>
      </c>
      <c r="L695" s="24" t="inlineStr">
        <is>
          <t>자본 [구성요소]|지배기업의 소유주에게 귀속되는 지분 [구성요소]|이익잉여금 [구성요소]</t>
        </is>
      </c>
      <c r="M695" s="24" t="inlineStr">
        <is>
          <t>제 72 기</t>
        </is>
      </c>
      <c r="N695" s="24" t="inlineStr">
        <is>
          <t>-24233955840.0</t>
        </is>
      </c>
      <c r="O695" s="24" t="inlineStr">
        <is>
          <t>-56504612200.0</t>
        </is>
      </c>
      <c r="P695" s="24" t="inlineStr">
        <is>
          <t>KRW</t>
        </is>
      </c>
      <c r="Q695" s="24" t="inlineStr">
        <is>
          <t>10</t>
        </is>
      </c>
    </row>
    <row r="696" ht="24" customHeight="1">
      <c r="A696" s="29" t="inlineStr">
        <is>
          <t>OpenDART_fnlttSinglAcntAll</t>
        </is>
      </c>
      <c r="B696" s="29" t="inlineStr">
        <is>
          <t>00160843</t>
        </is>
      </c>
      <c r="C696" s="29" t="inlineStr">
        <is>
          <t>DB하이텍</t>
        </is>
      </c>
      <c r="D696" s="29" t="inlineStr">
        <is>
          <t>dbhitek</t>
        </is>
      </c>
      <c r="E696" s="29" t="inlineStr">
        <is>
          <t>000990</t>
        </is>
      </c>
      <c r="F696" s="29" t="inlineStr">
        <is>
          <t>2024</t>
        </is>
      </c>
      <c r="G696" s="29" t="inlineStr">
        <is>
          <t>CFS</t>
        </is>
      </c>
      <c r="H696" s="29" t="inlineStr">
        <is>
          <t>SCE</t>
        </is>
      </c>
      <c r="I696" s="29" t="inlineStr">
        <is>
          <t>자본변동표</t>
        </is>
      </c>
      <c r="J696" s="29" t="inlineStr">
        <is>
          <t>ifrs-full_IncreaseDecreaseThroughTransactionsWithOwners</t>
        </is>
      </c>
      <c r="K696" s="29" t="inlineStr">
        <is>
          <t>소유주와의 거래 합계</t>
        </is>
      </c>
      <c r="L696" s="29" t="inlineStr">
        <is>
          <t>자본 [구성요소]|지배기업의 소유주에게 귀속되는 지분 [구성요소]|자본금 [구성요소]</t>
        </is>
      </c>
      <c r="M696" s="29" t="inlineStr">
        <is>
          <t>제 72 기</t>
        </is>
      </c>
      <c r="N696" s="29" t="inlineStr">
        <is>
          <t>0.0</t>
        </is>
      </c>
      <c r="O696" s="29" t="inlineStr">
        <is>
          <t>0.0</t>
        </is>
      </c>
      <c r="P696" s="29" t="inlineStr">
        <is>
          <t>KRW</t>
        </is>
      </c>
      <c r="Q696" s="29" t="inlineStr">
        <is>
          <t>10</t>
        </is>
      </c>
    </row>
    <row r="697" ht="24" customHeight="1">
      <c r="A697" s="24" t="inlineStr">
        <is>
          <t>OpenDART_fnlttSinglAcntAll</t>
        </is>
      </c>
      <c r="B697" s="24" t="inlineStr">
        <is>
          <t>00160843</t>
        </is>
      </c>
      <c r="C697" s="24" t="inlineStr">
        <is>
          <t>DB하이텍</t>
        </is>
      </c>
      <c r="D697" s="24" t="inlineStr">
        <is>
          <t>dbhitek</t>
        </is>
      </c>
      <c r="E697" s="24" t="inlineStr">
        <is>
          <t>000990</t>
        </is>
      </c>
      <c r="F697" s="24" t="inlineStr">
        <is>
          <t>2024</t>
        </is>
      </c>
      <c r="G697" s="24" t="inlineStr">
        <is>
          <t>CFS</t>
        </is>
      </c>
      <c r="H697" s="24" t="inlineStr">
        <is>
          <t>SCE</t>
        </is>
      </c>
      <c r="I697" s="24" t="inlineStr">
        <is>
          <t>자본변동표</t>
        </is>
      </c>
      <c r="J697" s="24" t="inlineStr">
        <is>
          <t>ifrs-full_IncreaseDecreaseThroughTransactionsWithOwners</t>
        </is>
      </c>
      <c r="K697" s="24" t="inlineStr">
        <is>
          <t>소유주와의 거래 합계</t>
        </is>
      </c>
      <c r="L697" s="24" t="inlineStr">
        <is>
          <t>자본 [구성요소]|지배기업의 소유주에게 귀속되는 지분 [구성요소]|자본잉여금 [구성요소]</t>
        </is>
      </c>
      <c r="M697" s="24" t="inlineStr">
        <is>
          <t>제 72 기</t>
        </is>
      </c>
      <c r="N697" s="24" t="inlineStr">
        <is>
          <t>0.0</t>
        </is>
      </c>
      <c r="O697" s="24" t="inlineStr">
        <is>
          <t>0.0</t>
        </is>
      </c>
      <c r="P697" s="24" t="inlineStr">
        <is>
          <t>KRW</t>
        </is>
      </c>
      <c r="Q697" s="24" t="inlineStr">
        <is>
          <t>10</t>
        </is>
      </c>
    </row>
    <row r="698" ht="24" customHeight="1">
      <c r="A698" s="29" t="inlineStr">
        <is>
          <t>OpenDART_fnlttSinglAcntAll</t>
        </is>
      </c>
      <c r="B698" s="29" t="inlineStr">
        <is>
          <t>00160843</t>
        </is>
      </c>
      <c r="C698" s="29" t="inlineStr">
        <is>
          <t>DB하이텍</t>
        </is>
      </c>
      <c r="D698" s="29" t="inlineStr">
        <is>
          <t>dbhitek</t>
        </is>
      </c>
      <c r="E698" s="29" t="inlineStr">
        <is>
          <t>000990</t>
        </is>
      </c>
      <c r="F698" s="29" t="inlineStr">
        <is>
          <t>2024</t>
        </is>
      </c>
      <c r="G698" s="29" t="inlineStr">
        <is>
          <t>CFS</t>
        </is>
      </c>
      <c r="H698" s="29" t="inlineStr">
        <is>
          <t>SCE</t>
        </is>
      </c>
      <c r="I698" s="29" t="inlineStr">
        <is>
          <t>자본변동표</t>
        </is>
      </c>
      <c r="J698" s="29" t="inlineStr">
        <is>
          <t>ifrs-full_OtherComprehensiveIncome</t>
        </is>
      </c>
      <c r="K698" s="29" t="inlineStr">
        <is>
          <t>기타포괄손익</t>
        </is>
      </c>
      <c r="L698" s="29" t="inlineStr">
        <is>
          <t>연결재무제표 [member]</t>
        </is>
      </c>
      <c r="M698" s="29" t="inlineStr">
        <is>
          <t>제 72 기</t>
        </is>
      </c>
      <c r="N698" s="29" t="inlineStr">
        <is>
          <t>8430924210.0</t>
        </is>
      </c>
      <c r="O698" s="29" t="inlineStr">
        <is>
          <t>-1896013467.0</t>
        </is>
      </c>
      <c r="P698" s="29" t="inlineStr">
        <is>
          <t>KRW</t>
        </is>
      </c>
      <c r="Q698" s="29" t="inlineStr">
        <is>
          <t>11</t>
        </is>
      </c>
    </row>
    <row r="699" ht="24" customHeight="1">
      <c r="A699" s="24" t="inlineStr">
        <is>
          <t>OpenDART_fnlttSinglAcntAll</t>
        </is>
      </c>
      <c r="B699" s="24" t="inlineStr">
        <is>
          <t>00160843</t>
        </is>
      </c>
      <c r="C699" s="24" t="inlineStr">
        <is>
          <t>DB하이텍</t>
        </is>
      </c>
      <c r="D699" s="24" t="inlineStr">
        <is>
          <t>dbhitek</t>
        </is>
      </c>
      <c r="E699" s="24" t="inlineStr">
        <is>
          <t>000990</t>
        </is>
      </c>
      <c r="F699" s="24" t="inlineStr">
        <is>
          <t>2024</t>
        </is>
      </c>
      <c r="G699" s="24" t="inlineStr">
        <is>
          <t>CFS</t>
        </is>
      </c>
      <c r="H699" s="24" t="inlineStr">
        <is>
          <t>SCE</t>
        </is>
      </c>
      <c r="I699" s="24" t="inlineStr">
        <is>
          <t>자본변동표</t>
        </is>
      </c>
      <c r="J699" s="24" t="inlineStr">
        <is>
          <t>ifrs-full_OtherComprehensiveIncome</t>
        </is>
      </c>
      <c r="K699" s="24" t="inlineStr">
        <is>
          <t>기타포괄손익</t>
        </is>
      </c>
      <c r="L699" s="24" t="inlineStr">
        <is>
          <t>자본 [구성요소]|비지배지분 [구성요소]</t>
        </is>
      </c>
      <c r="M699" s="24" t="inlineStr">
        <is>
          <t>제 72 기</t>
        </is>
      </c>
      <c r="N699" s="24" t="inlineStr">
        <is>
          <t>0.0</t>
        </is>
      </c>
      <c r="O699" s="24" t="inlineStr">
        <is>
          <t>0.0</t>
        </is>
      </c>
      <c r="P699" s="24" t="inlineStr">
        <is>
          <t>KRW</t>
        </is>
      </c>
      <c r="Q699" s="24" t="inlineStr">
        <is>
          <t>11</t>
        </is>
      </c>
    </row>
    <row r="700" ht="24" customHeight="1">
      <c r="A700" s="29" t="inlineStr">
        <is>
          <t>OpenDART_fnlttSinglAcntAll</t>
        </is>
      </c>
      <c r="B700" s="29" t="inlineStr">
        <is>
          <t>00160843</t>
        </is>
      </c>
      <c r="C700" s="29" t="inlineStr">
        <is>
          <t>DB하이텍</t>
        </is>
      </c>
      <c r="D700" s="29" t="inlineStr">
        <is>
          <t>dbhitek</t>
        </is>
      </c>
      <c r="E700" s="29" t="inlineStr">
        <is>
          <t>000990</t>
        </is>
      </c>
      <c r="F700" s="29" t="inlineStr">
        <is>
          <t>2024</t>
        </is>
      </c>
      <c r="G700" s="29" t="inlineStr">
        <is>
          <t>CFS</t>
        </is>
      </c>
      <c r="H700" s="29" t="inlineStr">
        <is>
          <t>SCE</t>
        </is>
      </c>
      <c r="I700" s="29" t="inlineStr">
        <is>
          <t>자본변동표</t>
        </is>
      </c>
      <c r="J700" s="29" t="inlineStr">
        <is>
          <t>ifrs-full_OtherComprehensiveIncome</t>
        </is>
      </c>
      <c r="K700" s="29" t="inlineStr">
        <is>
          <t>기타포괄손익</t>
        </is>
      </c>
      <c r="L700" s="29" t="inlineStr">
        <is>
          <t>자본 [구성요소]|지배기업의 소유주에게 귀속되는 지분 [구성요소]</t>
        </is>
      </c>
      <c r="M700" s="29" t="inlineStr">
        <is>
          <t>제 72 기</t>
        </is>
      </c>
      <c r="N700" s="29" t="inlineStr">
        <is>
          <t>8430924210.0</t>
        </is>
      </c>
      <c r="O700" s="29" t="inlineStr">
        <is>
          <t>-1896013467.0</t>
        </is>
      </c>
      <c r="P700" s="29" t="inlineStr">
        <is>
          <t>KRW</t>
        </is>
      </c>
      <c r="Q700" s="29" t="inlineStr">
        <is>
          <t>11</t>
        </is>
      </c>
    </row>
    <row r="701" ht="24" customHeight="1">
      <c r="A701" s="24" t="inlineStr">
        <is>
          <t>OpenDART_fnlttSinglAcntAll</t>
        </is>
      </c>
      <c r="B701" s="24" t="inlineStr">
        <is>
          <t>00160843</t>
        </is>
      </c>
      <c r="C701" s="24" t="inlineStr">
        <is>
          <t>DB하이텍</t>
        </is>
      </c>
      <c r="D701" s="24" t="inlineStr">
        <is>
          <t>dbhitek</t>
        </is>
      </c>
      <c r="E701" s="24" t="inlineStr">
        <is>
          <t>000990</t>
        </is>
      </c>
      <c r="F701" s="24" t="inlineStr">
        <is>
          <t>2024</t>
        </is>
      </c>
      <c r="G701" s="24" t="inlineStr">
        <is>
          <t>CFS</t>
        </is>
      </c>
      <c r="H701" s="24" t="inlineStr">
        <is>
          <t>SCE</t>
        </is>
      </c>
      <c r="I701" s="24" t="inlineStr">
        <is>
          <t>자본변동표</t>
        </is>
      </c>
      <c r="J701" s="24" t="inlineStr">
        <is>
          <t>ifrs-full_OtherComprehensiveIncome</t>
        </is>
      </c>
      <c r="K701" s="24" t="inlineStr">
        <is>
          <t>기타포괄손익</t>
        </is>
      </c>
      <c r="L701" s="24" t="inlineStr">
        <is>
          <t>자본 [구성요소]|지배기업의 소유주에게 귀속되는 지분 [구성요소]|자본금 [구성요소]</t>
        </is>
      </c>
      <c r="M701" s="24" t="inlineStr">
        <is>
          <t>제 72 기</t>
        </is>
      </c>
      <c r="N701" s="24" t="inlineStr">
        <is>
          <t>0.0</t>
        </is>
      </c>
      <c r="O701" s="24" t="inlineStr">
        <is>
          <t>0.0</t>
        </is>
      </c>
      <c r="P701" s="24" t="inlineStr">
        <is>
          <t>KRW</t>
        </is>
      </c>
      <c r="Q701" s="24" t="inlineStr">
        <is>
          <t>11</t>
        </is>
      </c>
    </row>
    <row r="702" ht="24" customHeight="1">
      <c r="A702" s="29" t="inlineStr">
        <is>
          <t>OpenDART_fnlttSinglAcntAll</t>
        </is>
      </c>
      <c r="B702" s="29" t="inlineStr">
        <is>
          <t>00160843</t>
        </is>
      </c>
      <c r="C702" s="29" t="inlineStr">
        <is>
          <t>DB하이텍</t>
        </is>
      </c>
      <c r="D702" s="29" t="inlineStr">
        <is>
          <t>dbhitek</t>
        </is>
      </c>
      <c r="E702" s="29" t="inlineStr">
        <is>
          <t>000990</t>
        </is>
      </c>
      <c r="F702" s="29" t="inlineStr">
        <is>
          <t>2024</t>
        </is>
      </c>
      <c r="G702" s="29" t="inlineStr">
        <is>
          <t>CFS</t>
        </is>
      </c>
      <c r="H702" s="29" t="inlineStr">
        <is>
          <t>SCE</t>
        </is>
      </c>
      <c r="I702" s="29" t="inlineStr">
        <is>
          <t>자본변동표</t>
        </is>
      </c>
      <c r="J702" s="29" t="inlineStr">
        <is>
          <t>ifrs-full_OtherComprehensiveIncome</t>
        </is>
      </c>
      <c r="K702" s="29" t="inlineStr">
        <is>
          <t>기타포괄손익</t>
        </is>
      </c>
      <c r="L702" s="29" t="inlineStr">
        <is>
          <t>자본 [구성요소]|지배기업의 소유주에게 귀속되는 지분 [구성요소]|이익잉여금 [구성요소]</t>
        </is>
      </c>
      <c r="M702" s="29" t="inlineStr">
        <is>
          <t>제 72 기</t>
        </is>
      </c>
      <c r="N702" s="29" t="inlineStr">
        <is>
          <t>-5065657323.0</t>
        </is>
      </c>
      <c r="O702" s="29" t="inlineStr">
        <is>
          <t>-6744355071.0</t>
        </is>
      </c>
      <c r="P702" s="29" t="inlineStr">
        <is>
          <t>KRW</t>
        </is>
      </c>
      <c r="Q702" s="29" t="inlineStr">
        <is>
          <t>11</t>
        </is>
      </c>
    </row>
    <row r="703" ht="24" customHeight="1">
      <c r="A703" s="24" t="inlineStr">
        <is>
          <t>OpenDART_fnlttSinglAcntAll</t>
        </is>
      </c>
      <c r="B703" s="24" t="inlineStr">
        <is>
          <t>00160843</t>
        </is>
      </c>
      <c r="C703" s="24" t="inlineStr">
        <is>
          <t>DB하이텍</t>
        </is>
      </c>
      <c r="D703" s="24" t="inlineStr">
        <is>
          <t>dbhitek</t>
        </is>
      </c>
      <c r="E703" s="24" t="inlineStr">
        <is>
          <t>000990</t>
        </is>
      </c>
      <c r="F703" s="24" t="inlineStr">
        <is>
          <t>2024</t>
        </is>
      </c>
      <c r="G703" s="24" t="inlineStr">
        <is>
          <t>CFS</t>
        </is>
      </c>
      <c r="H703" s="24" t="inlineStr">
        <is>
          <t>SCE</t>
        </is>
      </c>
      <c r="I703" s="24" t="inlineStr">
        <is>
          <t>자본변동표</t>
        </is>
      </c>
      <c r="J703" s="24" t="inlineStr">
        <is>
          <t>ifrs-full_OtherComprehensiveIncome</t>
        </is>
      </c>
      <c r="K703" s="24" t="inlineStr">
        <is>
          <t>기타포괄손익</t>
        </is>
      </c>
      <c r="L703" s="24" t="inlineStr">
        <is>
          <t>자본 [구성요소]|지배기업의 소유주에게 귀속되는 지분 [구성요소]|기타자본구성요소 [구성요소]</t>
        </is>
      </c>
      <c r="M703" s="24" t="inlineStr">
        <is>
          <t>제 72 기</t>
        </is>
      </c>
      <c r="N703" s="24" t="inlineStr">
        <is>
          <t>13496581533.0</t>
        </is>
      </c>
      <c r="O703" s="24" t="inlineStr">
        <is>
          <t>4848341604.0</t>
        </is>
      </c>
      <c r="P703" s="24" t="inlineStr">
        <is>
          <t>KRW</t>
        </is>
      </c>
      <c r="Q703" s="24" t="inlineStr">
        <is>
          <t>11</t>
        </is>
      </c>
    </row>
    <row r="704" ht="24" customHeight="1">
      <c r="A704" s="29" t="inlineStr">
        <is>
          <t>OpenDART_fnlttSinglAcntAll</t>
        </is>
      </c>
      <c r="B704" s="29" t="inlineStr">
        <is>
          <t>00160843</t>
        </is>
      </c>
      <c r="C704" s="29" t="inlineStr">
        <is>
          <t>DB하이텍</t>
        </is>
      </c>
      <c r="D704" s="29" t="inlineStr">
        <is>
          <t>dbhitek</t>
        </is>
      </c>
      <c r="E704" s="29" t="inlineStr">
        <is>
          <t>000990</t>
        </is>
      </c>
      <c r="F704" s="29" t="inlineStr">
        <is>
          <t>2024</t>
        </is>
      </c>
      <c r="G704" s="29" t="inlineStr">
        <is>
          <t>CFS</t>
        </is>
      </c>
      <c r="H704" s="29" t="inlineStr">
        <is>
          <t>SCE</t>
        </is>
      </c>
      <c r="I704" s="29" t="inlineStr">
        <is>
          <t>자본변동표</t>
        </is>
      </c>
      <c r="J704" s="29" t="inlineStr">
        <is>
          <t>ifrs-full_OtherComprehensiveIncome</t>
        </is>
      </c>
      <c r="K704" s="29" t="inlineStr">
        <is>
          <t>기타포괄손익</t>
        </is>
      </c>
      <c r="L704" s="29" t="inlineStr">
        <is>
          <t>자본 [구성요소]|지배기업의 소유주에게 귀속되는 지분 [구성요소]|자본잉여금 [구성요소]</t>
        </is>
      </c>
      <c r="M704" s="29" t="inlineStr">
        <is>
          <t>제 72 기</t>
        </is>
      </c>
      <c r="N704" s="29" t="inlineStr">
        <is>
          <t>0.0</t>
        </is>
      </c>
      <c r="O704" s="29" t="inlineStr">
        <is>
          <t>0.0</t>
        </is>
      </c>
      <c r="P704" s="29" t="inlineStr">
        <is>
          <t>KRW</t>
        </is>
      </c>
      <c r="Q704" s="29" t="inlineStr">
        <is>
          <t>11</t>
        </is>
      </c>
    </row>
    <row r="705" ht="24" customHeight="1">
      <c r="A705" s="24" t="inlineStr">
        <is>
          <t>OpenDART_fnlttSinglAcntAll</t>
        </is>
      </c>
      <c r="B705" s="24" t="inlineStr">
        <is>
          <t>00160843</t>
        </is>
      </c>
      <c r="C705" s="24" t="inlineStr">
        <is>
          <t>DB하이텍</t>
        </is>
      </c>
      <c r="D705" s="24" t="inlineStr">
        <is>
          <t>dbhitek</t>
        </is>
      </c>
      <c r="E705" s="24" t="inlineStr">
        <is>
          <t>000990</t>
        </is>
      </c>
      <c r="F705" s="24" t="inlineStr">
        <is>
          <t>2024</t>
        </is>
      </c>
      <c r="G705" s="24" t="inlineStr">
        <is>
          <t>CFS</t>
        </is>
      </c>
      <c r="H705" s="24" t="inlineStr">
        <is>
          <t>SCE</t>
        </is>
      </c>
      <c r="I705" s="24" t="inlineStr">
        <is>
          <t>자본변동표</t>
        </is>
      </c>
      <c r="J705" s="24" t="inlineStr">
        <is>
          <t>ifrs-full_OtherComprehensiveIncomeNetOfTaxExchangeDifferencesOnTranslationOfForeignOperationsAndHedgesOfNetInvestmentsInForeignOperations</t>
        </is>
      </c>
      <c r="K705" s="24" t="inlineStr">
        <is>
          <t>해외사업환산손익</t>
        </is>
      </c>
      <c r="L705" s="24" t="inlineStr">
        <is>
          <t>자본 [구성요소]|비지배지분 [구성요소]</t>
        </is>
      </c>
      <c r="M705" s="24" t="inlineStr">
        <is>
          <t>제 72 기</t>
        </is>
      </c>
      <c r="N705" s="24" t="inlineStr">
        <is>
          <t>0.0</t>
        </is>
      </c>
      <c r="O705" s="24" t="inlineStr">
        <is>
          <t>0.0</t>
        </is>
      </c>
      <c r="P705" s="24" t="inlineStr">
        <is>
          <t>KRW</t>
        </is>
      </c>
      <c r="Q705" s="24" t="inlineStr">
        <is>
          <t>12</t>
        </is>
      </c>
    </row>
    <row r="706" ht="24" customHeight="1">
      <c r="A706" s="29" t="inlineStr">
        <is>
          <t>OpenDART_fnlttSinglAcntAll</t>
        </is>
      </c>
      <c r="B706" s="29" t="inlineStr">
        <is>
          <t>00160843</t>
        </is>
      </c>
      <c r="C706" s="29" t="inlineStr">
        <is>
          <t>DB하이텍</t>
        </is>
      </c>
      <c r="D706" s="29" t="inlineStr">
        <is>
          <t>dbhitek</t>
        </is>
      </c>
      <c r="E706" s="29" t="inlineStr">
        <is>
          <t>000990</t>
        </is>
      </c>
      <c r="F706" s="29" t="inlineStr">
        <is>
          <t>2024</t>
        </is>
      </c>
      <c r="G706" s="29" t="inlineStr">
        <is>
          <t>CFS</t>
        </is>
      </c>
      <c r="H706" s="29" t="inlineStr">
        <is>
          <t>SCE</t>
        </is>
      </c>
      <c r="I706" s="29" t="inlineStr">
        <is>
          <t>자본변동표</t>
        </is>
      </c>
      <c r="J706" s="29" t="inlineStr">
        <is>
          <t>ifrs-full_OtherComprehensiveIncomeNetOfTaxExchangeDifferencesOnTranslationOfForeignOperationsAndHedgesOfNetInvestmentsInForeignOperations</t>
        </is>
      </c>
      <c r="K706" s="29" t="inlineStr">
        <is>
          <t>해외사업환산손익</t>
        </is>
      </c>
      <c r="L706" s="29" t="inlineStr">
        <is>
          <t>자본 [구성요소]|지배기업의 소유주에게 귀속되는 지분 [구성요소]</t>
        </is>
      </c>
      <c r="M706" s="29" t="inlineStr">
        <is>
          <t>제 72 기</t>
        </is>
      </c>
      <c r="N706" s="29" t="inlineStr">
        <is>
          <t>891061188.0</t>
        </is>
      </c>
      <c r="O706" s="29" t="inlineStr">
        <is>
          <t>82463947.0</t>
        </is>
      </c>
      <c r="P706" s="29" t="inlineStr">
        <is>
          <t>KRW</t>
        </is>
      </c>
      <c r="Q706" s="29" t="inlineStr">
        <is>
          <t>12</t>
        </is>
      </c>
    </row>
    <row r="707" ht="24" customHeight="1">
      <c r="A707" s="24" t="inlineStr">
        <is>
          <t>OpenDART_fnlttSinglAcntAll</t>
        </is>
      </c>
      <c r="B707" s="24" t="inlineStr">
        <is>
          <t>00160843</t>
        </is>
      </c>
      <c r="C707" s="24" t="inlineStr">
        <is>
          <t>DB하이텍</t>
        </is>
      </c>
      <c r="D707" s="24" t="inlineStr">
        <is>
          <t>dbhitek</t>
        </is>
      </c>
      <c r="E707" s="24" t="inlineStr">
        <is>
          <t>000990</t>
        </is>
      </c>
      <c r="F707" s="24" t="inlineStr">
        <is>
          <t>2024</t>
        </is>
      </c>
      <c r="G707" s="24" t="inlineStr">
        <is>
          <t>CFS</t>
        </is>
      </c>
      <c r="H707" s="24" t="inlineStr">
        <is>
          <t>SCE</t>
        </is>
      </c>
      <c r="I707" s="24" t="inlineStr">
        <is>
          <t>자본변동표</t>
        </is>
      </c>
      <c r="J707" s="24" t="inlineStr">
        <is>
          <t>ifrs-full_OtherComprehensiveIncomeNetOfTaxExchangeDifferencesOnTranslationOfForeignOperationsAndHedgesOfNetInvestmentsInForeignOperations</t>
        </is>
      </c>
      <c r="K707" s="24" t="inlineStr">
        <is>
          <t>해외사업환산손익</t>
        </is>
      </c>
      <c r="L707" s="24" t="inlineStr">
        <is>
          <t>자본 [구성요소]|지배기업의 소유주에게 귀속되는 지분 [구성요소]|기타자본구성요소 [구성요소]</t>
        </is>
      </c>
      <c r="M707" s="24" t="inlineStr">
        <is>
          <t>제 72 기</t>
        </is>
      </c>
      <c r="N707" s="24" t="inlineStr">
        <is>
          <t>891061188.0</t>
        </is>
      </c>
      <c r="O707" s="24" t="inlineStr">
        <is>
          <t>82463947.0</t>
        </is>
      </c>
      <c r="P707" s="24" t="inlineStr">
        <is>
          <t>KRW</t>
        </is>
      </c>
      <c r="Q707" s="24" t="inlineStr">
        <is>
          <t>12</t>
        </is>
      </c>
    </row>
    <row r="708" ht="24" customHeight="1">
      <c r="A708" s="29" t="inlineStr">
        <is>
          <t>OpenDART_fnlttSinglAcntAll</t>
        </is>
      </c>
      <c r="B708" s="29" t="inlineStr">
        <is>
          <t>00160843</t>
        </is>
      </c>
      <c r="C708" s="29" t="inlineStr">
        <is>
          <t>DB하이텍</t>
        </is>
      </c>
      <c r="D708" s="29" t="inlineStr">
        <is>
          <t>dbhitek</t>
        </is>
      </c>
      <c r="E708" s="29" t="inlineStr">
        <is>
          <t>000990</t>
        </is>
      </c>
      <c r="F708" s="29" t="inlineStr">
        <is>
          <t>2024</t>
        </is>
      </c>
      <c r="G708" s="29" t="inlineStr">
        <is>
          <t>CFS</t>
        </is>
      </c>
      <c r="H708" s="29" t="inlineStr">
        <is>
          <t>SCE</t>
        </is>
      </c>
      <c r="I708" s="29" t="inlineStr">
        <is>
          <t>자본변동표</t>
        </is>
      </c>
      <c r="J708" s="29" t="inlineStr">
        <is>
          <t>ifrs-full_OtherComprehensiveIncomeNetOfTaxExchangeDifferencesOnTranslationOfForeignOperationsAndHedgesOfNetInvestmentsInForeignOperations</t>
        </is>
      </c>
      <c r="K708" s="29" t="inlineStr">
        <is>
          <t>해외사업환산손익</t>
        </is>
      </c>
      <c r="L708" s="29" t="inlineStr">
        <is>
          <t>자본 [구성요소]|지배기업의 소유주에게 귀속되는 지분 [구성요소]|이익잉여금 [구성요소]</t>
        </is>
      </c>
      <c r="M708" s="29" t="inlineStr">
        <is>
          <t>제 72 기</t>
        </is>
      </c>
      <c r="N708" s="29" t="inlineStr">
        <is>
          <t>0.0</t>
        </is>
      </c>
      <c r="O708" s="29" t="inlineStr">
        <is>
          <t>0.0</t>
        </is>
      </c>
      <c r="P708" s="29" t="inlineStr">
        <is>
          <t>KRW</t>
        </is>
      </c>
      <c r="Q708" s="29" t="inlineStr">
        <is>
          <t>12</t>
        </is>
      </c>
    </row>
    <row r="709" ht="24" customHeight="1">
      <c r="A709" s="24" t="inlineStr">
        <is>
          <t>OpenDART_fnlttSinglAcntAll</t>
        </is>
      </c>
      <c r="B709" s="24" t="inlineStr">
        <is>
          <t>00160843</t>
        </is>
      </c>
      <c r="C709" s="24" t="inlineStr">
        <is>
          <t>DB하이텍</t>
        </is>
      </c>
      <c r="D709" s="24" t="inlineStr">
        <is>
          <t>dbhitek</t>
        </is>
      </c>
      <c r="E709" s="24" t="inlineStr">
        <is>
          <t>000990</t>
        </is>
      </c>
      <c r="F709" s="24" t="inlineStr">
        <is>
          <t>2024</t>
        </is>
      </c>
      <c r="G709" s="24" t="inlineStr">
        <is>
          <t>CFS</t>
        </is>
      </c>
      <c r="H709" s="24" t="inlineStr">
        <is>
          <t>SCE</t>
        </is>
      </c>
      <c r="I709" s="24" t="inlineStr">
        <is>
          <t>자본변동표</t>
        </is>
      </c>
      <c r="J709" s="24" t="inlineStr">
        <is>
          <t>ifrs-full_OtherComprehensiveIncomeNetOfTaxExchangeDifferencesOnTranslationOfForeignOperationsAndHedgesOfNetInvestmentsInForeignOperations</t>
        </is>
      </c>
      <c r="K709" s="24" t="inlineStr">
        <is>
          <t>해외사업환산손익</t>
        </is>
      </c>
      <c r="L709" s="24" t="inlineStr">
        <is>
          <t>자본 [구성요소]|지배기업의 소유주에게 귀속되는 지분 [구성요소]|자본금 [구성요소]</t>
        </is>
      </c>
      <c r="M709" s="24" t="inlineStr">
        <is>
          <t>제 72 기</t>
        </is>
      </c>
      <c r="N709" s="24" t="inlineStr">
        <is>
          <t>0.0</t>
        </is>
      </c>
      <c r="O709" s="24" t="inlineStr">
        <is>
          <t>0.0</t>
        </is>
      </c>
      <c r="P709" s="24" t="inlineStr">
        <is>
          <t>KRW</t>
        </is>
      </c>
      <c r="Q709" s="24" t="inlineStr">
        <is>
          <t>12</t>
        </is>
      </c>
    </row>
    <row r="710" ht="24" customHeight="1">
      <c r="A710" s="29" t="inlineStr">
        <is>
          <t>OpenDART_fnlttSinglAcntAll</t>
        </is>
      </c>
      <c r="B710" s="29" t="inlineStr">
        <is>
          <t>00160843</t>
        </is>
      </c>
      <c r="C710" s="29" t="inlineStr">
        <is>
          <t>DB하이텍</t>
        </is>
      </c>
      <c r="D710" s="29" t="inlineStr">
        <is>
          <t>dbhitek</t>
        </is>
      </c>
      <c r="E710" s="29" t="inlineStr">
        <is>
          <t>000990</t>
        </is>
      </c>
      <c r="F710" s="29" t="inlineStr">
        <is>
          <t>2024</t>
        </is>
      </c>
      <c r="G710" s="29" t="inlineStr">
        <is>
          <t>CFS</t>
        </is>
      </c>
      <c r="H710" s="29" t="inlineStr">
        <is>
          <t>SCE</t>
        </is>
      </c>
      <c r="I710" s="29" t="inlineStr">
        <is>
          <t>자본변동표</t>
        </is>
      </c>
      <c r="J710" s="29" t="inlineStr">
        <is>
          <t>ifrs-full_OtherComprehensiveIncomeNetOfTaxExchangeDifferencesOnTranslationOfForeignOperationsAndHedgesOfNetInvestmentsInForeignOperations</t>
        </is>
      </c>
      <c r="K710" s="29" t="inlineStr">
        <is>
          <t>해외사업환산손익</t>
        </is>
      </c>
      <c r="L710" s="29" t="inlineStr">
        <is>
          <t>자본 [구성요소]|지배기업의 소유주에게 귀속되는 지분 [구성요소]|자본잉여금 [구성요소]</t>
        </is>
      </c>
      <c r="M710" s="29" t="inlineStr">
        <is>
          <t>제 72 기</t>
        </is>
      </c>
      <c r="N710" s="29" t="inlineStr">
        <is>
          <t>0.0</t>
        </is>
      </c>
      <c r="O710" s="29" t="inlineStr">
        <is>
          <t>0.0</t>
        </is>
      </c>
      <c r="P710" s="29" t="inlineStr">
        <is>
          <t>KRW</t>
        </is>
      </c>
      <c r="Q710" s="29" t="inlineStr">
        <is>
          <t>12</t>
        </is>
      </c>
    </row>
    <row r="711" ht="24" customHeight="1">
      <c r="A711" s="24" t="inlineStr">
        <is>
          <t>OpenDART_fnlttSinglAcntAll</t>
        </is>
      </c>
      <c r="B711" s="24" t="inlineStr">
        <is>
          <t>00160843</t>
        </is>
      </c>
      <c r="C711" s="24" t="inlineStr">
        <is>
          <t>DB하이텍</t>
        </is>
      </c>
      <c r="D711" s="24" t="inlineStr">
        <is>
          <t>dbhitek</t>
        </is>
      </c>
      <c r="E711" s="24" t="inlineStr">
        <is>
          <t>000990</t>
        </is>
      </c>
      <c r="F711" s="24" t="inlineStr">
        <is>
          <t>2024</t>
        </is>
      </c>
      <c r="G711" s="24" t="inlineStr">
        <is>
          <t>CFS</t>
        </is>
      </c>
      <c r="H711" s="24" t="inlineStr">
        <is>
          <t>SCE</t>
        </is>
      </c>
      <c r="I711" s="24" t="inlineStr">
        <is>
          <t>자본변동표</t>
        </is>
      </c>
      <c r="J711" s="24" t="inlineStr">
        <is>
          <t>ifrs-full_OtherComprehensiveIncomeNetOfTaxExchangeDifferencesOnTranslationOfForeignOperationsAndHedgesOfNetInvestmentsInForeignOperations</t>
        </is>
      </c>
      <c r="K711" s="24" t="inlineStr">
        <is>
          <t>해외사업환산손익</t>
        </is>
      </c>
      <c r="L711" s="24" t="inlineStr">
        <is>
          <t>연결재무제표 [member]</t>
        </is>
      </c>
      <c r="M711" s="24" t="inlineStr">
        <is>
          <t>제 72 기</t>
        </is>
      </c>
      <c r="N711" s="24" t="inlineStr">
        <is>
          <t>891061188.0</t>
        </is>
      </c>
      <c r="O711" s="24" t="inlineStr">
        <is>
          <t>82463947.0</t>
        </is>
      </c>
      <c r="P711" s="24" t="inlineStr">
        <is>
          <t>KRW</t>
        </is>
      </c>
      <c r="Q711" s="24" t="inlineStr">
        <is>
          <t>12</t>
        </is>
      </c>
    </row>
    <row r="712" ht="24" customHeight="1">
      <c r="A712" s="29" t="inlineStr">
        <is>
          <t>OpenDART_fnlttSinglAcntAll</t>
        </is>
      </c>
      <c r="B712" s="29" t="inlineStr">
        <is>
          <t>00160843</t>
        </is>
      </c>
      <c r="C712" s="29" t="inlineStr">
        <is>
          <t>DB하이텍</t>
        </is>
      </c>
      <c r="D712" s="29" t="inlineStr">
        <is>
          <t>dbhitek</t>
        </is>
      </c>
      <c r="E712" s="29" t="inlineStr">
        <is>
          <t>000990</t>
        </is>
      </c>
      <c r="F712" s="29" t="inlineStr">
        <is>
          <t>2024</t>
        </is>
      </c>
      <c r="G712" s="29" t="inlineStr">
        <is>
          <t>CFS</t>
        </is>
      </c>
      <c r="H712" s="29" t="inlineStr">
        <is>
          <t>SCE</t>
        </is>
      </c>
      <c r="I712" s="29" t="inlineStr">
        <is>
          <t>자본변동표</t>
        </is>
      </c>
      <c r="J712" s="29" t="inlineStr">
        <is>
          <t>ifrs-full_OtherComprehensiveIncomeNetOfTaxGainsLossesFromInvestmentsInEquityInstruments</t>
        </is>
      </c>
      <c r="K712" s="29" t="inlineStr">
        <is>
          <t>세후기타포괄손익, 지분상품에 대한 투자자산</t>
        </is>
      </c>
      <c r="L712" s="29" t="inlineStr">
        <is>
          <t>자본 [구성요소]|지배기업의 소유주에게 귀속되는 지분 [구성요소]|자본금 [구성요소]</t>
        </is>
      </c>
      <c r="M712" s="29" t="inlineStr">
        <is>
          <t>제 72 기</t>
        </is>
      </c>
      <c r="N712" s="29" t="inlineStr">
        <is>
          <t>0.0</t>
        </is>
      </c>
      <c r="O712" s="29" t="inlineStr">
        <is>
          <t>0.0</t>
        </is>
      </c>
      <c r="P712" s="29" t="inlineStr">
        <is>
          <t>KRW</t>
        </is>
      </c>
      <c r="Q712" s="29" t="inlineStr">
        <is>
          <t>13</t>
        </is>
      </c>
    </row>
    <row r="713" ht="24" customHeight="1">
      <c r="A713" s="24" t="inlineStr">
        <is>
          <t>OpenDART_fnlttSinglAcntAll</t>
        </is>
      </c>
      <c r="B713" s="24" t="inlineStr">
        <is>
          <t>00160843</t>
        </is>
      </c>
      <c r="C713" s="24" t="inlineStr">
        <is>
          <t>DB하이텍</t>
        </is>
      </c>
      <c r="D713" s="24" t="inlineStr">
        <is>
          <t>dbhitek</t>
        </is>
      </c>
      <c r="E713" s="24" t="inlineStr">
        <is>
          <t>000990</t>
        </is>
      </c>
      <c r="F713" s="24" t="inlineStr">
        <is>
          <t>2024</t>
        </is>
      </c>
      <c r="G713" s="24" t="inlineStr">
        <is>
          <t>CFS</t>
        </is>
      </c>
      <c r="H713" s="24" t="inlineStr">
        <is>
          <t>SCE</t>
        </is>
      </c>
      <c r="I713" s="24" t="inlineStr">
        <is>
          <t>자본변동표</t>
        </is>
      </c>
      <c r="J713" s="24" t="inlineStr">
        <is>
          <t>ifrs-full_OtherComprehensiveIncomeNetOfTaxGainsLossesFromInvestmentsInEquityInstruments</t>
        </is>
      </c>
      <c r="K713" s="24" t="inlineStr">
        <is>
          <t>세후기타포괄손익, 지분상품에 대한 투자자산</t>
        </is>
      </c>
      <c r="L713" s="24" t="inlineStr">
        <is>
          <t>자본 [구성요소]|지배기업의 소유주에게 귀속되는 지분 [구성요소]|이익잉여금 [구성요소]</t>
        </is>
      </c>
      <c r="M713" s="24" t="inlineStr">
        <is>
          <t>제 72 기</t>
        </is>
      </c>
      <c r="N713" s="24" t="inlineStr">
        <is>
          <t>0.0</t>
        </is>
      </c>
      <c r="O713" s="24" t="inlineStr">
        <is>
          <t>0.0</t>
        </is>
      </c>
      <c r="P713" s="24" t="inlineStr">
        <is>
          <t>KRW</t>
        </is>
      </c>
      <c r="Q713" s="24" t="inlineStr">
        <is>
          <t>13</t>
        </is>
      </c>
    </row>
    <row r="714" ht="24" customHeight="1">
      <c r="A714" s="29" t="inlineStr">
        <is>
          <t>OpenDART_fnlttSinglAcntAll</t>
        </is>
      </c>
      <c r="B714" s="29" t="inlineStr">
        <is>
          <t>00160843</t>
        </is>
      </c>
      <c r="C714" s="29" t="inlineStr">
        <is>
          <t>DB하이텍</t>
        </is>
      </c>
      <c r="D714" s="29" t="inlineStr">
        <is>
          <t>dbhitek</t>
        </is>
      </c>
      <c r="E714" s="29" t="inlineStr">
        <is>
          <t>000990</t>
        </is>
      </c>
      <c r="F714" s="29" t="inlineStr">
        <is>
          <t>2024</t>
        </is>
      </c>
      <c r="G714" s="29" t="inlineStr">
        <is>
          <t>CFS</t>
        </is>
      </c>
      <c r="H714" s="29" t="inlineStr">
        <is>
          <t>SCE</t>
        </is>
      </c>
      <c r="I714" s="29" t="inlineStr">
        <is>
          <t>자본변동표</t>
        </is>
      </c>
      <c r="J714" s="29" t="inlineStr">
        <is>
          <t>ifrs-full_OtherComprehensiveIncomeNetOfTaxGainsLossesFromInvestmentsInEquityInstruments</t>
        </is>
      </c>
      <c r="K714" s="29" t="inlineStr">
        <is>
          <t>세후기타포괄손익, 지분상품에 대한 투자자산</t>
        </is>
      </c>
      <c r="L714" s="29" t="inlineStr">
        <is>
          <t>자본 [구성요소]|지배기업의 소유주에게 귀속되는 지분 [구성요소]|기타자본구성요소 [구성요소]</t>
        </is>
      </c>
      <c r="M714" s="29" t="inlineStr">
        <is>
          <t>제 72 기</t>
        </is>
      </c>
      <c r="N714" s="29" t="inlineStr">
        <is>
          <t>11576787722.0</t>
        </is>
      </c>
      <c r="O714" s="29" t="inlineStr">
        <is>
          <t>4717518281.0</t>
        </is>
      </c>
      <c r="P714" s="29" t="inlineStr">
        <is>
          <t>KRW</t>
        </is>
      </c>
      <c r="Q714" s="29" t="inlineStr">
        <is>
          <t>13</t>
        </is>
      </c>
    </row>
    <row r="715" ht="24" customHeight="1">
      <c r="A715" s="24" t="inlineStr">
        <is>
          <t>OpenDART_fnlttSinglAcntAll</t>
        </is>
      </c>
      <c r="B715" s="24" t="inlineStr">
        <is>
          <t>00160843</t>
        </is>
      </c>
      <c r="C715" s="24" t="inlineStr">
        <is>
          <t>DB하이텍</t>
        </is>
      </c>
      <c r="D715" s="24" t="inlineStr">
        <is>
          <t>dbhitek</t>
        </is>
      </c>
      <c r="E715" s="24" t="inlineStr">
        <is>
          <t>000990</t>
        </is>
      </c>
      <c r="F715" s="24" t="inlineStr">
        <is>
          <t>2024</t>
        </is>
      </c>
      <c r="G715" s="24" t="inlineStr">
        <is>
          <t>CFS</t>
        </is>
      </c>
      <c r="H715" s="24" t="inlineStr">
        <is>
          <t>SCE</t>
        </is>
      </c>
      <c r="I715" s="24" t="inlineStr">
        <is>
          <t>자본변동표</t>
        </is>
      </c>
      <c r="J715" s="24" t="inlineStr">
        <is>
          <t>ifrs-full_OtherComprehensiveIncomeNetOfTaxGainsLossesFromInvestmentsInEquityInstruments</t>
        </is>
      </c>
      <c r="K715" s="24" t="inlineStr">
        <is>
          <t>세후기타포괄손익, 지분상품에 대한 투자자산</t>
        </is>
      </c>
      <c r="L715" s="24" t="inlineStr">
        <is>
          <t>자본 [구성요소]|지배기업의 소유주에게 귀속되는 지분 [구성요소]</t>
        </is>
      </c>
      <c r="M715" s="24" t="inlineStr">
        <is>
          <t>제 72 기</t>
        </is>
      </c>
      <c r="N715" s="24" t="inlineStr">
        <is>
          <t>11576787722.0</t>
        </is>
      </c>
      <c r="O715" s="24" t="inlineStr">
        <is>
          <t>4717518281.0</t>
        </is>
      </c>
      <c r="P715" s="24" t="inlineStr">
        <is>
          <t>KRW</t>
        </is>
      </c>
      <c r="Q715" s="24" t="inlineStr">
        <is>
          <t>13</t>
        </is>
      </c>
    </row>
    <row r="716" ht="24" customHeight="1">
      <c r="A716" s="29" t="inlineStr">
        <is>
          <t>OpenDART_fnlttSinglAcntAll</t>
        </is>
      </c>
      <c r="B716" s="29" t="inlineStr">
        <is>
          <t>00160843</t>
        </is>
      </c>
      <c r="C716" s="29" t="inlineStr">
        <is>
          <t>DB하이텍</t>
        </is>
      </c>
      <c r="D716" s="29" t="inlineStr">
        <is>
          <t>dbhitek</t>
        </is>
      </c>
      <c r="E716" s="29" t="inlineStr">
        <is>
          <t>000990</t>
        </is>
      </c>
      <c r="F716" s="29" t="inlineStr">
        <is>
          <t>2024</t>
        </is>
      </c>
      <c r="G716" s="29" t="inlineStr">
        <is>
          <t>CFS</t>
        </is>
      </c>
      <c r="H716" s="29" t="inlineStr">
        <is>
          <t>SCE</t>
        </is>
      </c>
      <c r="I716" s="29" t="inlineStr">
        <is>
          <t>자본변동표</t>
        </is>
      </c>
      <c r="J716" s="29" t="inlineStr">
        <is>
          <t>ifrs-full_OtherComprehensiveIncomeNetOfTaxGainsLossesFromInvestmentsInEquityInstruments</t>
        </is>
      </c>
      <c r="K716" s="29" t="inlineStr">
        <is>
          <t>세후기타포괄손익, 지분상품에 대한 투자자산</t>
        </is>
      </c>
      <c r="L716" s="29" t="inlineStr">
        <is>
          <t>자본 [구성요소]|비지배지분 [구성요소]</t>
        </is>
      </c>
      <c r="M716" s="29" t="inlineStr">
        <is>
          <t>제 72 기</t>
        </is>
      </c>
      <c r="N716" s="29" t="inlineStr">
        <is>
          <t>0.0</t>
        </is>
      </c>
      <c r="O716" s="29" t="inlineStr">
        <is>
          <t>0.0</t>
        </is>
      </c>
      <c r="P716" s="29" t="inlineStr">
        <is>
          <t>KRW</t>
        </is>
      </c>
      <c r="Q716" s="29" t="inlineStr">
        <is>
          <t>13</t>
        </is>
      </c>
    </row>
    <row r="717" ht="24" customHeight="1">
      <c r="A717" s="24" t="inlineStr">
        <is>
          <t>OpenDART_fnlttSinglAcntAll</t>
        </is>
      </c>
      <c r="B717" s="24" t="inlineStr">
        <is>
          <t>00160843</t>
        </is>
      </c>
      <c r="C717" s="24" t="inlineStr">
        <is>
          <t>DB하이텍</t>
        </is>
      </c>
      <c r="D717" s="24" t="inlineStr">
        <is>
          <t>dbhitek</t>
        </is>
      </c>
      <c r="E717" s="24" t="inlineStr">
        <is>
          <t>000990</t>
        </is>
      </c>
      <c r="F717" s="24" t="inlineStr">
        <is>
          <t>2024</t>
        </is>
      </c>
      <c r="G717" s="24" t="inlineStr">
        <is>
          <t>CFS</t>
        </is>
      </c>
      <c r="H717" s="24" t="inlineStr">
        <is>
          <t>SCE</t>
        </is>
      </c>
      <c r="I717" s="24" t="inlineStr">
        <is>
          <t>자본변동표</t>
        </is>
      </c>
      <c r="J717" s="24" t="inlineStr">
        <is>
          <t>ifrs-full_OtherComprehensiveIncomeNetOfTaxGainsLossesFromInvestmentsInEquityInstruments</t>
        </is>
      </c>
      <c r="K717" s="24" t="inlineStr">
        <is>
          <t>세후기타포괄손익, 지분상품에 대한 투자자산</t>
        </is>
      </c>
      <c r="L717" s="24" t="inlineStr">
        <is>
          <t>연결재무제표 [member]</t>
        </is>
      </c>
      <c r="M717" s="24" t="inlineStr">
        <is>
          <t>제 72 기</t>
        </is>
      </c>
      <c r="N717" s="24" t="inlineStr">
        <is>
          <t>11576787722.0</t>
        </is>
      </c>
      <c r="O717" s="24" t="inlineStr">
        <is>
          <t>4717518281.0</t>
        </is>
      </c>
      <c r="P717" s="24" t="inlineStr">
        <is>
          <t>KRW</t>
        </is>
      </c>
      <c r="Q717" s="24" t="inlineStr">
        <is>
          <t>13</t>
        </is>
      </c>
    </row>
    <row r="718" ht="24" customHeight="1">
      <c r="A718" s="29" t="inlineStr">
        <is>
          <t>OpenDART_fnlttSinglAcntAll</t>
        </is>
      </c>
      <c r="B718" s="29" t="inlineStr">
        <is>
          <t>00160843</t>
        </is>
      </c>
      <c r="C718" s="29" t="inlineStr">
        <is>
          <t>DB하이텍</t>
        </is>
      </c>
      <c r="D718" s="29" t="inlineStr">
        <is>
          <t>dbhitek</t>
        </is>
      </c>
      <c r="E718" s="29" t="inlineStr">
        <is>
          <t>000990</t>
        </is>
      </c>
      <c r="F718" s="29" t="inlineStr">
        <is>
          <t>2024</t>
        </is>
      </c>
      <c r="G718" s="29" t="inlineStr">
        <is>
          <t>CFS</t>
        </is>
      </c>
      <c r="H718" s="29" t="inlineStr">
        <is>
          <t>SCE</t>
        </is>
      </c>
      <c r="I718" s="29" t="inlineStr">
        <is>
          <t>자본변동표</t>
        </is>
      </c>
      <c r="J718" s="29" t="inlineStr">
        <is>
          <t>ifrs-full_OtherComprehensiveIncomeNetOfTaxGainsLossesFromInvestmentsInEquityInstruments</t>
        </is>
      </c>
      <c r="K718" s="29" t="inlineStr">
        <is>
          <t>세후기타포괄손익, 지분상품에 대한 투자자산</t>
        </is>
      </c>
      <c r="L718" s="29" t="inlineStr">
        <is>
          <t>자본 [구성요소]|지배기업의 소유주에게 귀속되는 지분 [구성요소]|자본잉여금 [구성요소]</t>
        </is>
      </c>
      <c r="M718" s="29" t="inlineStr">
        <is>
          <t>제 72 기</t>
        </is>
      </c>
      <c r="N718" s="29" t="inlineStr">
        <is>
          <t>0.0</t>
        </is>
      </c>
      <c r="O718" s="29" t="inlineStr">
        <is>
          <t>0.0</t>
        </is>
      </c>
      <c r="P718" s="29" t="inlineStr">
        <is>
          <t>KRW</t>
        </is>
      </c>
      <c r="Q718" s="29" t="inlineStr">
        <is>
          <t>13</t>
        </is>
      </c>
    </row>
    <row r="719" ht="24" customHeight="1">
      <c r="A719" s="24" t="inlineStr">
        <is>
          <t>OpenDART_fnlttSinglAcntAll</t>
        </is>
      </c>
      <c r="B719" s="24" t="inlineStr">
        <is>
          <t>00160843</t>
        </is>
      </c>
      <c r="C719" s="24" t="inlineStr">
        <is>
          <t>DB하이텍</t>
        </is>
      </c>
      <c r="D719" s="24" t="inlineStr">
        <is>
          <t>dbhitek</t>
        </is>
      </c>
      <c r="E719" s="24" t="inlineStr">
        <is>
          <t>000990</t>
        </is>
      </c>
      <c r="F719" s="24" t="inlineStr">
        <is>
          <t>2024</t>
        </is>
      </c>
      <c r="G719" s="24" t="inlineStr">
        <is>
          <t>CFS</t>
        </is>
      </c>
      <c r="H719" s="24" t="inlineStr">
        <is>
          <t>SCE</t>
        </is>
      </c>
      <c r="I719" s="24" t="inlineStr">
        <is>
          <t>자본변동표</t>
        </is>
      </c>
      <c r="J719" s="24" t="inlineStr">
        <is>
          <t>ifrs-full_OtherComprehensiveIncomeNetOfTaxGainsLossesOnRemeasurementsOfDefinedBenefitPlans</t>
        </is>
      </c>
      <c r="K719" s="24" t="inlineStr">
        <is>
          <t>확정급여제도의 재측정손익(세후기타포괄손익)</t>
        </is>
      </c>
      <c r="L719" s="24" t="inlineStr">
        <is>
          <t>자본 [구성요소]|지배기업의 소유주에게 귀속되는 지분 [구성요소]|자본금 [구성요소]</t>
        </is>
      </c>
      <c r="M719" s="24" t="inlineStr">
        <is>
          <t>제 72 기</t>
        </is>
      </c>
      <c r="N719" s="24" t="inlineStr">
        <is>
          <t>0.0</t>
        </is>
      </c>
      <c r="O719" s="24" t="inlineStr">
        <is>
          <t>0.0</t>
        </is>
      </c>
      <c r="P719" s="24" t="inlineStr">
        <is>
          <t>KRW</t>
        </is>
      </c>
      <c r="Q719" s="24" t="inlineStr">
        <is>
          <t>14</t>
        </is>
      </c>
    </row>
    <row r="720" ht="24" customHeight="1">
      <c r="A720" s="29" t="inlineStr">
        <is>
          <t>OpenDART_fnlttSinglAcntAll</t>
        </is>
      </c>
      <c r="B720" s="29" t="inlineStr">
        <is>
          <t>00160843</t>
        </is>
      </c>
      <c r="C720" s="29" t="inlineStr">
        <is>
          <t>DB하이텍</t>
        </is>
      </c>
      <c r="D720" s="29" t="inlineStr">
        <is>
          <t>dbhitek</t>
        </is>
      </c>
      <c r="E720" s="29" t="inlineStr">
        <is>
          <t>000990</t>
        </is>
      </c>
      <c r="F720" s="29" t="inlineStr">
        <is>
          <t>2024</t>
        </is>
      </c>
      <c r="G720" s="29" t="inlineStr">
        <is>
          <t>CFS</t>
        </is>
      </c>
      <c r="H720" s="29" t="inlineStr">
        <is>
          <t>SCE</t>
        </is>
      </c>
      <c r="I720" s="29" t="inlineStr">
        <is>
          <t>자본변동표</t>
        </is>
      </c>
      <c r="J720" s="29" t="inlineStr">
        <is>
          <t>ifrs-full_OtherComprehensiveIncomeNetOfTaxGainsLossesOnRemeasurementsOfDefinedBenefitPlans</t>
        </is>
      </c>
      <c r="K720" s="29" t="inlineStr">
        <is>
          <t>확정급여제도의 재측정손익(세후기타포괄손익)</t>
        </is>
      </c>
      <c r="L720" s="29" t="inlineStr">
        <is>
          <t>자본 [구성요소]|지배기업의 소유주에게 귀속되는 지분 [구성요소]|이익잉여금 [구성요소]</t>
        </is>
      </c>
      <c r="M720" s="29" t="inlineStr">
        <is>
          <t>제 72 기</t>
        </is>
      </c>
      <c r="N720" s="29" t="inlineStr">
        <is>
          <t>-4141655081.0</t>
        </is>
      </c>
      <c r="O720" s="29" t="inlineStr">
        <is>
          <t>-7790272254.0</t>
        </is>
      </c>
      <c r="P720" s="29" t="inlineStr">
        <is>
          <t>KRW</t>
        </is>
      </c>
      <c r="Q720" s="29" t="inlineStr">
        <is>
          <t>14</t>
        </is>
      </c>
    </row>
    <row r="721" ht="24" customHeight="1">
      <c r="A721" s="24" t="inlineStr">
        <is>
          <t>OpenDART_fnlttSinglAcntAll</t>
        </is>
      </c>
      <c r="B721" s="24" t="inlineStr">
        <is>
          <t>00160843</t>
        </is>
      </c>
      <c r="C721" s="24" t="inlineStr">
        <is>
          <t>DB하이텍</t>
        </is>
      </c>
      <c r="D721" s="24" t="inlineStr">
        <is>
          <t>dbhitek</t>
        </is>
      </c>
      <c r="E721" s="24" t="inlineStr">
        <is>
          <t>000990</t>
        </is>
      </c>
      <c r="F721" s="24" t="inlineStr">
        <is>
          <t>2024</t>
        </is>
      </c>
      <c r="G721" s="24" t="inlineStr">
        <is>
          <t>CFS</t>
        </is>
      </c>
      <c r="H721" s="24" t="inlineStr">
        <is>
          <t>SCE</t>
        </is>
      </c>
      <c r="I721" s="24" t="inlineStr">
        <is>
          <t>자본변동표</t>
        </is>
      </c>
      <c r="J721" s="24" t="inlineStr">
        <is>
          <t>ifrs-full_OtherComprehensiveIncomeNetOfTaxGainsLossesOnRemeasurementsOfDefinedBenefitPlans</t>
        </is>
      </c>
      <c r="K721" s="24" t="inlineStr">
        <is>
          <t>확정급여제도의 재측정손익(세후기타포괄손익)</t>
        </is>
      </c>
      <c r="L721" s="24" t="inlineStr">
        <is>
          <t>자본 [구성요소]|지배기업의 소유주에게 귀속되는 지분 [구성요소]|기타자본구성요소 [구성요소]</t>
        </is>
      </c>
      <c r="M721" s="24" t="inlineStr">
        <is>
          <t>제 72 기</t>
        </is>
      </c>
      <c r="N721" s="24" t="inlineStr">
        <is>
          <t>해당 없음</t>
        </is>
      </c>
      <c r="O721" s="24" t="inlineStr">
        <is>
          <t>0.0</t>
        </is>
      </c>
      <c r="P721" s="24" t="inlineStr">
        <is>
          <t>KRW</t>
        </is>
      </c>
      <c r="Q721" s="24" t="inlineStr">
        <is>
          <t>14</t>
        </is>
      </c>
    </row>
    <row r="722" ht="24" customHeight="1">
      <c r="A722" s="29" t="inlineStr">
        <is>
          <t>OpenDART_fnlttSinglAcntAll</t>
        </is>
      </c>
      <c r="B722" s="29" t="inlineStr">
        <is>
          <t>00160843</t>
        </is>
      </c>
      <c r="C722" s="29" t="inlineStr">
        <is>
          <t>DB하이텍</t>
        </is>
      </c>
      <c r="D722" s="29" t="inlineStr">
        <is>
          <t>dbhitek</t>
        </is>
      </c>
      <c r="E722" s="29" t="inlineStr">
        <is>
          <t>000990</t>
        </is>
      </c>
      <c r="F722" s="29" t="inlineStr">
        <is>
          <t>2024</t>
        </is>
      </c>
      <c r="G722" s="29" t="inlineStr">
        <is>
          <t>CFS</t>
        </is>
      </c>
      <c r="H722" s="29" t="inlineStr">
        <is>
          <t>SCE</t>
        </is>
      </c>
      <c r="I722" s="29" t="inlineStr">
        <is>
          <t>자본변동표</t>
        </is>
      </c>
      <c r="J722" s="29" t="inlineStr">
        <is>
          <t>ifrs-full_OtherComprehensiveIncomeNetOfTaxGainsLossesOnRemeasurementsOfDefinedBenefitPlans</t>
        </is>
      </c>
      <c r="K722" s="29" t="inlineStr">
        <is>
          <t>확정급여제도의 재측정손익(세후기타포괄손익)</t>
        </is>
      </c>
      <c r="L722" s="29" t="inlineStr">
        <is>
          <t>자본 [구성요소]|지배기업의 소유주에게 귀속되는 지분 [구성요소]</t>
        </is>
      </c>
      <c r="M722" s="29" t="inlineStr">
        <is>
          <t>제 72 기</t>
        </is>
      </c>
      <c r="N722" s="29" t="inlineStr">
        <is>
          <t>-4141655081.0</t>
        </is>
      </c>
      <c r="O722" s="29" t="inlineStr">
        <is>
          <t>-7790272254.0</t>
        </is>
      </c>
      <c r="P722" s="29" t="inlineStr">
        <is>
          <t>KRW</t>
        </is>
      </c>
      <c r="Q722" s="29" t="inlineStr">
        <is>
          <t>14</t>
        </is>
      </c>
    </row>
    <row r="723" ht="24" customHeight="1">
      <c r="A723" s="24" t="inlineStr">
        <is>
          <t>OpenDART_fnlttSinglAcntAll</t>
        </is>
      </c>
      <c r="B723" s="24" t="inlineStr">
        <is>
          <t>00160843</t>
        </is>
      </c>
      <c r="C723" s="24" t="inlineStr">
        <is>
          <t>DB하이텍</t>
        </is>
      </c>
      <c r="D723" s="24" t="inlineStr">
        <is>
          <t>dbhitek</t>
        </is>
      </c>
      <c r="E723" s="24" t="inlineStr">
        <is>
          <t>000990</t>
        </is>
      </c>
      <c r="F723" s="24" t="inlineStr">
        <is>
          <t>2024</t>
        </is>
      </c>
      <c r="G723" s="24" t="inlineStr">
        <is>
          <t>CFS</t>
        </is>
      </c>
      <c r="H723" s="24" t="inlineStr">
        <is>
          <t>SCE</t>
        </is>
      </c>
      <c r="I723" s="24" t="inlineStr">
        <is>
          <t>자본변동표</t>
        </is>
      </c>
      <c r="J723" s="24" t="inlineStr">
        <is>
          <t>ifrs-full_OtherComprehensiveIncomeNetOfTaxGainsLossesOnRemeasurementsOfDefinedBenefitPlans</t>
        </is>
      </c>
      <c r="K723" s="24" t="inlineStr">
        <is>
          <t>확정급여제도의 재측정손익(세후기타포괄손익)</t>
        </is>
      </c>
      <c r="L723" s="24" t="inlineStr">
        <is>
          <t>자본 [구성요소]|비지배지분 [구성요소]</t>
        </is>
      </c>
      <c r="M723" s="24" t="inlineStr">
        <is>
          <t>제 72 기</t>
        </is>
      </c>
      <c r="N723" s="24" t="inlineStr">
        <is>
          <t>0.0</t>
        </is>
      </c>
      <c r="O723" s="24" t="inlineStr">
        <is>
          <t>0.0</t>
        </is>
      </c>
      <c r="P723" s="24" t="inlineStr">
        <is>
          <t>KRW</t>
        </is>
      </c>
      <c r="Q723" s="24" t="inlineStr">
        <is>
          <t>14</t>
        </is>
      </c>
    </row>
    <row r="724" ht="24" customHeight="1">
      <c r="A724" s="29" t="inlineStr">
        <is>
          <t>OpenDART_fnlttSinglAcntAll</t>
        </is>
      </c>
      <c r="B724" s="29" t="inlineStr">
        <is>
          <t>00160843</t>
        </is>
      </c>
      <c r="C724" s="29" t="inlineStr">
        <is>
          <t>DB하이텍</t>
        </is>
      </c>
      <c r="D724" s="29" t="inlineStr">
        <is>
          <t>dbhitek</t>
        </is>
      </c>
      <c r="E724" s="29" t="inlineStr">
        <is>
          <t>000990</t>
        </is>
      </c>
      <c r="F724" s="29" t="inlineStr">
        <is>
          <t>2024</t>
        </is>
      </c>
      <c r="G724" s="29" t="inlineStr">
        <is>
          <t>CFS</t>
        </is>
      </c>
      <c r="H724" s="29" t="inlineStr">
        <is>
          <t>SCE</t>
        </is>
      </c>
      <c r="I724" s="29" t="inlineStr">
        <is>
          <t>자본변동표</t>
        </is>
      </c>
      <c r="J724" s="29" t="inlineStr">
        <is>
          <t>ifrs-full_OtherComprehensiveIncomeNetOfTaxGainsLossesOnRemeasurementsOfDefinedBenefitPlans</t>
        </is>
      </c>
      <c r="K724" s="29" t="inlineStr">
        <is>
          <t>확정급여제도의 재측정손익(세후기타포괄손익)</t>
        </is>
      </c>
      <c r="L724" s="29" t="inlineStr">
        <is>
          <t>연결재무제표 [member]</t>
        </is>
      </c>
      <c r="M724" s="29" t="inlineStr">
        <is>
          <t>제 72 기</t>
        </is>
      </c>
      <c r="N724" s="29" t="inlineStr">
        <is>
          <t>-4141655081.0</t>
        </is>
      </c>
      <c r="O724" s="29" t="inlineStr">
        <is>
          <t>-7790272254.0</t>
        </is>
      </c>
      <c r="P724" s="29" t="inlineStr">
        <is>
          <t>KRW</t>
        </is>
      </c>
      <c r="Q724" s="29" t="inlineStr">
        <is>
          <t>14</t>
        </is>
      </c>
    </row>
    <row r="725" ht="24" customHeight="1">
      <c r="A725" s="24" t="inlineStr">
        <is>
          <t>OpenDART_fnlttSinglAcntAll</t>
        </is>
      </c>
      <c r="B725" s="24" t="inlineStr">
        <is>
          <t>00160843</t>
        </is>
      </c>
      <c r="C725" s="24" t="inlineStr">
        <is>
          <t>DB하이텍</t>
        </is>
      </c>
      <c r="D725" s="24" t="inlineStr">
        <is>
          <t>dbhitek</t>
        </is>
      </c>
      <c r="E725" s="24" t="inlineStr">
        <is>
          <t>000990</t>
        </is>
      </c>
      <c r="F725" s="24" t="inlineStr">
        <is>
          <t>2024</t>
        </is>
      </c>
      <c r="G725" s="24" t="inlineStr">
        <is>
          <t>CFS</t>
        </is>
      </c>
      <c r="H725" s="24" t="inlineStr">
        <is>
          <t>SCE</t>
        </is>
      </c>
      <c r="I725" s="24" t="inlineStr">
        <is>
          <t>자본변동표</t>
        </is>
      </c>
      <c r="J725" s="24" t="inlineStr">
        <is>
          <t>ifrs-full_OtherComprehensiveIncomeNetOfTaxGainsLossesOnRemeasurementsOfDefinedBenefitPlans</t>
        </is>
      </c>
      <c r="K725" s="24" t="inlineStr">
        <is>
          <t>확정급여제도의 재측정손익(세후기타포괄손익)</t>
        </is>
      </c>
      <c r="L725" s="24" t="inlineStr">
        <is>
          <t>자본 [구성요소]|지배기업의 소유주에게 귀속되는 지분 [구성요소]|자본잉여금 [구성요소]</t>
        </is>
      </c>
      <c r="M725" s="24" t="inlineStr">
        <is>
          <t>제 72 기</t>
        </is>
      </c>
      <c r="N725" s="24" t="inlineStr">
        <is>
          <t>0.0</t>
        </is>
      </c>
      <c r="O725" s="24" t="inlineStr">
        <is>
          <t>0.0</t>
        </is>
      </c>
      <c r="P725" s="24" t="inlineStr">
        <is>
          <t>KRW</t>
        </is>
      </c>
      <c r="Q725" s="24" t="inlineStr">
        <is>
          <t>14</t>
        </is>
      </c>
    </row>
    <row r="726" ht="24" customHeight="1">
      <c r="A726" s="29" t="inlineStr">
        <is>
          <t>OpenDART_fnlttSinglAcntAll</t>
        </is>
      </c>
      <c r="B726" s="29" t="inlineStr">
        <is>
          <t>00160843</t>
        </is>
      </c>
      <c r="C726" s="29" t="inlineStr">
        <is>
          <t>DB하이텍</t>
        </is>
      </c>
      <c r="D726" s="29" t="inlineStr">
        <is>
          <t>dbhitek</t>
        </is>
      </c>
      <c r="E726" s="29" t="inlineStr">
        <is>
          <t>000990</t>
        </is>
      </c>
      <c r="F726" s="29" t="inlineStr">
        <is>
          <t>2024</t>
        </is>
      </c>
      <c r="G726" s="29" t="inlineStr">
        <is>
          <t>CFS</t>
        </is>
      </c>
      <c r="H726" s="29" t="inlineStr">
        <is>
          <t>SCE</t>
        </is>
      </c>
      <c r="I726" s="29" t="inlineStr">
        <is>
          <t>자본변동표</t>
        </is>
      </c>
      <c r="J726" s="29" t="inlineStr">
        <is>
          <t>ifrs-full_ProfitLoss</t>
        </is>
      </c>
      <c r="K726" s="29" t="inlineStr">
        <is>
          <t>당기순이익(손실)</t>
        </is>
      </c>
      <c r="L726" s="29" t="inlineStr">
        <is>
          <t>연결재무제표 [member]</t>
        </is>
      </c>
      <c r="M726" s="29" t="inlineStr">
        <is>
          <t>제 72 기</t>
        </is>
      </c>
      <c r="N726" s="29" t="inlineStr">
        <is>
          <t>229385888355.0</t>
        </is>
      </c>
      <c r="O726" s="29" t="inlineStr">
        <is>
          <t>264149250979.0</t>
        </is>
      </c>
      <c r="P726" s="29" t="inlineStr">
        <is>
          <t>KRW</t>
        </is>
      </c>
      <c r="Q726" s="29" t="inlineStr">
        <is>
          <t>15</t>
        </is>
      </c>
    </row>
    <row r="727" ht="24" customHeight="1">
      <c r="A727" s="24" t="inlineStr">
        <is>
          <t>OpenDART_fnlttSinglAcntAll</t>
        </is>
      </c>
      <c r="B727" s="24" t="inlineStr">
        <is>
          <t>00160843</t>
        </is>
      </c>
      <c r="C727" s="24" t="inlineStr">
        <is>
          <t>DB하이텍</t>
        </is>
      </c>
      <c r="D727" s="24" t="inlineStr">
        <is>
          <t>dbhitek</t>
        </is>
      </c>
      <c r="E727" s="24" t="inlineStr">
        <is>
          <t>000990</t>
        </is>
      </c>
      <c r="F727" s="24" t="inlineStr">
        <is>
          <t>2024</t>
        </is>
      </c>
      <c r="G727" s="24" t="inlineStr">
        <is>
          <t>CFS</t>
        </is>
      </c>
      <c r="H727" s="24" t="inlineStr">
        <is>
          <t>SCE</t>
        </is>
      </c>
      <c r="I727" s="24" t="inlineStr">
        <is>
          <t>자본변동표</t>
        </is>
      </c>
      <c r="J727" s="24" t="inlineStr">
        <is>
          <t>ifrs-full_ProfitLoss</t>
        </is>
      </c>
      <c r="K727" s="24" t="inlineStr">
        <is>
          <t>당기순이익(손실)</t>
        </is>
      </c>
      <c r="L727" s="24" t="inlineStr">
        <is>
          <t>자본 [구성요소]|비지배지분 [구성요소]</t>
        </is>
      </c>
      <c r="M727" s="24" t="inlineStr">
        <is>
          <t>제 72 기</t>
        </is>
      </c>
      <c r="N727" s="24" t="inlineStr">
        <is>
          <t>-87727032.0</t>
        </is>
      </c>
      <c r="O727" s="24" t="inlineStr">
        <is>
          <t>0.0</t>
        </is>
      </c>
      <c r="P727" s="24" t="inlineStr">
        <is>
          <t>KRW</t>
        </is>
      </c>
      <c r="Q727" s="24" t="inlineStr">
        <is>
          <t>15</t>
        </is>
      </c>
    </row>
    <row r="728" ht="24" customHeight="1">
      <c r="A728" s="29" t="inlineStr">
        <is>
          <t>OpenDART_fnlttSinglAcntAll</t>
        </is>
      </c>
      <c r="B728" s="29" t="inlineStr">
        <is>
          <t>00160843</t>
        </is>
      </c>
      <c r="C728" s="29" t="inlineStr">
        <is>
          <t>DB하이텍</t>
        </is>
      </c>
      <c r="D728" s="29" t="inlineStr">
        <is>
          <t>dbhitek</t>
        </is>
      </c>
      <c r="E728" s="29" t="inlineStr">
        <is>
          <t>000990</t>
        </is>
      </c>
      <c r="F728" s="29" t="inlineStr">
        <is>
          <t>2024</t>
        </is>
      </c>
      <c r="G728" s="29" t="inlineStr">
        <is>
          <t>CFS</t>
        </is>
      </c>
      <c r="H728" s="29" t="inlineStr">
        <is>
          <t>SCE</t>
        </is>
      </c>
      <c r="I728" s="29" t="inlineStr">
        <is>
          <t>자본변동표</t>
        </is>
      </c>
      <c r="J728" s="29" t="inlineStr">
        <is>
          <t>ifrs-full_ProfitLoss</t>
        </is>
      </c>
      <c r="K728" s="29" t="inlineStr">
        <is>
          <t>당기순이익(손실)</t>
        </is>
      </c>
      <c r="L728" s="29" t="inlineStr">
        <is>
          <t>자본 [구성요소]|지배기업의 소유주에게 귀속되는 지분 [구성요소]</t>
        </is>
      </c>
      <c r="M728" s="29" t="inlineStr">
        <is>
          <t>제 72 기</t>
        </is>
      </c>
      <c r="N728" s="29" t="inlineStr">
        <is>
          <t>229473615387.0</t>
        </is>
      </c>
      <c r="O728" s="29" t="inlineStr">
        <is>
          <t>264149250979.0</t>
        </is>
      </c>
      <c r="P728" s="29" t="inlineStr">
        <is>
          <t>KRW</t>
        </is>
      </c>
      <c r="Q728" s="29" t="inlineStr">
        <is>
          <t>15</t>
        </is>
      </c>
    </row>
    <row r="729" ht="24" customHeight="1">
      <c r="A729" s="24" t="inlineStr">
        <is>
          <t>OpenDART_fnlttSinglAcntAll</t>
        </is>
      </c>
      <c r="B729" s="24" t="inlineStr">
        <is>
          <t>00160843</t>
        </is>
      </c>
      <c r="C729" s="24" t="inlineStr">
        <is>
          <t>DB하이텍</t>
        </is>
      </c>
      <c r="D729" s="24" t="inlineStr">
        <is>
          <t>dbhitek</t>
        </is>
      </c>
      <c r="E729" s="24" t="inlineStr">
        <is>
          <t>000990</t>
        </is>
      </c>
      <c r="F729" s="24" t="inlineStr">
        <is>
          <t>2024</t>
        </is>
      </c>
      <c r="G729" s="24" t="inlineStr">
        <is>
          <t>CFS</t>
        </is>
      </c>
      <c r="H729" s="24" t="inlineStr">
        <is>
          <t>SCE</t>
        </is>
      </c>
      <c r="I729" s="24" t="inlineStr">
        <is>
          <t>자본변동표</t>
        </is>
      </c>
      <c r="J729" s="24" t="inlineStr">
        <is>
          <t>ifrs-full_ProfitLoss</t>
        </is>
      </c>
      <c r="K729" s="24" t="inlineStr">
        <is>
          <t>당기순이익(손실)</t>
        </is>
      </c>
      <c r="L729" s="24" t="inlineStr">
        <is>
          <t>자본 [구성요소]|지배기업의 소유주에게 귀속되는 지분 [구성요소]|기타자본구성요소 [구성요소]</t>
        </is>
      </c>
      <c r="M729" s="24" t="inlineStr">
        <is>
          <t>제 72 기</t>
        </is>
      </c>
      <c r="N729" s="24" t="inlineStr">
        <is>
          <t>0.0</t>
        </is>
      </c>
      <c r="O729" s="24" t="inlineStr">
        <is>
          <t>0.0</t>
        </is>
      </c>
      <c r="P729" s="24" t="inlineStr">
        <is>
          <t>KRW</t>
        </is>
      </c>
      <c r="Q729" s="24" t="inlineStr">
        <is>
          <t>15</t>
        </is>
      </c>
    </row>
    <row r="730" ht="24" customHeight="1">
      <c r="A730" s="29" t="inlineStr">
        <is>
          <t>OpenDART_fnlttSinglAcntAll</t>
        </is>
      </c>
      <c r="B730" s="29" t="inlineStr">
        <is>
          <t>00160843</t>
        </is>
      </c>
      <c r="C730" s="29" t="inlineStr">
        <is>
          <t>DB하이텍</t>
        </is>
      </c>
      <c r="D730" s="29" t="inlineStr">
        <is>
          <t>dbhitek</t>
        </is>
      </c>
      <c r="E730" s="29" t="inlineStr">
        <is>
          <t>000990</t>
        </is>
      </c>
      <c r="F730" s="29" t="inlineStr">
        <is>
          <t>2024</t>
        </is>
      </c>
      <c r="G730" s="29" t="inlineStr">
        <is>
          <t>CFS</t>
        </is>
      </c>
      <c r="H730" s="29" t="inlineStr">
        <is>
          <t>SCE</t>
        </is>
      </c>
      <c r="I730" s="29" t="inlineStr">
        <is>
          <t>자본변동표</t>
        </is>
      </c>
      <c r="J730" s="29" t="inlineStr">
        <is>
          <t>ifrs-full_ProfitLoss</t>
        </is>
      </c>
      <c r="K730" s="29" t="inlineStr">
        <is>
          <t>당기순이익(손실)</t>
        </is>
      </c>
      <c r="L730" s="29" t="inlineStr">
        <is>
          <t>자본 [구성요소]|지배기업의 소유주에게 귀속되는 지분 [구성요소]|이익잉여금 [구성요소]</t>
        </is>
      </c>
      <c r="M730" s="29" t="inlineStr">
        <is>
          <t>제 72 기</t>
        </is>
      </c>
      <c r="N730" s="29" t="inlineStr">
        <is>
          <t>229473615387.0</t>
        </is>
      </c>
      <c r="O730" s="29" t="inlineStr">
        <is>
          <t>264149250979.0</t>
        </is>
      </c>
      <c r="P730" s="29" t="inlineStr">
        <is>
          <t>KRW</t>
        </is>
      </c>
      <c r="Q730" s="29" t="inlineStr">
        <is>
          <t>15</t>
        </is>
      </c>
    </row>
    <row r="731" ht="24" customHeight="1">
      <c r="A731" s="24" t="inlineStr">
        <is>
          <t>OpenDART_fnlttSinglAcntAll</t>
        </is>
      </c>
      <c r="B731" s="24" t="inlineStr">
        <is>
          <t>00160843</t>
        </is>
      </c>
      <c r="C731" s="24" t="inlineStr">
        <is>
          <t>DB하이텍</t>
        </is>
      </c>
      <c r="D731" s="24" t="inlineStr">
        <is>
          <t>dbhitek</t>
        </is>
      </c>
      <c r="E731" s="24" t="inlineStr">
        <is>
          <t>000990</t>
        </is>
      </c>
      <c r="F731" s="24" t="inlineStr">
        <is>
          <t>2024</t>
        </is>
      </c>
      <c r="G731" s="24" t="inlineStr">
        <is>
          <t>CFS</t>
        </is>
      </c>
      <c r="H731" s="24" t="inlineStr">
        <is>
          <t>SCE</t>
        </is>
      </c>
      <c r="I731" s="24" t="inlineStr">
        <is>
          <t>자본변동표</t>
        </is>
      </c>
      <c r="J731" s="24" t="inlineStr">
        <is>
          <t>ifrs-full_ProfitLoss</t>
        </is>
      </c>
      <c r="K731" s="24" t="inlineStr">
        <is>
          <t>당기순이익(손실)</t>
        </is>
      </c>
      <c r="L731" s="24" t="inlineStr">
        <is>
          <t>자본 [구성요소]|지배기업의 소유주에게 귀속되는 지분 [구성요소]|자본금 [구성요소]</t>
        </is>
      </c>
      <c r="M731" s="24" t="inlineStr">
        <is>
          <t>제 72 기</t>
        </is>
      </c>
      <c r="N731" s="24" t="inlineStr">
        <is>
          <t>0.0</t>
        </is>
      </c>
      <c r="O731" s="24" t="inlineStr">
        <is>
          <t>0.0</t>
        </is>
      </c>
      <c r="P731" s="24" t="inlineStr">
        <is>
          <t>KRW</t>
        </is>
      </c>
      <c r="Q731" s="24" t="inlineStr">
        <is>
          <t>15</t>
        </is>
      </c>
    </row>
    <row r="732" ht="24" customHeight="1">
      <c r="A732" s="29" t="inlineStr">
        <is>
          <t>OpenDART_fnlttSinglAcntAll</t>
        </is>
      </c>
      <c r="B732" s="29" t="inlineStr">
        <is>
          <t>00160843</t>
        </is>
      </c>
      <c r="C732" s="29" t="inlineStr">
        <is>
          <t>DB하이텍</t>
        </is>
      </c>
      <c r="D732" s="29" t="inlineStr">
        <is>
          <t>dbhitek</t>
        </is>
      </c>
      <c r="E732" s="29" t="inlineStr">
        <is>
          <t>000990</t>
        </is>
      </c>
      <c r="F732" s="29" t="inlineStr">
        <is>
          <t>2024</t>
        </is>
      </c>
      <c r="G732" s="29" t="inlineStr">
        <is>
          <t>CFS</t>
        </is>
      </c>
      <c r="H732" s="29" t="inlineStr">
        <is>
          <t>SCE</t>
        </is>
      </c>
      <c r="I732" s="29" t="inlineStr">
        <is>
          <t>자본변동표</t>
        </is>
      </c>
      <c r="J732" s="29" t="inlineStr">
        <is>
          <t>ifrs-full_ProfitLoss</t>
        </is>
      </c>
      <c r="K732" s="29" t="inlineStr">
        <is>
          <t>당기순이익(손실)</t>
        </is>
      </c>
      <c r="L732" s="29" t="inlineStr">
        <is>
          <t>자본 [구성요소]|지배기업의 소유주에게 귀속되는 지분 [구성요소]|자본잉여금 [구성요소]</t>
        </is>
      </c>
      <c r="M732" s="29" t="inlineStr">
        <is>
          <t>제 72 기</t>
        </is>
      </c>
      <c r="N732" s="29" t="inlineStr">
        <is>
          <t>0.0</t>
        </is>
      </c>
      <c r="O732" s="29" t="inlineStr">
        <is>
          <t>0.0</t>
        </is>
      </c>
      <c r="P732" s="29" t="inlineStr">
        <is>
          <t>KRW</t>
        </is>
      </c>
      <c r="Q732" s="29" t="inlineStr">
        <is>
          <t>15</t>
        </is>
      </c>
    </row>
    <row r="733" ht="24" customHeight="1">
      <c r="A733" s="24" t="inlineStr">
        <is>
          <t>OpenDART_fnlttSinglAcntAll</t>
        </is>
      </c>
      <c r="B733" s="24" t="inlineStr">
        <is>
          <t>00160843</t>
        </is>
      </c>
      <c r="C733" s="24" t="inlineStr">
        <is>
          <t>DB하이텍</t>
        </is>
      </c>
      <c r="D733" s="24" t="inlineStr">
        <is>
          <t>dbhitek</t>
        </is>
      </c>
      <c r="E733" s="24" t="inlineStr">
        <is>
          <t>000990</t>
        </is>
      </c>
      <c r="F733" s="24" t="inlineStr">
        <is>
          <t>2024</t>
        </is>
      </c>
      <c r="G733" s="24" t="inlineStr">
        <is>
          <t>CFS</t>
        </is>
      </c>
      <c r="H733" s="24" t="inlineStr">
        <is>
          <t>SCE</t>
        </is>
      </c>
      <c r="I733" s="24" t="inlineStr">
        <is>
          <t>자본변동표</t>
        </is>
      </c>
      <c r="J733" s="24" t="inlineStr">
        <is>
          <t>ifrs-full_ShareOfOtherComprehensiveIncomeOfAssociatesAndJointVenturesAccountedForUsingEquityMethod</t>
        </is>
      </c>
      <c r="K733" s="24" t="inlineStr">
        <is>
          <t>관계기업투자 평가</t>
        </is>
      </c>
      <c r="L733" s="24" t="inlineStr">
        <is>
          <t>연결재무제표 [member]</t>
        </is>
      </c>
      <c r="M733" s="24" t="inlineStr">
        <is>
          <t>제 72 기</t>
        </is>
      </c>
      <c r="N733" s="24" t="inlineStr">
        <is>
          <t>1028000000.0</t>
        </is>
      </c>
      <c r="O733" s="24" t="inlineStr">
        <is>
          <t>49000000.0</t>
        </is>
      </c>
      <c r="P733" s="24" t="inlineStr">
        <is>
          <t>KRW</t>
        </is>
      </c>
      <c r="Q733" s="24" t="inlineStr">
        <is>
          <t>16</t>
        </is>
      </c>
    </row>
    <row r="734" ht="24" customHeight="1">
      <c r="A734" s="29" t="inlineStr">
        <is>
          <t>OpenDART_fnlttSinglAcntAll</t>
        </is>
      </c>
      <c r="B734" s="29" t="inlineStr">
        <is>
          <t>00160843</t>
        </is>
      </c>
      <c r="C734" s="29" t="inlineStr">
        <is>
          <t>DB하이텍</t>
        </is>
      </c>
      <c r="D734" s="29" t="inlineStr">
        <is>
          <t>dbhitek</t>
        </is>
      </c>
      <c r="E734" s="29" t="inlineStr">
        <is>
          <t>000990</t>
        </is>
      </c>
      <c r="F734" s="29" t="inlineStr">
        <is>
          <t>2024</t>
        </is>
      </c>
      <c r="G734" s="29" t="inlineStr">
        <is>
          <t>CFS</t>
        </is>
      </c>
      <c r="H734" s="29" t="inlineStr">
        <is>
          <t>SCE</t>
        </is>
      </c>
      <c r="I734" s="29" t="inlineStr">
        <is>
          <t>자본변동표</t>
        </is>
      </c>
      <c r="J734" s="29" t="inlineStr">
        <is>
          <t>ifrs-full_ShareOfOtherComprehensiveIncomeOfAssociatesAndJointVenturesAccountedForUsingEquityMethod</t>
        </is>
      </c>
      <c r="K734" s="29" t="inlineStr">
        <is>
          <t>관계기업투자 평가</t>
        </is>
      </c>
      <c r="L734" s="29" t="inlineStr">
        <is>
          <t>자본 [구성요소]|비지배지분 [구성요소]</t>
        </is>
      </c>
      <c r="M734" s="29" t="inlineStr">
        <is>
          <t>제 72 기</t>
        </is>
      </c>
      <c r="N734" s="29" t="inlineStr">
        <is>
          <t>0.0</t>
        </is>
      </c>
      <c r="O734" s="29" t="inlineStr">
        <is>
          <t>0.0</t>
        </is>
      </c>
      <c r="P734" s="29" t="inlineStr">
        <is>
          <t>KRW</t>
        </is>
      </c>
      <c r="Q734" s="29" t="inlineStr">
        <is>
          <t>16</t>
        </is>
      </c>
    </row>
    <row r="735" ht="24" customHeight="1">
      <c r="A735" s="24" t="inlineStr">
        <is>
          <t>OpenDART_fnlttSinglAcntAll</t>
        </is>
      </c>
      <c r="B735" s="24" t="inlineStr">
        <is>
          <t>00160843</t>
        </is>
      </c>
      <c r="C735" s="24" t="inlineStr">
        <is>
          <t>DB하이텍</t>
        </is>
      </c>
      <c r="D735" s="24" t="inlineStr">
        <is>
          <t>dbhitek</t>
        </is>
      </c>
      <c r="E735" s="24" t="inlineStr">
        <is>
          <t>000990</t>
        </is>
      </c>
      <c r="F735" s="24" t="inlineStr">
        <is>
          <t>2024</t>
        </is>
      </c>
      <c r="G735" s="24" t="inlineStr">
        <is>
          <t>CFS</t>
        </is>
      </c>
      <c r="H735" s="24" t="inlineStr">
        <is>
          <t>SCE</t>
        </is>
      </c>
      <c r="I735" s="24" t="inlineStr">
        <is>
          <t>자본변동표</t>
        </is>
      </c>
      <c r="J735" s="24" t="inlineStr">
        <is>
          <t>ifrs-full_ShareOfOtherComprehensiveIncomeOfAssociatesAndJointVenturesAccountedForUsingEquityMethod</t>
        </is>
      </c>
      <c r="K735" s="24" t="inlineStr">
        <is>
          <t>관계기업투자 평가</t>
        </is>
      </c>
      <c r="L735" s="24" t="inlineStr">
        <is>
          <t>자본 [구성요소]|지배기업의 소유주에게 귀속되는 지분 [구성요소]</t>
        </is>
      </c>
      <c r="M735" s="24" t="inlineStr">
        <is>
          <t>제 72 기</t>
        </is>
      </c>
      <c r="N735" s="24" t="inlineStr">
        <is>
          <t>104730381.0</t>
        </is>
      </c>
      <c r="O735" s="24" t="inlineStr">
        <is>
          <t>1094276559.0</t>
        </is>
      </c>
      <c r="P735" s="24" t="inlineStr">
        <is>
          <t>KRW</t>
        </is>
      </c>
      <c r="Q735" s="24" t="inlineStr">
        <is>
          <t>16</t>
        </is>
      </c>
    </row>
    <row r="736" ht="24" customHeight="1">
      <c r="A736" s="29" t="inlineStr">
        <is>
          <t>OpenDART_fnlttSinglAcntAll</t>
        </is>
      </c>
      <c r="B736" s="29" t="inlineStr">
        <is>
          <t>00160843</t>
        </is>
      </c>
      <c r="C736" s="29" t="inlineStr">
        <is>
          <t>DB하이텍</t>
        </is>
      </c>
      <c r="D736" s="29" t="inlineStr">
        <is>
          <t>dbhitek</t>
        </is>
      </c>
      <c r="E736" s="29" t="inlineStr">
        <is>
          <t>000990</t>
        </is>
      </c>
      <c r="F736" s="29" t="inlineStr">
        <is>
          <t>2024</t>
        </is>
      </c>
      <c r="G736" s="29" t="inlineStr">
        <is>
          <t>CFS</t>
        </is>
      </c>
      <c r="H736" s="29" t="inlineStr">
        <is>
          <t>SCE</t>
        </is>
      </c>
      <c r="I736" s="29" t="inlineStr">
        <is>
          <t>자본변동표</t>
        </is>
      </c>
      <c r="J736" s="29" t="inlineStr">
        <is>
          <t>ifrs-full_ShareOfOtherComprehensiveIncomeOfAssociatesAndJointVenturesAccountedForUsingEquityMethod</t>
        </is>
      </c>
      <c r="K736" s="29" t="inlineStr">
        <is>
          <t>관계기업투자 평가</t>
        </is>
      </c>
      <c r="L736" s="29" t="inlineStr">
        <is>
          <t>자본 [구성요소]|지배기업의 소유주에게 귀속되는 지분 [구성요소]|기타자본구성요소 [구성요소]</t>
        </is>
      </c>
      <c r="M736" s="29" t="inlineStr">
        <is>
          <t>제 72 기</t>
        </is>
      </c>
      <c r="N736" s="29" t="inlineStr">
        <is>
          <t>1028732623.0</t>
        </is>
      </c>
      <c r="O736" s="29" t="inlineStr">
        <is>
          <t>48359376.0</t>
        </is>
      </c>
      <c r="P736" s="29" t="inlineStr">
        <is>
          <t>KRW</t>
        </is>
      </c>
      <c r="Q736" s="29" t="inlineStr">
        <is>
          <t>16</t>
        </is>
      </c>
    </row>
    <row r="737" ht="24" customHeight="1">
      <c r="A737" s="24" t="inlineStr">
        <is>
          <t>OpenDART_fnlttSinglAcntAll</t>
        </is>
      </c>
      <c r="B737" s="24" t="inlineStr">
        <is>
          <t>00160843</t>
        </is>
      </c>
      <c r="C737" s="24" t="inlineStr">
        <is>
          <t>DB하이텍</t>
        </is>
      </c>
      <c r="D737" s="24" t="inlineStr">
        <is>
          <t>dbhitek</t>
        </is>
      </c>
      <c r="E737" s="24" t="inlineStr">
        <is>
          <t>000990</t>
        </is>
      </c>
      <c r="F737" s="24" t="inlineStr">
        <is>
          <t>2024</t>
        </is>
      </c>
      <c r="G737" s="24" t="inlineStr">
        <is>
          <t>CFS</t>
        </is>
      </c>
      <c r="H737" s="24" t="inlineStr">
        <is>
          <t>SCE</t>
        </is>
      </c>
      <c r="I737" s="24" t="inlineStr">
        <is>
          <t>자본변동표</t>
        </is>
      </c>
      <c r="J737" s="24" t="inlineStr">
        <is>
          <t>ifrs-full_ShareOfOtherComprehensiveIncomeOfAssociatesAndJointVenturesAccountedForUsingEquityMethod</t>
        </is>
      </c>
      <c r="K737" s="24" t="inlineStr">
        <is>
          <t>관계기업투자 평가</t>
        </is>
      </c>
      <c r="L737" s="24" t="inlineStr">
        <is>
          <t>자본 [구성요소]|지배기업의 소유주에게 귀속되는 지분 [구성요소]|이익잉여금 [구성요소]</t>
        </is>
      </c>
      <c r="M737" s="24" t="inlineStr">
        <is>
          <t>제 72 기</t>
        </is>
      </c>
      <c r="N737" s="24" t="inlineStr">
        <is>
          <t>-924002242.0</t>
        </is>
      </c>
      <c r="O737" s="24" t="inlineStr">
        <is>
          <t>1045917183.0</t>
        </is>
      </c>
      <c r="P737" s="24" t="inlineStr">
        <is>
          <t>KRW</t>
        </is>
      </c>
      <c r="Q737" s="24" t="inlineStr">
        <is>
          <t>16</t>
        </is>
      </c>
    </row>
    <row r="738" ht="24" customHeight="1">
      <c r="A738" s="29" t="inlineStr">
        <is>
          <t>OpenDART_fnlttSinglAcntAll</t>
        </is>
      </c>
      <c r="B738" s="29" t="inlineStr">
        <is>
          <t>00160843</t>
        </is>
      </c>
      <c r="C738" s="29" t="inlineStr">
        <is>
          <t>DB하이텍</t>
        </is>
      </c>
      <c r="D738" s="29" t="inlineStr">
        <is>
          <t>dbhitek</t>
        </is>
      </c>
      <c r="E738" s="29" t="inlineStr">
        <is>
          <t>000990</t>
        </is>
      </c>
      <c r="F738" s="29" t="inlineStr">
        <is>
          <t>2024</t>
        </is>
      </c>
      <c r="G738" s="29" t="inlineStr">
        <is>
          <t>CFS</t>
        </is>
      </c>
      <c r="H738" s="29" t="inlineStr">
        <is>
          <t>SCE</t>
        </is>
      </c>
      <c r="I738" s="29" t="inlineStr">
        <is>
          <t>자본변동표</t>
        </is>
      </c>
      <c r="J738" s="29" t="inlineStr">
        <is>
          <t>ifrs-full_ShareOfOtherComprehensiveIncomeOfAssociatesAndJointVenturesAccountedForUsingEquityMethod</t>
        </is>
      </c>
      <c r="K738" s="29" t="inlineStr">
        <is>
          <t>관계기업투자 평가</t>
        </is>
      </c>
      <c r="L738" s="29" t="inlineStr">
        <is>
          <t>자본 [구성요소]|지배기업의 소유주에게 귀속되는 지분 [구성요소]|자본금 [구성요소]</t>
        </is>
      </c>
      <c r="M738" s="29" t="inlineStr">
        <is>
          <t>제 72 기</t>
        </is>
      </c>
      <c r="N738" s="29" t="inlineStr">
        <is>
          <t>0.0</t>
        </is>
      </c>
      <c r="O738" s="29" t="inlineStr">
        <is>
          <t>0.0</t>
        </is>
      </c>
      <c r="P738" s="29" t="inlineStr">
        <is>
          <t>KRW</t>
        </is>
      </c>
      <c r="Q738" s="29" t="inlineStr">
        <is>
          <t>16</t>
        </is>
      </c>
    </row>
    <row r="739" ht="24" customHeight="1">
      <c r="A739" s="24" t="inlineStr">
        <is>
          <t>OpenDART_fnlttSinglAcntAll</t>
        </is>
      </c>
      <c r="B739" s="24" t="inlineStr">
        <is>
          <t>00160843</t>
        </is>
      </c>
      <c r="C739" s="24" t="inlineStr">
        <is>
          <t>DB하이텍</t>
        </is>
      </c>
      <c r="D739" s="24" t="inlineStr">
        <is>
          <t>dbhitek</t>
        </is>
      </c>
      <c r="E739" s="24" t="inlineStr">
        <is>
          <t>000990</t>
        </is>
      </c>
      <c r="F739" s="24" t="inlineStr">
        <is>
          <t>2024</t>
        </is>
      </c>
      <c r="G739" s="24" t="inlineStr">
        <is>
          <t>CFS</t>
        </is>
      </c>
      <c r="H739" s="24" t="inlineStr">
        <is>
          <t>SCE</t>
        </is>
      </c>
      <c r="I739" s="24" t="inlineStr">
        <is>
          <t>자본변동표</t>
        </is>
      </c>
      <c r="J739" s="24" t="inlineStr">
        <is>
          <t>ifrs-full_ShareOfOtherComprehensiveIncomeOfAssociatesAndJointVenturesAccountedForUsingEquityMethod</t>
        </is>
      </c>
      <c r="K739" s="24" t="inlineStr">
        <is>
          <t>관계기업투자 평가</t>
        </is>
      </c>
      <c r="L739" s="24" t="inlineStr">
        <is>
          <t>자본 [구성요소]|지배기업의 소유주에게 귀속되는 지분 [구성요소]|자본잉여금 [구성요소]</t>
        </is>
      </c>
      <c r="M739" s="24" t="inlineStr">
        <is>
          <t>제 72 기</t>
        </is>
      </c>
      <c r="N739" s="24" t="inlineStr">
        <is>
          <t>0.0</t>
        </is>
      </c>
      <c r="O739" s="24" t="inlineStr">
        <is>
          <t>0.0</t>
        </is>
      </c>
      <c r="P739" s="24" t="inlineStr">
        <is>
          <t>KRW</t>
        </is>
      </c>
      <c r="Q739" s="24" t="inlineStr">
        <is>
          <t>16</t>
        </is>
      </c>
    </row>
    <row r="740" ht="24" customHeight="1">
      <c r="A740" s="29" t="inlineStr">
        <is>
          <t>OpenDART_fnlttSinglAcntAll</t>
        </is>
      </c>
      <c r="B740" s="29" t="inlineStr">
        <is>
          <t>00160843</t>
        </is>
      </c>
      <c r="C740" s="29" t="inlineStr">
        <is>
          <t>DB하이텍</t>
        </is>
      </c>
      <c r="D740" s="29" t="inlineStr">
        <is>
          <t>dbhitek</t>
        </is>
      </c>
      <c r="E740" s="29" t="inlineStr">
        <is>
          <t>000990</t>
        </is>
      </c>
      <c r="F740" s="29" t="inlineStr">
        <is>
          <t>2025</t>
        </is>
      </c>
      <c r="G740" s="29" t="inlineStr">
        <is>
          <t>CFS</t>
        </is>
      </c>
      <c r="H740" s="29" t="inlineStr">
        <is>
          <t>BS</t>
        </is>
      </c>
      <c r="I740" s="29" t="inlineStr">
        <is>
          <t>재무상태표</t>
        </is>
      </c>
      <c r="J740" s="29" t="inlineStr">
        <is>
          <t>ifrs-full_Assets</t>
        </is>
      </c>
      <c r="K740" s="29" t="inlineStr">
        <is>
          <t>자산총계</t>
        </is>
      </c>
      <c r="L740" s="29" t="inlineStr">
        <is>
          <t>-</t>
        </is>
      </c>
      <c r="M740" s="29" t="inlineStr">
        <is>
          <t>제 73 기</t>
        </is>
      </c>
      <c r="N740" s="29" t="inlineStr">
        <is>
          <t>2992581747645.0</t>
        </is>
      </c>
      <c r="O740" s="29" t="inlineStr">
        <is>
          <t>2396851168578.0</t>
        </is>
      </c>
      <c r="P740" s="29" t="inlineStr">
        <is>
          <t>KRW</t>
        </is>
      </c>
      <c r="Q740" s="29" t="inlineStr">
        <is>
          <t>7</t>
        </is>
      </c>
    </row>
    <row r="741" ht="24" customHeight="1">
      <c r="A741" s="24" t="inlineStr">
        <is>
          <t>OpenDART_fnlttSinglAcntAll</t>
        </is>
      </c>
      <c r="B741" s="24" t="inlineStr">
        <is>
          <t>00160843</t>
        </is>
      </c>
      <c r="C741" s="24" t="inlineStr">
        <is>
          <t>DB하이텍</t>
        </is>
      </c>
      <c r="D741" s="24" t="inlineStr">
        <is>
          <t>dbhitek</t>
        </is>
      </c>
      <c r="E741" s="24" t="inlineStr">
        <is>
          <t>000990</t>
        </is>
      </c>
      <c r="F741" s="24" t="inlineStr">
        <is>
          <t>2025</t>
        </is>
      </c>
      <c r="G741" s="24" t="inlineStr">
        <is>
          <t>CFS</t>
        </is>
      </c>
      <c r="H741" s="24" t="inlineStr">
        <is>
          <t>BS</t>
        </is>
      </c>
      <c r="I741" s="24" t="inlineStr">
        <is>
          <t>재무상태표</t>
        </is>
      </c>
      <c r="J741" s="24" t="inlineStr">
        <is>
          <t>ifrs-full_CurrentAssets</t>
        </is>
      </c>
      <c r="K741" s="24" t="inlineStr">
        <is>
          <t>유동자산</t>
        </is>
      </c>
      <c r="L741" s="24" t="inlineStr">
        <is>
          <t>-</t>
        </is>
      </c>
      <c r="M741" s="24" t="inlineStr">
        <is>
          <t>제 73 기</t>
        </is>
      </c>
      <c r="N741" s="24" t="inlineStr">
        <is>
          <t>1435680643640.0</t>
        </is>
      </c>
      <c r="O741" s="24" t="inlineStr">
        <is>
          <t>1194370198832.0</t>
        </is>
      </c>
      <c r="P741" s="24" t="inlineStr">
        <is>
          <t>KRW</t>
        </is>
      </c>
      <c r="Q741" s="24" t="inlineStr">
        <is>
          <t>8</t>
        </is>
      </c>
    </row>
    <row r="742" ht="24" customHeight="1">
      <c r="A742" s="29" t="inlineStr">
        <is>
          <t>OpenDART_fnlttSinglAcntAll</t>
        </is>
      </c>
      <c r="B742" s="29" t="inlineStr">
        <is>
          <t>00160843</t>
        </is>
      </c>
      <c r="C742" s="29" t="inlineStr">
        <is>
          <t>DB하이텍</t>
        </is>
      </c>
      <c r="D742" s="29" t="inlineStr">
        <is>
          <t>dbhitek</t>
        </is>
      </c>
      <c r="E742" s="29" t="inlineStr">
        <is>
          <t>000990</t>
        </is>
      </c>
      <c r="F742" s="29" t="inlineStr">
        <is>
          <t>2025</t>
        </is>
      </c>
      <c r="G742" s="29" t="inlineStr">
        <is>
          <t>CFS</t>
        </is>
      </c>
      <c r="H742" s="29" t="inlineStr">
        <is>
          <t>BS</t>
        </is>
      </c>
      <c r="I742" s="29" t="inlineStr">
        <is>
          <t>재무상태표</t>
        </is>
      </c>
      <c r="J742" s="29" t="inlineStr">
        <is>
          <t>ifrs-full_CashAndCashEquivalents</t>
        </is>
      </c>
      <c r="K742" s="29" t="inlineStr">
        <is>
          <t>현금및현금성자산</t>
        </is>
      </c>
      <c r="L742" s="29" t="inlineStr">
        <is>
          <t>-</t>
        </is>
      </c>
      <c r="M742" s="29" t="inlineStr">
        <is>
          <t>제 73 기</t>
        </is>
      </c>
      <c r="N742" s="29" t="inlineStr">
        <is>
          <t>323054472680.0</t>
        </is>
      </c>
      <c r="O742" s="29" t="inlineStr">
        <is>
          <t>297054100758.0</t>
        </is>
      </c>
      <c r="P742" s="29" t="inlineStr">
        <is>
          <t>KRW</t>
        </is>
      </c>
      <c r="Q742" s="29" t="inlineStr">
        <is>
          <t>9</t>
        </is>
      </c>
    </row>
    <row r="743" ht="24" customHeight="1">
      <c r="A743" s="24" t="inlineStr">
        <is>
          <t>OpenDART_fnlttSinglAcntAll</t>
        </is>
      </c>
      <c r="B743" s="24" t="inlineStr">
        <is>
          <t>00160843</t>
        </is>
      </c>
      <c r="C743" s="24" t="inlineStr">
        <is>
          <t>DB하이텍</t>
        </is>
      </c>
      <c r="D743" s="24" t="inlineStr">
        <is>
          <t>dbhitek</t>
        </is>
      </c>
      <c r="E743" s="24" t="inlineStr">
        <is>
          <t>000990</t>
        </is>
      </c>
      <c r="F743" s="24" t="inlineStr">
        <is>
          <t>2025</t>
        </is>
      </c>
      <c r="G743" s="24" t="inlineStr">
        <is>
          <t>CFS</t>
        </is>
      </c>
      <c r="H743" s="24" t="inlineStr">
        <is>
          <t>BS</t>
        </is>
      </c>
      <c r="I743" s="24" t="inlineStr">
        <is>
          <t>재무상태표</t>
        </is>
      </c>
      <c r="J743" s="24" t="inlineStr">
        <is>
          <t>ifrs-full_CurrentContractAssets</t>
        </is>
      </c>
      <c r="K743" s="24" t="inlineStr">
        <is>
          <t>미청구공사</t>
        </is>
      </c>
      <c r="L743" s="24" t="inlineStr">
        <is>
          <t>-</t>
        </is>
      </c>
      <c r="M743" s="24" t="inlineStr">
        <is>
          <t>제 73 기</t>
        </is>
      </c>
      <c r="N743" s="24" t="inlineStr">
        <is>
          <t>106807652290.0</t>
        </is>
      </c>
      <c r="O743" s="24" t="inlineStr">
        <is>
          <t>74336195524.0</t>
        </is>
      </c>
      <c r="P743" s="24" t="inlineStr">
        <is>
          <t>KRW</t>
        </is>
      </c>
      <c r="Q743" s="24" t="inlineStr">
        <is>
          <t>10</t>
        </is>
      </c>
    </row>
    <row r="744" ht="24" customHeight="1">
      <c r="A744" s="29" t="inlineStr">
        <is>
          <t>OpenDART_fnlttSinglAcntAll</t>
        </is>
      </c>
      <c r="B744" s="29" t="inlineStr">
        <is>
          <t>00160843</t>
        </is>
      </c>
      <c r="C744" s="29" t="inlineStr">
        <is>
          <t>DB하이텍</t>
        </is>
      </c>
      <c r="D744" s="29" t="inlineStr">
        <is>
          <t>dbhitek</t>
        </is>
      </c>
      <c r="E744" s="29" t="inlineStr">
        <is>
          <t>000990</t>
        </is>
      </c>
      <c r="F744" s="29" t="inlineStr">
        <is>
          <t>2025</t>
        </is>
      </c>
      <c r="G744" s="29" t="inlineStr">
        <is>
          <t>CFS</t>
        </is>
      </c>
      <c r="H744" s="29" t="inlineStr">
        <is>
          <t>BS</t>
        </is>
      </c>
      <c r="I744" s="29" t="inlineStr">
        <is>
          <t>재무상태표</t>
        </is>
      </c>
      <c r="J744" s="29" t="inlineStr">
        <is>
          <t>ifrs-full_CurrentTaxAssets</t>
        </is>
      </c>
      <c r="K744" s="29" t="inlineStr">
        <is>
          <t>당기법인세자산</t>
        </is>
      </c>
      <c r="L744" s="29" t="inlineStr">
        <is>
          <t>-</t>
        </is>
      </c>
      <c r="M744" s="29" t="inlineStr">
        <is>
          <t>제 73 기</t>
        </is>
      </c>
      <c r="N744" s="29" t="inlineStr">
        <is>
          <t>368880150.0</t>
        </is>
      </c>
      <c r="O744" s="29" t="inlineStr">
        <is>
          <t>1133805410.0</t>
        </is>
      </c>
      <c r="P744" s="29" t="inlineStr">
        <is>
          <t>KRW</t>
        </is>
      </c>
      <c r="Q744" s="29" t="inlineStr">
        <is>
          <t>11</t>
        </is>
      </c>
    </row>
    <row r="745" ht="24" customHeight="1">
      <c r="A745" s="24" t="inlineStr">
        <is>
          <t>OpenDART_fnlttSinglAcntAll</t>
        </is>
      </c>
      <c r="B745" s="24" t="inlineStr">
        <is>
          <t>00160843</t>
        </is>
      </c>
      <c r="C745" s="24" t="inlineStr">
        <is>
          <t>DB하이텍</t>
        </is>
      </c>
      <c r="D745" s="24" t="inlineStr">
        <is>
          <t>dbhitek</t>
        </is>
      </c>
      <c r="E745" s="24" t="inlineStr">
        <is>
          <t>000990</t>
        </is>
      </c>
      <c r="F745" s="24" t="inlineStr">
        <is>
          <t>2025</t>
        </is>
      </c>
      <c r="G745" s="24" t="inlineStr">
        <is>
          <t>CFS</t>
        </is>
      </c>
      <c r="H745" s="24" t="inlineStr">
        <is>
          <t>BS</t>
        </is>
      </c>
      <c r="I745" s="24" t="inlineStr">
        <is>
          <t>재무상태표</t>
        </is>
      </c>
      <c r="J745" s="24" t="inlineStr">
        <is>
          <t>ifrs-full_CurrentTradeReceivables</t>
        </is>
      </c>
      <c r="K745" s="24" t="inlineStr">
        <is>
          <t>매출채권</t>
        </is>
      </c>
      <c r="L745" s="24" t="inlineStr">
        <is>
          <t>-</t>
        </is>
      </c>
      <c r="M745" s="24" t="inlineStr">
        <is>
          <t>제 73 기</t>
        </is>
      </c>
      <c r="N745" s="24" t="inlineStr">
        <is>
          <t>135007514954.0</t>
        </is>
      </c>
      <c r="O745" s="24" t="inlineStr">
        <is>
          <t>100427284862.0</t>
        </is>
      </c>
      <c r="P745" s="24" t="inlineStr">
        <is>
          <t>KRW</t>
        </is>
      </c>
      <c r="Q745" s="24" t="inlineStr">
        <is>
          <t>12</t>
        </is>
      </c>
    </row>
    <row r="746" ht="24" customHeight="1">
      <c r="A746" s="29" t="inlineStr">
        <is>
          <t>OpenDART_fnlttSinglAcntAll</t>
        </is>
      </c>
      <c r="B746" s="29" t="inlineStr">
        <is>
          <t>00160843</t>
        </is>
      </c>
      <c r="C746" s="29" t="inlineStr">
        <is>
          <t>DB하이텍</t>
        </is>
      </c>
      <c r="D746" s="29" t="inlineStr">
        <is>
          <t>dbhitek</t>
        </is>
      </c>
      <c r="E746" s="29" t="inlineStr">
        <is>
          <t>000990</t>
        </is>
      </c>
      <c r="F746" s="29" t="inlineStr">
        <is>
          <t>2025</t>
        </is>
      </c>
      <c r="G746" s="29" t="inlineStr">
        <is>
          <t>CFS</t>
        </is>
      </c>
      <c r="H746" s="29" t="inlineStr">
        <is>
          <t>BS</t>
        </is>
      </c>
      <c r="I746" s="29" t="inlineStr">
        <is>
          <t>재무상태표</t>
        </is>
      </c>
      <c r="J746" s="29" t="inlineStr">
        <is>
          <t>ifrs-full_Inventories</t>
        </is>
      </c>
      <c r="K746" s="29" t="inlineStr">
        <is>
          <t>재고자산</t>
        </is>
      </c>
      <c r="L746" s="29" t="inlineStr">
        <is>
          <t>-</t>
        </is>
      </c>
      <c r="M746" s="29" t="inlineStr">
        <is>
          <t>제 73 기</t>
        </is>
      </c>
      <c r="N746" s="29" t="inlineStr">
        <is>
          <t>97482503602.0</t>
        </is>
      </c>
      <c r="O746" s="29" t="inlineStr">
        <is>
          <t>70392571642.0</t>
        </is>
      </c>
      <c r="P746" s="29" t="inlineStr">
        <is>
          <t>KRW</t>
        </is>
      </c>
      <c r="Q746" s="29" t="inlineStr">
        <is>
          <t>13</t>
        </is>
      </c>
    </row>
    <row r="747" ht="24" customHeight="1">
      <c r="A747" s="24" t="inlineStr">
        <is>
          <t>OpenDART_fnlttSinglAcntAll</t>
        </is>
      </c>
      <c r="B747" s="24" t="inlineStr">
        <is>
          <t>00160843</t>
        </is>
      </c>
      <c r="C747" s="24" t="inlineStr">
        <is>
          <t>DB하이텍</t>
        </is>
      </c>
      <c r="D747" s="24" t="inlineStr">
        <is>
          <t>dbhitek</t>
        </is>
      </c>
      <c r="E747" s="24" t="inlineStr">
        <is>
          <t>000990</t>
        </is>
      </c>
      <c r="F747" s="24" t="inlineStr">
        <is>
          <t>2025</t>
        </is>
      </c>
      <c r="G747" s="24" t="inlineStr">
        <is>
          <t>CFS</t>
        </is>
      </c>
      <c r="H747" s="24" t="inlineStr">
        <is>
          <t>BS</t>
        </is>
      </c>
      <c r="I747" s="24" t="inlineStr">
        <is>
          <t>재무상태표</t>
        </is>
      </c>
      <c r="J747" s="24" t="inlineStr">
        <is>
          <t>ifrs-full_OtherCurrentAssets</t>
        </is>
      </c>
      <c r="K747" s="24" t="inlineStr">
        <is>
          <t>기타유동자산</t>
        </is>
      </c>
      <c r="L747" s="24" t="inlineStr">
        <is>
          <t>-</t>
        </is>
      </c>
      <c r="M747" s="24" t="inlineStr">
        <is>
          <t>제 73 기</t>
        </is>
      </c>
      <c r="N747" s="24" t="inlineStr">
        <is>
          <t>26347617242.0</t>
        </is>
      </c>
      <c r="O747" s="24" t="inlineStr">
        <is>
          <t>21981078460.0</t>
        </is>
      </c>
      <c r="P747" s="24" t="inlineStr">
        <is>
          <t>KRW</t>
        </is>
      </c>
      <c r="Q747" s="24" t="inlineStr">
        <is>
          <t>14</t>
        </is>
      </c>
    </row>
    <row r="748" ht="24" customHeight="1">
      <c r="A748" s="29" t="inlineStr">
        <is>
          <t>OpenDART_fnlttSinglAcntAll</t>
        </is>
      </c>
      <c r="B748" s="29" t="inlineStr">
        <is>
          <t>00160843</t>
        </is>
      </c>
      <c r="C748" s="29" t="inlineStr">
        <is>
          <t>DB하이텍</t>
        </is>
      </c>
      <c r="D748" s="29" t="inlineStr">
        <is>
          <t>dbhitek</t>
        </is>
      </c>
      <c r="E748" s="29" t="inlineStr">
        <is>
          <t>000990</t>
        </is>
      </c>
      <c r="F748" s="29" t="inlineStr">
        <is>
          <t>2025</t>
        </is>
      </c>
      <c r="G748" s="29" t="inlineStr">
        <is>
          <t>CFS</t>
        </is>
      </c>
      <c r="H748" s="29" t="inlineStr">
        <is>
          <t>BS</t>
        </is>
      </c>
      <c r="I748" s="29" t="inlineStr">
        <is>
          <t>재무상태표</t>
        </is>
      </c>
      <c r="J748" s="29" t="inlineStr">
        <is>
          <t>ifrs-full_OtherCurrentFinancialAssets</t>
        </is>
      </c>
      <c r="K748" s="29" t="inlineStr">
        <is>
          <t>기타유동금융자산</t>
        </is>
      </c>
      <c r="L748" s="29" t="inlineStr">
        <is>
          <t>-</t>
        </is>
      </c>
      <c r="M748" s="29" t="inlineStr">
        <is>
          <t>제 73 기</t>
        </is>
      </c>
      <c r="N748" s="29" t="inlineStr">
        <is>
          <t>606912647425.0</t>
        </is>
      </c>
      <c r="O748" s="29" t="inlineStr">
        <is>
          <t>487979917360.0</t>
        </is>
      </c>
      <c r="P748" s="29" t="inlineStr">
        <is>
          <t>KRW</t>
        </is>
      </c>
      <c r="Q748" s="29" t="inlineStr">
        <is>
          <t>15</t>
        </is>
      </c>
    </row>
    <row r="749" ht="24" customHeight="1">
      <c r="A749" s="24" t="inlineStr">
        <is>
          <t>OpenDART_fnlttSinglAcntAll</t>
        </is>
      </c>
      <c r="B749" s="24" t="inlineStr">
        <is>
          <t>00160843</t>
        </is>
      </c>
      <c r="C749" s="24" t="inlineStr">
        <is>
          <t>DB하이텍</t>
        </is>
      </c>
      <c r="D749" s="24" t="inlineStr">
        <is>
          <t>dbhitek</t>
        </is>
      </c>
      <c r="E749" s="24" t="inlineStr">
        <is>
          <t>000990</t>
        </is>
      </c>
      <c r="F749" s="24" t="inlineStr">
        <is>
          <t>2025</t>
        </is>
      </c>
      <c r="G749" s="24" t="inlineStr">
        <is>
          <t>CFS</t>
        </is>
      </c>
      <c r="H749" s="24" t="inlineStr">
        <is>
          <t>BS</t>
        </is>
      </c>
      <c r="I749" s="24" t="inlineStr">
        <is>
          <t>재무상태표</t>
        </is>
      </c>
      <c r="J749" s="24" t="inlineStr">
        <is>
          <t>ifrs-full_OtherCurrentReceivables</t>
        </is>
      </c>
      <c r="K749" s="24" t="inlineStr">
        <is>
          <t>기타채권</t>
        </is>
      </c>
      <c r="L749" s="24" t="inlineStr">
        <is>
          <t>-</t>
        </is>
      </c>
      <c r="M749" s="24" t="inlineStr">
        <is>
          <t>제 73 기</t>
        </is>
      </c>
      <c r="N749" s="24" t="inlineStr">
        <is>
          <t>6890515916.0</t>
        </is>
      </c>
      <c r="O749" s="24" t="inlineStr">
        <is>
          <t>2958506583.0</t>
        </is>
      </c>
      <c r="P749" s="24" t="inlineStr">
        <is>
          <t>KRW</t>
        </is>
      </c>
      <c r="Q749" s="24" t="inlineStr">
        <is>
          <t>16</t>
        </is>
      </c>
    </row>
    <row r="750" ht="24" customHeight="1">
      <c r="A750" s="29" t="inlineStr">
        <is>
          <t>OpenDART_fnlttSinglAcntAll</t>
        </is>
      </c>
      <c r="B750" s="29" t="inlineStr">
        <is>
          <t>00160843</t>
        </is>
      </c>
      <c r="C750" s="29" t="inlineStr">
        <is>
          <t>DB하이텍</t>
        </is>
      </c>
      <c r="D750" s="29" t="inlineStr">
        <is>
          <t>dbhitek</t>
        </is>
      </c>
      <c r="E750" s="29" t="inlineStr">
        <is>
          <t>000990</t>
        </is>
      </c>
      <c r="F750" s="29" t="inlineStr">
        <is>
          <t>2025</t>
        </is>
      </c>
      <c r="G750" s="29" t="inlineStr">
        <is>
          <t>CFS</t>
        </is>
      </c>
      <c r="H750" s="29" t="inlineStr">
        <is>
          <t>BS</t>
        </is>
      </c>
      <c r="I750" s="29" t="inlineStr">
        <is>
          <t>재무상태표</t>
        </is>
      </c>
      <c r="J750" s="29" t="inlineStr">
        <is>
          <t>ifrs-full_ShorttermDepositsNotClassifiedAsCashEquivalents</t>
        </is>
      </c>
      <c r="K750" s="29" t="inlineStr">
        <is>
          <t>단기금융상품</t>
        </is>
      </c>
      <c r="L750" s="29" t="inlineStr">
        <is>
          <t>-</t>
        </is>
      </c>
      <c r="M750" s="29" t="inlineStr">
        <is>
          <t>제 73 기</t>
        </is>
      </c>
      <c r="N750" s="29" t="inlineStr">
        <is>
          <t>132808839381.0</t>
        </is>
      </c>
      <c r="O750" s="29" t="inlineStr">
        <is>
          <t>138106738233.0</t>
        </is>
      </c>
      <c r="P750" s="29" t="inlineStr">
        <is>
          <t>KRW</t>
        </is>
      </c>
      <c r="Q750" s="29" t="inlineStr">
        <is>
          <t>17</t>
        </is>
      </c>
    </row>
    <row r="751" ht="24" customHeight="1">
      <c r="A751" s="24" t="inlineStr">
        <is>
          <t>OpenDART_fnlttSinglAcntAll</t>
        </is>
      </c>
      <c r="B751" s="24" t="inlineStr">
        <is>
          <t>00160843</t>
        </is>
      </c>
      <c r="C751" s="24" t="inlineStr">
        <is>
          <t>DB하이텍</t>
        </is>
      </c>
      <c r="D751" s="24" t="inlineStr">
        <is>
          <t>dbhitek</t>
        </is>
      </c>
      <c r="E751" s="24" t="inlineStr">
        <is>
          <t>000990</t>
        </is>
      </c>
      <c r="F751" s="24" t="inlineStr">
        <is>
          <t>2025</t>
        </is>
      </c>
      <c r="G751" s="24" t="inlineStr">
        <is>
          <t>CFS</t>
        </is>
      </c>
      <c r="H751" s="24" t="inlineStr">
        <is>
          <t>BS</t>
        </is>
      </c>
      <c r="I751" s="24" t="inlineStr">
        <is>
          <t>재무상태표</t>
        </is>
      </c>
      <c r="J751" s="24" t="inlineStr">
        <is>
          <t>ifrs-full_NoncurrentAssets</t>
        </is>
      </c>
      <c r="K751" s="24" t="inlineStr">
        <is>
          <t>비유동자산</t>
        </is>
      </c>
      <c r="L751" s="24" t="inlineStr">
        <is>
          <t>-</t>
        </is>
      </c>
      <c r="M751" s="24" t="inlineStr">
        <is>
          <t>제 73 기</t>
        </is>
      </c>
      <c r="N751" s="24" t="inlineStr">
        <is>
          <t>1556901104005.0</t>
        </is>
      </c>
      <c r="O751" s="24" t="inlineStr">
        <is>
          <t>1202480969746.0</t>
        </is>
      </c>
      <c r="P751" s="24" t="inlineStr">
        <is>
          <t>KRW</t>
        </is>
      </c>
      <c r="Q751" s="24" t="inlineStr">
        <is>
          <t>18</t>
        </is>
      </c>
    </row>
    <row r="752" ht="24" customHeight="1">
      <c r="A752" s="29" t="inlineStr">
        <is>
          <t>OpenDART_fnlttSinglAcntAll</t>
        </is>
      </c>
      <c r="B752" s="29" t="inlineStr">
        <is>
          <t>00160843</t>
        </is>
      </c>
      <c r="C752" s="29" t="inlineStr">
        <is>
          <t>DB하이텍</t>
        </is>
      </c>
      <c r="D752" s="29" t="inlineStr">
        <is>
          <t>dbhitek</t>
        </is>
      </c>
      <c r="E752" s="29" t="inlineStr">
        <is>
          <t>000990</t>
        </is>
      </c>
      <c r="F752" s="29" t="inlineStr">
        <is>
          <t>2025</t>
        </is>
      </c>
      <c r="G752" s="29" t="inlineStr">
        <is>
          <t>CFS</t>
        </is>
      </c>
      <c r="H752" s="29" t="inlineStr">
        <is>
          <t>BS</t>
        </is>
      </c>
      <c r="I752" s="29" t="inlineStr">
        <is>
          <t>재무상태표</t>
        </is>
      </c>
      <c r="J752" s="29" t="inlineStr">
        <is>
          <t>dart_InvestedAssetForPostemploymentBenefit</t>
        </is>
      </c>
      <c r="K752" s="29" t="inlineStr">
        <is>
          <t>순확정급여자산</t>
        </is>
      </c>
      <c r="L752" s="29" t="inlineStr">
        <is>
          <t>-</t>
        </is>
      </c>
      <c r="M752" s="29" t="inlineStr">
        <is>
          <t>제 73 기</t>
        </is>
      </c>
      <c r="N752" s="29" t="inlineStr">
        <is>
          <t>0.0</t>
        </is>
      </c>
      <c r="O752" s="29" t="inlineStr">
        <is>
          <t>0.0</t>
        </is>
      </c>
      <c r="P752" s="29" t="inlineStr">
        <is>
          <t>KRW</t>
        </is>
      </c>
      <c r="Q752" s="29" t="inlineStr">
        <is>
          <t>19</t>
        </is>
      </c>
    </row>
    <row r="753" ht="24" customHeight="1">
      <c r="A753" s="24" t="inlineStr">
        <is>
          <t>OpenDART_fnlttSinglAcntAll</t>
        </is>
      </c>
      <c r="B753" s="24" t="inlineStr">
        <is>
          <t>00160843</t>
        </is>
      </c>
      <c r="C753" s="24" t="inlineStr">
        <is>
          <t>DB하이텍</t>
        </is>
      </c>
      <c r="D753" s="24" t="inlineStr">
        <is>
          <t>dbhitek</t>
        </is>
      </c>
      <c r="E753" s="24" t="inlineStr">
        <is>
          <t>000990</t>
        </is>
      </c>
      <c r="F753" s="24" t="inlineStr">
        <is>
          <t>2025</t>
        </is>
      </c>
      <c r="G753" s="24" t="inlineStr">
        <is>
          <t>CFS</t>
        </is>
      </c>
      <c r="H753" s="24" t="inlineStr">
        <is>
          <t>BS</t>
        </is>
      </c>
      <c r="I753" s="24" t="inlineStr">
        <is>
          <t>재무상태표</t>
        </is>
      </c>
      <c r="J753" s="24" t="inlineStr">
        <is>
          <t>dart_LongTermDepositsNotClassifiedAsCashEquivalents</t>
        </is>
      </c>
      <c r="K753" s="24" t="inlineStr">
        <is>
          <t>장기금융자산</t>
        </is>
      </c>
      <c r="L753" s="24" t="inlineStr">
        <is>
          <t>-</t>
        </is>
      </c>
      <c r="M753" s="24" t="inlineStr">
        <is>
          <t>제 73 기</t>
        </is>
      </c>
      <c r="N753" s="24" t="inlineStr">
        <is>
          <t>1060521551.0</t>
        </is>
      </c>
      <c r="O753" s="24" t="inlineStr">
        <is>
          <t>3000000.0</t>
        </is>
      </c>
      <c r="P753" s="24" t="inlineStr">
        <is>
          <t>KRW</t>
        </is>
      </c>
      <c r="Q753" s="24" t="inlineStr">
        <is>
          <t>20</t>
        </is>
      </c>
    </row>
    <row r="754" ht="24" customHeight="1">
      <c r="A754" s="29" t="inlineStr">
        <is>
          <t>OpenDART_fnlttSinglAcntAll</t>
        </is>
      </c>
      <c r="B754" s="29" t="inlineStr">
        <is>
          <t>00160843</t>
        </is>
      </c>
      <c r="C754" s="29" t="inlineStr">
        <is>
          <t>DB하이텍</t>
        </is>
      </c>
      <c r="D754" s="29" t="inlineStr">
        <is>
          <t>dbhitek</t>
        </is>
      </c>
      <c r="E754" s="29" t="inlineStr">
        <is>
          <t>000990</t>
        </is>
      </c>
      <c r="F754" s="29" t="inlineStr">
        <is>
          <t>2025</t>
        </is>
      </c>
      <c r="G754" s="29" t="inlineStr">
        <is>
          <t>CFS</t>
        </is>
      </c>
      <c r="H754" s="29" t="inlineStr">
        <is>
          <t>BS</t>
        </is>
      </c>
      <c r="I754" s="29" t="inlineStr">
        <is>
          <t>재무상태표</t>
        </is>
      </c>
      <c r="J754" s="29" t="inlineStr">
        <is>
          <t>-표준계정코드 미사용-</t>
        </is>
      </c>
      <c r="K754" s="29" t="inlineStr">
        <is>
          <t>당기법인세자산</t>
        </is>
      </c>
      <c r="L754" s="29" t="inlineStr">
        <is>
          <t>-</t>
        </is>
      </c>
      <c r="M754" s="29" t="inlineStr">
        <is>
          <t>제 73 기</t>
        </is>
      </c>
      <c r="N754" s="29" t="inlineStr">
        <is>
          <t>938281160.0</t>
        </is>
      </c>
      <c r="O754" s="29" t="inlineStr">
        <is>
          <t>0.0</t>
        </is>
      </c>
      <c r="P754" s="29" t="inlineStr">
        <is>
          <t>KRW</t>
        </is>
      </c>
      <c r="Q754" s="29" t="inlineStr">
        <is>
          <t>21</t>
        </is>
      </c>
    </row>
    <row r="755" ht="24" customHeight="1">
      <c r="A755" s="24" t="inlineStr">
        <is>
          <t>OpenDART_fnlttSinglAcntAll</t>
        </is>
      </c>
      <c r="B755" s="24" t="inlineStr">
        <is>
          <t>00160843</t>
        </is>
      </c>
      <c r="C755" s="24" t="inlineStr">
        <is>
          <t>DB하이텍</t>
        </is>
      </c>
      <c r="D755" s="24" t="inlineStr">
        <is>
          <t>dbhitek</t>
        </is>
      </c>
      <c r="E755" s="24" t="inlineStr">
        <is>
          <t>000990</t>
        </is>
      </c>
      <c r="F755" s="24" t="inlineStr">
        <is>
          <t>2025</t>
        </is>
      </c>
      <c r="G755" s="24" t="inlineStr">
        <is>
          <t>CFS</t>
        </is>
      </c>
      <c r="H755" s="24" t="inlineStr">
        <is>
          <t>BS</t>
        </is>
      </c>
      <c r="I755" s="24" t="inlineStr">
        <is>
          <t>재무상태표</t>
        </is>
      </c>
      <c r="J755" s="24" t="inlineStr">
        <is>
          <t>ifrs-full_DeferredTaxAssets</t>
        </is>
      </c>
      <c r="K755" s="24" t="inlineStr">
        <is>
          <t>이연법인세자산</t>
        </is>
      </c>
      <c r="L755" s="24" t="inlineStr">
        <is>
          <t>-</t>
        </is>
      </c>
      <c r="M755" s="24" t="inlineStr">
        <is>
          <t>제 73 기</t>
        </is>
      </c>
      <c r="N755" s="24" t="inlineStr">
        <is>
          <t>14504700595.0</t>
        </is>
      </c>
      <c r="O755" s="24" t="inlineStr">
        <is>
          <t>21648595427.0</t>
        </is>
      </c>
      <c r="P755" s="24" t="inlineStr">
        <is>
          <t>KRW</t>
        </is>
      </c>
      <c r="Q755" s="24" t="inlineStr">
        <is>
          <t>22</t>
        </is>
      </c>
    </row>
    <row r="756" ht="24" customHeight="1">
      <c r="A756" s="29" t="inlineStr">
        <is>
          <t>OpenDART_fnlttSinglAcntAll</t>
        </is>
      </c>
      <c r="B756" s="29" t="inlineStr">
        <is>
          <t>00160843</t>
        </is>
      </c>
      <c r="C756" s="29" t="inlineStr">
        <is>
          <t>DB하이텍</t>
        </is>
      </c>
      <c r="D756" s="29" t="inlineStr">
        <is>
          <t>dbhitek</t>
        </is>
      </c>
      <c r="E756" s="29" t="inlineStr">
        <is>
          <t>000990</t>
        </is>
      </c>
      <c r="F756" s="29" t="inlineStr">
        <is>
          <t>2025</t>
        </is>
      </c>
      <c r="G756" s="29" t="inlineStr">
        <is>
          <t>CFS</t>
        </is>
      </c>
      <c r="H756" s="29" t="inlineStr">
        <is>
          <t>BS</t>
        </is>
      </c>
      <c r="I756" s="29" t="inlineStr">
        <is>
          <t>재무상태표</t>
        </is>
      </c>
      <c r="J756" s="29" t="inlineStr">
        <is>
          <t>ifrs-full_IntangibleAssetsOtherThanGoodwill</t>
        </is>
      </c>
      <c r="K756" s="29" t="inlineStr">
        <is>
          <t>영업권 이외의 무형자산</t>
        </is>
      </c>
      <c r="L756" s="29" t="inlineStr">
        <is>
          <t>-</t>
        </is>
      </c>
      <c r="M756" s="29" t="inlineStr">
        <is>
          <t>제 73 기</t>
        </is>
      </c>
      <c r="N756" s="29" t="inlineStr">
        <is>
          <t>79562869996.0</t>
        </is>
      </c>
      <c r="O756" s="29" t="inlineStr">
        <is>
          <t>24839701375.0</t>
        </is>
      </c>
      <c r="P756" s="29" t="inlineStr">
        <is>
          <t>KRW</t>
        </is>
      </c>
      <c r="Q756" s="29" t="inlineStr">
        <is>
          <t>23</t>
        </is>
      </c>
    </row>
    <row r="757" ht="24" customHeight="1">
      <c r="A757" s="24" t="inlineStr">
        <is>
          <t>OpenDART_fnlttSinglAcntAll</t>
        </is>
      </c>
      <c r="B757" s="24" t="inlineStr">
        <is>
          <t>00160843</t>
        </is>
      </c>
      <c r="C757" s="24" t="inlineStr">
        <is>
          <t>DB하이텍</t>
        </is>
      </c>
      <c r="D757" s="24" t="inlineStr">
        <is>
          <t>dbhitek</t>
        </is>
      </c>
      <c r="E757" s="24" t="inlineStr">
        <is>
          <t>000990</t>
        </is>
      </c>
      <c r="F757" s="24" t="inlineStr">
        <is>
          <t>2025</t>
        </is>
      </c>
      <c r="G757" s="24" t="inlineStr">
        <is>
          <t>CFS</t>
        </is>
      </c>
      <c r="H757" s="24" t="inlineStr">
        <is>
          <t>BS</t>
        </is>
      </c>
      <c r="I757" s="24" t="inlineStr">
        <is>
          <t>재무상태표</t>
        </is>
      </c>
      <c r="J757" s="24" t="inlineStr">
        <is>
          <t>ifrs-full_InvestmentAccountedForUsingEquityMethod</t>
        </is>
      </c>
      <c r="K757" s="24" t="inlineStr">
        <is>
          <t>종속기업및관계기업투자</t>
        </is>
      </c>
      <c r="L757" s="24" t="inlineStr">
        <is>
          <t>-</t>
        </is>
      </c>
      <c r="M757" s="24" t="inlineStr">
        <is>
          <t>제 73 기</t>
        </is>
      </c>
      <c r="N757" s="24" t="inlineStr">
        <is>
          <t>140547716127.0</t>
        </is>
      </c>
      <c r="O757" s="24" t="inlineStr">
        <is>
          <t>3718171658.0</t>
        </is>
      </c>
      <c r="P757" s="24" t="inlineStr">
        <is>
          <t>KRW</t>
        </is>
      </c>
      <c r="Q757" s="24" t="inlineStr">
        <is>
          <t>24</t>
        </is>
      </c>
    </row>
    <row r="758" ht="24" customHeight="1">
      <c r="A758" s="29" t="inlineStr">
        <is>
          <t>OpenDART_fnlttSinglAcntAll</t>
        </is>
      </c>
      <c r="B758" s="29" t="inlineStr">
        <is>
          <t>00160843</t>
        </is>
      </c>
      <c r="C758" s="29" t="inlineStr">
        <is>
          <t>DB하이텍</t>
        </is>
      </c>
      <c r="D758" s="29" t="inlineStr">
        <is>
          <t>dbhitek</t>
        </is>
      </c>
      <c r="E758" s="29" t="inlineStr">
        <is>
          <t>000990</t>
        </is>
      </c>
      <c r="F758" s="29" t="inlineStr">
        <is>
          <t>2025</t>
        </is>
      </c>
      <c r="G758" s="29" t="inlineStr">
        <is>
          <t>CFS</t>
        </is>
      </c>
      <c r="H758" s="29" t="inlineStr">
        <is>
          <t>BS</t>
        </is>
      </c>
      <c r="I758" s="29" t="inlineStr">
        <is>
          <t>재무상태표</t>
        </is>
      </c>
      <c r="J758" s="29" t="inlineStr">
        <is>
          <t>ifrs-full_InvestmentProperty</t>
        </is>
      </c>
      <c r="K758" s="29" t="inlineStr">
        <is>
          <t>투자부동산</t>
        </is>
      </c>
      <c r="L758" s="29" t="inlineStr">
        <is>
          <t>-</t>
        </is>
      </c>
      <c r="M758" s="29" t="inlineStr">
        <is>
          <t>제 73 기</t>
        </is>
      </c>
      <c r="N758" s="29" t="inlineStr">
        <is>
          <t>17124616637.0</t>
        </is>
      </c>
      <c r="O758" s="29" t="inlineStr">
        <is>
          <t>363248659.0</t>
        </is>
      </c>
      <c r="P758" s="29" t="inlineStr">
        <is>
          <t>KRW</t>
        </is>
      </c>
      <c r="Q758" s="29" t="inlineStr">
        <is>
          <t>25</t>
        </is>
      </c>
    </row>
    <row r="759" ht="24" customHeight="1">
      <c r="A759" s="24" t="inlineStr">
        <is>
          <t>OpenDART_fnlttSinglAcntAll</t>
        </is>
      </c>
      <c r="B759" s="24" t="inlineStr">
        <is>
          <t>00160843</t>
        </is>
      </c>
      <c r="C759" s="24" t="inlineStr">
        <is>
          <t>DB하이텍</t>
        </is>
      </c>
      <c r="D759" s="24" t="inlineStr">
        <is>
          <t>dbhitek</t>
        </is>
      </c>
      <c r="E759" s="24" t="inlineStr">
        <is>
          <t>000990</t>
        </is>
      </c>
      <c r="F759" s="24" t="inlineStr">
        <is>
          <t>2025</t>
        </is>
      </c>
      <c r="G759" s="24" t="inlineStr">
        <is>
          <t>CFS</t>
        </is>
      </c>
      <c r="H759" s="24" t="inlineStr">
        <is>
          <t>BS</t>
        </is>
      </c>
      <c r="I759" s="24" t="inlineStr">
        <is>
          <t>재무상태표</t>
        </is>
      </c>
      <c r="J759" s="24" t="inlineStr">
        <is>
          <t>ifrs-full_NoncurrentInvestmentsInEquityInstrumentsDesignatedAtFairValueThroughOtherComprehensiveIncome</t>
        </is>
      </c>
      <c r="K759" s="24" t="inlineStr">
        <is>
          <t>기타포괄손익-공정가치측정금융자산</t>
        </is>
      </c>
      <c r="L759" s="24" t="inlineStr">
        <is>
          <t>-</t>
        </is>
      </c>
      <c r="M759" s="24" t="inlineStr">
        <is>
          <t>제 73 기</t>
        </is>
      </c>
      <c r="N759" s="24" t="inlineStr">
        <is>
          <t>51552312303.0</t>
        </is>
      </c>
      <c r="O759" s="24" t="inlineStr">
        <is>
          <t>4247019968.0</t>
        </is>
      </c>
      <c r="P759" s="24" t="inlineStr">
        <is>
          <t>KRW</t>
        </is>
      </c>
      <c r="Q759" s="24" t="inlineStr">
        <is>
          <t>26</t>
        </is>
      </c>
    </row>
    <row r="760" ht="24" customHeight="1">
      <c r="A760" s="29" t="inlineStr">
        <is>
          <t>OpenDART_fnlttSinglAcntAll</t>
        </is>
      </c>
      <c r="B760" s="29" t="inlineStr">
        <is>
          <t>00160843</t>
        </is>
      </c>
      <c r="C760" s="29" t="inlineStr">
        <is>
          <t>DB하이텍</t>
        </is>
      </c>
      <c r="D760" s="29" t="inlineStr">
        <is>
          <t>dbhitek</t>
        </is>
      </c>
      <c r="E760" s="29" t="inlineStr">
        <is>
          <t>000990</t>
        </is>
      </c>
      <c r="F760" s="29" t="inlineStr">
        <is>
          <t>2025</t>
        </is>
      </c>
      <c r="G760" s="29" t="inlineStr">
        <is>
          <t>CFS</t>
        </is>
      </c>
      <c r="H760" s="29" t="inlineStr">
        <is>
          <t>BS</t>
        </is>
      </c>
      <c r="I760" s="29" t="inlineStr">
        <is>
          <t>재무상태표</t>
        </is>
      </c>
      <c r="J760" s="29" t="inlineStr">
        <is>
          <t>ifrs-full_OtherNoncurrentAssets</t>
        </is>
      </c>
      <c r="K760" s="29" t="inlineStr">
        <is>
          <t>기타비유동자산</t>
        </is>
      </c>
      <c r="L760" s="29" t="inlineStr">
        <is>
          <t>-</t>
        </is>
      </c>
      <c r="M760" s="29" t="inlineStr">
        <is>
          <t>제 73 기</t>
        </is>
      </c>
      <c r="N760" s="29" t="inlineStr">
        <is>
          <t>1952247763.0</t>
        </is>
      </c>
      <c r="O760" s="29" t="inlineStr">
        <is>
          <t>2005048063.0</t>
        </is>
      </c>
      <c r="P760" s="29" t="inlineStr">
        <is>
          <t>KRW</t>
        </is>
      </c>
      <c r="Q760" s="29" t="inlineStr">
        <is>
          <t>27</t>
        </is>
      </c>
    </row>
    <row r="761" ht="24" customHeight="1">
      <c r="A761" s="24" t="inlineStr">
        <is>
          <t>OpenDART_fnlttSinglAcntAll</t>
        </is>
      </c>
      <c r="B761" s="24" t="inlineStr">
        <is>
          <t>00160843</t>
        </is>
      </c>
      <c r="C761" s="24" t="inlineStr">
        <is>
          <t>DB하이텍</t>
        </is>
      </c>
      <c r="D761" s="24" t="inlineStr">
        <is>
          <t>dbhitek</t>
        </is>
      </c>
      <c r="E761" s="24" t="inlineStr">
        <is>
          <t>000990</t>
        </is>
      </c>
      <c r="F761" s="24" t="inlineStr">
        <is>
          <t>2025</t>
        </is>
      </c>
      <c r="G761" s="24" t="inlineStr">
        <is>
          <t>CFS</t>
        </is>
      </c>
      <c r="H761" s="24" t="inlineStr">
        <is>
          <t>BS</t>
        </is>
      </c>
      <c r="I761" s="24" t="inlineStr">
        <is>
          <t>재무상태표</t>
        </is>
      </c>
      <c r="J761" s="24" t="inlineStr">
        <is>
          <t>ifrs-full_OtherNoncurrentFinancialAssets</t>
        </is>
      </c>
      <c r="K761" s="24" t="inlineStr">
        <is>
          <t>기타비유동금융자산</t>
        </is>
      </c>
      <c r="L761" s="24" t="inlineStr">
        <is>
          <t>-</t>
        </is>
      </c>
      <c r="M761" s="24" t="inlineStr">
        <is>
          <t>제 73 기</t>
        </is>
      </c>
      <c r="N761" s="24" t="inlineStr">
        <is>
          <t>11070963540.0</t>
        </is>
      </c>
      <c r="O761" s="24" t="inlineStr">
        <is>
          <t>0.0</t>
        </is>
      </c>
      <c r="P761" s="24" t="inlineStr">
        <is>
          <t>KRW</t>
        </is>
      </c>
      <c r="Q761" s="24" t="inlineStr">
        <is>
          <t>28</t>
        </is>
      </c>
    </row>
    <row r="762" ht="24" customHeight="1">
      <c r="A762" s="29" t="inlineStr">
        <is>
          <t>OpenDART_fnlttSinglAcntAll</t>
        </is>
      </c>
      <c r="B762" s="29" t="inlineStr">
        <is>
          <t>00160843</t>
        </is>
      </c>
      <c r="C762" s="29" t="inlineStr">
        <is>
          <t>DB하이텍</t>
        </is>
      </c>
      <c r="D762" s="29" t="inlineStr">
        <is>
          <t>dbhitek</t>
        </is>
      </c>
      <c r="E762" s="29" t="inlineStr">
        <is>
          <t>000990</t>
        </is>
      </c>
      <c r="F762" s="29" t="inlineStr">
        <is>
          <t>2025</t>
        </is>
      </c>
      <c r="G762" s="29" t="inlineStr">
        <is>
          <t>CFS</t>
        </is>
      </c>
      <c r="H762" s="29" t="inlineStr">
        <is>
          <t>BS</t>
        </is>
      </c>
      <c r="I762" s="29" t="inlineStr">
        <is>
          <t>재무상태표</t>
        </is>
      </c>
      <c r="J762" s="29" t="inlineStr">
        <is>
          <t>ifrs-full_OtherNoncurrentReceivables</t>
        </is>
      </c>
      <c r="K762" s="29" t="inlineStr">
        <is>
          <t>장기기타채권</t>
        </is>
      </c>
      <c r="L762" s="29" t="inlineStr">
        <is>
          <t>-</t>
        </is>
      </c>
      <c r="M762" s="29" t="inlineStr">
        <is>
          <t>제 73 기</t>
        </is>
      </c>
      <c r="N762" s="29" t="inlineStr">
        <is>
          <t>9989424529.0</t>
        </is>
      </c>
      <c r="O762" s="29" t="inlineStr">
        <is>
          <t>10246028609.0</t>
        </is>
      </c>
      <c r="P762" s="29" t="inlineStr">
        <is>
          <t>KRW</t>
        </is>
      </c>
      <c r="Q762" s="29" t="inlineStr">
        <is>
          <t>29</t>
        </is>
      </c>
    </row>
    <row r="763" ht="24" customHeight="1">
      <c r="A763" s="24" t="inlineStr">
        <is>
          <t>OpenDART_fnlttSinglAcntAll</t>
        </is>
      </c>
      <c r="B763" s="24" t="inlineStr">
        <is>
          <t>00160843</t>
        </is>
      </c>
      <c r="C763" s="24" t="inlineStr">
        <is>
          <t>DB하이텍</t>
        </is>
      </c>
      <c r="D763" s="24" t="inlineStr">
        <is>
          <t>dbhitek</t>
        </is>
      </c>
      <c r="E763" s="24" t="inlineStr">
        <is>
          <t>000990</t>
        </is>
      </c>
      <c r="F763" s="24" t="inlineStr">
        <is>
          <t>2025</t>
        </is>
      </c>
      <c r="G763" s="24" t="inlineStr">
        <is>
          <t>CFS</t>
        </is>
      </c>
      <c r="H763" s="24" t="inlineStr">
        <is>
          <t>BS</t>
        </is>
      </c>
      <c r="I763" s="24" t="inlineStr">
        <is>
          <t>재무상태표</t>
        </is>
      </c>
      <c r="J763" s="24" t="inlineStr">
        <is>
          <t>ifrs-full_PropertyPlantAndEquipment</t>
        </is>
      </c>
      <c r="K763" s="24" t="inlineStr">
        <is>
          <t>유형자산</t>
        </is>
      </c>
      <c r="L763" s="24" t="inlineStr">
        <is>
          <t>-</t>
        </is>
      </c>
      <c r="M763" s="24" t="inlineStr">
        <is>
          <t>제 73 기</t>
        </is>
      </c>
      <c r="N763" s="24" t="inlineStr">
        <is>
          <t>1228597449804.0</t>
        </is>
      </c>
      <c r="O763" s="24" t="inlineStr">
        <is>
          <t>1135410155987.0</t>
        </is>
      </c>
      <c r="P763" s="24" t="inlineStr">
        <is>
          <t>KRW</t>
        </is>
      </c>
      <c r="Q763" s="24" t="inlineStr">
        <is>
          <t>30</t>
        </is>
      </c>
    </row>
    <row r="764" ht="24" customHeight="1">
      <c r="A764" s="29" t="inlineStr">
        <is>
          <t>OpenDART_fnlttSinglAcntAll</t>
        </is>
      </c>
      <c r="B764" s="29" t="inlineStr">
        <is>
          <t>00160843</t>
        </is>
      </c>
      <c r="C764" s="29" t="inlineStr">
        <is>
          <t>DB하이텍</t>
        </is>
      </c>
      <c r="D764" s="29" t="inlineStr">
        <is>
          <t>dbhitek</t>
        </is>
      </c>
      <c r="E764" s="29" t="inlineStr">
        <is>
          <t>000990</t>
        </is>
      </c>
      <c r="F764" s="29" t="inlineStr">
        <is>
          <t>2025</t>
        </is>
      </c>
      <c r="G764" s="29" t="inlineStr">
        <is>
          <t>CFS</t>
        </is>
      </c>
      <c r="H764" s="29" t="inlineStr">
        <is>
          <t>BS</t>
        </is>
      </c>
      <c r="I764" s="29" t="inlineStr">
        <is>
          <t>재무상태표</t>
        </is>
      </c>
      <c r="J764" s="29" t="inlineStr">
        <is>
          <t>ifrs-full_Equity</t>
        </is>
      </c>
      <c r="K764" s="29" t="inlineStr">
        <is>
          <t>자본총계</t>
        </is>
      </c>
      <c r="L764" s="29" t="inlineStr">
        <is>
          <t>-</t>
        </is>
      </c>
      <c r="M764" s="29" t="inlineStr">
        <is>
          <t>제 73 기</t>
        </is>
      </c>
      <c r="N764" s="29" t="inlineStr">
        <is>
          <t>2243995457046.0</t>
        </is>
      </c>
      <c r="O764" s="29" t="inlineStr">
        <is>
          <t>2000688804317.0</t>
        </is>
      </c>
      <c r="P764" s="29" t="inlineStr">
        <is>
          <t>KRW</t>
        </is>
      </c>
      <c r="Q764" s="29" t="inlineStr">
        <is>
          <t>32</t>
        </is>
      </c>
    </row>
    <row r="765" ht="24" customHeight="1">
      <c r="A765" s="24" t="inlineStr">
        <is>
          <t>OpenDART_fnlttSinglAcntAll</t>
        </is>
      </c>
      <c r="B765" s="24" t="inlineStr">
        <is>
          <t>00160843</t>
        </is>
      </c>
      <c r="C765" s="24" t="inlineStr">
        <is>
          <t>DB하이텍</t>
        </is>
      </c>
      <c r="D765" s="24" t="inlineStr">
        <is>
          <t>dbhitek</t>
        </is>
      </c>
      <c r="E765" s="24" t="inlineStr">
        <is>
          <t>000990</t>
        </is>
      </c>
      <c r="F765" s="24" t="inlineStr">
        <is>
          <t>2025</t>
        </is>
      </c>
      <c r="G765" s="24" t="inlineStr">
        <is>
          <t>CFS</t>
        </is>
      </c>
      <c r="H765" s="24" t="inlineStr">
        <is>
          <t>BS</t>
        </is>
      </c>
      <c r="I765" s="24" t="inlineStr">
        <is>
          <t>재무상태표</t>
        </is>
      </c>
      <c r="J765" s="24" t="inlineStr">
        <is>
          <t>ifrs-full_EquityAttributableToOwnersOfParent</t>
        </is>
      </c>
      <c r="K765" s="24" t="inlineStr">
        <is>
          <t>지배기업의 소유주에게 귀속되는 자본</t>
        </is>
      </c>
      <c r="L765" s="24" t="inlineStr">
        <is>
          <t>-</t>
        </is>
      </c>
      <c r="M765" s="24" t="inlineStr">
        <is>
          <t>제 73 기</t>
        </is>
      </c>
      <c r="N765" s="24" t="inlineStr">
        <is>
          <t>2142364349472.0</t>
        </is>
      </c>
      <c r="O765" s="24" t="inlineStr">
        <is>
          <t>1949982258640.0</t>
        </is>
      </c>
      <c r="P765" s="24" t="inlineStr">
        <is>
          <t>KRW</t>
        </is>
      </c>
      <c r="Q765" s="24" t="inlineStr">
        <is>
          <t>33</t>
        </is>
      </c>
    </row>
    <row r="766" ht="24" customHeight="1">
      <c r="A766" s="29" t="inlineStr">
        <is>
          <t>OpenDART_fnlttSinglAcntAll</t>
        </is>
      </c>
      <c r="B766" s="29" t="inlineStr">
        <is>
          <t>00160843</t>
        </is>
      </c>
      <c r="C766" s="29" t="inlineStr">
        <is>
          <t>DB하이텍</t>
        </is>
      </c>
      <c r="D766" s="29" t="inlineStr">
        <is>
          <t>dbhitek</t>
        </is>
      </c>
      <c r="E766" s="29" t="inlineStr">
        <is>
          <t>000990</t>
        </is>
      </c>
      <c r="F766" s="29" t="inlineStr">
        <is>
          <t>2025</t>
        </is>
      </c>
      <c r="G766" s="29" t="inlineStr">
        <is>
          <t>CFS</t>
        </is>
      </c>
      <c r="H766" s="29" t="inlineStr">
        <is>
          <t>BS</t>
        </is>
      </c>
      <c r="I766" s="29" t="inlineStr">
        <is>
          <t>재무상태표</t>
        </is>
      </c>
      <c r="J766" s="29" t="inlineStr">
        <is>
          <t>dart_ElementsOfOtherStockholdersEquity</t>
        </is>
      </c>
      <c r="K766" s="29" t="inlineStr">
        <is>
          <t>기타자본구성요소</t>
        </is>
      </c>
      <c r="L766" s="29" t="inlineStr">
        <is>
          <t>-</t>
        </is>
      </c>
      <c r="M766" s="29" t="inlineStr">
        <is>
          <t>제 73 기</t>
        </is>
      </c>
      <c r="N766" s="29" t="inlineStr">
        <is>
          <t>-133939404667.0</t>
        </is>
      </c>
      <c r="O766" s="29" t="inlineStr">
        <is>
          <t>-163336720157.0</t>
        </is>
      </c>
      <c r="P766" s="29" t="inlineStr">
        <is>
          <t>KRW</t>
        </is>
      </c>
      <c r="Q766" s="29" t="inlineStr">
        <is>
          <t>34</t>
        </is>
      </c>
    </row>
    <row r="767" ht="24" customHeight="1">
      <c r="A767" s="24" t="inlineStr">
        <is>
          <t>OpenDART_fnlttSinglAcntAll</t>
        </is>
      </c>
      <c r="B767" s="24" t="inlineStr">
        <is>
          <t>00160843</t>
        </is>
      </c>
      <c r="C767" s="24" t="inlineStr">
        <is>
          <t>DB하이텍</t>
        </is>
      </c>
      <c r="D767" s="24" t="inlineStr">
        <is>
          <t>dbhitek</t>
        </is>
      </c>
      <c r="E767" s="24" t="inlineStr">
        <is>
          <t>000990</t>
        </is>
      </c>
      <c r="F767" s="24" t="inlineStr">
        <is>
          <t>2025</t>
        </is>
      </c>
      <c r="G767" s="24" t="inlineStr">
        <is>
          <t>CFS</t>
        </is>
      </c>
      <c r="H767" s="24" t="inlineStr">
        <is>
          <t>BS</t>
        </is>
      </c>
      <c r="I767" s="24" t="inlineStr">
        <is>
          <t>재무상태표</t>
        </is>
      </c>
      <c r="J767" s="24" t="inlineStr">
        <is>
          <t>ifrs-full_IssuedCapital</t>
        </is>
      </c>
      <c r="K767" s="24" t="inlineStr">
        <is>
          <t>자본금</t>
        </is>
      </c>
      <c r="L767" s="24" t="inlineStr">
        <is>
          <t>-</t>
        </is>
      </c>
      <c r="M767" s="24" t="inlineStr">
        <is>
          <t>제 73 기</t>
        </is>
      </c>
      <c r="N767" s="24" t="inlineStr">
        <is>
          <t>222555835000.0</t>
        </is>
      </c>
      <c r="O767" s="24" t="inlineStr">
        <is>
          <t>222555835000.0</t>
        </is>
      </c>
      <c r="P767" s="24" t="inlineStr">
        <is>
          <t>KRW</t>
        </is>
      </c>
      <c r="Q767" s="24" t="inlineStr">
        <is>
          <t>35</t>
        </is>
      </c>
    </row>
    <row r="768" ht="24" customHeight="1">
      <c r="A768" s="29" t="inlineStr">
        <is>
          <t>OpenDART_fnlttSinglAcntAll</t>
        </is>
      </c>
      <c r="B768" s="29" t="inlineStr">
        <is>
          <t>00160843</t>
        </is>
      </c>
      <c r="C768" s="29" t="inlineStr">
        <is>
          <t>DB하이텍</t>
        </is>
      </c>
      <c r="D768" s="29" t="inlineStr">
        <is>
          <t>dbhitek</t>
        </is>
      </c>
      <c r="E768" s="29" t="inlineStr">
        <is>
          <t>000990</t>
        </is>
      </c>
      <c r="F768" s="29" t="inlineStr">
        <is>
          <t>2025</t>
        </is>
      </c>
      <c r="G768" s="29" t="inlineStr">
        <is>
          <t>CFS</t>
        </is>
      </c>
      <c r="H768" s="29" t="inlineStr">
        <is>
          <t>BS</t>
        </is>
      </c>
      <c r="I768" s="29" t="inlineStr">
        <is>
          <t>재무상태표</t>
        </is>
      </c>
      <c r="J768" s="29" t="inlineStr">
        <is>
          <t>ifrs-full_RetainedEarnings</t>
        </is>
      </c>
      <c r="K768" s="29" t="inlineStr">
        <is>
          <t>이익잉여금(결손금)</t>
        </is>
      </c>
      <c r="L768" s="29" t="inlineStr">
        <is>
          <t>-</t>
        </is>
      </c>
      <c r="M768" s="29" t="inlineStr">
        <is>
          <t>제 73 기</t>
        </is>
      </c>
      <c r="N768" s="29" t="inlineStr">
        <is>
          <t>1926419642845.0</t>
        </is>
      </c>
      <c r="O768" s="29" t="inlineStr">
        <is>
          <t>1763434867503.0</t>
        </is>
      </c>
      <c r="P768" s="29" t="inlineStr">
        <is>
          <t>KRW</t>
        </is>
      </c>
      <c r="Q768" s="29" t="inlineStr">
        <is>
          <t>36</t>
        </is>
      </c>
    </row>
    <row r="769" ht="24" customHeight="1">
      <c r="A769" s="24" t="inlineStr">
        <is>
          <t>OpenDART_fnlttSinglAcntAll</t>
        </is>
      </c>
      <c r="B769" s="24" t="inlineStr">
        <is>
          <t>00160843</t>
        </is>
      </c>
      <c r="C769" s="24" t="inlineStr">
        <is>
          <t>DB하이텍</t>
        </is>
      </c>
      <c r="D769" s="24" t="inlineStr">
        <is>
          <t>dbhitek</t>
        </is>
      </c>
      <c r="E769" s="24" t="inlineStr">
        <is>
          <t>000990</t>
        </is>
      </c>
      <c r="F769" s="24" t="inlineStr">
        <is>
          <t>2025</t>
        </is>
      </c>
      <c r="G769" s="24" t="inlineStr">
        <is>
          <t>CFS</t>
        </is>
      </c>
      <c r="H769" s="24" t="inlineStr">
        <is>
          <t>BS</t>
        </is>
      </c>
      <c r="I769" s="24" t="inlineStr">
        <is>
          <t>재무상태표</t>
        </is>
      </c>
      <c r="J769" s="24" t="inlineStr">
        <is>
          <t>ifrs-full_SharePremium</t>
        </is>
      </c>
      <c r="K769" s="24" t="inlineStr">
        <is>
          <t>주식발행초과금</t>
        </is>
      </c>
      <c r="L769" s="24" t="inlineStr">
        <is>
          <t>-</t>
        </is>
      </c>
      <c r="M769" s="24" t="inlineStr">
        <is>
          <t>제 73 기</t>
        </is>
      </c>
      <c r="N769" s="24" t="inlineStr">
        <is>
          <t>127328276294.0</t>
        </is>
      </c>
      <c r="O769" s="24" t="inlineStr">
        <is>
          <t>127328276294.0</t>
        </is>
      </c>
      <c r="P769" s="24" t="inlineStr">
        <is>
          <t>KRW</t>
        </is>
      </c>
      <c r="Q769" s="24" t="inlineStr">
        <is>
          <t>37</t>
        </is>
      </c>
    </row>
    <row r="770" ht="24" customHeight="1">
      <c r="A770" s="29" t="inlineStr">
        <is>
          <t>OpenDART_fnlttSinglAcntAll</t>
        </is>
      </c>
      <c r="B770" s="29" t="inlineStr">
        <is>
          <t>00160843</t>
        </is>
      </c>
      <c r="C770" s="29" t="inlineStr">
        <is>
          <t>DB하이텍</t>
        </is>
      </c>
      <c r="D770" s="29" t="inlineStr">
        <is>
          <t>dbhitek</t>
        </is>
      </c>
      <c r="E770" s="29" t="inlineStr">
        <is>
          <t>000990</t>
        </is>
      </c>
      <c r="F770" s="29" t="inlineStr">
        <is>
          <t>2025</t>
        </is>
      </c>
      <c r="G770" s="29" t="inlineStr">
        <is>
          <t>CFS</t>
        </is>
      </c>
      <c r="H770" s="29" t="inlineStr">
        <is>
          <t>BS</t>
        </is>
      </c>
      <c r="I770" s="29" t="inlineStr">
        <is>
          <t>재무상태표</t>
        </is>
      </c>
      <c r="J770" s="29" t="inlineStr">
        <is>
          <t>ifrs-full_NoncontrollingInterests</t>
        </is>
      </c>
      <c r="K770" s="29" t="inlineStr">
        <is>
          <t>비지배지분</t>
        </is>
      </c>
      <c r="L770" s="29" t="inlineStr">
        <is>
          <t>-</t>
        </is>
      </c>
      <c r="M770" s="29" t="inlineStr">
        <is>
          <t>제 73 기</t>
        </is>
      </c>
      <c r="N770" s="29" t="inlineStr">
        <is>
          <t>101631107574.0</t>
        </is>
      </c>
      <c r="O770" s="29" t="inlineStr">
        <is>
          <t>50706545677.0</t>
        </is>
      </c>
      <c r="P770" s="29" t="inlineStr">
        <is>
          <t>KRW</t>
        </is>
      </c>
      <c r="Q770" s="29" t="inlineStr">
        <is>
          <t>38</t>
        </is>
      </c>
    </row>
    <row r="771" ht="24" customHeight="1">
      <c r="A771" s="24" t="inlineStr">
        <is>
          <t>OpenDART_fnlttSinglAcntAll</t>
        </is>
      </c>
      <c r="B771" s="24" t="inlineStr">
        <is>
          <t>00160843</t>
        </is>
      </c>
      <c r="C771" s="24" t="inlineStr">
        <is>
          <t>DB하이텍</t>
        </is>
      </c>
      <c r="D771" s="24" t="inlineStr">
        <is>
          <t>dbhitek</t>
        </is>
      </c>
      <c r="E771" s="24" t="inlineStr">
        <is>
          <t>000990</t>
        </is>
      </c>
      <c r="F771" s="24" t="inlineStr">
        <is>
          <t>2025</t>
        </is>
      </c>
      <c r="G771" s="24" t="inlineStr">
        <is>
          <t>CFS</t>
        </is>
      </c>
      <c r="H771" s="24" t="inlineStr">
        <is>
          <t>BS</t>
        </is>
      </c>
      <c r="I771" s="24" t="inlineStr">
        <is>
          <t>재무상태표</t>
        </is>
      </c>
      <c r="J771" s="24" t="inlineStr">
        <is>
          <t>ifrs-full_EquityAndLiabilities</t>
        </is>
      </c>
      <c r="K771" s="24" t="inlineStr">
        <is>
          <t>자본과부채총계</t>
        </is>
      </c>
      <c r="L771" s="24" t="inlineStr">
        <is>
          <t>-</t>
        </is>
      </c>
      <c r="M771" s="24" t="inlineStr">
        <is>
          <t>제 73 기</t>
        </is>
      </c>
      <c r="N771" s="24" t="inlineStr">
        <is>
          <t>2992581747645.0</t>
        </is>
      </c>
      <c r="O771" s="24" t="inlineStr">
        <is>
          <t>2396851168578.0</t>
        </is>
      </c>
      <c r="P771" s="24" t="inlineStr">
        <is>
          <t>KRW</t>
        </is>
      </c>
      <c r="Q771" s="24" t="inlineStr">
        <is>
          <t>39</t>
        </is>
      </c>
    </row>
    <row r="772" ht="24" customHeight="1">
      <c r="A772" s="29" t="inlineStr">
        <is>
          <t>OpenDART_fnlttSinglAcntAll</t>
        </is>
      </c>
      <c r="B772" s="29" t="inlineStr">
        <is>
          <t>00160843</t>
        </is>
      </c>
      <c r="C772" s="29" t="inlineStr">
        <is>
          <t>DB하이텍</t>
        </is>
      </c>
      <c r="D772" s="29" t="inlineStr">
        <is>
          <t>dbhitek</t>
        </is>
      </c>
      <c r="E772" s="29" t="inlineStr">
        <is>
          <t>000990</t>
        </is>
      </c>
      <c r="F772" s="29" t="inlineStr">
        <is>
          <t>2025</t>
        </is>
      </c>
      <c r="G772" s="29" t="inlineStr">
        <is>
          <t>CFS</t>
        </is>
      </c>
      <c r="H772" s="29" t="inlineStr">
        <is>
          <t>BS</t>
        </is>
      </c>
      <c r="I772" s="29" t="inlineStr">
        <is>
          <t>재무상태표</t>
        </is>
      </c>
      <c r="J772" s="29" t="inlineStr">
        <is>
          <t>ifrs-full_CurrentLiabilities</t>
        </is>
      </c>
      <c r="K772" s="29" t="inlineStr">
        <is>
          <t>유동부채</t>
        </is>
      </c>
      <c r="L772" s="29" t="inlineStr">
        <is>
          <t>-</t>
        </is>
      </c>
      <c r="M772" s="29" t="inlineStr">
        <is>
          <t>제 73 기</t>
        </is>
      </c>
      <c r="N772" s="29" t="inlineStr">
        <is>
          <t>579178189189.0</t>
        </is>
      </c>
      <c r="O772" s="29" t="inlineStr">
        <is>
          <t>316866668877.0</t>
        </is>
      </c>
      <c r="P772" s="29" t="inlineStr">
        <is>
          <t>KRW</t>
        </is>
      </c>
      <c r="Q772" s="29" t="inlineStr">
        <is>
          <t>41</t>
        </is>
      </c>
    </row>
    <row r="773" ht="24" customHeight="1">
      <c r="A773" s="24" t="inlineStr">
        <is>
          <t>OpenDART_fnlttSinglAcntAll</t>
        </is>
      </c>
      <c r="B773" s="24" t="inlineStr">
        <is>
          <t>00160843</t>
        </is>
      </c>
      <c r="C773" s="24" t="inlineStr">
        <is>
          <t>DB하이텍</t>
        </is>
      </c>
      <c r="D773" s="24" t="inlineStr">
        <is>
          <t>dbhitek</t>
        </is>
      </c>
      <c r="E773" s="24" t="inlineStr">
        <is>
          <t>000990</t>
        </is>
      </c>
      <c r="F773" s="24" t="inlineStr">
        <is>
          <t>2025</t>
        </is>
      </c>
      <c r="G773" s="24" t="inlineStr">
        <is>
          <t>CFS</t>
        </is>
      </c>
      <c r="H773" s="24" t="inlineStr">
        <is>
          <t>BS</t>
        </is>
      </c>
      <c r="I773" s="24" t="inlineStr">
        <is>
          <t>재무상태표</t>
        </is>
      </c>
      <c r="J773" s="24" t="inlineStr">
        <is>
          <t>dart_CurrentNontradePayables</t>
        </is>
      </c>
      <c r="K773" s="24" t="inlineStr">
        <is>
          <t>기타지급채무</t>
        </is>
      </c>
      <c r="L773" s="24" t="inlineStr">
        <is>
          <t>-</t>
        </is>
      </c>
      <c r="M773" s="24" t="inlineStr">
        <is>
          <t>제 73 기</t>
        </is>
      </c>
      <c r="N773" s="24" t="inlineStr">
        <is>
          <t>125584983723.0</t>
        </is>
      </c>
      <c r="O773" s="24" t="inlineStr">
        <is>
          <t>92102835096.0</t>
        </is>
      </c>
      <c r="P773" s="24" t="inlineStr">
        <is>
          <t>KRW</t>
        </is>
      </c>
      <c r="Q773" s="24" t="inlineStr">
        <is>
          <t>42</t>
        </is>
      </c>
    </row>
    <row r="774" ht="24" customHeight="1">
      <c r="A774" s="29" t="inlineStr">
        <is>
          <t>OpenDART_fnlttSinglAcntAll</t>
        </is>
      </c>
      <c r="B774" s="29" t="inlineStr">
        <is>
          <t>00160843</t>
        </is>
      </c>
      <c r="C774" s="29" t="inlineStr">
        <is>
          <t>DB하이텍</t>
        </is>
      </c>
      <c r="D774" s="29" t="inlineStr">
        <is>
          <t>dbhitek</t>
        </is>
      </c>
      <c r="E774" s="29" t="inlineStr">
        <is>
          <t>000990</t>
        </is>
      </c>
      <c r="F774" s="29" t="inlineStr">
        <is>
          <t>2025</t>
        </is>
      </c>
      <c r="G774" s="29" t="inlineStr">
        <is>
          <t>CFS</t>
        </is>
      </c>
      <c r="H774" s="29" t="inlineStr">
        <is>
          <t>BS</t>
        </is>
      </c>
      <c r="I774" s="29" t="inlineStr">
        <is>
          <t>재무상태표</t>
        </is>
      </c>
      <c r="J774" s="29" t="inlineStr">
        <is>
          <t>dart_ShortTermTradePayables</t>
        </is>
      </c>
      <c r="K774" s="29" t="inlineStr">
        <is>
          <t>단기매입채무</t>
        </is>
      </c>
      <c r="L774" s="29" t="inlineStr">
        <is>
          <t>-</t>
        </is>
      </c>
      <c r="M774" s="29" t="inlineStr">
        <is>
          <t>제 73 기</t>
        </is>
      </c>
      <c r="N774" s="29" t="inlineStr">
        <is>
          <t>85435063233.0</t>
        </is>
      </c>
      <c r="O774" s="29" t="inlineStr">
        <is>
          <t>45031082721.0</t>
        </is>
      </c>
      <c r="P774" s="29" t="inlineStr">
        <is>
          <t>KRW</t>
        </is>
      </c>
      <c r="Q774" s="29" t="inlineStr">
        <is>
          <t>43</t>
        </is>
      </c>
    </row>
    <row r="775" ht="24" customHeight="1">
      <c r="A775" s="24" t="inlineStr">
        <is>
          <t>OpenDART_fnlttSinglAcntAll</t>
        </is>
      </c>
      <c r="B775" s="24" t="inlineStr">
        <is>
          <t>00160843</t>
        </is>
      </c>
      <c r="C775" s="24" t="inlineStr">
        <is>
          <t>DB하이텍</t>
        </is>
      </c>
      <c r="D775" s="24" t="inlineStr">
        <is>
          <t>dbhitek</t>
        </is>
      </c>
      <c r="E775" s="24" t="inlineStr">
        <is>
          <t>000990</t>
        </is>
      </c>
      <c r="F775" s="24" t="inlineStr">
        <is>
          <t>2025</t>
        </is>
      </c>
      <c r="G775" s="24" t="inlineStr">
        <is>
          <t>CFS</t>
        </is>
      </c>
      <c r="H775" s="24" t="inlineStr">
        <is>
          <t>BS</t>
        </is>
      </c>
      <c r="I775" s="24" t="inlineStr">
        <is>
          <t>재무상태표</t>
        </is>
      </c>
      <c r="J775" s="24" t="inlineStr">
        <is>
          <t>ifrs-full_CurrentPortionOfLongtermBorrowings</t>
        </is>
      </c>
      <c r="K775" s="24" t="inlineStr">
        <is>
          <t>유동성장기차입금</t>
        </is>
      </c>
      <c r="L775" s="24" t="inlineStr">
        <is>
          <t>-</t>
        </is>
      </c>
      <c r="M775" s="24" t="inlineStr">
        <is>
          <t>제 73 기</t>
        </is>
      </c>
      <c r="N775" s="24" t="inlineStr">
        <is>
          <t>21636275167.0</t>
        </is>
      </c>
      <c r="O775" s="24" t="inlineStr">
        <is>
          <t>19833320000.0</t>
        </is>
      </c>
      <c r="P775" s="24" t="inlineStr">
        <is>
          <t>KRW</t>
        </is>
      </c>
      <c r="Q775" s="24" t="inlineStr">
        <is>
          <t>44</t>
        </is>
      </c>
    </row>
    <row r="776" ht="24" customHeight="1">
      <c r="A776" s="29" t="inlineStr">
        <is>
          <t>OpenDART_fnlttSinglAcntAll</t>
        </is>
      </c>
      <c r="B776" s="29" t="inlineStr">
        <is>
          <t>00160843</t>
        </is>
      </c>
      <c r="C776" s="29" t="inlineStr">
        <is>
          <t>DB하이텍</t>
        </is>
      </c>
      <c r="D776" s="29" t="inlineStr">
        <is>
          <t>dbhitek</t>
        </is>
      </c>
      <c r="E776" s="29" t="inlineStr">
        <is>
          <t>000990</t>
        </is>
      </c>
      <c r="F776" s="29" t="inlineStr">
        <is>
          <t>2025</t>
        </is>
      </c>
      <c r="G776" s="29" t="inlineStr">
        <is>
          <t>CFS</t>
        </is>
      </c>
      <c r="H776" s="29" t="inlineStr">
        <is>
          <t>BS</t>
        </is>
      </c>
      <c r="I776" s="29" t="inlineStr">
        <is>
          <t>재무상태표</t>
        </is>
      </c>
      <c r="J776" s="29" t="inlineStr">
        <is>
          <t>ifrs-full_CurrentProvisions</t>
        </is>
      </c>
      <c r="K776" s="29" t="inlineStr">
        <is>
          <t>충당부채</t>
        </is>
      </c>
      <c r="L776" s="29" t="inlineStr">
        <is>
          <t>-</t>
        </is>
      </c>
      <c r="M776" s="29" t="inlineStr">
        <is>
          <t>제 73 기</t>
        </is>
      </c>
      <c r="N776" s="29" t="inlineStr">
        <is>
          <t>2604958214.0</t>
        </is>
      </c>
      <c r="O776" s="29" t="inlineStr">
        <is>
          <t>2583543400.0</t>
        </is>
      </c>
      <c r="P776" s="29" t="inlineStr">
        <is>
          <t>KRW</t>
        </is>
      </c>
      <c r="Q776" s="29" t="inlineStr">
        <is>
          <t>45</t>
        </is>
      </c>
    </row>
    <row r="777" ht="24" customHeight="1">
      <c r="A777" s="24" t="inlineStr">
        <is>
          <t>OpenDART_fnlttSinglAcntAll</t>
        </is>
      </c>
      <c r="B777" s="24" t="inlineStr">
        <is>
          <t>00160843</t>
        </is>
      </c>
      <c r="C777" s="24" t="inlineStr">
        <is>
          <t>DB하이텍</t>
        </is>
      </c>
      <c r="D777" s="24" t="inlineStr">
        <is>
          <t>dbhitek</t>
        </is>
      </c>
      <c r="E777" s="24" t="inlineStr">
        <is>
          <t>000990</t>
        </is>
      </c>
      <c r="F777" s="24" t="inlineStr">
        <is>
          <t>2025</t>
        </is>
      </c>
      <c r="G777" s="24" t="inlineStr">
        <is>
          <t>CFS</t>
        </is>
      </c>
      <c r="H777" s="24" t="inlineStr">
        <is>
          <t>BS</t>
        </is>
      </c>
      <c r="I777" s="24" t="inlineStr">
        <is>
          <t>재무상태표</t>
        </is>
      </c>
      <c r="J777" s="24" t="inlineStr">
        <is>
          <t>ifrs-full_CurrentTaxLiabilities</t>
        </is>
      </c>
      <c r="K777" s="24" t="inlineStr">
        <is>
          <t>당기법인세부채</t>
        </is>
      </c>
      <c r="L777" s="24" t="inlineStr">
        <is>
          <t>-</t>
        </is>
      </c>
      <c r="M777" s="24" t="inlineStr">
        <is>
          <t>제 73 기</t>
        </is>
      </c>
      <c r="N777" s="24" t="inlineStr">
        <is>
          <t>44411842978.0</t>
        </is>
      </c>
      <c r="O777" s="24" t="inlineStr">
        <is>
          <t>27349620191.0</t>
        </is>
      </c>
      <c r="P777" s="24" t="inlineStr">
        <is>
          <t>KRW</t>
        </is>
      </c>
      <c r="Q777" s="24" t="inlineStr">
        <is>
          <t>46</t>
        </is>
      </c>
    </row>
    <row r="778" ht="24" customHeight="1">
      <c r="A778" s="29" t="inlineStr">
        <is>
          <t>OpenDART_fnlttSinglAcntAll</t>
        </is>
      </c>
      <c r="B778" s="29" t="inlineStr">
        <is>
          <t>00160843</t>
        </is>
      </c>
      <c r="C778" s="29" t="inlineStr">
        <is>
          <t>DB하이텍</t>
        </is>
      </c>
      <c r="D778" s="29" t="inlineStr">
        <is>
          <t>dbhitek</t>
        </is>
      </c>
      <c r="E778" s="29" t="inlineStr">
        <is>
          <t>000990</t>
        </is>
      </c>
      <c r="F778" s="29" t="inlineStr">
        <is>
          <t>2025</t>
        </is>
      </c>
      <c r="G778" s="29" t="inlineStr">
        <is>
          <t>CFS</t>
        </is>
      </c>
      <c r="H778" s="29" t="inlineStr">
        <is>
          <t>BS</t>
        </is>
      </c>
      <c r="I778" s="29" t="inlineStr">
        <is>
          <t>재무상태표</t>
        </is>
      </c>
      <c r="J778" s="29" t="inlineStr">
        <is>
          <t>ifrs-full_OtherCurrentFinancialLiabilities</t>
        </is>
      </c>
      <c r="K778" s="29" t="inlineStr">
        <is>
          <t>기타금융부채</t>
        </is>
      </c>
      <c r="L778" s="29" t="inlineStr">
        <is>
          <t>-</t>
        </is>
      </c>
      <c r="M778" s="29" t="inlineStr">
        <is>
          <t>제 73 기</t>
        </is>
      </c>
      <c r="N778" s="29" t="inlineStr">
        <is>
          <t>7080653516.0</t>
        </is>
      </c>
      <c r="O778" s="29" t="inlineStr">
        <is>
          <t>6552734967.0</t>
        </is>
      </c>
      <c r="P778" s="29" t="inlineStr">
        <is>
          <t>KRW</t>
        </is>
      </c>
      <c r="Q778" s="29" t="inlineStr">
        <is>
          <t>47</t>
        </is>
      </c>
    </row>
    <row r="779" ht="24" customHeight="1">
      <c r="A779" s="24" t="inlineStr">
        <is>
          <t>OpenDART_fnlttSinglAcntAll</t>
        </is>
      </c>
      <c r="B779" s="24" t="inlineStr">
        <is>
          <t>00160843</t>
        </is>
      </c>
      <c r="C779" s="24" t="inlineStr">
        <is>
          <t>DB하이텍</t>
        </is>
      </c>
      <c r="D779" s="24" t="inlineStr">
        <is>
          <t>dbhitek</t>
        </is>
      </c>
      <c r="E779" s="24" t="inlineStr">
        <is>
          <t>000990</t>
        </is>
      </c>
      <c r="F779" s="24" t="inlineStr">
        <is>
          <t>2025</t>
        </is>
      </c>
      <c r="G779" s="24" t="inlineStr">
        <is>
          <t>CFS</t>
        </is>
      </c>
      <c r="H779" s="24" t="inlineStr">
        <is>
          <t>BS</t>
        </is>
      </c>
      <c r="I779" s="24" t="inlineStr">
        <is>
          <t>재무상태표</t>
        </is>
      </c>
      <c r="J779" s="24" t="inlineStr">
        <is>
          <t>ifrs-full_OtherCurrentLiabilities</t>
        </is>
      </c>
      <c r="K779" s="24" t="inlineStr">
        <is>
          <t>기타 유동부채</t>
        </is>
      </c>
      <c r="L779" s="24" t="inlineStr">
        <is>
          <t>-</t>
        </is>
      </c>
      <c r="M779" s="24" t="inlineStr">
        <is>
          <t>제 73 기</t>
        </is>
      </c>
      <c r="N779" s="24" t="inlineStr">
        <is>
          <t>60745886975.0</t>
        </is>
      </c>
      <c r="O779" s="24" t="inlineStr">
        <is>
          <t>32926801359.0</t>
        </is>
      </c>
      <c r="P779" s="24" t="inlineStr">
        <is>
          <t>KRW</t>
        </is>
      </c>
      <c r="Q779" s="24" t="inlineStr">
        <is>
          <t>48</t>
        </is>
      </c>
    </row>
    <row r="780" ht="24" customHeight="1">
      <c r="A780" s="29" t="inlineStr">
        <is>
          <t>OpenDART_fnlttSinglAcntAll</t>
        </is>
      </c>
      <c r="B780" s="29" t="inlineStr">
        <is>
          <t>00160843</t>
        </is>
      </c>
      <c r="C780" s="29" t="inlineStr">
        <is>
          <t>DB하이텍</t>
        </is>
      </c>
      <c r="D780" s="29" t="inlineStr">
        <is>
          <t>dbhitek</t>
        </is>
      </c>
      <c r="E780" s="29" t="inlineStr">
        <is>
          <t>000990</t>
        </is>
      </c>
      <c r="F780" s="29" t="inlineStr">
        <is>
          <t>2025</t>
        </is>
      </c>
      <c r="G780" s="29" t="inlineStr">
        <is>
          <t>CFS</t>
        </is>
      </c>
      <c r="H780" s="29" t="inlineStr">
        <is>
          <t>BS</t>
        </is>
      </c>
      <c r="I780" s="29" t="inlineStr">
        <is>
          <t>재무상태표</t>
        </is>
      </c>
      <c r="J780" s="29" t="inlineStr">
        <is>
          <t>ifrs-full_ShorttermBorrowings</t>
        </is>
      </c>
      <c r="K780" s="29" t="inlineStr">
        <is>
          <t>단기차입금</t>
        </is>
      </c>
      <c r="L780" s="29" t="inlineStr">
        <is>
          <t>-</t>
        </is>
      </c>
      <c r="M780" s="29" t="inlineStr">
        <is>
          <t>제 73 기</t>
        </is>
      </c>
      <c r="N780" s="29" t="inlineStr">
        <is>
          <t>231678525383.0</t>
        </is>
      </c>
      <c r="O780" s="29" t="inlineStr">
        <is>
          <t>90486731143.0</t>
        </is>
      </c>
      <c r="P780" s="29" t="inlineStr">
        <is>
          <t>KRW</t>
        </is>
      </c>
      <c r="Q780" s="29" t="inlineStr">
        <is>
          <t>49</t>
        </is>
      </c>
    </row>
    <row r="781" ht="24" customHeight="1">
      <c r="A781" s="24" t="inlineStr">
        <is>
          <t>OpenDART_fnlttSinglAcntAll</t>
        </is>
      </c>
      <c r="B781" s="24" t="inlineStr">
        <is>
          <t>00160843</t>
        </is>
      </c>
      <c r="C781" s="24" t="inlineStr">
        <is>
          <t>DB하이텍</t>
        </is>
      </c>
      <c r="D781" s="24" t="inlineStr">
        <is>
          <t>dbhitek</t>
        </is>
      </c>
      <c r="E781" s="24" t="inlineStr">
        <is>
          <t>000990</t>
        </is>
      </c>
      <c r="F781" s="24" t="inlineStr">
        <is>
          <t>2025</t>
        </is>
      </c>
      <c r="G781" s="24" t="inlineStr">
        <is>
          <t>CFS</t>
        </is>
      </c>
      <c r="H781" s="24" t="inlineStr">
        <is>
          <t>BS</t>
        </is>
      </c>
      <c r="I781" s="24" t="inlineStr">
        <is>
          <t>재무상태표</t>
        </is>
      </c>
      <c r="J781" s="24" t="inlineStr">
        <is>
          <t>ifrs-full_Liabilities</t>
        </is>
      </c>
      <c r="K781" s="24" t="inlineStr">
        <is>
          <t>부채총계</t>
        </is>
      </c>
      <c r="L781" s="24" t="inlineStr">
        <is>
          <t>-</t>
        </is>
      </c>
      <c r="M781" s="24" t="inlineStr">
        <is>
          <t>제 73 기</t>
        </is>
      </c>
      <c r="N781" s="24" t="inlineStr">
        <is>
          <t>748586290599.0</t>
        </is>
      </c>
      <c r="O781" s="24" t="inlineStr">
        <is>
          <t>396162364261.0</t>
        </is>
      </c>
      <c r="P781" s="24" t="inlineStr">
        <is>
          <t>KRW</t>
        </is>
      </c>
      <c r="Q781" s="24" t="inlineStr">
        <is>
          <t>50</t>
        </is>
      </c>
    </row>
    <row r="782" ht="24" customHeight="1">
      <c r="A782" s="29" t="inlineStr">
        <is>
          <t>OpenDART_fnlttSinglAcntAll</t>
        </is>
      </c>
      <c r="B782" s="29" t="inlineStr">
        <is>
          <t>00160843</t>
        </is>
      </c>
      <c r="C782" s="29" t="inlineStr">
        <is>
          <t>DB하이텍</t>
        </is>
      </c>
      <c r="D782" s="29" t="inlineStr">
        <is>
          <t>dbhitek</t>
        </is>
      </c>
      <c r="E782" s="29" t="inlineStr">
        <is>
          <t>000990</t>
        </is>
      </c>
      <c r="F782" s="29" t="inlineStr">
        <is>
          <t>2025</t>
        </is>
      </c>
      <c r="G782" s="29" t="inlineStr">
        <is>
          <t>CFS</t>
        </is>
      </c>
      <c r="H782" s="29" t="inlineStr">
        <is>
          <t>BS</t>
        </is>
      </c>
      <c r="I782" s="29" t="inlineStr">
        <is>
          <t>재무상태표</t>
        </is>
      </c>
      <c r="J782" s="29" t="inlineStr">
        <is>
          <t>ifrs-full_NoncurrentLiabilities</t>
        </is>
      </c>
      <c r="K782" s="29" t="inlineStr">
        <is>
          <t>비유동부채</t>
        </is>
      </c>
      <c r="L782" s="29" t="inlineStr">
        <is>
          <t>-</t>
        </is>
      </c>
      <c r="M782" s="29" t="inlineStr">
        <is>
          <t>제 73 기</t>
        </is>
      </c>
      <c r="N782" s="29" t="inlineStr">
        <is>
          <t>169408101410.0</t>
        </is>
      </c>
      <c r="O782" s="29" t="inlineStr">
        <is>
          <t>79295695384.0</t>
        </is>
      </c>
      <c r="P782" s="29" t="inlineStr">
        <is>
          <t>KRW</t>
        </is>
      </c>
      <c r="Q782" s="29" t="inlineStr">
        <is>
          <t>51</t>
        </is>
      </c>
    </row>
    <row r="783" ht="24" customHeight="1">
      <c r="A783" s="24" t="inlineStr">
        <is>
          <t>OpenDART_fnlttSinglAcntAll</t>
        </is>
      </c>
      <c r="B783" s="24" t="inlineStr">
        <is>
          <t>00160843</t>
        </is>
      </c>
      <c r="C783" s="24" t="inlineStr">
        <is>
          <t>DB하이텍</t>
        </is>
      </c>
      <c r="D783" s="24" t="inlineStr">
        <is>
          <t>dbhitek</t>
        </is>
      </c>
      <c r="E783" s="24" t="inlineStr">
        <is>
          <t>000990</t>
        </is>
      </c>
      <c r="F783" s="24" t="inlineStr">
        <is>
          <t>2025</t>
        </is>
      </c>
      <c r="G783" s="24" t="inlineStr">
        <is>
          <t>CFS</t>
        </is>
      </c>
      <c r="H783" s="24" t="inlineStr">
        <is>
          <t>BS</t>
        </is>
      </c>
      <c r="I783" s="24" t="inlineStr">
        <is>
          <t>재무상태표</t>
        </is>
      </c>
      <c r="J783" s="24" t="inlineStr">
        <is>
          <t>dart_NoncurrentNontradePayables</t>
        </is>
      </c>
      <c r="K783" s="24" t="inlineStr">
        <is>
          <t>장기기타지급채무</t>
        </is>
      </c>
      <c r="L783" s="24" t="inlineStr">
        <is>
          <t>-</t>
        </is>
      </c>
      <c r="M783" s="24" t="inlineStr">
        <is>
          <t>제 73 기</t>
        </is>
      </c>
      <c r="N783" s="24" t="inlineStr">
        <is>
          <t>14168833381.0</t>
        </is>
      </c>
      <c r="O783" s="24" t="inlineStr">
        <is>
          <t>5197994355.0</t>
        </is>
      </c>
      <c r="P783" s="24" t="inlineStr">
        <is>
          <t>KRW</t>
        </is>
      </c>
      <c r="Q783" s="24" t="inlineStr">
        <is>
          <t>52</t>
        </is>
      </c>
    </row>
    <row r="784" ht="24" customHeight="1">
      <c r="A784" s="29" t="inlineStr">
        <is>
          <t>OpenDART_fnlttSinglAcntAll</t>
        </is>
      </c>
      <c r="B784" s="29" t="inlineStr">
        <is>
          <t>00160843</t>
        </is>
      </c>
      <c r="C784" s="29" t="inlineStr">
        <is>
          <t>DB하이텍</t>
        </is>
      </c>
      <c r="D784" s="29" t="inlineStr">
        <is>
          <t>dbhitek</t>
        </is>
      </c>
      <c r="E784" s="29" t="inlineStr">
        <is>
          <t>000990</t>
        </is>
      </c>
      <c r="F784" s="29" t="inlineStr">
        <is>
          <t>2025</t>
        </is>
      </c>
      <c r="G784" s="29" t="inlineStr">
        <is>
          <t>CFS</t>
        </is>
      </c>
      <c r="H784" s="29" t="inlineStr">
        <is>
          <t>BS</t>
        </is>
      </c>
      <c r="I784" s="29" t="inlineStr">
        <is>
          <t>재무상태표</t>
        </is>
      </c>
      <c r="J784" s="29" t="inlineStr">
        <is>
          <t>dart_PostemploymentBenefitObligations</t>
        </is>
      </c>
      <c r="K784" s="29" t="inlineStr">
        <is>
          <t>순확정급여부채</t>
        </is>
      </c>
      <c r="L784" s="29" t="inlineStr">
        <is>
          <t>-</t>
        </is>
      </c>
      <c r="M784" s="29" t="inlineStr">
        <is>
          <t>제 73 기</t>
        </is>
      </c>
      <c r="N784" s="29" t="inlineStr">
        <is>
          <t>12697917330.0</t>
        </is>
      </c>
      <c r="O784" s="29" t="inlineStr">
        <is>
          <t>10687328132.0</t>
        </is>
      </c>
      <c r="P784" s="29" t="inlineStr">
        <is>
          <t>KRW</t>
        </is>
      </c>
      <c r="Q784" s="29" t="inlineStr">
        <is>
          <t>53</t>
        </is>
      </c>
    </row>
    <row r="785" ht="24" customHeight="1">
      <c r="A785" s="24" t="inlineStr">
        <is>
          <t>OpenDART_fnlttSinglAcntAll</t>
        </is>
      </c>
      <c r="B785" s="24" t="inlineStr">
        <is>
          <t>00160843</t>
        </is>
      </c>
      <c r="C785" s="24" t="inlineStr">
        <is>
          <t>DB하이텍</t>
        </is>
      </c>
      <c r="D785" s="24" t="inlineStr">
        <is>
          <t>dbhitek</t>
        </is>
      </c>
      <c r="E785" s="24" t="inlineStr">
        <is>
          <t>000990</t>
        </is>
      </c>
      <c r="F785" s="24" t="inlineStr">
        <is>
          <t>2025</t>
        </is>
      </c>
      <c r="G785" s="24" t="inlineStr">
        <is>
          <t>CFS</t>
        </is>
      </c>
      <c r="H785" s="24" t="inlineStr">
        <is>
          <t>BS</t>
        </is>
      </c>
      <c r="I785" s="24" t="inlineStr">
        <is>
          <t>재무상태표</t>
        </is>
      </c>
      <c r="J785" s="24" t="inlineStr">
        <is>
          <t>-표준계정코드 미사용-</t>
        </is>
      </c>
      <c r="K785" s="24" t="inlineStr">
        <is>
          <t>기타장기종업원급여부채</t>
        </is>
      </c>
      <c r="L785" s="24" t="inlineStr">
        <is>
          <t>-</t>
        </is>
      </c>
      <c r="M785" s="24" t="inlineStr">
        <is>
          <t>제 73 기</t>
        </is>
      </c>
      <c r="N785" s="24" t="inlineStr">
        <is>
          <t>7526331267.0</t>
        </is>
      </c>
      <c r="O785" s="24" t="inlineStr">
        <is>
          <t>6372948497.0</t>
        </is>
      </c>
      <c r="P785" s="24" t="inlineStr">
        <is>
          <t>KRW</t>
        </is>
      </c>
      <c r="Q785" s="24" t="inlineStr">
        <is>
          <t>54</t>
        </is>
      </c>
    </row>
    <row r="786" ht="24" customHeight="1">
      <c r="A786" s="29" t="inlineStr">
        <is>
          <t>OpenDART_fnlttSinglAcntAll</t>
        </is>
      </c>
      <c r="B786" s="29" t="inlineStr">
        <is>
          <t>00160843</t>
        </is>
      </c>
      <c r="C786" s="29" t="inlineStr">
        <is>
          <t>DB하이텍</t>
        </is>
      </c>
      <c r="D786" s="29" t="inlineStr">
        <is>
          <t>dbhitek</t>
        </is>
      </c>
      <c r="E786" s="29" t="inlineStr">
        <is>
          <t>000990</t>
        </is>
      </c>
      <c r="F786" s="29" t="inlineStr">
        <is>
          <t>2025</t>
        </is>
      </c>
      <c r="G786" s="29" t="inlineStr">
        <is>
          <t>CFS</t>
        </is>
      </c>
      <c r="H786" s="29" t="inlineStr">
        <is>
          <t>BS</t>
        </is>
      </c>
      <c r="I786" s="29" t="inlineStr">
        <is>
          <t>재무상태표</t>
        </is>
      </c>
      <c r="J786" s="29" t="inlineStr">
        <is>
          <t>ifrs-full_DeferredTaxLiabilities</t>
        </is>
      </c>
      <c r="K786" s="29" t="inlineStr">
        <is>
          <t>이연법인세부채</t>
        </is>
      </c>
      <c r="L786" s="29" t="inlineStr">
        <is>
          <t>-</t>
        </is>
      </c>
      <c r="M786" s="29" t="inlineStr">
        <is>
          <t>제 73 기</t>
        </is>
      </c>
      <c r="N786" s="29" t="inlineStr">
        <is>
          <t>10289095710.0</t>
        </is>
      </c>
      <c r="O786" s="29" t="inlineStr">
        <is>
          <t>6299768683.0</t>
        </is>
      </c>
      <c r="P786" s="29" t="inlineStr">
        <is>
          <t>KRW</t>
        </is>
      </c>
      <c r="Q786" s="29" t="inlineStr">
        <is>
          <t>55</t>
        </is>
      </c>
    </row>
    <row r="787" ht="24" customHeight="1">
      <c r="A787" s="24" t="inlineStr">
        <is>
          <t>OpenDART_fnlttSinglAcntAll</t>
        </is>
      </c>
      <c r="B787" s="24" t="inlineStr">
        <is>
          <t>00160843</t>
        </is>
      </c>
      <c r="C787" s="24" t="inlineStr">
        <is>
          <t>DB하이텍</t>
        </is>
      </c>
      <c r="D787" s="24" t="inlineStr">
        <is>
          <t>dbhitek</t>
        </is>
      </c>
      <c r="E787" s="24" t="inlineStr">
        <is>
          <t>000990</t>
        </is>
      </c>
      <c r="F787" s="24" t="inlineStr">
        <is>
          <t>2025</t>
        </is>
      </c>
      <c r="G787" s="24" t="inlineStr">
        <is>
          <t>CFS</t>
        </is>
      </c>
      <c r="H787" s="24" t="inlineStr">
        <is>
          <t>BS</t>
        </is>
      </c>
      <c r="I787" s="24" t="inlineStr">
        <is>
          <t>재무상태표</t>
        </is>
      </c>
      <c r="J787" s="24" t="inlineStr">
        <is>
          <t>ifrs-full_LongtermBorrowings</t>
        </is>
      </c>
      <c r="K787" s="24" t="inlineStr">
        <is>
          <t>장기차입금</t>
        </is>
      </c>
      <c r="L787" s="24" t="inlineStr">
        <is>
          <t>-</t>
        </is>
      </c>
      <c r="M787" s="24" t="inlineStr">
        <is>
          <t>제 73 기</t>
        </is>
      </c>
      <c r="N787" s="24" t="inlineStr">
        <is>
          <t>102572732928.0</t>
        </is>
      </c>
      <c r="O787" s="24" t="inlineStr">
        <is>
          <t>27000000000.0</t>
        </is>
      </c>
      <c r="P787" s="24" t="inlineStr">
        <is>
          <t>KRW</t>
        </is>
      </c>
      <c r="Q787" s="24" t="inlineStr">
        <is>
          <t>56</t>
        </is>
      </c>
    </row>
    <row r="788" ht="24" customHeight="1">
      <c r="A788" s="29" t="inlineStr">
        <is>
          <t>OpenDART_fnlttSinglAcntAll</t>
        </is>
      </c>
      <c r="B788" s="29" t="inlineStr">
        <is>
          <t>00160843</t>
        </is>
      </c>
      <c r="C788" s="29" t="inlineStr">
        <is>
          <t>DB하이텍</t>
        </is>
      </c>
      <c r="D788" s="29" t="inlineStr">
        <is>
          <t>dbhitek</t>
        </is>
      </c>
      <c r="E788" s="29" t="inlineStr">
        <is>
          <t>000990</t>
        </is>
      </c>
      <c r="F788" s="29" t="inlineStr">
        <is>
          <t>2025</t>
        </is>
      </c>
      <c r="G788" s="29" t="inlineStr">
        <is>
          <t>CFS</t>
        </is>
      </c>
      <c r="H788" s="29" t="inlineStr">
        <is>
          <t>BS</t>
        </is>
      </c>
      <c r="I788" s="29" t="inlineStr">
        <is>
          <t>재무상태표</t>
        </is>
      </c>
      <c r="J788" s="29" t="inlineStr">
        <is>
          <t>ifrs-full_NoncurrentProvisions</t>
        </is>
      </c>
      <c r="K788" s="29" t="inlineStr">
        <is>
          <t>장기충당부채</t>
        </is>
      </c>
      <c r="L788" s="29" t="inlineStr">
        <is>
          <t>-</t>
        </is>
      </c>
      <c r="M788" s="29" t="inlineStr">
        <is>
          <t>제 73 기</t>
        </is>
      </c>
      <c r="N788" s="29" t="inlineStr">
        <is>
          <t>1033662974.0</t>
        </is>
      </c>
      <c r="O788" s="29" t="inlineStr">
        <is>
          <t>476452067.0</t>
        </is>
      </c>
      <c r="P788" s="29" t="inlineStr">
        <is>
          <t>KRW</t>
        </is>
      </c>
      <c r="Q788" s="29" t="inlineStr">
        <is>
          <t>57</t>
        </is>
      </c>
    </row>
    <row r="789" ht="24" customHeight="1">
      <c r="A789" s="24" t="inlineStr">
        <is>
          <t>OpenDART_fnlttSinglAcntAll</t>
        </is>
      </c>
      <c r="B789" s="24" t="inlineStr">
        <is>
          <t>00160843</t>
        </is>
      </c>
      <c r="C789" s="24" t="inlineStr">
        <is>
          <t>DB하이텍</t>
        </is>
      </c>
      <c r="D789" s="24" t="inlineStr">
        <is>
          <t>dbhitek</t>
        </is>
      </c>
      <c r="E789" s="24" t="inlineStr">
        <is>
          <t>000990</t>
        </is>
      </c>
      <c r="F789" s="24" t="inlineStr">
        <is>
          <t>2025</t>
        </is>
      </c>
      <c r="G789" s="24" t="inlineStr">
        <is>
          <t>CFS</t>
        </is>
      </c>
      <c r="H789" s="24" t="inlineStr">
        <is>
          <t>BS</t>
        </is>
      </c>
      <c r="I789" s="24" t="inlineStr">
        <is>
          <t>재무상태표</t>
        </is>
      </c>
      <c r="J789" s="24" t="inlineStr">
        <is>
          <t>ifrs-full_OtherNoncurrentFinancialLiabilities</t>
        </is>
      </c>
      <c r="K789" s="24" t="inlineStr">
        <is>
          <t>장기기타금융부채</t>
        </is>
      </c>
      <c r="L789" s="24" t="inlineStr">
        <is>
          <t>-</t>
        </is>
      </c>
      <c r="M789" s="24" t="inlineStr">
        <is>
          <t>제 73 기</t>
        </is>
      </c>
      <c r="N789" s="24" t="inlineStr">
        <is>
          <t>21119527820.0</t>
        </is>
      </c>
      <c r="O789" s="24" t="inlineStr">
        <is>
          <t>23261203650.0</t>
        </is>
      </c>
      <c r="P789" s="24" t="inlineStr">
        <is>
          <t>KRW</t>
        </is>
      </c>
      <c r="Q789" s="24" t="inlineStr">
        <is>
          <t>58</t>
        </is>
      </c>
    </row>
    <row r="790" ht="24" customHeight="1">
      <c r="A790" s="29" t="inlineStr">
        <is>
          <t>OpenDART_fnlttSinglAcntAll</t>
        </is>
      </c>
      <c r="B790" s="29" t="inlineStr">
        <is>
          <t>00160843</t>
        </is>
      </c>
      <c r="C790" s="29" t="inlineStr">
        <is>
          <t>DB하이텍</t>
        </is>
      </c>
      <c r="D790" s="29" t="inlineStr">
        <is>
          <t>dbhitek</t>
        </is>
      </c>
      <c r="E790" s="29" t="inlineStr">
        <is>
          <t>000990</t>
        </is>
      </c>
      <c r="F790" s="29" t="inlineStr">
        <is>
          <t>2025</t>
        </is>
      </c>
      <c r="G790" s="29" t="inlineStr">
        <is>
          <t>CFS</t>
        </is>
      </c>
      <c r="H790" s="29" t="inlineStr">
        <is>
          <t>IS</t>
        </is>
      </c>
      <c r="I790" s="29" t="inlineStr">
        <is>
          <t>손익계산서</t>
        </is>
      </c>
      <c r="J790" s="29" t="inlineStr">
        <is>
          <t>dart_GainsOnSaleOfInvestmentsInAssociates</t>
        </is>
      </c>
      <c r="K790" s="29" t="inlineStr">
        <is>
          <t>관계기업/공동기업투자처분이익</t>
        </is>
      </c>
      <c r="L790" s="29" t="inlineStr">
        <is>
          <t>-</t>
        </is>
      </c>
      <c r="M790" s="29" t="inlineStr">
        <is>
          <t>제 73 기</t>
        </is>
      </c>
      <c r="N790" s="29" t="inlineStr">
        <is>
          <t>14417560904.0</t>
        </is>
      </c>
      <c r="O790" s="29" t="inlineStr">
        <is>
          <t>0.0</t>
        </is>
      </c>
      <c r="P790" s="29" t="inlineStr">
        <is>
          <t>KRW</t>
        </is>
      </c>
      <c r="Q790" s="29" t="inlineStr">
        <is>
          <t>6</t>
        </is>
      </c>
    </row>
    <row r="791" ht="24" customHeight="1">
      <c r="A791" s="24" t="inlineStr">
        <is>
          <t>OpenDART_fnlttSinglAcntAll</t>
        </is>
      </c>
      <c r="B791" s="24" t="inlineStr">
        <is>
          <t>00160843</t>
        </is>
      </c>
      <c r="C791" s="24" t="inlineStr">
        <is>
          <t>DB하이텍</t>
        </is>
      </c>
      <c r="D791" s="24" t="inlineStr">
        <is>
          <t>dbhitek</t>
        </is>
      </c>
      <c r="E791" s="24" t="inlineStr">
        <is>
          <t>000990</t>
        </is>
      </c>
      <c r="F791" s="24" t="inlineStr">
        <is>
          <t>2025</t>
        </is>
      </c>
      <c r="G791" s="24" t="inlineStr">
        <is>
          <t>CFS</t>
        </is>
      </c>
      <c r="H791" s="24" t="inlineStr">
        <is>
          <t>IS</t>
        </is>
      </c>
      <c r="I791" s="24" t="inlineStr">
        <is>
          <t>손익계산서</t>
        </is>
      </c>
      <c r="J791" s="24" t="inlineStr">
        <is>
          <t>dart_LossesOfAssociatesAndJointVenturesAccountedForUsingEquityMethod</t>
        </is>
      </c>
      <c r="K791" s="24" t="inlineStr">
        <is>
          <t>지분법손실</t>
        </is>
      </c>
      <c r="L791" s="24" t="inlineStr">
        <is>
          <t>-</t>
        </is>
      </c>
      <c r="M791" s="24" t="inlineStr">
        <is>
          <t>제 73 기</t>
        </is>
      </c>
      <c r="N791" s="24" t="inlineStr">
        <is>
          <t>0.0</t>
        </is>
      </c>
      <c r="O791" s="24" t="inlineStr">
        <is>
          <t>0.0</t>
        </is>
      </c>
      <c r="P791" s="24" t="inlineStr">
        <is>
          <t>KRW</t>
        </is>
      </c>
      <c r="Q791" s="24" t="inlineStr">
        <is>
          <t>7</t>
        </is>
      </c>
    </row>
    <row r="792" ht="24" customHeight="1">
      <c r="A792" s="29" t="inlineStr">
        <is>
          <t>OpenDART_fnlttSinglAcntAll</t>
        </is>
      </c>
      <c r="B792" s="29" t="inlineStr">
        <is>
          <t>00160843</t>
        </is>
      </c>
      <c r="C792" s="29" t="inlineStr">
        <is>
          <t>DB하이텍</t>
        </is>
      </c>
      <c r="D792" s="29" t="inlineStr">
        <is>
          <t>dbhitek</t>
        </is>
      </c>
      <c r="E792" s="29" t="inlineStr">
        <is>
          <t>000990</t>
        </is>
      </c>
      <c r="F792" s="29" t="inlineStr">
        <is>
          <t>2025</t>
        </is>
      </c>
      <c r="G792" s="29" t="inlineStr">
        <is>
          <t>CFS</t>
        </is>
      </c>
      <c r="H792" s="29" t="inlineStr">
        <is>
          <t>IS</t>
        </is>
      </c>
      <c r="I792" s="29" t="inlineStr">
        <is>
          <t>손익계산서</t>
        </is>
      </c>
      <c r="J792" s="29" t="inlineStr">
        <is>
          <t>dart_OperatingIncomeLoss</t>
        </is>
      </c>
      <c r="K792" s="29" t="inlineStr">
        <is>
          <t>영업이익(손실)</t>
        </is>
      </c>
      <c r="L792" s="29" t="inlineStr">
        <is>
          <t>-</t>
        </is>
      </c>
      <c r="M792" s="29" t="inlineStr">
        <is>
          <t>제 73 기</t>
        </is>
      </c>
      <c r="N792" s="29" t="inlineStr">
        <is>
          <t>277294561174.0</t>
        </is>
      </c>
      <c r="O792" s="29" t="inlineStr">
        <is>
          <t>190838683363.0</t>
        </is>
      </c>
      <c r="P792" s="29" t="inlineStr">
        <is>
          <t>KRW</t>
        </is>
      </c>
      <c r="Q792" s="29" t="inlineStr">
        <is>
          <t>8</t>
        </is>
      </c>
    </row>
    <row r="793" ht="24" customHeight="1">
      <c r="A793" s="24" t="inlineStr">
        <is>
          <t>OpenDART_fnlttSinglAcntAll</t>
        </is>
      </c>
      <c r="B793" s="24" t="inlineStr">
        <is>
          <t>00160843</t>
        </is>
      </c>
      <c r="C793" s="24" t="inlineStr">
        <is>
          <t>DB하이텍</t>
        </is>
      </c>
      <c r="D793" s="24" t="inlineStr">
        <is>
          <t>dbhitek</t>
        </is>
      </c>
      <c r="E793" s="24" t="inlineStr">
        <is>
          <t>000990</t>
        </is>
      </c>
      <c r="F793" s="24" t="inlineStr">
        <is>
          <t>2025</t>
        </is>
      </c>
      <c r="G793" s="24" t="inlineStr">
        <is>
          <t>CFS</t>
        </is>
      </c>
      <c r="H793" s="24" t="inlineStr">
        <is>
          <t>IS</t>
        </is>
      </c>
      <c r="I793" s="24" t="inlineStr">
        <is>
          <t>손익계산서</t>
        </is>
      </c>
      <c r="J793" s="24" t="inlineStr">
        <is>
          <t>dart_OtherGains</t>
        </is>
      </c>
      <c r="K793" s="24" t="inlineStr">
        <is>
          <t>기타이익</t>
        </is>
      </c>
      <c r="L793" s="24" t="inlineStr">
        <is>
          <t>-</t>
        </is>
      </c>
      <c r="M793" s="24" t="inlineStr">
        <is>
          <t>제 73 기</t>
        </is>
      </c>
      <c r="N793" s="24" t="inlineStr">
        <is>
          <t>33101015994.0</t>
        </is>
      </c>
      <c r="O793" s="24" t="inlineStr">
        <is>
          <t>72280211039.0</t>
        </is>
      </c>
      <c r="P793" s="24" t="inlineStr">
        <is>
          <t>KRW</t>
        </is>
      </c>
      <c r="Q793" s="24" t="inlineStr">
        <is>
          <t>9</t>
        </is>
      </c>
    </row>
    <row r="794" ht="24" customHeight="1">
      <c r="A794" s="29" t="inlineStr">
        <is>
          <t>OpenDART_fnlttSinglAcntAll</t>
        </is>
      </c>
      <c r="B794" s="29" t="inlineStr">
        <is>
          <t>00160843</t>
        </is>
      </c>
      <c r="C794" s="29" t="inlineStr">
        <is>
          <t>DB하이텍</t>
        </is>
      </c>
      <c r="D794" s="29" t="inlineStr">
        <is>
          <t>dbhitek</t>
        </is>
      </c>
      <c r="E794" s="29" t="inlineStr">
        <is>
          <t>000990</t>
        </is>
      </c>
      <c r="F794" s="29" t="inlineStr">
        <is>
          <t>2025</t>
        </is>
      </c>
      <c r="G794" s="29" t="inlineStr">
        <is>
          <t>CFS</t>
        </is>
      </c>
      <c r="H794" s="29" t="inlineStr">
        <is>
          <t>IS</t>
        </is>
      </c>
      <c r="I794" s="29" t="inlineStr">
        <is>
          <t>손익계산서</t>
        </is>
      </c>
      <c r="J794" s="29" t="inlineStr">
        <is>
          <t>dart_OtherLosses</t>
        </is>
      </c>
      <c r="K794" s="29" t="inlineStr">
        <is>
          <t>기타손실</t>
        </is>
      </c>
      <c r="L794" s="29" t="inlineStr">
        <is>
          <t>-</t>
        </is>
      </c>
      <c r="M794" s="29" t="inlineStr">
        <is>
          <t>제 73 기</t>
        </is>
      </c>
      <c r="N794" s="29" t="inlineStr">
        <is>
          <t>40444349119.0</t>
        </is>
      </c>
      <c r="O794" s="29" t="inlineStr">
        <is>
          <t>22648919941.0</t>
        </is>
      </c>
      <c r="P794" s="29" t="inlineStr">
        <is>
          <t>KRW</t>
        </is>
      </c>
      <c r="Q794" s="29" t="inlineStr">
        <is>
          <t>10</t>
        </is>
      </c>
    </row>
    <row r="795" ht="24" customHeight="1">
      <c r="A795" s="24" t="inlineStr">
        <is>
          <t>OpenDART_fnlttSinglAcntAll</t>
        </is>
      </c>
      <c r="B795" s="24" t="inlineStr">
        <is>
          <t>00160843</t>
        </is>
      </c>
      <c r="C795" s="24" t="inlineStr">
        <is>
          <t>DB하이텍</t>
        </is>
      </c>
      <c r="D795" s="24" t="inlineStr">
        <is>
          <t>dbhitek</t>
        </is>
      </c>
      <c r="E795" s="24" t="inlineStr">
        <is>
          <t>000990</t>
        </is>
      </c>
      <c r="F795" s="24" t="inlineStr">
        <is>
          <t>2025</t>
        </is>
      </c>
      <c r="G795" s="24" t="inlineStr">
        <is>
          <t>CFS</t>
        </is>
      </c>
      <c r="H795" s="24" t="inlineStr">
        <is>
          <t>IS</t>
        </is>
      </c>
      <c r="I795" s="24" t="inlineStr">
        <is>
          <t>손익계산서</t>
        </is>
      </c>
      <c r="J795" s="24" t="inlineStr">
        <is>
          <t>dart_ProfitsOfAssociatesAndJointVenturesAccountedForUsingEquityMethod</t>
        </is>
      </c>
      <c r="K795" s="24" t="inlineStr">
        <is>
          <t>지분법이익</t>
        </is>
      </c>
      <c r="L795" s="24" t="inlineStr">
        <is>
          <t>-</t>
        </is>
      </c>
      <c r="M795" s="24" t="inlineStr">
        <is>
          <t>제 73 기</t>
        </is>
      </c>
      <c r="N795" s="24" t="inlineStr">
        <is>
          <t>6844282219.0</t>
        </is>
      </c>
      <c r="O795" s="24" t="inlineStr">
        <is>
          <t>24792060.0</t>
        </is>
      </c>
      <c r="P795" s="24" t="inlineStr">
        <is>
          <t>KRW</t>
        </is>
      </c>
      <c r="Q795" s="24" t="inlineStr">
        <is>
          <t>11</t>
        </is>
      </c>
    </row>
    <row r="796" ht="24" customHeight="1">
      <c r="A796" s="29" t="inlineStr">
        <is>
          <t>OpenDART_fnlttSinglAcntAll</t>
        </is>
      </c>
      <c r="B796" s="29" t="inlineStr">
        <is>
          <t>00160843</t>
        </is>
      </c>
      <c r="C796" s="29" t="inlineStr">
        <is>
          <t>DB하이텍</t>
        </is>
      </c>
      <c r="D796" s="29" t="inlineStr">
        <is>
          <t>dbhitek</t>
        </is>
      </c>
      <c r="E796" s="29" t="inlineStr">
        <is>
          <t>000990</t>
        </is>
      </c>
      <c r="F796" s="29" t="inlineStr">
        <is>
          <t>2025</t>
        </is>
      </c>
      <c r="G796" s="29" t="inlineStr">
        <is>
          <t>CFS</t>
        </is>
      </c>
      <c r="H796" s="29" t="inlineStr">
        <is>
          <t>IS</t>
        </is>
      </c>
      <c r="I796" s="29" t="inlineStr">
        <is>
          <t>손익계산서</t>
        </is>
      </c>
      <c r="J796" s="29" t="inlineStr">
        <is>
          <t>dart_TotalSellingGeneralAdministrativeExpenses</t>
        </is>
      </c>
      <c r="K796" s="29" t="inlineStr">
        <is>
          <t>판매비와관리비</t>
        </is>
      </c>
      <c r="L796" s="29" t="inlineStr">
        <is>
          <t>-</t>
        </is>
      </c>
      <c r="M796" s="29" t="inlineStr">
        <is>
          <t>제 73 기</t>
        </is>
      </c>
      <c r="N796" s="29" t="inlineStr">
        <is>
          <t>223077533325.0</t>
        </is>
      </c>
      <c r="O796" s="29" t="inlineStr">
        <is>
          <t>195998043470.0</t>
        </is>
      </c>
      <c r="P796" s="29" t="inlineStr">
        <is>
          <t>KRW</t>
        </is>
      </c>
      <c r="Q796" s="29" t="inlineStr">
        <is>
          <t>12</t>
        </is>
      </c>
    </row>
    <row r="797" ht="24" customHeight="1">
      <c r="A797" s="24" t="inlineStr">
        <is>
          <t>OpenDART_fnlttSinglAcntAll</t>
        </is>
      </c>
      <c r="B797" s="24" t="inlineStr">
        <is>
          <t>00160843</t>
        </is>
      </c>
      <c r="C797" s="24" t="inlineStr">
        <is>
          <t>DB하이텍</t>
        </is>
      </c>
      <c r="D797" s="24" t="inlineStr">
        <is>
          <t>dbhitek</t>
        </is>
      </c>
      <c r="E797" s="24" t="inlineStr">
        <is>
          <t>000990</t>
        </is>
      </c>
      <c r="F797" s="24" t="inlineStr">
        <is>
          <t>2025</t>
        </is>
      </c>
      <c r="G797" s="24" t="inlineStr">
        <is>
          <t>CFS</t>
        </is>
      </c>
      <c r="H797" s="24" t="inlineStr">
        <is>
          <t>IS</t>
        </is>
      </c>
      <c r="I797" s="24" t="inlineStr">
        <is>
          <t>손익계산서</t>
        </is>
      </c>
      <c r="J797" s="24" t="inlineStr">
        <is>
          <t>ifrs-full_CostOfSales</t>
        </is>
      </c>
      <c r="K797" s="24" t="inlineStr">
        <is>
          <t>매출원가</t>
        </is>
      </c>
      <c r="L797" s="24" t="inlineStr">
        <is>
          <t>-</t>
        </is>
      </c>
      <c r="M797" s="24" t="inlineStr">
        <is>
          <t>제 73 기</t>
        </is>
      </c>
      <c r="N797" s="24" t="inlineStr">
        <is>
          <t>896861212540.0</t>
        </is>
      </c>
      <c r="O797" s="24" t="inlineStr">
        <is>
          <t>744330982971.0</t>
        </is>
      </c>
      <c r="P797" s="24" t="inlineStr">
        <is>
          <t>KRW</t>
        </is>
      </c>
      <c r="Q797" s="24" t="inlineStr">
        <is>
          <t>13</t>
        </is>
      </c>
    </row>
    <row r="798" ht="24" customHeight="1">
      <c r="A798" s="29" t="inlineStr">
        <is>
          <t>OpenDART_fnlttSinglAcntAll</t>
        </is>
      </c>
      <c r="B798" s="29" t="inlineStr">
        <is>
          <t>00160843</t>
        </is>
      </c>
      <c r="C798" s="29" t="inlineStr">
        <is>
          <t>DB하이텍</t>
        </is>
      </c>
      <c r="D798" s="29" t="inlineStr">
        <is>
          <t>dbhitek</t>
        </is>
      </c>
      <c r="E798" s="29" t="inlineStr">
        <is>
          <t>000990</t>
        </is>
      </c>
      <c r="F798" s="29" t="inlineStr">
        <is>
          <t>2025</t>
        </is>
      </c>
      <c r="G798" s="29" t="inlineStr">
        <is>
          <t>CFS</t>
        </is>
      </c>
      <c r="H798" s="29" t="inlineStr">
        <is>
          <t>IS</t>
        </is>
      </c>
      <c r="I798" s="29" t="inlineStr">
        <is>
          <t>손익계산서</t>
        </is>
      </c>
      <c r="J798" s="29" t="inlineStr">
        <is>
          <t>ifrs-full_BasicEarningsLossPerShare</t>
        </is>
      </c>
      <c r="K798" s="29" t="inlineStr">
        <is>
          <t>기본주당이익(손실)</t>
        </is>
      </c>
      <c r="L798" s="29" t="inlineStr">
        <is>
          <t>-</t>
        </is>
      </c>
      <c r="M798" s="29" t="inlineStr">
        <is>
          <t>제 73 기</t>
        </is>
      </c>
      <c r="N798" s="29" t="inlineStr">
        <is>
          <t>6285.0</t>
        </is>
      </c>
      <c r="O798" s="29" t="inlineStr">
        <is>
          <t>5520.0</t>
        </is>
      </c>
      <c r="P798" s="29" t="inlineStr">
        <is>
          <t>KRW</t>
        </is>
      </c>
      <c r="Q798" s="29" t="inlineStr">
        <is>
          <t>15</t>
        </is>
      </c>
    </row>
    <row r="799" ht="24" customHeight="1">
      <c r="A799" s="24" t="inlineStr">
        <is>
          <t>OpenDART_fnlttSinglAcntAll</t>
        </is>
      </c>
      <c r="B799" s="24" t="inlineStr">
        <is>
          <t>00160843</t>
        </is>
      </c>
      <c r="C799" s="24" t="inlineStr">
        <is>
          <t>DB하이텍</t>
        </is>
      </c>
      <c r="D799" s="24" t="inlineStr">
        <is>
          <t>dbhitek</t>
        </is>
      </c>
      <c r="E799" s="24" t="inlineStr">
        <is>
          <t>000990</t>
        </is>
      </c>
      <c r="F799" s="24" t="inlineStr">
        <is>
          <t>2025</t>
        </is>
      </c>
      <c r="G799" s="24" t="inlineStr">
        <is>
          <t>CFS</t>
        </is>
      </c>
      <c r="H799" s="24" t="inlineStr">
        <is>
          <t>IS</t>
        </is>
      </c>
      <c r="I799" s="24" t="inlineStr">
        <is>
          <t>손익계산서</t>
        </is>
      </c>
      <c r="J799" s="24" t="inlineStr">
        <is>
          <t>ifrs-full_DilutedEarningsLossPerShare</t>
        </is>
      </c>
      <c r="K799" s="24" t="inlineStr">
        <is>
          <t>희석주당이익(손실)</t>
        </is>
      </c>
      <c r="L799" s="24" t="inlineStr">
        <is>
          <t>-</t>
        </is>
      </c>
      <c r="M799" s="24" t="inlineStr">
        <is>
          <t>제 73 기</t>
        </is>
      </c>
      <c r="N799" s="24" t="inlineStr">
        <is>
          <t>6200.0</t>
        </is>
      </c>
      <c r="O799" s="24" t="inlineStr">
        <is>
          <t>5520.0</t>
        </is>
      </c>
      <c r="P799" s="24" t="inlineStr">
        <is>
          <t>KRW</t>
        </is>
      </c>
      <c r="Q799" s="24" t="inlineStr">
        <is>
          <t>16</t>
        </is>
      </c>
    </row>
    <row r="800" ht="24" customHeight="1">
      <c r="A800" s="29" t="inlineStr">
        <is>
          <t>OpenDART_fnlttSinglAcntAll</t>
        </is>
      </c>
      <c r="B800" s="29" t="inlineStr">
        <is>
          <t>00160843</t>
        </is>
      </c>
      <c r="C800" s="29" t="inlineStr">
        <is>
          <t>DB하이텍</t>
        </is>
      </c>
      <c r="D800" s="29" t="inlineStr">
        <is>
          <t>dbhitek</t>
        </is>
      </c>
      <c r="E800" s="29" t="inlineStr">
        <is>
          <t>000990</t>
        </is>
      </c>
      <c r="F800" s="29" t="inlineStr">
        <is>
          <t>2025</t>
        </is>
      </c>
      <c r="G800" s="29" t="inlineStr">
        <is>
          <t>CFS</t>
        </is>
      </c>
      <c r="H800" s="29" t="inlineStr">
        <is>
          <t>IS</t>
        </is>
      </c>
      <c r="I800" s="29" t="inlineStr">
        <is>
          <t>손익계산서</t>
        </is>
      </c>
      <c r="J800" s="29" t="inlineStr">
        <is>
          <t>ifrs-full_FinanceCosts</t>
        </is>
      </c>
      <c r="K800" s="29" t="inlineStr">
        <is>
          <t>금융원가</t>
        </is>
      </c>
      <c r="L800" s="29" t="inlineStr">
        <is>
          <t>-</t>
        </is>
      </c>
      <c r="M800" s="29" t="inlineStr">
        <is>
          <t>제 73 기</t>
        </is>
      </c>
      <c r="N800" s="29" t="inlineStr">
        <is>
          <t>30554636239.0</t>
        </is>
      </c>
      <c r="O800" s="29" t="inlineStr">
        <is>
          <t>13484106457.0</t>
        </is>
      </c>
      <c r="P800" s="29" t="inlineStr">
        <is>
          <t>KRW</t>
        </is>
      </c>
      <c r="Q800" s="29" t="inlineStr">
        <is>
          <t>17</t>
        </is>
      </c>
    </row>
    <row r="801" ht="24" customHeight="1">
      <c r="A801" s="24" t="inlineStr">
        <is>
          <t>OpenDART_fnlttSinglAcntAll</t>
        </is>
      </c>
      <c r="B801" s="24" t="inlineStr">
        <is>
          <t>00160843</t>
        </is>
      </c>
      <c r="C801" s="24" t="inlineStr">
        <is>
          <t>DB하이텍</t>
        </is>
      </c>
      <c r="D801" s="24" t="inlineStr">
        <is>
          <t>dbhitek</t>
        </is>
      </c>
      <c r="E801" s="24" t="inlineStr">
        <is>
          <t>000990</t>
        </is>
      </c>
      <c r="F801" s="24" t="inlineStr">
        <is>
          <t>2025</t>
        </is>
      </c>
      <c r="G801" s="24" t="inlineStr">
        <is>
          <t>CFS</t>
        </is>
      </c>
      <c r="H801" s="24" t="inlineStr">
        <is>
          <t>IS</t>
        </is>
      </c>
      <c r="I801" s="24" t="inlineStr">
        <is>
          <t>손익계산서</t>
        </is>
      </c>
      <c r="J801" s="24" t="inlineStr">
        <is>
          <t>ifrs-full_FinanceIncome</t>
        </is>
      </c>
      <c r="K801" s="24" t="inlineStr">
        <is>
          <t>금융수익</t>
        </is>
      </c>
      <c r="L801" s="24" t="inlineStr">
        <is>
          <t>-</t>
        </is>
      </c>
      <c r="M801" s="24" t="inlineStr">
        <is>
          <t>제 73 기</t>
        </is>
      </c>
      <c r="N801" s="24" t="inlineStr">
        <is>
          <t>57258547849.0</t>
        </is>
      </c>
      <c r="O801" s="24" t="inlineStr">
        <is>
          <t>48832126963.0</t>
        </is>
      </c>
      <c r="P801" s="24" t="inlineStr">
        <is>
          <t>KRW</t>
        </is>
      </c>
      <c r="Q801" s="24" t="inlineStr">
        <is>
          <t>18</t>
        </is>
      </c>
    </row>
    <row r="802" ht="24" customHeight="1">
      <c r="A802" s="29" t="inlineStr">
        <is>
          <t>OpenDART_fnlttSinglAcntAll</t>
        </is>
      </c>
      <c r="B802" s="29" t="inlineStr">
        <is>
          <t>00160843</t>
        </is>
      </c>
      <c r="C802" s="29" t="inlineStr">
        <is>
          <t>DB하이텍</t>
        </is>
      </c>
      <c r="D802" s="29" t="inlineStr">
        <is>
          <t>dbhitek</t>
        </is>
      </c>
      <c r="E802" s="29" t="inlineStr">
        <is>
          <t>000990</t>
        </is>
      </c>
      <c r="F802" s="29" t="inlineStr">
        <is>
          <t>2025</t>
        </is>
      </c>
      <c r="G802" s="29" t="inlineStr">
        <is>
          <t>CFS</t>
        </is>
      </c>
      <c r="H802" s="29" t="inlineStr">
        <is>
          <t>IS</t>
        </is>
      </c>
      <c r="I802" s="29" t="inlineStr">
        <is>
          <t>손익계산서</t>
        </is>
      </c>
      <c r="J802" s="29" t="inlineStr">
        <is>
          <t>ifrs-full_GrossProfit</t>
        </is>
      </c>
      <c r="K802" s="29" t="inlineStr">
        <is>
          <t>매출총이익</t>
        </is>
      </c>
      <c r="L802" s="29" t="inlineStr">
        <is>
          <t>-</t>
        </is>
      </c>
      <c r="M802" s="29" t="inlineStr">
        <is>
          <t>제 73 기</t>
        </is>
      </c>
      <c r="N802" s="29" t="inlineStr">
        <is>
          <t>500372094499.0</t>
        </is>
      </c>
      <c r="O802" s="29" t="inlineStr">
        <is>
          <t>386836726833.0</t>
        </is>
      </c>
      <c r="P802" s="29" t="inlineStr">
        <is>
          <t>KRW</t>
        </is>
      </c>
      <c r="Q802" s="29" t="inlineStr">
        <is>
          <t>19</t>
        </is>
      </c>
    </row>
    <row r="803" ht="24" customHeight="1">
      <c r="A803" s="24" t="inlineStr">
        <is>
          <t>OpenDART_fnlttSinglAcntAll</t>
        </is>
      </c>
      <c r="B803" s="24" t="inlineStr">
        <is>
          <t>00160843</t>
        </is>
      </c>
      <c r="C803" s="24" t="inlineStr">
        <is>
          <t>DB하이텍</t>
        </is>
      </c>
      <c r="D803" s="24" t="inlineStr">
        <is>
          <t>dbhitek</t>
        </is>
      </c>
      <c r="E803" s="24" t="inlineStr">
        <is>
          <t>000990</t>
        </is>
      </c>
      <c r="F803" s="24" t="inlineStr">
        <is>
          <t>2025</t>
        </is>
      </c>
      <c r="G803" s="24" t="inlineStr">
        <is>
          <t>CFS</t>
        </is>
      </c>
      <c r="H803" s="24" t="inlineStr">
        <is>
          <t>IS</t>
        </is>
      </c>
      <c r="I803" s="24" t="inlineStr">
        <is>
          <t>손익계산서</t>
        </is>
      </c>
      <c r="J803" s="24" t="inlineStr">
        <is>
          <t>ifrs-full_IncomeTaxExpenseContinuingOperations</t>
        </is>
      </c>
      <c r="K803" s="24" t="inlineStr">
        <is>
          <t>법인세비용(수익)</t>
        </is>
      </c>
      <c r="L803" s="24" t="inlineStr">
        <is>
          <t>-</t>
        </is>
      </c>
      <c r="M803" s="24" t="inlineStr">
        <is>
          <t>제 73 기</t>
        </is>
      </c>
      <c r="N803" s="24" t="inlineStr">
        <is>
          <t>65334541984.0</t>
        </is>
      </c>
      <c r="O803" s="24" t="inlineStr">
        <is>
          <t>46456898672.0</t>
        </is>
      </c>
      <c r="P803" s="24" t="inlineStr">
        <is>
          <t>KRW</t>
        </is>
      </c>
      <c r="Q803" s="24" t="inlineStr">
        <is>
          <t>20</t>
        </is>
      </c>
    </row>
    <row r="804" ht="24" customHeight="1">
      <c r="A804" s="29" t="inlineStr">
        <is>
          <t>OpenDART_fnlttSinglAcntAll</t>
        </is>
      </c>
      <c r="B804" s="29" t="inlineStr">
        <is>
          <t>00160843</t>
        </is>
      </c>
      <c r="C804" s="29" t="inlineStr">
        <is>
          <t>DB하이텍</t>
        </is>
      </c>
      <c r="D804" s="29" t="inlineStr">
        <is>
          <t>dbhitek</t>
        </is>
      </c>
      <c r="E804" s="29" t="inlineStr">
        <is>
          <t>000990</t>
        </is>
      </c>
      <c r="F804" s="29" t="inlineStr">
        <is>
          <t>2025</t>
        </is>
      </c>
      <c r="G804" s="29" t="inlineStr">
        <is>
          <t>CFS</t>
        </is>
      </c>
      <c r="H804" s="29" t="inlineStr">
        <is>
          <t>IS</t>
        </is>
      </c>
      <c r="I804" s="29" t="inlineStr">
        <is>
          <t>손익계산서</t>
        </is>
      </c>
      <c r="J804" s="29" t="inlineStr">
        <is>
          <t>ifrs-full_ProfitLoss</t>
        </is>
      </c>
      <c r="K804" s="29" t="inlineStr">
        <is>
          <t>당기순이익(손실)</t>
        </is>
      </c>
      <c r="L804" s="29" t="inlineStr">
        <is>
          <t>-</t>
        </is>
      </c>
      <c r="M804" s="29" t="inlineStr">
        <is>
          <t>제 73 기</t>
        </is>
      </c>
      <c r="N804" s="29" t="inlineStr">
        <is>
          <t>252582440798.0</t>
        </is>
      </c>
      <c r="O804" s="29" t="inlineStr">
        <is>
          <t>229385888355.0</t>
        </is>
      </c>
      <c r="P804" s="29" t="inlineStr">
        <is>
          <t>KRW</t>
        </is>
      </c>
      <c r="Q804" s="29" t="inlineStr">
        <is>
          <t>21</t>
        </is>
      </c>
    </row>
    <row r="805" ht="24" customHeight="1">
      <c r="A805" s="24" t="inlineStr">
        <is>
          <t>OpenDART_fnlttSinglAcntAll</t>
        </is>
      </c>
      <c r="B805" s="24" t="inlineStr">
        <is>
          <t>00160843</t>
        </is>
      </c>
      <c r="C805" s="24" t="inlineStr">
        <is>
          <t>DB하이텍</t>
        </is>
      </c>
      <c r="D805" s="24" t="inlineStr">
        <is>
          <t>dbhitek</t>
        </is>
      </c>
      <c r="E805" s="24" t="inlineStr">
        <is>
          <t>000990</t>
        </is>
      </c>
      <c r="F805" s="24" t="inlineStr">
        <is>
          <t>2025</t>
        </is>
      </c>
      <c r="G805" s="24" t="inlineStr">
        <is>
          <t>CFS</t>
        </is>
      </c>
      <c r="H805" s="24" t="inlineStr">
        <is>
          <t>IS</t>
        </is>
      </c>
      <c r="I805" s="24" t="inlineStr">
        <is>
          <t>손익계산서</t>
        </is>
      </c>
      <c r="J805" s="24" t="inlineStr">
        <is>
          <t>ifrs-full_ProfitLossAttributableToNoncontrollingInterests</t>
        </is>
      </c>
      <c r="K805" s="24" t="inlineStr">
        <is>
          <t>비지배지분에 귀속되는 당기순이익(손실)</t>
        </is>
      </c>
      <c r="L805" s="24" t="inlineStr">
        <is>
          <t>-</t>
        </is>
      </c>
      <c r="M805" s="24" t="inlineStr">
        <is>
          <t>제 73 기</t>
        </is>
      </c>
      <c r="N805" s="24" t="inlineStr">
        <is>
          <t>-3489459794.0</t>
        </is>
      </c>
      <c r="O805" s="24" t="inlineStr">
        <is>
          <t>-87727032.0</t>
        </is>
      </c>
      <c r="P805" s="24" t="inlineStr">
        <is>
          <t>KRW</t>
        </is>
      </c>
      <c r="Q805" s="24" t="inlineStr">
        <is>
          <t>23</t>
        </is>
      </c>
    </row>
    <row r="806" ht="24" customHeight="1">
      <c r="A806" s="29" t="inlineStr">
        <is>
          <t>OpenDART_fnlttSinglAcntAll</t>
        </is>
      </c>
      <c r="B806" s="29" t="inlineStr">
        <is>
          <t>00160843</t>
        </is>
      </c>
      <c r="C806" s="29" t="inlineStr">
        <is>
          <t>DB하이텍</t>
        </is>
      </c>
      <c r="D806" s="29" t="inlineStr">
        <is>
          <t>dbhitek</t>
        </is>
      </c>
      <c r="E806" s="29" t="inlineStr">
        <is>
          <t>000990</t>
        </is>
      </c>
      <c r="F806" s="29" t="inlineStr">
        <is>
          <t>2025</t>
        </is>
      </c>
      <c r="G806" s="29" t="inlineStr">
        <is>
          <t>CFS</t>
        </is>
      </c>
      <c r="H806" s="29" t="inlineStr">
        <is>
          <t>IS</t>
        </is>
      </c>
      <c r="I806" s="29" t="inlineStr">
        <is>
          <t>손익계산서</t>
        </is>
      </c>
      <c r="J806" s="29" t="inlineStr">
        <is>
          <t>ifrs-full_ProfitLossAttributableToOwnersOfParent</t>
        </is>
      </c>
      <c r="K806" s="29" t="inlineStr">
        <is>
          <t>지배기업의 소유주에게 귀속되는 당기순이익(손실)</t>
        </is>
      </c>
      <c r="L806" s="29" t="inlineStr">
        <is>
          <t>-</t>
        </is>
      </c>
      <c r="M806" s="29" t="inlineStr">
        <is>
          <t>제 73 기</t>
        </is>
      </c>
      <c r="N806" s="29" t="inlineStr">
        <is>
          <t>256071900592.0</t>
        </is>
      </c>
      <c r="O806" s="29" t="inlineStr">
        <is>
          <t>229473615387.0</t>
        </is>
      </c>
      <c r="P806" s="29" t="inlineStr">
        <is>
          <t>KRW</t>
        </is>
      </c>
      <c r="Q806" s="29" t="inlineStr">
        <is>
          <t>24</t>
        </is>
      </c>
    </row>
    <row r="807" ht="24" customHeight="1">
      <c r="A807" s="24" t="inlineStr">
        <is>
          <t>OpenDART_fnlttSinglAcntAll</t>
        </is>
      </c>
      <c r="B807" s="24" t="inlineStr">
        <is>
          <t>00160843</t>
        </is>
      </c>
      <c r="C807" s="24" t="inlineStr">
        <is>
          <t>DB하이텍</t>
        </is>
      </c>
      <c r="D807" s="24" t="inlineStr">
        <is>
          <t>dbhitek</t>
        </is>
      </c>
      <c r="E807" s="24" t="inlineStr">
        <is>
          <t>000990</t>
        </is>
      </c>
      <c r="F807" s="24" t="inlineStr">
        <is>
          <t>2025</t>
        </is>
      </c>
      <c r="G807" s="24" t="inlineStr">
        <is>
          <t>CFS</t>
        </is>
      </c>
      <c r="H807" s="24" t="inlineStr">
        <is>
          <t>IS</t>
        </is>
      </c>
      <c r="I807" s="24" t="inlineStr">
        <is>
          <t>손익계산서</t>
        </is>
      </c>
      <c r="J807" s="24" t="inlineStr">
        <is>
          <t>ifrs-full_ProfitLossBeforeTax</t>
        </is>
      </c>
      <c r="K807" s="24" t="inlineStr">
        <is>
          <t>법인세비용차감전순이익(손실)</t>
        </is>
      </c>
      <c r="L807" s="24" t="inlineStr">
        <is>
          <t>-</t>
        </is>
      </c>
      <c r="M807" s="24" t="inlineStr">
        <is>
          <t>제 73 기</t>
        </is>
      </c>
      <c r="N807" s="24" t="inlineStr">
        <is>
          <t>317916982782.0</t>
        </is>
      </c>
      <c r="O807" s="24" t="inlineStr">
        <is>
          <t>275842787027.0</t>
        </is>
      </c>
      <c r="P807" s="24" t="inlineStr">
        <is>
          <t>KRW</t>
        </is>
      </c>
      <c r="Q807" s="24" t="inlineStr">
        <is>
          <t>25</t>
        </is>
      </c>
    </row>
    <row r="808" ht="24" customHeight="1">
      <c r="A808" s="29" t="inlineStr">
        <is>
          <t>OpenDART_fnlttSinglAcntAll</t>
        </is>
      </c>
      <c r="B808" s="29" t="inlineStr">
        <is>
          <t>00160843</t>
        </is>
      </c>
      <c r="C808" s="29" t="inlineStr">
        <is>
          <t>DB하이텍</t>
        </is>
      </c>
      <c r="D808" s="29" t="inlineStr">
        <is>
          <t>dbhitek</t>
        </is>
      </c>
      <c r="E808" s="29" t="inlineStr">
        <is>
          <t>000990</t>
        </is>
      </c>
      <c r="F808" s="29" t="inlineStr">
        <is>
          <t>2025</t>
        </is>
      </c>
      <c r="G808" s="29" t="inlineStr">
        <is>
          <t>CFS</t>
        </is>
      </c>
      <c r="H808" s="29" t="inlineStr">
        <is>
          <t>IS</t>
        </is>
      </c>
      <c r="I808" s="29" t="inlineStr">
        <is>
          <t>손익계산서</t>
        </is>
      </c>
      <c r="J808" s="29" t="inlineStr">
        <is>
          <t>ifrs-full_Revenue</t>
        </is>
      </c>
      <c r="K808" s="29" t="inlineStr">
        <is>
          <t>수익(매출액)</t>
        </is>
      </c>
      <c r="L808" s="29" t="inlineStr">
        <is>
          <t>-</t>
        </is>
      </c>
      <c r="M808" s="29" t="inlineStr">
        <is>
          <t>제 73 기</t>
        </is>
      </c>
      <c r="N808" s="29" t="inlineStr">
        <is>
          <t>1397233307039.0</t>
        </is>
      </c>
      <c r="O808" s="29" t="inlineStr">
        <is>
          <t>1131167709804.0</t>
        </is>
      </c>
      <c r="P808" s="29" t="inlineStr">
        <is>
          <t>KRW</t>
        </is>
      </c>
      <c r="Q808" s="29" t="inlineStr">
        <is>
          <t>26</t>
        </is>
      </c>
    </row>
    <row r="809" ht="24" customHeight="1">
      <c r="A809" s="24" t="inlineStr">
        <is>
          <t>OpenDART_fnlttSinglAcntAll</t>
        </is>
      </c>
      <c r="B809" s="24" t="inlineStr">
        <is>
          <t>00160843</t>
        </is>
      </c>
      <c r="C809" s="24" t="inlineStr">
        <is>
          <t>DB하이텍</t>
        </is>
      </c>
      <c r="D809" s="24" t="inlineStr">
        <is>
          <t>dbhitek</t>
        </is>
      </c>
      <c r="E809" s="24" t="inlineStr">
        <is>
          <t>000990</t>
        </is>
      </c>
      <c r="F809" s="24" t="inlineStr">
        <is>
          <t>2025</t>
        </is>
      </c>
      <c r="G809" s="24" t="inlineStr">
        <is>
          <t>CFS</t>
        </is>
      </c>
      <c r="H809" s="24" t="inlineStr">
        <is>
          <t>CIS</t>
        </is>
      </c>
      <c r="I809" s="24" t="inlineStr">
        <is>
          <t>포괄손익계산서</t>
        </is>
      </c>
      <c r="J809" s="24" t="inlineStr">
        <is>
          <t>ifrs-full_ComprehensiveIncome</t>
        </is>
      </c>
      <c r="K809" s="24" t="inlineStr">
        <is>
          <t>총포괄손익</t>
        </is>
      </c>
      <c r="L809" s="24" t="inlineStr">
        <is>
          <t>-</t>
        </is>
      </c>
      <c r="M809" s="24" t="inlineStr">
        <is>
          <t>제 73 기</t>
        </is>
      </c>
      <c r="N809" s="24" t="inlineStr">
        <is>
          <t>249543743647.0</t>
        </is>
      </c>
      <c r="O809" s="24" t="inlineStr">
        <is>
          <t>237816812565.0</t>
        </is>
      </c>
      <c r="P809" s="24" t="inlineStr">
        <is>
          <t>KRW</t>
        </is>
      </c>
      <c r="Q809" s="24" t="inlineStr">
        <is>
          <t>6</t>
        </is>
      </c>
    </row>
    <row r="810" ht="24" customHeight="1">
      <c r="A810" s="29" t="inlineStr">
        <is>
          <t>OpenDART_fnlttSinglAcntAll</t>
        </is>
      </c>
      <c r="B810" s="29" t="inlineStr">
        <is>
          <t>00160843</t>
        </is>
      </c>
      <c r="C810" s="29" t="inlineStr">
        <is>
          <t>DB하이텍</t>
        </is>
      </c>
      <c r="D810" s="29" t="inlineStr">
        <is>
          <t>dbhitek</t>
        </is>
      </c>
      <c r="E810" s="29" t="inlineStr">
        <is>
          <t>000990</t>
        </is>
      </c>
      <c r="F810" s="29" t="inlineStr">
        <is>
          <t>2025</t>
        </is>
      </c>
      <c r="G810" s="29" t="inlineStr">
        <is>
          <t>CFS</t>
        </is>
      </c>
      <c r="H810" s="29" t="inlineStr">
        <is>
          <t>CIS</t>
        </is>
      </c>
      <c r="I810" s="29" t="inlineStr">
        <is>
          <t>포괄손익계산서</t>
        </is>
      </c>
      <c r="J810" s="29" t="inlineStr">
        <is>
          <t>ifrs-full_ComprehensiveIncomeAttributableToNoncontrollingInterests</t>
        </is>
      </c>
      <c r="K810" s="29" t="inlineStr">
        <is>
          <t>포괄손익, 비지배지분</t>
        </is>
      </c>
      <c r="L810" s="29" t="inlineStr">
        <is>
          <t>-</t>
        </is>
      </c>
      <c r="M810" s="29" t="inlineStr">
        <is>
          <t>제 73 기</t>
        </is>
      </c>
      <c r="N810" s="29" t="inlineStr">
        <is>
          <t>-3202603975.0</t>
        </is>
      </c>
      <c r="O810" s="29" t="inlineStr">
        <is>
          <t>-87727032.0</t>
        </is>
      </c>
      <c r="P810" s="29" t="inlineStr">
        <is>
          <t>KRW</t>
        </is>
      </c>
      <c r="Q810" s="29" t="inlineStr">
        <is>
          <t>8</t>
        </is>
      </c>
    </row>
    <row r="811" ht="24" customHeight="1">
      <c r="A811" s="24" t="inlineStr">
        <is>
          <t>OpenDART_fnlttSinglAcntAll</t>
        </is>
      </c>
      <c r="B811" s="24" t="inlineStr">
        <is>
          <t>00160843</t>
        </is>
      </c>
      <c r="C811" s="24" t="inlineStr">
        <is>
          <t>DB하이텍</t>
        </is>
      </c>
      <c r="D811" s="24" t="inlineStr">
        <is>
          <t>dbhitek</t>
        </is>
      </c>
      <c r="E811" s="24" t="inlineStr">
        <is>
          <t>000990</t>
        </is>
      </c>
      <c r="F811" s="24" t="inlineStr">
        <is>
          <t>2025</t>
        </is>
      </c>
      <c r="G811" s="24" t="inlineStr">
        <is>
          <t>CFS</t>
        </is>
      </c>
      <c r="H811" s="24" t="inlineStr">
        <is>
          <t>CIS</t>
        </is>
      </c>
      <c r="I811" s="24" t="inlineStr">
        <is>
          <t>포괄손익계산서</t>
        </is>
      </c>
      <c r="J811" s="24" t="inlineStr">
        <is>
          <t>ifrs-full_ComprehensiveIncomeAttributableToOwnersOfParent</t>
        </is>
      </c>
      <c r="K811" s="24" t="inlineStr">
        <is>
          <t>포괄손익, 지배기업의 소유주에게 귀속되는 지분</t>
        </is>
      </c>
      <c r="L811" s="24" t="inlineStr">
        <is>
          <t>-</t>
        </is>
      </c>
      <c r="M811" s="24" t="inlineStr">
        <is>
          <t>제 73 기</t>
        </is>
      </c>
      <c r="N811" s="24" t="inlineStr">
        <is>
          <t>252746347622.0</t>
        </is>
      </c>
      <c r="O811" s="24" t="inlineStr">
        <is>
          <t>237904539597.0</t>
        </is>
      </c>
      <c r="P811" s="24" t="inlineStr">
        <is>
          <t>KRW</t>
        </is>
      </c>
      <c r="Q811" s="24" t="inlineStr">
        <is>
          <t>9</t>
        </is>
      </c>
    </row>
    <row r="812" ht="24" customHeight="1">
      <c r="A812" s="29" t="inlineStr">
        <is>
          <t>OpenDART_fnlttSinglAcntAll</t>
        </is>
      </c>
      <c r="B812" s="29" t="inlineStr">
        <is>
          <t>00160843</t>
        </is>
      </c>
      <c r="C812" s="29" t="inlineStr">
        <is>
          <t>DB하이텍</t>
        </is>
      </c>
      <c r="D812" s="29" t="inlineStr">
        <is>
          <t>dbhitek</t>
        </is>
      </c>
      <c r="E812" s="29" t="inlineStr">
        <is>
          <t>000990</t>
        </is>
      </c>
      <c r="F812" s="29" t="inlineStr">
        <is>
          <t>2025</t>
        </is>
      </c>
      <c r="G812" s="29" t="inlineStr">
        <is>
          <t>CFS</t>
        </is>
      </c>
      <c r="H812" s="29" t="inlineStr">
        <is>
          <t>CIS</t>
        </is>
      </c>
      <c r="I812" s="29" t="inlineStr">
        <is>
          <t>포괄손익계산서</t>
        </is>
      </c>
      <c r="J812" s="29" t="inlineStr">
        <is>
          <t>ifrs-full_OtherComprehensiveIncome</t>
        </is>
      </c>
      <c r="K812" s="29" t="inlineStr">
        <is>
          <t>기타포괄손익</t>
        </is>
      </c>
      <c r="L812" s="29" t="inlineStr">
        <is>
          <t>-</t>
        </is>
      </c>
      <c r="M812" s="29" t="inlineStr">
        <is>
          <t>제 73 기</t>
        </is>
      </c>
      <c r="N812" s="29" t="inlineStr">
        <is>
          <t>-3038697151.0</t>
        </is>
      </c>
      <c r="O812" s="29" t="inlineStr">
        <is>
          <t>8430924210.0</t>
        </is>
      </c>
      <c r="P812" s="29" t="inlineStr">
        <is>
          <t>KRW</t>
        </is>
      </c>
      <c r="Q812" s="29" t="inlineStr">
        <is>
          <t>10</t>
        </is>
      </c>
    </row>
    <row r="813" ht="24" customHeight="1">
      <c r="A813" s="24" t="inlineStr">
        <is>
          <t>OpenDART_fnlttSinglAcntAll</t>
        </is>
      </c>
      <c r="B813" s="24" t="inlineStr">
        <is>
          <t>00160843</t>
        </is>
      </c>
      <c r="C813" s="24" t="inlineStr">
        <is>
          <t>DB하이텍</t>
        </is>
      </c>
      <c r="D813" s="24" t="inlineStr">
        <is>
          <t>dbhitek</t>
        </is>
      </c>
      <c r="E813" s="24" t="inlineStr">
        <is>
          <t>000990</t>
        </is>
      </c>
      <c r="F813" s="24" t="inlineStr">
        <is>
          <t>2025</t>
        </is>
      </c>
      <c r="G813" s="24" t="inlineStr">
        <is>
          <t>CFS</t>
        </is>
      </c>
      <c r="H813" s="24" t="inlineStr">
        <is>
          <t>CIS</t>
        </is>
      </c>
      <c r="I813" s="24" t="inlineStr">
        <is>
          <t>포괄손익계산서</t>
        </is>
      </c>
      <c r="J813" s="24" t="inlineStr">
        <is>
          <t>ifrs-full_OtherComprehensiveIncomeThatWillBeReclassifiedToProfitOrLossNetOfTax</t>
        </is>
      </c>
      <c r="K813" s="24" t="inlineStr">
        <is>
          <t>당기손익으로 재분류될 수 있는 항목(세후기타포괄손익)</t>
        </is>
      </c>
      <c r="L813" s="24" t="inlineStr">
        <is>
          <t>-</t>
        </is>
      </c>
      <c r="M813" s="24" t="inlineStr">
        <is>
          <t>제 73 기</t>
        </is>
      </c>
      <c r="N813" s="24" t="inlineStr">
        <is>
          <t>-128451105.0</t>
        </is>
      </c>
      <c r="O813" s="24" t="inlineStr">
        <is>
          <t>1919793811.0</t>
        </is>
      </c>
      <c r="P813" s="24" t="inlineStr">
        <is>
          <t>KRW</t>
        </is>
      </c>
      <c r="Q813" s="24" t="inlineStr">
        <is>
          <t>11</t>
        </is>
      </c>
    </row>
    <row r="814" ht="24" customHeight="1">
      <c r="A814" s="29" t="inlineStr">
        <is>
          <t>OpenDART_fnlttSinglAcntAll</t>
        </is>
      </c>
      <c r="B814" s="29" t="inlineStr">
        <is>
          <t>00160843</t>
        </is>
      </c>
      <c r="C814" s="29" t="inlineStr">
        <is>
          <t>DB하이텍</t>
        </is>
      </c>
      <c r="D814" s="29" t="inlineStr">
        <is>
          <t>dbhitek</t>
        </is>
      </c>
      <c r="E814" s="29" t="inlineStr">
        <is>
          <t>000990</t>
        </is>
      </c>
      <c r="F814" s="29" t="inlineStr">
        <is>
          <t>2025</t>
        </is>
      </c>
      <c r="G814" s="29" t="inlineStr">
        <is>
          <t>CFS</t>
        </is>
      </c>
      <c r="H814" s="29" t="inlineStr">
        <is>
          <t>CIS</t>
        </is>
      </c>
      <c r="I814" s="29" t="inlineStr">
        <is>
          <t>포괄손익계산서</t>
        </is>
      </c>
      <c r="J814" s="29" t="inlineStr">
        <is>
          <t>ifrs-full_GainsLossesOnExchangeDifferencesOnTranslationNetOfTax</t>
        </is>
      </c>
      <c r="K814" s="29" t="inlineStr">
        <is>
          <t>해외사업장환산외환차이(세후기타포괄손익)</t>
        </is>
      </c>
      <c r="L814" s="29" t="inlineStr">
        <is>
          <t>-</t>
        </is>
      </c>
      <c r="M814" s="29" t="inlineStr">
        <is>
          <t>제 73 기</t>
        </is>
      </c>
      <c r="N814" s="29" t="inlineStr">
        <is>
          <t>-320132387.0</t>
        </is>
      </c>
      <c r="O814" s="29" t="inlineStr">
        <is>
          <t>891061188.0</t>
        </is>
      </c>
      <c r="P814" s="29" t="inlineStr">
        <is>
          <t>KRW</t>
        </is>
      </c>
      <c r="Q814" s="29" t="inlineStr">
        <is>
          <t>12</t>
        </is>
      </c>
    </row>
    <row r="815" ht="24" customHeight="1">
      <c r="A815" s="24" t="inlineStr">
        <is>
          <t>OpenDART_fnlttSinglAcntAll</t>
        </is>
      </c>
      <c r="B815" s="24" t="inlineStr">
        <is>
          <t>00160843</t>
        </is>
      </c>
      <c r="C815" s="24" t="inlineStr">
        <is>
          <t>DB하이텍</t>
        </is>
      </c>
      <c r="D815" s="24" t="inlineStr">
        <is>
          <t>dbhitek</t>
        </is>
      </c>
      <c r="E815" s="24" t="inlineStr">
        <is>
          <t>000990</t>
        </is>
      </c>
      <c r="F815" s="24" t="inlineStr">
        <is>
          <t>2025</t>
        </is>
      </c>
      <c r="G815" s="24" t="inlineStr">
        <is>
          <t>CFS</t>
        </is>
      </c>
      <c r="H815" s="24" t="inlineStr">
        <is>
          <t>CIS</t>
        </is>
      </c>
      <c r="I815" s="24" t="inlineStr">
        <is>
          <t>포괄손익계산서</t>
        </is>
      </c>
      <c r="J815" s="24" t="inlineStr">
        <is>
          <t>ifrs-full_ShareOfOtherComprehensiveIncomeOfAssociatesAndJointVenturesAccountedForUsingEquityMethodThatWillBeReclassifiedToProfitOrLossNetOfTax</t>
        </is>
      </c>
      <c r="K815" s="24" t="inlineStr">
        <is>
          <t>지분법 적용대상 관계기업과 공동기업의 기타포괄손익에 대한 지분(세후기타포괄손익)</t>
        </is>
      </c>
      <c r="L815" s="24" t="inlineStr">
        <is>
          <t>-</t>
        </is>
      </c>
      <c r="M815" s="24" t="inlineStr">
        <is>
          <t>제 73 기</t>
        </is>
      </c>
      <c r="N815" s="24" t="inlineStr">
        <is>
          <t>191681282.0</t>
        </is>
      </c>
      <c r="O815" s="24" t="inlineStr">
        <is>
          <t>1028732623.0</t>
        </is>
      </c>
      <c r="P815" s="24" t="inlineStr">
        <is>
          <t>KRW</t>
        </is>
      </c>
      <c r="Q815" s="24" t="inlineStr">
        <is>
          <t>13</t>
        </is>
      </c>
    </row>
    <row r="816" ht="24" customHeight="1">
      <c r="A816" s="29" t="inlineStr">
        <is>
          <t>OpenDART_fnlttSinglAcntAll</t>
        </is>
      </c>
      <c r="B816" s="29" t="inlineStr">
        <is>
          <t>00160843</t>
        </is>
      </c>
      <c r="C816" s="29" t="inlineStr">
        <is>
          <t>DB하이텍</t>
        </is>
      </c>
      <c r="D816" s="29" t="inlineStr">
        <is>
          <t>dbhitek</t>
        </is>
      </c>
      <c r="E816" s="29" t="inlineStr">
        <is>
          <t>000990</t>
        </is>
      </c>
      <c r="F816" s="29" t="inlineStr">
        <is>
          <t>2025</t>
        </is>
      </c>
      <c r="G816" s="29" t="inlineStr">
        <is>
          <t>CFS</t>
        </is>
      </c>
      <c r="H816" s="29" t="inlineStr">
        <is>
          <t>CIS</t>
        </is>
      </c>
      <c r="I816" s="29" t="inlineStr">
        <is>
          <t>포괄손익계산서</t>
        </is>
      </c>
      <c r="J816" s="29" t="inlineStr">
        <is>
          <t>ifrs-full_OtherComprehensiveIncomeThatWillNotBeReclassifiedToProfitOrLossNetOfTax</t>
        </is>
      </c>
      <c r="K816" s="29" t="inlineStr">
        <is>
          <t>당기손익으로 재분류되지 않는항목(세후기타포괄손익)</t>
        </is>
      </c>
      <c r="L816" s="29" t="inlineStr">
        <is>
          <t>-</t>
        </is>
      </c>
      <c r="M816" s="29" t="inlineStr">
        <is>
          <t>제 73 기</t>
        </is>
      </c>
      <c r="N816" s="29" t="inlineStr">
        <is>
          <t>-2910246046.0</t>
        </is>
      </c>
      <c r="O816" s="29" t="inlineStr">
        <is>
          <t>6511130399.0</t>
        </is>
      </c>
      <c r="P816" s="29" t="inlineStr">
        <is>
          <t>KRW</t>
        </is>
      </c>
      <c r="Q816" s="29" t="inlineStr">
        <is>
          <t>14</t>
        </is>
      </c>
    </row>
    <row r="817" ht="24" customHeight="1">
      <c r="A817" s="24" t="inlineStr">
        <is>
          <t>OpenDART_fnlttSinglAcntAll</t>
        </is>
      </c>
      <c r="B817" s="24" t="inlineStr">
        <is>
          <t>00160843</t>
        </is>
      </c>
      <c r="C817" s="24" t="inlineStr">
        <is>
          <t>DB하이텍</t>
        </is>
      </c>
      <c r="D817" s="24" t="inlineStr">
        <is>
          <t>dbhitek</t>
        </is>
      </c>
      <c r="E817" s="24" t="inlineStr">
        <is>
          <t>000990</t>
        </is>
      </c>
      <c r="F817" s="24" t="inlineStr">
        <is>
          <t>2025</t>
        </is>
      </c>
      <c r="G817" s="24" t="inlineStr">
        <is>
          <t>CFS</t>
        </is>
      </c>
      <c r="H817" s="24" t="inlineStr">
        <is>
          <t>CIS</t>
        </is>
      </c>
      <c r="I817" s="24" t="inlineStr">
        <is>
          <t>포괄손익계산서</t>
        </is>
      </c>
      <c r="J817" s="24" t="inlineStr">
        <is>
          <t>ifrs-full_OtherComprehensiveIncomeNetOfTaxGainsLossesFromInvestmentsInEquityInstruments</t>
        </is>
      </c>
      <c r="K817" s="24" t="inlineStr">
        <is>
          <t>세후기타포괄손익, 지분상품에 대한 투자자산</t>
        </is>
      </c>
      <c r="L817" s="24" t="inlineStr">
        <is>
          <t>-</t>
        </is>
      </c>
      <c r="M817" s="24" t="inlineStr">
        <is>
          <t>제 73 기</t>
        </is>
      </c>
      <c r="N817" s="24" t="inlineStr">
        <is>
          <t>-357526468.0</t>
        </is>
      </c>
      <c r="O817" s="24" t="inlineStr">
        <is>
          <t>11576787722.0</t>
        </is>
      </c>
      <c r="P817" s="24" t="inlineStr">
        <is>
          <t>KRW</t>
        </is>
      </c>
      <c r="Q817" s="24" t="inlineStr">
        <is>
          <t>15</t>
        </is>
      </c>
    </row>
    <row r="818" ht="24" customHeight="1">
      <c r="A818" s="29" t="inlineStr">
        <is>
          <t>OpenDART_fnlttSinglAcntAll</t>
        </is>
      </c>
      <c r="B818" s="29" t="inlineStr">
        <is>
          <t>00160843</t>
        </is>
      </c>
      <c r="C818" s="29" t="inlineStr">
        <is>
          <t>DB하이텍</t>
        </is>
      </c>
      <c r="D818" s="29" t="inlineStr">
        <is>
          <t>dbhitek</t>
        </is>
      </c>
      <c r="E818" s="29" t="inlineStr">
        <is>
          <t>000990</t>
        </is>
      </c>
      <c r="F818" s="29" t="inlineStr">
        <is>
          <t>2025</t>
        </is>
      </c>
      <c r="G818" s="29" t="inlineStr">
        <is>
          <t>CFS</t>
        </is>
      </c>
      <c r="H818" s="29" t="inlineStr">
        <is>
          <t>CIS</t>
        </is>
      </c>
      <c r="I818" s="29" t="inlineStr">
        <is>
          <t>포괄손익계산서</t>
        </is>
      </c>
      <c r="J818" s="29" t="inlineStr">
        <is>
          <t>ifrs-full_OtherComprehensiveIncomeNetOfTaxGainsLossesOnRemeasurementsOfDefinedBenefitPlans</t>
        </is>
      </c>
      <c r="K818" s="29" t="inlineStr">
        <is>
          <t>확정급여제도의 재측정손익(세후기타포괄손익)</t>
        </is>
      </c>
      <c r="L818" s="29" t="inlineStr">
        <is>
          <t>-</t>
        </is>
      </c>
      <c r="M818" s="29" t="inlineStr">
        <is>
          <t>제 73 기</t>
        </is>
      </c>
      <c r="N818" s="29" t="inlineStr">
        <is>
          <t>-2421165686.0</t>
        </is>
      </c>
      <c r="O818" s="29" t="inlineStr">
        <is>
          <t>-4141655081.0</t>
        </is>
      </c>
      <c r="P818" s="29" t="inlineStr">
        <is>
          <t>KRW</t>
        </is>
      </c>
      <c r="Q818" s="29" t="inlineStr">
        <is>
          <t>16</t>
        </is>
      </c>
    </row>
    <row r="819" ht="24" customHeight="1">
      <c r="A819" s="24" t="inlineStr">
        <is>
          <t>OpenDART_fnlttSinglAcntAll</t>
        </is>
      </c>
      <c r="B819" s="24" t="inlineStr">
        <is>
          <t>00160843</t>
        </is>
      </c>
      <c r="C819" s="24" t="inlineStr">
        <is>
          <t>DB하이텍</t>
        </is>
      </c>
      <c r="D819" s="24" t="inlineStr">
        <is>
          <t>dbhitek</t>
        </is>
      </c>
      <c r="E819" s="24" t="inlineStr">
        <is>
          <t>000990</t>
        </is>
      </c>
      <c r="F819" s="24" t="inlineStr">
        <is>
          <t>2025</t>
        </is>
      </c>
      <c r="G819" s="24" t="inlineStr">
        <is>
          <t>CFS</t>
        </is>
      </c>
      <c r="H819" s="24" t="inlineStr">
        <is>
          <t>CIS</t>
        </is>
      </c>
      <c r="I819" s="24" t="inlineStr">
        <is>
          <t>포괄손익계산서</t>
        </is>
      </c>
      <c r="J819" s="24" t="inlineStr">
        <is>
          <t>ifrs-full_ShareOfOtherComprehensiveIncomeOfAssociatesAndJointVenturesAccountedForUsingEquityMethodThatWillNotBeReclassifiedToProfitOrLossNetOfTax</t>
        </is>
      </c>
      <c r="K819" s="24" t="inlineStr">
        <is>
          <t>지분법 적용대상 관계기업과 공동기업의 기타포괄손익에 대한 지분(세후기타포괄손익)</t>
        </is>
      </c>
      <c r="L819" s="24" t="inlineStr">
        <is>
          <t>-</t>
        </is>
      </c>
      <c r="M819" s="24" t="inlineStr">
        <is>
          <t>제 73 기</t>
        </is>
      </c>
      <c r="N819" s="24" t="inlineStr">
        <is>
          <t>-131553892.0</t>
        </is>
      </c>
      <c r="O819" s="24" t="inlineStr">
        <is>
          <t>-924002242.0</t>
        </is>
      </c>
      <c r="P819" s="24" t="inlineStr">
        <is>
          <t>KRW</t>
        </is>
      </c>
      <c r="Q819" s="24" t="inlineStr">
        <is>
          <t>17</t>
        </is>
      </c>
    </row>
    <row r="820" ht="24" customHeight="1">
      <c r="A820" s="29" t="inlineStr">
        <is>
          <t>OpenDART_fnlttSinglAcntAll</t>
        </is>
      </c>
      <c r="B820" s="29" t="inlineStr">
        <is>
          <t>00160843</t>
        </is>
      </c>
      <c r="C820" s="29" t="inlineStr">
        <is>
          <t>DB하이텍</t>
        </is>
      </c>
      <c r="D820" s="29" t="inlineStr">
        <is>
          <t>dbhitek</t>
        </is>
      </c>
      <c r="E820" s="29" t="inlineStr">
        <is>
          <t>000990</t>
        </is>
      </c>
      <c r="F820" s="29" t="inlineStr">
        <is>
          <t>2025</t>
        </is>
      </c>
      <c r="G820" s="29" t="inlineStr">
        <is>
          <t>CFS</t>
        </is>
      </c>
      <c r="H820" s="29" t="inlineStr">
        <is>
          <t>CIS</t>
        </is>
      </c>
      <c r="I820" s="29" t="inlineStr">
        <is>
          <t>포괄손익계산서</t>
        </is>
      </c>
      <c r="J820" s="29" t="inlineStr">
        <is>
          <t>ifrs-full_ProfitLoss</t>
        </is>
      </c>
      <c r="K820" s="29" t="inlineStr">
        <is>
          <t>당기순이익(손실)</t>
        </is>
      </c>
      <c r="L820" s="29" t="inlineStr">
        <is>
          <t>-</t>
        </is>
      </c>
      <c r="M820" s="29" t="inlineStr">
        <is>
          <t>제 73 기</t>
        </is>
      </c>
      <c r="N820" s="29" t="inlineStr">
        <is>
          <t>252582440798.0</t>
        </is>
      </c>
      <c r="O820" s="29" t="inlineStr">
        <is>
          <t>229385888355.0</t>
        </is>
      </c>
      <c r="P820" s="29" t="inlineStr">
        <is>
          <t>KRW</t>
        </is>
      </c>
      <c r="Q820" s="29" t="inlineStr">
        <is>
          <t>18</t>
        </is>
      </c>
    </row>
    <row r="821" ht="24" customHeight="1">
      <c r="A821" s="24" t="inlineStr">
        <is>
          <t>OpenDART_fnlttSinglAcntAll</t>
        </is>
      </c>
      <c r="B821" s="24" t="inlineStr">
        <is>
          <t>00160843</t>
        </is>
      </c>
      <c r="C821" s="24" t="inlineStr">
        <is>
          <t>DB하이텍</t>
        </is>
      </c>
      <c r="D821" s="24" t="inlineStr">
        <is>
          <t>dbhitek</t>
        </is>
      </c>
      <c r="E821" s="24" t="inlineStr">
        <is>
          <t>000990</t>
        </is>
      </c>
      <c r="F821" s="24" t="inlineStr">
        <is>
          <t>2025</t>
        </is>
      </c>
      <c r="G821" s="24" t="inlineStr">
        <is>
          <t>CFS</t>
        </is>
      </c>
      <c r="H821" s="24" t="inlineStr">
        <is>
          <t>CF</t>
        </is>
      </c>
      <c r="I821" s="24" t="inlineStr">
        <is>
          <t>현금흐름표</t>
        </is>
      </c>
      <c r="J821" s="24" t="inlineStr">
        <is>
          <t>dart_CashAndCashEquivalentsAtBeginningOfPeriodCf</t>
        </is>
      </c>
      <c r="K821" s="24" t="inlineStr">
        <is>
          <t>기초현금및현금성자산</t>
        </is>
      </c>
      <c r="L821" s="24" t="inlineStr">
        <is>
          <t>-</t>
        </is>
      </c>
      <c r="M821" s="24" t="inlineStr">
        <is>
          <t>제 73 기</t>
        </is>
      </c>
      <c r="N821" s="24" t="inlineStr">
        <is>
          <t>297054100758.0</t>
        </is>
      </c>
      <c r="O821" s="24" t="inlineStr">
        <is>
          <t>253329763803.0</t>
        </is>
      </c>
      <c r="P821" s="24" t="inlineStr">
        <is>
          <t>KRW</t>
        </is>
      </c>
      <c r="Q821" s="24" t="inlineStr">
        <is>
          <t>2</t>
        </is>
      </c>
    </row>
    <row r="822" ht="24" customHeight="1">
      <c r="A822" s="29" t="inlineStr">
        <is>
          <t>OpenDART_fnlttSinglAcntAll</t>
        </is>
      </c>
      <c r="B822" s="29" t="inlineStr">
        <is>
          <t>00160843</t>
        </is>
      </c>
      <c r="C822" s="29" t="inlineStr">
        <is>
          <t>DB하이텍</t>
        </is>
      </c>
      <c r="D822" s="29" t="inlineStr">
        <is>
          <t>dbhitek</t>
        </is>
      </c>
      <c r="E822" s="29" t="inlineStr">
        <is>
          <t>000990</t>
        </is>
      </c>
      <c r="F822" s="29" t="inlineStr">
        <is>
          <t>2025</t>
        </is>
      </c>
      <c r="G822" s="29" t="inlineStr">
        <is>
          <t>CFS</t>
        </is>
      </c>
      <c r="H822" s="29" t="inlineStr">
        <is>
          <t>CF</t>
        </is>
      </c>
      <c r="I822" s="29" t="inlineStr">
        <is>
          <t>현금흐름표</t>
        </is>
      </c>
      <c r="J822" s="29" t="inlineStr">
        <is>
          <t>dart_CashAndCashEquivalentsAtEndOfPeriodCf</t>
        </is>
      </c>
      <c r="K822" s="29" t="inlineStr">
        <is>
          <t>기말현금및현금성자산</t>
        </is>
      </c>
      <c r="L822" s="29" t="inlineStr">
        <is>
          <t>-</t>
        </is>
      </c>
      <c r="M822" s="29" t="inlineStr">
        <is>
          <t>제 73 기</t>
        </is>
      </c>
      <c r="N822" s="29" t="inlineStr">
        <is>
          <t>323054472680.0</t>
        </is>
      </c>
      <c r="O822" s="29" t="inlineStr">
        <is>
          <t>297054100758.0</t>
        </is>
      </c>
      <c r="P822" s="29" t="inlineStr">
        <is>
          <t>KRW</t>
        </is>
      </c>
      <c r="Q822" s="29" t="inlineStr">
        <is>
          <t>3</t>
        </is>
      </c>
    </row>
    <row r="823" ht="24" customHeight="1">
      <c r="A823" s="24" t="inlineStr">
        <is>
          <t>OpenDART_fnlttSinglAcntAll</t>
        </is>
      </c>
      <c r="B823" s="24" t="inlineStr">
        <is>
          <t>00160843</t>
        </is>
      </c>
      <c r="C823" s="24" t="inlineStr">
        <is>
          <t>DB하이텍</t>
        </is>
      </c>
      <c r="D823" s="24" t="inlineStr">
        <is>
          <t>dbhitek</t>
        </is>
      </c>
      <c r="E823" s="24" t="inlineStr">
        <is>
          <t>000990</t>
        </is>
      </c>
      <c r="F823" s="24" t="inlineStr">
        <is>
          <t>2025</t>
        </is>
      </c>
      <c r="G823" s="24" t="inlineStr">
        <is>
          <t>CFS</t>
        </is>
      </c>
      <c r="H823" s="24" t="inlineStr">
        <is>
          <t>CF</t>
        </is>
      </c>
      <c r="I823" s="24" t="inlineStr">
        <is>
          <t>현금흐름표</t>
        </is>
      </c>
      <c r="J823" s="24" t="inlineStr">
        <is>
          <t>ifrs-full_CashFlowsFromUsedInFinancingActivities</t>
        </is>
      </c>
      <c r="K823" s="24" t="inlineStr">
        <is>
          <t>재무활동현금흐름</t>
        </is>
      </c>
      <c r="L823" s="24" t="inlineStr">
        <is>
          <t>-</t>
        </is>
      </c>
      <c r="M823" s="24" t="inlineStr">
        <is>
          <t>제 73 기</t>
        </is>
      </c>
      <c r="N823" s="24" t="inlineStr">
        <is>
          <t>67741285713.0</t>
        </is>
      </c>
      <c r="O823" s="24" t="inlineStr">
        <is>
          <t>-11398668194.0</t>
        </is>
      </c>
      <c r="P823" s="24" t="inlineStr">
        <is>
          <t>KRW</t>
        </is>
      </c>
      <c r="Q823" s="24" t="inlineStr">
        <is>
          <t>8</t>
        </is>
      </c>
    </row>
    <row r="824" ht="24" customHeight="1">
      <c r="A824" s="29" t="inlineStr">
        <is>
          <t>OpenDART_fnlttSinglAcntAll</t>
        </is>
      </c>
      <c r="B824" s="29" t="inlineStr">
        <is>
          <t>00160843</t>
        </is>
      </c>
      <c r="C824" s="29" t="inlineStr">
        <is>
          <t>DB하이텍</t>
        </is>
      </c>
      <c r="D824" s="29" t="inlineStr">
        <is>
          <t>dbhitek</t>
        </is>
      </c>
      <c r="E824" s="29" t="inlineStr">
        <is>
          <t>000990</t>
        </is>
      </c>
      <c r="F824" s="29" t="inlineStr">
        <is>
          <t>2025</t>
        </is>
      </c>
      <c r="G824" s="29" t="inlineStr">
        <is>
          <t>CFS</t>
        </is>
      </c>
      <c r="H824" s="29" t="inlineStr">
        <is>
          <t>CF</t>
        </is>
      </c>
      <c r="I824" s="29" t="inlineStr">
        <is>
          <t>현금흐름표</t>
        </is>
      </c>
      <c r="J824" s="29" t="inlineStr">
        <is>
          <t>dart_AcquisitionOfTreasuryShares</t>
        </is>
      </c>
      <c r="K824" s="29" t="inlineStr">
        <is>
          <t>자기주식의 취득으로 인한 현금의 유출</t>
        </is>
      </c>
      <c r="L824" s="29" t="inlineStr">
        <is>
          <t>-</t>
        </is>
      </c>
      <c r="M824" s="29" t="inlineStr">
        <is>
          <t>제 73 기</t>
        </is>
      </c>
      <c r="N824" s="29" t="inlineStr">
        <is>
          <t>44996823350.0</t>
        </is>
      </c>
      <c r="O824" s="29" t="inlineStr">
        <is>
          <t>20000876130.0</t>
        </is>
      </c>
      <c r="P824" s="29" t="inlineStr">
        <is>
          <t>KRW</t>
        </is>
      </c>
      <c r="Q824" s="29" t="inlineStr">
        <is>
          <t>9</t>
        </is>
      </c>
    </row>
    <row r="825" ht="24" customHeight="1">
      <c r="A825" s="24" t="inlineStr">
        <is>
          <t>OpenDART_fnlttSinglAcntAll</t>
        </is>
      </c>
      <c r="B825" s="24" t="inlineStr">
        <is>
          <t>00160843</t>
        </is>
      </c>
      <c r="C825" s="24" t="inlineStr">
        <is>
          <t>DB하이텍</t>
        </is>
      </c>
      <c r="D825" s="24" t="inlineStr">
        <is>
          <t>dbhitek</t>
        </is>
      </c>
      <c r="E825" s="24" t="inlineStr">
        <is>
          <t>000990</t>
        </is>
      </c>
      <c r="F825" s="24" t="inlineStr">
        <is>
          <t>2025</t>
        </is>
      </c>
      <c r="G825" s="24" t="inlineStr">
        <is>
          <t>CFS</t>
        </is>
      </c>
      <c r="H825" s="24" t="inlineStr">
        <is>
          <t>CF</t>
        </is>
      </c>
      <c r="I825" s="24" t="inlineStr">
        <is>
          <t>현금흐름표</t>
        </is>
      </c>
      <c r="J825" s="24" t="inlineStr">
        <is>
          <t>dart_DecreaseInGuaranteeDepositsAsFinancialActivities</t>
        </is>
      </c>
      <c r="K825" s="24" t="inlineStr">
        <is>
          <t>임대보증금의 감소</t>
        </is>
      </c>
      <c r="L825" s="24" t="inlineStr">
        <is>
          <t>-</t>
        </is>
      </c>
      <c r="M825" s="24" t="inlineStr">
        <is>
          <t>제 73 기</t>
        </is>
      </c>
      <c r="N825" s="24" t="inlineStr">
        <is>
          <t>61200000.0</t>
        </is>
      </c>
      <c r="O825" s="24" t="inlineStr">
        <is>
          <t>해당 없음</t>
        </is>
      </c>
      <c r="P825" s="24" t="inlineStr">
        <is>
          <t>KRW</t>
        </is>
      </c>
      <c r="Q825" s="24" t="inlineStr">
        <is>
          <t>10</t>
        </is>
      </c>
    </row>
    <row r="826" ht="24" customHeight="1">
      <c r="A826" s="29" t="inlineStr">
        <is>
          <t>OpenDART_fnlttSinglAcntAll</t>
        </is>
      </c>
      <c r="B826" s="29" t="inlineStr">
        <is>
          <t>00160843</t>
        </is>
      </c>
      <c r="C826" s="29" t="inlineStr">
        <is>
          <t>DB하이텍</t>
        </is>
      </c>
      <c r="D826" s="29" t="inlineStr">
        <is>
          <t>dbhitek</t>
        </is>
      </c>
      <c r="E826" s="29" t="inlineStr">
        <is>
          <t>000990</t>
        </is>
      </c>
      <c r="F826" s="29" t="inlineStr">
        <is>
          <t>2025</t>
        </is>
      </c>
      <c r="G826" s="29" t="inlineStr">
        <is>
          <t>CFS</t>
        </is>
      </c>
      <c r="H826" s="29" t="inlineStr">
        <is>
          <t>CF</t>
        </is>
      </c>
      <c r="I826" s="29" t="inlineStr">
        <is>
          <t>현금흐름표</t>
        </is>
      </c>
      <c r="J826" s="29" t="inlineStr">
        <is>
          <t>dart_IncreaseInGuaranteeDepositsAsFinancialActivities</t>
        </is>
      </c>
      <c r="K826" s="29" t="inlineStr">
        <is>
          <t>임대보증금의 증가</t>
        </is>
      </c>
      <c r="L826" s="29" t="inlineStr">
        <is>
          <t>-</t>
        </is>
      </c>
      <c r="M826" s="29" t="inlineStr">
        <is>
          <t>제 73 기</t>
        </is>
      </c>
      <c r="N826" s="29" t="inlineStr">
        <is>
          <t>35600000.0</t>
        </is>
      </c>
      <c r="O826" s="29" t="inlineStr">
        <is>
          <t>해당 없음</t>
        </is>
      </c>
      <c r="P826" s="29" t="inlineStr">
        <is>
          <t>KRW</t>
        </is>
      </c>
      <c r="Q826" s="29" t="inlineStr">
        <is>
          <t>11</t>
        </is>
      </c>
    </row>
    <row r="827" ht="24" customHeight="1">
      <c r="A827" s="24" t="inlineStr">
        <is>
          <t>OpenDART_fnlttSinglAcntAll</t>
        </is>
      </c>
      <c r="B827" s="24" t="inlineStr">
        <is>
          <t>00160843</t>
        </is>
      </c>
      <c r="C827" s="24" t="inlineStr">
        <is>
          <t>DB하이텍</t>
        </is>
      </c>
      <c r="D827" s="24" t="inlineStr">
        <is>
          <t>dbhitek</t>
        </is>
      </c>
      <c r="E827" s="24" t="inlineStr">
        <is>
          <t>000990</t>
        </is>
      </c>
      <c r="F827" s="24" t="inlineStr">
        <is>
          <t>2025</t>
        </is>
      </c>
      <c r="G827" s="24" t="inlineStr">
        <is>
          <t>CFS</t>
        </is>
      </c>
      <c r="H827" s="24" t="inlineStr">
        <is>
          <t>CF</t>
        </is>
      </c>
      <c r="I827" s="24" t="inlineStr">
        <is>
          <t>현금흐름표</t>
        </is>
      </c>
      <c r="J827" s="24" t="inlineStr">
        <is>
          <t>dart_ProceedsFromShortTermBorrowings</t>
        </is>
      </c>
      <c r="K827" s="24" t="inlineStr">
        <is>
          <t>단기차입금의 증가</t>
        </is>
      </c>
      <c r="L827" s="24" t="inlineStr">
        <is>
          <t>-</t>
        </is>
      </c>
      <c r="M827" s="24" t="inlineStr">
        <is>
          <t>제 73 기</t>
        </is>
      </c>
      <c r="N827" s="24" t="inlineStr">
        <is>
          <t>59142508839.0</t>
        </is>
      </c>
      <c r="O827" s="24" t="inlineStr">
        <is>
          <t>66883890609.0</t>
        </is>
      </c>
      <c r="P827" s="24" t="inlineStr">
        <is>
          <t>KRW</t>
        </is>
      </c>
      <c r="Q827" s="24" t="inlineStr">
        <is>
          <t>12</t>
        </is>
      </c>
    </row>
    <row r="828" ht="24" customHeight="1">
      <c r="A828" s="29" t="inlineStr">
        <is>
          <t>OpenDART_fnlttSinglAcntAll</t>
        </is>
      </c>
      <c r="B828" s="29" t="inlineStr">
        <is>
          <t>00160843</t>
        </is>
      </c>
      <c r="C828" s="29" t="inlineStr">
        <is>
          <t>DB하이텍</t>
        </is>
      </c>
      <c r="D828" s="29" t="inlineStr">
        <is>
          <t>dbhitek</t>
        </is>
      </c>
      <c r="E828" s="29" t="inlineStr">
        <is>
          <t>000990</t>
        </is>
      </c>
      <c r="F828" s="29" t="inlineStr">
        <is>
          <t>2025</t>
        </is>
      </c>
      <c r="G828" s="29" t="inlineStr">
        <is>
          <t>CFS</t>
        </is>
      </c>
      <c r="H828" s="29" t="inlineStr">
        <is>
          <t>CF</t>
        </is>
      </c>
      <c r="I828" s="29" t="inlineStr">
        <is>
          <t>현금흐름표</t>
        </is>
      </c>
      <c r="J828" s="29" t="inlineStr">
        <is>
          <t>dart_RepaymentsOfLongTermBorrowings</t>
        </is>
      </c>
      <c r="K828" s="29" t="inlineStr">
        <is>
          <t>장기차입금의 상환</t>
        </is>
      </c>
      <c r="L828" s="29" t="inlineStr">
        <is>
          <t>-</t>
        </is>
      </c>
      <c r="M828" s="29" t="inlineStr">
        <is>
          <t>제 73 기</t>
        </is>
      </c>
      <c r="N828" s="29" t="inlineStr">
        <is>
          <t>533310000.0</t>
        </is>
      </c>
      <c r="O828" s="29" t="inlineStr">
        <is>
          <t>0.0</t>
        </is>
      </c>
      <c r="P828" s="29" t="inlineStr">
        <is>
          <t>KRW</t>
        </is>
      </c>
      <c r="Q828" s="29" t="inlineStr">
        <is>
          <t>13</t>
        </is>
      </c>
    </row>
    <row r="829" ht="24" customHeight="1">
      <c r="A829" s="24" t="inlineStr">
        <is>
          <t>OpenDART_fnlttSinglAcntAll</t>
        </is>
      </c>
      <c r="B829" s="24" t="inlineStr">
        <is>
          <t>00160843</t>
        </is>
      </c>
      <c r="C829" s="24" t="inlineStr">
        <is>
          <t>DB하이텍</t>
        </is>
      </c>
      <c r="D829" s="24" t="inlineStr">
        <is>
          <t>dbhitek</t>
        </is>
      </c>
      <c r="E829" s="24" t="inlineStr">
        <is>
          <t>000990</t>
        </is>
      </c>
      <c r="F829" s="24" t="inlineStr">
        <is>
          <t>2025</t>
        </is>
      </c>
      <c r="G829" s="24" t="inlineStr">
        <is>
          <t>CFS</t>
        </is>
      </c>
      <c r="H829" s="24" t="inlineStr">
        <is>
          <t>CF</t>
        </is>
      </c>
      <c r="I829" s="24" t="inlineStr">
        <is>
          <t>현금흐름표</t>
        </is>
      </c>
      <c r="J829" s="24" t="inlineStr">
        <is>
          <t>dart_RepaymentsOfShortTermBorrowings</t>
        </is>
      </c>
      <c r="K829" s="24" t="inlineStr">
        <is>
          <t>단기차입금의 상환</t>
        </is>
      </c>
      <c r="L829" s="24" t="inlineStr">
        <is>
          <t>-</t>
        </is>
      </c>
      <c r="M829" s="24" t="inlineStr">
        <is>
          <t>제 73 기</t>
        </is>
      </c>
      <c r="N829" s="24" t="inlineStr">
        <is>
          <t>43449369597.0</t>
        </is>
      </c>
      <c r="O829" s="24" t="inlineStr">
        <is>
          <t>21684369930.0</t>
        </is>
      </c>
      <c r="P829" s="24" t="inlineStr">
        <is>
          <t>KRW</t>
        </is>
      </c>
      <c r="Q829" s="24" t="inlineStr">
        <is>
          <t>14</t>
        </is>
      </c>
    </row>
    <row r="830" ht="24" customHeight="1">
      <c r="A830" s="29" t="inlineStr">
        <is>
          <t>OpenDART_fnlttSinglAcntAll</t>
        </is>
      </c>
      <c r="B830" s="29" t="inlineStr">
        <is>
          <t>00160843</t>
        </is>
      </c>
      <c r="C830" s="29" t="inlineStr">
        <is>
          <t>DB하이텍</t>
        </is>
      </c>
      <c r="D830" s="29" t="inlineStr">
        <is>
          <t>dbhitek</t>
        </is>
      </c>
      <c r="E830" s="29" t="inlineStr">
        <is>
          <t>000990</t>
        </is>
      </c>
      <c r="F830" s="29" t="inlineStr">
        <is>
          <t>2025</t>
        </is>
      </c>
      <c r="G830" s="29" t="inlineStr">
        <is>
          <t>CFS</t>
        </is>
      </c>
      <c r="H830" s="29" t="inlineStr">
        <is>
          <t>CF</t>
        </is>
      </c>
      <c r="I830" s="29" t="inlineStr">
        <is>
          <t>현금흐름표</t>
        </is>
      </c>
      <c r="J830" s="29" t="inlineStr">
        <is>
          <t>-표준계정코드 미사용-</t>
        </is>
      </c>
      <c r="K830" s="29" t="inlineStr">
        <is>
          <t>교환사채발행으로 인한 현금유입</t>
        </is>
      </c>
      <c r="L830" s="29" t="inlineStr">
        <is>
          <t>-</t>
        </is>
      </c>
      <c r="M830" s="29" t="inlineStr">
        <is>
          <t>제 73 기</t>
        </is>
      </c>
      <c r="N830" s="29" t="inlineStr">
        <is>
          <t>125504236180.0</t>
        </is>
      </c>
      <c r="O830" s="29" t="inlineStr">
        <is>
          <t>해당 없음</t>
        </is>
      </c>
      <c r="P830" s="29" t="inlineStr">
        <is>
          <t>KRW</t>
        </is>
      </c>
      <c r="Q830" s="29" t="inlineStr">
        <is>
          <t>15</t>
        </is>
      </c>
    </row>
    <row r="831" ht="24" customHeight="1">
      <c r="A831" s="24" t="inlineStr">
        <is>
          <t>OpenDART_fnlttSinglAcntAll</t>
        </is>
      </c>
      <c r="B831" s="24" t="inlineStr">
        <is>
          <t>00160843</t>
        </is>
      </c>
      <c r="C831" s="24" t="inlineStr">
        <is>
          <t>DB하이텍</t>
        </is>
      </c>
      <c r="D831" s="24" t="inlineStr">
        <is>
          <t>dbhitek</t>
        </is>
      </c>
      <c r="E831" s="24" t="inlineStr">
        <is>
          <t>000990</t>
        </is>
      </c>
      <c r="F831" s="24" t="inlineStr">
        <is>
          <t>2025</t>
        </is>
      </c>
      <c r="G831" s="24" t="inlineStr">
        <is>
          <t>CFS</t>
        </is>
      </c>
      <c r="H831" s="24" t="inlineStr">
        <is>
          <t>CF</t>
        </is>
      </c>
      <c r="I831" s="24" t="inlineStr">
        <is>
          <t>현금흐름표</t>
        </is>
      </c>
      <c r="J831" s="24" t="inlineStr">
        <is>
          <t>-표준계정코드 미사용-</t>
        </is>
      </c>
      <c r="K831" s="24" t="inlineStr">
        <is>
          <t>유동성장기차입금의 상환</t>
        </is>
      </c>
      <c r="L831" s="24" t="inlineStr">
        <is>
          <t>-</t>
        </is>
      </c>
      <c r="M831" s="24" t="inlineStr">
        <is>
          <t>제 73 기</t>
        </is>
      </c>
      <c r="N831" s="24" t="inlineStr">
        <is>
          <t>23433320000.0</t>
        </is>
      </c>
      <c r="O831" s="24" t="inlineStr">
        <is>
          <t>21666640000.0</t>
        </is>
      </c>
      <c r="P831" s="24" t="inlineStr">
        <is>
          <t>KRW</t>
        </is>
      </c>
      <c r="Q831" s="24" t="inlineStr">
        <is>
          <t>16</t>
        </is>
      </c>
    </row>
    <row r="832" ht="24" customHeight="1">
      <c r="A832" s="29" t="inlineStr">
        <is>
          <t>OpenDART_fnlttSinglAcntAll</t>
        </is>
      </c>
      <c r="B832" s="29" t="inlineStr">
        <is>
          <t>00160843</t>
        </is>
      </c>
      <c r="C832" s="29" t="inlineStr">
        <is>
          <t>DB하이텍</t>
        </is>
      </c>
      <c r="D832" s="29" t="inlineStr">
        <is>
          <t>dbhitek</t>
        </is>
      </c>
      <c r="E832" s="29" t="inlineStr">
        <is>
          <t>000990</t>
        </is>
      </c>
      <c r="F832" s="29" t="inlineStr">
        <is>
          <t>2025</t>
        </is>
      </c>
      <c r="G832" s="29" t="inlineStr">
        <is>
          <t>CFS</t>
        </is>
      </c>
      <c r="H832" s="29" t="inlineStr">
        <is>
          <t>CF</t>
        </is>
      </c>
      <c r="I832" s="29" t="inlineStr">
        <is>
          <t>현금흐름표</t>
        </is>
      </c>
      <c r="J832" s="29" t="inlineStr">
        <is>
          <t>-표준계정코드 미사용-</t>
        </is>
      </c>
      <c r="K832" s="29" t="inlineStr">
        <is>
          <t>비지배주주와의 거래</t>
        </is>
      </c>
      <c r="L832" s="29" t="inlineStr">
        <is>
          <t>-</t>
        </is>
      </c>
      <c r="M832" s="29" t="inlineStr">
        <is>
          <t>제 73 기</t>
        </is>
      </c>
      <c r="N832" s="29" t="inlineStr">
        <is>
          <t>5601896779.0</t>
        </is>
      </c>
      <c r="O832" s="29" t="inlineStr">
        <is>
          <t>4894300000.0</t>
        </is>
      </c>
      <c r="P832" s="29" t="inlineStr">
        <is>
          <t>KRW</t>
        </is>
      </c>
      <c r="Q832" s="29" t="inlineStr">
        <is>
          <t>17</t>
        </is>
      </c>
    </row>
    <row r="833" ht="24" customHeight="1">
      <c r="A833" s="24" t="inlineStr">
        <is>
          <t>OpenDART_fnlttSinglAcntAll</t>
        </is>
      </c>
      <c r="B833" s="24" t="inlineStr">
        <is>
          <t>00160843</t>
        </is>
      </c>
      <c r="C833" s="24" t="inlineStr">
        <is>
          <t>DB하이텍</t>
        </is>
      </c>
      <c r="D833" s="24" t="inlineStr">
        <is>
          <t>dbhitek</t>
        </is>
      </c>
      <c r="E833" s="24" t="inlineStr">
        <is>
          <t>000990</t>
        </is>
      </c>
      <c r="F833" s="24" t="inlineStr">
        <is>
          <t>2025</t>
        </is>
      </c>
      <c r="G833" s="24" t="inlineStr">
        <is>
          <t>CFS</t>
        </is>
      </c>
      <c r="H833" s="24" t="inlineStr">
        <is>
          <t>CF</t>
        </is>
      </c>
      <c r="I833" s="24" t="inlineStr">
        <is>
          <t>현금흐름표</t>
        </is>
      </c>
      <c r="J833" s="24" t="inlineStr">
        <is>
          <t>ifrs-full_IncreaseDecreaseThroughObtainingOrLosingControlOfSubsidiariesOrOtherBusinessesLiabilitiesArisingFromFinancingActivities</t>
        </is>
      </c>
      <c r="K833" s="24" t="inlineStr">
        <is>
          <t>종속기업이나 그 밖의 사업에 대한 지배력 획득 또는 상실에서 생기는 변동, 재무활동에서 생기는 부채의 증가(감소)</t>
        </is>
      </c>
      <c r="L833" s="24" t="inlineStr">
        <is>
          <t>-</t>
        </is>
      </c>
      <c r="M833" s="24" t="inlineStr">
        <is>
          <t>제 73 기</t>
        </is>
      </c>
      <c r="N833" s="24" t="inlineStr">
        <is>
          <t>3856052200.0</t>
        </is>
      </c>
      <c r="O833" s="24" t="inlineStr">
        <is>
          <t>14483870565.0</t>
        </is>
      </c>
      <c r="P833" s="24" t="inlineStr">
        <is>
          <t>KRW</t>
        </is>
      </c>
      <c r="Q833" s="24" t="inlineStr">
        <is>
          <t>18</t>
        </is>
      </c>
    </row>
    <row r="834" ht="24" customHeight="1">
      <c r="A834" s="29" t="inlineStr">
        <is>
          <t>OpenDART_fnlttSinglAcntAll</t>
        </is>
      </c>
      <c r="B834" s="29" t="inlineStr">
        <is>
          <t>00160843</t>
        </is>
      </c>
      <c r="C834" s="29" t="inlineStr">
        <is>
          <t>DB하이텍</t>
        </is>
      </c>
      <c r="D834" s="29" t="inlineStr">
        <is>
          <t>dbhitek</t>
        </is>
      </c>
      <c r="E834" s="29" t="inlineStr">
        <is>
          <t>000990</t>
        </is>
      </c>
      <c r="F834" s="29" t="inlineStr">
        <is>
          <t>2025</t>
        </is>
      </c>
      <c r="G834" s="29" t="inlineStr">
        <is>
          <t>CFS</t>
        </is>
      </c>
      <c r="H834" s="29" t="inlineStr">
        <is>
          <t>CF</t>
        </is>
      </c>
      <c r="I834" s="29" t="inlineStr">
        <is>
          <t>현금흐름표</t>
        </is>
      </c>
      <c r="J834" s="29" t="inlineStr">
        <is>
          <t>ifrs-full_PaymentsOfLeaseLiabilitiesClassifiedAsFinancingActivities</t>
        </is>
      </c>
      <c r="K834" s="29" t="inlineStr">
        <is>
          <t>리스부채의 지급</t>
        </is>
      </c>
      <c r="L834" s="29" t="inlineStr">
        <is>
          <t>-</t>
        </is>
      </c>
      <c r="M834" s="29" t="inlineStr">
        <is>
          <t>제 73 기</t>
        </is>
      </c>
      <c r="N834" s="29" t="inlineStr">
        <is>
          <t>6106114424.0</t>
        </is>
      </c>
      <c r="O834" s="29" t="inlineStr">
        <is>
          <t>5544571321.0</t>
        </is>
      </c>
      <c r="P834" s="29" t="inlineStr">
        <is>
          <t>KRW</t>
        </is>
      </c>
      <c r="Q834" s="29" t="inlineStr">
        <is>
          <t>19</t>
        </is>
      </c>
    </row>
    <row r="835" ht="24" customHeight="1">
      <c r="A835" s="24" t="inlineStr">
        <is>
          <t>OpenDART_fnlttSinglAcntAll</t>
        </is>
      </c>
      <c r="B835" s="24" t="inlineStr">
        <is>
          <t>00160843</t>
        </is>
      </c>
      <c r="C835" s="24" t="inlineStr">
        <is>
          <t>DB하이텍</t>
        </is>
      </c>
      <c r="D835" s="24" t="inlineStr">
        <is>
          <t>dbhitek</t>
        </is>
      </c>
      <c r="E835" s="24" t="inlineStr">
        <is>
          <t>000990</t>
        </is>
      </c>
      <c r="F835" s="24" t="inlineStr">
        <is>
          <t>2025</t>
        </is>
      </c>
      <c r="G835" s="24" t="inlineStr">
        <is>
          <t>CFS</t>
        </is>
      </c>
      <c r="H835" s="24" t="inlineStr">
        <is>
          <t>CF</t>
        </is>
      </c>
      <c r="I835" s="24" t="inlineStr">
        <is>
          <t>현금흐름표</t>
        </is>
      </c>
      <c r="J835" s="24" t="inlineStr">
        <is>
          <t>ifrs-full_ProceedsFromGovernmentGrantsClassifiedAsFinancingActivities</t>
        </is>
      </c>
      <c r="K835" s="24" t="inlineStr">
        <is>
          <t>정부보조금의 수취</t>
        </is>
      </c>
      <c r="L835" s="24" t="inlineStr">
        <is>
          <t>-</t>
        </is>
      </c>
      <c r="M835" s="24" t="inlineStr">
        <is>
          <t>제 73 기</t>
        </is>
      </c>
      <c r="N835" s="24" t="inlineStr">
        <is>
          <t>165024026.0</t>
        </is>
      </c>
      <c r="O835" s="24" t="inlineStr">
        <is>
          <t>288355213.0</t>
        </is>
      </c>
      <c r="P835" s="24" t="inlineStr">
        <is>
          <t>KRW</t>
        </is>
      </c>
      <c r="Q835" s="24" t="inlineStr">
        <is>
          <t>20</t>
        </is>
      </c>
    </row>
    <row r="836" ht="24" customHeight="1">
      <c r="A836" s="29" t="inlineStr">
        <is>
          <t>OpenDART_fnlttSinglAcntAll</t>
        </is>
      </c>
      <c r="B836" s="29" t="inlineStr">
        <is>
          <t>00160843</t>
        </is>
      </c>
      <c r="C836" s="29" t="inlineStr">
        <is>
          <t>DB하이텍</t>
        </is>
      </c>
      <c r="D836" s="29" t="inlineStr">
        <is>
          <t>dbhitek</t>
        </is>
      </c>
      <c r="E836" s="29" t="inlineStr">
        <is>
          <t>000990</t>
        </is>
      </c>
      <c r="F836" s="29" t="inlineStr">
        <is>
          <t>2025</t>
        </is>
      </c>
      <c r="G836" s="29" t="inlineStr">
        <is>
          <t>CFS</t>
        </is>
      </c>
      <c r="H836" s="29" t="inlineStr">
        <is>
          <t>CF</t>
        </is>
      </c>
      <c r="I836" s="29" t="inlineStr">
        <is>
          <t>현금흐름표</t>
        </is>
      </c>
      <c r="J836" s="29" t="inlineStr">
        <is>
          <t>ifrs-full_ProceedsFromIssuingShares</t>
        </is>
      </c>
      <c r="K836" s="29" t="inlineStr">
        <is>
          <t>주식의 발행</t>
        </is>
      </c>
      <c r="L836" s="29" t="inlineStr">
        <is>
          <t>-</t>
        </is>
      </c>
      <c r="M836" s="29" t="inlineStr">
        <is>
          <t>제 73 기</t>
        </is>
      </c>
      <c r="N836" s="29" t="inlineStr">
        <is>
          <t>-271790540.0</t>
        </is>
      </c>
      <c r="O836" s="29" t="inlineStr">
        <is>
          <t>-84886070.0</t>
        </is>
      </c>
      <c r="P836" s="29" t="inlineStr">
        <is>
          <t>KRW</t>
        </is>
      </c>
      <c r="Q836" s="29" t="inlineStr">
        <is>
          <t>21</t>
        </is>
      </c>
    </row>
    <row r="837" ht="24" customHeight="1">
      <c r="A837" s="24" t="inlineStr">
        <is>
          <t>OpenDART_fnlttSinglAcntAll</t>
        </is>
      </c>
      <c r="B837" s="24" t="inlineStr">
        <is>
          <t>00160843</t>
        </is>
      </c>
      <c r="C837" s="24" t="inlineStr">
        <is>
          <t>DB하이텍</t>
        </is>
      </c>
      <c r="D837" s="24" t="inlineStr">
        <is>
          <t>dbhitek</t>
        </is>
      </c>
      <c r="E837" s="24" t="inlineStr">
        <is>
          <t>000990</t>
        </is>
      </c>
      <c r="F837" s="24" t="inlineStr">
        <is>
          <t>2025</t>
        </is>
      </c>
      <c r="G837" s="24" t="inlineStr">
        <is>
          <t>CFS</t>
        </is>
      </c>
      <c r="H837" s="24" t="inlineStr">
        <is>
          <t>CF</t>
        </is>
      </c>
      <c r="I837" s="24" t="inlineStr">
        <is>
          <t>현금흐름표</t>
        </is>
      </c>
      <c r="J837" s="24" t="inlineStr">
        <is>
          <t>ifrs-full_CashFlowsFromUsedInInvestingActivities</t>
        </is>
      </c>
      <c r="K837" s="24" t="inlineStr">
        <is>
          <t>투자활동현금흐름</t>
        </is>
      </c>
      <c r="L837" s="24" t="inlineStr">
        <is>
          <t>-</t>
        </is>
      </c>
      <c r="M837" s="24" t="inlineStr">
        <is>
          <t>제 73 기</t>
        </is>
      </c>
      <c r="N837" s="24" t="inlineStr">
        <is>
          <t>-393629106750.0</t>
        </is>
      </c>
      <c r="O837" s="24" t="inlineStr">
        <is>
          <t>-330981683566.0</t>
        </is>
      </c>
      <c r="P837" s="24" t="inlineStr">
        <is>
          <t>KRW</t>
        </is>
      </c>
      <c r="Q837" s="24" t="inlineStr">
        <is>
          <t>22</t>
        </is>
      </c>
    </row>
    <row r="838" ht="24" customHeight="1">
      <c r="A838" s="29" t="inlineStr">
        <is>
          <t>OpenDART_fnlttSinglAcntAll</t>
        </is>
      </c>
      <c r="B838" s="29" t="inlineStr">
        <is>
          <t>00160843</t>
        </is>
      </c>
      <c r="C838" s="29" t="inlineStr">
        <is>
          <t>DB하이텍</t>
        </is>
      </c>
      <c r="D838" s="29" t="inlineStr">
        <is>
          <t>dbhitek</t>
        </is>
      </c>
      <c r="E838" s="29" t="inlineStr">
        <is>
          <t>000990</t>
        </is>
      </c>
      <c r="F838" s="29" t="inlineStr">
        <is>
          <t>2025</t>
        </is>
      </c>
      <c r="G838" s="29" t="inlineStr">
        <is>
          <t>CFS</t>
        </is>
      </c>
      <c r="H838" s="29" t="inlineStr">
        <is>
          <t>CF</t>
        </is>
      </c>
      <c r="I838" s="29" t="inlineStr">
        <is>
          <t>현금흐름표</t>
        </is>
      </c>
      <c r="J838" s="29" t="inlineStr">
        <is>
          <t>dart_AdjustmentsForDecreaseincreaseInLongTermAdvancePayments</t>
        </is>
      </c>
      <c r="K838" s="29" t="inlineStr">
        <is>
          <t>장기선급금의 증가</t>
        </is>
      </c>
      <c r="L838" s="29" t="inlineStr">
        <is>
          <t>-</t>
        </is>
      </c>
      <c r="M838" s="29" t="inlineStr">
        <is>
          <t>제 73 기</t>
        </is>
      </c>
      <c r="N838" s="29" t="inlineStr">
        <is>
          <t>-56830985.0</t>
        </is>
      </c>
      <c r="O838" s="29" t="inlineStr">
        <is>
          <t>-35273484.0</t>
        </is>
      </c>
      <c r="P838" s="29" t="inlineStr">
        <is>
          <t>KRW</t>
        </is>
      </c>
      <c r="Q838" s="29" t="inlineStr">
        <is>
          <t>23</t>
        </is>
      </c>
    </row>
    <row r="839" ht="24" customHeight="1">
      <c r="A839" s="24" t="inlineStr">
        <is>
          <t>OpenDART_fnlttSinglAcntAll</t>
        </is>
      </c>
      <c r="B839" s="24" t="inlineStr">
        <is>
          <t>00160843</t>
        </is>
      </c>
      <c r="C839" s="24" t="inlineStr">
        <is>
          <t>DB하이텍</t>
        </is>
      </c>
      <c r="D839" s="24" t="inlineStr">
        <is>
          <t>dbhitek</t>
        </is>
      </c>
      <c r="E839" s="24" t="inlineStr">
        <is>
          <t>000990</t>
        </is>
      </c>
      <c r="F839" s="24" t="inlineStr">
        <is>
          <t>2025</t>
        </is>
      </c>
      <c r="G839" s="24" t="inlineStr">
        <is>
          <t>CFS</t>
        </is>
      </c>
      <c r="H839" s="24" t="inlineStr">
        <is>
          <t>CF</t>
        </is>
      </c>
      <c r="I839" s="24" t="inlineStr">
        <is>
          <t>현금흐름표</t>
        </is>
      </c>
      <c r="J839" s="24" t="inlineStr">
        <is>
          <t>dart_AdjustmentsForDecreaseincreaseInOtherFinancialAssets</t>
        </is>
      </c>
      <c r="K839" s="24" t="inlineStr">
        <is>
          <t>기타금융자산의 감소(증가)</t>
        </is>
      </c>
      <c r="L839" s="24" t="inlineStr">
        <is>
          <t>-</t>
        </is>
      </c>
      <c r="M839" s="24" t="inlineStr">
        <is>
          <t>제 73 기</t>
        </is>
      </c>
      <c r="N839" s="24" t="inlineStr">
        <is>
          <t>-86970533424.0</t>
        </is>
      </c>
      <c r="O839" s="24" t="inlineStr">
        <is>
          <t>-358793390813.0</t>
        </is>
      </c>
      <c r="P839" s="24" t="inlineStr">
        <is>
          <t>KRW</t>
        </is>
      </c>
      <c r="Q839" s="24" t="inlineStr">
        <is>
          <t>24</t>
        </is>
      </c>
    </row>
    <row r="840" ht="24" customHeight="1">
      <c r="A840" s="29" t="inlineStr">
        <is>
          <t>OpenDART_fnlttSinglAcntAll</t>
        </is>
      </c>
      <c r="B840" s="29" t="inlineStr">
        <is>
          <t>00160843</t>
        </is>
      </c>
      <c r="C840" s="29" t="inlineStr">
        <is>
          <t>DB하이텍</t>
        </is>
      </c>
      <c r="D840" s="29" t="inlineStr">
        <is>
          <t>dbhitek</t>
        </is>
      </c>
      <c r="E840" s="29" t="inlineStr">
        <is>
          <t>000990</t>
        </is>
      </c>
      <c r="F840" s="29" t="inlineStr">
        <is>
          <t>2025</t>
        </is>
      </c>
      <c r="G840" s="29" t="inlineStr">
        <is>
          <t>CFS</t>
        </is>
      </c>
      <c r="H840" s="29" t="inlineStr">
        <is>
          <t>CF</t>
        </is>
      </c>
      <c r="I840" s="29" t="inlineStr">
        <is>
          <t>현금흐름표</t>
        </is>
      </c>
      <c r="J840" s="29" t="inlineStr">
        <is>
          <t>dart_AdjustmentsForDecreaseincreaseInOtherNonCurrentFinancialAssets</t>
        </is>
      </c>
      <c r="K840" s="29" t="inlineStr">
        <is>
          <t>기타비유동금융자산의 감소(증가)</t>
        </is>
      </c>
      <c r="L840" s="29" t="inlineStr">
        <is>
          <t>-</t>
        </is>
      </c>
      <c r="M840" s="29" t="inlineStr">
        <is>
          <t>제 73 기</t>
        </is>
      </c>
      <c r="N840" s="29" t="inlineStr">
        <is>
          <t>-6779492663.0</t>
        </is>
      </c>
      <c r="O840" s="29" t="inlineStr">
        <is>
          <t>0.0</t>
        </is>
      </c>
      <c r="P840" s="29" t="inlineStr">
        <is>
          <t>KRW</t>
        </is>
      </c>
      <c r="Q840" s="29" t="inlineStr">
        <is>
          <t>25</t>
        </is>
      </c>
    </row>
    <row r="841" ht="24" customHeight="1">
      <c r="A841" s="24" t="inlineStr">
        <is>
          <t>OpenDART_fnlttSinglAcntAll</t>
        </is>
      </c>
      <c r="B841" s="24" t="inlineStr">
        <is>
          <t>00160843</t>
        </is>
      </c>
      <c r="C841" s="24" t="inlineStr">
        <is>
          <t>DB하이텍</t>
        </is>
      </c>
      <c r="D841" s="24" t="inlineStr">
        <is>
          <t>dbhitek</t>
        </is>
      </c>
      <c r="E841" s="24" t="inlineStr">
        <is>
          <t>000990</t>
        </is>
      </c>
      <c r="F841" s="24" t="inlineStr">
        <is>
          <t>2025</t>
        </is>
      </c>
      <c r="G841" s="24" t="inlineStr">
        <is>
          <t>CFS</t>
        </is>
      </c>
      <c r="H841" s="24" t="inlineStr">
        <is>
          <t>CF</t>
        </is>
      </c>
      <c r="I841" s="24" t="inlineStr">
        <is>
          <t>현금흐름표</t>
        </is>
      </c>
      <c r="J841" s="24" t="inlineStr">
        <is>
          <t>dart_DecreaseInGuaranteeDeposits</t>
        </is>
      </c>
      <c r="K841" s="24" t="inlineStr">
        <is>
          <t>보증금의 감소</t>
        </is>
      </c>
      <c r="L841" s="24" t="inlineStr">
        <is>
          <t>-</t>
        </is>
      </c>
      <c r="M841" s="24" t="inlineStr">
        <is>
          <t>제 73 기</t>
        </is>
      </c>
      <c r="N841" s="24" t="inlineStr">
        <is>
          <t>845007031.0</t>
        </is>
      </c>
      <c r="O841" s="24" t="inlineStr">
        <is>
          <t>888143264.0</t>
        </is>
      </c>
      <c r="P841" s="24" t="inlineStr">
        <is>
          <t>KRW</t>
        </is>
      </c>
      <c r="Q841" s="24" t="inlineStr">
        <is>
          <t>26</t>
        </is>
      </c>
    </row>
    <row r="842" ht="24" customHeight="1">
      <c r="A842" s="29" t="inlineStr">
        <is>
          <t>OpenDART_fnlttSinglAcntAll</t>
        </is>
      </c>
      <c r="B842" s="29" t="inlineStr">
        <is>
          <t>00160843</t>
        </is>
      </c>
      <c r="C842" s="29" t="inlineStr">
        <is>
          <t>DB하이텍</t>
        </is>
      </c>
      <c r="D842" s="29" t="inlineStr">
        <is>
          <t>dbhitek</t>
        </is>
      </c>
      <c r="E842" s="29" t="inlineStr">
        <is>
          <t>000990</t>
        </is>
      </c>
      <c r="F842" s="29" t="inlineStr">
        <is>
          <t>2025</t>
        </is>
      </c>
      <c r="G842" s="29" t="inlineStr">
        <is>
          <t>CFS</t>
        </is>
      </c>
      <c r="H842" s="29" t="inlineStr">
        <is>
          <t>CF</t>
        </is>
      </c>
      <c r="I842" s="29" t="inlineStr">
        <is>
          <t>현금흐름표</t>
        </is>
      </c>
      <c r="J842" s="29" t="inlineStr">
        <is>
          <t>dart_IncreaseInGuaranteeDeposits</t>
        </is>
      </c>
      <c r="K842" s="29" t="inlineStr">
        <is>
          <t>보증금의 증가</t>
        </is>
      </c>
      <c r="L842" s="29" t="inlineStr">
        <is>
          <t>-</t>
        </is>
      </c>
      <c r="M842" s="29" t="inlineStr">
        <is>
          <t>제 73 기</t>
        </is>
      </c>
      <c r="N842" s="29" t="inlineStr">
        <is>
          <t>256823303.0</t>
        </is>
      </c>
      <c r="O842" s="29" t="inlineStr">
        <is>
          <t>943659242.0</t>
        </is>
      </c>
      <c r="P842" s="29" t="inlineStr">
        <is>
          <t>KRW</t>
        </is>
      </c>
      <c r="Q842" s="29" t="inlineStr">
        <is>
          <t>27</t>
        </is>
      </c>
    </row>
    <row r="843" ht="24" customHeight="1">
      <c r="A843" s="24" t="inlineStr">
        <is>
          <t>OpenDART_fnlttSinglAcntAll</t>
        </is>
      </c>
      <c r="B843" s="24" t="inlineStr">
        <is>
          <t>00160843</t>
        </is>
      </c>
      <c r="C843" s="24" t="inlineStr">
        <is>
          <t>DB하이텍</t>
        </is>
      </c>
      <c r="D843" s="24" t="inlineStr">
        <is>
          <t>dbhitek</t>
        </is>
      </c>
      <c r="E843" s="24" t="inlineStr">
        <is>
          <t>000990</t>
        </is>
      </c>
      <c r="F843" s="24" t="inlineStr">
        <is>
          <t>2025</t>
        </is>
      </c>
      <c r="G843" s="24" t="inlineStr">
        <is>
          <t>CFS</t>
        </is>
      </c>
      <c r="H843" s="24" t="inlineStr">
        <is>
          <t>CF</t>
        </is>
      </c>
      <c r="I843" s="24" t="inlineStr">
        <is>
          <t>현금흐름표</t>
        </is>
      </c>
      <c r="J843" s="24" t="inlineStr">
        <is>
          <t>dart_ProceedsFromSalesOfFinancialAssetsAtFairValueThroughOtherComprehensiveIncome</t>
        </is>
      </c>
      <c r="K843" s="24" t="inlineStr">
        <is>
          <t>기타포괄손익-공정가치측정금융자산의처분</t>
        </is>
      </c>
      <c r="L843" s="24" t="inlineStr">
        <is>
          <t>-</t>
        </is>
      </c>
      <c r="M843" s="24" t="inlineStr">
        <is>
          <t>제 73 기</t>
        </is>
      </c>
      <c r="N843" s="24" t="inlineStr">
        <is>
          <t>2886869882.0</t>
        </is>
      </c>
      <c r="O843" s="24" t="inlineStr">
        <is>
          <t>0.0</t>
        </is>
      </c>
      <c r="P843" s="24" t="inlineStr">
        <is>
          <t>KRW</t>
        </is>
      </c>
      <c r="Q843" s="24" t="inlineStr">
        <is>
          <t>28</t>
        </is>
      </c>
    </row>
    <row r="844" ht="24" customHeight="1">
      <c r="A844" s="29" t="inlineStr">
        <is>
          <t>OpenDART_fnlttSinglAcntAll</t>
        </is>
      </c>
      <c r="B844" s="29" t="inlineStr">
        <is>
          <t>00160843</t>
        </is>
      </c>
      <c r="C844" s="29" t="inlineStr">
        <is>
          <t>DB하이텍</t>
        </is>
      </c>
      <c r="D844" s="29" t="inlineStr">
        <is>
          <t>dbhitek</t>
        </is>
      </c>
      <c r="E844" s="29" t="inlineStr">
        <is>
          <t>000990</t>
        </is>
      </c>
      <c r="F844" s="29" t="inlineStr">
        <is>
          <t>2025</t>
        </is>
      </c>
      <c r="G844" s="29" t="inlineStr">
        <is>
          <t>CFS</t>
        </is>
      </c>
      <c r="H844" s="29" t="inlineStr">
        <is>
          <t>CF</t>
        </is>
      </c>
      <c r="I844" s="29" t="inlineStr">
        <is>
          <t>현금흐름표</t>
        </is>
      </c>
      <c r="J844" s="29" t="inlineStr">
        <is>
          <t>dart_ProceedsFromSalesOfLongTermFinancialInstruments</t>
        </is>
      </c>
      <c r="K844" s="29" t="inlineStr">
        <is>
          <t>장기금융상품의 처분</t>
        </is>
      </c>
      <c r="L844" s="29" t="inlineStr">
        <is>
          <t>-</t>
        </is>
      </c>
      <c r="M844" s="29" t="inlineStr">
        <is>
          <t>제 73 기</t>
        </is>
      </c>
      <c r="N844" s="29" t="inlineStr">
        <is>
          <t>0.0</t>
        </is>
      </c>
      <c r="O844" s="29" t="inlineStr">
        <is>
          <t>2000000.0</t>
        </is>
      </c>
      <c r="P844" s="29" t="inlineStr">
        <is>
          <t>KRW</t>
        </is>
      </c>
      <c r="Q844" s="29" t="inlineStr">
        <is>
          <t>29</t>
        </is>
      </c>
    </row>
    <row r="845" ht="24" customHeight="1">
      <c r="A845" s="24" t="inlineStr">
        <is>
          <t>OpenDART_fnlttSinglAcntAll</t>
        </is>
      </c>
      <c r="B845" s="24" t="inlineStr">
        <is>
          <t>00160843</t>
        </is>
      </c>
      <c r="C845" s="24" t="inlineStr">
        <is>
          <t>DB하이텍</t>
        </is>
      </c>
      <c r="D845" s="24" t="inlineStr">
        <is>
          <t>dbhitek</t>
        </is>
      </c>
      <c r="E845" s="24" t="inlineStr">
        <is>
          <t>000990</t>
        </is>
      </c>
      <c r="F845" s="24" t="inlineStr">
        <is>
          <t>2025</t>
        </is>
      </c>
      <c r="G845" s="24" t="inlineStr">
        <is>
          <t>CFS</t>
        </is>
      </c>
      <c r="H845" s="24" t="inlineStr">
        <is>
          <t>CF</t>
        </is>
      </c>
      <c r="I845" s="24" t="inlineStr">
        <is>
          <t>현금흐름표</t>
        </is>
      </c>
      <c r="J845" s="24" t="inlineStr">
        <is>
          <t>dart_ProceedsFromSalesOfLongTermLoansAndReceivables</t>
        </is>
      </c>
      <c r="K845" s="24" t="inlineStr">
        <is>
          <t>장기대여금및수취채권의 처분</t>
        </is>
      </c>
      <c r="L845" s="24" t="inlineStr">
        <is>
          <t>-</t>
        </is>
      </c>
      <c r="M845" s="24" t="inlineStr">
        <is>
          <t>제 73 기</t>
        </is>
      </c>
      <c r="N845" s="24" t="inlineStr">
        <is>
          <t>236333329.0</t>
        </is>
      </c>
      <c r="O845" s="24" t="inlineStr">
        <is>
          <t>412035104.0</t>
        </is>
      </c>
      <c r="P845" s="24" t="inlineStr">
        <is>
          <t>KRW</t>
        </is>
      </c>
      <c r="Q845" s="24" t="inlineStr">
        <is>
          <t>30</t>
        </is>
      </c>
    </row>
    <row r="846" ht="24" customHeight="1">
      <c r="A846" s="29" t="inlineStr">
        <is>
          <t>OpenDART_fnlttSinglAcntAll</t>
        </is>
      </c>
      <c r="B846" s="29" t="inlineStr">
        <is>
          <t>00160843</t>
        </is>
      </c>
      <c r="C846" s="29" t="inlineStr">
        <is>
          <t>DB하이텍</t>
        </is>
      </c>
      <c r="D846" s="29" t="inlineStr">
        <is>
          <t>dbhitek</t>
        </is>
      </c>
      <c r="E846" s="29" t="inlineStr">
        <is>
          <t>000990</t>
        </is>
      </c>
      <c r="F846" s="29" t="inlineStr">
        <is>
          <t>2025</t>
        </is>
      </c>
      <c r="G846" s="29" t="inlineStr">
        <is>
          <t>CFS</t>
        </is>
      </c>
      <c r="H846" s="29" t="inlineStr">
        <is>
          <t>CF</t>
        </is>
      </c>
      <c r="I846" s="29" t="inlineStr">
        <is>
          <t>현금흐름표</t>
        </is>
      </c>
      <c r="J846" s="29" t="inlineStr">
        <is>
          <t>dart_ProceedsFromSalesOfShortTermFinancialInstruments</t>
        </is>
      </c>
      <c r="K846" s="29" t="inlineStr">
        <is>
          <t>단기금융상품의 처분</t>
        </is>
      </c>
      <c r="L846" s="29" t="inlineStr">
        <is>
          <t>-</t>
        </is>
      </c>
      <c r="M846" s="29" t="inlineStr">
        <is>
          <t>제 73 기</t>
        </is>
      </c>
      <c r="N846" s="29" t="inlineStr">
        <is>
          <t>638313393012.0</t>
        </is>
      </c>
      <c r="O846" s="29" t="inlineStr">
        <is>
          <t>874169585326.0</t>
        </is>
      </c>
      <c r="P846" s="29" t="inlineStr">
        <is>
          <t>KRW</t>
        </is>
      </c>
      <c r="Q846" s="29" t="inlineStr">
        <is>
          <t>31</t>
        </is>
      </c>
    </row>
    <row r="847" ht="24" customHeight="1">
      <c r="A847" s="24" t="inlineStr">
        <is>
          <t>OpenDART_fnlttSinglAcntAll</t>
        </is>
      </c>
      <c r="B847" s="24" t="inlineStr">
        <is>
          <t>00160843</t>
        </is>
      </c>
      <c r="C847" s="24" t="inlineStr">
        <is>
          <t>DB하이텍</t>
        </is>
      </c>
      <c r="D847" s="24" t="inlineStr">
        <is>
          <t>dbhitek</t>
        </is>
      </c>
      <c r="E847" s="24" t="inlineStr">
        <is>
          <t>000990</t>
        </is>
      </c>
      <c r="F847" s="24" t="inlineStr">
        <is>
          <t>2025</t>
        </is>
      </c>
      <c r="G847" s="24" t="inlineStr">
        <is>
          <t>CFS</t>
        </is>
      </c>
      <c r="H847" s="24" t="inlineStr">
        <is>
          <t>CF</t>
        </is>
      </c>
      <c r="I847" s="24" t="inlineStr">
        <is>
          <t>현금흐름표</t>
        </is>
      </c>
      <c r="J847" s="24" t="inlineStr">
        <is>
          <t>dart_ProceedsFromSalesOfShortTermLoansAndReceivables</t>
        </is>
      </c>
      <c r="K847" s="24" t="inlineStr">
        <is>
          <t>단기대여금및수취채권의 처분</t>
        </is>
      </c>
      <c r="L847" s="24" t="inlineStr">
        <is>
          <t>-</t>
        </is>
      </c>
      <c r="M847" s="24" t="inlineStr">
        <is>
          <t>제 73 기</t>
        </is>
      </c>
      <c r="N847" s="24" t="inlineStr">
        <is>
          <t>286466699.0</t>
        </is>
      </c>
      <c r="O847" s="24" t="inlineStr">
        <is>
          <t>0.0</t>
        </is>
      </c>
      <c r="P847" s="24" t="inlineStr">
        <is>
          <t>KRW</t>
        </is>
      </c>
      <c r="Q847" s="24" t="inlineStr">
        <is>
          <t>32</t>
        </is>
      </c>
    </row>
    <row r="848" ht="24" customHeight="1">
      <c r="A848" s="29" t="inlineStr">
        <is>
          <t>OpenDART_fnlttSinglAcntAll</t>
        </is>
      </c>
      <c r="B848" s="29" t="inlineStr">
        <is>
          <t>00160843</t>
        </is>
      </c>
      <c r="C848" s="29" t="inlineStr">
        <is>
          <t>DB하이텍</t>
        </is>
      </c>
      <c r="D848" s="29" t="inlineStr">
        <is>
          <t>dbhitek</t>
        </is>
      </c>
      <c r="E848" s="29" t="inlineStr">
        <is>
          <t>000990</t>
        </is>
      </c>
      <c r="F848" s="29" t="inlineStr">
        <is>
          <t>2025</t>
        </is>
      </c>
      <c r="G848" s="29" t="inlineStr">
        <is>
          <t>CFS</t>
        </is>
      </c>
      <c r="H848" s="29" t="inlineStr">
        <is>
          <t>CF</t>
        </is>
      </c>
      <c r="I848" s="29" t="inlineStr">
        <is>
          <t>현금흐름표</t>
        </is>
      </c>
      <c r="J848" s="29" t="inlineStr">
        <is>
          <t>dart_PurchaseOfFinancialAssetsAtFairValueThroughOtherComprehensiveIncome</t>
        </is>
      </c>
      <c r="K848" s="29" t="inlineStr">
        <is>
          <t>기타포괄손익-공정가치측정금융자산의취득</t>
        </is>
      </c>
      <c r="L848" s="29" t="inlineStr">
        <is>
          <t>-</t>
        </is>
      </c>
      <c r="M848" s="29" t="inlineStr">
        <is>
          <t>제 73 기</t>
        </is>
      </c>
      <c r="N848" s="29" t="inlineStr">
        <is>
          <t>46909297270.0</t>
        </is>
      </c>
      <c r="O848" s="29" t="inlineStr">
        <is>
          <t>59800000.0</t>
        </is>
      </c>
      <c r="P848" s="29" t="inlineStr">
        <is>
          <t>KRW</t>
        </is>
      </c>
      <c r="Q848" s="29" t="inlineStr">
        <is>
          <t>33</t>
        </is>
      </c>
    </row>
    <row r="849" ht="24" customHeight="1">
      <c r="A849" s="24" t="inlineStr">
        <is>
          <t>OpenDART_fnlttSinglAcntAll</t>
        </is>
      </c>
      <c r="B849" s="24" t="inlineStr">
        <is>
          <t>00160843</t>
        </is>
      </c>
      <c r="C849" s="24" t="inlineStr">
        <is>
          <t>DB하이텍</t>
        </is>
      </c>
      <c r="D849" s="24" t="inlineStr">
        <is>
          <t>dbhitek</t>
        </is>
      </c>
      <c r="E849" s="24" t="inlineStr">
        <is>
          <t>000990</t>
        </is>
      </c>
      <c r="F849" s="24" t="inlineStr">
        <is>
          <t>2025</t>
        </is>
      </c>
      <c r="G849" s="24" t="inlineStr">
        <is>
          <t>CFS</t>
        </is>
      </c>
      <c r="H849" s="24" t="inlineStr">
        <is>
          <t>CF</t>
        </is>
      </c>
      <c r="I849" s="24" t="inlineStr">
        <is>
          <t>현금흐름표</t>
        </is>
      </c>
      <c r="J849" s="24" t="inlineStr">
        <is>
          <t>dart_PurchaseOfInvestmentsInSubsidiaries</t>
        </is>
      </c>
      <c r="K849" s="24" t="inlineStr">
        <is>
          <t>종속기업에 대한 투자자산의 취득</t>
        </is>
      </c>
      <c r="L849" s="24" t="inlineStr">
        <is>
          <t>-</t>
        </is>
      </c>
      <c r="M849" s="24" t="inlineStr">
        <is>
          <t>제 73 기</t>
        </is>
      </c>
      <c r="N849" s="24" t="inlineStr">
        <is>
          <t>130481140163.0</t>
        </is>
      </c>
      <c r="O849" s="24" t="inlineStr">
        <is>
          <t>55457056774.0</t>
        </is>
      </c>
      <c r="P849" s="24" t="inlineStr">
        <is>
          <t>KRW</t>
        </is>
      </c>
      <c r="Q849" s="24" t="inlineStr">
        <is>
          <t>34</t>
        </is>
      </c>
    </row>
    <row r="850" ht="24" customHeight="1">
      <c r="A850" s="29" t="inlineStr">
        <is>
          <t>OpenDART_fnlttSinglAcntAll</t>
        </is>
      </c>
      <c r="B850" s="29" t="inlineStr">
        <is>
          <t>00160843</t>
        </is>
      </c>
      <c r="C850" s="29" t="inlineStr">
        <is>
          <t>DB하이텍</t>
        </is>
      </c>
      <c r="D850" s="29" t="inlineStr">
        <is>
          <t>dbhitek</t>
        </is>
      </c>
      <c r="E850" s="29" t="inlineStr">
        <is>
          <t>000990</t>
        </is>
      </c>
      <c r="F850" s="29" t="inlineStr">
        <is>
          <t>2025</t>
        </is>
      </c>
      <c r="G850" s="29" t="inlineStr">
        <is>
          <t>CFS</t>
        </is>
      </c>
      <c r="H850" s="29" t="inlineStr">
        <is>
          <t>CF</t>
        </is>
      </c>
      <c r="I850" s="29" t="inlineStr">
        <is>
          <t>현금흐름표</t>
        </is>
      </c>
      <c r="J850" s="29" t="inlineStr">
        <is>
          <t>dart_PurchaseOfLongTermFinancialInstruments</t>
        </is>
      </c>
      <c r="K850" s="29" t="inlineStr">
        <is>
          <t>장기금융상품의 취득</t>
        </is>
      </c>
      <c r="L850" s="29" t="inlineStr">
        <is>
          <t>-</t>
        </is>
      </c>
      <c r="M850" s="29" t="inlineStr">
        <is>
          <t>제 73 기</t>
        </is>
      </c>
      <c r="N850" s="29" t="inlineStr">
        <is>
          <t>510730000.0</t>
        </is>
      </c>
      <c r="O850" s="29" t="inlineStr">
        <is>
          <t>0.0</t>
        </is>
      </c>
      <c r="P850" s="29" t="inlineStr">
        <is>
          <t>KRW</t>
        </is>
      </c>
      <c r="Q850" s="29" t="inlineStr">
        <is>
          <t>35</t>
        </is>
      </c>
    </row>
    <row r="851" ht="24" customHeight="1">
      <c r="A851" s="24" t="inlineStr">
        <is>
          <t>OpenDART_fnlttSinglAcntAll</t>
        </is>
      </c>
      <c r="B851" s="24" t="inlineStr">
        <is>
          <t>00160843</t>
        </is>
      </c>
      <c r="C851" s="24" t="inlineStr">
        <is>
          <t>DB하이텍</t>
        </is>
      </c>
      <c r="D851" s="24" t="inlineStr">
        <is>
          <t>dbhitek</t>
        </is>
      </c>
      <c r="E851" s="24" t="inlineStr">
        <is>
          <t>000990</t>
        </is>
      </c>
      <c r="F851" s="24" t="inlineStr">
        <is>
          <t>2025</t>
        </is>
      </c>
      <c r="G851" s="24" t="inlineStr">
        <is>
          <t>CFS</t>
        </is>
      </c>
      <c r="H851" s="24" t="inlineStr">
        <is>
          <t>CF</t>
        </is>
      </c>
      <c r="I851" s="24" t="inlineStr">
        <is>
          <t>현금흐름표</t>
        </is>
      </c>
      <c r="J851" s="24" t="inlineStr">
        <is>
          <t>dart_PurchaseOfLongTermLoansAndReceivables</t>
        </is>
      </c>
      <c r="K851" s="24" t="inlineStr">
        <is>
          <t>장기대여금및수취채권의 취득</t>
        </is>
      </c>
      <c r="L851" s="24" t="inlineStr">
        <is>
          <t>-</t>
        </is>
      </c>
      <c r="M851" s="24" t="inlineStr">
        <is>
          <t>제 73 기</t>
        </is>
      </c>
      <c r="N851" s="24" t="inlineStr">
        <is>
          <t>400000000.0</t>
        </is>
      </c>
      <c r="O851" s="24" t="inlineStr">
        <is>
          <t>1280000000.0</t>
        </is>
      </c>
      <c r="P851" s="24" t="inlineStr">
        <is>
          <t>KRW</t>
        </is>
      </c>
      <c r="Q851" s="24" t="inlineStr">
        <is>
          <t>36</t>
        </is>
      </c>
    </row>
    <row r="852" ht="24" customHeight="1">
      <c r="A852" s="29" t="inlineStr">
        <is>
          <t>OpenDART_fnlttSinglAcntAll</t>
        </is>
      </c>
      <c r="B852" s="29" t="inlineStr">
        <is>
          <t>00160843</t>
        </is>
      </c>
      <c r="C852" s="29" t="inlineStr">
        <is>
          <t>DB하이텍</t>
        </is>
      </c>
      <c r="D852" s="29" t="inlineStr">
        <is>
          <t>dbhitek</t>
        </is>
      </c>
      <c r="E852" s="29" t="inlineStr">
        <is>
          <t>000990</t>
        </is>
      </c>
      <c r="F852" s="29" t="inlineStr">
        <is>
          <t>2025</t>
        </is>
      </c>
      <c r="G852" s="29" t="inlineStr">
        <is>
          <t>CFS</t>
        </is>
      </c>
      <c r="H852" s="29" t="inlineStr">
        <is>
          <t>CF</t>
        </is>
      </c>
      <c r="I852" s="29" t="inlineStr">
        <is>
          <t>현금흐름표</t>
        </is>
      </c>
      <c r="J852" s="29" t="inlineStr">
        <is>
          <t>dart_PurchaseOfShortTermFinancialInstruments</t>
        </is>
      </c>
      <c r="K852" s="29" t="inlineStr">
        <is>
          <t>단기금융상품의 취득</t>
        </is>
      </c>
      <c r="L852" s="29" t="inlineStr">
        <is>
          <t>-</t>
        </is>
      </c>
      <c r="M852" s="29" t="inlineStr">
        <is>
          <t>제 73 기</t>
        </is>
      </c>
      <c r="N852" s="29" t="inlineStr">
        <is>
          <t>626703847177.0</t>
        </is>
      </c>
      <c r="O852" s="29" t="inlineStr">
        <is>
          <t>670256960903.0</t>
        </is>
      </c>
      <c r="P852" s="29" t="inlineStr">
        <is>
          <t>KRW</t>
        </is>
      </c>
      <c r="Q852" s="29" t="inlineStr">
        <is>
          <t>37</t>
        </is>
      </c>
    </row>
    <row r="853" ht="24" customHeight="1">
      <c r="A853" s="24" t="inlineStr">
        <is>
          <t>OpenDART_fnlttSinglAcntAll</t>
        </is>
      </c>
      <c r="B853" s="24" t="inlineStr">
        <is>
          <t>00160843</t>
        </is>
      </c>
      <c r="C853" s="24" t="inlineStr">
        <is>
          <t>DB하이텍</t>
        </is>
      </c>
      <c r="D853" s="24" t="inlineStr">
        <is>
          <t>dbhitek</t>
        </is>
      </c>
      <c r="E853" s="24" t="inlineStr">
        <is>
          <t>000990</t>
        </is>
      </c>
      <c r="F853" s="24" t="inlineStr">
        <is>
          <t>2025</t>
        </is>
      </c>
      <c r="G853" s="24" t="inlineStr">
        <is>
          <t>CFS</t>
        </is>
      </c>
      <c r="H853" s="24" t="inlineStr">
        <is>
          <t>CF</t>
        </is>
      </c>
      <c r="I853" s="24" t="inlineStr">
        <is>
          <t>현금흐름표</t>
        </is>
      </c>
      <c r="J853" s="24" t="inlineStr">
        <is>
          <t>-표준계정코드 미사용-</t>
        </is>
      </c>
      <c r="K853" s="24" t="inlineStr">
        <is>
          <t>사업결합으로 인한 현금유입</t>
        </is>
      </c>
      <c r="L853" s="24" t="inlineStr">
        <is>
          <t>-</t>
        </is>
      </c>
      <c r="M853" s="24" t="inlineStr">
        <is>
          <t>제 73 기</t>
        </is>
      </c>
      <c r="N853" s="24" t="inlineStr">
        <is>
          <t>15375022167.0</t>
        </is>
      </c>
      <c r="O853" s="24" t="inlineStr">
        <is>
          <t>0.0</t>
        </is>
      </c>
      <c r="P853" s="24" t="inlineStr">
        <is>
          <t>KRW</t>
        </is>
      </c>
      <c r="Q853" s="24" t="inlineStr">
        <is>
          <t>38</t>
        </is>
      </c>
    </row>
    <row r="854" ht="24" customHeight="1">
      <c r="A854" s="29" t="inlineStr">
        <is>
          <t>OpenDART_fnlttSinglAcntAll</t>
        </is>
      </c>
      <c r="B854" s="29" t="inlineStr">
        <is>
          <t>00160843</t>
        </is>
      </c>
      <c r="C854" s="29" t="inlineStr">
        <is>
          <t>DB하이텍</t>
        </is>
      </c>
      <c r="D854" s="29" t="inlineStr">
        <is>
          <t>dbhitek</t>
        </is>
      </c>
      <c r="E854" s="29" t="inlineStr">
        <is>
          <t>000990</t>
        </is>
      </c>
      <c r="F854" s="29" t="inlineStr">
        <is>
          <t>2025</t>
        </is>
      </c>
      <c r="G854" s="29" t="inlineStr">
        <is>
          <t>CFS</t>
        </is>
      </c>
      <c r="H854" s="29" t="inlineStr">
        <is>
          <t>CF</t>
        </is>
      </c>
      <c r="I854" s="29" t="inlineStr">
        <is>
          <t>현금흐름표</t>
        </is>
      </c>
      <c r="J854" s="29" t="inlineStr">
        <is>
          <t>-표준계정코드 미사용-</t>
        </is>
      </c>
      <c r="K854" s="29" t="inlineStr">
        <is>
          <t>통화선도부채의 감소</t>
        </is>
      </c>
      <c r="L854" s="29" t="inlineStr">
        <is>
          <t>-</t>
        </is>
      </c>
      <c r="M854" s="29" t="inlineStr">
        <is>
          <t>제 73 기</t>
        </is>
      </c>
      <c r="N854" s="29" t="inlineStr">
        <is>
          <t>0.0</t>
        </is>
      </c>
      <c r="O854" s="29" t="inlineStr">
        <is>
          <t>-60113520000.0</t>
        </is>
      </c>
      <c r="P854" s="29" t="inlineStr">
        <is>
          <t>KRW</t>
        </is>
      </c>
      <c r="Q854" s="29" t="inlineStr">
        <is>
          <t>39</t>
        </is>
      </c>
    </row>
    <row r="855" ht="24" customHeight="1">
      <c r="A855" s="24" t="inlineStr">
        <is>
          <t>OpenDART_fnlttSinglAcntAll</t>
        </is>
      </c>
      <c r="B855" s="24" t="inlineStr">
        <is>
          <t>00160843</t>
        </is>
      </c>
      <c r="C855" s="24" t="inlineStr">
        <is>
          <t>DB하이텍</t>
        </is>
      </c>
      <c r="D855" s="24" t="inlineStr">
        <is>
          <t>dbhitek</t>
        </is>
      </c>
      <c r="E855" s="24" t="inlineStr">
        <is>
          <t>000990</t>
        </is>
      </c>
      <c r="F855" s="24" t="inlineStr">
        <is>
          <t>2025</t>
        </is>
      </c>
      <c r="G855" s="24" t="inlineStr">
        <is>
          <t>CFS</t>
        </is>
      </c>
      <c r="H855" s="24" t="inlineStr">
        <is>
          <t>CF</t>
        </is>
      </c>
      <c r="I855" s="24" t="inlineStr">
        <is>
          <t>현금흐름표</t>
        </is>
      </c>
      <c r="J855" s="24" t="inlineStr">
        <is>
          <t>-표준계정코드 미사용-</t>
        </is>
      </c>
      <c r="K855" s="24" t="inlineStr">
        <is>
          <t>통화선도부채의 증가</t>
        </is>
      </c>
      <c r="L855" s="24" t="inlineStr">
        <is>
          <t>-</t>
        </is>
      </c>
      <c r="M855" s="24" t="inlineStr">
        <is>
          <t>제 73 기</t>
        </is>
      </c>
      <c r="N855" s="24" t="inlineStr">
        <is>
          <t>-147750000.0</t>
        </is>
      </c>
      <c r="O855" s="24" t="inlineStr">
        <is>
          <t>-61675700000.0</t>
        </is>
      </c>
      <c r="P855" s="24" t="inlineStr">
        <is>
          <t>KRW</t>
        </is>
      </c>
      <c r="Q855" s="24" t="inlineStr">
        <is>
          <t>40</t>
        </is>
      </c>
    </row>
    <row r="856" ht="24" customHeight="1">
      <c r="A856" s="29" t="inlineStr">
        <is>
          <t>OpenDART_fnlttSinglAcntAll</t>
        </is>
      </c>
      <c r="B856" s="29" t="inlineStr">
        <is>
          <t>00160843</t>
        </is>
      </c>
      <c r="C856" s="29" t="inlineStr">
        <is>
          <t>DB하이텍</t>
        </is>
      </c>
      <c r="D856" s="29" t="inlineStr">
        <is>
          <t>dbhitek</t>
        </is>
      </c>
      <c r="E856" s="29" t="inlineStr">
        <is>
          <t>000990</t>
        </is>
      </c>
      <c r="F856" s="29" t="inlineStr">
        <is>
          <t>2025</t>
        </is>
      </c>
      <c r="G856" s="29" t="inlineStr">
        <is>
          <t>CFS</t>
        </is>
      </c>
      <c r="H856" s="29" t="inlineStr">
        <is>
          <t>CF</t>
        </is>
      </c>
      <c r="I856" s="29" t="inlineStr">
        <is>
          <t>현금흐름표</t>
        </is>
      </c>
      <c r="J856" s="29" t="inlineStr">
        <is>
          <t>ifrs-full_ProceedsFromGovernmentGrantsClassifiedAsInvestingActivities</t>
        </is>
      </c>
      <c r="K856" s="29" t="inlineStr">
        <is>
          <t>정부보조금의 수취</t>
        </is>
      </c>
      <c r="L856" s="29" t="inlineStr">
        <is>
          <t>-</t>
        </is>
      </c>
      <c r="M856" s="29" t="inlineStr">
        <is>
          <t>제 73 기</t>
        </is>
      </c>
      <c r="N856" s="29" t="inlineStr">
        <is>
          <t>247536039.0</t>
        </is>
      </c>
      <c r="O856" s="29" t="inlineStr">
        <is>
          <t>532856669.0</t>
        </is>
      </c>
      <c r="P856" s="29" t="inlineStr">
        <is>
          <t>KRW</t>
        </is>
      </c>
      <c r="Q856" s="29" t="inlineStr">
        <is>
          <t>41</t>
        </is>
      </c>
    </row>
    <row r="857" ht="24" customHeight="1">
      <c r="A857" s="24" t="inlineStr">
        <is>
          <t>OpenDART_fnlttSinglAcntAll</t>
        </is>
      </c>
      <c r="B857" s="24" t="inlineStr">
        <is>
          <t>00160843</t>
        </is>
      </c>
      <c r="C857" s="24" t="inlineStr">
        <is>
          <t>DB하이텍</t>
        </is>
      </c>
      <c r="D857" s="24" t="inlineStr">
        <is>
          <t>dbhitek</t>
        </is>
      </c>
      <c r="E857" s="24" t="inlineStr">
        <is>
          <t>000990</t>
        </is>
      </c>
      <c r="F857" s="24" t="inlineStr">
        <is>
          <t>2025</t>
        </is>
      </c>
      <c r="G857" s="24" t="inlineStr">
        <is>
          <t>CFS</t>
        </is>
      </c>
      <c r="H857" s="24" t="inlineStr">
        <is>
          <t>CF</t>
        </is>
      </c>
      <c r="I857" s="24" t="inlineStr">
        <is>
          <t>현금흐름표</t>
        </is>
      </c>
      <c r="J857" s="24" t="inlineStr">
        <is>
          <t>ifrs-full_ProceedsFromSalesOfIntangibleAssetsClassifiedAsInvestingActivities</t>
        </is>
      </c>
      <c r="K857" s="24" t="inlineStr">
        <is>
          <t>무형자산의 처분</t>
        </is>
      </c>
      <c r="L857" s="24" t="inlineStr">
        <is>
          <t>-</t>
        </is>
      </c>
      <c r="M857" s="24" t="inlineStr">
        <is>
          <t>제 73 기</t>
        </is>
      </c>
      <c r="N857" s="24" t="inlineStr">
        <is>
          <t>0.0</t>
        </is>
      </c>
      <c r="O857" s="24" t="inlineStr">
        <is>
          <t>171777272.0</t>
        </is>
      </c>
      <c r="P857" s="24" t="inlineStr">
        <is>
          <t>KRW</t>
        </is>
      </c>
      <c r="Q857" s="24" t="inlineStr">
        <is>
          <t>42</t>
        </is>
      </c>
    </row>
    <row r="858" ht="24" customHeight="1">
      <c r="A858" s="29" t="inlineStr">
        <is>
          <t>OpenDART_fnlttSinglAcntAll</t>
        </is>
      </c>
      <c r="B858" s="29" t="inlineStr">
        <is>
          <t>00160843</t>
        </is>
      </c>
      <c r="C858" s="29" t="inlineStr">
        <is>
          <t>DB하이텍</t>
        </is>
      </c>
      <c r="D858" s="29" t="inlineStr">
        <is>
          <t>dbhitek</t>
        </is>
      </c>
      <c r="E858" s="29" t="inlineStr">
        <is>
          <t>000990</t>
        </is>
      </c>
      <c r="F858" s="29" t="inlineStr">
        <is>
          <t>2025</t>
        </is>
      </c>
      <c r="G858" s="29" t="inlineStr">
        <is>
          <t>CFS</t>
        </is>
      </c>
      <c r="H858" s="29" t="inlineStr">
        <is>
          <t>CF</t>
        </is>
      </c>
      <c r="I858" s="29" t="inlineStr">
        <is>
          <t>현금흐름표</t>
        </is>
      </c>
      <c r="J858" s="29" t="inlineStr">
        <is>
          <t>ifrs-full_ProceedsFromSalesOfPropertyPlantAndEquipmentClassifiedAsInvestingActivities</t>
        </is>
      </c>
      <c r="K858" s="29" t="inlineStr">
        <is>
          <t>유형자산의 처분</t>
        </is>
      </c>
      <c r="L858" s="29" t="inlineStr">
        <is>
          <t>-</t>
        </is>
      </c>
      <c r="M858" s="29" t="inlineStr">
        <is>
          <t>제 73 기</t>
        </is>
      </c>
      <c r="N858" s="29" t="inlineStr">
        <is>
          <t>1690453758.0</t>
        </is>
      </c>
      <c r="O858" s="29" t="inlineStr">
        <is>
          <t>14762707610.0</t>
        </is>
      </c>
      <c r="P858" s="29" t="inlineStr">
        <is>
          <t>KRW</t>
        </is>
      </c>
      <c r="Q858" s="29" t="inlineStr">
        <is>
          <t>43</t>
        </is>
      </c>
    </row>
    <row r="859" ht="24" customHeight="1">
      <c r="A859" s="24" t="inlineStr">
        <is>
          <t>OpenDART_fnlttSinglAcntAll</t>
        </is>
      </c>
      <c r="B859" s="24" t="inlineStr">
        <is>
          <t>00160843</t>
        </is>
      </c>
      <c r="C859" s="24" t="inlineStr">
        <is>
          <t>DB하이텍</t>
        </is>
      </c>
      <c r="D859" s="24" t="inlineStr">
        <is>
          <t>dbhitek</t>
        </is>
      </c>
      <c r="E859" s="24" t="inlineStr">
        <is>
          <t>000990</t>
        </is>
      </c>
      <c r="F859" s="24" t="inlineStr">
        <is>
          <t>2025</t>
        </is>
      </c>
      <c r="G859" s="24" t="inlineStr">
        <is>
          <t>CFS</t>
        </is>
      </c>
      <c r="H859" s="24" t="inlineStr">
        <is>
          <t>CF</t>
        </is>
      </c>
      <c r="I859" s="24" t="inlineStr">
        <is>
          <t>현금흐름표</t>
        </is>
      </c>
      <c r="J859" s="24" t="inlineStr">
        <is>
          <t>ifrs-full_PurchaseOfIntangibleAssetsClassifiedAsInvestingActivities</t>
        </is>
      </c>
      <c r="K859" s="24" t="inlineStr">
        <is>
          <t>무형자산의 취득</t>
        </is>
      </c>
      <c r="L859" s="24" t="inlineStr">
        <is>
          <t>-</t>
        </is>
      </c>
      <c r="M859" s="24" t="inlineStr">
        <is>
          <t>제 73 기</t>
        </is>
      </c>
      <c r="N859" s="24" t="inlineStr">
        <is>
          <t>8163875766.0</t>
        </is>
      </c>
      <c r="O859" s="24" t="inlineStr">
        <is>
          <t>6842584171.0</t>
        </is>
      </c>
      <c r="P859" s="24" t="inlineStr">
        <is>
          <t>KRW</t>
        </is>
      </c>
      <c r="Q859" s="24" t="inlineStr">
        <is>
          <t>44</t>
        </is>
      </c>
    </row>
    <row r="860" ht="24" customHeight="1">
      <c r="A860" s="29" t="inlineStr">
        <is>
          <t>OpenDART_fnlttSinglAcntAll</t>
        </is>
      </c>
      <c r="B860" s="29" t="inlineStr">
        <is>
          <t>00160843</t>
        </is>
      </c>
      <c r="C860" s="29" t="inlineStr">
        <is>
          <t>DB하이텍</t>
        </is>
      </c>
      <c r="D860" s="29" t="inlineStr">
        <is>
          <t>dbhitek</t>
        </is>
      </c>
      <c r="E860" s="29" t="inlineStr">
        <is>
          <t>000990</t>
        </is>
      </c>
      <c r="F860" s="29" t="inlineStr">
        <is>
          <t>2025</t>
        </is>
      </c>
      <c r="G860" s="29" t="inlineStr">
        <is>
          <t>CFS</t>
        </is>
      </c>
      <c r="H860" s="29" t="inlineStr">
        <is>
          <t>CF</t>
        </is>
      </c>
      <c r="I860" s="29" t="inlineStr">
        <is>
          <t>현금흐름표</t>
        </is>
      </c>
      <c r="J860" s="29" t="inlineStr">
        <is>
          <t>ifrs-full_PurchaseOfPropertyPlantAndEquipmentClassifiedAsInvestingActivities</t>
        </is>
      </c>
      <c r="K860" s="29" t="inlineStr">
        <is>
          <t>유형자산의 취득</t>
        </is>
      </c>
      <c r="L860" s="29" t="inlineStr">
        <is>
          <t>-</t>
        </is>
      </c>
      <c r="M860" s="29" t="inlineStr">
        <is>
          <t>제 73 기</t>
        </is>
      </c>
      <c r="N860" s="29" t="inlineStr">
        <is>
          <t>146129867916.0</t>
        </is>
      </c>
      <c r="O860" s="29" t="inlineStr">
        <is>
          <t>126689883424.0</t>
        </is>
      </c>
      <c r="P860" s="29" t="inlineStr">
        <is>
          <t>KRW</t>
        </is>
      </c>
      <c r="Q860" s="29" t="inlineStr">
        <is>
          <t>45</t>
        </is>
      </c>
    </row>
    <row r="861" ht="24" customHeight="1">
      <c r="A861" s="24" t="inlineStr">
        <is>
          <t>OpenDART_fnlttSinglAcntAll</t>
        </is>
      </c>
      <c r="B861" s="24" t="inlineStr">
        <is>
          <t>00160843</t>
        </is>
      </c>
      <c r="C861" s="24" t="inlineStr">
        <is>
          <t>DB하이텍</t>
        </is>
      </c>
      <c r="D861" s="24" t="inlineStr">
        <is>
          <t>dbhitek</t>
        </is>
      </c>
      <c r="E861" s="24" t="inlineStr">
        <is>
          <t>000990</t>
        </is>
      </c>
      <c r="F861" s="24" t="inlineStr">
        <is>
          <t>2025</t>
        </is>
      </c>
      <c r="G861" s="24" t="inlineStr">
        <is>
          <t>CFS</t>
        </is>
      </c>
      <c r="H861" s="24" t="inlineStr">
        <is>
          <t>CF</t>
        </is>
      </c>
      <c r="I861" s="24" t="inlineStr">
        <is>
          <t>현금흐름표</t>
        </is>
      </c>
      <c r="J861" s="24" t="inlineStr">
        <is>
          <t>ifrs-full_CashFlowsFromUsedInOperatingActivities</t>
        </is>
      </c>
      <c r="K861" s="24" t="inlineStr">
        <is>
          <t>영업활동현금흐름</t>
        </is>
      </c>
      <c r="L861" s="24" t="inlineStr">
        <is>
          <t>-</t>
        </is>
      </c>
      <c r="M861" s="24" t="inlineStr">
        <is>
          <t>제 73 기</t>
        </is>
      </c>
      <c r="N861" s="24" t="inlineStr">
        <is>
          <t>356967025481.0</t>
        </is>
      </c>
      <c r="O861" s="24" t="inlineStr">
        <is>
          <t>382634373825.0</t>
        </is>
      </c>
      <c r="P861" s="24" t="inlineStr">
        <is>
          <t>KRW</t>
        </is>
      </c>
      <c r="Q861" s="24" t="inlineStr">
        <is>
          <t>46</t>
        </is>
      </c>
    </row>
    <row r="862" ht="24" customHeight="1">
      <c r="A862" s="29" t="inlineStr">
        <is>
          <t>OpenDART_fnlttSinglAcntAll</t>
        </is>
      </c>
      <c r="B862" s="29" t="inlineStr">
        <is>
          <t>00160843</t>
        </is>
      </c>
      <c r="C862" s="29" t="inlineStr">
        <is>
          <t>DB하이텍</t>
        </is>
      </c>
      <c r="D862" s="29" t="inlineStr">
        <is>
          <t>dbhitek</t>
        </is>
      </c>
      <c r="E862" s="29" t="inlineStr">
        <is>
          <t>000990</t>
        </is>
      </c>
      <c r="F862" s="29" t="inlineStr">
        <is>
          <t>2025</t>
        </is>
      </c>
      <c r="G862" s="29" t="inlineStr">
        <is>
          <t>CFS</t>
        </is>
      </c>
      <c r="H862" s="29" t="inlineStr">
        <is>
          <t>CF</t>
        </is>
      </c>
      <c r="I862" s="29" t="inlineStr">
        <is>
          <t>현금흐름표</t>
        </is>
      </c>
      <c r="J862" s="29" t="inlineStr">
        <is>
          <t>dart_NetCashflowsFromUsedInOperations</t>
        </is>
      </c>
      <c r="K862" s="29" t="inlineStr">
        <is>
          <t>영업에서 창출된 현금</t>
        </is>
      </c>
      <c r="L862" s="29" t="inlineStr">
        <is>
          <t>-</t>
        </is>
      </c>
      <c r="M862" s="29" t="inlineStr">
        <is>
          <t>제 73 기</t>
        </is>
      </c>
      <c r="N862" s="29" t="inlineStr">
        <is>
          <t>439736354027.0</t>
        </is>
      </c>
      <c r="O862" s="29" t="inlineStr">
        <is>
          <t>409722012459.0</t>
        </is>
      </c>
      <c r="P862" s="29" t="inlineStr">
        <is>
          <t>KRW</t>
        </is>
      </c>
      <c r="Q862" s="29" t="inlineStr">
        <is>
          <t>47</t>
        </is>
      </c>
    </row>
    <row r="863" ht="24" customHeight="1">
      <c r="A863" s="24" t="inlineStr">
        <is>
          <t>OpenDART_fnlttSinglAcntAll</t>
        </is>
      </c>
      <c r="B863" s="24" t="inlineStr">
        <is>
          <t>00160843</t>
        </is>
      </c>
      <c r="C863" s="24" t="inlineStr">
        <is>
          <t>DB하이텍</t>
        </is>
      </c>
      <c r="D863" s="24" t="inlineStr">
        <is>
          <t>dbhitek</t>
        </is>
      </c>
      <c r="E863" s="24" t="inlineStr">
        <is>
          <t>000990</t>
        </is>
      </c>
      <c r="F863" s="24" t="inlineStr">
        <is>
          <t>2025</t>
        </is>
      </c>
      <c r="G863" s="24" t="inlineStr">
        <is>
          <t>CFS</t>
        </is>
      </c>
      <c r="H863" s="24" t="inlineStr">
        <is>
          <t>CF</t>
        </is>
      </c>
      <c r="I863" s="24" t="inlineStr">
        <is>
          <t>현금흐름표</t>
        </is>
      </c>
      <c r="J863" s="24" t="inlineStr">
        <is>
          <t>ifrs-full_DividendsPaidClassifiedAsOperatingActivities</t>
        </is>
      </c>
      <c r="K863" s="24" t="inlineStr">
        <is>
          <t>배당금지급(영업)</t>
        </is>
      </c>
      <c r="L863" s="24" t="inlineStr">
        <is>
          <t>-</t>
        </is>
      </c>
      <c r="M863" s="24" t="inlineStr">
        <is>
          <t>제 73 기</t>
        </is>
      </c>
      <c r="N863" s="24" t="inlineStr">
        <is>
          <t>50540816400.0</t>
        </is>
      </c>
      <c r="O863" s="24" t="inlineStr">
        <is>
          <t>24248339817.0</t>
        </is>
      </c>
      <c r="P863" s="24" t="inlineStr">
        <is>
          <t>KRW</t>
        </is>
      </c>
      <c r="Q863" s="24" t="inlineStr">
        <is>
          <t>48</t>
        </is>
      </c>
    </row>
    <row r="864" ht="24" customHeight="1">
      <c r="A864" s="29" t="inlineStr">
        <is>
          <t>OpenDART_fnlttSinglAcntAll</t>
        </is>
      </c>
      <c r="B864" s="29" t="inlineStr">
        <is>
          <t>00160843</t>
        </is>
      </c>
      <c r="C864" s="29" t="inlineStr">
        <is>
          <t>DB하이텍</t>
        </is>
      </c>
      <c r="D864" s="29" t="inlineStr">
        <is>
          <t>dbhitek</t>
        </is>
      </c>
      <c r="E864" s="29" t="inlineStr">
        <is>
          <t>000990</t>
        </is>
      </c>
      <c r="F864" s="29" t="inlineStr">
        <is>
          <t>2025</t>
        </is>
      </c>
      <c r="G864" s="29" t="inlineStr">
        <is>
          <t>CFS</t>
        </is>
      </c>
      <c r="H864" s="29" t="inlineStr">
        <is>
          <t>CF</t>
        </is>
      </c>
      <c r="I864" s="29" t="inlineStr">
        <is>
          <t>현금흐름표</t>
        </is>
      </c>
      <c r="J864" s="29" t="inlineStr">
        <is>
          <t>ifrs-full_DividendsReceivedClassifiedAsOperatingActivities</t>
        </is>
      </c>
      <c r="K864" s="29" t="inlineStr">
        <is>
          <t>배당금수취(영업)</t>
        </is>
      </c>
      <c r="L864" s="29" t="inlineStr">
        <is>
          <t>-</t>
        </is>
      </c>
      <c r="M864" s="29" t="inlineStr">
        <is>
          <t>제 73 기</t>
        </is>
      </c>
      <c r="N864" s="29" t="inlineStr">
        <is>
          <t>3448296369.0</t>
        </is>
      </c>
      <c r="O864" s="29" t="inlineStr">
        <is>
          <t>5341460615.0</t>
        </is>
      </c>
      <c r="P864" s="29" t="inlineStr">
        <is>
          <t>KRW</t>
        </is>
      </c>
      <c r="Q864" s="29" t="inlineStr">
        <is>
          <t>49</t>
        </is>
      </c>
    </row>
    <row r="865" ht="24" customHeight="1">
      <c r="A865" s="24" t="inlineStr">
        <is>
          <t>OpenDART_fnlttSinglAcntAll</t>
        </is>
      </c>
      <c r="B865" s="24" t="inlineStr">
        <is>
          <t>00160843</t>
        </is>
      </c>
      <c r="C865" s="24" t="inlineStr">
        <is>
          <t>DB하이텍</t>
        </is>
      </c>
      <c r="D865" s="24" t="inlineStr">
        <is>
          <t>dbhitek</t>
        </is>
      </c>
      <c r="E865" s="24" t="inlineStr">
        <is>
          <t>000990</t>
        </is>
      </c>
      <c r="F865" s="24" t="inlineStr">
        <is>
          <t>2025</t>
        </is>
      </c>
      <c r="G865" s="24" t="inlineStr">
        <is>
          <t>CFS</t>
        </is>
      </c>
      <c r="H865" s="24" t="inlineStr">
        <is>
          <t>CF</t>
        </is>
      </c>
      <c r="I865" s="24" t="inlineStr">
        <is>
          <t>현금흐름표</t>
        </is>
      </c>
      <c r="J865" s="24" t="inlineStr">
        <is>
          <t>ifrs-full_IncomeTaxesPaidRefundClassifiedAsOperatingActivities</t>
        </is>
      </c>
      <c r="K865" s="24" t="inlineStr">
        <is>
          <t>법인세환급(납부)</t>
        </is>
      </c>
      <c r="L865" s="24" t="inlineStr">
        <is>
          <t>-</t>
        </is>
      </c>
      <c r="M865" s="24" t="inlineStr">
        <is>
          <t>제 73 기</t>
        </is>
      </c>
      <c r="N865" s="24" t="inlineStr">
        <is>
          <t>45294125230.0</t>
        </is>
      </c>
      <c r="O865" s="24" t="inlineStr">
        <is>
          <t>30827242959.0</t>
        </is>
      </c>
      <c r="P865" s="24" t="inlineStr">
        <is>
          <t>KRW</t>
        </is>
      </c>
      <c r="Q865" s="24" t="inlineStr">
        <is>
          <t>50</t>
        </is>
      </c>
    </row>
    <row r="866" ht="24" customHeight="1">
      <c r="A866" s="29" t="inlineStr">
        <is>
          <t>OpenDART_fnlttSinglAcntAll</t>
        </is>
      </c>
      <c r="B866" s="29" t="inlineStr">
        <is>
          <t>00160843</t>
        </is>
      </c>
      <c r="C866" s="29" t="inlineStr">
        <is>
          <t>DB하이텍</t>
        </is>
      </c>
      <c r="D866" s="29" t="inlineStr">
        <is>
          <t>dbhitek</t>
        </is>
      </c>
      <c r="E866" s="29" t="inlineStr">
        <is>
          <t>000990</t>
        </is>
      </c>
      <c r="F866" s="29" t="inlineStr">
        <is>
          <t>2025</t>
        </is>
      </c>
      <c r="G866" s="29" t="inlineStr">
        <is>
          <t>CFS</t>
        </is>
      </c>
      <c r="H866" s="29" t="inlineStr">
        <is>
          <t>CF</t>
        </is>
      </c>
      <c r="I866" s="29" t="inlineStr">
        <is>
          <t>현금흐름표</t>
        </is>
      </c>
      <c r="J866" s="29" t="inlineStr">
        <is>
          <t>ifrs-full_InterestPaidClassifiedAsOperatingActivities</t>
        </is>
      </c>
      <c r="K866" s="29" t="inlineStr">
        <is>
          <t>이자지급(영업)</t>
        </is>
      </c>
      <c r="L866" s="29" t="inlineStr">
        <is>
          <t>-</t>
        </is>
      </c>
      <c r="M866" s="29" t="inlineStr">
        <is>
          <t>제 73 기</t>
        </is>
      </c>
      <c r="N866" s="29" t="inlineStr">
        <is>
          <t>6488490192.0</t>
        </is>
      </c>
      <c r="O866" s="29" t="inlineStr">
        <is>
          <t>2769205248.0</t>
        </is>
      </c>
      <c r="P866" s="29" t="inlineStr">
        <is>
          <t>KRW</t>
        </is>
      </c>
      <c r="Q866" s="29" t="inlineStr">
        <is>
          <t>51</t>
        </is>
      </c>
    </row>
    <row r="867" ht="24" customHeight="1">
      <c r="A867" s="24" t="inlineStr">
        <is>
          <t>OpenDART_fnlttSinglAcntAll</t>
        </is>
      </c>
      <c r="B867" s="24" t="inlineStr">
        <is>
          <t>00160843</t>
        </is>
      </c>
      <c r="C867" s="24" t="inlineStr">
        <is>
          <t>DB하이텍</t>
        </is>
      </c>
      <c r="D867" s="24" t="inlineStr">
        <is>
          <t>dbhitek</t>
        </is>
      </c>
      <c r="E867" s="24" t="inlineStr">
        <is>
          <t>000990</t>
        </is>
      </c>
      <c r="F867" s="24" t="inlineStr">
        <is>
          <t>2025</t>
        </is>
      </c>
      <c r="G867" s="24" t="inlineStr">
        <is>
          <t>CFS</t>
        </is>
      </c>
      <c r="H867" s="24" t="inlineStr">
        <is>
          <t>CF</t>
        </is>
      </c>
      <c r="I867" s="24" t="inlineStr">
        <is>
          <t>현금흐름표</t>
        </is>
      </c>
      <c r="J867" s="24" t="inlineStr">
        <is>
          <t>ifrs-full_InterestReceivedClassifiedAsOperatingActivities</t>
        </is>
      </c>
      <c r="K867" s="24" t="inlineStr">
        <is>
          <t>이자수취</t>
        </is>
      </c>
      <c r="L867" s="24" t="inlineStr">
        <is>
          <t>-</t>
        </is>
      </c>
      <c r="M867" s="24" t="inlineStr">
        <is>
          <t>제 73 기</t>
        </is>
      </c>
      <c r="N867" s="24" t="inlineStr">
        <is>
          <t>16105806907.0</t>
        </is>
      </c>
      <c r="O867" s="24" t="inlineStr">
        <is>
          <t>25415688775.0</t>
        </is>
      </c>
      <c r="P867" s="24" t="inlineStr">
        <is>
          <t>KRW</t>
        </is>
      </c>
      <c r="Q867" s="24" t="inlineStr">
        <is>
          <t>52</t>
        </is>
      </c>
    </row>
    <row r="868" ht="24" customHeight="1">
      <c r="A868" s="29" t="inlineStr">
        <is>
          <t>OpenDART_fnlttSinglAcntAll</t>
        </is>
      </c>
      <c r="B868" s="29" t="inlineStr">
        <is>
          <t>00160843</t>
        </is>
      </c>
      <c r="C868" s="29" t="inlineStr">
        <is>
          <t>DB하이텍</t>
        </is>
      </c>
      <c r="D868" s="29" t="inlineStr">
        <is>
          <t>dbhitek</t>
        </is>
      </c>
      <c r="E868" s="29" t="inlineStr">
        <is>
          <t>000990</t>
        </is>
      </c>
      <c r="F868" s="29" t="inlineStr">
        <is>
          <t>2025</t>
        </is>
      </c>
      <c r="G868" s="29" t="inlineStr">
        <is>
          <t>CFS</t>
        </is>
      </c>
      <c r="H868" s="29" t="inlineStr">
        <is>
          <t>CF</t>
        </is>
      </c>
      <c r="I868" s="29" t="inlineStr">
        <is>
          <t>현금흐름표</t>
        </is>
      </c>
      <c r="J868" s="29" t="inlineStr">
        <is>
          <t>ifrs-full_EffectOfExchangeRateChangesOnCashAndCashEquivalents</t>
        </is>
      </c>
      <c r="K868" s="29" t="inlineStr">
        <is>
          <t>현금및현금성자산에 대한 환율변동효과</t>
        </is>
      </c>
      <c r="L868" s="29" t="inlineStr">
        <is>
          <t>-</t>
        </is>
      </c>
      <c r="M868" s="29" t="inlineStr">
        <is>
          <t>제 73 기</t>
        </is>
      </c>
      <c r="N868" s="29" t="inlineStr">
        <is>
          <t>-5078832522.0</t>
        </is>
      </c>
      <c r="O868" s="29" t="inlineStr">
        <is>
          <t>3470314890.0</t>
        </is>
      </c>
      <c r="P868" s="29" t="inlineStr">
        <is>
          <t>KRW</t>
        </is>
      </c>
      <c r="Q868" s="29" t="inlineStr">
        <is>
          <t>53</t>
        </is>
      </c>
    </row>
    <row r="869" ht="24" customHeight="1">
      <c r="A869" s="24" t="inlineStr">
        <is>
          <t>OpenDART_fnlttSinglAcntAll</t>
        </is>
      </c>
      <c r="B869" s="24" t="inlineStr">
        <is>
          <t>00160843</t>
        </is>
      </c>
      <c r="C869" s="24" t="inlineStr">
        <is>
          <t>DB하이텍</t>
        </is>
      </c>
      <c r="D869" s="24" t="inlineStr">
        <is>
          <t>dbhitek</t>
        </is>
      </c>
      <c r="E869" s="24" t="inlineStr">
        <is>
          <t>000990</t>
        </is>
      </c>
      <c r="F869" s="24" t="inlineStr">
        <is>
          <t>2025</t>
        </is>
      </c>
      <c r="G869" s="24" t="inlineStr">
        <is>
          <t>CFS</t>
        </is>
      </c>
      <c r="H869" s="24" t="inlineStr">
        <is>
          <t>CF</t>
        </is>
      </c>
      <c r="I869" s="24" t="inlineStr">
        <is>
          <t>현금흐름표</t>
        </is>
      </c>
      <c r="J869" s="24" t="inlineStr">
        <is>
          <t>ifrs-full_IncreaseDecreaseInCashAndCashEquivalentsBeforeEffectOfExchangeRateChanges</t>
        </is>
      </c>
      <c r="K869" s="24" t="inlineStr">
        <is>
          <t>환율변동효과 반영전 현금및현금성자산의 순증가(감소)</t>
        </is>
      </c>
      <c r="L869" s="24" t="inlineStr">
        <is>
          <t>-</t>
        </is>
      </c>
      <c r="M869" s="24" t="inlineStr">
        <is>
          <t>제 73 기</t>
        </is>
      </c>
      <c r="N869" s="24" t="inlineStr">
        <is>
          <t>31079204444.0</t>
        </is>
      </c>
      <c r="O869" s="24" t="inlineStr">
        <is>
          <t>40254022065.0</t>
        </is>
      </c>
      <c r="P869" s="24" t="inlineStr">
        <is>
          <t>KRW</t>
        </is>
      </c>
      <c r="Q869" s="24" t="inlineStr">
        <is>
          <t>54</t>
        </is>
      </c>
    </row>
    <row r="870" ht="24" customHeight="1">
      <c r="A870" s="29" t="inlineStr">
        <is>
          <t>OpenDART_fnlttSinglAcntAll</t>
        </is>
      </c>
      <c r="B870" s="29" t="inlineStr">
        <is>
          <t>00160843</t>
        </is>
      </c>
      <c r="C870" s="29" t="inlineStr">
        <is>
          <t>DB하이텍</t>
        </is>
      </c>
      <c r="D870" s="29" t="inlineStr">
        <is>
          <t>dbhitek</t>
        </is>
      </c>
      <c r="E870" s="29" t="inlineStr">
        <is>
          <t>000990</t>
        </is>
      </c>
      <c r="F870" s="29" t="inlineStr">
        <is>
          <t>2025</t>
        </is>
      </c>
      <c r="G870" s="29" t="inlineStr">
        <is>
          <t>CFS</t>
        </is>
      </c>
      <c r="H870" s="29" t="inlineStr">
        <is>
          <t>SCE</t>
        </is>
      </c>
      <c r="I870" s="29" t="inlineStr">
        <is>
          <t>자본변동표</t>
        </is>
      </c>
      <c r="J870" s="29" t="inlineStr">
        <is>
          <t>dart_DispositionOfTreasuryShares</t>
        </is>
      </c>
      <c r="K870" s="29" t="inlineStr">
        <is>
          <t>자기주식의 처분</t>
        </is>
      </c>
      <c r="L870" s="29" t="inlineStr">
        <is>
          <t>연결재무제표 [member]</t>
        </is>
      </c>
      <c r="M870" s="29" t="inlineStr">
        <is>
          <t>제 73 기</t>
        </is>
      </c>
      <c r="N870" s="29" t="inlineStr">
        <is>
          <t>2405444779.0</t>
        </is>
      </c>
      <c r="O870" s="29" t="inlineStr">
        <is>
          <t>0.0</t>
        </is>
      </c>
      <c r="P870" s="29" t="inlineStr">
        <is>
          <t>KRW</t>
        </is>
      </c>
      <c r="Q870" s="29" t="inlineStr">
        <is>
          <t>3</t>
        </is>
      </c>
    </row>
    <row r="871" ht="24" customHeight="1">
      <c r="A871" s="24" t="inlineStr">
        <is>
          <t>OpenDART_fnlttSinglAcntAll</t>
        </is>
      </c>
      <c r="B871" s="24" t="inlineStr">
        <is>
          <t>00160843</t>
        </is>
      </c>
      <c r="C871" s="24" t="inlineStr">
        <is>
          <t>DB하이텍</t>
        </is>
      </c>
      <c r="D871" s="24" t="inlineStr">
        <is>
          <t>dbhitek</t>
        </is>
      </c>
      <c r="E871" s="24" t="inlineStr">
        <is>
          <t>000990</t>
        </is>
      </c>
      <c r="F871" s="24" t="inlineStr">
        <is>
          <t>2025</t>
        </is>
      </c>
      <c r="G871" s="24" t="inlineStr">
        <is>
          <t>CFS</t>
        </is>
      </c>
      <c r="H871" s="24" t="inlineStr">
        <is>
          <t>SCE</t>
        </is>
      </c>
      <c r="I871" s="24" t="inlineStr">
        <is>
          <t>자본변동표</t>
        </is>
      </c>
      <c r="J871" s="24" t="inlineStr">
        <is>
          <t>dart_DispositionOfTreasuryShares</t>
        </is>
      </c>
      <c r="K871" s="24" t="inlineStr">
        <is>
          <t>자기주식의 처분</t>
        </is>
      </c>
      <c r="L871" s="24" t="inlineStr">
        <is>
          <t>자본 [구성요소]|비지배지분 [구성요소]</t>
        </is>
      </c>
      <c r="M871" s="24" t="inlineStr">
        <is>
          <t>제 73 기</t>
        </is>
      </c>
      <c r="N871" s="24" t="inlineStr">
        <is>
          <t>0.0</t>
        </is>
      </c>
      <c r="O871" s="24" t="inlineStr">
        <is>
          <t>0.0</t>
        </is>
      </c>
      <c r="P871" s="24" t="inlineStr">
        <is>
          <t>KRW</t>
        </is>
      </c>
      <c r="Q871" s="24" t="inlineStr">
        <is>
          <t>3</t>
        </is>
      </c>
    </row>
    <row r="872" ht="24" customHeight="1">
      <c r="A872" s="29" t="inlineStr">
        <is>
          <t>OpenDART_fnlttSinglAcntAll</t>
        </is>
      </c>
      <c r="B872" s="29" t="inlineStr">
        <is>
          <t>00160843</t>
        </is>
      </c>
      <c r="C872" s="29" t="inlineStr">
        <is>
          <t>DB하이텍</t>
        </is>
      </c>
      <c r="D872" s="29" t="inlineStr">
        <is>
          <t>dbhitek</t>
        </is>
      </c>
      <c r="E872" s="29" t="inlineStr">
        <is>
          <t>000990</t>
        </is>
      </c>
      <c r="F872" s="29" t="inlineStr">
        <is>
          <t>2025</t>
        </is>
      </c>
      <c r="G872" s="29" t="inlineStr">
        <is>
          <t>CFS</t>
        </is>
      </c>
      <c r="H872" s="29" t="inlineStr">
        <is>
          <t>SCE</t>
        </is>
      </c>
      <c r="I872" s="29" t="inlineStr">
        <is>
          <t>자본변동표</t>
        </is>
      </c>
      <c r="J872" s="29" t="inlineStr">
        <is>
          <t>dart_DispositionOfTreasuryShares</t>
        </is>
      </c>
      <c r="K872" s="29" t="inlineStr">
        <is>
          <t>자기주식의 처분</t>
        </is>
      </c>
      <c r="L872" s="29" t="inlineStr">
        <is>
          <t>자본 [구성요소]|지배기업의 소유주에게 귀속되는 지분 [구성요소]</t>
        </is>
      </c>
      <c r="M872" s="29" t="inlineStr">
        <is>
          <t>제 73 기</t>
        </is>
      </c>
      <c r="N872" s="29" t="inlineStr">
        <is>
          <t>2405444779.0</t>
        </is>
      </c>
      <c r="O872" s="29" t="inlineStr">
        <is>
          <t>0.0</t>
        </is>
      </c>
      <c r="P872" s="29" t="inlineStr">
        <is>
          <t>KRW</t>
        </is>
      </c>
      <c r="Q872" s="29" t="inlineStr">
        <is>
          <t>3</t>
        </is>
      </c>
    </row>
    <row r="873" ht="24" customHeight="1">
      <c r="A873" s="24" t="inlineStr">
        <is>
          <t>OpenDART_fnlttSinglAcntAll</t>
        </is>
      </c>
      <c r="B873" s="24" t="inlineStr">
        <is>
          <t>00160843</t>
        </is>
      </c>
      <c r="C873" s="24" t="inlineStr">
        <is>
          <t>DB하이텍</t>
        </is>
      </c>
      <c r="D873" s="24" t="inlineStr">
        <is>
          <t>dbhitek</t>
        </is>
      </c>
      <c r="E873" s="24" t="inlineStr">
        <is>
          <t>000990</t>
        </is>
      </c>
      <c r="F873" s="24" t="inlineStr">
        <is>
          <t>2025</t>
        </is>
      </c>
      <c r="G873" s="24" t="inlineStr">
        <is>
          <t>CFS</t>
        </is>
      </c>
      <c r="H873" s="24" t="inlineStr">
        <is>
          <t>SCE</t>
        </is>
      </c>
      <c r="I873" s="24" t="inlineStr">
        <is>
          <t>자본변동표</t>
        </is>
      </c>
      <c r="J873" s="24" t="inlineStr">
        <is>
          <t>dart_DispositionOfTreasuryShares</t>
        </is>
      </c>
      <c r="K873" s="24" t="inlineStr">
        <is>
          <t>자기주식의 처분</t>
        </is>
      </c>
      <c r="L873" s="24" t="inlineStr">
        <is>
          <t>자본 [구성요소]|지배기업의 소유주에게 귀속되는 지분 [구성요소]|기타자본구성요소 [구성요소]</t>
        </is>
      </c>
      <c r="M873" s="24" t="inlineStr">
        <is>
          <t>제 73 기</t>
        </is>
      </c>
      <c r="N873" s="24" t="inlineStr">
        <is>
          <t>2405444779.0</t>
        </is>
      </c>
      <c r="O873" s="24" t="inlineStr">
        <is>
          <t>0.0</t>
        </is>
      </c>
      <c r="P873" s="24" t="inlineStr">
        <is>
          <t>KRW</t>
        </is>
      </c>
      <c r="Q873" s="24" t="inlineStr">
        <is>
          <t>3</t>
        </is>
      </c>
    </row>
    <row r="874" ht="24" customHeight="1">
      <c r="A874" s="29" t="inlineStr">
        <is>
          <t>OpenDART_fnlttSinglAcntAll</t>
        </is>
      </c>
      <c r="B874" s="29" t="inlineStr">
        <is>
          <t>00160843</t>
        </is>
      </c>
      <c r="C874" s="29" t="inlineStr">
        <is>
          <t>DB하이텍</t>
        </is>
      </c>
      <c r="D874" s="29" t="inlineStr">
        <is>
          <t>dbhitek</t>
        </is>
      </c>
      <c r="E874" s="29" t="inlineStr">
        <is>
          <t>000990</t>
        </is>
      </c>
      <c r="F874" s="29" t="inlineStr">
        <is>
          <t>2025</t>
        </is>
      </c>
      <c r="G874" s="29" t="inlineStr">
        <is>
          <t>CFS</t>
        </is>
      </c>
      <c r="H874" s="29" t="inlineStr">
        <is>
          <t>SCE</t>
        </is>
      </c>
      <c r="I874" s="29" t="inlineStr">
        <is>
          <t>자본변동표</t>
        </is>
      </c>
      <c r="J874" s="29" t="inlineStr">
        <is>
          <t>dart_DispositionOfTreasuryShares</t>
        </is>
      </c>
      <c r="K874" s="29" t="inlineStr">
        <is>
          <t>자기주식의 처분</t>
        </is>
      </c>
      <c r="L874" s="29" t="inlineStr">
        <is>
          <t>자본 [구성요소]|지배기업의 소유주에게 귀속되는 지분 [구성요소]|이익잉여금 [구성요소]</t>
        </is>
      </c>
      <c r="M874" s="29" t="inlineStr">
        <is>
          <t>제 73 기</t>
        </is>
      </c>
      <c r="N874" s="29" t="inlineStr">
        <is>
          <t>0.0</t>
        </is>
      </c>
      <c r="O874" s="29" t="inlineStr">
        <is>
          <t>0.0</t>
        </is>
      </c>
      <c r="P874" s="29" t="inlineStr">
        <is>
          <t>KRW</t>
        </is>
      </c>
      <c r="Q874" s="29" t="inlineStr">
        <is>
          <t>3</t>
        </is>
      </c>
    </row>
    <row r="875" ht="24" customHeight="1">
      <c r="A875" s="24" t="inlineStr">
        <is>
          <t>OpenDART_fnlttSinglAcntAll</t>
        </is>
      </c>
      <c r="B875" s="24" t="inlineStr">
        <is>
          <t>00160843</t>
        </is>
      </c>
      <c r="C875" s="24" t="inlineStr">
        <is>
          <t>DB하이텍</t>
        </is>
      </c>
      <c r="D875" s="24" t="inlineStr">
        <is>
          <t>dbhitek</t>
        </is>
      </c>
      <c r="E875" s="24" t="inlineStr">
        <is>
          <t>000990</t>
        </is>
      </c>
      <c r="F875" s="24" t="inlineStr">
        <is>
          <t>2025</t>
        </is>
      </c>
      <c r="G875" s="24" t="inlineStr">
        <is>
          <t>CFS</t>
        </is>
      </c>
      <c r="H875" s="24" t="inlineStr">
        <is>
          <t>SCE</t>
        </is>
      </c>
      <c r="I875" s="24" t="inlineStr">
        <is>
          <t>자본변동표</t>
        </is>
      </c>
      <c r="J875" s="24" t="inlineStr">
        <is>
          <t>dart_DispositionOfTreasuryShares</t>
        </is>
      </c>
      <c r="K875" s="24" t="inlineStr">
        <is>
          <t>자기주식의 처분</t>
        </is>
      </c>
      <c r="L875" s="24" t="inlineStr">
        <is>
          <t>자본 [구성요소]|지배기업의 소유주에게 귀속되는 지분 [구성요소]|자본금 [구성요소]</t>
        </is>
      </c>
      <c r="M875" s="24" t="inlineStr">
        <is>
          <t>제 73 기</t>
        </is>
      </c>
      <c r="N875" s="24" t="inlineStr">
        <is>
          <t>0.0</t>
        </is>
      </c>
      <c r="O875" s="24" t="inlineStr">
        <is>
          <t>0.0</t>
        </is>
      </c>
      <c r="P875" s="24" t="inlineStr">
        <is>
          <t>KRW</t>
        </is>
      </c>
      <c r="Q875" s="24" t="inlineStr">
        <is>
          <t>3</t>
        </is>
      </c>
    </row>
    <row r="876" ht="24" customHeight="1">
      <c r="A876" s="29" t="inlineStr">
        <is>
          <t>OpenDART_fnlttSinglAcntAll</t>
        </is>
      </c>
      <c r="B876" s="29" t="inlineStr">
        <is>
          <t>00160843</t>
        </is>
      </c>
      <c r="C876" s="29" t="inlineStr">
        <is>
          <t>DB하이텍</t>
        </is>
      </c>
      <c r="D876" s="29" t="inlineStr">
        <is>
          <t>dbhitek</t>
        </is>
      </c>
      <c r="E876" s="29" t="inlineStr">
        <is>
          <t>000990</t>
        </is>
      </c>
      <c r="F876" s="29" t="inlineStr">
        <is>
          <t>2025</t>
        </is>
      </c>
      <c r="G876" s="29" t="inlineStr">
        <is>
          <t>CFS</t>
        </is>
      </c>
      <c r="H876" s="29" t="inlineStr">
        <is>
          <t>SCE</t>
        </is>
      </c>
      <c r="I876" s="29" t="inlineStr">
        <is>
          <t>자본변동표</t>
        </is>
      </c>
      <c r="J876" s="29" t="inlineStr">
        <is>
          <t>dart_DispositionOfTreasuryShares</t>
        </is>
      </c>
      <c r="K876" s="29" t="inlineStr">
        <is>
          <t>자기주식의 처분</t>
        </is>
      </c>
      <c r="L876" s="29" t="inlineStr">
        <is>
          <t>자본 [구성요소]|지배기업의 소유주에게 귀속되는 지분 [구성요소]|자본잉여금 [구성요소]</t>
        </is>
      </c>
      <c r="M876" s="29" t="inlineStr">
        <is>
          <t>제 73 기</t>
        </is>
      </c>
      <c r="N876" s="29" t="inlineStr">
        <is>
          <t>0.0</t>
        </is>
      </c>
      <c r="O876" s="29" t="inlineStr">
        <is>
          <t>0.0</t>
        </is>
      </c>
      <c r="P876" s="29" t="inlineStr">
        <is>
          <t>KRW</t>
        </is>
      </c>
      <c r="Q876" s="29" t="inlineStr">
        <is>
          <t>3</t>
        </is>
      </c>
    </row>
    <row r="877" ht="24" customHeight="1">
      <c r="A877" s="24" t="inlineStr">
        <is>
          <t>OpenDART_fnlttSinglAcntAll</t>
        </is>
      </c>
      <c r="B877" s="24" t="inlineStr">
        <is>
          <t>00160843</t>
        </is>
      </c>
      <c r="C877" s="24" t="inlineStr">
        <is>
          <t>DB하이텍</t>
        </is>
      </c>
      <c r="D877" s="24" t="inlineStr">
        <is>
          <t>dbhitek</t>
        </is>
      </c>
      <c r="E877" s="24" t="inlineStr">
        <is>
          <t>000990</t>
        </is>
      </c>
      <c r="F877" s="24" t="inlineStr">
        <is>
          <t>2025</t>
        </is>
      </c>
      <c r="G877" s="24" t="inlineStr">
        <is>
          <t>CFS</t>
        </is>
      </c>
      <c r="H877" s="24" t="inlineStr">
        <is>
          <t>SCE</t>
        </is>
      </c>
      <c r="I877" s="24" t="inlineStr">
        <is>
          <t>자본변동표</t>
        </is>
      </c>
      <c r="J877" s="24" t="inlineStr">
        <is>
          <t>dart_EquityAtBeginningOfPeriod</t>
        </is>
      </c>
      <c r="K877" s="24" t="inlineStr">
        <is>
          <t>기초자본</t>
        </is>
      </c>
      <c r="L877" s="24" t="inlineStr">
        <is>
          <t>연결재무제표 [member]</t>
        </is>
      </c>
      <c r="M877" s="24" t="inlineStr">
        <is>
          <t>제 73 기</t>
        </is>
      </c>
      <c r="N877" s="24" t="inlineStr">
        <is>
          <t>2000688804317.0</t>
        </is>
      </c>
      <c r="O877" s="24" t="inlineStr">
        <is>
          <t>1740082437747.0</t>
        </is>
      </c>
      <c r="P877" s="24" t="inlineStr">
        <is>
          <t>KRW</t>
        </is>
      </c>
      <c r="Q877" s="24" t="inlineStr">
        <is>
          <t>4</t>
        </is>
      </c>
    </row>
    <row r="878" ht="24" customHeight="1">
      <c r="A878" s="29" t="inlineStr">
        <is>
          <t>OpenDART_fnlttSinglAcntAll</t>
        </is>
      </c>
      <c r="B878" s="29" t="inlineStr">
        <is>
          <t>00160843</t>
        </is>
      </c>
      <c r="C878" s="29" t="inlineStr">
        <is>
          <t>DB하이텍</t>
        </is>
      </c>
      <c r="D878" s="29" t="inlineStr">
        <is>
          <t>dbhitek</t>
        </is>
      </c>
      <c r="E878" s="29" t="inlineStr">
        <is>
          <t>000990</t>
        </is>
      </c>
      <c r="F878" s="29" t="inlineStr">
        <is>
          <t>2025</t>
        </is>
      </c>
      <c r="G878" s="29" t="inlineStr">
        <is>
          <t>CFS</t>
        </is>
      </c>
      <c r="H878" s="29" t="inlineStr">
        <is>
          <t>SCE</t>
        </is>
      </c>
      <c r="I878" s="29" t="inlineStr">
        <is>
          <t>자본변동표</t>
        </is>
      </c>
      <c r="J878" s="29" t="inlineStr">
        <is>
          <t>dart_EquityAtBeginningOfPeriod</t>
        </is>
      </c>
      <c r="K878" s="29" t="inlineStr">
        <is>
          <t>기초자본</t>
        </is>
      </c>
      <c r="L878" s="29" t="inlineStr">
        <is>
          <t>자본 [구성요소]|비지배지분 [구성요소]</t>
        </is>
      </c>
      <c r="M878" s="29" t="inlineStr">
        <is>
          <t>제 73 기</t>
        </is>
      </c>
      <c r="N878" s="29" t="inlineStr">
        <is>
          <t>50706545677.0</t>
        </is>
      </c>
      <c r="O878" s="29" t="inlineStr">
        <is>
          <t>0.0</t>
        </is>
      </c>
      <c r="P878" s="29" t="inlineStr">
        <is>
          <t>KRW</t>
        </is>
      </c>
      <c r="Q878" s="29" t="inlineStr">
        <is>
          <t>4</t>
        </is>
      </c>
    </row>
    <row r="879" ht="24" customHeight="1">
      <c r="A879" s="24" t="inlineStr">
        <is>
          <t>OpenDART_fnlttSinglAcntAll</t>
        </is>
      </c>
      <c r="B879" s="24" t="inlineStr">
        <is>
          <t>00160843</t>
        </is>
      </c>
      <c r="C879" s="24" t="inlineStr">
        <is>
          <t>DB하이텍</t>
        </is>
      </c>
      <c r="D879" s="24" t="inlineStr">
        <is>
          <t>dbhitek</t>
        </is>
      </c>
      <c r="E879" s="24" t="inlineStr">
        <is>
          <t>000990</t>
        </is>
      </c>
      <c r="F879" s="24" t="inlineStr">
        <is>
          <t>2025</t>
        </is>
      </c>
      <c r="G879" s="24" t="inlineStr">
        <is>
          <t>CFS</t>
        </is>
      </c>
      <c r="H879" s="24" t="inlineStr">
        <is>
          <t>SCE</t>
        </is>
      </c>
      <c r="I879" s="24" t="inlineStr">
        <is>
          <t>자본변동표</t>
        </is>
      </c>
      <c r="J879" s="24" t="inlineStr">
        <is>
          <t>dart_EquityAtBeginningOfPeriod</t>
        </is>
      </c>
      <c r="K879" s="24" t="inlineStr">
        <is>
          <t>기초자본</t>
        </is>
      </c>
      <c r="L879" s="24" t="inlineStr">
        <is>
          <t>자본 [구성요소]|지배기업의 소유주에게 귀속되는 지분 [구성요소]</t>
        </is>
      </c>
      <c r="M879" s="24" t="inlineStr">
        <is>
          <t>제 73 기</t>
        </is>
      </c>
      <c r="N879" s="24" t="inlineStr">
        <is>
          <t>1949982258640.0</t>
        </is>
      </c>
      <c r="O879" s="24" t="inlineStr">
        <is>
          <t>1740082437747.0</t>
        </is>
      </c>
      <c r="P879" s="24" t="inlineStr">
        <is>
          <t>KRW</t>
        </is>
      </c>
      <c r="Q879" s="24" t="inlineStr">
        <is>
          <t>4</t>
        </is>
      </c>
    </row>
    <row r="880" ht="24" customHeight="1">
      <c r="A880" s="29" t="inlineStr">
        <is>
          <t>OpenDART_fnlttSinglAcntAll</t>
        </is>
      </c>
      <c r="B880" s="29" t="inlineStr">
        <is>
          <t>00160843</t>
        </is>
      </c>
      <c r="C880" s="29" t="inlineStr">
        <is>
          <t>DB하이텍</t>
        </is>
      </c>
      <c r="D880" s="29" t="inlineStr">
        <is>
          <t>dbhitek</t>
        </is>
      </c>
      <c r="E880" s="29" t="inlineStr">
        <is>
          <t>000990</t>
        </is>
      </c>
      <c r="F880" s="29" t="inlineStr">
        <is>
          <t>2025</t>
        </is>
      </c>
      <c r="G880" s="29" t="inlineStr">
        <is>
          <t>CFS</t>
        </is>
      </c>
      <c r="H880" s="29" t="inlineStr">
        <is>
          <t>SCE</t>
        </is>
      </c>
      <c r="I880" s="29" t="inlineStr">
        <is>
          <t>자본변동표</t>
        </is>
      </c>
      <c r="J880" s="29" t="inlineStr">
        <is>
          <t>dart_EquityAtBeginningOfPeriod</t>
        </is>
      </c>
      <c r="K880" s="29" t="inlineStr">
        <is>
          <t>기초자본</t>
        </is>
      </c>
      <c r="L880" s="29" t="inlineStr">
        <is>
          <t>자본 [구성요소]|지배기업의 소유주에게 귀속되는 지분 [구성요소]|기타자본구성요소 [구성요소]</t>
        </is>
      </c>
      <c r="M880" s="29" t="inlineStr">
        <is>
          <t>제 73 기</t>
        </is>
      </c>
      <c r="N880" s="29" t="inlineStr">
        <is>
          <t>-163336720157.0</t>
        </is>
      </c>
      <c r="O880" s="29" t="inlineStr">
        <is>
          <t>-173062538826.0</t>
        </is>
      </c>
      <c r="P880" s="29" t="inlineStr">
        <is>
          <t>KRW</t>
        </is>
      </c>
      <c r="Q880" s="29" t="inlineStr">
        <is>
          <t>4</t>
        </is>
      </c>
    </row>
    <row r="881" ht="24" customHeight="1">
      <c r="A881" s="24" t="inlineStr">
        <is>
          <t>OpenDART_fnlttSinglAcntAll</t>
        </is>
      </c>
      <c r="B881" s="24" t="inlineStr">
        <is>
          <t>00160843</t>
        </is>
      </c>
      <c r="C881" s="24" t="inlineStr">
        <is>
          <t>DB하이텍</t>
        </is>
      </c>
      <c r="D881" s="24" t="inlineStr">
        <is>
          <t>dbhitek</t>
        </is>
      </c>
      <c r="E881" s="24" t="inlineStr">
        <is>
          <t>000990</t>
        </is>
      </c>
      <c r="F881" s="24" t="inlineStr">
        <is>
          <t>2025</t>
        </is>
      </c>
      <c r="G881" s="24" t="inlineStr">
        <is>
          <t>CFS</t>
        </is>
      </c>
      <c r="H881" s="24" t="inlineStr">
        <is>
          <t>SCE</t>
        </is>
      </c>
      <c r="I881" s="24" t="inlineStr">
        <is>
          <t>자본변동표</t>
        </is>
      </c>
      <c r="J881" s="24" t="inlineStr">
        <is>
          <t>dart_EquityAtBeginningOfPeriod</t>
        </is>
      </c>
      <c r="K881" s="24" t="inlineStr">
        <is>
          <t>기초자본</t>
        </is>
      </c>
      <c r="L881" s="24" t="inlineStr">
        <is>
          <t>자본 [구성요소]|지배기업의 소유주에게 귀속되는 지분 [구성요소]|이익잉여금 [구성요소]</t>
        </is>
      </c>
      <c r="M881" s="24" t="inlineStr">
        <is>
          <t>제 73 기</t>
        </is>
      </c>
      <c r="N881" s="24" t="inlineStr">
        <is>
          <t>1763434867503.0</t>
        </is>
      </c>
      <c r="O881" s="24" t="inlineStr">
        <is>
          <t>1563260865279.0</t>
        </is>
      </c>
      <c r="P881" s="24" t="inlineStr">
        <is>
          <t>KRW</t>
        </is>
      </c>
      <c r="Q881" s="24" t="inlineStr">
        <is>
          <t>4</t>
        </is>
      </c>
    </row>
    <row r="882" ht="24" customHeight="1">
      <c r="A882" s="29" t="inlineStr">
        <is>
          <t>OpenDART_fnlttSinglAcntAll</t>
        </is>
      </c>
      <c r="B882" s="29" t="inlineStr">
        <is>
          <t>00160843</t>
        </is>
      </c>
      <c r="C882" s="29" t="inlineStr">
        <is>
          <t>DB하이텍</t>
        </is>
      </c>
      <c r="D882" s="29" t="inlineStr">
        <is>
          <t>dbhitek</t>
        </is>
      </c>
      <c r="E882" s="29" t="inlineStr">
        <is>
          <t>000990</t>
        </is>
      </c>
      <c r="F882" s="29" t="inlineStr">
        <is>
          <t>2025</t>
        </is>
      </c>
      <c r="G882" s="29" t="inlineStr">
        <is>
          <t>CFS</t>
        </is>
      </c>
      <c r="H882" s="29" t="inlineStr">
        <is>
          <t>SCE</t>
        </is>
      </c>
      <c r="I882" s="29" t="inlineStr">
        <is>
          <t>자본변동표</t>
        </is>
      </c>
      <c r="J882" s="29" t="inlineStr">
        <is>
          <t>dart_EquityAtBeginningOfPeriod</t>
        </is>
      </c>
      <c r="K882" s="29" t="inlineStr">
        <is>
          <t>기초자본</t>
        </is>
      </c>
      <c r="L882" s="29" t="inlineStr">
        <is>
          <t>자본 [구성요소]|지배기업의 소유주에게 귀속되는 지분 [구성요소]|자본금 [구성요소]</t>
        </is>
      </c>
      <c r="M882" s="29" t="inlineStr">
        <is>
          <t>제 73 기</t>
        </is>
      </c>
      <c r="N882" s="29" t="inlineStr">
        <is>
          <t>222555835000.0</t>
        </is>
      </c>
      <c r="O882" s="29" t="inlineStr">
        <is>
          <t>222555835000.0</t>
        </is>
      </c>
      <c r="P882" s="29" t="inlineStr">
        <is>
          <t>KRW</t>
        </is>
      </c>
      <c r="Q882" s="29" t="inlineStr">
        <is>
          <t>4</t>
        </is>
      </c>
    </row>
    <row r="883" ht="24" customHeight="1">
      <c r="A883" s="24" t="inlineStr">
        <is>
          <t>OpenDART_fnlttSinglAcntAll</t>
        </is>
      </c>
      <c r="B883" s="24" t="inlineStr">
        <is>
          <t>00160843</t>
        </is>
      </c>
      <c r="C883" s="24" t="inlineStr">
        <is>
          <t>DB하이텍</t>
        </is>
      </c>
      <c r="D883" s="24" t="inlineStr">
        <is>
          <t>dbhitek</t>
        </is>
      </c>
      <c r="E883" s="24" t="inlineStr">
        <is>
          <t>000990</t>
        </is>
      </c>
      <c r="F883" s="24" t="inlineStr">
        <is>
          <t>2025</t>
        </is>
      </c>
      <c r="G883" s="24" t="inlineStr">
        <is>
          <t>CFS</t>
        </is>
      </c>
      <c r="H883" s="24" t="inlineStr">
        <is>
          <t>SCE</t>
        </is>
      </c>
      <c r="I883" s="24" t="inlineStr">
        <is>
          <t>자본변동표</t>
        </is>
      </c>
      <c r="J883" s="24" t="inlineStr">
        <is>
          <t>dart_EquityAtBeginningOfPeriod</t>
        </is>
      </c>
      <c r="K883" s="24" t="inlineStr">
        <is>
          <t>기초자본</t>
        </is>
      </c>
      <c r="L883" s="24" t="inlineStr">
        <is>
          <t>자본 [구성요소]|지배기업의 소유주에게 귀속되는 지분 [구성요소]|자본잉여금 [구성요소]</t>
        </is>
      </c>
      <c r="M883" s="24" t="inlineStr">
        <is>
          <t>제 73 기</t>
        </is>
      </c>
      <c r="N883" s="24" t="inlineStr">
        <is>
          <t>127328276294.0</t>
        </is>
      </c>
      <c r="O883" s="24" t="inlineStr">
        <is>
          <t>127328276294.0</t>
        </is>
      </c>
      <c r="P883" s="24" t="inlineStr">
        <is>
          <t>KRW</t>
        </is>
      </c>
      <c r="Q883" s="24" t="inlineStr">
        <is>
          <t>4</t>
        </is>
      </c>
    </row>
    <row r="884" ht="24" customHeight="1">
      <c r="A884" s="29" t="inlineStr">
        <is>
          <t>OpenDART_fnlttSinglAcntAll</t>
        </is>
      </c>
      <c r="B884" s="29" t="inlineStr">
        <is>
          <t>00160843</t>
        </is>
      </c>
      <c r="C884" s="29" t="inlineStr">
        <is>
          <t>DB하이텍</t>
        </is>
      </c>
      <c r="D884" s="29" t="inlineStr">
        <is>
          <t>dbhitek</t>
        </is>
      </c>
      <c r="E884" s="29" t="inlineStr">
        <is>
          <t>000990</t>
        </is>
      </c>
      <c r="F884" s="29" t="inlineStr">
        <is>
          <t>2025</t>
        </is>
      </c>
      <c r="G884" s="29" t="inlineStr">
        <is>
          <t>CFS</t>
        </is>
      </c>
      <c r="H884" s="29" t="inlineStr">
        <is>
          <t>SCE</t>
        </is>
      </c>
      <c r="I884" s="29" t="inlineStr">
        <is>
          <t>자본변동표</t>
        </is>
      </c>
      <c r="J884" s="29" t="inlineStr">
        <is>
          <t>dart_ProceedsFromExchangeableBond</t>
        </is>
      </c>
      <c r="K884" s="29" t="inlineStr">
        <is>
          <t>교환사채의 증가</t>
        </is>
      </c>
      <c r="L884" s="29" t="inlineStr">
        <is>
          <t>연결재무제표 [member]</t>
        </is>
      </c>
      <c r="M884" s="29" t="inlineStr">
        <is>
          <t>제 73 기</t>
        </is>
      </c>
      <c r="N884" s="29" t="inlineStr">
        <is>
          <t>21838775333.0</t>
        </is>
      </c>
      <c r="O884" s="29" t="inlineStr">
        <is>
          <t>0.0</t>
        </is>
      </c>
      <c r="P884" s="29" t="inlineStr">
        <is>
          <t>KRW</t>
        </is>
      </c>
      <c r="Q884" s="29" t="inlineStr">
        <is>
          <t>5</t>
        </is>
      </c>
    </row>
    <row r="885" ht="24" customHeight="1">
      <c r="A885" s="24" t="inlineStr">
        <is>
          <t>OpenDART_fnlttSinglAcntAll</t>
        </is>
      </c>
      <c r="B885" s="24" t="inlineStr">
        <is>
          <t>00160843</t>
        </is>
      </c>
      <c r="C885" s="24" t="inlineStr">
        <is>
          <t>DB하이텍</t>
        </is>
      </c>
      <c r="D885" s="24" t="inlineStr">
        <is>
          <t>dbhitek</t>
        </is>
      </c>
      <c r="E885" s="24" t="inlineStr">
        <is>
          <t>000990</t>
        </is>
      </c>
      <c r="F885" s="24" t="inlineStr">
        <is>
          <t>2025</t>
        </is>
      </c>
      <c r="G885" s="24" t="inlineStr">
        <is>
          <t>CFS</t>
        </is>
      </c>
      <c r="H885" s="24" t="inlineStr">
        <is>
          <t>SCE</t>
        </is>
      </c>
      <c r="I885" s="24" t="inlineStr">
        <is>
          <t>자본변동표</t>
        </is>
      </c>
      <c r="J885" s="24" t="inlineStr">
        <is>
          <t>dart_ProceedsFromExchangeableBond</t>
        </is>
      </c>
      <c r="K885" s="24" t="inlineStr">
        <is>
          <t>교환사채의 증가</t>
        </is>
      </c>
      <c r="L885" s="24" t="inlineStr">
        <is>
          <t>자본 [구성요소]|비지배지분 [구성요소]</t>
        </is>
      </c>
      <c r="M885" s="24" t="inlineStr">
        <is>
          <t>제 73 기</t>
        </is>
      </c>
      <c r="N885" s="24" t="inlineStr">
        <is>
          <t>0.0</t>
        </is>
      </c>
      <c r="O885" s="24" t="inlineStr">
        <is>
          <t>0.0</t>
        </is>
      </c>
      <c r="P885" s="24" t="inlineStr">
        <is>
          <t>KRW</t>
        </is>
      </c>
      <c r="Q885" s="24" t="inlineStr">
        <is>
          <t>5</t>
        </is>
      </c>
    </row>
    <row r="886" ht="24" customHeight="1">
      <c r="A886" s="29" t="inlineStr">
        <is>
          <t>OpenDART_fnlttSinglAcntAll</t>
        </is>
      </c>
      <c r="B886" s="29" t="inlineStr">
        <is>
          <t>00160843</t>
        </is>
      </c>
      <c r="C886" s="29" t="inlineStr">
        <is>
          <t>DB하이텍</t>
        </is>
      </c>
      <c r="D886" s="29" t="inlineStr">
        <is>
          <t>dbhitek</t>
        </is>
      </c>
      <c r="E886" s="29" t="inlineStr">
        <is>
          <t>000990</t>
        </is>
      </c>
      <c r="F886" s="29" t="inlineStr">
        <is>
          <t>2025</t>
        </is>
      </c>
      <c r="G886" s="29" t="inlineStr">
        <is>
          <t>CFS</t>
        </is>
      </c>
      <c r="H886" s="29" t="inlineStr">
        <is>
          <t>SCE</t>
        </is>
      </c>
      <c r="I886" s="29" t="inlineStr">
        <is>
          <t>자본변동표</t>
        </is>
      </c>
      <c r="J886" s="29" t="inlineStr">
        <is>
          <t>dart_ProceedsFromExchangeableBond</t>
        </is>
      </c>
      <c r="K886" s="29" t="inlineStr">
        <is>
          <t>교환사채의 증가</t>
        </is>
      </c>
      <c r="L886" s="29" t="inlineStr">
        <is>
          <t>자본 [구성요소]|지배기업의 소유주에게 귀속되는 지분 [구성요소]</t>
        </is>
      </c>
      <c r="M886" s="29" t="inlineStr">
        <is>
          <t>제 73 기</t>
        </is>
      </c>
      <c r="N886" s="29" t="inlineStr">
        <is>
          <t>21838775333.0</t>
        </is>
      </c>
      <c r="O886" s="29" t="inlineStr">
        <is>
          <t>0.0</t>
        </is>
      </c>
      <c r="P886" s="29" t="inlineStr">
        <is>
          <t>KRW</t>
        </is>
      </c>
      <c r="Q886" s="29" t="inlineStr">
        <is>
          <t>5</t>
        </is>
      </c>
    </row>
    <row r="887" ht="24" customHeight="1">
      <c r="A887" s="24" t="inlineStr">
        <is>
          <t>OpenDART_fnlttSinglAcntAll</t>
        </is>
      </c>
      <c r="B887" s="24" t="inlineStr">
        <is>
          <t>00160843</t>
        </is>
      </c>
      <c r="C887" s="24" t="inlineStr">
        <is>
          <t>DB하이텍</t>
        </is>
      </c>
      <c r="D887" s="24" t="inlineStr">
        <is>
          <t>dbhitek</t>
        </is>
      </c>
      <c r="E887" s="24" t="inlineStr">
        <is>
          <t>000990</t>
        </is>
      </c>
      <c r="F887" s="24" t="inlineStr">
        <is>
          <t>2025</t>
        </is>
      </c>
      <c r="G887" s="24" t="inlineStr">
        <is>
          <t>CFS</t>
        </is>
      </c>
      <c r="H887" s="24" t="inlineStr">
        <is>
          <t>SCE</t>
        </is>
      </c>
      <c r="I887" s="24" t="inlineStr">
        <is>
          <t>자본변동표</t>
        </is>
      </c>
      <c r="J887" s="24" t="inlineStr">
        <is>
          <t>dart_ProceedsFromExchangeableBond</t>
        </is>
      </c>
      <c r="K887" s="24" t="inlineStr">
        <is>
          <t>교환사채의 증가</t>
        </is>
      </c>
      <c r="L887" s="24" t="inlineStr">
        <is>
          <t>자본 [구성요소]|지배기업의 소유주에게 귀속되는 지분 [구성요소]|기타자본구성요소 [구성요소]</t>
        </is>
      </c>
      <c r="M887" s="24" t="inlineStr">
        <is>
          <t>제 73 기</t>
        </is>
      </c>
      <c r="N887" s="24" t="inlineStr">
        <is>
          <t>21838775333.0</t>
        </is>
      </c>
      <c r="O887" s="24" t="inlineStr">
        <is>
          <t>0.0</t>
        </is>
      </c>
      <c r="P887" s="24" t="inlineStr">
        <is>
          <t>KRW</t>
        </is>
      </c>
      <c r="Q887" s="24" t="inlineStr">
        <is>
          <t>5</t>
        </is>
      </c>
    </row>
    <row r="888" ht="24" customHeight="1">
      <c r="A888" s="29" t="inlineStr">
        <is>
          <t>OpenDART_fnlttSinglAcntAll</t>
        </is>
      </c>
      <c r="B888" s="29" t="inlineStr">
        <is>
          <t>00160843</t>
        </is>
      </c>
      <c r="C888" s="29" t="inlineStr">
        <is>
          <t>DB하이텍</t>
        </is>
      </c>
      <c r="D888" s="29" t="inlineStr">
        <is>
          <t>dbhitek</t>
        </is>
      </c>
      <c r="E888" s="29" t="inlineStr">
        <is>
          <t>000990</t>
        </is>
      </c>
      <c r="F888" s="29" t="inlineStr">
        <is>
          <t>2025</t>
        </is>
      </c>
      <c r="G888" s="29" t="inlineStr">
        <is>
          <t>CFS</t>
        </is>
      </c>
      <c r="H888" s="29" t="inlineStr">
        <is>
          <t>SCE</t>
        </is>
      </c>
      <c r="I888" s="29" t="inlineStr">
        <is>
          <t>자본변동표</t>
        </is>
      </c>
      <c r="J888" s="29" t="inlineStr">
        <is>
          <t>dart_ProceedsFromExchangeableBond</t>
        </is>
      </c>
      <c r="K888" s="29" t="inlineStr">
        <is>
          <t>교환사채의 증가</t>
        </is>
      </c>
      <c r="L888" s="29" t="inlineStr">
        <is>
          <t>자본 [구성요소]|지배기업의 소유주에게 귀속되는 지분 [구성요소]|이익잉여금 [구성요소]</t>
        </is>
      </c>
      <c r="M888" s="29" t="inlineStr">
        <is>
          <t>제 73 기</t>
        </is>
      </c>
      <c r="N888" s="29" t="inlineStr">
        <is>
          <t>0.0</t>
        </is>
      </c>
      <c r="O888" s="29" t="inlineStr">
        <is>
          <t>0.0</t>
        </is>
      </c>
      <c r="P888" s="29" t="inlineStr">
        <is>
          <t>KRW</t>
        </is>
      </c>
      <c r="Q888" s="29" t="inlineStr">
        <is>
          <t>5</t>
        </is>
      </c>
    </row>
    <row r="889" ht="24" customHeight="1">
      <c r="A889" s="24" t="inlineStr">
        <is>
          <t>OpenDART_fnlttSinglAcntAll</t>
        </is>
      </c>
      <c r="B889" s="24" t="inlineStr">
        <is>
          <t>00160843</t>
        </is>
      </c>
      <c r="C889" s="24" t="inlineStr">
        <is>
          <t>DB하이텍</t>
        </is>
      </c>
      <c r="D889" s="24" t="inlineStr">
        <is>
          <t>dbhitek</t>
        </is>
      </c>
      <c r="E889" s="24" t="inlineStr">
        <is>
          <t>000990</t>
        </is>
      </c>
      <c r="F889" s="24" t="inlineStr">
        <is>
          <t>2025</t>
        </is>
      </c>
      <c r="G889" s="24" t="inlineStr">
        <is>
          <t>CFS</t>
        </is>
      </c>
      <c r="H889" s="24" t="inlineStr">
        <is>
          <t>SCE</t>
        </is>
      </c>
      <c r="I889" s="24" t="inlineStr">
        <is>
          <t>자본변동표</t>
        </is>
      </c>
      <c r="J889" s="24" t="inlineStr">
        <is>
          <t>dart_ProceedsFromExchangeableBond</t>
        </is>
      </c>
      <c r="K889" s="24" t="inlineStr">
        <is>
          <t>교환사채의 증가</t>
        </is>
      </c>
      <c r="L889" s="24" t="inlineStr">
        <is>
          <t>자본 [구성요소]|지배기업의 소유주에게 귀속되는 지분 [구성요소]|자본금 [구성요소]</t>
        </is>
      </c>
      <c r="M889" s="24" t="inlineStr">
        <is>
          <t>제 73 기</t>
        </is>
      </c>
      <c r="N889" s="24" t="inlineStr">
        <is>
          <t>0.0</t>
        </is>
      </c>
      <c r="O889" s="24" t="inlineStr">
        <is>
          <t>0.0</t>
        </is>
      </c>
      <c r="P889" s="24" t="inlineStr">
        <is>
          <t>KRW</t>
        </is>
      </c>
      <c r="Q889" s="24" t="inlineStr">
        <is>
          <t>5</t>
        </is>
      </c>
    </row>
    <row r="890" ht="24" customHeight="1">
      <c r="A890" s="29" t="inlineStr">
        <is>
          <t>OpenDART_fnlttSinglAcntAll</t>
        </is>
      </c>
      <c r="B890" s="29" t="inlineStr">
        <is>
          <t>00160843</t>
        </is>
      </c>
      <c r="C890" s="29" t="inlineStr">
        <is>
          <t>DB하이텍</t>
        </is>
      </c>
      <c r="D890" s="29" t="inlineStr">
        <is>
          <t>dbhitek</t>
        </is>
      </c>
      <c r="E890" s="29" t="inlineStr">
        <is>
          <t>000990</t>
        </is>
      </c>
      <c r="F890" s="29" t="inlineStr">
        <is>
          <t>2025</t>
        </is>
      </c>
      <c r="G890" s="29" t="inlineStr">
        <is>
          <t>CFS</t>
        </is>
      </c>
      <c r="H890" s="29" t="inlineStr">
        <is>
          <t>SCE</t>
        </is>
      </c>
      <c r="I890" s="29" t="inlineStr">
        <is>
          <t>자본변동표</t>
        </is>
      </c>
      <c r="J890" s="29" t="inlineStr">
        <is>
          <t>dart_ProceedsFromExchangeableBond</t>
        </is>
      </c>
      <c r="K890" s="29" t="inlineStr">
        <is>
          <t>교환사채의 증가</t>
        </is>
      </c>
      <c r="L890" s="29" t="inlineStr">
        <is>
          <t>자본 [구성요소]|지배기업의 소유주에게 귀속되는 지분 [구성요소]|자본잉여금 [구성요소]</t>
        </is>
      </c>
      <c r="M890" s="29" t="inlineStr">
        <is>
          <t>제 73 기</t>
        </is>
      </c>
      <c r="N890" s="29" t="inlineStr">
        <is>
          <t>0.0</t>
        </is>
      </c>
      <c r="O890" s="29" t="inlineStr">
        <is>
          <t>0.0</t>
        </is>
      </c>
      <c r="P890" s="29" t="inlineStr">
        <is>
          <t>KRW</t>
        </is>
      </c>
      <c r="Q890" s="29" t="inlineStr">
        <is>
          <t>5</t>
        </is>
      </c>
    </row>
    <row r="891" ht="24" customHeight="1">
      <c r="A891" s="24" t="inlineStr">
        <is>
          <t>OpenDART_fnlttSinglAcntAll</t>
        </is>
      </c>
      <c r="B891" s="24" t="inlineStr">
        <is>
          <t>00160843</t>
        </is>
      </c>
      <c r="C891" s="24" t="inlineStr">
        <is>
          <t>DB하이텍</t>
        </is>
      </c>
      <c r="D891" s="24" t="inlineStr">
        <is>
          <t>dbhitek</t>
        </is>
      </c>
      <c r="E891" s="24" t="inlineStr">
        <is>
          <t>000990</t>
        </is>
      </c>
      <c r="F891" s="24" t="inlineStr">
        <is>
          <t>2025</t>
        </is>
      </c>
      <c r="G891" s="24" t="inlineStr">
        <is>
          <t>CFS</t>
        </is>
      </c>
      <c r="H891" s="24" t="inlineStr">
        <is>
          <t>SCE</t>
        </is>
      </c>
      <c r="I891" s="24" t="inlineStr">
        <is>
          <t>자본변동표</t>
        </is>
      </c>
      <c r="J891" s="24" t="inlineStr">
        <is>
          <t>dart_RepaymentsOfExchangeableBond</t>
        </is>
      </c>
      <c r="K891" s="24" t="inlineStr">
        <is>
          <t>교환사채의 감소</t>
        </is>
      </c>
      <c r="L891" s="24" t="inlineStr">
        <is>
          <t>연결재무제표 [member]</t>
        </is>
      </c>
      <c r="M891" s="24" t="inlineStr">
        <is>
          <t>제 73 기</t>
        </is>
      </c>
      <c r="N891" s="24" t="inlineStr">
        <is>
          <t>-15527529866.0</t>
        </is>
      </c>
      <c r="O891" s="24" t="inlineStr">
        <is>
          <t>0.0</t>
        </is>
      </c>
      <c r="P891" s="24" t="inlineStr">
        <is>
          <t>KRW</t>
        </is>
      </c>
      <c r="Q891" s="24" t="inlineStr">
        <is>
          <t>6</t>
        </is>
      </c>
    </row>
    <row r="892" ht="24" customHeight="1">
      <c r="A892" s="29" t="inlineStr">
        <is>
          <t>OpenDART_fnlttSinglAcntAll</t>
        </is>
      </c>
      <c r="B892" s="29" t="inlineStr">
        <is>
          <t>00160843</t>
        </is>
      </c>
      <c r="C892" s="29" t="inlineStr">
        <is>
          <t>DB하이텍</t>
        </is>
      </c>
      <c r="D892" s="29" t="inlineStr">
        <is>
          <t>dbhitek</t>
        </is>
      </c>
      <c r="E892" s="29" t="inlineStr">
        <is>
          <t>000990</t>
        </is>
      </c>
      <c r="F892" s="29" t="inlineStr">
        <is>
          <t>2025</t>
        </is>
      </c>
      <c r="G892" s="29" t="inlineStr">
        <is>
          <t>CFS</t>
        </is>
      </c>
      <c r="H892" s="29" t="inlineStr">
        <is>
          <t>SCE</t>
        </is>
      </c>
      <c r="I892" s="29" t="inlineStr">
        <is>
          <t>자본변동표</t>
        </is>
      </c>
      <c r="J892" s="29" t="inlineStr">
        <is>
          <t>dart_RepaymentsOfExchangeableBond</t>
        </is>
      </c>
      <c r="K892" s="29" t="inlineStr">
        <is>
          <t>교환사채의 감소</t>
        </is>
      </c>
      <c r="L892" s="29" t="inlineStr">
        <is>
          <t>자본 [구성요소]|비지배지분 [구성요소]</t>
        </is>
      </c>
      <c r="M892" s="29" t="inlineStr">
        <is>
          <t>제 73 기</t>
        </is>
      </c>
      <c r="N892" s="29" t="inlineStr">
        <is>
          <t>0.0</t>
        </is>
      </c>
      <c r="O892" s="29" t="inlineStr">
        <is>
          <t>0.0</t>
        </is>
      </c>
      <c r="P892" s="29" t="inlineStr">
        <is>
          <t>KRW</t>
        </is>
      </c>
      <c r="Q892" s="29" t="inlineStr">
        <is>
          <t>6</t>
        </is>
      </c>
    </row>
    <row r="893" ht="24" customHeight="1">
      <c r="A893" s="24" t="inlineStr">
        <is>
          <t>OpenDART_fnlttSinglAcntAll</t>
        </is>
      </c>
      <c r="B893" s="24" t="inlineStr">
        <is>
          <t>00160843</t>
        </is>
      </c>
      <c r="C893" s="24" t="inlineStr">
        <is>
          <t>DB하이텍</t>
        </is>
      </c>
      <c r="D893" s="24" t="inlineStr">
        <is>
          <t>dbhitek</t>
        </is>
      </c>
      <c r="E893" s="24" t="inlineStr">
        <is>
          <t>000990</t>
        </is>
      </c>
      <c r="F893" s="24" t="inlineStr">
        <is>
          <t>2025</t>
        </is>
      </c>
      <c r="G893" s="24" t="inlineStr">
        <is>
          <t>CFS</t>
        </is>
      </c>
      <c r="H893" s="24" t="inlineStr">
        <is>
          <t>SCE</t>
        </is>
      </c>
      <c r="I893" s="24" t="inlineStr">
        <is>
          <t>자본변동표</t>
        </is>
      </c>
      <c r="J893" s="24" t="inlineStr">
        <is>
          <t>dart_RepaymentsOfExchangeableBond</t>
        </is>
      </c>
      <c r="K893" s="24" t="inlineStr">
        <is>
          <t>교환사채의 감소</t>
        </is>
      </c>
      <c r="L893" s="24" t="inlineStr">
        <is>
          <t>자본 [구성요소]|지배기업의 소유주에게 귀속되는 지분 [구성요소]</t>
        </is>
      </c>
      <c r="M893" s="24" t="inlineStr">
        <is>
          <t>제 73 기</t>
        </is>
      </c>
      <c r="N893" s="24" t="inlineStr">
        <is>
          <t>-15527529866.0</t>
        </is>
      </c>
      <c r="O893" s="24" t="inlineStr">
        <is>
          <t>0.0</t>
        </is>
      </c>
      <c r="P893" s="24" t="inlineStr">
        <is>
          <t>KRW</t>
        </is>
      </c>
      <c r="Q893" s="24" t="inlineStr">
        <is>
          <t>6</t>
        </is>
      </c>
    </row>
    <row r="894" ht="24" customHeight="1">
      <c r="A894" s="29" t="inlineStr">
        <is>
          <t>OpenDART_fnlttSinglAcntAll</t>
        </is>
      </c>
      <c r="B894" s="29" t="inlineStr">
        <is>
          <t>00160843</t>
        </is>
      </c>
      <c r="C894" s="29" t="inlineStr">
        <is>
          <t>DB하이텍</t>
        </is>
      </c>
      <c r="D894" s="29" t="inlineStr">
        <is>
          <t>dbhitek</t>
        </is>
      </c>
      <c r="E894" s="29" t="inlineStr">
        <is>
          <t>000990</t>
        </is>
      </c>
      <c r="F894" s="29" t="inlineStr">
        <is>
          <t>2025</t>
        </is>
      </c>
      <c r="G894" s="29" t="inlineStr">
        <is>
          <t>CFS</t>
        </is>
      </c>
      <c r="H894" s="29" t="inlineStr">
        <is>
          <t>SCE</t>
        </is>
      </c>
      <c r="I894" s="29" t="inlineStr">
        <is>
          <t>자본변동표</t>
        </is>
      </c>
      <c r="J894" s="29" t="inlineStr">
        <is>
          <t>dart_RepaymentsOfExchangeableBond</t>
        </is>
      </c>
      <c r="K894" s="29" t="inlineStr">
        <is>
          <t>교환사채의 감소</t>
        </is>
      </c>
      <c r="L894" s="29" t="inlineStr">
        <is>
          <t>자본 [구성요소]|지배기업의 소유주에게 귀속되는 지분 [구성요소]|기타자본구성요소 [구성요소]</t>
        </is>
      </c>
      <c r="M894" s="29" t="inlineStr">
        <is>
          <t>제 73 기</t>
        </is>
      </c>
      <c r="N894" s="29" t="inlineStr">
        <is>
          <t>-15527529866.0</t>
        </is>
      </c>
      <c r="O894" s="29" t="inlineStr">
        <is>
          <t>0.0</t>
        </is>
      </c>
      <c r="P894" s="29" t="inlineStr">
        <is>
          <t>KRW</t>
        </is>
      </c>
      <c r="Q894" s="29" t="inlineStr">
        <is>
          <t>6</t>
        </is>
      </c>
    </row>
    <row r="895" ht="24" customHeight="1">
      <c r="A895" s="24" t="inlineStr">
        <is>
          <t>OpenDART_fnlttSinglAcntAll</t>
        </is>
      </c>
      <c r="B895" s="24" t="inlineStr">
        <is>
          <t>00160843</t>
        </is>
      </c>
      <c r="C895" s="24" t="inlineStr">
        <is>
          <t>DB하이텍</t>
        </is>
      </c>
      <c r="D895" s="24" t="inlineStr">
        <is>
          <t>dbhitek</t>
        </is>
      </c>
      <c r="E895" s="24" t="inlineStr">
        <is>
          <t>000990</t>
        </is>
      </c>
      <c r="F895" s="24" t="inlineStr">
        <is>
          <t>2025</t>
        </is>
      </c>
      <c r="G895" s="24" t="inlineStr">
        <is>
          <t>CFS</t>
        </is>
      </c>
      <c r="H895" s="24" t="inlineStr">
        <is>
          <t>SCE</t>
        </is>
      </c>
      <c r="I895" s="24" t="inlineStr">
        <is>
          <t>자본변동표</t>
        </is>
      </c>
      <c r="J895" s="24" t="inlineStr">
        <is>
          <t>dart_RepaymentsOfExchangeableBond</t>
        </is>
      </c>
      <c r="K895" s="24" t="inlineStr">
        <is>
          <t>교환사채의 감소</t>
        </is>
      </c>
      <c r="L895" s="24" t="inlineStr">
        <is>
          <t>자본 [구성요소]|지배기업의 소유주에게 귀속되는 지분 [구성요소]|이익잉여금 [구성요소]</t>
        </is>
      </c>
      <c r="M895" s="24" t="inlineStr">
        <is>
          <t>제 73 기</t>
        </is>
      </c>
      <c r="N895" s="24" t="inlineStr">
        <is>
          <t>0.0</t>
        </is>
      </c>
      <c r="O895" s="24" t="inlineStr">
        <is>
          <t>0.0</t>
        </is>
      </c>
      <c r="P895" s="24" t="inlineStr">
        <is>
          <t>KRW</t>
        </is>
      </c>
      <c r="Q895" s="24" t="inlineStr">
        <is>
          <t>6</t>
        </is>
      </c>
    </row>
    <row r="896" ht="24" customHeight="1">
      <c r="A896" s="29" t="inlineStr">
        <is>
          <t>OpenDART_fnlttSinglAcntAll</t>
        </is>
      </c>
      <c r="B896" s="29" t="inlineStr">
        <is>
          <t>00160843</t>
        </is>
      </c>
      <c r="C896" s="29" t="inlineStr">
        <is>
          <t>DB하이텍</t>
        </is>
      </c>
      <c r="D896" s="29" t="inlineStr">
        <is>
          <t>dbhitek</t>
        </is>
      </c>
      <c r="E896" s="29" t="inlineStr">
        <is>
          <t>000990</t>
        </is>
      </c>
      <c r="F896" s="29" t="inlineStr">
        <is>
          <t>2025</t>
        </is>
      </c>
      <c r="G896" s="29" t="inlineStr">
        <is>
          <t>CFS</t>
        </is>
      </c>
      <c r="H896" s="29" t="inlineStr">
        <is>
          <t>SCE</t>
        </is>
      </c>
      <c r="I896" s="29" t="inlineStr">
        <is>
          <t>자본변동표</t>
        </is>
      </c>
      <c r="J896" s="29" t="inlineStr">
        <is>
          <t>dart_RepaymentsOfExchangeableBond</t>
        </is>
      </c>
      <c r="K896" s="29" t="inlineStr">
        <is>
          <t>교환사채의 감소</t>
        </is>
      </c>
      <c r="L896" s="29" t="inlineStr">
        <is>
          <t>자본 [구성요소]|지배기업의 소유주에게 귀속되는 지분 [구성요소]|자본금 [구성요소]</t>
        </is>
      </c>
      <c r="M896" s="29" t="inlineStr">
        <is>
          <t>제 73 기</t>
        </is>
      </c>
      <c r="N896" s="29" t="inlineStr">
        <is>
          <t>0.0</t>
        </is>
      </c>
      <c r="O896" s="29" t="inlineStr">
        <is>
          <t>0.0</t>
        </is>
      </c>
      <c r="P896" s="29" t="inlineStr">
        <is>
          <t>KRW</t>
        </is>
      </c>
      <c r="Q896" s="29" t="inlineStr">
        <is>
          <t>6</t>
        </is>
      </c>
    </row>
    <row r="897" ht="24" customHeight="1">
      <c r="A897" s="24" t="inlineStr">
        <is>
          <t>OpenDART_fnlttSinglAcntAll</t>
        </is>
      </c>
      <c r="B897" s="24" t="inlineStr">
        <is>
          <t>00160843</t>
        </is>
      </c>
      <c r="C897" s="24" t="inlineStr">
        <is>
          <t>DB하이텍</t>
        </is>
      </c>
      <c r="D897" s="24" t="inlineStr">
        <is>
          <t>dbhitek</t>
        </is>
      </c>
      <c r="E897" s="24" t="inlineStr">
        <is>
          <t>000990</t>
        </is>
      </c>
      <c r="F897" s="24" t="inlineStr">
        <is>
          <t>2025</t>
        </is>
      </c>
      <c r="G897" s="24" t="inlineStr">
        <is>
          <t>CFS</t>
        </is>
      </c>
      <c r="H897" s="24" t="inlineStr">
        <is>
          <t>SCE</t>
        </is>
      </c>
      <c r="I897" s="24" t="inlineStr">
        <is>
          <t>자본변동표</t>
        </is>
      </c>
      <c r="J897" s="24" t="inlineStr">
        <is>
          <t>dart_RepaymentsOfExchangeableBond</t>
        </is>
      </c>
      <c r="K897" s="24" t="inlineStr">
        <is>
          <t>교환사채의 감소</t>
        </is>
      </c>
      <c r="L897" s="24" t="inlineStr">
        <is>
          <t>자본 [구성요소]|지배기업의 소유주에게 귀속되는 지분 [구성요소]|자본잉여금 [구성요소]</t>
        </is>
      </c>
      <c r="M897" s="24" t="inlineStr">
        <is>
          <t>제 73 기</t>
        </is>
      </c>
      <c r="N897" s="24" t="inlineStr">
        <is>
          <t>0.0</t>
        </is>
      </c>
      <c r="O897" s="24" t="inlineStr">
        <is>
          <t>0.0</t>
        </is>
      </c>
      <c r="P897" s="24" t="inlineStr">
        <is>
          <t>KRW</t>
        </is>
      </c>
      <c r="Q897" s="24" t="inlineStr">
        <is>
          <t>6</t>
        </is>
      </c>
    </row>
    <row r="898" ht="24" customHeight="1">
      <c r="A898" s="29" t="inlineStr">
        <is>
          <t>OpenDART_fnlttSinglAcntAll</t>
        </is>
      </c>
      <c r="B898" s="29" t="inlineStr">
        <is>
          <t>00160843</t>
        </is>
      </c>
      <c r="C898" s="29" t="inlineStr">
        <is>
          <t>DB하이텍</t>
        </is>
      </c>
      <c r="D898" s="29" t="inlineStr">
        <is>
          <t>dbhitek</t>
        </is>
      </c>
      <c r="E898" s="29" t="inlineStr">
        <is>
          <t>000990</t>
        </is>
      </c>
      <c r="F898" s="29" t="inlineStr">
        <is>
          <t>2025</t>
        </is>
      </c>
      <c r="G898" s="29" t="inlineStr">
        <is>
          <t>CFS</t>
        </is>
      </c>
      <c r="H898" s="29" t="inlineStr">
        <is>
          <t>SCE</t>
        </is>
      </c>
      <c r="I898" s="29" t="inlineStr">
        <is>
          <t>자본변동표</t>
        </is>
      </c>
      <c r="J898" s="29" t="inlineStr">
        <is>
          <t>ifrs-full_CancellationOfTreasuryShares</t>
        </is>
      </c>
      <c r="K898" s="29" t="inlineStr">
        <is>
          <t>자기주식 소각</t>
        </is>
      </c>
      <c r="L898" s="29" t="inlineStr">
        <is>
          <t>연결재무제표 [member]</t>
        </is>
      </c>
      <c r="M898" s="29" t="inlineStr">
        <is>
          <t>제 73 기</t>
        </is>
      </c>
      <c r="N898" s="29" t="inlineStr">
        <is>
          <t>0.0</t>
        </is>
      </c>
      <c r="O898" s="29" t="inlineStr">
        <is>
          <t>0.0</t>
        </is>
      </c>
      <c r="P898" s="29" t="inlineStr">
        <is>
          <t>KRW</t>
        </is>
      </c>
      <c r="Q898" s="29" t="inlineStr">
        <is>
          <t>7</t>
        </is>
      </c>
    </row>
    <row r="899" ht="24" customHeight="1">
      <c r="A899" s="24" t="inlineStr">
        <is>
          <t>OpenDART_fnlttSinglAcntAll</t>
        </is>
      </c>
      <c r="B899" s="24" t="inlineStr">
        <is>
          <t>00160843</t>
        </is>
      </c>
      <c r="C899" s="24" t="inlineStr">
        <is>
          <t>DB하이텍</t>
        </is>
      </c>
      <c r="D899" s="24" t="inlineStr">
        <is>
          <t>dbhitek</t>
        </is>
      </c>
      <c r="E899" s="24" t="inlineStr">
        <is>
          <t>000990</t>
        </is>
      </c>
      <c r="F899" s="24" t="inlineStr">
        <is>
          <t>2025</t>
        </is>
      </c>
      <c r="G899" s="24" t="inlineStr">
        <is>
          <t>CFS</t>
        </is>
      </c>
      <c r="H899" s="24" t="inlineStr">
        <is>
          <t>SCE</t>
        </is>
      </c>
      <c r="I899" s="24" t="inlineStr">
        <is>
          <t>자본변동표</t>
        </is>
      </c>
      <c r="J899" s="24" t="inlineStr">
        <is>
          <t>ifrs-full_CancellationOfTreasuryShares</t>
        </is>
      </c>
      <c r="K899" s="24" t="inlineStr">
        <is>
          <t>자기주식 소각</t>
        </is>
      </c>
      <c r="L899" s="24" t="inlineStr">
        <is>
          <t>자본 [구성요소]|비지배지분 [구성요소]</t>
        </is>
      </c>
      <c r="M899" s="24" t="inlineStr">
        <is>
          <t>제 73 기</t>
        </is>
      </c>
      <c r="N899" s="24" t="inlineStr">
        <is>
          <t>0.0</t>
        </is>
      </c>
      <c r="O899" s="24" t="inlineStr">
        <is>
          <t>0.0</t>
        </is>
      </c>
      <c r="P899" s="24" t="inlineStr">
        <is>
          <t>KRW</t>
        </is>
      </c>
      <c r="Q899" s="24" t="inlineStr">
        <is>
          <t>7</t>
        </is>
      </c>
    </row>
    <row r="900" ht="24" customHeight="1">
      <c r="A900" s="29" t="inlineStr">
        <is>
          <t>OpenDART_fnlttSinglAcntAll</t>
        </is>
      </c>
      <c r="B900" s="29" t="inlineStr">
        <is>
          <t>00160843</t>
        </is>
      </c>
      <c r="C900" s="29" t="inlineStr">
        <is>
          <t>DB하이텍</t>
        </is>
      </c>
      <c r="D900" s="29" t="inlineStr">
        <is>
          <t>dbhitek</t>
        </is>
      </c>
      <c r="E900" s="29" t="inlineStr">
        <is>
          <t>000990</t>
        </is>
      </c>
      <c r="F900" s="29" t="inlineStr">
        <is>
          <t>2025</t>
        </is>
      </c>
      <c r="G900" s="29" t="inlineStr">
        <is>
          <t>CFS</t>
        </is>
      </c>
      <c r="H900" s="29" t="inlineStr">
        <is>
          <t>SCE</t>
        </is>
      </c>
      <c r="I900" s="29" t="inlineStr">
        <is>
          <t>자본변동표</t>
        </is>
      </c>
      <c r="J900" s="29" t="inlineStr">
        <is>
          <t>ifrs-full_CancellationOfTreasuryShares</t>
        </is>
      </c>
      <c r="K900" s="29" t="inlineStr">
        <is>
          <t>자기주식 소각</t>
        </is>
      </c>
      <c r="L900" s="29" t="inlineStr">
        <is>
          <t>자본 [구성요소]|지배기업의 소유주에게 귀속되는 지분 [구성요소]</t>
        </is>
      </c>
      <c r="M900" s="29" t="inlineStr">
        <is>
          <t>제 73 기</t>
        </is>
      </c>
      <c r="N900" s="29" t="inlineStr">
        <is>
          <t>0.0</t>
        </is>
      </c>
      <c r="O900" s="29" t="inlineStr">
        <is>
          <t>0.0</t>
        </is>
      </c>
      <c r="P900" s="29" t="inlineStr">
        <is>
          <t>KRW</t>
        </is>
      </c>
      <c r="Q900" s="29" t="inlineStr">
        <is>
          <t>7</t>
        </is>
      </c>
    </row>
    <row r="901" ht="24" customHeight="1">
      <c r="A901" s="24" t="inlineStr">
        <is>
          <t>OpenDART_fnlttSinglAcntAll</t>
        </is>
      </c>
      <c r="B901" s="24" t="inlineStr">
        <is>
          <t>00160843</t>
        </is>
      </c>
      <c r="C901" s="24" t="inlineStr">
        <is>
          <t>DB하이텍</t>
        </is>
      </c>
      <c r="D901" s="24" t="inlineStr">
        <is>
          <t>dbhitek</t>
        </is>
      </c>
      <c r="E901" s="24" t="inlineStr">
        <is>
          <t>000990</t>
        </is>
      </c>
      <c r="F901" s="24" t="inlineStr">
        <is>
          <t>2025</t>
        </is>
      </c>
      <c r="G901" s="24" t="inlineStr">
        <is>
          <t>CFS</t>
        </is>
      </c>
      <c r="H901" s="24" t="inlineStr">
        <is>
          <t>SCE</t>
        </is>
      </c>
      <c r="I901" s="24" t="inlineStr">
        <is>
          <t>자본변동표</t>
        </is>
      </c>
      <c r="J901" s="24" t="inlineStr">
        <is>
          <t>ifrs-full_CancellationOfTreasuryShares</t>
        </is>
      </c>
      <c r="K901" s="24" t="inlineStr">
        <is>
          <t>자기주식 소각</t>
        </is>
      </c>
      <c r="L901" s="24" t="inlineStr">
        <is>
          <t>자본 [구성요소]|지배기업의 소유주에게 귀속되는 지분 [구성요소]|기타자본구성요소 [구성요소]</t>
        </is>
      </c>
      <c r="M901" s="24" t="inlineStr">
        <is>
          <t>제 73 기</t>
        </is>
      </c>
      <c r="N901" s="24" t="inlineStr">
        <is>
          <t>39394848023.0</t>
        </is>
      </c>
      <c r="O901" s="24" t="inlineStr">
        <is>
          <t>0.0</t>
        </is>
      </c>
      <c r="P901" s="24" t="inlineStr">
        <is>
          <t>KRW</t>
        </is>
      </c>
      <c r="Q901" s="24" t="inlineStr">
        <is>
          <t>7</t>
        </is>
      </c>
    </row>
    <row r="902" ht="24" customHeight="1">
      <c r="A902" s="29" t="inlineStr">
        <is>
          <t>OpenDART_fnlttSinglAcntAll</t>
        </is>
      </c>
      <c r="B902" s="29" t="inlineStr">
        <is>
          <t>00160843</t>
        </is>
      </c>
      <c r="C902" s="29" t="inlineStr">
        <is>
          <t>DB하이텍</t>
        </is>
      </c>
      <c r="D902" s="29" t="inlineStr">
        <is>
          <t>dbhitek</t>
        </is>
      </c>
      <c r="E902" s="29" t="inlineStr">
        <is>
          <t>000990</t>
        </is>
      </c>
      <c r="F902" s="29" t="inlineStr">
        <is>
          <t>2025</t>
        </is>
      </c>
      <c r="G902" s="29" t="inlineStr">
        <is>
          <t>CFS</t>
        </is>
      </c>
      <c r="H902" s="29" t="inlineStr">
        <is>
          <t>SCE</t>
        </is>
      </c>
      <c r="I902" s="29" t="inlineStr">
        <is>
          <t>자본변동표</t>
        </is>
      </c>
      <c r="J902" s="29" t="inlineStr">
        <is>
          <t>ifrs-full_CancellationOfTreasuryShares</t>
        </is>
      </c>
      <c r="K902" s="29" t="inlineStr">
        <is>
          <t>자기주식 소각</t>
        </is>
      </c>
      <c r="L902" s="29" t="inlineStr">
        <is>
          <t>자본 [구성요소]|지배기업의 소유주에게 귀속되는 지분 [구성요소]|이익잉여금 [구성요소]</t>
        </is>
      </c>
      <c r="M902" s="29" t="inlineStr">
        <is>
          <t>제 73 기</t>
        </is>
      </c>
      <c r="N902" s="29" t="inlineStr">
        <is>
          <t>-39394848023.0</t>
        </is>
      </c>
      <c r="O902" s="29" t="inlineStr">
        <is>
          <t>0.0</t>
        </is>
      </c>
      <c r="P902" s="29" t="inlineStr">
        <is>
          <t>KRW</t>
        </is>
      </c>
      <c r="Q902" s="29" t="inlineStr">
        <is>
          <t>7</t>
        </is>
      </c>
    </row>
    <row r="903" ht="24" customHeight="1">
      <c r="A903" s="24" t="inlineStr">
        <is>
          <t>OpenDART_fnlttSinglAcntAll</t>
        </is>
      </c>
      <c r="B903" s="24" t="inlineStr">
        <is>
          <t>00160843</t>
        </is>
      </c>
      <c r="C903" s="24" t="inlineStr">
        <is>
          <t>DB하이텍</t>
        </is>
      </c>
      <c r="D903" s="24" t="inlineStr">
        <is>
          <t>dbhitek</t>
        </is>
      </c>
      <c r="E903" s="24" t="inlineStr">
        <is>
          <t>000990</t>
        </is>
      </c>
      <c r="F903" s="24" t="inlineStr">
        <is>
          <t>2025</t>
        </is>
      </c>
      <c r="G903" s="24" t="inlineStr">
        <is>
          <t>CFS</t>
        </is>
      </c>
      <c r="H903" s="24" t="inlineStr">
        <is>
          <t>SCE</t>
        </is>
      </c>
      <c r="I903" s="24" t="inlineStr">
        <is>
          <t>자본변동표</t>
        </is>
      </c>
      <c r="J903" s="24" t="inlineStr">
        <is>
          <t>ifrs-full_CancellationOfTreasuryShares</t>
        </is>
      </c>
      <c r="K903" s="24" t="inlineStr">
        <is>
          <t>자기주식 소각</t>
        </is>
      </c>
      <c r="L903" s="24" t="inlineStr">
        <is>
          <t>자본 [구성요소]|지배기업의 소유주에게 귀속되는 지분 [구성요소]|자본금 [구성요소]</t>
        </is>
      </c>
      <c r="M903" s="24" t="inlineStr">
        <is>
          <t>제 73 기</t>
        </is>
      </c>
      <c r="N903" s="24" t="inlineStr">
        <is>
          <t>0.0</t>
        </is>
      </c>
      <c r="O903" s="24" t="inlineStr">
        <is>
          <t>0.0</t>
        </is>
      </c>
      <c r="P903" s="24" t="inlineStr">
        <is>
          <t>KRW</t>
        </is>
      </c>
      <c r="Q903" s="24" t="inlineStr">
        <is>
          <t>7</t>
        </is>
      </c>
    </row>
    <row r="904" ht="24" customHeight="1">
      <c r="A904" s="29" t="inlineStr">
        <is>
          <t>OpenDART_fnlttSinglAcntAll</t>
        </is>
      </c>
      <c r="B904" s="29" t="inlineStr">
        <is>
          <t>00160843</t>
        </is>
      </c>
      <c r="C904" s="29" t="inlineStr">
        <is>
          <t>DB하이텍</t>
        </is>
      </c>
      <c r="D904" s="29" t="inlineStr">
        <is>
          <t>dbhitek</t>
        </is>
      </c>
      <c r="E904" s="29" t="inlineStr">
        <is>
          <t>000990</t>
        </is>
      </c>
      <c r="F904" s="29" t="inlineStr">
        <is>
          <t>2025</t>
        </is>
      </c>
      <c r="G904" s="29" t="inlineStr">
        <is>
          <t>CFS</t>
        </is>
      </c>
      <c r="H904" s="29" t="inlineStr">
        <is>
          <t>SCE</t>
        </is>
      </c>
      <c r="I904" s="29" t="inlineStr">
        <is>
          <t>자본변동표</t>
        </is>
      </c>
      <c r="J904" s="29" t="inlineStr">
        <is>
          <t>ifrs-full_CancellationOfTreasuryShares</t>
        </is>
      </c>
      <c r="K904" s="29" t="inlineStr">
        <is>
          <t>자기주식 소각</t>
        </is>
      </c>
      <c r="L904" s="29" t="inlineStr">
        <is>
          <t>자본 [구성요소]|지배기업의 소유주에게 귀속되는 지분 [구성요소]|자본잉여금 [구성요소]</t>
        </is>
      </c>
      <c r="M904" s="29" t="inlineStr">
        <is>
          <t>제 73 기</t>
        </is>
      </c>
      <c r="N904" s="29" t="inlineStr">
        <is>
          <t>0.0</t>
        </is>
      </c>
      <c r="O904" s="29" t="inlineStr">
        <is>
          <t>0.0</t>
        </is>
      </c>
      <c r="P904" s="29" t="inlineStr">
        <is>
          <t>KRW</t>
        </is>
      </c>
      <c r="Q904" s="29" t="inlineStr">
        <is>
          <t>7</t>
        </is>
      </c>
    </row>
    <row r="905" ht="24" customHeight="1">
      <c r="A905" s="24" t="inlineStr">
        <is>
          <t>OpenDART_fnlttSinglAcntAll</t>
        </is>
      </c>
      <c r="B905" s="24" t="inlineStr">
        <is>
          <t>00160843</t>
        </is>
      </c>
      <c r="C905" s="24" t="inlineStr">
        <is>
          <t>DB하이텍</t>
        </is>
      </c>
      <c r="D905" s="24" t="inlineStr">
        <is>
          <t>dbhitek</t>
        </is>
      </c>
      <c r="E905" s="24" t="inlineStr">
        <is>
          <t>000990</t>
        </is>
      </c>
      <c r="F905" s="24" t="inlineStr">
        <is>
          <t>2025</t>
        </is>
      </c>
      <c r="G905" s="24" t="inlineStr">
        <is>
          <t>CFS</t>
        </is>
      </c>
      <c r="H905" s="24" t="inlineStr">
        <is>
          <t>SCE</t>
        </is>
      </c>
      <c r="I905" s="24" t="inlineStr">
        <is>
          <t>자본변동표</t>
        </is>
      </c>
      <c r="J905" s="24" t="inlineStr">
        <is>
          <t>ifrs-full_ComprehensiveIncome</t>
        </is>
      </c>
      <c r="K905" s="24" t="inlineStr">
        <is>
          <t>총포괄손익</t>
        </is>
      </c>
      <c r="L905" s="24" t="inlineStr">
        <is>
          <t>연결재무제표 [member]</t>
        </is>
      </c>
      <c r="M905" s="24" t="inlineStr">
        <is>
          <t>제 73 기</t>
        </is>
      </c>
      <c r="N905" s="24" t="inlineStr">
        <is>
          <t>249543743647.0</t>
        </is>
      </c>
      <c r="O905" s="24" t="inlineStr">
        <is>
          <t>237816812565.0</t>
        </is>
      </c>
      <c r="P905" s="24" t="inlineStr">
        <is>
          <t>KRW</t>
        </is>
      </c>
      <c r="Q905" s="24" t="inlineStr">
        <is>
          <t>8</t>
        </is>
      </c>
    </row>
    <row r="906" ht="24" customHeight="1">
      <c r="A906" s="29" t="inlineStr">
        <is>
          <t>OpenDART_fnlttSinglAcntAll</t>
        </is>
      </c>
      <c r="B906" s="29" t="inlineStr">
        <is>
          <t>00160843</t>
        </is>
      </c>
      <c r="C906" s="29" t="inlineStr">
        <is>
          <t>DB하이텍</t>
        </is>
      </c>
      <c r="D906" s="29" t="inlineStr">
        <is>
          <t>dbhitek</t>
        </is>
      </c>
      <c r="E906" s="29" t="inlineStr">
        <is>
          <t>000990</t>
        </is>
      </c>
      <c r="F906" s="29" t="inlineStr">
        <is>
          <t>2025</t>
        </is>
      </c>
      <c r="G906" s="29" t="inlineStr">
        <is>
          <t>CFS</t>
        </is>
      </c>
      <c r="H906" s="29" t="inlineStr">
        <is>
          <t>SCE</t>
        </is>
      </c>
      <c r="I906" s="29" t="inlineStr">
        <is>
          <t>자본변동표</t>
        </is>
      </c>
      <c r="J906" s="29" t="inlineStr">
        <is>
          <t>ifrs-full_ComprehensiveIncome</t>
        </is>
      </c>
      <c r="K906" s="29" t="inlineStr">
        <is>
          <t>총포괄손익</t>
        </is>
      </c>
      <c r="L906" s="29" t="inlineStr">
        <is>
          <t>자본 [구성요소]|비지배지분 [구성요소]</t>
        </is>
      </c>
      <c r="M906" s="29" t="inlineStr">
        <is>
          <t>제 73 기</t>
        </is>
      </c>
      <c r="N906" s="29" t="inlineStr">
        <is>
          <t>-3202603975.0</t>
        </is>
      </c>
      <c r="O906" s="29" t="inlineStr">
        <is>
          <t>-87727032.0</t>
        </is>
      </c>
      <c r="P906" s="29" t="inlineStr">
        <is>
          <t>KRW</t>
        </is>
      </c>
      <c r="Q906" s="29" t="inlineStr">
        <is>
          <t>8</t>
        </is>
      </c>
    </row>
    <row r="907" ht="24" customHeight="1">
      <c r="A907" s="24" t="inlineStr">
        <is>
          <t>OpenDART_fnlttSinglAcntAll</t>
        </is>
      </c>
      <c r="B907" s="24" t="inlineStr">
        <is>
          <t>00160843</t>
        </is>
      </c>
      <c r="C907" s="24" t="inlineStr">
        <is>
          <t>DB하이텍</t>
        </is>
      </c>
      <c r="D907" s="24" t="inlineStr">
        <is>
          <t>dbhitek</t>
        </is>
      </c>
      <c r="E907" s="24" t="inlineStr">
        <is>
          <t>000990</t>
        </is>
      </c>
      <c r="F907" s="24" t="inlineStr">
        <is>
          <t>2025</t>
        </is>
      </c>
      <c r="G907" s="24" t="inlineStr">
        <is>
          <t>CFS</t>
        </is>
      </c>
      <c r="H907" s="24" t="inlineStr">
        <is>
          <t>SCE</t>
        </is>
      </c>
      <c r="I907" s="24" t="inlineStr">
        <is>
          <t>자본변동표</t>
        </is>
      </c>
      <c r="J907" s="24" t="inlineStr">
        <is>
          <t>ifrs-full_ComprehensiveIncome</t>
        </is>
      </c>
      <c r="K907" s="24" t="inlineStr">
        <is>
          <t>총포괄손익</t>
        </is>
      </c>
      <c r="L907" s="24" t="inlineStr">
        <is>
          <t>자본 [구성요소]|지배기업의 소유주에게 귀속되는 지분 [구성요소]</t>
        </is>
      </c>
      <c r="M907" s="24" t="inlineStr">
        <is>
          <t>제 73 기</t>
        </is>
      </c>
      <c r="N907" s="24" t="inlineStr">
        <is>
          <t>252746347622.0</t>
        </is>
      </c>
      <c r="O907" s="24" t="inlineStr">
        <is>
          <t>237904539597.0</t>
        </is>
      </c>
      <c r="P907" s="24" t="inlineStr">
        <is>
          <t>KRW</t>
        </is>
      </c>
      <c r="Q907" s="24" t="inlineStr">
        <is>
          <t>8</t>
        </is>
      </c>
    </row>
    <row r="908" ht="24" customHeight="1">
      <c r="A908" s="29" t="inlineStr">
        <is>
          <t>OpenDART_fnlttSinglAcntAll</t>
        </is>
      </c>
      <c r="B908" s="29" t="inlineStr">
        <is>
          <t>00160843</t>
        </is>
      </c>
      <c r="C908" s="29" t="inlineStr">
        <is>
          <t>DB하이텍</t>
        </is>
      </c>
      <c r="D908" s="29" t="inlineStr">
        <is>
          <t>dbhitek</t>
        </is>
      </c>
      <c r="E908" s="29" t="inlineStr">
        <is>
          <t>000990</t>
        </is>
      </c>
      <c r="F908" s="29" t="inlineStr">
        <is>
          <t>2025</t>
        </is>
      </c>
      <c r="G908" s="29" t="inlineStr">
        <is>
          <t>CFS</t>
        </is>
      </c>
      <c r="H908" s="29" t="inlineStr">
        <is>
          <t>SCE</t>
        </is>
      </c>
      <c r="I908" s="29" t="inlineStr">
        <is>
          <t>자본변동표</t>
        </is>
      </c>
      <c r="J908" s="29" t="inlineStr">
        <is>
          <t>ifrs-full_ComprehensiveIncome</t>
        </is>
      </c>
      <c r="K908" s="29" t="inlineStr">
        <is>
          <t>총포괄손익</t>
        </is>
      </c>
      <c r="L908" s="29" t="inlineStr">
        <is>
          <t>자본 [구성요소]|지배기업의 소유주에게 귀속되는 지분 [구성요소]|기타자본구성요소 [구성요소]</t>
        </is>
      </c>
      <c r="M908" s="29" t="inlineStr">
        <is>
          <t>제 73 기</t>
        </is>
      </c>
      <c r="N908" s="29" t="inlineStr">
        <is>
          <t>121208613.0</t>
        </is>
      </c>
      <c r="O908" s="29" t="inlineStr">
        <is>
          <t>13496581533.0</t>
        </is>
      </c>
      <c r="P908" s="29" t="inlineStr">
        <is>
          <t>KRW</t>
        </is>
      </c>
      <c r="Q908" s="29" t="inlineStr">
        <is>
          <t>8</t>
        </is>
      </c>
    </row>
    <row r="909" ht="24" customHeight="1">
      <c r="A909" s="24" t="inlineStr">
        <is>
          <t>OpenDART_fnlttSinglAcntAll</t>
        </is>
      </c>
      <c r="B909" s="24" t="inlineStr">
        <is>
          <t>00160843</t>
        </is>
      </c>
      <c r="C909" s="24" t="inlineStr">
        <is>
          <t>DB하이텍</t>
        </is>
      </c>
      <c r="D909" s="24" t="inlineStr">
        <is>
          <t>dbhitek</t>
        </is>
      </c>
      <c r="E909" s="24" t="inlineStr">
        <is>
          <t>000990</t>
        </is>
      </c>
      <c r="F909" s="24" t="inlineStr">
        <is>
          <t>2025</t>
        </is>
      </c>
      <c r="G909" s="24" t="inlineStr">
        <is>
          <t>CFS</t>
        </is>
      </c>
      <c r="H909" s="24" t="inlineStr">
        <is>
          <t>SCE</t>
        </is>
      </c>
      <c r="I909" s="24" t="inlineStr">
        <is>
          <t>자본변동표</t>
        </is>
      </c>
      <c r="J909" s="24" t="inlineStr">
        <is>
          <t>ifrs-full_ComprehensiveIncome</t>
        </is>
      </c>
      <c r="K909" s="24" t="inlineStr">
        <is>
          <t>총포괄손익</t>
        </is>
      </c>
      <c r="L909" s="24" t="inlineStr">
        <is>
          <t>자본 [구성요소]|지배기업의 소유주에게 귀속되는 지분 [구성요소]|이익잉여금 [구성요소]</t>
        </is>
      </c>
      <c r="M909" s="24" t="inlineStr">
        <is>
          <t>제 73 기</t>
        </is>
      </c>
      <c r="N909" s="24" t="inlineStr">
        <is>
          <t>252625139009.0</t>
        </is>
      </c>
      <c r="O909" s="24" t="inlineStr">
        <is>
          <t>224407958064.0</t>
        </is>
      </c>
      <c r="P909" s="24" t="inlineStr">
        <is>
          <t>KRW</t>
        </is>
      </c>
      <c r="Q909" s="24" t="inlineStr">
        <is>
          <t>8</t>
        </is>
      </c>
    </row>
    <row r="910" ht="24" customHeight="1">
      <c r="A910" s="29" t="inlineStr">
        <is>
          <t>OpenDART_fnlttSinglAcntAll</t>
        </is>
      </c>
      <c r="B910" s="29" t="inlineStr">
        <is>
          <t>00160843</t>
        </is>
      </c>
      <c r="C910" s="29" t="inlineStr">
        <is>
          <t>DB하이텍</t>
        </is>
      </c>
      <c r="D910" s="29" t="inlineStr">
        <is>
          <t>dbhitek</t>
        </is>
      </c>
      <c r="E910" s="29" t="inlineStr">
        <is>
          <t>000990</t>
        </is>
      </c>
      <c r="F910" s="29" t="inlineStr">
        <is>
          <t>2025</t>
        </is>
      </c>
      <c r="G910" s="29" t="inlineStr">
        <is>
          <t>CFS</t>
        </is>
      </c>
      <c r="H910" s="29" t="inlineStr">
        <is>
          <t>SCE</t>
        </is>
      </c>
      <c r="I910" s="29" t="inlineStr">
        <is>
          <t>자본변동표</t>
        </is>
      </c>
      <c r="J910" s="29" t="inlineStr">
        <is>
          <t>ifrs-full_ComprehensiveIncome</t>
        </is>
      </c>
      <c r="K910" s="29" t="inlineStr">
        <is>
          <t>총포괄손익</t>
        </is>
      </c>
      <c r="L910" s="29" t="inlineStr">
        <is>
          <t>자본 [구성요소]|지배기업의 소유주에게 귀속되는 지분 [구성요소]|자본금 [구성요소]</t>
        </is>
      </c>
      <c r="M910" s="29" t="inlineStr">
        <is>
          <t>제 73 기</t>
        </is>
      </c>
      <c r="N910" s="29" t="inlineStr">
        <is>
          <t>0.0</t>
        </is>
      </c>
      <c r="O910" s="29" t="inlineStr">
        <is>
          <t>0.0</t>
        </is>
      </c>
      <c r="P910" s="29" t="inlineStr">
        <is>
          <t>KRW</t>
        </is>
      </c>
      <c r="Q910" s="29" t="inlineStr">
        <is>
          <t>8</t>
        </is>
      </c>
    </row>
    <row r="911" ht="24" customHeight="1">
      <c r="A911" s="24" t="inlineStr">
        <is>
          <t>OpenDART_fnlttSinglAcntAll</t>
        </is>
      </c>
      <c r="B911" s="24" t="inlineStr">
        <is>
          <t>00160843</t>
        </is>
      </c>
      <c r="C911" s="24" t="inlineStr">
        <is>
          <t>DB하이텍</t>
        </is>
      </c>
      <c r="D911" s="24" t="inlineStr">
        <is>
          <t>dbhitek</t>
        </is>
      </c>
      <c r="E911" s="24" t="inlineStr">
        <is>
          <t>000990</t>
        </is>
      </c>
      <c r="F911" s="24" t="inlineStr">
        <is>
          <t>2025</t>
        </is>
      </c>
      <c r="G911" s="24" t="inlineStr">
        <is>
          <t>CFS</t>
        </is>
      </c>
      <c r="H911" s="24" t="inlineStr">
        <is>
          <t>SCE</t>
        </is>
      </c>
      <c r="I911" s="24" t="inlineStr">
        <is>
          <t>자본변동표</t>
        </is>
      </c>
      <c r="J911" s="24" t="inlineStr">
        <is>
          <t>ifrs-full_ComprehensiveIncome</t>
        </is>
      </c>
      <c r="K911" s="24" t="inlineStr">
        <is>
          <t>총포괄손익</t>
        </is>
      </c>
      <c r="L911" s="24" t="inlineStr">
        <is>
          <t>자본 [구성요소]|지배기업의 소유주에게 귀속되는 지분 [구성요소]|자본잉여금 [구성요소]</t>
        </is>
      </c>
      <c r="M911" s="24" t="inlineStr">
        <is>
          <t>제 73 기</t>
        </is>
      </c>
      <c r="N911" s="24" t="inlineStr">
        <is>
          <t>0.0</t>
        </is>
      </c>
      <c r="O911" s="24" t="inlineStr">
        <is>
          <t>0.0</t>
        </is>
      </c>
      <c r="P911" s="24" t="inlineStr">
        <is>
          <t>KRW</t>
        </is>
      </c>
      <c r="Q911" s="24" t="inlineStr">
        <is>
          <t>8</t>
        </is>
      </c>
    </row>
    <row r="912" ht="24" customHeight="1">
      <c r="A912" s="29" t="inlineStr">
        <is>
          <t>OpenDART_fnlttSinglAcntAll</t>
        </is>
      </c>
      <c r="B912" s="29" t="inlineStr">
        <is>
          <t>00160843</t>
        </is>
      </c>
      <c r="C912" s="29" t="inlineStr">
        <is>
          <t>DB하이텍</t>
        </is>
      </c>
      <c r="D912" s="29" t="inlineStr">
        <is>
          <t>dbhitek</t>
        </is>
      </c>
      <c r="E912" s="29" t="inlineStr">
        <is>
          <t>000990</t>
        </is>
      </c>
      <c r="F912" s="29" t="inlineStr">
        <is>
          <t>2025</t>
        </is>
      </c>
      <c r="G912" s="29" t="inlineStr">
        <is>
          <t>CFS</t>
        </is>
      </c>
      <c r="H912" s="29" t="inlineStr">
        <is>
          <t>SCE</t>
        </is>
      </c>
      <c r="I912" s="29" t="inlineStr">
        <is>
          <t>자본변동표</t>
        </is>
      </c>
      <c r="J912" s="29" t="inlineStr">
        <is>
          <t>ifrs-full_DividendsPaid</t>
        </is>
      </c>
      <c r="K912" s="29" t="inlineStr">
        <is>
          <t>소유주에 대한 배분으로 인식된 배당금</t>
        </is>
      </c>
      <c r="L912" s="29" t="inlineStr">
        <is>
          <t>연결재무제표 [member]</t>
        </is>
      </c>
      <c r="M912" s="29" t="inlineStr">
        <is>
          <t>제 73 기</t>
        </is>
      </c>
      <c r="N912" s="29" t="inlineStr">
        <is>
          <t>50540816400.0</t>
        </is>
      </c>
      <c r="O912" s="29" t="inlineStr">
        <is>
          <t>24233955840.0</t>
        </is>
      </c>
      <c r="P912" s="29" t="inlineStr">
        <is>
          <t>KRW</t>
        </is>
      </c>
      <c r="Q912" s="29" t="inlineStr">
        <is>
          <t>9</t>
        </is>
      </c>
    </row>
    <row r="913" ht="24" customHeight="1">
      <c r="A913" s="24" t="inlineStr">
        <is>
          <t>OpenDART_fnlttSinglAcntAll</t>
        </is>
      </c>
      <c r="B913" s="24" t="inlineStr">
        <is>
          <t>00160843</t>
        </is>
      </c>
      <c r="C913" s="24" t="inlineStr">
        <is>
          <t>DB하이텍</t>
        </is>
      </c>
      <c r="D913" s="24" t="inlineStr">
        <is>
          <t>dbhitek</t>
        </is>
      </c>
      <c r="E913" s="24" t="inlineStr">
        <is>
          <t>000990</t>
        </is>
      </c>
      <c r="F913" s="24" t="inlineStr">
        <is>
          <t>2025</t>
        </is>
      </c>
      <c r="G913" s="24" t="inlineStr">
        <is>
          <t>CFS</t>
        </is>
      </c>
      <c r="H913" s="24" t="inlineStr">
        <is>
          <t>SCE</t>
        </is>
      </c>
      <c r="I913" s="24" t="inlineStr">
        <is>
          <t>자본변동표</t>
        </is>
      </c>
      <c r="J913" s="24" t="inlineStr">
        <is>
          <t>ifrs-full_DividendsPaid</t>
        </is>
      </c>
      <c r="K913" s="24" t="inlineStr">
        <is>
          <t>소유주에 대한 배분으로 인식된 배당금</t>
        </is>
      </c>
      <c r="L913" s="24" t="inlineStr">
        <is>
          <t>자본 [구성요소]|비지배지분 [구성요소]</t>
        </is>
      </c>
      <c r="M913" s="24" t="inlineStr">
        <is>
          <t>제 73 기</t>
        </is>
      </c>
      <c r="N913" s="24" t="inlineStr">
        <is>
          <t>0.0</t>
        </is>
      </c>
      <c r="O913" s="24" t="inlineStr">
        <is>
          <t>0.0</t>
        </is>
      </c>
      <c r="P913" s="24" t="inlineStr">
        <is>
          <t>KRW</t>
        </is>
      </c>
      <c r="Q913" s="24" t="inlineStr">
        <is>
          <t>9</t>
        </is>
      </c>
    </row>
    <row r="914" ht="24" customHeight="1">
      <c r="A914" s="29" t="inlineStr">
        <is>
          <t>OpenDART_fnlttSinglAcntAll</t>
        </is>
      </c>
      <c r="B914" s="29" t="inlineStr">
        <is>
          <t>00160843</t>
        </is>
      </c>
      <c r="C914" s="29" t="inlineStr">
        <is>
          <t>DB하이텍</t>
        </is>
      </c>
      <c r="D914" s="29" t="inlineStr">
        <is>
          <t>dbhitek</t>
        </is>
      </c>
      <c r="E914" s="29" t="inlineStr">
        <is>
          <t>000990</t>
        </is>
      </c>
      <c r="F914" s="29" t="inlineStr">
        <is>
          <t>2025</t>
        </is>
      </c>
      <c r="G914" s="29" t="inlineStr">
        <is>
          <t>CFS</t>
        </is>
      </c>
      <c r="H914" s="29" t="inlineStr">
        <is>
          <t>SCE</t>
        </is>
      </c>
      <c r="I914" s="29" t="inlineStr">
        <is>
          <t>자본변동표</t>
        </is>
      </c>
      <c r="J914" s="29" t="inlineStr">
        <is>
          <t>ifrs-full_DividendsPaid</t>
        </is>
      </c>
      <c r="K914" s="29" t="inlineStr">
        <is>
          <t>소유주에 대한 배분으로 인식된 배당금</t>
        </is>
      </c>
      <c r="L914" s="29" t="inlineStr">
        <is>
          <t>자본 [구성요소]|지배기업의 소유주에게 귀속되는 지분 [구성요소]</t>
        </is>
      </c>
      <c r="M914" s="29" t="inlineStr">
        <is>
          <t>제 73 기</t>
        </is>
      </c>
      <c r="N914" s="29" t="inlineStr">
        <is>
          <t>50540816400.0</t>
        </is>
      </c>
      <c r="O914" s="29" t="inlineStr">
        <is>
          <t>24233955840.0</t>
        </is>
      </c>
      <c r="P914" s="29" t="inlineStr">
        <is>
          <t>KRW</t>
        </is>
      </c>
      <c r="Q914" s="29" t="inlineStr">
        <is>
          <t>9</t>
        </is>
      </c>
    </row>
    <row r="915" ht="24" customHeight="1">
      <c r="A915" s="24" t="inlineStr">
        <is>
          <t>OpenDART_fnlttSinglAcntAll</t>
        </is>
      </c>
      <c r="B915" s="24" t="inlineStr">
        <is>
          <t>00160843</t>
        </is>
      </c>
      <c r="C915" s="24" t="inlineStr">
        <is>
          <t>DB하이텍</t>
        </is>
      </c>
      <c r="D915" s="24" t="inlineStr">
        <is>
          <t>dbhitek</t>
        </is>
      </c>
      <c r="E915" s="24" t="inlineStr">
        <is>
          <t>000990</t>
        </is>
      </c>
      <c r="F915" s="24" t="inlineStr">
        <is>
          <t>2025</t>
        </is>
      </c>
      <c r="G915" s="24" t="inlineStr">
        <is>
          <t>CFS</t>
        </is>
      </c>
      <c r="H915" s="24" t="inlineStr">
        <is>
          <t>SCE</t>
        </is>
      </c>
      <c r="I915" s="24" t="inlineStr">
        <is>
          <t>자본변동표</t>
        </is>
      </c>
      <c r="J915" s="24" t="inlineStr">
        <is>
          <t>ifrs-full_DividendsPaid</t>
        </is>
      </c>
      <c r="K915" s="24" t="inlineStr">
        <is>
          <t>소유주에 대한 배분으로 인식된 배당금</t>
        </is>
      </c>
      <c r="L915" s="24" t="inlineStr">
        <is>
          <t>자본 [구성요소]|지배기업의 소유주에게 귀속되는 지분 [구성요소]|기타자본구성요소 [구성요소]</t>
        </is>
      </c>
      <c r="M915" s="24" t="inlineStr">
        <is>
          <t>제 73 기</t>
        </is>
      </c>
      <c r="N915" s="24" t="inlineStr">
        <is>
          <t>0.0</t>
        </is>
      </c>
      <c r="O915" s="24" t="inlineStr">
        <is>
          <t>0.0</t>
        </is>
      </c>
      <c r="P915" s="24" t="inlineStr">
        <is>
          <t>KRW</t>
        </is>
      </c>
      <c r="Q915" s="24" t="inlineStr">
        <is>
          <t>9</t>
        </is>
      </c>
    </row>
    <row r="916" ht="24" customHeight="1">
      <c r="A916" s="29" t="inlineStr">
        <is>
          <t>OpenDART_fnlttSinglAcntAll</t>
        </is>
      </c>
      <c r="B916" s="29" t="inlineStr">
        <is>
          <t>00160843</t>
        </is>
      </c>
      <c r="C916" s="29" t="inlineStr">
        <is>
          <t>DB하이텍</t>
        </is>
      </c>
      <c r="D916" s="29" t="inlineStr">
        <is>
          <t>dbhitek</t>
        </is>
      </c>
      <c r="E916" s="29" t="inlineStr">
        <is>
          <t>000990</t>
        </is>
      </c>
      <c r="F916" s="29" t="inlineStr">
        <is>
          <t>2025</t>
        </is>
      </c>
      <c r="G916" s="29" t="inlineStr">
        <is>
          <t>CFS</t>
        </is>
      </c>
      <c r="H916" s="29" t="inlineStr">
        <is>
          <t>SCE</t>
        </is>
      </c>
      <c r="I916" s="29" t="inlineStr">
        <is>
          <t>자본변동표</t>
        </is>
      </c>
      <c r="J916" s="29" t="inlineStr">
        <is>
          <t>ifrs-full_DividendsPaid</t>
        </is>
      </c>
      <c r="K916" s="29" t="inlineStr">
        <is>
          <t>소유주에 대한 배분으로 인식된 배당금</t>
        </is>
      </c>
      <c r="L916" s="29" t="inlineStr">
        <is>
          <t>자본 [구성요소]|지배기업의 소유주에게 귀속되는 지분 [구성요소]|이익잉여금 [구성요소]</t>
        </is>
      </c>
      <c r="M916" s="29" t="inlineStr">
        <is>
          <t>제 73 기</t>
        </is>
      </c>
      <c r="N916" s="29" t="inlineStr">
        <is>
          <t>50540816400.0</t>
        </is>
      </c>
      <c r="O916" s="29" t="inlineStr">
        <is>
          <t>24233955840.0</t>
        </is>
      </c>
      <c r="P916" s="29" t="inlineStr">
        <is>
          <t>KRW</t>
        </is>
      </c>
      <c r="Q916" s="29" t="inlineStr">
        <is>
          <t>9</t>
        </is>
      </c>
    </row>
    <row r="917" ht="24" customHeight="1">
      <c r="A917" s="24" t="inlineStr">
        <is>
          <t>OpenDART_fnlttSinglAcntAll</t>
        </is>
      </c>
      <c r="B917" s="24" t="inlineStr">
        <is>
          <t>00160843</t>
        </is>
      </c>
      <c r="C917" s="24" t="inlineStr">
        <is>
          <t>DB하이텍</t>
        </is>
      </c>
      <c r="D917" s="24" t="inlineStr">
        <is>
          <t>dbhitek</t>
        </is>
      </c>
      <c r="E917" s="24" t="inlineStr">
        <is>
          <t>000990</t>
        </is>
      </c>
      <c r="F917" s="24" t="inlineStr">
        <is>
          <t>2025</t>
        </is>
      </c>
      <c r="G917" s="24" t="inlineStr">
        <is>
          <t>CFS</t>
        </is>
      </c>
      <c r="H917" s="24" t="inlineStr">
        <is>
          <t>SCE</t>
        </is>
      </c>
      <c r="I917" s="24" t="inlineStr">
        <is>
          <t>자본변동표</t>
        </is>
      </c>
      <c r="J917" s="24" t="inlineStr">
        <is>
          <t>ifrs-full_DividendsPaid</t>
        </is>
      </c>
      <c r="K917" s="24" t="inlineStr">
        <is>
          <t>소유주에 대한 배분으로 인식된 배당금</t>
        </is>
      </c>
      <c r="L917" s="24" t="inlineStr">
        <is>
          <t>자본 [구성요소]|지배기업의 소유주에게 귀속되는 지분 [구성요소]|자본금 [구성요소]</t>
        </is>
      </c>
      <c r="M917" s="24" t="inlineStr">
        <is>
          <t>제 73 기</t>
        </is>
      </c>
      <c r="N917" s="24" t="inlineStr">
        <is>
          <t>0.0</t>
        </is>
      </c>
      <c r="O917" s="24" t="inlineStr">
        <is>
          <t>0.0</t>
        </is>
      </c>
      <c r="P917" s="24" t="inlineStr">
        <is>
          <t>KRW</t>
        </is>
      </c>
      <c r="Q917" s="24" t="inlineStr">
        <is>
          <t>9</t>
        </is>
      </c>
    </row>
    <row r="918" ht="24" customHeight="1">
      <c r="A918" s="29" t="inlineStr">
        <is>
          <t>OpenDART_fnlttSinglAcntAll</t>
        </is>
      </c>
      <c r="B918" s="29" t="inlineStr">
        <is>
          <t>00160843</t>
        </is>
      </c>
      <c r="C918" s="29" t="inlineStr">
        <is>
          <t>DB하이텍</t>
        </is>
      </c>
      <c r="D918" s="29" t="inlineStr">
        <is>
          <t>dbhitek</t>
        </is>
      </c>
      <c r="E918" s="29" t="inlineStr">
        <is>
          <t>000990</t>
        </is>
      </c>
      <c r="F918" s="29" t="inlineStr">
        <is>
          <t>2025</t>
        </is>
      </c>
      <c r="G918" s="29" t="inlineStr">
        <is>
          <t>CFS</t>
        </is>
      </c>
      <c r="H918" s="29" t="inlineStr">
        <is>
          <t>SCE</t>
        </is>
      </c>
      <c r="I918" s="29" t="inlineStr">
        <is>
          <t>자본변동표</t>
        </is>
      </c>
      <c r="J918" s="29" t="inlineStr">
        <is>
          <t>ifrs-full_DividendsPaid</t>
        </is>
      </c>
      <c r="K918" s="29" t="inlineStr">
        <is>
          <t>소유주에 대한 배분으로 인식된 배당금</t>
        </is>
      </c>
      <c r="L918" s="29" t="inlineStr">
        <is>
          <t>자본 [구성요소]|지배기업의 소유주에게 귀속되는 지분 [구성요소]|자본잉여금 [구성요소]</t>
        </is>
      </c>
      <c r="M918" s="29" t="inlineStr">
        <is>
          <t>제 73 기</t>
        </is>
      </c>
      <c r="N918" s="29" t="inlineStr">
        <is>
          <t>0.0</t>
        </is>
      </c>
      <c r="O918" s="29" t="inlineStr">
        <is>
          <t>0.0</t>
        </is>
      </c>
      <c r="P918" s="29" t="inlineStr">
        <is>
          <t>KRW</t>
        </is>
      </c>
      <c r="Q918" s="29" t="inlineStr">
        <is>
          <t>9</t>
        </is>
      </c>
    </row>
    <row r="919" ht="24" customHeight="1">
      <c r="A919" s="24" t="inlineStr">
        <is>
          <t>OpenDART_fnlttSinglAcntAll</t>
        </is>
      </c>
      <c r="B919" s="24" t="inlineStr">
        <is>
          <t>00160843</t>
        </is>
      </c>
      <c r="C919" s="24" t="inlineStr">
        <is>
          <t>DB하이텍</t>
        </is>
      </c>
      <c r="D919" s="24" t="inlineStr">
        <is>
          <t>dbhitek</t>
        </is>
      </c>
      <c r="E919" s="24" t="inlineStr">
        <is>
          <t>000990</t>
        </is>
      </c>
      <c r="F919" s="24" t="inlineStr">
        <is>
          <t>2025</t>
        </is>
      </c>
      <c r="G919" s="24" t="inlineStr">
        <is>
          <t>CFS</t>
        </is>
      </c>
      <c r="H919" s="24" t="inlineStr">
        <is>
          <t>SCE</t>
        </is>
      </c>
      <c r="I919" s="24" t="inlineStr">
        <is>
          <t>자본변동표</t>
        </is>
      </c>
      <c r="J919" s="24" t="inlineStr">
        <is>
          <t>ifrs-full_Equity</t>
        </is>
      </c>
      <c r="K919" s="24" t="inlineStr">
        <is>
          <t>자본총계</t>
        </is>
      </c>
      <c r="L919" s="24" t="inlineStr">
        <is>
          <t>연결재무제표 [member]</t>
        </is>
      </c>
      <c r="M919" s="24" t="inlineStr">
        <is>
          <t>제 73 기</t>
        </is>
      </c>
      <c r="N919" s="24" t="inlineStr">
        <is>
          <t>2243995457046.0</t>
        </is>
      </c>
      <c r="O919" s="24" t="inlineStr">
        <is>
          <t>2000688804317.0</t>
        </is>
      </c>
      <c r="P919" s="24" t="inlineStr">
        <is>
          <t>KRW</t>
        </is>
      </c>
      <c r="Q919" s="24" t="inlineStr">
        <is>
          <t>10</t>
        </is>
      </c>
    </row>
    <row r="920" ht="24" customHeight="1">
      <c r="A920" s="29" t="inlineStr">
        <is>
          <t>OpenDART_fnlttSinglAcntAll</t>
        </is>
      </c>
      <c r="B920" s="29" t="inlineStr">
        <is>
          <t>00160843</t>
        </is>
      </c>
      <c r="C920" s="29" t="inlineStr">
        <is>
          <t>DB하이텍</t>
        </is>
      </c>
      <c r="D920" s="29" t="inlineStr">
        <is>
          <t>dbhitek</t>
        </is>
      </c>
      <c r="E920" s="29" t="inlineStr">
        <is>
          <t>000990</t>
        </is>
      </c>
      <c r="F920" s="29" t="inlineStr">
        <is>
          <t>2025</t>
        </is>
      </c>
      <c r="G920" s="29" t="inlineStr">
        <is>
          <t>CFS</t>
        </is>
      </c>
      <c r="H920" s="29" t="inlineStr">
        <is>
          <t>SCE</t>
        </is>
      </c>
      <c r="I920" s="29" t="inlineStr">
        <is>
          <t>자본변동표</t>
        </is>
      </c>
      <c r="J920" s="29" t="inlineStr">
        <is>
          <t>ifrs-full_Equity</t>
        </is>
      </c>
      <c r="K920" s="29" t="inlineStr">
        <is>
          <t>자본총계</t>
        </is>
      </c>
      <c r="L920" s="29" t="inlineStr">
        <is>
          <t>자본 [구성요소]|비지배지분 [구성요소]</t>
        </is>
      </c>
      <c r="M920" s="29" t="inlineStr">
        <is>
          <t>제 73 기</t>
        </is>
      </c>
      <c r="N920" s="29" t="inlineStr">
        <is>
          <t>101631107574.0</t>
        </is>
      </c>
      <c r="O920" s="29" t="inlineStr">
        <is>
          <t>50706545677.0</t>
        </is>
      </c>
      <c r="P920" s="29" t="inlineStr">
        <is>
          <t>KRW</t>
        </is>
      </c>
      <c r="Q920" s="29" t="inlineStr">
        <is>
          <t>10</t>
        </is>
      </c>
    </row>
    <row r="921" ht="24" customHeight="1">
      <c r="A921" s="24" t="inlineStr">
        <is>
          <t>OpenDART_fnlttSinglAcntAll</t>
        </is>
      </c>
      <c r="B921" s="24" t="inlineStr">
        <is>
          <t>00160843</t>
        </is>
      </c>
      <c r="C921" s="24" t="inlineStr">
        <is>
          <t>DB하이텍</t>
        </is>
      </c>
      <c r="D921" s="24" t="inlineStr">
        <is>
          <t>dbhitek</t>
        </is>
      </c>
      <c r="E921" s="24" t="inlineStr">
        <is>
          <t>000990</t>
        </is>
      </c>
      <c r="F921" s="24" t="inlineStr">
        <is>
          <t>2025</t>
        </is>
      </c>
      <c r="G921" s="24" t="inlineStr">
        <is>
          <t>CFS</t>
        </is>
      </c>
      <c r="H921" s="24" t="inlineStr">
        <is>
          <t>SCE</t>
        </is>
      </c>
      <c r="I921" s="24" t="inlineStr">
        <is>
          <t>자본변동표</t>
        </is>
      </c>
      <c r="J921" s="24" t="inlineStr">
        <is>
          <t>ifrs-full_Equity</t>
        </is>
      </c>
      <c r="K921" s="24" t="inlineStr">
        <is>
          <t>자본총계</t>
        </is>
      </c>
      <c r="L921" s="24" t="inlineStr">
        <is>
          <t>자본 [구성요소]|지배기업의 소유주에게 귀속되는 지분 [구성요소]</t>
        </is>
      </c>
      <c r="M921" s="24" t="inlineStr">
        <is>
          <t>제 73 기</t>
        </is>
      </c>
      <c r="N921" s="24" t="inlineStr">
        <is>
          <t>2142364349472.0</t>
        </is>
      </c>
      <c r="O921" s="24" t="inlineStr">
        <is>
          <t>1949982258640.0</t>
        </is>
      </c>
      <c r="P921" s="24" t="inlineStr">
        <is>
          <t>KRW</t>
        </is>
      </c>
      <c r="Q921" s="24" t="inlineStr">
        <is>
          <t>10</t>
        </is>
      </c>
    </row>
    <row r="922" ht="24" customHeight="1">
      <c r="A922" s="29" t="inlineStr">
        <is>
          <t>OpenDART_fnlttSinglAcntAll</t>
        </is>
      </c>
      <c r="B922" s="29" t="inlineStr">
        <is>
          <t>00160843</t>
        </is>
      </c>
      <c r="C922" s="29" t="inlineStr">
        <is>
          <t>DB하이텍</t>
        </is>
      </c>
      <c r="D922" s="29" t="inlineStr">
        <is>
          <t>dbhitek</t>
        </is>
      </c>
      <c r="E922" s="29" t="inlineStr">
        <is>
          <t>000990</t>
        </is>
      </c>
      <c r="F922" s="29" t="inlineStr">
        <is>
          <t>2025</t>
        </is>
      </c>
      <c r="G922" s="29" t="inlineStr">
        <is>
          <t>CFS</t>
        </is>
      </c>
      <c r="H922" s="29" t="inlineStr">
        <is>
          <t>SCE</t>
        </is>
      </c>
      <c r="I922" s="29" t="inlineStr">
        <is>
          <t>자본변동표</t>
        </is>
      </c>
      <c r="J922" s="29" t="inlineStr">
        <is>
          <t>ifrs-full_Equity</t>
        </is>
      </c>
      <c r="K922" s="29" t="inlineStr">
        <is>
          <t>자본총계</t>
        </is>
      </c>
      <c r="L922" s="29" t="inlineStr">
        <is>
          <t>자본 [구성요소]|지배기업의 소유주에게 귀속되는 지분 [구성요소]|기타자본구성요소 [구성요소]</t>
        </is>
      </c>
      <c r="M922" s="29" t="inlineStr">
        <is>
          <t>제 73 기</t>
        </is>
      </c>
      <c r="N922" s="29" t="inlineStr">
        <is>
          <t>-133939404667.0</t>
        </is>
      </c>
      <c r="O922" s="29" t="inlineStr">
        <is>
          <t>-163336720157.0</t>
        </is>
      </c>
      <c r="P922" s="29" t="inlineStr">
        <is>
          <t>KRW</t>
        </is>
      </c>
      <c r="Q922" s="29" t="inlineStr">
        <is>
          <t>10</t>
        </is>
      </c>
    </row>
    <row r="923" ht="24" customHeight="1">
      <c r="A923" s="24" t="inlineStr">
        <is>
          <t>OpenDART_fnlttSinglAcntAll</t>
        </is>
      </c>
      <c r="B923" s="24" t="inlineStr">
        <is>
          <t>00160843</t>
        </is>
      </c>
      <c r="C923" s="24" t="inlineStr">
        <is>
          <t>DB하이텍</t>
        </is>
      </c>
      <c r="D923" s="24" t="inlineStr">
        <is>
          <t>dbhitek</t>
        </is>
      </c>
      <c r="E923" s="24" t="inlineStr">
        <is>
          <t>000990</t>
        </is>
      </c>
      <c r="F923" s="24" t="inlineStr">
        <is>
          <t>2025</t>
        </is>
      </c>
      <c r="G923" s="24" t="inlineStr">
        <is>
          <t>CFS</t>
        </is>
      </c>
      <c r="H923" s="24" t="inlineStr">
        <is>
          <t>SCE</t>
        </is>
      </c>
      <c r="I923" s="24" t="inlineStr">
        <is>
          <t>자본변동표</t>
        </is>
      </c>
      <c r="J923" s="24" t="inlineStr">
        <is>
          <t>ifrs-full_Equity</t>
        </is>
      </c>
      <c r="K923" s="24" t="inlineStr">
        <is>
          <t>자본총계</t>
        </is>
      </c>
      <c r="L923" s="24" t="inlineStr">
        <is>
          <t>자본 [구성요소]|지배기업의 소유주에게 귀속되는 지분 [구성요소]|이익잉여금 [구성요소]</t>
        </is>
      </c>
      <c r="M923" s="24" t="inlineStr">
        <is>
          <t>제 73 기</t>
        </is>
      </c>
      <c r="N923" s="24" t="inlineStr">
        <is>
          <t>1926419642845.0</t>
        </is>
      </c>
      <c r="O923" s="24" t="inlineStr">
        <is>
          <t>1763434867503.0</t>
        </is>
      </c>
      <c r="P923" s="24" t="inlineStr">
        <is>
          <t>KRW</t>
        </is>
      </c>
      <c r="Q923" s="24" t="inlineStr">
        <is>
          <t>10</t>
        </is>
      </c>
    </row>
    <row r="924" ht="24" customHeight="1">
      <c r="A924" s="29" t="inlineStr">
        <is>
          <t>OpenDART_fnlttSinglAcntAll</t>
        </is>
      </c>
      <c r="B924" s="29" t="inlineStr">
        <is>
          <t>00160843</t>
        </is>
      </c>
      <c r="C924" s="29" t="inlineStr">
        <is>
          <t>DB하이텍</t>
        </is>
      </c>
      <c r="D924" s="29" t="inlineStr">
        <is>
          <t>dbhitek</t>
        </is>
      </c>
      <c r="E924" s="29" t="inlineStr">
        <is>
          <t>000990</t>
        </is>
      </c>
      <c r="F924" s="29" t="inlineStr">
        <is>
          <t>2025</t>
        </is>
      </c>
      <c r="G924" s="29" t="inlineStr">
        <is>
          <t>CFS</t>
        </is>
      </c>
      <c r="H924" s="29" t="inlineStr">
        <is>
          <t>SCE</t>
        </is>
      </c>
      <c r="I924" s="29" t="inlineStr">
        <is>
          <t>자본변동표</t>
        </is>
      </c>
      <c r="J924" s="29" t="inlineStr">
        <is>
          <t>ifrs-full_Equity</t>
        </is>
      </c>
      <c r="K924" s="29" t="inlineStr">
        <is>
          <t>자본총계</t>
        </is>
      </c>
      <c r="L924" s="29" t="inlineStr">
        <is>
          <t>자본 [구성요소]|지배기업의 소유주에게 귀속되는 지분 [구성요소]|자본금 [구성요소]</t>
        </is>
      </c>
      <c r="M924" s="29" t="inlineStr">
        <is>
          <t>제 73 기</t>
        </is>
      </c>
      <c r="N924" s="29" t="inlineStr">
        <is>
          <t>222555835000.0</t>
        </is>
      </c>
      <c r="O924" s="29" t="inlineStr">
        <is>
          <t>222555835000.0</t>
        </is>
      </c>
      <c r="P924" s="29" t="inlineStr">
        <is>
          <t>KRW</t>
        </is>
      </c>
      <c r="Q924" s="29" t="inlineStr">
        <is>
          <t>10</t>
        </is>
      </c>
    </row>
    <row r="925" ht="24" customHeight="1">
      <c r="A925" s="24" t="inlineStr">
        <is>
          <t>OpenDART_fnlttSinglAcntAll</t>
        </is>
      </c>
      <c r="B925" s="24" t="inlineStr">
        <is>
          <t>00160843</t>
        </is>
      </c>
      <c r="C925" s="24" t="inlineStr">
        <is>
          <t>DB하이텍</t>
        </is>
      </c>
      <c r="D925" s="24" t="inlineStr">
        <is>
          <t>dbhitek</t>
        </is>
      </c>
      <c r="E925" s="24" t="inlineStr">
        <is>
          <t>000990</t>
        </is>
      </c>
      <c r="F925" s="24" t="inlineStr">
        <is>
          <t>2025</t>
        </is>
      </c>
      <c r="G925" s="24" t="inlineStr">
        <is>
          <t>CFS</t>
        </is>
      </c>
      <c r="H925" s="24" t="inlineStr">
        <is>
          <t>SCE</t>
        </is>
      </c>
      <c r="I925" s="24" t="inlineStr">
        <is>
          <t>자본변동표</t>
        </is>
      </c>
      <c r="J925" s="24" t="inlineStr">
        <is>
          <t>ifrs-full_Equity</t>
        </is>
      </c>
      <c r="K925" s="24" t="inlineStr">
        <is>
          <t>자본총계</t>
        </is>
      </c>
      <c r="L925" s="24" t="inlineStr">
        <is>
          <t>자본 [구성요소]|지배기업의 소유주에게 귀속되는 지분 [구성요소]|자본잉여금 [구성요소]</t>
        </is>
      </c>
      <c r="M925" s="24" t="inlineStr">
        <is>
          <t>제 73 기</t>
        </is>
      </c>
      <c r="N925" s="24" t="inlineStr">
        <is>
          <t>127328276294.0</t>
        </is>
      </c>
      <c r="O925" s="24" t="inlineStr">
        <is>
          <t>127328276294.0</t>
        </is>
      </c>
      <c r="P925" s="24" t="inlineStr">
        <is>
          <t>KRW</t>
        </is>
      </c>
      <c r="Q925" s="24" t="inlineStr">
        <is>
          <t>10</t>
        </is>
      </c>
    </row>
    <row r="926" ht="24" customHeight="1">
      <c r="A926" s="29" t="inlineStr">
        <is>
          <t>OpenDART_fnlttSinglAcntAll</t>
        </is>
      </c>
      <c r="B926" s="29" t="inlineStr">
        <is>
          <t>00160843</t>
        </is>
      </c>
      <c r="C926" s="29" t="inlineStr">
        <is>
          <t>DB하이텍</t>
        </is>
      </c>
      <c r="D926" s="29" t="inlineStr">
        <is>
          <t>dbhitek</t>
        </is>
      </c>
      <c r="E926" s="29" t="inlineStr">
        <is>
          <t>000990</t>
        </is>
      </c>
      <c r="F926" s="29" t="inlineStr">
        <is>
          <t>2025</t>
        </is>
      </c>
      <c r="G926" s="29" t="inlineStr">
        <is>
          <t>CFS</t>
        </is>
      </c>
      <c r="H926" s="29" t="inlineStr">
        <is>
          <t>SCE</t>
        </is>
      </c>
      <c r="I926" s="29" t="inlineStr">
        <is>
          <t>자본변동표</t>
        </is>
      </c>
      <c r="J926" s="29" t="inlineStr">
        <is>
          <t>ifrs-full_IncreaseDecreaseThroughAcquisitionOfSubsidiary</t>
        </is>
      </c>
      <c r="K926" s="29" t="inlineStr">
        <is>
          <t>사업결합</t>
        </is>
      </c>
      <c r="L926" s="29" t="inlineStr">
        <is>
          <t>연결재무제표 [member]</t>
        </is>
      </c>
      <c r="M926" s="29" t="inlineStr">
        <is>
          <t>제 73 기</t>
        </is>
      </c>
      <c r="N926" s="29" t="inlineStr">
        <is>
          <t>0.0</t>
        </is>
      </c>
      <c r="O926" s="29" t="inlineStr">
        <is>
          <t>77683043345.0</t>
        </is>
      </c>
      <c r="P926" s="29" t="inlineStr">
        <is>
          <t>KRW</t>
        </is>
      </c>
      <c r="Q926" s="29" t="inlineStr">
        <is>
          <t>11</t>
        </is>
      </c>
    </row>
    <row r="927" ht="24" customHeight="1">
      <c r="A927" s="24" t="inlineStr">
        <is>
          <t>OpenDART_fnlttSinglAcntAll</t>
        </is>
      </c>
      <c r="B927" s="24" t="inlineStr">
        <is>
          <t>00160843</t>
        </is>
      </c>
      <c r="C927" s="24" t="inlineStr">
        <is>
          <t>DB하이텍</t>
        </is>
      </c>
      <c r="D927" s="24" t="inlineStr">
        <is>
          <t>dbhitek</t>
        </is>
      </c>
      <c r="E927" s="24" t="inlineStr">
        <is>
          <t>000990</t>
        </is>
      </c>
      <c r="F927" s="24" t="inlineStr">
        <is>
          <t>2025</t>
        </is>
      </c>
      <c r="G927" s="24" t="inlineStr">
        <is>
          <t>CFS</t>
        </is>
      </c>
      <c r="H927" s="24" t="inlineStr">
        <is>
          <t>SCE</t>
        </is>
      </c>
      <c r="I927" s="24" t="inlineStr">
        <is>
          <t>자본변동표</t>
        </is>
      </c>
      <c r="J927" s="24" t="inlineStr">
        <is>
          <t>ifrs-full_IncreaseDecreaseThroughAcquisitionOfSubsidiary</t>
        </is>
      </c>
      <c r="K927" s="24" t="inlineStr">
        <is>
          <t>사업결합</t>
        </is>
      </c>
      <c r="L927" s="24" t="inlineStr">
        <is>
          <t>자본 [구성요소]|비지배지분 [구성요소]</t>
        </is>
      </c>
      <c r="M927" s="24" t="inlineStr">
        <is>
          <t>제 73 기</t>
        </is>
      </c>
      <c r="N927" s="24" t="inlineStr">
        <is>
          <t>0.0</t>
        </is>
      </c>
      <c r="O927" s="24" t="inlineStr">
        <is>
          <t>77683043345.0</t>
        </is>
      </c>
      <c r="P927" s="24" t="inlineStr">
        <is>
          <t>KRW</t>
        </is>
      </c>
      <c r="Q927" s="24" t="inlineStr">
        <is>
          <t>11</t>
        </is>
      </c>
    </row>
    <row r="928" ht="24" customHeight="1">
      <c r="A928" s="29" t="inlineStr">
        <is>
          <t>OpenDART_fnlttSinglAcntAll</t>
        </is>
      </c>
      <c r="B928" s="29" t="inlineStr">
        <is>
          <t>00160843</t>
        </is>
      </c>
      <c r="C928" s="29" t="inlineStr">
        <is>
          <t>DB하이텍</t>
        </is>
      </c>
      <c r="D928" s="29" t="inlineStr">
        <is>
          <t>dbhitek</t>
        </is>
      </c>
      <c r="E928" s="29" t="inlineStr">
        <is>
          <t>000990</t>
        </is>
      </c>
      <c r="F928" s="29" t="inlineStr">
        <is>
          <t>2025</t>
        </is>
      </c>
      <c r="G928" s="29" t="inlineStr">
        <is>
          <t>CFS</t>
        </is>
      </c>
      <c r="H928" s="29" t="inlineStr">
        <is>
          <t>SCE</t>
        </is>
      </c>
      <c r="I928" s="29" t="inlineStr">
        <is>
          <t>자본변동표</t>
        </is>
      </c>
      <c r="J928" s="29" t="inlineStr">
        <is>
          <t>ifrs-full_IncreaseDecreaseThroughAcquisitionOfSubsidiary</t>
        </is>
      </c>
      <c r="K928" s="29" t="inlineStr">
        <is>
          <t>사업결합</t>
        </is>
      </c>
      <c r="L928" s="29" t="inlineStr">
        <is>
          <t>자본 [구성요소]|지배기업의 소유주에게 귀속되는 지분 [구성요소]</t>
        </is>
      </c>
      <c r="M928" s="29" t="inlineStr">
        <is>
          <t>제 73 기</t>
        </is>
      </c>
      <c r="N928" s="29" t="inlineStr">
        <is>
          <t>0.0</t>
        </is>
      </c>
      <c r="O928" s="29" t="inlineStr">
        <is>
          <t>0.0</t>
        </is>
      </c>
      <c r="P928" s="29" t="inlineStr">
        <is>
          <t>KRW</t>
        </is>
      </c>
      <c r="Q928" s="29" t="inlineStr">
        <is>
          <t>11</t>
        </is>
      </c>
    </row>
    <row r="929" ht="24" customHeight="1">
      <c r="A929" s="24" t="inlineStr">
        <is>
          <t>OpenDART_fnlttSinglAcntAll</t>
        </is>
      </c>
      <c r="B929" s="24" t="inlineStr">
        <is>
          <t>00160843</t>
        </is>
      </c>
      <c r="C929" s="24" t="inlineStr">
        <is>
          <t>DB하이텍</t>
        </is>
      </c>
      <c r="D929" s="24" t="inlineStr">
        <is>
          <t>dbhitek</t>
        </is>
      </c>
      <c r="E929" s="24" t="inlineStr">
        <is>
          <t>000990</t>
        </is>
      </c>
      <c r="F929" s="24" t="inlineStr">
        <is>
          <t>2025</t>
        </is>
      </c>
      <c r="G929" s="24" t="inlineStr">
        <is>
          <t>CFS</t>
        </is>
      </c>
      <c r="H929" s="24" t="inlineStr">
        <is>
          <t>SCE</t>
        </is>
      </c>
      <c r="I929" s="24" t="inlineStr">
        <is>
          <t>자본변동표</t>
        </is>
      </c>
      <c r="J929" s="24" t="inlineStr">
        <is>
          <t>ifrs-full_IncreaseDecreaseThroughAcquisitionOfSubsidiary</t>
        </is>
      </c>
      <c r="K929" s="24" t="inlineStr">
        <is>
          <t>사업결합</t>
        </is>
      </c>
      <c r="L929" s="24" t="inlineStr">
        <is>
          <t>자본 [구성요소]|지배기업의 소유주에게 귀속되는 지분 [구성요소]|기타자본구성요소 [구성요소]</t>
        </is>
      </c>
      <c r="M929" s="24" t="inlineStr">
        <is>
          <t>제 73 기</t>
        </is>
      </c>
      <c r="N929" s="24" t="inlineStr">
        <is>
          <t>0.0</t>
        </is>
      </c>
      <c r="O929" s="24" t="inlineStr">
        <is>
          <t>0.0</t>
        </is>
      </c>
      <c r="P929" s="24" t="inlineStr">
        <is>
          <t>KRW</t>
        </is>
      </c>
      <c r="Q929" s="24" t="inlineStr">
        <is>
          <t>11</t>
        </is>
      </c>
    </row>
    <row r="930" ht="24" customHeight="1">
      <c r="A930" s="29" t="inlineStr">
        <is>
          <t>OpenDART_fnlttSinglAcntAll</t>
        </is>
      </c>
      <c r="B930" s="29" t="inlineStr">
        <is>
          <t>00160843</t>
        </is>
      </c>
      <c r="C930" s="29" t="inlineStr">
        <is>
          <t>DB하이텍</t>
        </is>
      </c>
      <c r="D930" s="29" t="inlineStr">
        <is>
          <t>dbhitek</t>
        </is>
      </c>
      <c r="E930" s="29" t="inlineStr">
        <is>
          <t>000990</t>
        </is>
      </c>
      <c r="F930" s="29" t="inlineStr">
        <is>
          <t>2025</t>
        </is>
      </c>
      <c r="G930" s="29" t="inlineStr">
        <is>
          <t>CFS</t>
        </is>
      </c>
      <c r="H930" s="29" t="inlineStr">
        <is>
          <t>SCE</t>
        </is>
      </c>
      <c r="I930" s="29" t="inlineStr">
        <is>
          <t>자본변동표</t>
        </is>
      </c>
      <c r="J930" s="29" t="inlineStr">
        <is>
          <t>ifrs-full_IncreaseDecreaseThroughAcquisitionOfSubsidiary</t>
        </is>
      </c>
      <c r="K930" s="29" t="inlineStr">
        <is>
          <t>사업결합</t>
        </is>
      </c>
      <c r="L930" s="29" t="inlineStr">
        <is>
          <t>자본 [구성요소]|지배기업의 소유주에게 귀속되는 지분 [구성요소]|이익잉여금 [구성요소]</t>
        </is>
      </c>
      <c r="M930" s="29" t="inlineStr">
        <is>
          <t>제 73 기</t>
        </is>
      </c>
      <c r="N930" s="29" t="inlineStr">
        <is>
          <t>0.0</t>
        </is>
      </c>
      <c r="O930" s="29" t="inlineStr">
        <is>
          <t>0.0</t>
        </is>
      </c>
      <c r="P930" s="29" t="inlineStr">
        <is>
          <t>KRW</t>
        </is>
      </c>
      <c r="Q930" s="29" t="inlineStr">
        <is>
          <t>11</t>
        </is>
      </c>
    </row>
    <row r="931" ht="24" customHeight="1">
      <c r="A931" s="24" t="inlineStr">
        <is>
          <t>OpenDART_fnlttSinglAcntAll</t>
        </is>
      </c>
      <c r="B931" s="24" t="inlineStr">
        <is>
          <t>00160843</t>
        </is>
      </c>
      <c r="C931" s="24" t="inlineStr">
        <is>
          <t>DB하이텍</t>
        </is>
      </c>
      <c r="D931" s="24" t="inlineStr">
        <is>
          <t>dbhitek</t>
        </is>
      </c>
      <c r="E931" s="24" t="inlineStr">
        <is>
          <t>000990</t>
        </is>
      </c>
      <c r="F931" s="24" t="inlineStr">
        <is>
          <t>2025</t>
        </is>
      </c>
      <c r="G931" s="24" t="inlineStr">
        <is>
          <t>CFS</t>
        </is>
      </c>
      <c r="H931" s="24" t="inlineStr">
        <is>
          <t>SCE</t>
        </is>
      </c>
      <c r="I931" s="24" t="inlineStr">
        <is>
          <t>자본변동표</t>
        </is>
      </c>
      <c r="J931" s="24" t="inlineStr">
        <is>
          <t>ifrs-full_IncreaseDecreaseThroughAcquisitionOfSubsidiary</t>
        </is>
      </c>
      <c r="K931" s="24" t="inlineStr">
        <is>
          <t>사업결합</t>
        </is>
      </c>
      <c r="L931" s="24" t="inlineStr">
        <is>
          <t>자본 [구성요소]|지배기업의 소유주에게 귀속되는 지분 [구성요소]|자본금 [구성요소]</t>
        </is>
      </c>
      <c r="M931" s="24" t="inlineStr">
        <is>
          <t>제 73 기</t>
        </is>
      </c>
      <c r="N931" s="24" t="inlineStr">
        <is>
          <t>0.0</t>
        </is>
      </c>
      <c r="O931" s="24" t="inlineStr">
        <is>
          <t>0.0</t>
        </is>
      </c>
      <c r="P931" s="24" t="inlineStr">
        <is>
          <t>KRW</t>
        </is>
      </c>
      <c r="Q931" s="24" t="inlineStr">
        <is>
          <t>11</t>
        </is>
      </c>
    </row>
    <row r="932" ht="24" customHeight="1">
      <c r="A932" s="29" t="inlineStr">
        <is>
          <t>OpenDART_fnlttSinglAcntAll</t>
        </is>
      </c>
      <c r="B932" s="29" t="inlineStr">
        <is>
          <t>00160843</t>
        </is>
      </c>
      <c r="C932" s="29" t="inlineStr">
        <is>
          <t>DB하이텍</t>
        </is>
      </c>
      <c r="D932" s="29" t="inlineStr">
        <is>
          <t>dbhitek</t>
        </is>
      </c>
      <c r="E932" s="29" t="inlineStr">
        <is>
          <t>000990</t>
        </is>
      </c>
      <c r="F932" s="29" t="inlineStr">
        <is>
          <t>2025</t>
        </is>
      </c>
      <c r="G932" s="29" t="inlineStr">
        <is>
          <t>CFS</t>
        </is>
      </c>
      <c r="H932" s="29" t="inlineStr">
        <is>
          <t>SCE</t>
        </is>
      </c>
      <c r="I932" s="29" t="inlineStr">
        <is>
          <t>자본변동표</t>
        </is>
      </c>
      <c r="J932" s="29" t="inlineStr">
        <is>
          <t>ifrs-full_IncreaseDecreaseThroughAcquisitionOfSubsidiary</t>
        </is>
      </c>
      <c r="K932" s="29" t="inlineStr">
        <is>
          <t>사업결합</t>
        </is>
      </c>
      <c r="L932" s="29" t="inlineStr">
        <is>
          <t>자본 [구성요소]|지배기업의 소유주에게 귀속되는 지분 [구성요소]|자본잉여금 [구성요소]</t>
        </is>
      </c>
      <c r="M932" s="29" t="inlineStr">
        <is>
          <t>제 73 기</t>
        </is>
      </c>
      <c r="N932" s="29" t="inlineStr">
        <is>
          <t>0.0</t>
        </is>
      </c>
      <c r="O932" s="29" t="inlineStr">
        <is>
          <t>0.0</t>
        </is>
      </c>
      <c r="P932" s="29" t="inlineStr">
        <is>
          <t>KRW</t>
        </is>
      </c>
      <c r="Q932" s="29" t="inlineStr">
        <is>
          <t>11</t>
        </is>
      </c>
    </row>
    <row r="933" ht="24" customHeight="1">
      <c r="A933" s="24" t="inlineStr">
        <is>
          <t>OpenDART_fnlttSinglAcntAll</t>
        </is>
      </c>
      <c r="B933" s="24" t="inlineStr">
        <is>
          <t>00160843</t>
        </is>
      </c>
      <c r="C933" s="24" t="inlineStr">
        <is>
          <t>DB하이텍</t>
        </is>
      </c>
      <c r="D933" s="24" t="inlineStr">
        <is>
          <t>dbhitek</t>
        </is>
      </c>
      <c r="E933" s="24" t="inlineStr">
        <is>
          <t>000990</t>
        </is>
      </c>
      <c r="F933" s="24" t="inlineStr">
        <is>
          <t>2025</t>
        </is>
      </c>
      <c r="G933" s="24" t="inlineStr">
        <is>
          <t>CFS</t>
        </is>
      </c>
      <c r="H933" s="24" t="inlineStr">
        <is>
          <t>SCE</t>
        </is>
      </c>
      <c r="I933" s="24" t="inlineStr">
        <is>
          <t>자본변동표</t>
        </is>
      </c>
      <c r="J933" s="24" t="inlineStr">
        <is>
          <t>ifrs-full_IncreaseDecreaseThroughChangesInOwnershipInterestsInSubsidiariesThatDoNotResultInLossOfControlEquityAttributableToOwnersOfParent</t>
        </is>
      </c>
      <c r="K933" s="24" t="inlineStr">
        <is>
          <t>비지배지분과의 거래</t>
        </is>
      </c>
      <c r="L933" s="24" t="inlineStr">
        <is>
          <t>자본 [구성요소]|비지배지분 [구성요소]</t>
        </is>
      </c>
      <c r="M933" s="24" t="inlineStr">
        <is>
          <t>제 73 기</t>
        </is>
      </c>
      <c r="N933" s="24" t="inlineStr">
        <is>
          <t>54127165872.0</t>
        </is>
      </c>
      <c r="O933" s="24" t="inlineStr">
        <is>
          <t>-26888770636.0</t>
        </is>
      </c>
      <c r="P933" s="24" t="inlineStr">
        <is>
          <t>KRW</t>
        </is>
      </c>
      <c r="Q933" s="24" t="inlineStr">
        <is>
          <t>12</t>
        </is>
      </c>
    </row>
    <row r="934" ht="24" customHeight="1">
      <c r="A934" s="29" t="inlineStr">
        <is>
          <t>OpenDART_fnlttSinglAcntAll</t>
        </is>
      </c>
      <c r="B934" s="29" t="inlineStr">
        <is>
          <t>00160843</t>
        </is>
      </c>
      <c r="C934" s="29" t="inlineStr">
        <is>
          <t>DB하이텍</t>
        </is>
      </c>
      <c r="D934" s="29" t="inlineStr">
        <is>
          <t>dbhitek</t>
        </is>
      </c>
      <c r="E934" s="29" t="inlineStr">
        <is>
          <t>000990</t>
        </is>
      </c>
      <c r="F934" s="29" t="inlineStr">
        <is>
          <t>2025</t>
        </is>
      </c>
      <c r="G934" s="29" t="inlineStr">
        <is>
          <t>CFS</t>
        </is>
      </c>
      <c r="H934" s="29" t="inlineStr">
        <is>
          <t>SCE</t>
        </is>
      </c>
      <c r="I934" s="29" t="inlineStr">
        <is>
          <t>자본변동표</t>
        </is>
      </c>
      <c r="J934" s="29" t="inlineStr">
        <is>
          <t>ifrs-full_IncreaseDecreaseThroughChangesInOwnershipInterestsInSubsidiariesThatDoNotResultInLossOfControlEquityAttributableToOwnersOfParent</t>
        </is>
      </c>
      <c r="K934" s="29" t="inlineStr">
        <is>
          <t>비지배지분과의 거래</t>
        </is>
      </c>
      <c r="L934" s="29" t="inlineStr">
        <is>
          <t>자본 [구성요소]|지배기업의 소유주에게 귀속되는 지분 [구성요소]</t>
        </is>
      </c>
      <c r="M934" s="29" t="inlineStr">
        <is>
          <t>제 73 기</t>
        </is>
      </c>
      <c r="N934" s="29" t="inlineStr">
        <is>
          <t>-4951523625.0</t>
        </is>
      </c>
      <c r="O934" s="29" t="inlineStr">
        <is>
          <t>16230113266.0</t>
        </is>
      </c>
      <c r="P934" s="29" t="inlineStr">
        <is>
          <t>KRW</t>
        </is>
      </c>
      <c r="Q934" s="29" t="inlineStr">
        <is>
          <t>12</t>
        </is>
      </c>
    </row>
    <row r="935" ht="24" customHeight="1">
      <c r="A935" s="24" t="inlineStr">
        <is>
          <t>OpenDART_fnlttSinglAcntAll</t>
        </is>
      </c>
      <c r="B935" s="24" t="inlineStr">
        <is>
          <t>00160843</t>
        </is>
      </c>
      <c r="C935" s="24" t="inlineStr">
        <is>
          <t>DB하이텍</t>
        </is>
      </c>
      <c r="D935" s="24" t="inlineStr">
        <is>
          <t>dbhitek</t>
        </is>
      </c>
      <c r="E935" s="24" t="inlineStr">
        <is>
          <t>000990</t>
        </is>
      </c>
      <c r="F935" s="24" t="inlineStr">
        <is>
          <t>2025</t>
        </is>
      </c>
      <c r="G935" s="24" t="inlineStr">
        <is>
          <t>CFS</t>
        </is>
      </c>
      <c r="H935" s="24" t="inlineStr">
        <is>
          <t>SCE</t>
        </is>
      </c>
      <c r="I935" s="24" t="inlineStr">
        <is>
          <t>자본변동표</t>
        </is>
      </c>
      <c r="J935" s="24" t="inlineStr">
        <is>
          <t>ifrs-full_IncreaseDecreaseThroughChangesInOwnershipInterestsInSubsidiariesThatDoNotResultInLossOfControlEquityAttributableToOwnersOfParent</t>
        </is>
      </c>
      <c r="K935" s="24" t="inlineStr">
        <is>
          <t>비지배지분과의 거래</t>
        </is>
      </c>
      <c r="L935" s="24" t="inlineStr">
        <is>
          <t>자본 [구성요소]|지배기업의 소유주에게 귀속되는 지분 [구성요소]|기타자본구성요소 [구성요소]</t>
        </is>
      </c>
      <c r="M935" s="24" t="inlineStr">
        <is>
          <t>제 73 기</t>
        </is>
      </c>
      <c r="N935" s="24" t="inlineStr">
        <is>
          <t>-4951523625.0</t>
        </is>
      </c>
      <c r="O935" s="24" t="inlineStr">
        <is>
          <t>16230113266.0</t>
        </is>
      </c>
      <c r="P935" s="24" t="inlineStr">
        <is>
          <t>KRW</t>
        </is>
      </c>
      <c r="Q935" s="24" t="inlineStr">
        <is>
          <t>12</t>
        </is>
      </c>
    </row>
    <row r="936" ht="24" customHeight="1">
      <c r="A936" s="29" t="inlineStr">
        <is>
          <t>OpenDART_fnlttSinglAcntAll</t>
        </is>
      </c>
      <c r="B936" s="29" t="inlineStr">
        <is>
          <t>00160843</t>
        </is>
      </c>
      <c r="C936" s="29" t="inlineStr">
        <is>
          <t>DB하이텍</t>
        </is>
      </c>
      <c r="D936" s="29" t="inlineStr">
        <is>
          <t>dbhitek</t>
        </is>
      </c>
      <c r="E936" s="29" t="inlineStr">
        <is>
          <t>000990</t>
        </is>
      </c>
      <c r="F936" s="29" t="inlineStr">
        <is>
          <t>2025</t>
        </is>
      </c>
      <c r="G936" s="29" t="inlineStr">
        <is>
          <t>CFS</t>
        </is>
      </c>
      <c r="H936" s="29" t="inlineStr">
        <is>
          <t>SCE</t>
        </is>
      </c>
      <c r="I936" s="29" t="inlineStr">
        <is>
          <t>자본변동표</t>
        </is>
      </c>
      <c r="J936" s="29" t="inlineStr">
        <is>
          <t>ifrs-full_IncreaseDecreaseThroughChangesInOwnershipInterestsInSubsidiariesThatDoNotResultInLossOfControlEquityAttributableToOwnersOfParent</t>
        </is>
      </c>
      <c r="K936" s="29" t="inlineStr">
        <is>
          <t>비지배지분과의 거래</t>
        </is>
      </c>
      <c r="L936" s="29" t="inlineStr">
        <is>
          <t>자본 [구성요소]|지배기업의 소유주에게 귀속되는 지분 [구성요소]|이익잉여금 [구성요소]</t>
        </is>
      </c>
      <c r="M936" s="29" t="inlineStr">
        <is>
          <t>제 73 기</t>
        </is>
      </c>
      <c r="N936" s="29" t="inlineStr">
        <is>
          <t>0.0</t>
        </is>
      </c>
      <c r="O936" s="29" t="inlineStr">
        <is>
          <t>0.0</t>
        </is>
      </c>
      <c r="P936" s="29" t="inlineStr">
        <is>
          <t>KRW</t>
        </is>
      </c>
      <c r="Q936" s="29" t="inlineStr">
        <is>
          <t>12</t>
        </is>
      </c>
    </row>
    <row r="937" ht="24" customHeight="1">
      <c r="A937" s="24" t="inlineStr">
        <is>
          <t>OpenDART_fnlttSinglAcntAll</t>
        </is>
      </c>
      <c r="B937" s="24" t="inlineStr">
        <is>
          <t>00160843</t>
        </is>
      </c>
      <c r="C937" s="24" t="inlineStr">
        <is>
          <t>DB하이텍</t>
        </is>
      </c>
      <c r="D937" s="24" t="inlineStr">
        <is>
          <t>dbhitek</t>
        </is>
      </c>
      <c r="E937" s="24" t="inlineStr">
        <is>
          <t>000990</t>
        </is>
      </c>
      <c r="F937" s="24" t="inlineStr">
        <is>
          <t>2025</t>
        </is>
      </c>
      <c r="G937" s="24" t="inlineStr">
        <is>
          <t>CFS</t>
        </is>
      </c>
      <c r="H937" s="24" t="inlineStr">
        <is>
          <t>SCE</t>
        </is>
      </c>
      <c r="I937" s="24" t="inlineStr">
        <is>
          <t>자본변동표</t>
        </is>
      </c>
      <c r="J937" s="24" t="inlineStr">
        <is>
          <t>ifrs-full_IncreaseDecreaseThroughChangesInOwnershipInterestsInSubsidiariesThatDoNotResultInLossOfControlEquityAttributableToOwnersOfParent</t>
        </is>
      </c>
      <c r="K937" s="24" t="inlineStr">
        <is>
          <t>비지배지분과의 거래</t>
        </is>
      </c>
      <c r="L937" s="24" t="inlineStr">
        <is>
          <t>자본 [구성요소]|지배기업의 소유주에게 귀속되는 지분 [구성요소]|자본금 [구성요소]</t>
        </is>
      </c>
      <c r="M937" s="24" t="inlineStr">
        <is>
          <t>제 73 기</t>
        </is>
      </c>
      <c r="N937" s="24" t="inlineStr">
        <is>
          <t>0.0</t>
        </is>
      </c>
      <c r="O937" s="24" t="inlineStr">
        <is>
          <t>0.0</t>
        </is>
      </c>
      <c r="P937" s="24" t="inlineStr">
        <is>
          <t>KRW</t>
        </is>
      </c>
      <c r="Q937" s="24" t="inlineStr">
        <is>
          <t>12</t>
        </is>
      </c>
    </row>
    <row r="938" ht="24" customHeight="1">
      <c r="A938" s="29" t="inlineStr">
        <is>
          <t>OpenDART_fnlttSinglAcntAll</t>
        </is>
      </c>
      <c r="B938" s="29" t="inlineStr">
        <is>
          <t>00160843</t>
        </is>
      </c>
      <c r="C938" s="29" t="inlineStr">
        <is>
          <t>DB하이텍</t>
        </is>
      </c>
      <c r="D938" s="29" t="inlineStr">
        <is>
          <t>dbhitek</t>
        </is>
      </c>
      <c r="E938" s="29" t="inlineStr">
        <is>
          <t>000990</t>
        </is>
      </c>
      <c r="F938" s="29" t="inlineStr">
        <is>
          <t>2025</t>
        </is>
      </c>
      <c r="G938" s="29" t="inlineStr">
        <is>
          <t>CFS</t>
        </is>
      </c>
      <c r="H938" s="29" t="inlineStr">
        <is>
          <t>SCE</t>
        </is>
      </c>
      <c r="I938" s="29" t="inlineStr">
        <is>
          <t>자본변동표</t>
        </is>
      </c>
      <c r="J938" s="29" t="inlineStr">
        <is>
          <t>ifrs-full_IncreaseDecreaseThroughChangesInOwnershipInterestsInSubsidiariesThatDoNotResultInLossOfControlEquityAttributableToOwnersOfParent</t>
        </is>
      </c>
      <c r="K938" s="29" t="inlineStr">
        <is>
          <t>비지배지분과의 거래</t>
        </is>
      </c>
      <c r="L938" s="29" t="inlineStr">
        <is>
          <t>자본 [구성요소]|지배기업의 소유주에게 귀속되는 지분 [구성요소]|자본잉여금 [구성요소]</t>
        </is>
      </c>
      <c r="M938" s="29" t="inlineStr">
        <is>
          <t>제 73 기</t>
        </is>
      </c>
      <c r="N938" s="29" t="inlineStr">
        <is>
          <t>0.0</t>
        </is>
      </c>
      <c r="O938" s="29" t="inlineStr">
        <is>
          <t>0.0</t>
        </is>
      </c>
      <c r="P938" s="29" t="inlineStr">
        <is>
          <t>KRW</t>
        </is>
      </c>
      <c r="Q938" s="29" t="inlineStr">
        <is>
          <t>12</t>
        </is>
      </c>
    </row>
    <row r="939" ht="24" customHeight="1">
      <c r="A939" s="24" t="inlineStr">
        <is>
          <t>OpenDART_fnlttSinglAcntAll</t>
        </is>
      </c>
      <c r="B939" s="24" t="inlineStr">
        <is>
          <t>00160843</t>
        </is>
      </c>
      <c r="C939" s="24" t="inlineStr">
        <is>
          <t>DB하이텍</t>
        </is>
      </c>
      <c r="D939" s="24" t="inlineStr">
        <is>
          <t>dbhitek</t>
        </is>
      </c>
      <c r="E939" s="24" t="inlineStr">
        <is>
          <t>000990</t>
        </is>
      </c>
      <c r="F939" s="24" t="inlineStr">
        <is>
          <t>2025</t>
        </is>
      </c>
      <c r="G939" s="24" t="inlineStr">
        <is>
          <t>CFS</t>
        </is>
      </c>
      <c r="H939" s="24" t="inlineStr">
        <is>
          <t>SCE</t>
        </is>
      </c>
      <c r="I939" s="24" t="inlineStr">
        <is>
          <t>자본변동표</t>
        </is>
      </c>
      <c r="J939" s="24" t="inlineStr">
        <is>
          <t>ifrs-full_IncreaseDecreaseThroughChangesInOwnershipInterestsInSubsidiariesThatDoNotResultInLossOfControlEquityAttributableToOwnersOfParent</t>
        </is>
      </c>
      <c r="K939" s="24" t="inlineStr">
        <is>
          <t>비지배지분과의 거래</t>
        </is>
      </c>
      <c r="L939" s="24" t="inlineStr">
        <is>
          <t>연결재무제표 [member]</t>
        </is>
      </c>
      <c r="M939" s="24" t="inlineStr">
        <is>
          <t>제 73 기</t>
        </is>
      </c>
      <c r="N939" s="24" t="inlineStr">
        <is>
          <t>49175642247.0</t>
        </is>
      </c>
      <c r="O939" s="24" t="inlineStr">
        <is>
          <t>-10658657370.0</t>
        </is>
      </c>
      <c r="P939" s="24" t="inlineStr">
        <is>
          <t>KRW</t>
        </is>
      </c>
      <c r="Q939" s="24" t="inlineStr">
        <is>
          <t>12</t>
        </is>
      </c>
    </row>
    <row r="940" ht="24" customHeight="1">
      <c r="A940" s="29" t="inlineStr">
        <is>
          <t>OpenDART_fnlttSinglAcntAll</t>
        </is>
      </c>
      <c r="B940" s="29" t="inlineStr">
        <is>
          <t>00160843</t>
        </is>
      </c>
      <c r="C940" s="29" t="inlineStr">
        <is>
          <t>DB하이텍</t>
        </is>
      </c>
      <c r="D940" s="29" t="inlineStr">
        <is>
          <t>dbhitek</t>
        </is>
      </c>
      <c r="E940" s="29" t="inlineStr">
        <is>
          <t>000990</t>
        </is>
      </c>
      <c r="F940" s="29" t="inlineStr">
        <is>
          <t>2025</t>
        </is>
      </c>
      <c r="G940" s="29" t="inlineStr">
        <is>
          <t>CFS</t>
        </is>
      </c>
      <c r="H940" s="29" t="inlineStr">
        <is>
          <t>SCE</t>
        </is>
      </c>
      <c r="I940" s="29" t="inlineStr">
        <is>
          <t>자본변동표</t>
        </is>
      </c>
      <c r="J940" s="29" t="inlineStr">
        <is>
          <t>ifrs-full_IncreaseDecreaseThroughTransactionsWithOwners</t>
        </is>
      </c>
      <c r="K940" s="29" t="inlineStr">
        <is>
          <t>소유주와의 거래 합계</t>
        </is>
      </c>
      <c r="L940" s="29" t="inlineStr">
        <is>
          <t>연결재무제표 [member]</t>
        </is>
      </c>
      <c r="M940" s="29" t="inlineStr">
        <is>
          <t>제 73 기</t>
        </is>
      </c>
      <c r="N940" s="29" t="inlineStr">
        <is>
          <t>-6237090918.0</t>
        </is>
      </c>
      <c r="O940" s="29" t="inlineStr">
        <is>
          <t>22789554005.0</t>
        </is>
      </c>
      <c r="P940" s="29" t="inlineStr">
        <is>
          <t>KRW</t>
        </is>
      </c>
      <c r="Q940" s="29" t="inlineStr">
        <is>
          <t>13</t>
        </is>
      </c>
    </row>
    <row r="941" ht="24" customHeight="1">
      <c r="A941" s="24" t="inlineStr">
        <is>
          <t>OpenDART_fnlttSinglAcntAll</t>
        </is>
      </c>
      <c r="B941" s="24" t="inlineStr">
        <is>
          <t>00160843</t>
        </is>
      </c>
      <c r="C941" s="24" t="inlineStr">
        <is>
          <t>DB하이텍</t>
        </is>
      </c>
      <c r="D941" s="24" t="inlineStr">
        <is>
          <t>dbhitek</t>
        </is>
      </c>
      <c r="E941" s="24" t="inlineStr">
        <is>
          <t>000990</t>
        </is>
      </c>
      <c r="F941" s="24" t="inlineStr">
        <is>
          <t>2025</t>
        </is>
      </c>
      <c r="G941" s="24" t="inlineStr">
        <is>
          <t>CFS</t>
        </is>
      </c>
      <c r="H941" s="24" t="inlineStr">
        <is>
          <t>SCE</t>
        </is>
      </c>
      <c r="I941" s="24" t="inlineStr">
        <is>
          <t>자본변동표</t>
        </is>
      </c>
      <c r="J941" s="24" t="inlineStr">
        <is>
          <t>ifrs-full_IncreaseDecreaseThroughTransactionsWithOwners</t>
        </is>
      </c>
      <c r="K941" s="24" t="inlineStr">
        <is>
          <t>소유주와의 거래 합계</t>
        </is>
      </c>
      <c r="L941" s="24" t="inlineStr">
        <is>
          <t>자본 [구성요소]|비지배지분 [구성요소]</t>
        </is>
      </c>
      <c r="M941" s="24" t="inlineStr">
        <is>
          <t>제 73 기</t>
        </is>
      </c>
      <c r="N941" s="24" t="inlineStr">
        <is>
          <t>54127165872.0</t>
        </is>
      </c>
      <c r="O941" s="24" t="inlineStr">
        <is>
          <t>50794272709.0</t>
        </is>
      </c>
      <c r="P941" s="24" t="inlineStr">
        <is>
          <t>KRW</t>
        </is>
      </c>
      <c r="Q941" s="24" t="inlineStr">
        <is>
          <t>13</t>
        </is>
      </c>
    </row>
    <row r="942" ht="24" customHeight="1">
      <c r="A942" s="29" t="inlineStr">
        <is>
          <t>OpenDART_fnlttSinglAcntAll</t>
        </is>
      </c>
      <c r="B942" s="29" t="inlineStr">
        <is>
          <t>00160843</t>
        </is>
      </c>
      <c r="C942" s="29" t="inlineStr">
        <is>
          <t>DB하이텍</t>
        </is>
      </c>
      <c r="D942" s="29" t="inlineStr">
        <is>
          <t>dbhitek</t>
        </is>
      </c>
      <c r="E942" s="29" t="inlineStr">
        <is>
          <t>000990</t>
        </is>
      </c>
      <c r="F942" s="29" t="inlineStr">
        <is>
          <t>2025</t>
        </is>
      </c>
      <c r="G942" s="29" t="inlineStr">
        <is>
          <t>CFS</t>
        </is>
      </c>
      <c r="H942" s="29" t="inlineStr">
        <is>
          <t>SCE</t>
        </is>
      </c>
      <c r="I942" s="29" t="inlineStr">
        <is>
          <t>자본변동표</t>
        </is>
      </c>
      <c r="J942" s="29" t="inlineStr">
        <is>
          <t>ifrs-full_IncreaseDecreaseThroughTransactionsWithOwners</t>
        </is>
      </c>
      <c r="K942" s="29" t="inlineStr">
        <is>
          <t>소유주와의 거래 합계</t>
        </is>
      </c>
      <c r="L942" s="29" t="inlineStr">
        <is>
          <t>자본 [구성요소]|지배기업의 소유주에게 귀속되는 지분 [구성요소]</t>
        </is>
      </c>
      <c r="M942" s="29" t="inlineStr">
        <is>
          <t>제 73 기</t>
        </is>
      </c>
      <c r="N942" s="29" t="inlineStr">
        <is>
          <t>-60364256790.0</t>
        </is>
      </c>
      <c r="O942" s="29" t="inlineStr">
        <is>
          <t>-28004718704.0</t>
        </is>
      </c>
      <c r="P942" s="29" t="inlineStr">
        <is>
          <t>KRW</t>
        </is>
      </c>
      <c r="Q942" s="29" t="inlineStr">
        <is>
          <t>13</t>
        </is>
      </c>
    </row>
    <row r="943" ht="24" customHeight="1">
      <c r="A943" s="24" t="inlineStr">
        <is>
          <t>OpenDART_fnlttSinglAcntAll</t>
        </is>
      </c>
      <c r="B943" s="24" t="inlineStr">
        <is>
          <t>00160843</t>
        </is>
      </c>
      <c r="C943" s="24" t="inlineStr">
        <is>
          <t>DB하이텍</t>
        </is>
      </c>
      <c r="D943" s="24" t="inlineStr">
        <is>
          <t>dbhitek</t>
        </is>
      </c>
      <c r="E943" s="24" t="inlineStr">
        <is>
          <t>000990</t>
        </is>
      </c>
      <c r="F943" s="24" t="inlineStr">
        <is>
          <t>2025</t>
        </is>
      </c>
      <c r="G943" s="24" t="inlineStr">
        <is>
          <t>CFS</t>
        </is>
      </c>
      <c r="H943" s="24" t="inlineStr">
        <is>
          <t>SCE</t>
        </is>
      </c>
      <c r="I943" s="24" t="inlineStr">
        <is>
          <t>자본변동표</t>
        </is>
      </c>
      <c r="J943" s="24" t="inlineStr">
        <is>
          <t>ifrs-full_IncreaseDecreaseThroughTransactionsWithOwners</t>
        </is>
      </c>
      <c r="K943" s="24" t="inlineStr">
        <is>
          <t>소유주와의 거래 합계</t>
        </is>
      </c>
      <c r="L943" s="24" t="inlineStr">
        <is>
          <t>자본 [구성요소]|지배기업의 소유주에게 귀속되는 지분 [구성요소]|기타자본구성요소 [구성요소]</t>
        </is>
      </c>
      <c r="M943" s="24" t="inlineStr">
        <is>
          <t>제 73 기</t>
        </is>
      </c>
      <c r="N943" s="24" t="inlineStr">
        <is>
          <t>29276106877.0</t>
        </is>
      </c>
      <c r="O943" s="24" t="inlineStr">
        <is>
          <t>-3770762864.0</t>
        </is>
      </c>
      <c r="P943" s="24" t="inlineStr">
        <is>
          <t>KRW</t>
        </is>
      </c>
      <c r="Q943" s="24" t="inlineStr">
        <is>
          <t>13</t>
        </is>
      </c>
    </row>
    <row r="944" ht="24" customHeight="1">
      <c r="A944" s="29" t="inlineStr">
        <is>
          <t>OpenDART_fnlttSinglAcntAll</t>
        </is>
      </c>
      <c r="B944" s="29" t="inlineStr">
        <is>
          <t>00160843</t>
        </is>
      </c>
      <c r="C944" s="29" t="inlineStr">
        <is>
          <t>DB하이텍</t>
        </is>
      </c>
      <c r="D944" s="29" t="inlineStr">
        <is>
          <t>dbhitek</t>
        </is>
      </c>
      <c r="E944" s="29" t="inlineStr">
        <is>
          <t>000990</t>
        </is>
      </c>
      <c r="F944" s="29" t="inlineStr">
        <is>
          <t>2025</t>
        </is>
      </c>
      <c r="G944" s="29" t="inlineStr">
        <is>
          <t>CFS</t>
        </is>
      </c>
      <c r="H944" s="29" t="inlineStr">
        <is>
          <t>SCE</t>
        </is>
      </c>
      <c r="I944" s="29" t="inlineStr">
        <is>
          <t>자본변동표</t>
        </is>
      </c>
      <c r="J944" s="29" t="inlineStr">
        <is>
          <t>ifrs-full_IncreaseDecreaseThroughTransactionsWithOwners</t>
        </is>
      </c>
      <c r="K944" s="29" t="inlineStr">
        <is>
          <t>소유주와의 거래 합계</t>
        </is>
      </c>
      <c r="L944" s="29" t="inlineStr">
        <is>
          <t>자본 [구성요소]|지배기업의 소유주에게 귀속되는 지분 [구성요소]|이익잉여금 [구성요소]</t>
        </is>
      </c>
      <c r="M944" s="29" t="inlineStr">
        <is>
          <t>제 73 기</t>
        </is>
      </c>
      <c r="N944" s="29" t="inlineStr">
        <is>
          <t>-89640363667.0</t>
        </is>
      </c>
      <c r="O944" s="29" t="inlineStr">
        <is>
          <t>-24233955840.0</t>
        </is>
      </c>
      <c r="P944" s="29" t="inlineStr">
        <is>
          <t>KRW</t>
        </is>
      </c>
      <c r="Q944" s="29" t="inlineStr">
        <is>
          <t>13</t>
        </is>
      </c>
    </row>
    <row r="945" ht="24" customHeight="1">
      <c r="A945" s="24" t="inlineStr">
        <is>
          <t>OpenDART_fnlttSinglAcntAll</t>
        </is>
      </c>
      <c r="B945" s="24" t="inlineStr">
        <is>
          <t>00160843</t>
        </is>
      </c>
      <c r="C945" s="24" t="inlineStr">
        <is>
          <t>DB하이텍</t>
        </is>
      </c>
      <c r="D945" s="24" t="inlineStr">
        <is>
          <t>dbhitek</t>
        </is>
      </c>
      <c r="E945" s="24" t="inlineStr">
        <is>
          <t>000990</t>
        </is>
      </c>
      <c r="F945" s="24" t="inlineStr">
        <is>
          <t>2025</t>
        </is>
      </c>
      <c r="G945" s="24" t="inlineStr">
        <is>
          <t>CFS</t>
        </is>
      </c>
      <c r="H945" s="24" t="inlineStr">
        <is>
          <t>SCE</t>
        </is>
      </c>
      <c r="I945" s="24" t="inlineStr">
        <is>
          <t>자본변동표</t>
        </is>
      </c>
      <c r="J945" s="24" t="inlineStr">
        <is>
          <t>ifrs-full_IncreaseDecreaseThroughTransactionsWithOwners</t>
        </is>
      </c>
      <c r="K945" s="24" t="inlineStr">
        <is>
          <t>소유주와의 거래 합계</t>
        </is>
      </c>
      <c r="L945" s="24" t="inlineStr">
        <is>
          <t>자본 [구성요소]|지배기업의 소유주에게 귀속되는 지분 [구성요소]|자본금 [구성요소]</t>
        </is>
      </c>
      <c r="M945" s="24" t="inlineStr">
        <is>
          <t>제 73 기</t>
        </is>
      </c>
      <c r="N945" s="24" t="inlineStr">
        <is>
          <t>0.0</t>
        </is>
      </c>
      <c r="O945" s="24" t="inlineStr">
        <is>
          <t>0.0</t>
        </is>
      </c>
      <c r="P945" s="24" t="inlineStr">
        <is>
          <t>KRW</t>
        </is>
      </c>
      <c r="Q945" s="24" t="inlineStr">
        <is>
          <t>13</t>
        </is>
      </c>
    </row>
    <row r="946" ht="24" customHeight="1">
      <c r="A946" s="29" t="inlineStr">
        <is>
          <t>OpenDART_fnlttSinglAcntAll</t>
        </is>
      </c>
      <c r="B946" s="29" t="inlineStr">
        <is>
          <t>00160843</t>
        </is>
      </c>
      <c r="C946" s="29" t="inlineStr">
        <is>
          <t>DB하이텍</t>
        </is>
      </c>
      <c r="D946" s="29" t="inlineStr">
        <is>
          <t>dbhitek</t>
        </is>
      </c>
      <c r="E946" s="29" t="inlineStr">
        <is>
          <t>000990</t>
        </is>
      </c>
      <c r="F946" s="29" t="inlineStr">
        <is>
          <t>2025</t>
        </is>
      </c>
      <c r="G946" s="29" t="inlineStr">
        <is>
          <t>CFS</t>
        </is>
      </c>
      <c r="H946" s="29" t="inlineStr">
        <is>
          <t>SCE</t>
        </is>
      </c>
      <c r="I946" s="29" t="inlineStr">
        <is>
          <t>자본변동표</t>
        </is>
      </c>
      <c r="J946" s="29" t="inlineStr">
        <is>
          <t>ifrs-full_IncreaseDecreaseThroughTransactionsWithOwners</t>
        </is>
      </c>
      <c r="K946" s="29" t="inlineStr">
        <is>
          <t>소유주와의 거래 합계</t>
        </is>
      </c>
      <c r="L946" s="29" t="inlineStr">
        <is>
          <t>자본 [구성요소]|지배기업의 소유주에게 귀속되는 지분 [구성요소]|자본잉여금 [구성요소]</t>
        </is>
      </c>
      <c r="M946" s="29" t="inlineStr">
        <is>
          <t>제 73 기</t>
        </is>
      </c>
      <c r="N946" s="29" t="inlineStr">
        <is>
          <t>0.0</t>
        </is>
      </c>
      <c r="O946" s="29" t="inlineStr">
        <is>
          <t>0.0</t>
        </is>
      </c>
      <c r="P946" s="29" t="inlineStr">
        <is>
          <t>KRW</t>
        </is>
      </c>
      <c r="Q946" s="29" t="inlineStr">
        <is>
          <t>13</t>
        </is>
      </c>
    </row>
    <row r="947" ht="24" customHeight="1">
      <c r="A947" s="24" t="inlineStr">
        <is>
          <t>OpenDART_fnlttSinglAcntAll</t>
        </is>
      </c>
      <c r="B947" s="24" t="inlineStr">
        <is>
          <t>00160843</t>
        </is>
      </c>
      <c r="C947" s="24" t="inlineStr">
        <is>
          <t>DB하이텍</t>
        </is>
      </c>
      <c r="D947" s="24" t="inlineStr">
        <is>
          <t>dbhitek</t>
        </is>
      </c>
      <c r="E947" s="24" t="inlineStr">
        <is>
          <t>000990</t>
        </is>
      </c>
      <c r="F947" s="24" t="inlineStr">
        <is>
          <t>2025</t>
        </is>
      </c>
      <c r="G947" s="24" t="inlineStr">
        <is>
          <t>CFS</t>
        </is>
      </c>
      <c r="H947" s="24" t="inlineStr">
        <is>
          <t>SCE</t>
        </is>
      </c>
      <c r="I947" s="24" t="inlineStr">
        <is>
          <t>자본변동표</t>
        </is>
      </c>
      <c r="J947" s="24" t="inlineStr">
        <is>
          <t>ifrs-full_OtherComprehensiveIncome</t>
        </is>
      </c>
      <c r="K947" s="24" t="inlineStr">
        <is>
          <t>기타포괄손익</t>
        </is>
      </c>
      <c r="L947" s="24" t="inlineStr">
        <is>
          <t>연결재무제표 [member]</t>
        </is>
      </c>
      <c r="M947" s="24" t="inlineStr">
        <is>
          <t>제 73 기</t>
        </is>
      </c>
      <c r="N947" s="24" t="inlineStr">
        <is>
          <t>-3038697151.0</t>
        </is>
      </c>
      <c r="O947" s="24" t="inlineStr">
        <is>
          <t>8430924210.0</t>
        </is>
      </c>
      <c r="P947" s="24" t="inlineStr">
        <is>
          <t>KRW</t>
        </is>
      </c>
      <c r="Q947" s="24" t="inlineStr">
        <is>
          <t>14</t>
        </is>
      </c>
    </row>
    <row r="948" ht="24" customHeight="1">
      <c r="A948" s="29" t="inlineStr">
        <is>
          <t>OpenDART_fnlttSinglAcntAll</t>
        </is>
      </c>
      <c r="B948" s="29" t="inlineStr">
        <is>
          <t>00160843</t>
        </is>
      </c>
      <c r="C948" s="29" t="inlineStr">
        <is>
          <t>DB하이텍</t>
        </is>
      </c>
      <c r="D948" s="29" t="inlineStr">
        <is>
          <t>dbhitek</t>
        </is>
      </c>
      <c r="E948" s="29" t="inlineStr">
        <is>
          <t>000990</t>
        </is>
      </c>
      <c r="F948" s="29" t="inlineStr">
        <is>
          <t>2025</t>
        </is>
      </c>
      <c r="G948" s="29" t="inlineStr">
        <is>
          <t>CFS</t>
        </is>
      </c>
      <c r="H948" s="29" t="inlineStr">
        <is>
          <t>SCE</t>
        </is>
      </c>
      <c r="I948" s="29" t="inlineStr">
        <is>
          <t>자본변동표</t>
        </is>
      </c>
      <c r="J948" s="29" t="inlineStr">
        <is>
          <t>ifrs-full_OtherComprehensiveIncome</t>
        </is>
      </c>
      <c r="K948" s="29" t="inlineStr">
        <is>
          <t>기타포괄손익</t>
        </is>
      </c>
      <c r="L948" s="29" t="inlineStr">
        <is>
          <t>자본 [구성요소]|비지배지분 [구성요소]</t>
        </is>
      </c>
      <c r="M948" s="29" t="inlineStr">
        <is>
          <t>제 73 기</t>
        </is>
      </c>
      <c r="N948" s="29" t="inlineStr">
        <is>
          <t>286855819.0</t>
        </is>
      </c>
      <c r="O948" s="29" t="inlineStr">
        <is>
          <t>0.0</t>
        </is>
      </c>
      <c r="P948" s="29" t="inlineStr">
        <is>
          <t>KRW</t>
        </is>
      </c>
      <c r="Q948" s="29" t="inlineStr">
        <is>
          <t>14</t>
        </is>
      </c>
    </row>
    <row r="949" ht="24" customHeight="1">
      <c r="A949" s="24" t="inlineStr">
        <is>
          <t>OpenDART_fnlttSinglAcntAll</t>
        </is>
      </c>
      <c r="B949" s="24" t="inlineStr">
        <is>
          <t>00160843</t>
        </is>
      </c>
      <c r="C949" s="24" t="inlineStr">
        <is>
          <t>DB하이텍</t>
        </is>
      </c>
      <c r="D949" s="24" t="inlineStr">
        <is>
          <t>dbhitek</t>
        </is>
      </c>
      <c r="E949" s="24" t="inlineStr">
        <is>
          <t>000990</t>
        </is>
      </c>
      <c r="F949" s="24" t="inlineStr">
        <is>
          <t>2025</t>
        </is>
      </c>
      <c r="G949" s="24" t="inlineStr">
        <is>
          <t>CFS</t>
        </is>
      </c>
      <c r="H949" s="24" t="inlineStr">
        <is>
          <t>SCE</t>
        </is>
      </c>
      <c r="I949" s="24" t="inlineStr">
        <is>
          <t>자본변동표</t>
        </is>
      </c>
      <c r="J949" s="24" t="inlineStr">
        <is>
          <t>ifrs-full_OtherComprehensiveIncome</t>
        </is>
      </c>
      <c r="K949" s="24" t="inlineStr">
        <is>
          <t>기타포괄손익</t>
        </is>
      </c>
      <c r="L949" s="24" t="inlineStr">
        <is>
          <t>자본 [구성요소]|지배기업의 소유주에게 귀속되는 지분 [구성요소]</t>
        </is>
      </c>
      <c r="M949" s="24" t="inlineStr">
        <is>
          <t>제 73 기</t>
        </is>
      </c>
      <c r="N949" s="24" t="inlineStr">
        <is>
          <t>-3325552970.0</t>
        </is>
      </c>
      <c r="O949" s="24" t="inlineStr">
        <is>
          <t>8430924210.0</t>
        </is>
      </c>
      <c r="P949" s="24" t="inlineStr">
        <is>
          <t>KRW</t>
        </is>
      </c>
      <c r="Q949" s="24" t="inlineStr">
        <is>
          <t>14</t>
        </is>
      </c>
    </row>
    <row r="950" ht="24" customHeight="1">
      <c r="A950" s="29" t="inlineStr">
        <is>
          <t>OpenDART_fnlttSinglAcntAll</t>
        </is>
      </c>
      <c r="B950" s="29" t="inlineStr">
        <is>
          <t>00160843</t>
        </is>
      </c>
      <c r="C950" s="29" t="inlineStr">
        <is>
          <t>DB하이텍</t>
        </is>
      </c>
      <c r="D950" s="29" t="inlineStr">
        <is>
          <t>dbhitek</t>
        </is>
      </c>
      <c r="E950" s="29" t="inlineStr">
        <is>
          <t>000990</t>
        </is>
      </c>
      <c r="F950" s="29" t="inlineStr">
        <is>
          <t>2025</t>
        </is>
      </c>
      <c r="G950" s="29" t="inlineStr">
        <is>
          <t>CFS</t>
        </is>
      </c>
      <c r="H950" s="29" t="inlineStr">
        <is>
          <t>SCE</t>
        </is>
      </c>
      <c r="I950" s="29" t="inlineStr">
        <is>
          <t>자본변동표</t>
        </is>
      </c>
      <c r="J950" s="29" t="inlineStr">
        <is>
          <t>ifrs-full_OtherComprehensiveIncome</t>
        </is>
      </c>
      <c r="K950" s="29" t="inlineStr">
        <is>
          <t>기타포괄손익</t>
        </is>
      </c>
      <c r="L950" s="29" t="inlineStr">
        <is>
          <t>자본 [구성요소]|지배기업의 소유주에게 귀속되는 지분 [구성요소]|기타자본구성요소 [구성요소]</t>
        </is>
      </c>
      <c r="M950" s="29" t="inlineStr">
        <is>
          <t>제 73 기</t>
        </is>
      </c>
      <c r="N950" s="29" t="inlineStr">
        <is>
          <t>121208613.0</t>
        </is>
      </c>
      <c r="O950" s="29" t="inlineStr">
        <is>
          <t>13496581533.0</t>
        </is>
      </c>
      <c r="P950" s="29" t="inlineStr">
        <is>
          <t>KRW</t>
        </is>
      </c>
      <c r="Q950" s="29" t="inlineStr">
        <is>
          <t>14</t>
        </is>
      </c>
    </row>
    <row r="951" ht="24" customHeight="1">
      <c r="A951" s="24" t="inlineStr">
        <is>
          <t>OpenDART_fnlttSinglAcntAll</t>
        </is>
      </c>
      <c r="B951" s="24" t="inlineStr">
        <is>
          <t>00160843</t>
        </is>
      </c>
      <c r="C951" s="24" t="inlineStr">
        <is>
          <t>DB하이텍</t>
        </is>
      </c>
      <c r="D951" s="24" t="inlineStr">
        <is>
          <t>dbhitek</t>
        </is>
      </c>
      <c r="E951" s="24" t="inlineStr">
        <is>
          <t>000990</t>
        </is>
      </c>
      <c r="F951" s="24" t="inlineStr">
        <is>
          <t>2025</t>
        </is>
      </c>
      <c r="G951" s="24" t="inlineStr">
        <is>
          <t>CFS</t>
        </is>
      </c>
      <c r="H951" s="24" t="inlineStr">
        <is>
          <t>SCE</t>
        </is>
      </c>
      <c r="I951" s="24" t="inlineStr">
        <is>
          <t>자본변동표</t>
        </is>
      </c>
      <c r="J951" s="24" t="inlineStr">
        <is>
          <t>ifrs-full_OtherComprehensiveIncome</t>
        </is>
      </c>
      <c r="K951" s="24" t="inlineStr">
        <is>
          <t>기타포괄손익</t>
        </is>
      </c>
      <c r="L951" s="24" t="inlineStr">
        <is>
          <t>자본 [구성요소]|지배기업의 소유주에게 귀속되는 지분 [구성요소]|이익잉여금 [구성요소]</t>
        </is>
      </c>
      <c r="M951" s="24" t="inlineStr">
        <is>
          <t>제 73 기</t>
        </is>
      </c>
      <c r="N951" s="24" t="inlineStr">
        <is>
          <t>-3446761583.0</t>
        </is>
      </c>
      <c r="O951" s="24" t="inlineStr">
        <is>
          <t>-5065657323.0</t>
        </is>
      </c>
      <c r="P951" s="24" t="inlineStr">
        <is>
          <t>KRW</t>
        </is>
      </c>
      <c r="Q951" s="24" t="inlineStr">
        <is>
          <t>14</t>
        </is>
      </c>
    </row>
    <row r="952" ht="24" customHeight="1">
      <c r="A952" s="29" t="inlineStr">
        <is>
          <t>OpenDART_fnlttSinglAcntAll</t>
        </is>
      </c>
      <c r="B952" s="29" t="inlineStr">
        <is>
          <t>00160843</t>
        </is>
      </c>
      <c r="C952" s="29" t="inlineStr">
        <is>
          <t>DB하이텍</t>
        </is>
      </c>
      <c r="D952" s="29" t="inlineStr">
        <is>
          <t>dbhitek</t>
        </is>
      </c>
      <c r="E952" s="29" t="inlineStr">
        <is>
          <t>000990</t>
        </is>
      </c>
      <c r="F952" s="29" t="inlineStr">
        <is>
          <t>2025</t>
        </is>
      </c>
      <c r="G952" s="29" t="inlineStr">
        <is>
          <t>CFS</t>
        </is>
      </c>
      <c r="H952" s="29" t="inlineStr">
        <is>
          <t>SCE</t>
        </is>
      </c>
      <c r="I952" s="29" t="inlineStr">
        <is>
          <t>자본변동표</t>
        </is>
      </c>
      <c r="J952" s="29" t="inlineStr">
        <is>
          <t>ifrs-full_OtherComprehensiveIncome</t>
        </is>
      </c>
      <c r="K952" s="29" t="inlineStr">
        <is>
          <t>기타포괄손익</t>
        </is>
      </c>
      <c r="L952" s="29" t="inlineStr">
        <is>
          <t>자본 [구성요소]|지배기업의 소유주에게 귀속되는 지분 [구성요소]|자본금 [구성요소]</t>
        </is>
      </c>
      <c r="M952" s="29" t="inlineStr">
        <is>
          <t>제 73 기</t>
        </is>
      </c>
      <c r="N952" s="29" t="inlineStr">
        <is>
          <t>0.0</t>
        </is>
      </c>
      <c r="O952" s="29" t="inlineStr">
        <is>
          <t>0.0</t>
        </is>
      </c>
      <c r="P952" s="29" t="inlineStr">
        <is>
          <t>KRW</t>
        </is>
      </c>
      <c r="Q952" s="29" t="inlineStr">
        <is>
          <t>14</t>
        </is>
      </c>
    </row>
    <row r="953" ht="24" customHeight="1">
      <c r="A953" s="24" t="inlineStr">
        <is>
          <t>OpenDART_fnlttSinglAcntAll</t>
        </is>
      </c>
      <c r="B953" s="24" t="inlineStr">
        <is>
          <t>00160843</t>
        </is>
      </c>
      <c r="C953" s="24" t="inlineStr">
        <is>
          <t>DB하이텍</t>
        </is>
      </c>
      <c r="D953" s="24" t="inlineStr">
        <is>
          <t>dbhitek</t>
        </is>
      </c>
      <c r="E953" s="24" t="inlineStr">
        <is>
          <t>000990</t>
        </is>
      </c>
      <c r="F953" s="24" t="inlineStr">
        <is>
          <t>2025</t>
        </is>
      </c>
      <c r="G953" s="24" t="inlineStr">
        <is>
          <t>CFS</t>
        </is>
      </c>
      <c r="H953" s="24" t="inlineStr">
        <is>
          <t>SCE</t>
        </is>
      </c>
      <c r="I953" s="24" t="inlineStr">
        <is>
          <t>자본변동표</t>
        </is>
      </c>
      <c r="J953" s="24" t="inlineStr">
        <is>
          <t>ifrs-full_OtherComprehensiveIncome</t>
        </is>
      </c>
      <c r="K953" s="24" t="inlineStr">
        <is>
          <t>기타포괄손익</t>
        </is>
      </c>
      <c r="L953" s="24" t="inlineStr">
        <is>
          <t>자본 [구성요소]|지배기업의 소유주에게 귀속되는 지분 [구성요소]|자본잉여금 [구성요소]</t>
        </is>
      </c>
      <c r="M953" s="24" t="inlineStr">
        <is>
          <t>제 73 기</t>
        </is>
      </c>
      <c r="N953" s="24" t="inlineStr">
        <is>
          <t>0.0</t>
        </is>
      </c>
      <c r="O953" s="24" t="inlineStr">
        <is>
          <t>0.0</t>
        </is>
      </c>
      <c r="P953" s="24" t="inlineStr">
        <is>
          <t>KRW</t>
        </is>
      </c>
      <c r="Q953" s="24" t="inlineStr">
        <is>
          <t>14</t>
        </is>
      </c>
    </row>
    <row r="954" ht="24" customHeight="1">
      <c r="A954" s="29" t="inlineStr">
        <is>
          <t>OpenDART_fnlttSinglAcntAll</t>
        </is>
      </c>
      <c r="B954" s="29" t="inlineStr">
        <is>
          <t>00160843</t>
        </is>
      </c>
      <c r="C954" s="29" t="inlineStr">
        <is>
          <t>DB하이텍</t>
        </is>
      </c>
      <c r="D954" s="29" t="inlineStr">
        <is>
          <t>dbhitek</t>
        </is>
      </c>
      <c r="E954" s="29" t="inlineStr">
        <is>
          <t>000990</t>
        </is>
      </c>
      <c r="F954" s="29" t="inlineStr">
        <is>
          <t>2025</t>
        </is>
      </c>
      <c r="G954" s="29" t="inlineStr">
        <is>
          <t>CFS</t>
        </is>
      </c>
      <c r="H954" s="29" t="inlineStr">
        <is>
          <t>SCE</t>
        </is>
      </c>
      <c r="I954" s="29" t="inlineStr">
        <is>
          <t>자본변동표</t>
        </is>
      </c>
      <c r="J954" s="29" t="inlineStr">
        <is>
          <t>ifrs-full_OtherComprehensiveIncomeNetOfTaxExchangeDifferencesOnTranslationOfForeignOperationsAndHedgesOfNetInvestmentsInForeignOperations</t>
        </is>
      </c>
      <c r="K954" s="29" t="inlineStr">
        <is>
          <t>해외사업환산손익</t>
        </is>
      </c>
      <c r="L954" s="29" t="inlineStr">
        <is>
          <t>연결재무제표 [member]</t>
        </is>
      </c>
      <c r="M954" s="29" t="inlineStr">
        <is>
          <t>제 73 기</t>
        </is>
      </c>
      <c r="N954" s="29" t="inlineStr">
        <is>
          <t>-320132387.0</t>
        </is>
      </c>
      <c r="O954" s="29" t="inlineStr">
        <is>
          <t>891061188.0</t>
        </is>
      </c>
      <c r="P954" s="29" t="inlineStr">
        <is>
          <t>KRW</t>
        </is>
      </c>
      <c r="Q954" s="29" t="inlineStr">
        <is>
          <t>15</t>
        </is>
      </c>
    </row>
    <row r="955" ht="24" customHeight="1">
      <c r="A955" s="24" t="inlineStr">
        <is>
          <t>OpenDART_fnlttSinglAcntAll</t>
        </is>
      </c>
      <c r="B955" s="24" t="inlineStr">
        <is>
          <t>00160843</t>
        </is>
      </c>
      <c r="C955" s="24" t="inlineStr">
        <is>
          <t>DB하이텍</t>
        </is>
      </c>
      <c r="D955" s="24" t="inlineStr">
        <is>
          <t>dbhitek</t>
        </is>
      </c>
      <c r="E955" s="24" t="inlineStr">
        <is>
          <t>000990</t>
        </is>
      </c>
      <c r="F955" s="24" t="inlineStr">
        <is>
          <t>2025</t>
        </is>
      </c>
      <c r="G955" s="24" t="inlineStr">
        <is>
          <t>CFS</t>
        </is>
      </c>
      <c r="H955" s="24" t="inlineStr">
        <is>
          <t>SCE</t>
        </is>
      </c>
      <c r="I955" s="24" t="inlineStr">
        <is>
          <t>자본변동표</t>
        </is>
      </c>
      <c r="J955" s="24" t="inlineStr">
        <is>
          <t>ifrs-full_OtherComprehensiveIncomeNetOfTaxExchangeDifferencesOnTranslationOfForeignOperationsAndHedgesOfNetInvestmentsInForeignOperations</t>
        </is>
      </c>
      <c r="K955" s="24" t="inlineStr">
        <is>
          <t>해외사업환산손익</t>
        </is>
      </c>
      <c r="L955" s="24" t="inlineStr">
        <is>
          <t>자본 [구성요소]|비지배지분 [구성요소]</t>
        </is>
      </c>
      <c r="M955" s="24" t="inlineStr">
        <is>
          <t>제 73 기</t>
        </is>
      </c>
      <c r="N955" s="24" t="inlineStr">
        <is>
          <t>-13017934.0</t>
        </is>
      </c>
      <c r="O955" s="24" t="inlineStr">
        <is>
          <t>0.0</t>
        </is>
      </c>
      <c r="P955" s="24" t="inlineStr">
        <is>
          <t>KRW</t>
        </is>
      </c>
      <c r="Q955" s="24" t="inlineStr">
        <is>
          <t>15</t>
        </is>
      </c>
    </row>
    <row r="956" ht="24" customHeight="1">
      <c r="A956" s="29" t="inlineStr">
        <is>
          <t>OpenDART_fnlttSinglAcntAll</t>
        </is>
      </c>
      <c r="B956" s="29" t="inlineStr">
        <is>
          <t>00160843</t>
        </is>
      </c>
      <c r="C956" s="29" t="inlineStr">
        <is>
          <t>DB하이텍</t>
        </is>
      </c>
      <c r="D956" s="29" t="inlineStr">
        <is>
          <t>dbhitek</t>
        </is>
      </c>
      <c r="E956" s="29" t="inlineStr">
        <is>
          <t>000990</t>
        </is>
      </c>
      <c r="F956" s="29" t="inlineStr">
        <is>
          <t>2025</t>
        </is>
      </c>
      <c r="G956" s="29" t="inlineStr">
        <is>
          <t>CFS</t>
        </is>
      </c>
      <c r="H956" s="29" t="inlineStr">
        <is>
          <t>SCE</t>
        </is>
      </c>
      <c r="I956" s="29" t="inlineStr">
        <is>
          <t>자본변동표</t>
        </is>
      </c>
      <c r="J956" s="29" t="inlineStr">
        <is>
          <t>ifrs-full_OtherComprehensiveIncomeNetOfTaxExchangeDifferencesOnTranslationOfForeignOperationsAndHedgesOfNetInvestmentsInForeignOperations</t>
        </is>
      </c>
      <c r="K956" s="29" t="inlineStr">
        <is>
          <t>해외사업환산손익</t>
        </is>
      </c>
      <c r="L956" s="29" t="inlineStr">
        <is>
          <t>자본 [구성요소]|지배기업의 소유주에게 귀속되는 지분 [구성요소]</t>
        </is>
      </c>
      <c r="M956" s="29" t="inlineStr">
        <is>
          <t>제 73 기</t>
        </is>
      </c>
      <c r="N956" s="29" t="inlineStr">
        <is>
          <t>-307114453.0</t>
        </is>
      </c>
      <c r="O956" s="29" t="inlineStr">
        <is>
          <t>891061188.0</t>
        </is>
      </c>
      <c r="P956" s="29" t="inlineStr">
        <is>
          <t>KRW</t>
        </is>
      </c>
      <c r="Q956" s="29" t="inlineStr">
        <is>
          <t>15</t>
        </is>
      </c>
    </row>
    <row r="957" ht="24" customHeight="1">
      <c r="A957" s="24" t="inlineStr">
        <is>
          <t>OpenDART_fnlttSinglAcntAll</t>
        </is>
      </c>
      <c r="B957" s="24" t="inlineStr">
        <is>
          <t>00160843</t>
        </is>
      </c>
      <c r="C957" s="24" t="inlineStr">
        <is>
          <t>DB하이텍</t>
        </is>
      </c>
      <c r="D957" s="24" t="inlineStr">
        <is>
          <t>dbhitek</t>
        </is>
      </c>
      <c r="E957" s="24" t="inlineStr">
        <is>
          <t>000990</t>
        </is>
      </c>
      <c r="F957" s="24" t="inlineStr">
        <is>
          <t>2025</t>
        </is>
      </c>
      <c r="G957" s="24" t="inlineStr">
        <is>
          <t>CFS</t>
        </is>
      </c>
      <c r="H957" s="24" t="inlineStr">
        <is>
          <t>SCE</t>
        </is>
      </c>
      <c r="I957" s="24" t="inlineStr">
        <is>
          <t>자본변동표</t>
        </is>
      </c>
      <c r="J957" s="24" t="inlineStr">
        <is>
          <t>ifrs-full_OtherComprehensiveIncomeNetOfTaxExchangeDifferencesOnTranslationOfForeignOperationsAndHedgesOfNetInvestmentsInForeignOperations</t>
        </is>
      </c>
      <c r="K957" s="24" t="inlineStr">
        <is>
          <t>해외사업환산손익</t>
        </is>
      </c>
      <c r="L957" s="24" t="inlineStr">
        <is>
          <t>자본 [구성요소]|지배기업의 소유주에게 귀속되는 지분 [구성요소]|기타자본구성요소 [구성요소]</t>
        </is>
      </c>
      <c r="M957" s="24" t="inlineStr">
        <is>
          <t>제 73 기</t>
        </is>
      </c>
      <c r="N957" s="24" t="inlineStr">
        <is>
          <t>-307114453.0</t>
        </is>
      </c>
      <c r="O957" s="24" t="inlineStr">
        <is>
          <t>891061188.0</t>
        </is>
      </c>
      <c r="P957" s="24" t="inlineStr">
        <is>
          <t>KRW</t>
        </is>
      </c>
      <c r="Q957" s="24" t="inlineStr">
        <is>
          <t>15</t>
        </is>
      </c>
    </row>
    <row r="958" ht="24" customHeight="1">
      <c r="A958" s="29" t="inlineStr">
        <is>
          <t>OpenDART_fnlttSinglAcntAll</t>
        </is>
      </c>
      <c r="B958" s="29" t="inlineStr">
        <is>
          <t>00160843</t>
        </is>
      </c>
      <c r="C958" s="29" t="inlineStr">
        <is>
          <t>DB하이텍</t>
        </is>
      </c>
      <c r="D958" s="29" t="inlineStr">
        <is>
          <t>dbhitek</t>
        </is>
      </c>
      <c r="E958" s="29" t="inlineStr">
        <is>
          <t>000990</t>
        </is>
      </c>
      <c r="F958" s="29" t="inlineStr">
        <is>
          <t>2025</t>
        </is>
      </c>
      <c r="G958" s="29" t="inlineStr">
        <is>
          <t>CFS</t>
        </is>
      </c>
      <c r="H958" s="29" t="inlineStr">
        <is>
          <t>SCE</t>
        </is>
      </c>
      <c r="I958" s="29" t="inlineStr">
        <is>
          <t>자본변동표</t>
        </is>
      </c>
      <c r="J958" s="29" t="inlineStr">
        <is>
          <t>ifrs-full_OtherComprehensiveIncomeNetOfTaxExchangeDifferencesOnTranslationOfForeignOperationsAndHedgesOfNetInvestmentsInForeignOperations</t>
        </is>
      </c>
      <c r="K958" s="29" t="inlineStr">
        <is>
          <t>해외사업환산손익</t>
        </is>
      </c>
      <c r="L958" s="29" t="inlineStr">
        <is>
          <t>자본 [구성요소]|지배기업의 소유주에게 귀속되는 지분 [구성요소]|이익잉여금 [구성요소]</t>
        </is>
      </c>
      <c r="M958" s="29" t="inlineStr">
        <is>
          <t>제 73 기</t>
        </is>
      </c>
      <c r="N958" s="29" t="inlineStr">
        <is>
          <t>0.0</t>
        </is>
      </c>
      <c r="O958" s="29" t="inlineStr">
        <is>
          <t>0.0</t>
        </is>
      </c>
      <c r="P958" s="29" t="inlineStr">
        <is>
          <t>KRW</t>
        </is>
      </c>
      <c r="Q958" s="29" t="inlineStr">
        <is>
          <t>15</t>
        </is>
      </c>
    </row>
    <row r="959" ht="24" customHeight="1">
      <c r="A959" s="24" t="inlineStr">
        <is>
          <t>OpenDART_fnlttSinglAcntAll</t>
        </is>
      </c>
      <c r="B959" s="24" t="inlineStr">
        <is>
          <t>00160843</t>
        </is>
      </c>
      <c r="C959" s="24" t="inlineStr">
        <is>
          <t>DB하이텍</t>
        </is>
      </c>
      <c r="D959" s="24" t="inlineStr">
        <is>
          <t>dbhitek</t>
        </is>
      </c>
      <c r="E959" s="24" t="inlineStr">
        <is>
          <t>000990</t>
        </is>
      </c>
      <c r="F959" s="24" t="inlineStr">
        <is>
          <t>2025</t>
        </is>
      </c>
      <c r="G959" s="24" t="inlineStr">
        <is>
          <t>CFS</t>
        </is>
      </c>
      <c r="H959" s="24" t="inlineStr">
        <is>
          <t>SCE</t>
        </is>
      </c>
      <c r="I959" s="24" t="inlineStr">
        <is>
          <t>자본변동표</t>
        </is>
      </c>
      <c r="J959" s="24" t="inlineStr">
        <is>
          <t>ifrs-full_OtherComprehensiveIncomeNetOfTaxExchangeDifferencesOnTranslationOfForeignOperationsAndHedgesOfNetInvestmentsInForeignOperations</t>
        </is>
      </c>
      <c r="K959" s="24" t="inlineStr">
        <is>
          <t>해외사업환산손익</t>
        </is>
      </c>
      <c r="L959" s="24" t="inlineStr">
        <is>
          <t>자본 [구성요소]|지배기업의 소유주에게 귀속되는 지분 [구성요소]|자본금 [구성요소]</t>
        </is>
      </c>
      <c r="M959" s="24" t="inlineStr">
        <is>
          <t>제 73 기</t>
        </is>
      </c>
      <c r="N959" s="24" t="inlineStr">
        <is>
          <t>0.0</t>
        </is>
      </c>
      <c r="O959" s="24" t="inlineStr">
        <is>
          <t>0.0</t>
        </is>
      </c>
      <c r="P959" s="24" t="inlineStr">
        <is>
          <t>KRW</t>
        </is>
      </c>
      <c r="Q959" s="24" t="inlineStr">
        <is>
          <t>15</t>
        </is>
      </c>
    </row>
    <row r="960" ht="24" customHeight="1">
      <c r="A960" s="29" t="inlineStr">
        <is>
          <t>OpenDART_fnlttSinglAcntAll</t>
        </is>
      </c>
      <c r="B960" s="29" t="inlineStr">
        <is>
          <t>00160843</t>
        </is>
      </c>
      <c r="C960" s="29" t="inlineStr">
        <is>
          <t>DB하이텍</t>
        </is>
      </c>
      <c r="D960" s="29" t="inlineStr">
        <is>
          <t>dbhitek</t>
        </is>
      </c>
      <c r="E960" s="29" t="inlineStr">
        <is>
          <t>000990</t>
        </is>
      </c>
      <c r="F960" s="29" t="inlineStr">
        <is>
          <t>2025</t>
        </is>
      </c>
      <c r="G960" s="29" t="inlineStr">
        <is>
          <t>CFS</t>
        </is>
      </c>
      <c r="H960" s="29" t="inlineStr">
        <is>
          <t>SCE</t>
        </is>
      </c>
      <c r="I960" s="29" t="inlineStr">
        <is>
          <t>자본변동표</t>
        </is>
      </c>
      <c r="J960" s="29" t="inlineStr">
        <is>
          <t>ifrs-full_OtherComprehensiveIncomeNetOfTaxExchangeDifferencesOnTranslationOfForeignOperationsAndHedgesOfNetInvestmentsInForeignOperations</t>
        </is>
      </c>
      <c r="K960" s="29" t="inlineStr">
        <is>
          <t>해외사업환산손익</t>
        </is>
      </c>
      <c r="L960" s="29" t="inlineStr">
        <is>
          <t>자본 [구성요소]|지배기업의 소유주에게 귀속되는 지분 [구성요소]|자본잉여금 [구성요소]</t>
        </is>
      </c>
      <c r="M960" s="29" t="inlineStr">
        <is>
          <t>제 73 기</t>
        </is>
      </c>
      <c r="N960" s="29" t="inlineStr">
        <is>
          <t>0.0</t>
        </is>
      </c>
      <c r="O960" s="29" t="inlineStr">
        <is>
          <t>0.0</t>
        </is>
      </c>
      <c r="P960" s="29" t="inlineStr">
        <is>
          <t>KRW</t>
        </is>
      </c>
      <c r="Q960" s="29" t="inlineStr">
        <is>
          <t>15</t>
        </is>
      </c>
    </row>
    <row r="961" ht="24" customHeight="1">
      <c r="A961" s="24" t="inlineStr">
        <is>
          <t>OpenDART_fnlttSinglAcntAll</t>
        </is>
      </c>
      <c r="B961" s="24" t="inlineStr">
        <is>
          <t>00160843</t>
        </is>
      </c>
      <c r="C961" s="24" t="inlineStr">
        <is>
          <t>DB하이텍</t>
        </is>
      </c>
      <c r="D961" s="24" t="inlineStr">
        <is>
          <t>dbhitek</t>
        </is>
      </c>
      <c r="E961" s="24" t="inlineStr">
        <is>
          <t>000990</t>
        </is>
      </c>
      <c r="F961" s="24" t="inlineStr">
        <is>
          <t>2025</t>
        </is>
      </c>
      <c r="G961" s="24" t="inlineStr">
        <is>
          <t>CFS</t>
        </is>
      </c>
      <c r="H961" s="24" t="inlineStr">
        <is>
          <t>SCE</t>
        </is>
      </c>
      <c r="I961" s="24" t="inlineStr">
        <is>
          <t>자본변동표</t>
        </is>
      </c>
      <c r="J961" s="24" t="inlineStr">
        <is>
          <t>ifrs-full_OtherComprehensiveIncomeNetOfTaxGainsLossesFromInvestmentsInEquityInstruments</t>
        </is>
      </c>
      <c r="K961" s="24" t="inlineStr">
        <is>
          <t>세후기타포괄손익, 지분상품에 대한 투자자산</t>
        </is>
      </c>
      <c r="L961" s="24" t="inlineStr">
        <is>
          <t>연결재무제표 [member]</t>
        </is>
      </c>
      <c r="M961" s="24" t="inlineStr">
        <is>
          <t>제 73 기</t>
        </is>
      </c>
      <c r="N961" s="24" t="inlineStr">
        <is>
          <t>-357526468.0</t>
        </is>
      </c>
      <c r="O961" s="24" t="inlineStr">
        <is>
          <t>11576787722.0</t>
        </is>
      </c>
      <c r="P961" s="24" t="inlineStr">
        <is>
          <t>KRW</t>
        </is>
      </c>
      <c r="Q961" s="24" t="inlineStr">
        <is>
          <t>16</t>
        </is>
      </c>
    </row>
    <row r="962" ht="24" customHeight="1">
      <c r="A962" s="29" t="inlineStr">
        <is>
          <t>OpenDART_fnlttSinglAcntAll</t>
        </is>
      </c>
      <c r="B962" s="29" t="inlineStr">
        <is>
          <t>00160843</t>
        </is>
      </c>
      <c r="C962" s="29" t="inlineStr">
        <is>
          <t>DB하이텍</t>
        </is>
      </c>
      <c r="D962" s="29" t="inlineStr">
        <is>
          <t>dbhitek</t>
        </is>
      </c>
      <c r="E962" s="29" t="inlineStr">
        <is>
          <t>000990</t>
        </is>
      </c>
      <c r="F962" s="29" t="inlineStr">
        <is>
          <t>2025</t>
        </is>
      </c>
      <c r="G962" s="29" t="inlineStr">
        <is>
          <t>CFS</t>
        </is>
      </c>
      <c r="H962" s="29" t="inlineStr">
        <is>
          <t>SCE</t>
        </is>
      </c>
      <c r="I962" s="29" t="inlineStr">
        <is>
          <t>자본변동표</t>
        </is>
      </c>
      <c r="J962" s="29" t="inlineStr">
        <is>
          <t>ifrs-full_OtherComprehensiveIncomeNetOfTaxGainsLossesFromInvestmentsInEquityInstruments</t>
        </is>
      </c>
      <c r="K962" s="29" t="inlineStr">
        <is>
          <t>세후기타포괄손익, 지분상품에 대한 투자자산</t>
        </is>
      </c>
      <c r="L962" s="29" t="inlineStr">
        <is>
          <t>자본 [구성요소]|비지배지분 [구성요소]</t>
        </is>
      </c>
      <c r="M962" s="29" t="inlineStr">
        <is>
          <t>제 73 기</t>
        </is>
      </c>
      <c r="N962" s="29" t="inlineStr">
        <is>
          <t>54362091.0</t>
        </is>
      </c>
      <c r="O962" s="29" t="inlineStr">
        <is>
          <t>해당 없음</t>
        </is>
      </c>
      <c r="P962" s="29" t="inlineStr">
        <is>
          <t>KRW</t>
        </is>
      </c>
      <c r="Q962" s="29" t="inlineStr">
        <is>
          <t>16</t>
        </is>
      </c>
    </row>
    <row r="963" ht="24" customHeight="1">
      <c r="A963" s="24" t="inlineStr">
        <is>
          <t>OpenDART_fnlttSinglAcntAll</t>
        </is>
      </c>
      <c r="B963" s="24" t="inlineStr">
        <is>
          <t>00160843</t>
        </is>
      </c>
      <c r="C963" s="24" t="inlineStr">
        <is>
          <t>DB하이텍</t>
        </is>
      </c>
      <c r="D963" s="24" t="inlineStr">
        <is>
          <t>dbhitek</t>
        </is>
      </c>
      <c r="E963" s="24" t="inlineStr">
        <is>
          <t>000990</t>
        </is>
      </c>
      <c r="F963" s="24" t="inlineStr">
        <is>
          <t>2025</t>
        </is>
      </c>
      <c r="G963" s="24" t="inlineStr">
        <is>
          <t>CFS</t>
        </is>
      </c>
      <c r="H963" s="24" t="inlineStr">
        <is>
          <t>SCE</t>
        </is>
      </c>
      <c r="I963" s="24" t="inlineStr">
        <is>
          <t>자본변동표</t>
        </is>
      </c>
      <c r="J963" s="24" t="inlineStr">
        <is>
          <t>ifrs-full_OtherComprehensiveIncomeNetOfTaxGainsLossesFromInvestmentsInEquityInstruments</t>
        </is>
      </c>
      <c r="K963" s="24" t="inlineStr">
        <is>
          <t>세후기타포괄손익, 지분상품에 대한 투자자산</t>
        </is>
      </c>
      <c r="L963" s="24" t="inlineStr">
        <is>
          <t>자본 [구성요소]|지배기업의 소유주에게 귀속되는 지분 [구성요소]</t>
        </is>
      </c>
      <c r="M963" s="24" t="inlineStr">
        <is>
          <t>제 73 기</t>
        </is>
      </c>
      <c r="N963" s="24" t="inlineStr">
        <is>
          <t>-411888559.0</t>
        </is>
      </c>
      <c r="O963" s="24" t="inlineStr">
        <is>
          <t>11576787722.0</t>
        </is>
      </c>
      <c r="P963" s="24" t="inlineStr">
        <is>
          <t>KRW</t>
        </is>
      </c>
      <c r="Q963" s="24" t="inlineStr">
        <is>
          <t>16</t>
        </is>
      </c>
    </row>
    <row r="964" ht="24" customHeight="1">
      <c r="A964" s="29" t="inlineStr">
        <is>
          <t>OpenDART_fnlttSinglAcntAll</t>
        </is>
      </c>
      <c r="B964" s="29" t="inlineStr">
        <is>
          <t>00160843</t>
        </is>
      </c>
      <c r="C964" s="29" t="inlineStr">
        <is>
          <t>DB하이텍</t>
        </is>
      </c>
      <c r="D964" s="29" t="inlineStr">
        <is>
          <t>dbhitek</t>
        </is>
      </c>
      <c r="E964" s="29" t="inlineStr">
        <is>
          <t>000990</t>
        </is>
      </c>
      <c r="F964" s="29" t="inlineStr">
        <is>
          <t>2025</t>
        </is>
      </c>
      <c r="G964" s="29" t="inlineStr">
        <is>
          <t>CFS</t>
        </is>
      </c>
      <c r="H964" s="29" t="inlineStr">
        <is>
          <t>SCE</t>
        </is>
      </c>
      <c r="I964" s="29" t="inlineStr">
        <is>
          <t>자본변동표</t>
        </is>
      </c>
      <c r="J964" s="29" t="inlineStr">
        <is>
          <t>ifrs-full_OtherComprehensiveIncomeNetOfTaxGainsLossesFromInvestmentsInEquityInstruments</t>
        </is>
      </c>
      <c r="K964" s="29" t="inlineStr">
        <is>
          <t>세후기타포괄손익, 지분상품에 대한 투자자산</t>
        </is>
      </c>
      <c r="L964" s="29" t="inlineStr">
        <is>
          <t>자본 [구성요소]|지배기업의 소유주에게 귀속되는 지분 [구성요소]|기타자본구성요소 [구성요소]</t>
        </is>
      </c>
      <c r="M964" s="29" t="inlineStr">
        <is>
          <t>제 73 기</t>
        </is>
      </c>
      <c r="N964" s="29" t="inlineStr">
        <is>
          <t>236641784.0</t>
        </is>
      </c>
      <c r="O964" s="29" t="inlineStr">
        <is>
          <t>11576787722.0</t>
        </is>
      </c>
      <c r="P964" s="29" t="inlineStr">
        <is>
          <t>KRW</t>
        </is>
      </c>
      <c r="Q964" s="29" t="inlineStr">
        <is>
          <t>16</t>
        </is>
      </c>
    </row>
    <row r="965" ht="24" customHeight="1">
      <c r="A965" s="24" t="inlineStr">
        <is>
          <t>OpenDART_fnlttSinglAcntAll</t>
        </is>
      </c>
      <c r="B965" s="24" t="inlineStr">
        <is>
          <t>00160843</t>
        </is>
      </c>
      <c r="C965" s="24" t="inlineStr">
        <is>
          <t>DB하이텍</t>
        </is>
      </c>
      <c r="D965" s="24" t="inlineStr">
        <is>
          <t>dbhitek</t>
        </is>
      </c>
      <c r="E965" s="24" t="inlineStr">
        <is>
          <t>000990</t>
        </is>
      </c>
      <c r="F965" s="24" t="inlineStr">
        <is>
          <t>2025</t>
        </is>
      </c>
      <c r="G965" s="24" t="inlineStr">
        <is>
          <t>CFS</t>
        </is>
      </c>
      <c r="H965" s="24" t="inlineStr">
        <is>
          <t>SCE</t>
        </is>
      </c>
      <c r="I965" s="24" t="inlineStr">
        <is>
          <t>자본변동표</t>
        </is>
      </c>
      <c r="J965" s="24" t="inlineStr">
        <is>
          <t>ifrs-full_OtherComprehensiveIncomeNetOfTaxGainsLossesFromInvestmentsInEquityInstruments</t>
        </is>
      </c>
      <c r="K965" s="24" t="inlineStr">
        <is>
          <t>세후기타포괄손익, 지분상품에 대한 투자자산</t>
        </is>
      </c>
      <c r="L965" s="24" t="inlineStr">
        <is>
          <t>자본 [구성요소]|지배기업의 소유주에게 귀속되는 지분 [구성요소]|이익잉여금 [구성요소]</t>
        </is>
      </c>
      <c r="M965" s="24" t="inlineStr">
        <is>
          <t>제 73 기</t>
        </is>
      </c>
      <c r="N965" s="24" t="inlineStr">
        <is>
          <t>-648530343.0</t>
        </is>
      </c>
      <c r="O965" s="24" t="inlineStr">
        <is>
          <t>해당 없음</t>
        </is>
      </c>
      <c r="P965" s="24" t="inlineStr">
        <is>
          <t>KRW</t>
        </is>
      </c>
      <c r="Q965" s="24" t="inlineStr">
        <is>
          <t>16</t>
        </is>
      </c>
    </row>
    <row r="966" ht="24" customHeight="1">
      <c r="A966" s="29" t="inlineStr">
        <is>
          <t>OpenDART_fnlttSinglAcntAll</t>
        </is>
      </c>
      <c r="B966" s="29" t="inlineStr">
        <is>
          <t>00160843</t>
        </is>
      </c>
      <c r="C966" s="29" t="inlineStr">
        <is>
          <t>DB하이텍</t>
        </is>
      </c>
      <c r="D966" s="29" t="inlineStr">
        <is>
          <t>dbhitek</t>
        </is>
      </c>
      <c r="E966" s="29" t="inlineStr">
        <is>
          <t>000990</t>
        </is>
      </c>
      <c r="F966" s="29" t="inlineStr">
        <is>
          <t>2025</t>
        </is>
      </c>
      <c r="G966" s="29" t="inlineStr">
        <is>
          <t>CFS</t>
        </is>
      </c>
      <c r="H966" s="29" t="inlineStr">
        <is>
          <t>SCE</t>
        </is>
      </c>
      <c r="I966" s="29" t="inlineStr">
        <is>
          <t>자본변동표</t>
        </is>
      </c>
      <c r="J966" s="29" t="inlineStr">
        <is>
          <t>ifrs-full_OtherComprehensiveIncomeNetOfTaxGainsLossesFromInvestmentsInEquityInstruments</t>
        </is>
      </c>
      <c r="K966" s="29" t="inlineStr">
        <is>
          <t>세후기타포괄손익, 지분상품에 대한 투자자산</t>
        </is>
      </c>
      <c r="L966" s="29" t="inlineStr">
        <is>
          <t>자본 [구성요소]|지배기업의 소유주에게 귀속되는 지분 [구성요소]|자본금 [구성요소]</t>
        </is>
      </c>
      <c r="M966" s="29" t="inlineStr">
        <is>
          <t>제 73 기</t>
        </is>
      </c>
      <c r="N966" s="29" t="inlineStr">
        <is>
          <t>0.0</t>
        </is>
      </c>
      <c r="O966" s="29" t="inlineStr">
        <is>
          <t>해당 없음</t>
        </is>
      </c>
      <c r="P966" s="29" t="inlineStr">
        <is>
          <t>KRW</t>
        </is>
      </c>
      <c r="Q966" s="29" t="inlineStr">
        <is>
          <t>16</t>
        </is>
      </c>
    </row>
    <row r="967" ht="24" customHeight="1">
      <c r="A967" s="24" t="inlineStr">
        <is>
          <t>OpenDART_fnlttSinglAcntAll</t>
        </is>
      </c>
      <c r="B967" s="24" t="inlineStr">
        <is>
          <t>00160843</t>
        </is>
      </c>
      <c r="C967" s="24" t="inlineStr">
        <is>
          <t>DB하이텍</t>
        </is>
      </c>
      <c r="D967" s="24" t="inlineStr">
        <is>
          <t>dbhitek</t>
        </is>
      </c>
      <c r="E967" s="24" t="inlineStr">
        <is>
          <t>000990</t>
        </is>
      </c>
      <c r="F967" s="24" t="inlineStr">
        <is>
          <t>2025</t>
        </is>
      </c>
      <c r="G967" s="24" t="inlineStr">
        <is>
          <t>CFS</t>
        </is>
      </c>
      <c r="H967" s="24" t="inlineStr">
        <is>
          <t>SCE</t>
        </is>
      </c>
      <c r="I967" s="24" t="inlineStr">
        <is>
          <t>자본변동표</t>
        </is>
      </c>
      <c r="J967" s="24" t="inlineStr">
        <is>
          <t>ifrs-full_OtherComprehensiveIncomeNetOfTaxGainsLossesFromInvestmentsInEquityInstruments</t>
        </is>
      </c>
      <c r="K967" s="24" t="inlineStr">
        <is>
          <t>세후기타포괄손익, 지분상품에 대한 투자자산</t>
        </is>
      </c>
      <c r="L967" s="24" t="inlineStr">
        <is>
          <t>자본 [구성요소]|지배기업의 소유주에게 귀속되는 지분 [구성요소]|자본잉여금 [구성요소]</t>
        </is>
      </c>
      <c r="M967" s="24" t="inlineStr">
        <is>
          <t>제 73 기</t>
        </is>
      </c>
      <c r="N967" s="24" t="inlineStr">
        <is>
          <t>0.0</t>
        </is>
      </c>
      <c r="O967" s="24" t="inlineStr">
        <is>
          <t>0.0</t>
        </is>
      </c>
      <c r="P967" s="24" t="inlineStr">
        <is>
          <t>KRW</t>
        </is>
      </c>
      <c r="Q967" s="24" t="inlineStr">
        <is>
          <t>16</t>
        </is>
      </c>
    </row>
    <row r="968" ht="24" customHeight="1">
      <c r="A968" s="29" t="inlineStr">
        <is>
          <t>OpenDART_fnlttSinglAcntAll</t>
        </is>
      </c>
      <c r="B968" s="29" t="inlineStr">
        <is>
          <t>00160843</t>
        </is>
      </c>
      <c r="C968" s="29" t="inlineStr">
        <is>
          <t>DB하이텍</t>
        </is>
      </c>
      <c r="D968" s="29" t="inlineStr">
        <is>
          <t>dbhitek</t>
        </is>
      </c>
      <c r="E968" s="29" t="inlineStr">
        <is>
          <t>000990</t>
        </is>
      </c>
      <c r="F968" s="29" t="inlineStr">
        <is>
          <t>2025</t>
        </is>
      </c>
      <c r="G968" s="29" t="inlineStr">
        <is>
          <t>CFS</t>
        </is>
      </c>
      <c r="H968" s="29" t="inlineStr">
        <is>
          <t>SCE</t>
        </is>
      </c>
      <c r="I968" s="29" t="inlineStr">
        <is>
          <t>자본변동표</t>
        </is>
      </c>
      <c r="J968" s="29" t="inlineStr">
        <is>
          <t>ifrs-full_OtherComprehensiveIncomeNetOfTaxGainsLossesOnRemeasurementsOfDefinedBenefitPlans</t>
        </is>
      </c>
      <c r="K968" s="29" t="inlineStr">
        <is>
          <t>확정급여제도의 재측정손익(세후기타포괄손익)</t>
        </is>
      </c>
      <c r="L968" s="29" t="inlineStr">
        <is>
          <t>연결재무제표 [member]</t>
        </is>
      </c>
      <c r="M968" s="29" t="inlineStr">
        <is>
          <t>제 73 기</t>
        </is>
      </c>
      <c r="N968" s="29" t="inlineStr">
        <is>
          <t>-2421165686.0</t>
        </is>
      </c>
      <c r="O968" s="29" t="inlineStr">
        <is>
          <t>-4141655081.0</t>
        </is>
      </c>
      <c r="P968" s="29" t="inlineStr">
        <is>
          <t>KRW</t>
        </is>
      </c>
      <c r="Q968" s="29" t="inlineStr">
        <is>
          <t>17</t>
        </is>
      </c>
    </row>
    <row r="969" ht="24" customHeight="1">
      <c r="A969" s="24" t="inlineStr">
        <is>
          <t>OpenDART_fnlttSinglAcntAll</t>
        </is>
      </c>
      <c r="B969" s="24" t="inlineStr">
        <is>
          <t>00160843</t>
        </is>
      </c>
      <c r="C969" s="24" t="inlineStr">
        <is>
          <t>DB하이텍</t>
        </is>
      </c>
      <c r="D969" s="24" t="inlineStr">
        <is>
          <t>dbhitek</t>
        </is>
      </c>
      <c r="E969" s="24" t="inlineStr">
        <is>
          <t>000990</t>
        </is>
      </c>
      <c r="F969" s="24" t="inlineStr">
        <is>
          <t>2025</t>
        </is>
      </c>
      <c r="G969" s="24" t="inlineStr">
        <is>
          <t>CFS</t>
        </is>
      </c>
      <c r="H969" s="24" t="inlineStr">
        <is>
          <t>SCE</t>
        </is>
      </c>
      <c r="I969" s="24" t="inlineStr">
        <is>
          <t>자본변동표</t>
        </is>
      </c>
      <c r="J969" s="24" t="inlineStr">
        <is>
          <t>ifrs-full_OtherComprehensiveIncomeNetOfTaxGainsLossesOnRemeasurementsOfDefinedBenefitPlans</t>
        </is>
      </c>
      <c r="K969" s="24" t="inlineStr">
        <is>
          <t>확정급여제도의 재측정손익(세후기타포괄손익)</t>
        </is>
      </c>
      <c r="L969" s="24" t="inlineStr">
        <is>
          <t>자본 [구성요소]|비지배지분 [구성요소]</t>
        </is>
      </c>
      <c r="M969" s="24" t="inlineStr">
        <is>
          <t>제 73 기</t>
        </is>
      </c>
      <c r="N969" s="24" t="inlineStr">
        <is>
          <t>245511662.0</t>
        </is>
      </c>
      <c r="O969" s="24" t="inlineStr">
        <is>
          <t>0.0</t>
        </is>
      </c>
      <c r="P969" s="24" t="inlineStr">
        <is>
          <t>KRW</t>
        </is>
      </c>
      <c r="Q969" s="24" t="inlineStr">
        <is>
          <t>17</t>
        </is>
      </c>
    </row>
    <row r="970" ht="24" customHeight="1">
      <c r="A970" s="29" t="inlineStr">
        <is>
          <t>OpenDART_fnlttSinglAcntAll</t>
        </is>
      </c>
      <c r="B970" s="29" t="inlineStr">
        <is>
          <t>00160843</t>
        </is>
      </c>
      <c r="C970" s="29" t="inlineStr">
        <is>
          <t>DB하이텍</t>
        </is>
      </c>
      <c r="D970" s="29" t="inlineStr">
        <is>
          <t>dbhitek</t>
        </is>
      </c>
      <c r="E970" s="29" t="inlineStr">
        <is>
          <t>000990</t>
        </is>
      </c>
      <c r="F970" s="29" t="inlineStr">
        <is>
          <t>2025</t>
        </is>
      </c>
      <c r="G970" s="29" t="inlineStr">
        <is>
          <t>CFS</t>
        </is>
      </c>
      <c r="H970" s="29" t="inlineStr">
        <is>
          <t>SCE</t>
        </is>
      </c>
      <c r="I970" s="29" t="inlineStr">
        <is>
          <t>자본변동표</t>
        </is>
      </c>
      <c r="J970" s="29" t="inlineStr">
        <is>
          <t>ifrs-full_OtherComprehensiveIncomeNetOfTaxGainsLossesOnRemeasurementsOfDefinedBenefitPlans</t>
        </is>
      </c>
      <c r="K970" s="29" t="inlineStr">
        <is>
          <t>확정급여제도의 재측정손익(세후기타포괄손익)</t>
        </is>
      </c>
      <c r="L970" s="29" t="inlineStr">
        <is>
          <t>자본 [구성요소]|지배기업의 소유주에게 귀속되는 지분 [구성요소]|자본잉여금 [구성요소]</t>
        </is>
      </c>
      <c r="M970" s="29" t="inlineStr">
        <is>
          <t>제 73 기</t>
        </is>
      </c>
      <c r="N970" s="29" t="inlineStr">
        <is>
          <t>0.0</t>
        </is>
      </c>
      <c r="O970" s="29" t="inlineStr">
        <is>
          <t>0.0</t>
        </is>
      </c>
      <c r="P970" s="29" t="inlineStr">
        <is>
          <t>KRW</t>
        </is>
      </c>
      <c r="Q970" s="29" t="inlineStr">
        <is>
          <t>17</t>
        </is>
      </c>
    </row>
    <row r="971" ht="24" customHeight="1">
      <c r="A971" s="24" t="inlineStr">
        <is>
          <t>OpenDART_fnlttSinglAcntAll</t>
        </is>
      </c>
      <c r="B971" s="24" t="inlineStr">
        <is>
          <t>00160843</t>
        </is>
      </c>
      <c r="C971" s="24" t="inlineStr">
        <is>
          <t>DB하이텍</t>
        </is>
      </c>
      <c r="D971" s="24" t="inlineStr">
        <is>
          <t>dbhitek</t>
        </is>
      </c>
      <c r="E971" s="24" t="inlineStr">
        <is>
          <t>000990</t>
        </is>
      </c>
      <c r="F971" s="24" t="inlineStr">
        <is>
          <t>2025</t>
        </is>
      </c>
      <c r="G971" s="24" t="inlineStr">
        <is>
          <t>CFS</t>
        </is>
      </c>
      <c r="H971" s="24" t="inlineStr">
        <is>
          <t>SCE</t>
        </is>
      </c>
      <c r="I971" s="24" t="inlineStr">
        <is>
          <t>자본변동표</t>
        </is>
      </c>
      <c r="J971" s="24" t="inlineStr">
        <is>
          <t>ifrs-full_OtherComprehensiveIncomeNetOfTaxGainsLossesOnRemeasurementsOfDefinedBenefitPlans</t>
        </is>
      </c>
      <c r="K971" s="24" t="inlineStr">
        <is>
          <t>확정급여제도의 재측정손익(세후기타포괄손익)</t>
        </is>
      </c>
      <c r="L971" s="24" t="inlineStr">
        <is>
          <t>자본 [구성요소]|지배기업의 소유주에게 귀속되는 지분 [구성요소]|자본금 [구성요소]</t>
        </is>
      </c>
      <c r="M971" s="24" t="inlineStr">
        <is>
          <t>제 73 기</t>
        </is>
      </c>
      <c r="N971" s="24" t="inlineStr">
        <is>
          <t>0.0</t>
        </is>
      </c>
      <c r="O971" s="24" t="inlineStr">
        <is>
          <t>해당 없음</t>
        </is>
      </c>
      <c r="P971" s="24" t="inlineStr">
        <is>
          <t>KRW</t>
        </is>
      </c>
      <c r="Q971" s="24" t="inlineStr">
        <is>
          <t>17</t>
        </is>
      </c>
    </row>
    <row r="972" ht="24" customHeight="1">
      <c r="A972" s="29" t="inlineStr">
        <is>
          <t>OpenDART_fnlttSinglAcntAll</t>
        </is>
      </c>
      <c r="B972" s="29" t="inlineStr">
        <is>
          <t>00160843</t>
        </is>
      </c>
      <c r="C972" s="29" t="inlineStr">
        <is>
          <t>DB하이텍</t>
        </is>
      </c>
      <c r="D972" s="29" t="inlineStr">
        <is>
          <t>dbhitek</t>
        </is>
      </c>
      <c r="E972" s="29" t="inlineStr">
        <is>
          <t>000990</t>
        </is>
      </c>
      <c r="F972" s="29" t="inlineStr">
        <is>
          <t>2025</t>
        </is>
      </c>
      <c r="G972" s="29" t="inlineStr">
        <is>
          <t>CFS</t>
        </is>
      </c>
      <c r="H972" s="29" t="inlineStr">
        <is>
          <t>SCE</t>
        </is>
      </c>
      <c r="I972" s="29" t="inlineStr">
        <is>
          <t>자본변동표</t>
        </is>
      </c>
      <c r="J972" s="29" t="inlineStr">
        <is>
          <t>ifrs-full_OtherComprehensiveIncomeNetOfTaxGainsLossesOnRemeasurementsOfDefinedBenefitPlans</t>
        </is>
      </c>
      <c r="K972" s="29" t="inlineStr">
        <is>
          <t>확정급여제도의 재측정손익(세후기타포괄손익)</t>
        </is>
      </c>
      <c r="L972" s="29" t="inlineStr">
        <is>
          <t>자본 [구성요소]|지배기업의 소유주에게 귀속되는 지분 [구성요소]|이익잉여금 [구성요소]</t>
        </is>
      </c>
      <c r="M972" s="29" t="inlineStr">
        <is>
          <t>제 73 기</t>
        </is>
      </c>
      <c r="N972" s="29" t="inlineStr">
        <is>
          <t>-2666677348.0</t>
        </is>
      </c>
      <c r="O972" s="29" t="inlineStr">
        <is>
          <t>-4141655081.0</t>
        </is>
      </c>
      <c r="P972" s="29" t="inlineStr">
        <is>
          <t>KRW</t>
        </is>
      </c>
      <c r="Q972" s="29" t="inlineStr">
        <is>
          <t>17</t>
        </is>
      </c>
    </row>
    <row r="973" ht="24" customHeight="1">
      <c r="A973" s="24" t="inlineStr">
        <is>
          <t>OpenDART_fnlttSinglAcntAll</t>
        </is>
      </c>
      <c r="B973" s="24" t="inlineStr">
        <is>
          <t>00160843</t>
        </is>
      </c>
      <c r="C973" s="24" t="inlineStr">
        <is>
          <t>DB하이텍</t>
        </is>
      </c>
      <c r="D973" s="24" t="inlineStr">
        <is>
          <t>dbhitek</t>
        </is>
      </c>
      <c r="E973" s="24" t="inlineStr">
        <is>
          <t>000990</t>
        </is>
      </c>
      <c r="F973" s="24" t="inlineStr">
        <is>
          <t>2025</t>
        </is>
      </c>
      <c r="G973" s="24" t="inlineStr">
        <is>
          <t>CFS</t>
        </is>
      </c>
      <c r="H973" s="24" t="inlineStr">
        <is>
          <t>SCE</t>
        </is>
      </c>
      <c r="I973" s="24" t="inlineStr">
        <is>
          <t>자본변동표</t>
        </is>
      </c>
      <c r="J973" s="24" t="inlineStr">
        <is>
          <t>ifrs-full_OtherComprehensiveIncomeNetOfTaxGainsLossesOnRemeasurementsOfDefinedBenefitPlans</t>
        </is>
      </c>
      <c r="K973" s="24" t="inlineStr">
        <is>
          <t>확정급여제도의 재측정손익(세후기타포괄손익)</t>
        </is>
      </c>
      <c r="L973" s="24" t="inlineStr">
        <is>
          <t>자본 [구성요소]|지배기업의 소유주에게 귀속되는 지분 [구성요소]|기타자본구성요소 [구성요소]</t>
        </is>
      </c>
      <c r="M973" s="24" t="inlineStr">
        <is>
          <t>제 73 기</t>
        </is>
      </c>
      <c r="N973" s="24" t="inlineStr">
        <is>
          <t>0.0</t>
        </is>
      </c>
      <c r="O973" s="24" t="inlineStr">
        <is>
          <t>해당 없음</t>
        </is>
      </c>
      <c r="P973" s="24" t="inlineStr">
        <is>
          <t>KRW</t>
        </is>
      </c>
      <c r="Q973" s="24" t="inlineStr">
        <is>
          <t>17</t>
        </is>
      </c>
    </row>
    <row r="974" ht="24" customHeight="1">
      <c r="A974" s="29" t="inlineStr">
        <is>
          <t>OpenDART_fnlttSinglAcntAll</t>
        </is>
      </c>
      <c r="B974" s="29" t="inlineStr">
        <is>
          <t>00160843</t>
        </is>
      </c>
      <c r="C974" s="29" t="inlineStr">
        <is>
          <t>DB하이텍</t>
        </is>
      </c>
      <c r="D974" s="29" t="inlineStr">
        <is>
          <t>dbhitek</t>
        </is>
      </c>
      <c r="E974" s="29" t="inlineStr">
        <is>
          <t>000990</t>
        </is>
      </c>
      <c r="F974" s="29" t="inlineStr">
        <is>
          <t>2025</t>
        </is>
      </c>
      <c r="G974" s="29" t="inlineStr">
        <is>
          <t>CFS</t>
        </is>
      </c>
      <c r="H974" s="29" t="inlineStr">
        <is>
          <t>SCE</t>
        </is>
      </c>
      <c r="I974" s="29" t="inlineStr">
        <is>
          <t>자본변동표</t>
        </is>
      </c>
      <c r="J974" s="29" t="inlineStr">
        <is>
          <t>ifrs-full_OtherComprehensiveIncomeNetOfTaxGainsLossesOnRemeasurementsOfDefinedBenefitPlans</t>
        </is>
      </c>
      <c r="K974" s="29" t="inlineStr">
        <is>
          <t>확정급여제도의 재측정손익(세후기타포괄손익)</t>
        </is>
      </c>
      <c r="L974" s="29" t="inlineStr">
        <is>
          <t>자본 [구성요소]|지배기업의 소유주에게 귀속되는 지분 [구성요소]</t>
        </is>
      </c>
      <c r="M974" s="29" t="inlineStr">
        <is>
          <t>제 73 기</t>
        </is>
      </c>
      <c r="N974" s="29" t="inlineStr">
        <is>
          <t>-2666677348.0</t>
        </is>
      </c>
      <c r="O974" s="29" t="inlineStr">
        <is>
          <t>-4141655081.0</t>
        </is>
      </c>
      <c r="P974" s="29" t="inlineStr">
        <is>
          <t>KRW</t>
        </is>
      </c>
      <c r="Q974" s="29" t="inlineStr">
        <is>
          <t>17</t>
        </is>
      </c>
    </row>
    <row r="975" ht="24" customHeight="1">
      <c r="A975" s="24" t="inlineStr">
        <is>
          <t>OpenDART_fnlttSinglAcntAll</t>
        </is>
      </c>
      <c r="B975" s="24" t="inlineStr">
        <is>
          <t>00160843</t>
        </is>
      </c>
      <c r="C975" s="24" t="inlineStr">
        <is>
          <t>DB하이텍</t>
        </is>
      </c>
      <c r="D975" s="24" t="inlineStr">
        <is>
          <t>dbhitek</t>
        </is>
      </c>
      <c r="E975" s="24" t="inlineStr">
        <is>
          <t>000990</t>
        </is>
      </c>
      <c r="F975" s="24" t="inlineStr">
        <is>
          <t>2025</t>
        </is>
      </c>
      <c r="G975" s="24" t="inlineStr">
        <is>
          <t>CFS</t>
        </is>
      </c>
      <c r="H975" s="24" t="inlineStr">
        <is>
          <t>SCE</t>
        </is>
      </c>
      <c r="I975" s="24" t="inlineStr">
        <is>
          <t>자본변동표</t>
        </is>
      </c>
      <c r="J975" s="24" t="inlineStr">
        <is>
          <t>ifrs-full_ProceedsFromSalesOfInterestsInAssociates</t>
        </is>
      </c>
      <c r="K975" s="24" t="inlineStr">
        <is>
          <t>관계기업 투자지분의 처분</t>
        </is>
      </c>
      <c r="L975" s="24" t="inlineStr">
        <is>
          <t>연결재무제표 [member]</t>
        </is>
      </c>
      <c r="M975" s="24" t="inlineStr">
        <is>
          <t>제 73 기</t>
        </is>
      </c>
      <c r="N975" s="24" t="inlineStr">
        <is>
          <t>353156607.0</t>
        </is>
      </c>
      <c r="O975" s="24" t="inlineStr">
        <is>
          <t>0.0</t>
        </is>
      </c>
      <c r="P975" s="24" t="inlineStr">
        <is>
          <t>KRW</t>
        </is>
      </c>
      <c r="Q975" s="24" t="inlineStr">
        <is>
          <t>18</t>
        </is>
      </c>
    </row>
    <row r="976" ht="24" customHeight="1">
      <c r="A976" s="29" t="inlineStr">
        <is>
          <t>OpenDART_fnlttSinglAcntAll</t>
        </is>
      </c>
      <c r="B976" s="29" t="inlineStr">
        <is>
          <t>00160843</t>
        </is>
      </c>
      <c r="C976" s="29" t="inlineStr">
        <is>
          <t>DB하이텍</t>
        </is>
      </c>
      <c r="D976" s="29" t="inlineStr">
        <is>
          <t>dbhitek</t>
        </is>
      </c>
      <c r="E976" s="29" t="inlineStr">
        <is>
          <t>000990</t>
        </is>
      </c>
      <c r="F976" s="29" t="inlineStr">
        <is>
          <t>2025</t>
        </is>
      </c>
      <c r="G976" s="29" t="inlineStr">
        <is>
          <t>CFS</t>
        </is>
      </c>
      <c r="H976" s="29" t="inlineStr">
        <is>
          <t>SCE</t>
        </is>
      </c>
      <c r="I976" s="29" t="inlineStr">
        <is>
          <t>자본변동표</t>
        </is>
      </c>
      <c r="J976" s="29" t="inlineStr">
        <is>
          <t>ifrs-full_ProceedsFromSalesOfInterestsInAssociates</t>
        </is>
      </c>
      <c r="K976" s="29" t="inlineStr">
        <is>
          <t>관계기업 투자지분의 처분</t>
        </is>
      </c>
      <c r="L976" s="29" t="inlineStr">
        <is>
          <t>자본 [구성요소]|비지배지분 [구성요소]</t>
        </is>
      </c>
      <c r="M976" s="29" t="inlineStr">
        <is>
          <t>제 73 기</t>
        </is>
      </c>
      <c r="N976" s="29" t="inlineStr">
        <is>
          <t>0.0</t>
        </is>
      </c>
      <c r="O976" s="29" t="inlineStr">
        <is>
          <t>0.0</t>
        </is>
      </c>
      <c r="P976" s="29" t="inlineStr">
        <is>
          <t>KRW</t>
        </is>
      </c>
      <c r="Q976" s="29" t="inlineStr">
        <is>
          <t>18</t>
        </is>
      </c>
    </row>
    <row r="977" ht="24" customHeight="1">
      <c r="A977" s="24" t="inlineStr">
        <is>
          <t>OpenDART_fnlttSinglAcntAll</t>
        </is>
      </c>
      <c r="B977" s="24" t="inlineStr">
        <is>
          <t>00160843</t>
        </is>
      </c>
      <c r="C977" s="24" t="inlineStr">
        <is>
          <t>DB하이텍</t>
        </is>
      </c>
      <c r="D977" s="24" t="inlineStr">
        <is>
          <t>dbhitek</t>
        </is>
      </c>
      <c r="E977" s="24" t="inlineStr">
        <is>
          <t>000990</t>
        </is>
      </c>
      <c r="F977" s="24" t="inlineStr">
        <is>
          <t>2025</t>
        </is>
      </c>
      <c r="G977" s="24" t="inlineStr">
        <is>
          <t>CFS</t>
        </is>
      </c>
      <c r="H977" s="24" t="inlineStr">
        <is>
          <t>SCE</t>
        </is>
      </c>
      <c r="I977" s="24" t="inlineStr">
        <is>
          <t>자본변동표</t>
        </is>
      </c>
      <c r="J977" s="24" t="inlineStr">
        <is>
          <t>ifrs-full_ProceedsFromSalesOfInterestsInAssociates</t>
        </is>
      </c>
      <c r="K977" s="24" t="inlineStr">
        <is>
          <t>관계기업 투자지분의 처분</t>
        </is>
      </c>
      <c r="L977" s="24" t="inlineStr">
        <is>
          <t>자본 [구성요소]|지배기업의 소유주에게 귀속되는 지분 [구성요소]</t>
        </is>
      </c>
      <c r="M977" s="24" t="inlineStr">
        <is>
          <t>제 73 기</t>
        </is>
      </c>
      <c r="N977" s="24" t="inlineStr">
        <is>
          <t>353156607.0</t>
        </is>
      </c>
      <c r="O977" s="24" t="inlineStr">
        <is>
          <t>0.0</t>
        </is>
      </c>
      <c r="P977" s="24" t="inlineStr">
        <is>
          <t>KRW</t>
        </is>
      </c>
      <c r="Q977" s="24" t="inlineStr">
        <is>
          <t>18</t>
        </is>
      </c>
    </row>
    <row r="978" ht="24" customHeight="1">
      <c r="A978" s="29" t="inlineStr">
        <is>
          <t>OpenDART_fnlttSinglAcntAll</t>
        </is>
      </c>
      <c r="B978" s="29" t="inlineStr">
        <is>
          <t>00160843</t>
        </is>
      </c>
      <c r="C978" s="29" t="inlineStr">
        <is>
          <t>DB하이텍</t>
        </is>
      </c>
      <c r="D978" s="29" t="inlineStr">
        <is>
          <t>dbhitek</t>
        </is>
      </c>
      <c r="E978" s="29" t="inlineStr">
        <is>
          <t>000990</t>
        </is>
      </c>
      <c r="F978" s="29" t="inlineStr">
        <is>
          <t>2025</t>
        </is>
      </c>
      <c r="G978" s="29" t="inlineStr">
        <is>
          <t>CFS</t>
        </is>
      </c>
      <c r="H978" s="29" t="inlineStr">
        <is>
          <t>SCE</t>
        </is>
      </c>
      <c r="I978" s="29" t="inlineStr">
        <is>
          <t>자본변동표</t>
        </is>
      </c>
      <c r="J978" s="29" t="inlineStr">
        <is>
          <t>ifrs-full_ProceedsFromSalesOfInterestsInAssociates</t>
        </is>
      </c>
      <c r="K978" s="29" t="inlineStr">
        <is>
          <t>관계기업 투자지분의 처분</t>
        </is>
      </c>
      <c r="L978" s="29" t="inlineStr">
        <is>
          <t>자본 [구성요소]|지배기업의 소유주에게 귀속되는 지분 [구성요소]|기타자본구성요소 [구성요소]</t>
        </is>
      </c>
      <c r="M978" s="29" t="inlineStr">
        <is>
          <t>제 73 기</t>
        </is>
      </c>
      <c r="N978" s="29" t="inlineStr">
        <is>
          <t>57855851.0</t>
        </is>
      </c>
      <c r="O978" s="29" t="inlineStr">
        <is>
          <t>0.0</t>
        </is>
      </c>
      <c r="P978" s="29" t="inlineStr">
        <is>
          <t>KRW</t>
        </is>
      </c>
      <c r="Q978" s="29" t="inlineStr">
        <is>
          <t>18</t>
        </is>
      </c>
    </row>
    <row r="979" ht="24" customHeight="1">
      <c r="A979" s="24" t="inlineStr">
        <is>
          <t>OpenDART_fnlttSinglAcntAll</t>
        </is>
      </c>
      <c r="B979" s="24" t="inlineStr">
        <is>
          <t>00160843</t>
        </is>
      </c>
      <c r="C979" s="24" t="inlineStr">
        <is>
          <t>DB하이텍</t>
        </is>
      </c>
      <c r="D979" s="24" t="inlineStr">
        <is>
          <t>dbhitek</t>
        </is>
      </c>
      <c r="E979" s="24" t="inlineStr">
        <is>
          <t>000990</t>
        </is>
      </c>
      <c r="F979" s="24" t="inlineStr">
        <is>
          <t>2025</t>
        </is>
      </c>
      <c r="G979" s="24" t="inlineStr">
        <is>
          <t>CFS</t>
        </is>
      </c>
      <c r="H979" s="24" t="inlineStr">
        <is>
          <t>SCE</t>
        </is>
      </c>
      <c r="I979" s="24" t="inlineStr">
        <is>
          <t>자본변동표</t>
        </is>
      </c>
      <c r="J979" s="24" t="inlineStr">
        <is>
          <t>ifrs-full_ProceedsFromSalesOfInterestsInAssociates</t>
        </is>
      </c>
      <c r="K979" s="24" t="inlineStr">
        <is>
          <t>관계기업 투자지분의 처분</t>
        </is>
      </c>
      <c r="L979" s="24" t="inlineStr">
        <is>
          <t>자본 [구성요소]|지배기업의 소유주에게 귀속되는 지분 [구성요소]|이익잉여금 [구성요소]</t>
        </is>
      </c>
      <c r="M979" s="24" t="inlineStr">
        <is>
          <t>제 73 기</t>
        </is>
      </c>
      <c r="N979" s="24" t="inlineStr">
        <is>
          <t>295300756.0</t>
        </is>
      </c>
      <c r="O979" s="24" t="inlineStr">
        <is>
          <t>0.0</t>
        </is>
      </c>
      <c r="P979" s="24" t="inlineStr">
        <is>
          <t>KRW</t>
        </is>
      </c>
      <c r="Q979" s="24" t="inlineStr">
        <is>
          <t>18</t>
        </is>
      </c>
    </row>
    <row r="980" ht="24" customHeight="1">
      <c r="A980" s="29" t="inlineStr">
        <is>
          <t>OpenDART_fnlttSinglAcntAll</t>
        </is>
      </c>
      <c r="B980" s="29" t="inlineStr">
        <is>
          <t>00160843</t>
        </is>
      </c>
      <c r="C980" s="29" t="inlineStr">
        <is>
          <t>DB하이텍</t>
        </is>
      </c>
      <c r="D980" s="29" t="inlineStr">
        <is>
          <t>dbhitek</t>
        </is>
      </c>
      <c r="E980" s="29" t="inlineStr">
        <is>
          <t>000990</t>
        </is>
      </c>
      <c r="F980" s="29" t="inlineStr">
        <is>
          <t>2025</t>
        </is>
      </c>
      <c r="G980" s="29" t="inlineStr">
        <is>
          <t>CFS</t>
        </is>
      </c>
      <c r="H980" s="29" t="inlineStr">
        <is>
          <t>SCE</t>
        </is>
      </c>
      <c r="I980" s="29" t="inlineStr">
        <is>
          <t>자본변동표</t>
        </is>
      </c>
      <c r="J980" s="29" t="inlineStr">
        <is>
          <t>ifrs-full_ProceedsFromSalesOfInterestsInAssociates</t>
        </is>
      </c>
      <c r="K980" s="29" t="inlineStr">
        <is>
          <t>관계기업 투자지분의 처분</t>
        </is>
      </c>
      <c r="L980" s="29" t="inlineStr">
        <is>
          <t>자본 [구성요소]|지배기업의 소유주에게 귀속되는 지분 [구성요소]|자본금 [구성요소]</t>
        </is>
      </c>
      <c r="M980" s="29" t="inlineStr">
        <is>
          <t>제 73 기</t>
        </is>
      </c>
      <c r="N980" s="29" t="inlineStr">
        <is>
          <t>0.0</t>
        </is>
      </c>
      <c r="O980" s="29" t="inlineStr">
        <is>
          <t>0.0</t>
        </is>
      </c>
      <c r="P980" s="29" t="inlineStr">
        <is>
          <t>KRW</t>
        </is>
      </c>
      <c r="Q980" s="29" t="inlineStr">
        <is>
          <t>18</t>
        </is>
      </c>
    </row>
    <row r="981" ht="24" customHeight="1">
      <c r="A981" s="24" t="inlineStr">
        <is>
          <t>OpenDART_fnlttSinglAcntAll</t>
        </is>
      </c>
      <c r="B981" s="24" t="inlineStr">
        <is>
          <t>00160843</t>
        </is>
      </c>
      <c r="C981" s="24" t="inlineStr">
        <is>
          <t>DB하이텍</t>
        </is>
      </c>
      <c r="D981" s="24" t="inlineStr">
        <is>
          <t>dbhitek</t>
        </is>
      </c>
      <c r="E981" s="24" t="inlineStr">
        <is>
          <t>000990</t>
        </is>
      </c>
      <c r="F981" s="24" t="inlineStr">
        <is>
          <t>2025</t>
        </is>
      </c>
      <c r="G981" s="24" t="inlineStr">
        <is>
          <t>CFS</t>
        </is>
      </c>
      <c r="H981" s="24" t="inlineStr">
        <is>
          <t>SCE</t>
        </is>
      </c>
      <c r="I981" s="24" t="inlineStr">
        <is>
          <t>자본변동표</t>
        </is>
      </c>
      <c r="J981" s="24" t="inlineStr">
        <is>
          <t>ifrs-full_ProceedsFromSalesOfInterestsInAssociates</t>
        </is>
      </c>
      <c r="K981" s="24" t="inlineStr">
        <is>
          <t>관계기업 투자지분의 처분</t>
        </is>
      </c>
      <c r="L981" s="24" t="inlineStr">
        <is>
          <t>자본 [구성요소]|지배기업의 소유주에게 귀속되는 지분 [구성요소]|자본잉여금 [구성요소]</t>
        </is>
      </c>
      <c r="M981" s="24" t="inlineStr">
        <is>
          <t>제 73 기</t>
        </is>
      </c>
      <c r="N981" s="24" t="inlineStr">
        <is>
          <t>0.0</t>
        </is>
      </c>
      <c r="O981" s="24" t="inlineStr">
        <is>
          <t>0.0</t>
        </is>
      </c>
      <c r="P981" s="24" t="inlineStr">
        <is>
          <t>KRW</t>
        </is>
      </c>
      <c r="Q981" s="24" t="inlineStr">
        <is>
          <t>18</t>
        </is>
      </c>
    </row>
    <row r="982" ht="24" customHeight="1">
      <c r="A982" s="29" t="inlineStr">
        <is>
          <t>OpenDART_fnlttSinglAcntAll</t>
        </is>
      </c>
      <c r="B982" s="29" t="inlineStr">
        <is>
          <t>00160843</t>
        </is>
      </c>
      <c r="C982" s="29" t="inlineStr">
        <is>
          <t>DB하이텍</t>
        </is>
      </c>
      <c r="D982" s="29" t="inlineStr">
        <is>
          <t>dbhitek</t>
        </is>
      </c>
      <c r="E982" s="29" t="inlineStr">
        <is>
          <t>000990</t>
        </is>
      </c>
      <c r="F982" s="29" t="inlineStr">
        <is>
          <t>2025</t>
        </is>
      </c>
      <c r="G982" s="29" t="inlineStr">
        <is>
          <t>CFS</t>
        </is>
      </c>
      <c r="H982" s="29" t="inlineStr">
        <is>
          <t>SCE</t>
        </is>
      </c>
      <c r="I982" s="29" t="inlineStr">
        <is>
          <t>자본변동표</t>
        </is>
      </c>
      <c r="J982" s="29" t="inlineStr">
        <is>
          <t>ifrs-full_ProfitLoss</t>
        </is>
      </c>
      <c r="K982" s="29" t="inlineStr">
        <is>
          <t>당기순이익(손실)</t>
        </is>
      </c>
      <c r="L982" s="29" t="inlineStr">
        <is>
          <t>연결재무제표 [member]</t>
        </is>
      </c>
      <c r="M982" s="29" t="inlineStr">
        <is>
          <t>제 73 기</t>
        </is>
      </c>
      <c r="N982" s="29" t="inlineStr">
        <is>
          <t>252582440798.0</t>
        </is>
      </c>
      <c r="O982" s="29" t="inlineStr">
        <is>
          <t>229385888355.0</t>
        </is>
      </c>
      <c r="P982" s="29" t="inlineStr">
        <is>
          <t>KRW</t>
        </is>
      </c>
      <c r="Q982" s="29" t="inlineStr">
        <is>
          <t>19</t>
        </is>
      </c>
    </row>
    <row r="983" ht="24" customHeight="1">
      <c r="A983" s="24" t="inlineStr">
        <is>
          <t>OpenDART_fnlttSinglAcntAll</t>
        </is>
      </c>
      <c r="B983" s="24" t="inlineStr">
        <is>
          <t>00160843</t>
        </is>
      </c>
      <c r="C983" s="24" t="inlineStr">
        <is>
          <t>DB하이텍</t>
        </is>
      </c>
      <c r="D983" s="24" t="inlineStr">
        <is>
          <t>dbhitek</t>
        </is>
      </c>
      <c r="E983" s="24" t="inlineStr">
        <is>
          <t>000990</t>
        </is>
      </c>
      <c r="F983" s="24" t="inlineStr">
        <is>
          <t>2025</t>
        </is>
      </c>
      <c r="G983" s="24" t="inlineStr">
        <is>
          <t>CFS</t>
        </is>
      </c>
      <c r="H983" s="24" t="inlineStr">
        <is>
          <t>SCE</t>
        </is>
      </c>
      <c r="I983" s="24" t="inlineStr">
        <is>
          <t>자본변동표</t>
        </is>
      </c>
      <c r="J983" s="24" t="inlineStr">
        <is>
          <t>ifrs-full_ProfitLoss</t>
        </is>
      </c>
      <c r="K983" s="24" t="inlineStr">
        <is>
          <t>당기순이익(손실)</t>
        </is>
      </c>
      <c r="L983" s="24" t="inlineStr">
        <is>
          <t>자본 [구성요소]|지배기업의 소유주에게 귀속되는 지분 [구성요소]</t>
        </is>
      </c>
      <c r="M983" s="24" t="inlineStr">
        <is>
          <t>제 73 기</t>
        </is>
      </c>
      <c r="N983" s="24" t="inlineStr">
        <is>
          <t>256071900592.0</t>
        </is>
      </c>
      <c r="O983" s="24" t="inlineStr">
        <is>
          <t>229473615387.0</t>
        </is>
      </c>
      <c r="P983" s="24" t="inlineStr">
        <is>
          <t>KRW</t>
        </is>
      </c>
      <c r="Q983" s="24" t="inlineStr">
        <is>
          <t>19</t>
        </is>
      </c>
    </row>
    <row r="984" ht="24" customHeight="1">
      <c r="A984" s="29" t="inlineStr">
        <is>
          <t>OpenDART_fnlttSinglAcntAll</t>
        </is>
      </c>
      <c r="B984" s="29" t="inlineStr">
        <is>
          <t>00160843</t>
        </is>
      </c>
      <c r="C984" s="29" t="inlineStr">
        <is>
          <t>DB하이텍</t>
        </is>
      </c>
      <c r="D984" s="29" t="inlineStr">
        <is>
          <t>dbhitek</t>
        </is>
      </c>
      <c r="E984" s="29" t="inlineStr">
        <is>
          <t>000990</t>
        </is>
      </c>
      <c r="F984" s="29" t="inlineStr">
        <is>
          <t>2025</t>
        </is>
      </c>
      <c r="G984" s="29" t="inlineStr">
        <is>
          <t>CFS</t>
        </is>
      </c>
      <c r="H984" s="29" t="inlineStr">
        <is>
          <t>SCE</t>
        </is>
      </c>
      <c r="I984" s="29" t="inlineStr">
        <is>
          <t>자본변동표</t>
        </is>
      </c>
      <c r="J984" s="29" t="inlineStr">
        <is>
          <t>ifrs-full_ProfitLoss</t>
        </is>
      </c>
      <c r="K984" s="29" t="inlineStr">
        <is>
          <t>당기순이익(손실)</t>
        </is>
      </c>
      <c r="L984" s="29" t="inlineStr">
        <is>
          <t>자본 [구성요소]|지배기업의 소유주에게 귀속되는 지분 [구성요소]|기타자본구성요소 [구성요소]</t>
        </is>
      </c>
      <c r="M984" s="29" t="inlineStr">
        <is>
          <t>제 73 기</t>
        </is>
      </c>
      <c r="N984" s="29" t="inlineStr">
        <is>
          <t>0.0</t>
        </is>
      </c>
      <c r="O984" s="29" t="inlineStr">
        <is>
          <t>0.0</t>
        </is>
      </c>
      <c r="P984" s="29" t="inlineStr">
        <is>
          <t>KRW</t>
        </is>
      </c>
      <c r="Q984" s="29" t="inlineStr">
        <is>
          <t>19</t>
        </is>
      </c>
    </row>
    <row r="985" ht="24" customHeight="1">
      <c r="A985" s="24" t="inlineStr">
        <is>
          <t>OpenDART_fnlttSinglAcntAll</t>
        </is>
      </c>
      <c r="B985" s="24" t="inlineStr">
        <is>
          <t>00160843</t>
        </is>
      </c>
      <c r="C985" s="24" t="inlineStr">
        <is>
          <t>DB하이텍</t>
        </is>
      </c>
      <c r="D985" s="24" t="inlineStr">
        <is>
          <t>dbhitek</t>
        </is>
      </c>
      <c r="E985" s="24" t="inlineStr">
        <is>
          <t>000990</t>
        </is>
      </c>
      <c r="F985" s="24" t="inlineStr">
        <is>
          <t>2025</t>
        </is>
      </c>
      <c r="G985" s="24" t="inlineStr">
        <is>
          <t>CFS</t>
        </is>
      </c>
      <c r="H985" s="24" t="inlineStr">
        <is>
          <t>SCE</t>
        </is>
      </c>
      <c r="I985" s="24" t="inlineStr">
        <is>
          <t>자본변동표</t>
        </is>
      </c>
      <c r="J985" s="24" t="inlineStr">
        <is>
          <t>ifrs-full_ProfitLoss</t>
        </is>
      </c>
      <c r="K985" s="24" t="inlineStr">
        <is>
          <t>당기순이익(손실)</t>
        </is>
      </c>
      <c r="L985" s="24" t="inlineStr">
        <is>
          <t>자본 [구성요소]|지배기업의 소유주에게 귀속되는 지분 [구성요소]|이익잉여금 [구성요소]</t>
        </is>
      </c>
      <c r="M985" s="24" t="inlineStr">
        <is>
          <t>제 73 기</t>
        </is>
      </c>
      <c r="N985" s="24" t="inlineStr">
        <is>
          <t>256071900592.0</t>
        </is>
      </c>
      <c r="O985" s="24" t="inlineStr">
        <is>
          <t>229473615387.0</t>
        </is>
      </c>
      <c r="P985" s="24" t="inlineStr">
        <is>
          <t>KRW</t>
        </is>
      </c>
      <c r="Q985" s="24" t="inlineStr">
        <is>
          <t>19</t>
        </is>
      </c>
    </row>
    <row r="986" ht="24" customHeight="1">
      <c r="A986" s="29" t="inlineStr">
        <is>
          <t>OpenDART_fnlttSinglAcntAll</t>
        </is>
      </c>
      <c r="B986" s="29" t="inlineStr">
        <is>
          <t>00160843</t>
        </is>
      </c>
      <c r="C986" s="29" t="inlineStr">
        <is>
          <t>DB하이텍</t>
        </is>
      </c>
      <c r="D986" s="29" t="inlineStr">
        <is>
          <t>dbhitek</t>
        </is>
      </c>
      <c r="E986" s="29" t="inlineStr">
        <is>
          <t>000990</t>
        </is>
      </c>
      <c r="F986" s="29" t="inlineStr">
        <is>
          <t>2025</t>
        </is>
      </c>
      <c r="G986" s="29" t="inlineStr">
        <is>
          <t>CFS</t>
        </is>
      </c>
      <c r="H986" s="29" t="inlineStr">
        <is>
          <t>SCE</t>
        </is>
      </c>
      <c r="I986" s="29" t="inlineStr">
        <is>
          <t>자본변동표</t>
        </is>
      </c>
      <c r="J986" s="29" t="inlineStr">
        <is>
          <t>ifrs-full_ProfitLoss</t>
        </is>
      </c>
      <c r="K986" s="29" t="inlineStr">
        <is>
          <t>당기순이익(손실)</t>
        </is>
      </c>
      <c r="L986" s="29" t="inlineStr">
        <is>
          <t>자본 [구성요소]|지배기업의 소유주에게 귀속되는 지분 [구성요소]|자본금 [구성요소]</t>
        </is>
      </c>
      <c r="M986" s="29" t="inlineStr">
        <is>
          <t>제 73 기</t>
        </is>
      </c>
      <c r="N986" s="29" t="inlineStr">
        <is>
          <t>0.0</t>
        </is>
      </c>
      <c r="O986" s="29" t="inlineStr">
        <is>
          <t>0.0</t>
        </is>
      </c>
      <c r="P986" s="29" t="inlineStr">
        <is>
          <t>KRW</t>
        </is>
      </c>
      <c r="Q986" s="29" t="inlineStr">
        <is>
          <t>19</t>
        </is>
      </c>
    </row>
    <row r="987" ht="24" customHeight="1">
      <c r="A987" s="24" t="inlineStr">
        <is>
          <t>OpenDART_fnlttSinglAcntAll</t>
        </is>
      </c>
      <c r="B987" s="24" t="inlineStr">
        <is>
          <t>00160843</t>
        </is>
      </c>
      <c r="C987" s="24" t="inlineStr">
        <is>
          <t>DB하이텍</t>
        </is>
      </c>
      <c r="D987" s="24" t="inlineStr">
        <is>
          <t>dbhitek</t>
        </is>
      </c>
      <c r="E987" s="24" t="inlineStr">
        <is>
          <t>000990</t>
        </is>
      </c>
      <c r="F987" s="24" t="inlineStr">
        <is>
          <t>2025</t>
        </is>
      </c>
      <c r="G987" s="24" t="inlineStr">
        <is>
          <t>CFS</t>
        </is>
      </c>
      <c r="H987" s="24" t="inlineStr">
        <is>
          <t>SCE</t>
        </is>
      </c>
      <c r="I987" s="24" t="inlineStr">
        <is>
          <t>자본변동표</t>
        </is>
      </c>
      <c r="J987" s="24" t="inlineStr">
        <is>
          <t>ifrs-full_ProfitLoss</t>
        </is>
      </c>
      <c r="K987" s="24" t="inlineStr">
        <is>
          <t>당기순이익(손실)</t>
        </is>
      </c>
      <c r="L987" s="24" t="inlineStr">
        <is>
          <t>자본 [구성요소]|비지배지분 [구성요소]</t>
        </is>
      </c>
      <c r="M987" s="24" t="inlineStr">
        <is>
          <t>제 73 기</t>
        </is>
      </c>
      <c r="N987" s="24" t="inlineStr">
        <is>
          <t>-3489459794.0</t>
        </is>
      </c>
      <c r="O987" s="24" t="inlineStr">
        <is>
          <t>-87727032.0</t>
        </is>
      </c>
      <c r="P987" s="24" t="inlineStr">
        <is>
          <t>KRW</t>
        </is>
      </c>
      <c r="Q987" s="24" t="inlineStr">
        <is>
          <t>19</t>
        </is>
      </c>
    </row>
    <row r="988" ht="24" customHeight="1">
      <c r="A988" s="29" t="inlineStr">
        <is>
          <t>OpenDART_fnlttSinglAcntAll</t>
        </is>
      </c>
      <c r="B988" s="29" t="inlineStr">
        <is>
          <t>00160843</t>
        </is>
      </c>
      <c r="C988" s="29" t="inlineStr">
        <is>
          <t>DB하이텍</t>
        </is>
      </c>
      <c r="D988" s="29" t="inlineStr">
        <is>
          <t>dbhitek</t>
        </is>
      </c>
      <c r="E988" s="29" t="inlineStr">
        <is>
          <t>000990</t>
        </is>
      </c>
      <c r="F988" s="29" t="inlineStr">
        <is>
          <t>2025</t>
        </is>
      </c>
      <c r="G988" s="29" t="inlineStr">
        <is>
          <t>CFS</t>
        </is>
      </c>
      <c r="H988" s="29" t="inlineStr">
        <is>
          <t>SCE</t>
        </is>
      </c>
      <c r="I988" s="29" t="inlineStr">
        <is>
          <t>자본변동표</t>
        </is>
      </c>
      <c r="J988" s="29" t="inlineStr">
        <is>
          <t>ifrs-full_ProfitLoss</t>
        </is>
      </c>
      <c r="K988" s="29" t="inlineStr">
        <is>
          <t>당기순이익(손실)</t>
        </is>
      </c>
      <c r="L988" s="29" t="inlineStr">
        <is>
          <t>자본 [구성요소]|지배기업의 소유주에게 귀속되는 지분 [구성요소]|자본잉여금 [구성요소]</t>
        </is>
      </c>
      <c r="M988" s="29" t="inlineStr">
        <is>
          <t>제 73 기</t>
        </is>
      </c>
      <c r="N988" s="29" t="inlineStr">
        <is>
          <t>0.0</t>
        </is>
      </c>
      <c r="O988" s="29" t="inlineStr">
        <is>
          <t>0.0</t>
        </is>
      </c>
      <c r="P988" s="29" t="inlineStr">
        <is>
          <t>KRW</t>
        </is>
      </c>
      <c r="Q988" s="29" t="inlineStr">
        <is>
          <t>19</t>
        </is>
      </c>
    </row>
    <row r="989" ht="24" customHeight="1">
      <c r="A989" s="24" t="inlineStr">
        <is>
          <t>OpenDART_fnlttSinglAcntAll</t>
        </is>
      </c>
      <c r="B989" s="24" t="inlineStr">
        <is>
          <t>00160843</t>
        </is>
      </c>
      <c r="C989" s="24" t="inlineStr">
        <is>
          <t>DB하이텍</t>
        </is>
      </c>
      <c r="D989" s="24" t="inlineStr">
        <is>
          <t>dbhitek</t>
        </is>
      </c>
      <c r="E989" s="24" t="inlineStr">
        <is>
          <t>000990</t>
        </is>
      </c>
      <c r="F989" s="24" t="inlineStr">
        <is>
          <t>2025</t>
        </is>
      </c>
      <c r="G989" s="24" t="inlineStr">
        <is>
          <t>CFS</t>
        </is>
      </c>
      <c r="H989" s="24" t="inlineStr">
        <is>
          <t>SCE</t>
        </is>
      </c>
      <c r="I989" s="24" t="inlineStr">
        <is>
          <t>자본변동표</t>
        </is>
      </c>
      <c r="J989" s="24" t="inlineStr">
        <is>
          <t>ifrs-full_PurchaseOfTreasuryShares</t>
        </is>
      </c>
      <c r="K989" s="24" t="inlineStr">
        <is>
          <t>자기주식의 취득</t>
        </is>
      </c>
      <c r="L989" s="24" t="inlineStr">
        <is>
          <t>연결재무제표 [member]</t>
        </is>
      </c>
      <c r="M989" s="24" t="inlineStr">
        <is>
          <t>제 73 기</t>
        </is>
      </c>
      <c r="N989" s="24" t="inlineStr">
        <is>
          <t>-44996823350.0</t>
        </is>
      </c>
      <c r="O989" s="24" t="inlineStr">
        <is>
          <t>-20000876130.0</t>
        </is>
      </c>
      <c r="P989" s="24" t="inlineStr">
        <is>
          <t>KRW</t>
        </is>
      </c>
      <c r="Q989" s="24" t="inlineStr">
        <is>
          <t>20</t>
        </is>
      </c>
    </row>
    <row r="990" ht="24" customHeight="1">
      <c r="A990" s="29" t="inlineStr">
        <is>
          <t>OpenDART_fnlttSinglAcntAll</t>
        </is>
      </c>
      <c r="B990" s="29" t="inlineStr">
        <is>
          <t>00160843</t>
        </is>
      </c>
      <c r="C990" s="29" t="inlineStr">
        <is>
          <t>DB하이텍</t>
        </is>
      </c>
      <c r="D990" s="29" t="inlineStr">
        <is>
          <t>dbhitek</t>
        </is>
      </c>
      <c r="E990" s="29" t="inlineStr">
        <is>
          <t>000990</t>
        </is>
      </c>
      <c r="F990" s="29" t="inlineStr">
        <is>
          <t>2025</t>
        </is>
      </c>
      <c r="G990" s="29" t="inlineStr">
        <is>
          <t>CFS</t>
        </is>
      </c>
      <c r="H990" s="29" t="inlineStr">
        <is>
          <t>SCE</t>
        </is>
      </c>
      <c r="I990" s="29" t="inlineStr">
        <is>
          <t>자본변동표</t>
        </is>
      </c>
      <c r="J990" s="29" t="inlineStr">
        <is>
          <t>ifrs-full_PurchaseOfTreasuryShares</t>
        </is>
      </c>
      <c r="K990" s="29" t="inlineStr">
        <is>
          <t>자기주식의 취득</t>
        </is>
      </c>
      <c r="L990" s="29" t="inlineStr">
        <is>
          <t>자본 [구성요소]|지배기업의 소유주에게 귀속되는 지분 [구성요소]</t>
        </is>
      </c>
      <c r="M990" s="29" t="inlineStr">
        <is>
          <t>제 73 기</t>
        </is>
      </c>
      <c r="N990" s="29" t="inlineStr">
        <is>
          <t>-44996823350.0</t>
        </is>
      </c>
      <c r="O990" s="29" t="inlineStr">
        <is>
          <t>-20000876130.0</t>
        </is>
      </c>
      <c r="P990" s="29" t="inlineStr">
        <is>
          <t>KRW</t>
        </is>
      </c>
      <c r="Q990" s="29" t="inlineStr">
        <is>
          <t>20</t>
        </is>
      </c>
    </row>
    <row r="991" ht="24" customHeight="1">
      <c r="A991" s="24" t="inlineStr">
        <is>
          <t>OpenDART_fnlttSinglAcntAll</t>
        </is>
      </c>
      <c r="B991" s="24" t="inlineStr">
        <is>
          <t>00160843</t>
        </is>
      </c>
      <c r="C991" s="24" t="inlineStr">
        <is>
          <t>DB하이텍</t>
        </is>
      </c>
      <c r="D991" s="24" t="inlineStr">
        <is>
          <t>dbhitek</t>
        </is>
      </c>
      <c r="E991" s="24" t="inlineStr">
        <is>
          <t>000990</t>
        </is>
      </c>
      <c r="F991" s="24" t="inlineStr">
        <is>
          <t>2025</t>
        </is>
      </c>
      <c r="G991" s="24" t="inlineStr">
        <is>
          <t>CFS</t>
        </is>
      </c>
      <c r="H991" s="24" t="inlineStr">
        <is>
          <t>SCE</t>
        </is>
      </c>
      <c r="I991" s="24" t="inlineStr">
        <is>
          <t>자본변동표</t>
        </is>
      </c>
      <c r="J991" s="24" t="inlineStr">
        <is>
          <t>ifrs-full_PurchaseOfTreasuryShares</t>
        </is>
      </c>
      <c r="K991" s="24" t="inlineStr">
        <is>
          <t>자기주식의 취득</t>
        </is>
      </c>
      <c r="L991" s="24" t="inlineStr">
        <is>
          <t>자본 [구성요소]|지배기업의 소유주에게 귀속되는 지분 [구성요소]|기타자본구성요소 [구성요소]</t>
        </is>
      </c>
      <c r="M991" s="24" t="inlineStr">
        <is>
          <t>제 73 기</t>
        </is>
      </c>
      <c r="N991" s="24" t="inlineStr">
        <is>
          <t>-44996823350.0</t>
        </is>
      </c>
      <c r="O991" s="24" t="inlineStr">
        <is>
          <t>-20000876130.0</t>
        </is>
      </c>
      <c r="P991" s="24" t="inlineStr">
        <is>
          <t>KRW</t>
        </is>
      </c>
      <c r="Q991" s="24" t="inlineStr">
        <is>
          <t>20</t>
        </is>
      </c>
    </row>
    <row r="992" ht="24" customHeight="1">
      <c r="A992" s="29" t="inlineStr">
        <is>
          <t>OpenDART_fnlttSinglAcntAll</t>
        </is>
      </c>
      <c r="B992" s="29" t="inlineStr">
        <is>
          <t>00160843</t>
        </is>
      </c>
      <c r="C992" s="29" t="inlineStr">
        <is>
          <t>DB하이텍</t>
        </is>
      </c>
      <c r="D992" s="29" t="inlineStr">
        <is>
          <t>dbhitek</t>
        </is>
      </c>
      <c r="E992" s="29" t="inlineStr">
        <is>
          <t>000990</t>
        </is>
      </c>
      <c r="F992" s="29" t="inlineStr">
        <is>
          <t>2025</t>
        </is>
      </c>
      <c r="G992" s="29" t="inlineStr">
        <is>
          <t>CFS</t>
        </is>
      </c>
      <c r="H992" s="29" t="inlineStr">
        <is>
          <t>SCE</t>
        </is>
      </c>
      <c r="I992" s="29" t="inlineStr">
        <is>
          <t>자본변동표</t>
        </is>
      </c>
      <c r="J992" s="29" t="inlineStr">
        <is>
          <t>ifrs-full_PurchaseOfTreasuryShares</t>
        </is>
      </c>
      <c r="K992" s="29" t="inlineStr">
        <is>
          <t>자기주식의 취득</t>
        </is>
      </c>
      <c r="L992" s="29" t="inlineStr">
        <is>
          <t>자본 [구성요소]|지배기업의 소유주에게 귀속되는 지분 [구성요소]|이익잉여금 [구성요소]</t>
        </is>
      </c>
      <c r="M992" s="29" t="inlineStr">
        <is>
          <t>제 73 기</t>
        </is>
      </c>
      <c r="N992" s="29" t="inlineStr">
        <is>
          <t>0.0</t>
        </is>
      </c>
      <c r="O992" s="29" t="inlineStr">
        <is>
          <t>0.0</t>
        </is>
      </c>
      <c r="P992" s="29" t="inlineStr">
        <is>
          <t>KRW</t>
        </is>
      </c>
      <c r="Q992" s="29" t="inlineStr">
        <is>
          <t>20</t>
        </is>
      </c>
    </row>
    <row r="993" ht="24" customHeight="1">
      <c r="A993" s="24" t="inlineStr">
        <is>
          <t>OpenDART_fnlttSinglAcntAll</t>
        </is>
      </c>
      <c r="B993" s="24" t="inlineStr">
        <is>
          <t>00160843</t>
        </is>
      </c>
      <c r="C993" s="24" t="inlineStr">
        <is>
          <t>DB하이텍</t>
        </is>
      </c>
      <c r="D993" s="24" t="inlineStr">
        <is>
          <t>dbhitek</t>
        </is>
      </c>
      <c r="E993" s="24" t="inlineStr">
        <is>
          <t>000990</t>
        </is>
      </c>
      <c r="F993" s="24" t="inlineStr">
        <is>
          <t>2025</t>
        </is>
      </c>
      <c r="G993" s="24" t="inlineStr">
        <is>
          <t>CFS</t>
        </is>
      </c>
      <c r="H993" s="24" t="inlineStr">
        <is>
          <t>SCE</t>
        </is>
      </c>
      <c r="I993" s="24" t="inlineStr">
        <is>
          <t>자본변동표</t>
        </is>
      </c>
      <c r="J993" s="24" t="inlineStr">
        <is>
          <t>ifrs-full_PurchaseOfTreasuryShares</t>
        </is>
      </c>
      <c r="K993" s="24" t="inlineStr">
        <is>
          <t>자기주식의 취득</t>
        </is>
      </c>
      <c r="L993" s="24" t="inlineStr">
        <is>
          <t>자본 [구성요소]|지배기업의 소유주에게 귀속되는 지분 [구성요소]|자본금 [구성요소]</t>
        </is>
      </c>
      <c r="M993" s="24" t="inlineStr">
        <is>
          <t>제 73 기</t>
        </is>
      </c>
      <c r="N993" s="24" t="inlineStr">
        <is>
          <t>0.0</t>
        </is>
      </c>
      <c r="O993" s="24" t="inlineStr">
        <is>
          <t>0.0</t>
        </is>
      </c>
      <c r="P993" s="24" t="inlineStr">
        <is>
          <t>KRW</t>
        </is>
      </c>
      <c r="Q993" s="24" t="inlineStr">
        <is>
          <t>20</t>
        </is>
      </c>
    </row>
    <row r="994" ht="24" customHeight="1">
      <c r="A994" s="29" t="inlineStr">
        <is>
          <t>OpenDART_fnlttSinglAcntAll</t>
        </is>
      </c>
      <c r="B994" s="29" t="inlineStr">
        <is>
          <t>00160843</t>
        </is>
      </c>
      <c r="C994" s="29" t="inlineStr">
        <is>
          <t>DB하이텍</t>
        </is>
      </c>
      <c r="D994" s="29" t="inlineStr">
        <is>
          <t>dbhitek</t>
        </is>
      </c>
      <c r="E994" s="29" t="inlineStr">
        <is>
          <t>000990</t>
        </is>
      </c>
      <c r="F994" s="29" t="inlineStr">
        <is>
          <t>2025</t>
        </is>
      </c>
      <c r="G994" s="29" t="inlineStr">
        <is>
          <t>CFS</t>
        </is>
      </c>
      <c r="H994" s="29" t="inlineStr">
        <is>
          <t>SCE</t>
        </is>
      </c>
      <c r="I994" s="29" t="inlineStr">
        <is>
          <t>자본변동표</t>
        </is>
      </c>
      <c r="J994" s="29" t="inlineStr">
        <is>
          <t>ifrs-full_PurchaseOfTreasuryShares</t>
        </is>
      </c>
      <c r="K994" s="29" t="inlineStr">
        <is>
          <t>자기주식의 취득</t>
        </is>
      </c>
      <c r="L994" s="29" t="inlineStr">
        <is>
          <t>자본 [구성요소]|비지배지분 [구성요소]</t>
        </is>
      </c>
      <c r="M994" s="29" t="inlineStr">
        <is>
          <t>제 73 기</t>
        </is>
      </c>
      <c r="N994" s="29" t="inlineStr">
        <is>
          <t>0.0</t>
        </is>
      </c>
      <c r="O994" s="29" t="inlineStr">
        <is>
          <t>0.0</t>
        </is>
      </c>
      <c r="P994" s="29" t="inlineStr">
        <is>
          <t>KRW</t>
        </is>
      </c>
      <c r="Q994" s="29" t="inlineStr">
        <is>
          <t>20</t>
        </is>
      </c>
    </row>
    <row r="995" ht="24" customHeight="1">
      <c r="A995" s="24" t="inlineStr">
        <is>
          <t>OpenDART_fnlttSinglAcntAll</t>
        </is>
      </c>
      <c r="B995" s="24" t="inlineStr">
        <is>
          <t>00160843</t>
        </is>
      </c>
      <c r="C995" s="24" t="inlineStr">
        <is>
          <t>DB하이텍</t>
        </is>
      </c>
      <c r="D995" s="24" t="inlineStr">
        <is>
          <t>dbhitek</t>
        </is>
      </c>
      <c r="E995" s="24" t="inlineStr">
        <is>
          <t>000990</t>
        </is>
      </c>
      <c r="F995" s="24" t="inlineStr">
        <is>
          <t>2025</t>
        </is>
      </c>
      <c r="G995" s="24" t="inlineStr">
        <is>
          <t>CFS</t>
        </is>
      </c>
      <c r="H995" s="24" t="inlineStr">
        <is>
          <t>SCE</t>
        </is>
      </c>
      <c r="I995" s="24" t="inlineStr">
        <is>
          <t>자본변동표</t>
        </is>
      </c>
      <c r="J995" s="24" t="inlineStr">
        <is>
          <t>ifrs-full_PurchaseOfTreasuryShares</t>
        </is>
      </c>
      <c r="K995" s="24" t="inlineStr">
        <is>
          <t>자기주식의 취득</t>
        </is>
      </c>
      <c r="L995" s="24" t="inlineStr">
        <is>
          <t>자본 [구성요소]|지배기업의 소유주에게 귀속되는 지분 [구성요소]|자본잉여금 [구성요소]</t>
        </is>
      </c>
      <c r="M995" s="24" t="inlineStr">
        <is>
          <t>제 73 기</t>
        </is>
      </c>
      <c r="N995" s="24" t="inlineStr">
        <is>
          <t>0.0</t>
        </is>
      </c>
      <c r="O995" s="24" t="inlineStr">
        <is>
          <t>0.0</t>
        </is>
      </c>
      <c r="P995" s="24" t="inlineStr">
        <is>
          <t>KRW</t>
        </is>
      </c>
      <c r="Q995" s="24" t="inlineStr">
        <is>
          <t>20</t>
        </is>
      </c>
    </row>
    <row r="996" ht="24" customHeight="1">
      <c r="A996" s="29" t="inlineStr">
        <is>
          <t>OpenDART_fnlttSinglAcntAll</t>
        </is>
      </c>
      <c r="B996" s="29" t="inlineStr">
        <is>
          <t>00160843</t>
        </is>
      </c>
      <c r="C996" s="29" t="inlineStr">
        <is>
          <t>DB하이텍</t>
        </is>
      </c>
      <c r="D996" s="29" t="inlineStr">
        <is>
          <t>dbhitek</t>
        </is>
      </c>
      <c r="E996" s="29" t="inlineStr">
        <is>
          <t>000990</t>
        </is>
      </c>
      <c r="F996" s="29" t="inlineStr">
        <is>
          <t>2025</t>
        </is>
      </c>
      <c r="G996" s="29" t="inlineStr">
        <is>
          <t>CFS</t>
        </is>
      </c>
      <c r="H996" s="29" t="inlineStr">
        <is>
          <t>SCE</t>
        </is>
      </c>
      <c r="I996" s="29" t="inlineStr">
        <is>
          <t>자본변동표</t>
        </is>
      </c>
      <c r="J996" s="29" t="inlineStr">
        <is>
          <t>ifrs-full_ShareOfOtherComprehensiveIncomeOfAssociatesAndJointVenturesAccountedForUsingEquityMethod</t>
        </is>
      </c>
      <c r="K996" s="29" t="inlineStr">
        <is>
          <t>관계기업투자 평가</t>
        </is>
      </c>
      <c r="L996" s="29" t="inlineStr">
        <is>
          <t>연결재무제표 [member]</t>
        </is>
      </c>
      <c r="M996" s="29" t="inlineStr">
        <is>
          <t>제 73 기</t>
        </is>
      </c>
      <c r="N996" s="29" t="inlineStr">
        <is>
          <t>60127390.0</t>
        </is>
      </c>
      <c r="O996" s="29" t="inlineStr">
        <is>
          <t>104730381.0</t>
        </is>
      </c>
      <c r="P996" s="29" t="inlineStr">
        <is>
          <t>KRW</t>
        </is>
      </c>
      <c r="Q996" s="29" t="inlineStr">
        <is>
          <t>21</t>
        </is>
      </c>
    </row>
    <row r="997" ht="24" customHeight="1">
      <c r="A997" s="24" t="inlineStr">
        <is>
          <t>OpenDART_fnlttSinglAcntAll</t>
        </is>
      </c>
      <c r="B997" s="24" t="inlineStr">
        <is>
          <t>00160843</t>
        </is>
      </c>
      <c r="C997" s="24" t="inlineStr">
        <is>
          <t>DB하이텍</t>
        </is>
      </c>
      <c r="D997" s="24" t="inlineStr">
        <is>
          <t>dbhitek</t>
        </is>
      </c>
      <c r="E997" s="24" t="inlineStr">
        <is>
          <t>000990</t>
        </is>
      </c>
      <c r="F997" s="24" t="inlineStr">
        <is>
          <t>2025</t>
        </is>
      </c>
      <c r="G997" s="24" t="inlineStr">
        <is>
          <t>CFS</t>
        </is>
      </c>
      <c r="H997" s="24" t="inlineStr">
        <is>
          <t>SCE</t>
        </is>
      </c>
      <c r="I997" s="24" t="inlineStr">
        <is>
          <t>자본변동표</t>
        </is>
      </c>
      <c r="J997" s="24" t="inlineStr">
        <is>
          <t>ifrs-full_ShareOfOtherComprehensiveIncomeOfAssociatesAndJointVenturesAccountedForUsingEquityMethod</t>
        </is>
      </c>
      <c r="K997" s="24" t="inlineStr">
        <is>
          <t>관계기업투자 평가</t>
        </is>
      </c>
      <c r="L997" s="24" t="inlineStr">
        <is>
          <t>자본 [구성요소]|지배기업의 소유주에게 귀속되는 지분 [구성요소]|자본잉여금 [구성요소]</t>
        </is>
      </c>
      <c r="M997" s="24" t="inlineStr">
        <is>
          <t>제 73 기</t>
        </is>
      </c>
      <c r="N997" s="24" t="inlineStr">
        <is>
          <t>0.0</t>
        </is>
      </c>
      <c r="O997" s="24" t="inlineStr">
        <is>
          <t>0.0</t>
        </is>
      </c>
      <c r="P997" s="24" t="inlineStr">
        <is>
          <t>KRW</t>
        </is>
      </c>
      <c r="Q997" s="24" t="inlineStr">
        <is>
          <t>21</t>
        </is>
      </c>
    </row>
    <row r="998" ht="24" customHeight="1">
      <c r="A998" s="29" t="inlineStr">
        <is>
          <t>OpenDART_fnlttSinglAcntAll</t>
        </is>
      </c>
      <c r="B998" s="29" t="inlineStr">
        <is>
          <t>00160843</t>
        </is>
      </c>
      <c r="C998" s="29" t="inlineStr">
        <is>
          <t>DB하이텍</t>
        </is>
      </c>
      <c r="D998" s="29" t="inlineStr">
        <is>
          <t>dbhitek</t>
        </is>
      </c>
      <c r="E998" s="29" t="inlineStr">
        <is>
          <t>000990</t>
        </is>
      </c>
      <c r="F998" s="29" t="inlineStr">
        <is>
          <t>2025</t>
        </is>
      </c>
      <c r="G998" s="29" t="inlineStr">
        <is>
          <t>CFS</t>
        </is>
      </c>
      <c r="H998" s="29" t="inlineStr">
        <is>
          <t>SCE</t>
        </is>
      </c>
      <c r="I998" s="29" t="inlineStr">
        <is>
          <t>자본변동표</t>
        </is>
      </c>
      <c r="J998" s="29" t="inlineStr">
        <is>
          <t>ifrs-full_ShareOfOtherComprehensiveIncomeOfAssociatesAndJointVenturesAccountedForUsingEquityMethod</t>
        </is>
      </c>
      <c r="K998" s="29" t="inlineStr">
        <is>
          <t>관계기업투자 평가</t>
        </is>
      </c>
      <c r="L998" s="29" t="inlineStr">
        <is>
          <t>자본 [구성요소]|지배기업의 소유주에게 귀속되는 지분 [구성요소]|자본금 [구성요소]</t>
        </is>
      </c>
      <c r="M998" s="29" t="inlineStr">
        <is>
          <t>제 73 기</t>
        </is>
      </c>
      <c r="N998" s="29" t="inlineStr">
        <is>
          <t>0.0</t>
        </is>
      </c>
      <c r="O998" s="29" t="inlineStr">
        <is>
          <t>해당 없음</t>
        </is>
      </c>
      <c r="P998" s="29" t="inlineStr">
        <is>
          <t>KRW</t>
        </is>
      </c>
      <c r="Q998" s="29" t="inlineStr">
        <is>
          <t>21</t>
        </is>
      </c>
    </row>
    <row r="999" ht="24" customHeight="1">
      <c r="A999" s="24" t="inlineStr">
        <is>
          <t>OpenDART_fnlttSinglAcntAll</t>
        </is>
      </c>
      <c r="B999" s="24" t="inlineStr">
        <is>
          <t>00160843</t>
        </is>
      </c>
      <c r="C999" s="24" t="inlineStr">
        <is>
          <t>DB하이텍</t>
        </is>
      </c>
      <c r="D999" s="24" t="inlineStr">
        <is>
          <t>dbhitek</t>
        </is>
      </c>
      <c r="E999" s="24" t="inlineStr">
        <is>
          <t>000990</t>
        </is>
      </c>
      <c r="F999" s="24" t="inlineStr">
        <is>
          <t>2025</t>
        </is>
      </c>
      <c r="G999" s="24" t="inlineStr">
        <is>
          <t>CFS</t>
        </is>
      </c>
      <c r="H999" s="24" t="inlineStr">
        <is>
          <t>SCE</t>
        </is>
      </c>
      <c r="I999" s="24" t="inlineStr">
        <is>
          <t>자본변동표</t>
        </is>
      </c>
      <c r="J999" s="24" t="inlineStr">
        <is>
          <t>ifrs-full_ShareOfOtherComprehensiveIncomeOfAssociatesAndJointVenturesAccountedForUsingEquityMethod</t>
        </is>
      </c>
      <c r="K999" s="24" t="inlineStr">
        <is>
          <t>관계기업투자 평가</t>
        </is>
      </c>
      <c r="L999" s="24" t="inlineStr">
        <is>
          <t>자본 [구성요소]|지배기업의 소유주에게 귀속되는 지분 [구성요소]|이익잉여금 [구성요소]</t>
        </is>
      </c>
      <c r="M999" s="24" t="inlineStr">
        <is>
          <t>제 73 기</t>
        </is>
      </c>
      <c r="N999" s="24" t="inlineStr">
        <is>
          <t>-131553892.0</t>
        </is>
      </c>
      <c r="O999" s="24" t="inlineStr">
        <is>
          <t>-924002242.0</t>
        </is>
      </c>
      <c r="P999" s="24" t="inlineStr">
        <is>
          <t>KRW</t>
        </is>
      </c>
      <c r="Q999" s="24" t="inlineStr">
        <is>
          <t>21</t>
        </is>
      </c>
    </row>
    <row r="1000" ht="24" customHeight="1">
      <c r="A1000" s="29" t="inlineStr">
        <is>
          <t>OpenDART_fnlttSinglAcntAll</t>
        </is>
      </c>
      <c r="B1000" s="29" t="inlineStr">
        <is>
          <t>00160843</t>
        </is>
      </c>
      <c r="C1000" s="29" t="inlineStr">
        <is>
          <t>DB하이텍</t>
        </is>
      </c>
      <c r="D1000" s="29" t="inlineStr">
        <is>
          <t>dbhitek</t>
        </is>
      </c>
      <c r="E1000" s="29" t="inlineStr">
        <is>
          <t>000990</t>
        </is>
      </c>
      <c r="F1000" s="29" t="inlineStr">
        <is>
          <t>2025</t>
        </is>
      </c>
      <c r="G1000" s="29" t="inlineStr">
        <is>
          <t>CFS</t>
        </is>
      </c>
      <c r="H1000" s="29" t="inlineStr">
        <is>
          <t>SCE</t>
        </is>
      </c>
      <c r="I1000" s="29" t="inlineStr">
        <is>
          <t>자본변동표</t>
        </is>
      </c>
      <c r="J1000" s="29" t="inlineStr">
        <is>
          <t>ifrs-full_ShareOfOtherComprehensiveIncomeOfAssociatesAndJointVenturesAccountedForUsingEquityMethod</t>
        </is>
      </c>
      <c r="K1000" s="29" t="inlineStr">
        <is>
          <t>관계기업투자 평가</t>
        </is>
      </c>
      <c r="L1000" s="29" t="inlineStr">
        <is>
          <t>자본 [구성요소]|비지배지분 [구성요소]</t>
        </is>
      </c>
      <c r="M1000" s="29" t="inlineStr">
        <is>
          <t>제 73 기</t>
        </is>
      </c>
      <c r="N1000" s="29" t="inlineStr">
        <is>
          <t>0.0</t>
        </is>
      </c>
      <c r="O1000" s="29" t="inlineStr">
        <is>
          <t>0.0</t>
        </is>
      </c>
      <c r="P1000" s="29" t="inlineStr">
        <is>
          <t>KRW</t>
        </is>
      </c>
      <c r="Q1000" s="29" t="inlineStr">
        <is>
          <t>21</t>
        </is>
      </c>
    </row>
    <row r="1001" ht="24" customHeight="1">
      <c r="A1001" s="24" t="inlineStr">
        <is>
          <t>OpenDART_fnlttSinglAcntAll</t>
        </is>
      </c>
      <c r="B1001" s="24" t="inlineStr">
        <is>
          <t>00160843</t>
        </is>
      </c>
      <c r="C1001" s="24" t="inlineStr">
        <is>
          <t>DB하이텍</t>
        </is>
      </c>
      <c r="D1001" s="24" t="inlineStr">
        <is>
          <t>dbhitek</t>
        </is>
      </c>
      <c r="E1001" s="24" t="inlineStr">
        <is>
          <t>000990</t>
        </is>
      </c>
      <c r="F1001" s="24" t="inlineStr">
        <is>
          <t>2025</t>
        </is>
      </c>
      <c r="G1001" s="24" t="inlineStr">
        <is>
          <t>CFS</t>
        </is>
      </c>
      <c r="H1001" s="24" t="inlineStr">
        <is>
          <t>SCE</t>
        </is>
      </c>
      <c r="I1001" s="24" t="inlineStr">
        <is>
          <t>자본변동표</t>
        </is>
      </c>
      <c r="J1001" s="24" t="inlineStr">
        <is>
          <t>ifrs-full_ShareOfOtherComprehensiveIncomeOfAssociatesAndJointVenturesAccountedForUsingEquityMethod</t>
        </is>
      </c>
      <c r="K1001" s="24" t="inlineStr">
        <is>
          <t>관계기업투자 평가</t>
        </is>
      </c>
      <c r="L1001" s="24" t="inlineStr">
        <is>
          <t>자본 [구성요소]|지배기업의 소유주에게 귀속되는 지분 [구성요소]</t>
        </is>
      </c>
      <c r="M1001" s="24" t="inlineStr">
        <is>
          <t>제 73 기</t>
        </is>
      </c>
      <c r="N1001" s="24" t="inlineStr">
        <is>
          <t>60127390.0</t>
        </is>
      </c>
      <c r="O1001" s="24" t="inlineStr">
        <is>
          <t>104730381.0</t>
        </is>
      </c>
      <c r="P1001" s="24" t="inlineStr">
        <is>
          <t>KRW</t>
        </is>
      </c>
      <c r="Q1001" s="24" t="inlineStr">
        <is>
          <t>21</t>
        </is>
      </c>
    </row>
    <row r="1002" ht="24" customHeight="1">
      <c r="A1002" s="29" t="inlineStr">
        <is>
          <t>OpenDART_fnlttSinglAcntAll</t>
        </is>
      </c>
      <c r="B1002" s="29" t="inlineStr">
        <is>
          <t>00160843</t>
        </is>
      </c>
      <c r="C1002" s="29" t="inlineStr">
        <is>
          <t>DB하이텍</t>
        </is>
      </c>
      <c r="D1002" s="29" t="inlineStr">
        <is>
          <t>dbhitek</t>
        </is>
      </c>
      <c r="E1002" s="29" t="inlineStr">
        <is>
          <t>000990</t>
        </is>
      </c>
      <c r="F1002" s="29" t="inlineStr">
        <is>
          <t>2025</t>
        </is>
      </c>
      <c r="G1002" s="29" t="inlineStr">
        <is>
          <t>CFS</t>
        </is>
      </c>
      <c r="H1002" s="29" t="inlineStr">
        <is>
          <t>SCE</t>
        </is>
      </c>
      <c r="I1002" s="29" t="inlineStr">
        <is>
          <t>자본변동표</t>
        </is>
      </c>
      <c r="J1002" s="29" t="inlineStr">
        <is>
          <t>ifrs-full_ShareOfOtherComprehensiveIncomeOfAssociatesAndJointVenturesAccountedForUsingEquityMethod</t>
        </is>
      </c>
      <c r="K1002" s="29" t="inlineStr">
        <is>
          <t>관계기업투자 평가</t>
        </is>
      </c>
      <c r="L1002" s="29" t="inlineStr">
        <is>
          <t>자본 [구성요소]|지배기업의 소유주에게 귀속되는 지분 [구성요소]|기타자본구성요소 [구성요소]</t>
        </is>
      </c>
      <c r="M1002" s="29" t="inlineStr">
        <is>
          <t>제 73 기</t>
        </is>
      </c>
      <c r="N1002" s="29" t="inlineStr">
        <is>
          <t>191681282.0</t>
        </is>
      </c>
      <c r="O1002" s="29" t="inlineStr">
        <is>
          <t>1028732623.0</t>
        </is>
      </c>
      <c r="P1002" s="29" t="inlineStr">
        <is>
          <t>KRW</t>
        </is>
      </c>
      <c r="Q1002" s="29" t="inlineStr">
        <is>
          <t>21</t>
        </is>
      </c>
    </row>
  </sheetData>
  <autoFilter ref="A2:Q1002"/>
  <mergeCells count="1"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7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3" customWidth="1" min="31" max="31"/>
  </cols>
  <sheetData>
    <row r="1" ht="30" customHeight="1">
      <c r="A1" s="16" t="inlineStr">
        <is>
          <t>주가 데이터·기술적 지표</t>
        </is>
      </c>
    </row>
    <row r="2" ht="28" customHeight="1">
      <c r="A2" s="17" t="inlineStr">
        <is>
          <t>Valuation Agent 전용 주가 intake: 종가·이동평균·수익률·MDD·롤링 변동성</t>
        </is>
      </c>
    </row>
    <row r="3" ht="24" customHeight="1"/>
    <row r="4" ht="24" customHeight="1">
      <c r="A4" s="22" t="inlineStr">
        <is>
          <t>주가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데이터 행 수</t>
        </is>
      </c>
      <c r="B6" s="30" t="n">
        <v>1222</v>
      </c>
      <c r="C6" s="24" t="inlineStr">
        <is>
          <t>valuation_price_history.csv 기준</t>
        </is>
      </c>
    </row>
    <row r="7" ht="24" customHeight="1">
      <c r="A7" s="29" t="inlineStr">
        <is>
          <t>수집 시작일</t>
        </is>
      </c>
      <c r="B7" s="29" t="inlineStr">
        <is>
          <t>2021-05-20</t>
        </is>
      </c>
      <c r="C7" s="29" t="inlineStr">
        <is>
          <t>가격 데이터 시작</t>
        </is>
      </c>
    </row>
    <row r="8" ht="24" customHeight="1">
      <c r="A8" s="24" t="inlineStr">
        <is>
          <t>수집 종료일</t>
        </is>
      </c>
      <c r="B8" s="24" t="inlineStr">
        <is>
          <t>2026-05-20</t>
        </is>
      </c>
      <c r="C8" s="24" t="inlineStr">
        <is>
          <t>가격 데이터 종료</t>
        </is>
      </c>
    </row>
    <row r="9" ht="24" customHeight="1">
      <c r="A9" s="29" t="inlineStr">
        <is>
          <t>현재가</t>
        </is>
      </c>
      <c r="B9" s="31" t="n">
        <v>155800</v>
      </c>
      <c r="C9" s="29" t="inlineStr">
        <is>
          <t>최근 종가</t>
        </is>
      </c>
    </row>
    <row r="10" ht="24" customHeight="1">
      <c r="A10" s="24" t="inlineStr">
        <is>
          <t>1년 수익률</t>
        </is>
      </c>
      <c r="B10" s="30" t="n">
        <v>2.954314720812183</v>
      </c>
      <c r="C10" s="24" t="inlineStr">
        <is>
          <t>최근 약 1년</t>
        </is>
      </c>
    </row>
    <row r="11" ht="24" customHeight="1">
      <c r="A11" s="29" t="inlineStr">
        <is>
          <t>연환산 변동성</t>
        </is>
      </c>
      <c r="B11" s="31" t="n">
        <v>0.5285584956449837</v>
      </c>
      <c r="C11" s="29" t="inlineStr">
        <is>
          <t>일수익률 × √252</t>
        </is>
      </c>
    </row>
    <row r="12" ht="24" customHeight="1">
      <c r="A12" s="24" t="inlineStr">
        <is>
          <t>MDD</t>
        </is>
      </c>
      <c r="B12" s="30" t="n">
        <v>-0.6560659599528857</v>
      </c>
      <c r="C12" s="24" t="inlineStr">
        <is>
          <t>기간 중 최대 낙폭</t>
        </is>
      </c>
    </row>
    <row r="13" ht="24" customHeight="1">
      <c r="A13" s="29" t="inlineStr">
        <is>
          <t>52주 고가</t>
        </is>
      </c>
      <c r="B13" s="31" t="n">
        <v>186700</v>
      </c>
      <c r="C13" s="29" t="inlineStr">
        <is>
          <t>최근 252거래일</t>
        </is>
      </c>
    </row>
    <row r="14" ht="24" customHeight="1">
      <c r="A14" s="24" t="inlineStr">
        <is>
          <t>52주 저가</t>
        </is>
      </c>
      <c r="B14" s="30" t="n">
        <v>38100</v>
      </c>
      <c r="C14" s="24" t="inlineStr">
        <is>
          <t>최근 252거래일</t>
        </is>
      </c>
    </row>
    <row r="15" ht="24" customHeight="1">
      <c r="A15" s="29" t="inlineStr">
        <is>
          <t>발행주식 수</t>
        </is>
      </c>
      <c r="B15" s="31" t="n">
        <v>43617167</v>
      </c>
      <c r="C15" s="29" t="inlineStr">
        <is>
          <t>DART stockTotqySttus</t>
        </is>
      </c>
    </row>
    <row r="16" ht="24" customHeight="1">
      <c r="A16" s="24" t="inlineStr">
        <is>
          <t>시가총액</t>
        </is>
      </c>
      <c r="B16" s="30" t="n">
        <v>6795554618600</v>
      </c>
      <c r="C16" s="24" t="inlineStr">
        <is>
          <t>현재가 × 발행주식 수</t>
        </is>
      </c>
    </row>
    <row r="17" ht="24" customHeight="1">
      <c r="A17" s="22" t="inlineStr">
        <is>
          <t>최근 주가 원천 데이터</t>
        </is>
      </c>
      <c r="B17" s="32" t="n"/>
      <c r="C17" s="32" t="n"/>
      <c r="D17" s="32" t="n"/>
      <c r="E17" s="32" t="n"/>
      <c r="F17" s="33" t="n"/>
    </row>
    <row r="18" ht="24" customHeight="1">
      <c r="A18" s="25" t="inlineStr">
        <is>
          <t>일자</t>
        </is>
      </c>
      <c r="B18" s="34" t="inlineStr">
        <is>
          <t>시가</t>
        </is>
      </c>
      <c r="C18" s="25" t="inlineStr">
        <is>
          <t>고가</t>
        </is>
      </c>
      <c r="D18" s="25" t="inlineStr">
        <is>
          <t>저가</t>
        </is>
      </c>
      <c r="E18" s="25" t="inlineStr">
        <is>
          <t>종가</t>
        </is>
      </c>
      <c r="F18" s="25" t="inlineStr">
        <is>
          <t>수정종가</t>
        </is>
      </c>
      <c r="G18" s="25" t="inlineStr">
        <is>
          <t>거래량</t>
        </is>
      </c>
      <c r="H18" s="25" t="inlineStr">
        <is>
          <t>일수익률</t>
        </is>
      </c>
      <c r="I18" s="25" t="inlineStr">
        <is>
          <t>드로다운</t>
        </is>
      </c>
      <c r="J18" s="25" t="inlineStr">
        <is>
          <t>20일선</t>
        </is>
      </c>
      <c r="K18" s="25" t="inlineStr">
        <is>
          <t>60일선</t>
        </is>
      </c>
      <c r="L18" s="25" t="inlineStr">
        <is>
          <t>120일선</t>
        </is>
      </c>
      <c r="M18" s="25" t="inlineStr">
        <is>
          <t>20일 변동성</t>
        </is>
      </c>
      <c r="N18" s="25" t="inlineStr">
        <is>
          <t>60일 변동성</t>
        </is>
      </c>
      <c r="O18" s="25" t="inlineStr">
        <is>
          <t>20일 수익률</t>
        </is>
      </c>
      <c r="P18" s="25" t="inlineStr">
        <is>
          <t>60일 수익률</t>
        </is>
      </c>
      <c r="Q18" s="25" t="inlineStr">
        <is>
          <t>120일 수익률</t>
        </is>
      </c>
      <c r="R18" s="25" t="inlineStr">
        <is>
          <t>20일선 괴리</t>
        </is>
      </c>
      <c r="S18" s="25" t="inlineStr">
        <is>
          <t>60일선 괴리</t>
        </is>
      </c>
      <c r="T18" s="25" t="inlineStr">
        <is>
          <t>120일선 괴리</t>
        </is>
      </c>
      <c r="U18" s="25" t="inlineStr">
        <is>
          <t>52주 고가</t>
        </is>
      </c>
      <c r="V18" s="25" t="inlineStr">
        <is>
          <t>52주 저가</t>
        </is>
      </c>
      <c r="W18" s="25" t="inlineStr">
        <is>
          <t>52주 고가 대비</t>
        </is>
      </c>
      <c r="X18" s="25" t="inlineStr">
        <is>
          <t>52주 저가 대비</t>
        </is>
      </c>
      <c r="Y18" s="25" t="inlineStr">
        <is>
          <t>발행주식 수</t>
        </is>
      </c>
      <c r="Z18" s="25" t="inlineStr">
        <is>
          <t>시가총액</t>
        </is>
      </c>
      <c r="AA18" s="25" t="inlineStr">
        <is>
          <t>거래대금</t>
        </is>
      </c>
      <c r="AB18" s="25" t="inlineStr">
        <is>
          <t>20일 평균 거래대금</t>
        </is>
      </c>
      <c r="AC18" s="25" t="inlineStr">
        <is>
          <t>거래회전율</t>
        </is>
      </c>
      <c r="AD18" s="25" t="inlineStr">
        <is>
          <t>출처</t>
        </is>
      </c>
      <c r="AE18" s="25" t="inlineStr">
        <is>
          <t>티커</t>
        </is>
      </c>
    </row>
    <row r="19" ht="24" customHeight="1">
      <c r="A19" s="24" t="inlineStr">
        <is>
          <t>2023-07-03</t>
        </is>
      </c>
      <c r="B19" s="30" t="n">
        <v>63200</v>
      </c>
      <c r="C19" s="30" t="n">
        <v>64800</v>
      </c>
      <c r="D19" s="30" t="n">
        <v>62500</v>
      </c>
      <c r="E19" s="30" t="n">
        <v>62700</v>
      </c>
      <c r="F19" s="30" t="n">
        <v>59842.7265625</v>
      </c>
      <c r="G19" s="30" t="n">
        <v>650694</v>
      </c>
      <c r="H19" s="35" t="n">
        <v>-0.006339144215530945</v>
      </c>
      <c r="I19" s="35" t="n">
        <v>-0.2614840989399293</v>
      </c>
      <c r="J19" s="30" t="n">
        <v>63205</v>
      </c>
      <c r="K19" s="30" t="n">
        <v>63995</v>
      </c>
      <c r="L19" s="30" t="n">
        <v>56345.83333333334</v>
      </c>
      <c r="M19" s="35" t="n">
        <v>0.347308980157525</v>
      </c>
      <c r="N19" s="35" t="n">
        <v>0.3925846775507194</v>
      </c>
      <c r="O19" s="35" t="n">
        <v>-0.009478672985781977</v>
      </c>
      <c r="P19" s="35" t="n">
        <v>-0.193050193050193</v>
      </c>
      <c r="Q19" s="35" t="n">
        <v>0.5893536121673004</v>
      </c>
      <c r="R19" s="35" t="n">
        <v>-0.00798987421881181</v>
      </c>
      <c r="S19" s="35" t="n">
        <v>-0.02023595593405736</v>
      </c>
      <c r="T19" s="35" t="n">
        <v>0.1127708348739185</v>
      </c>
      <c r="U19" s="30" t="n">
        <v>77700</v>
      </c>
      <c r="V19" s="30" t="n">
        <v>36200</v>
      </c>
      <c r="W19" s="35" t="n">
        <v>-0.193050193050193</v>
      </c>
      <c r="X19" s="35" t="n">
        <v>0.7320441988950277</v>
      </c>
      <c r="Y19" s="30" t="n">
        <v>43617167</v>
      </c>
      <c r="Z19" s="30" t="n">
        <v>2734796370900</v>
      </c>
      <c r="AA19" s="30" t="n">
        <v>40798513800</v>
      </c>
      <c r="AB19" s="30" t="n">
        <v>47241969175</v>
      </c>
      <c r="AC19" s="35" t="n">
        <v>0.01491830040222466</v>
      </c>
      <c r="AD19" s="24" t="inlineStr">
        <is>
          <t>yfinance_download</t>
        </is>
      </c>
      <c r="AE19" s="24" t="inlineStr">
        <is>
          <t>000990.KS</t>
        </is>
      </c>
    </row>
    <row r="20" ht="24" customHeight="1">
      <c r="A20" s="29" t="inlineStr">
        <is>
          <t>2023-07-04</t>
        </is>
      </c>
      <c r="B20" s="31" t="n">
        <v>62600</v>
      </c>
      <c r="C20" s="31" t="n">
        <v>62600</v>
      </c>
      <c r="D20" s="31" t="n">
        <v>61300</v>
      </c>
      <c r="E20" s="31" t="n">
        <v>62100</v>
      </c>
      <c r="F20" s="31" t="n">
        <v>59270.0703125</v>
      </c>
      <c r="G20" s="31" t="n">
        <v>610954</v>
      </c>
      <c r="H20" s="36" t="n">
        <v>-0.009569377990430672</v>
      </c>
      <c r="I20" s="36" t="n">
        <v>-0.2685512367491166</v>
      </c>
      <c r="J20" s="31" t="n">
        <v>63215</v>
      </c>
      <c r="K20" s="31" t="n">
        <v>63790</v>
      </c>
      <c r="L20" s="31" t="n">
        <v>56513.33333333334</v>
      </c>
      <c r="M20" s="36" t="n">
        <v>0.3396002782501327</v>
      </c>
      <c r="N20" s="36" t="n">
        <v>0.3842540327000163</v>
      </c>
      <c r="O20" s="36" t="n">
        <v>0.003231017770597644</v>
      </c>
      <c r="P20" s="36" t="n">
        <v>-0.1653225806451613</v>
      </c>
      <c r="Q20" s="36" t="n">
        <v>0.4785714285714286</v>
      </c>
      <c r="R20" s="36" t="n">
        <v>-0.01763821877718896</v>
      </c>
      <c r="S20" s="36" t="n">
        <v>-0.02649318074933371</v>
      </c>
      <c r="T20" s="36" t="n">
        <v>0.09885572726200298</v>
      </c>
      <c r="U20" s="31" t="n">
        <v>77700</v>
      </c>
      <c r="V20" s="31" t="n">
        <v>36200</v>
      </c>
      <c r="W20" s="36" t="n">
        <v>-0.2007722007722008</v>
      </c>
      <c r="X20" s="36" t="n">
        <v>0.7154696132596685</v>
      </c>
      <c r="Y20" s="31" t="n">
        <v>43617167</v>
      </c>
      <c r="Z20" s="31" t="n">
        <v>2708626070700</v>
      </c>
      <c r="AA20" s="31" t="n">
        <v>37940243400</v>
      </c>
      <c r="AB20" s="31" t="n">
        <v>46031217565</v>
      </c>
      <c r="AC20" s="36" t="n">
        <v>0.01400719125109616</v>
      </c>
      <c r="AD20" s="29" t="inlineStr">
        <is>
          <t>yfinance_download</t>
        </is>
      </c>
      <c r="AE20" s="29" t="inlineStr">
        <is>
          <t>000990.KS</t>
        </is>
      </c>
    </row>
    <row r="21" ht="24" customHeight="1">
      <c r="A21" s="24" t="inlineStr">
        <is>
          <t>2023-07-05</t>
        </is>
      </c>
      <c r="B21" s="30" t="n">
        <v>62500</v>
      </c>
      <c r="C21" s="30" t="n">
        <v>64100</v>
      </c>
      <c r="D21" s="30" t="n">
        <v>62000</v>
      </c>
      <c r="E21" s="30" t="n">
        <v>62800</v>
      </c>
      <c r="F21" s="30" t="n">
        <v>59938.171875</v>
      </c>
      <c r="G21" s="30" t="n">
        <v>829815</v>
      </c>
      <c r="H21" s="35" t="n">
        <v>0.01127214170692437</v>
      </c>
      <c r="I21" s="35" t="n">
        <v>-0.2603062426383981</v>
      </c>
      <c r="J21" s="30" t="n">
        <v>63280</v>
      </c>
      <c r="K21" s="30" t="n">
        <v>63598.33333333334</v>
      </c>
      <c r="L21" s="30" t="n">
        <v>56677.5</v>
      </c>
      <c r="M21" s="35" t="n">
        <v>0.3406942641730222</v>
      </c>
      <c r="N21" s="35" t="n">
        <v>0.3853154450049286</v>
      </c>
      <c r="O21" s="35" t="n">
        <v>0.02113821138211391</v>
      </c>
      <c r="P21" s="35" t="n">
        <v>-0.154777927321669</v>
      </c>
      <c r="Q21" s="35" t="n">
        <v>0.45707656612529</v>
      </c>
      <c r="R21" s="35" t="n">
        <v>-0.007585335018963302</v>
      </c>
      <c r="S21" s="35" t="n">
        <v>-0.01255273985167327</v>
      </c>
      <c r="T21" s="35" t="n">
        <v>0.1080234661020687</v>
      </c>
      <c r="U21" s="30" t="n">
        <v>77700</v>
      </c>
      <c r="V21" s="30" t="n">
        <v>36200</v>
      </c>
      <c r="W21" s="35" t="n">
        <v>-0.1917631917631918</v>
      </c>
      <c r="X21" s="35" t="n">
        <v>0.7348066298342542</v>
      </c>
      <c r="Y21" s="30" t="n">
        <v>43617167</v>
      </c>
      <c r="Z21" s="30" t="n">
        <v>2739158087600</v>
      </c>
      <c r="AA21" s="30" t="n">
        <v>52112382000</v>
      </c>
      <c r="AB21" s="30" t="n">
        <v>46803555490</v>
      </c>
      <c r="AC21" s="35" t="n">
        <v>0.01902496326733004</v>
      </c>
      <c r="AD21" s="24" t="inlineStr">
        <is>
          <t>yfinance_download</t>
        </is>
      </c>
      <c r="AE21" s="24" t="inlineStr">
        <is>
          <t>000990.KS</t>
        </is>
      </c>
    </row>
    <row r="22" ht="24" customHeight="1">
      <c r="A22" s="29" t="inlineStr">
        <is>
          <t>2023-07-06</t>
        </is>
      </c>
      <c r="B22" s="31" t="n">
        <v>62900</v>
      </c>
      <c r="C22" s="31" t="n">
        <v>62900</v>
      </c>
      <c r="D22" s="31" t="n">
        <v>59900</v>
      </c>
      <c r="E22" s="31" t="n">
        <v>60100</v>
      </c>
      <c r="F22" s="31" t="n">
        <v>57361.2109375</v>
      </c>
      <c r="G22" s="31" t="n">
        <v>874751</v>
      </c>
      <c r="H22" s="36" t="n">
        <v>-0.04299363057324845</v>
      </c>
      <c r="I22" s="36" t="n">
        <v>-0.2921083627797408</v>
      </c>
      <c r="J22" s="31" t="n">
        <v>63190</v>
      </c>
      <c r="K22" s="31" t="n">
        <v>63340</v>
      </c>
      <c r="L22" s="31" t="n">
        <v>56811.66666666666</v>
      </c>
      <c r="M22" s="36" t="n">
        <v>0.3742536428276078</v>
      </c>
      <c r="N22" s="36" t="n">
        <v>0.3917882526638171</v>
      </c>
      <c r="O22" s="36" t="n">
        <v>-0.02907915993537968</v>
      </c>
      <c r="P22" s="36" t="n">
        <v>-0.205026455026455</v>
      </c>
      <c r="Q22" s="36" t="n">
        <v>0.365909090909091</v>
      </c>
      <c r="R22" s="36" t="n">
        <v>-0.04890014242759932</v>
      </c>
      <c r="S22" s="36" t="n">
        <v>-0.05115251026207768</v>
      </c>
      <c r="T22" s="36" t="n">
        <v>0.05788130372282696</v>
      </c>
      <c r="U22" s="31" t="n">
        <v>77700</v>
      </c>
      <c r="V22" s="31" t="n">
        <v>36200</v>
      </c>
      <c r="W22" s="36" t="n">
        <v>-0.2265122265122265</v>
      </c>
      <c r="X22" s="36" t="n">
        <v>0.660220994475138</v>
      </c>
      <c r="Y22" s="31" t="n">
        <v>43617167</v>
      </c>
      <c r="Z22" s="31" t="n">
        <v>2621391736700</v>
      </c>
      <c r="AA22" s="31" t="n">
        <v>52572535100</v>
      </c>
      <c r="AB22" s="31" t="n">
        <v>47278835995</v>
      </c>
      <c r="AC22" s="36" t="n">
        <v>0.02005519982533483</v>
      </c>
      <c r="AD22" s="29" t="inlineStr">
        <is>
          <t>yfinance_download</t>
        </is>
      </c>
      <c r="AE22" s="29" t="inlineStr">
        <is>
          <t>000990.KS</t>
        </is>
      </c>
    </row>
    <row r="23" ht="24" customHeight="1">
      <c r="A23" s="24" t="inlineStr">
        <is>
          <t>2023-07-07</t>
        </is>
      </c>
      <c r="B23" s="30" t="n">
        <v>59500</v>
      </c>
      <c r="C23" s="30" t="n">
        <v>60100</v>
      </c>
      <c r="D23" s="30" t="n">
        <v>58300</v>
      </c>
      <c r="E23" s="30" t="n">
        <v>58900</v>
      </c>
      <c r="F23" s="30" t="n">
        <v>56215.89453125</v>
      </c>
      <c r="G23" s="30" t="n">
        <v>620915</v>
      </c>
      <c r="H23" s="35" t="n">
        <v>-0.01996672212978368</v>
      </c>
      <c r="I23" s="35" t="n">
        <v>-0.3062426383981154</v>
      </c>
      <c r="J23" s="30" t="n">
        <v>62960</v>
      </c>
      <c r="K23" s="30" t="n">
        <v>63058.33333333334</v>
      </c>
      <c r="L23" s="30" t="n">
        <v>56935</v>
      </c>
      <c r="M23" s="35" t="n">
        <v>0.3655560845534994</v>
      </c>
      <c r="N23" s="35" t="n">
        <v>0.3930075717558378</v>
      </c>
      <c r="O23" s="35" t="n">
        <v>-0.07244094488188979</v>
      </c>
      <c r="P23" s="35" t="n">
        <v>-0.2229551451187335</v>
      </c>
      <c r="Q23" s="35" t="n">
        <v>0.3356009070294785</v>
      </c>
      <c r="R23" s="35" t="n">
        <v>-0.06448538754764932</v>
      </c>
      <c r="S23" s="35" t="n">
        <v>-0.06594423153165063</v>
      </c>
      <c r="T23" s="35" t="n">
        <v>0.0345130411873189</v>
      </c>
      <c r="U23" s="30" t="n">
        <v>77700</v>
      </c>
      <c r="V23" s="30" t="n">
        <v>36200</v>
      </c>
      <c r="W23" s="35" t="n">
        <v>-0.241956241956242</v>
      </c>
      <c r="X23" s="35" t="n">
        <v>0.6270718232044199</v>
      </c>
      <c r="Y23" s="30" t="n">
        <v>43617167</v>
      </c>
      <c r="Z23" s="30" t="n">
        <v>2569051136300</v>
      </c>
      <c r="AA23" s="30" t="n">
        <v>36571893500</v>
      </c>
      <c r="AB23" s="30" t="n">
        <v>45975131245</v>
      </c>
      <c r="AC23" s="35" t="n">
        <v>0.01423556463444772</v>
      </c>
      <c r="AD23" s="24" t="inlineStr">
        <is>
          <t>yfinance_download</t>
        </is>
      </c>
      <c r="AE23" s="24" t="inlineStr">
        <is>
          <t>000990.KS</t>
        </is>
      </c>
    </row>
    <row r="24" ht="24" customHeight="1">
      <c r="A24" s="29" t="inlineStr">
        <is>
          <t>2023-07-10</t>
        </is>
      </c>
      <c r="B24" s="31" t="n">
        <v>58900</v>
      </c>
      <c r="C24" s="31" t="n">
        <v>59500</v>
      </c>
      <c r="D24" s="31" t="n">
        <v>57800</v>
      </c>
      <c r="E24" s="31" t="n">
        <v>58100</v>
      </c>
      <c r="F24" s="31" t="n">
        <v>55452.3515625</v>
      </c>
      <c r="G24" s="31" t="n">
        <v>512263</v>
      </c>
      <c r="H24" s="36" t="n">
        <v>-0.01358234295415961</v>
      </c>
      <c r="I24" s="36" t="n">
        <v>-0.3156654888103652</v>
      </c>
      <c r="J24" s="31" t="n">
        <v>62770</v>
      </c>
      <c r="K24" s="31" t="n">
        <v>62735</v>
      </c>
      <c r="L24" s="31" t="n">
        <v>57056.25</v>
      </c>
      <c r="M24" s="36" t="n">
        <v>0.3586727500497033</v>
      </c>
      <c r="N24" s="36" t="n">
        <v>0.3896204098558028</v>
      </c>
      <c r="O24" s="36" t="n">
        <v>-0.06138933764135701</v>
      </c>
      <c r="P24" s="36" t="n">
        <v>-0.2503225806451613</v>
      </c>
      <c r="Q24" s="36" t="n">
        <v>0.3340987370838118</v>
      </c>
      <c r="R24" s="36" t="n">
        <v>-0.07439859805639637</v>
      </c>
      <c r="S24" s="36" t="n">
        <v>-0.07388220291703196</v>
      </c>
      <c r="T24" s="36" t="n">
        <v>0.01829335085989703</v>
      </c>
      <c r="U24" s="31" t="n">
        <v>77700</v>
      </c>
      <c r="V24" s="31" t="n">
        <v>36200</v>
      </c>
      <c r="W24" s="36" t="n">
        <v>-0.2522522522522522</v>
      </c>
      <c r="X24" s="36" t="n">
        <v>0.6049723756906078</v>
      </c>
      <c r="Y24" s="31" t="n">
        <v>43617167</v>
      </c>
      <c r="Z24" s="31" t="n">
        <v>2534157402700</v>
      </c>
      <c r="AA24" s="31" t="n">
        <v>29762480300</v>
      </c>
      <c r="AB24" s="31" t="n">
        <v>45766588640</v>
      </c>
      <c r="AC24" s="36" t="n">
        <v>0.01174452710328481</v>
      </c>
      <c r="AD24" s="29" t="inlineStr">
        <is>
          <t>yfinance_download</t>
        </is>
      </c>
      <c r="AE24" s="29" t="inlineStr">
        <is>
          <t>000990.KS</t>
        </is>
      </c>
    </row>
    <row r="25" ht="24" customHeight="1">
      <c r="A25" s="24" t="inlineStr">
        <is>
          <t>2023-07-11</t>
        </is>
      </c>
      <c r="B25" s="30" t="n">
        <v>58200</v>
      </c>
      <c r="C25" s="30" t="n">
        <v>59300</v>
      </c>
      <c r="D25" s="30" t="n">
        <v>58200</v>
      </c>
      <c r="E25" s="30" t="n">
        <v>59100</v>
      </c>
      <c r="F25" s="30" t="n">
        <v>56406.78125</v>
      </c>
      <c r="G25" s="30" t="n">
        <v>377117</v>
      </c>
      <c r="H25" s="35" t="n">
        <v>0.01721170395869187</v>
      </c>
      <c r="I25" s="35" t="n">
        <v>-0.3038869257950531</v>
      </c>
      <c r="J25" s="30" t="n">
        <v>62570</v>
      </c>
      <c r="K25" s="30" t="n">
        <v>62455</v>
      </c>
      <c r="L25" s="30" t="n">
        <v>57188.75</v>
      </c>
      <c r="M25" s="35" t="n">
        <v>0.3569582707581734</v>
      </c>
      <c r="N25" s="35" t="n">
        <v>0.3906412455662203</v>
      </c>
      <c r="O25" s="35" t="n">
        <v>-0.06339144215530901</v>
      </c>
      <c r="P25" s="35" t="n">
        <v>-0.2213438735177866</v>
      </c>
      <c r="Q25" s="35" t="n">
        <v>0.3680555555555556</v>
      </c>
      <c r="R25" s="35" t="n">
        <v>-0.05545788716637368</v>
      </c>
      <c r="S25" s="35" t="n">
        <v>-0.05371867744776238</v>
      </c>
      <c r="T25" s="35" t="n">
        <v>0.03342003453476416</v>
      </c>
      <c r="U25" s="30" t="n">
        <v>77700</v>
      </c>
      <c r="V25" s="30" t="n">
        <v>36200</v>
      </c>
      <c r="W25" s="35" t="n">
        <v>-0.2393822393822393</v>
      </c>
      <c r="X25" s="35" t="n">
        <v>0.632596685082873</v>
      </c>
      <c r="Y25" s="30" t="n">
        <v>43617167</v>
      </c>
      <c r="Z25" s="30" t="n">
        <v>2577774569700</v>
      </c>
      <c r="AA25" s="30" t="n">
        <v>22287614700</v>
      </c>
      <c r="AB25" s="30" t="n">
        <v>43951384660</v>
      </c>
      <c r="AC25" s="35" t="n">
        <v>0.008646068186867799</v>
      </c>
      <c r="AD25" s="24" t="inlineStr">
        <is>
          <t>yfinance_download</t>
        </is>
      </c>
      <c r="AE25" s="24" t="inlineStr">
        <is>
          <t>000990.KS</t>
        </is>
      </c>
    </row>
    <row r="26" ht="24" customHeight="1">
      <c r="A26" s="29" t="inlineStr">
        <is>
          <t>2023-07-12</t>
        </is>
      </c>
      <c r="B26" s="31" t="n">
        <v>59100</v>
      </c>
      <c r="C26" s="31" t="n">
        <v>61400</v>
      </c>
      <c r="D26" s="31" t="n">
        <v>58600</v>
      </c>
      <c r="E26" s="31" t="n">
        <v>61200</v>
      </c>
      <c r="F26" s="31" t="n">
        <v>58411.0859375</v>
      </c>
      <c r="G26" s="31" t="n">
        <v>461328</v>
      </c>
      <c r="H26" s="36" t="n">
        <v>0.03553299492385786</v>
      </c>
      <c r="I26" s="36" t="n">
        <v>-0.2791519434628975</v>
      </c>
      <c r="J26" s="31" t="n">
        <v>62535</v>
      </c>
      <c r="K26" s="31" t="n">
        <v>62255</v>
      </c>
      <c r="L26" s="31" t="n">
        <v>57336.66666666666</v>
      </c>
      <c r="M26" s="36" t="n">
        <v>0.3765309114011855</v>
      </c>
      <c r="N26" s="36" t="n">
        <v>0.3931611717190932</v>
      </c>
      <c r="O26" s="36" t="n">
        <v>-0.01130856219709209</v>
      </c>
      <c r="P26" s="36" t="n">
        <v>-0.1639344262295082</v>
      </c>
      <c r="Q26" s="36" t="n">
        <v>0.4085155350978136</v>
      </c>
      <c r="R26" s="36" t="n">
        <v>-0.02134804509474697</v>
      </c>
      <c r="S26" s="36" t="n">
        <v>-0.01694643000562202</v>
      </c>
      <c r="T26" s="36" t="n">
        <v>0.06737980349979655</v>
      </c>
      <c r="U26" s="31" t="n">
        <v>77700</v>
      </c>
      <c r="V26" s="31" t="n">
        <v>36200</v>
      </c>
      <c r="W26" s="36" t="n">
        <v>-0.2123552123552124</v>
      </c>
      <c r="X26" s="36" t="n">
        <v>0.6906077348066297</v>
      </c>
      <c r="Y26" s="31" t="n">
        <v>43617167</v>
      </c>
      <c r="Z26" s="31" t="n">
        <v>2669370620400</v>
      </c>
      <c r="AA26" s="31" t="n">
        <v>28233273600</v>
      </c>
      <c r="AB26" s="31" t="n">
        <v>43051971605</v>
      </c>
      <c r="AC26" s="36" t="n">
        <v>0.01057675295600927</v>
      </c>
      <c r="AD26" s="29" t="inlineStr">
        <is>
          <t>yfinance_download</t>
        </is>
      </c>
      <c r="AE26" s="29" t="inlineStr">
        <is>
          <t>000990.KS</t>
        </is>
      </c>
    </row>
    <row r="27" ht="24" customHeight="1">
      <c r="A27" s="24" t="inlineStr">
        <is>
          <t>2023-07-13</t>
        </is>
      </c>
      <c r="B27" s="30" t="n">
        <v>61500</v>
      </c>
      <c r="C27" s="30" t="n">
        <v>61600</v>
      </c>
      <c r="D27" s="30" t="n">
        <v>60400</v>
      </c>
      <c r="E27" s="30" t="n">
        <v>60700</v>
      </c>
      <c r="F27" s="30" t="n">
        <v>57933.8671875</v>
      </c>
      <c r="G27" s="30" t="n">
        <v>502216</v>
      </c>
      <c r="H27" s="35" t="n">
        <v>-0.008169934640522847</v>
      </c>
      <c r="I27" s="35" t="n">
        <v>-0.2850412249705536</v>
      </c>
      <c r="J27" s="30" t="n">
        <v>62360</v>
      </c>
      <c r="K27" s="30" t="n">
        <v>62073.33333333334</v>
      </c>
      <c r="L27" s="30" t="n">
        <v>57484.58333333334</v>
      </c>
      <c r="M27" s="35" t="n">
        <v>0.350180759799318</v>
      </c>
      <c r="N27" s="35" t="n">
        <v>0.39130562927044</v>
      </c>
      <c r="O27" s="35" t="n">
        <v>-0.05451713395638624</v>
      </c>
      <c r="P27" s="35" t="n">
        <v>-0.1522346368715084</v>
      </c>
      <c r="Q27" s="35" t="n">
        <v>0.4132712456344587</v>
      </c>
      <c r="R27" s="35" t="n">
        <v>-0.0266196279666453</v>
      </c>
      <c r="S27" s="35" t="n">
        <v>-0.02212436902588344</v>
      </c>
      <c r="T27" s="35" t="n">
        <v>0.05593528699723826</v>
      </c>
      <c r="U27" s="30" t="n">
        <v>77700</v>
      </c>
      <c r="V27" s="30" t="n">
        <v>36200</v>
      </c>
      <c r="W27" s="35" t="n">
        <v>-0.2187902187902188</v>
      </c>
      <c r="X27" s="35" t="n">
        <v>0.6767955801104972</v>
      </c>
      <c r="Y27" s="30" t="n">
        <v>43617167</v>
      </c>
      <c r="Z27" s="30" t="n">
        <v>2647562036900</v>
      </c>
      <c r="AA27" s="30" t="n">
        <v>30484511200</v>
      </c>
      <c r="AB27" s="30" t="n">
        <v>40588414165</v>
      </c>
      <c r="AC27" s="35" t="n">
        <v>0.01151418201920359</v>
      </c>
      <c r="AD27" s="24" t="inlineStr">
        <is>
          <t>yfinance_download</t>
        </is>
      </c>
      <c r="AE27" s="24" t="inlineStr">
        <is>
          <t>000990.KS</t>
        </is>
      </c>
    </row>
    <row r="28" ht="24" customHeight="1">
      <c r="A28" s="29" t="inlineStr">
        <is>
          <t>2023-07-14</t>
        </is>
      </c>
      <c r="B28" s="31" t="n">
        <v>60900</v>
      </c>
      <c r="C28" s="31" t="n">
        <v>62100</v>
      </c>
      <c r="D28" s="31" t="n">
        <v>60100</v>
      </c>
      <c r="E28" s="31" t="n">
        <v>60700</v>
      </c>
      <c r="F28" s="31" t="n">
        <v>57933.8671875</v>
      </c>
      <c r="G28" s="31" t="n">
        <v>824245</v>
      </c>
      <c r="H28" s="36" t="n">
        <v>0</v>
      </c>
      <c r="I28" s="36" t="n">
        <v>-0.2850412249705536</v>
      </c>
      <c r="J28" s="31" t="n">
        <v>62185</v>
      </c>
      <c r="K28" s="31" t="n">
        <v>61905</v>
      </c>
      <c r="L28" s="31" t="n">
        <v>57634.16666666666</v>
      </c>
      <c r="M28" s="36" t="n">
        <v>0.350180759799318</v>
      </c>
      <c r="N28" s="36" t="n">
        <v>0.3909116740290302</v>
      </c>
      <c r="O28" s="36" t="n">
        <v>-0.05451713395638624</v>
      </c>
      <c r="P28" s="36" t="n">
        <v>-0.1426553672316384</v>
      </c>
      <c r="Q28" s="36" t="n">
        <v>0.4198830409356724</v>
      </c>
      <c r="R28" s="36" t="n">
        <v>-0.02388035699927638</v>
      </c>
      <c r="S28" s="36" t="n">
        <v>-0.01946530974880867</v>
      </c>
      <c r="T28" s="36" t="n">
        <v>0.05319471956738631</v>
      </c>
      <c r="U28" s="31" t="n">
        <v>77700</v>
      </c>
      <c r="V28" s="31" t="n">
        <v>36200</v>
      </c>
      <c r="W28" s="36" t="n">
        <v>-0.2187902187902188</v>
      </c>
      <c r="X28" s="36" t="n">
        <v>0.6767955801104972</v>
      </c>
      <c r="Y28" s="31" t="n">
        <v>43617167</v>
      </c>
      <c r="Z28" s="31" t="n">
        <v>2647562036900</v>
      </c>
      <c r="AA28" s="31" t="n">
        <v>50031671500</v>
      </c>
      <c r="AB28" s="31" t="n">
        <v>40915925730</v>
      </c>
      <c r="AC28" s="36" t="n">
        <v>0.01889726125495496</v>
      </c>
      <c r="AD28" s="29" t="inlineStr">
        <is>
          <t>yfinance_download</t>
        </is>
      </c>
      <c r="AE28" s="29" t="inlineStr">
        <is>
          <t>000990.KS</t>
        </is>
      </c>
    </row>
    <row r="29" ht="24" customHeight="1">
      <c r="A29" s="24" t="inlineStr">
        <is>
          <t>2023-07-17</t>
        </is>
      </c>
      <c r="B29" s="30" t="n">
        <v>60700</v>
      </c>
      <c r="C29" s="30" t="n">
        <v>60700</v>
      </c>
      <c r="D29" s="30" t="n">
        <v>60700</v>
      </c>
      <c r="E29" s="30" t="n">
        <v>60700</v>
      </c>
      <c r="F29" s="30" t="n">
        <v>57933.8671875</v>
      </c>
      <c r="G29" s="30" t="n">
        <v>0</v>
      </c>
      <c r="H29" s="35" t="n">
        <v>0</v>
      </c>
      <c r="I29" s="35" t="n">
        <v>-0.2850412249705536</v>
      </c>
      <c r="J29" s="30" t="n">
        <v>61975</v>
      </c>
      <c r="K29" s="30" t="n">
        <v>61761.66666666666</v>
      </c>
      <c r="L29" s="30" t="n">
        <v>57774.58333333334</v>
      </c>
      <c r="M29" s="35" t="n">
        <v>0.3467401874038832</v>
      </c>
      <c r="N29" s="35" t="n">
        <v>0.3889379055619396</v>
      </c>
      <c r="O29" s="35" t="n">
        <v>-0.06471494607087824</v>
      </c>
      <c r="P29" s="35" t="n">
        <v>-0.1240981240981242</v>
      </c>
      <c r="Q29" s="35" t="n">
        <v>0.3842645381984036</v>
      </c>
      <c r="R29" s="35" t="n">
        <v>-0.02057281161758773</v>
      </c>
      <c r="S29" s="35" t="n">
        <v>-0.01718973473297891</v>
      </c>
      <c r="T29" s="35" t="n">
        <v>0.05063501107032353</v>
      </c>
      <c r="U29" s="30" t="n">
        <v>77700</v>
      </c>
      <c r="V29" s="30" t="n">
        <v>36200</v>
      </c>
      <c r="W29" s="35" t="n">
        <v>-0.2187902187902188</v>
      </c>
      <c r="X29" s="35" t="n">
        <v>0.6767955801104972</v>
      </c>
      <c r="Y29" s="30" t="n">
        <v>43617167</v>
      </c>
      <c r="Z29" s="30" t="n">
        <v>2647562036900</v>
      </c>
      <c r="AA29" s="30" t="n">
        <v>0</v>
      </c>
      <c r="AB29" s="30" t="n">
        <v>38678832465</v>
      </c>
      <c r="AC29" s="35" t="n">
        <v>0</v>
      </c>
      <c r="AD29" s="24" t="inlineStr">
        <is>
          <t>yfinance_download</t>
        </is>
      </c>
      <c r="AE29" s="24" t="inlineStr">
        <is>
          <t>000990.KS</t>
        </is>
      </c>
    </row>
    <row r="30" ht="24" customHeight="1">
      <c r="A30" s="29" t="inlineStr">
        <is>
          <t>2023-07-18</t>
        </is>
      </c>
      <c r="B30" s="31" t="n">
        <v>60700</v>
      </c>
      <c r="C30" s="31" t="n">
        <v>60700</v>
      </c>
      <c r="D30" s="31" t="n">
        <v>60700</v>
      </c>
      <c r="E30" s="31" t="n">
        <v>60700</v>
      </c>
      <c r="F30" s="31" t="n">
        <v>57933.8671875</v>
      </c>
      <c r="G30" s="31" t="n">
        <v>0</v>
      </c>
      <c r="H30" s="36" t="n">
        <v>0</v>
      </c>
      <c r="I30" s="36" t="n">
        <v>-0.2850412249705536</v>
      </c>
      <c r="J30" s="31" t="n">
        <v>61650</v>
      </c>
      <c r="K30" s="31" t="n">
        <v>61638.33333333334</v>
      </c>
      <c r="L30" s="31" t="n">
        <v>57913.75</v>
      </c>
      <c r="M30" s="36" t="n">
        <v>0.3159326742126767</v>
      </c>
      <c r="N30" s="36" t="n">
        <v>0.3876253893153121</v>
      </c>
      <c r="O30" s="36" t="n">
        <v>-0.09672619047619047</v>
      </c>
      <c r="P30" s="36" t="n">
        <v>-0.1086637298091042</v>
      </c>
      <c r="Q30" s="36" t="n">
        <v>0.3795454545454546</v>
      </c>
      <c r="R30" s="36" t="n">
        <v>-0.01540957015409572</v>
      </c>
      <c r="S30" s="36" t="n">
        <v>-0.01522321066435939</v>
      </c>
      <c r="T30" s="36" t="n">
        <v>0.04811033649176588</v>
      </c>
      <c r="U30" s="31" t="n">
        <v>77700</v>
      </c>
      <c r="V30" s="31" t="n">
        <v>36200</v>
      </c>
      <c r="W30" s="36" t="n">
        <v>-0.2187902187902188</v>
      </c>
      <c r="X30" s="36" t="n">
        <v>0.6767955801104972</v>
      </c>
      <c r="Y30" s="31" t="n">
        <v>43617167</v>
      </c>
      <c r="Z30" s="31" t="n">
        <v>2647562036900</v>
      </c>
      <c r="AA30" s="31" t="n">
        <v>0</v>
      </c>
      <c r="AB30" s="31" t="n">
        <v>33113519985</v>
      </c>
      <c r="AC30" s="36" t="n">
        <v>0</v>
      </c>
      <c r="AD30" s="29" t="inlineStr">
        <is>
          <t>yfinance_download</t>
        </is>
      </c>
      <c r="AE30" s="29" t="inlineStr">
        <is>
          <t>000990.KS</t>
        </is>
      </c>
    </row>
    <row r="31" ht="24" customHeight="1">
      <c r="A31" s="24" t="inlineStr">
        <is>
          <t>2023-07-19</t>
        </is>
      </c>
      <c r="B31" s="30" t="n">
        <v>60700</v>
      </c>
      <c r="C31" s="30" t="n">
        <v>60700</v>
      </c>
      <c r="D31" s="30" t="n">
        <v>60700</v>
      </c>
      <c r="E31" s="30" t="n">
        <v>60700</v>
      </c>
      <c r="F31" s="30" t="n">
        <v>57933.8671875</v>
      </c>
      <c r="G31" s="30" t="n">
        <v>0</v>
      </c>
      <c r="H31" s="35" t="n">
        <v>0</v>
      </c>
      <c r="I31" s="35" t="n">
        <v>-0.2850412249705536</v>
      </c>
      <c r="J31" s="30" t="n">
        <v>61495</v>
      </c>
      <c r="K31" s="30" t="n">
        <v>61551.66666666666</v>
      </c>
      <c r="L31" s="30" t="n">
        <v>58042.08333333334</v>
      </c>
      <c r="M31" s="35" t="n">
        <v>0.265927734549564</v>
      </c>
      <c r="N31" s="35" t="n">
        <v>0.382321192354498</v>
      </c>
      <c r="O31" s="35" t="n">
        <v>-0.04858934169278994</v>
      </c>
      <c r="P31" s="35" t="n">
        <v>-0.078907435508346</v>
      </c>
      <c r="Q31" s="35" t="n">
        <v>0.3399558498896247</v>
      </c>
      <c r="R31" s="35" t="n">
        <v>-0.01292788031547276</v>
      </c>
      <c r="S31" s="35" t="n">
        <v>-0.01383661422653049</v>
      </c>
      <c r="T31" s="35" t="n">
        <v>0.04579292323816775</v>
      </c>
      <c r="U31" s="30" t="n">
        <v>77700</v>
      </c>
      <c r="V31" s="30" t="n">
        <v>36200</v>
      </c>
      <c r="W31" s="35" t="n">
        <v>-0.2187902187902188</v>
      </c>
      <c r="X31" s="35" t="n">
        <v>0.6767955801104972</v>
      </c>
      <c r="Y31" s="30" t="n">
        <v>43617167</v>
      </c>
      <c r="Z31" s="30" t="n">
        <v>2647562036900</v>
      </c>
      <c r="AA31" s="30" t="n">
        <v>0</v>
      </c>
      <c r="AB31" s="30" t="n">
        <v>29719044175</v>
      </c>
      <c r="AC31" s="35" t="n">
        <v>0</v>
      </c>
      <c r="AD31" s="24" t="inlineStr">
        <is>
          <t>yfinance_download</t>
        </is>
      </c>
      <c r="AE31" s="24" t="inlineStr">
        <is>
          <t>000990.KS</t>
        </is>
      </c>
    </row>
    <row r="32" ht="24" customHeight="1">
      <c r="A32" s="29" t="inlineStr">
        <is>
          <t>2023-07-20</t>
        </is>
      </c>
      <c r="B32" s="31" t="n">
        <v>60700</v>
      </c>
      <c r="C32" s="31" t="n">
        <v>60700</v>
      </c>
      <c r="D32" s="31" t="n">
        <v>60700</v>
      </c>
      <c r="E32" s="31" t="n">
        <v>60700</v>
      </c>
      <c r="F32" s="31" t="n">
        <v>57933.8671875</v>
      </c>
      <c r="G32" s="31" t="n">
        <v>0</v>
      </c>
      <c r="H32" s="36" t="n">
        <v>0</v>
      </c>
      <c r="I32" s="36" t="n">
        <v>-0.2850412249705536</v>
      </c>
      <c r="J32" s="31" t="n">
        <v>61405</v>
      </c>
      <c r="K32" s="31" t="n">
        <v>61475</v>
      </c>
      <c r="L32" s="31" t="n">
        <v>58170.41666666666</v>
      </c>
      <c r="M32" s="36" t="n">
        <v>0.2573083002711873</v>
      </c>
      <c r="N32" s="36" t="n">
        <v>0.3819605935856395</v>
      </c>
      <c r="O32" s="36" t="n">
        <v>-0.02880000000000005</v>
      </c>
      <c r="P32" s="36" t="n">
        <v>-0.07044410413476265</v>
      </c>
      <c r="Q32" s="36" t="n">
        <v>0.3399558498896247</v>
      </c>
      <c r="R32" s="36" t="n">
        <v>-0.01148114974350622</v>
      </c>
      <c r="S32" s="36" t="n">
        <v>-0.01260675071167139</v>
      </c>
      <c r="T32" s="36" t="n">
        <v>0.0434857351603406</v>
      </c>
      <c r="U32" s="31" t="n">
        <v>77700</v>
      </c>
      <c r="V32" s="31" t="n">
        <v>36200</v>
      </c>
      <c r="W32" s="36" t="n">
        <v>-0.2187902187902188</v>
      </c>
      <c r="X32" s="36" t="n">
        <v>0.6767955801104972</v>
      </c>
      <c r="Y32" s="31" t="n">
        <v>43617167</v>
      </c>
      <c r="Z32" s="31" t="n">
        <v>2647562036900</v>
      </c>
      <c r="AA32" s="31" t="n">
        <v>0</v>
      </c>
      <c r="AB32" s="31" t="n">
        <v>27629678550</v>
      </c>
      <c r="AC32" s="36" t="n">
        <v>0</v>
      </c>
      <c r="AD32" s="29" t="inlineStr">
        <is>
          <t>yfinance_download</t>
        </is>
      </c>
      <c r="AE32" s="29" t="inlineStr">
        <is>
          <t>000990.KS</t>
        </is>
      </c>
    </row>
    <row r="33" ht="24" customHeight="1">
      <c r="A33" s="24" t="inlineStr">
        <is>
          <t>2023-07-21</t>
        </is>
      </c>
      <c r="B33" s="30" t="n">
        <v>60700</v>
      </c>
      <c r="C33" s="30" t="n">
        <v>60700</v>
      </c>
      <c r="D33" s="30" t="n">
        <v>60700</v>
      </c>
      <c r="E33" s="30" t="n">
        <v>60700</v>
      </c>
      <c r="F33" s="30" t="n">
        <v>57933.8671875</v>
      </c>
      <c r="G33" s="30" t="n">
        <v>0</v>
      </c>
      <c r="H33" s="35" t="n">
        <v>0</v>
      </c>
      <c r="I33" s="35" t="n">
        <v>-0.2850412249705536</v>
      </c>
      <c r="J33" s="30" t="n">
        <v>61270</v>
      </c>
      <c r="K33" s="30" t="n">
        <v>61423.33333333334</v>
      </c>
      <c r="L33" s="30" t="n">
        <v>58297.08333333334</v>
      </c>
      <c r="M33" s="35" t="n">
        <v>0.2506192290463155</v>
      </c>
      <c r="N33" s="35" t="n">
        <v>0.3791907982200367</v>
      </c>
      <c r="O33" s="35" t="n">
        <v>-0.04258675078864349</v>
      </c>
      <c r="P33" s="35" t="n">
        <v>-0.04858934169278994</v>
      </c>
      <c r="Q33" s="35" t="n">
        <v>0.334065934065934</v>
      </c>
      <c r="R33" s="35" t="n">
        <v>-0.009303084707034448</v>
      </c>
      <c r="S33" s="35" t="n">
        <v>-0.01177619797036955</v>
      </c>
      <c r="T33" s="35" t="n">
        <v>0.0412184714787045</v>
      </c>
      <c r="U33" s="30" t="n">
        <v>77700</v>
      </c>
      <c r="V33" s="30" t="n">
        <v>36200</v>
      </c>
      <c r="W33" s="35" t="n">
        <v>-0.2187902187902188</v>
      </c>
      <c r="X33" s="35" t="n">
        <v>0.6767955801104972</v>
      </c>
      <c r="Y33" s="30" t="n">
        <v>43617167</v>
      </c>
      <c r="Z33" s="30" t="n">
        <v>2647562036900</v>
      </c>
      <c r="AA33" s="30" t="n">
        <v>0</v>
      </c>
      <c r="AB33" s="30" t="n">
        <v>26234368180</v>
      </c>
      <c r="AC33" s="35" t="n">
        <v>0</v>
      </c>
      <c r="AD33" s="24" t="inlineStr">
        <is>
          <t>yfinance_download</t>
        </is>
      </c>
      <c r="AE33" s="24" t="inlineStr">
        <is>
          <t>000990.KS</t>
        </is>
      </c>
    </row>
    <row r="34" ht="24" customHeight="1">
      <c r="A34" s="29" t="inlineStr">
        <is>
          <t>2023-07-24</t>
        </is>
      </c>
      <c r="B34" s="31" t="n">
        <v>60700</v>
      </c>
      <c r="C34" s="31" t="n">
        <v>60700</v>
      </c>
      <c r="D34" s="31" t="n">
        <v>60700</v>
      </c>
      <c r="E34" s="31" t="n">
        <v>60700</v>
      </c>
      <c r="F34" s="31" t="n">
        <v>57933.8671875</v>
      </c>
      <c r="G34" s="31" t="n">
        <v>0</v>
      </c>
      <c r="H34" s="36" t="n">
        <v>0</v>
      </c>
      <c r="I34" s="36" t="n">
        <v>-0.2850412249705536</v>
      </c>
      <c r="J34" s="31" t="n">
        <v>61110</v>
      </c>
      <c r="K34" s="31" t="n">
        <v>61401.66666666666</v>
      </c>
      <c r="L34" s="31" t="n">
        <v>58425</v>
      </c>
      <c r="M34" s="36" t="n">
        <v>0.2480201866915154</v>
      </c>
      <c r="N34" s="36" t="n">
        <v>0.3747823253111213</v>
      </c>
      <c r="O34" s="36" t="n">
        <v>-0.0500782472613458</v>
      </c>
      <c r="P34" s="36" t="n">
        <v>-0.0209677419354839</v>
      </c>
      <c r="Q34" s="36" t="n">
        <v>0.3384785005512678</v>
      </c>
      <c r="R34" s="36" t="n">
        <v>-0.006709212894779881</v>
      </c>
      <c r="S34" s="36" t="n">
        <v>-0.01142748568171326</v>
      </c>
      <c r="T34" s="36" t="n">
        <v>0.03893881044073599</v>
      </c>
      <c r="U34" s="31" t="n">
        <v>77700</v>
      </c>
      <c r="V34" s="31" t="n">
        <v>36200</v>
      </c>
      <c r="W34" s="36" t="n">
        <v>-0.2187902187902188</v>
      </c>
      <c r="X34" s="36" t="n">
        <v>0.6767955801104972</v>
      </c>
      <c r="Y34" s="31" t="n">
        <v>43617167</v>
      </c>
      <c r="Z34" s="31" t="n">
        <v>2647562036900</v>
      </c>
      <c r="AA34" s="31" t="n">
        <v>0</v>
      </c>
      <c r="AB34" s="31" t="n">
        <v>24995915890</v>
      </c>
      <c r="AC34" s="36" t="n">
        <v>0</v>
      </c>
      <c r="AD34" s="29" t="inlineStr">
        <is>
          <t>yfinance_download</t>
        </is>
      </c>
      <c r="AE34" s="29" t="inlineStr">
        <is>
          <t>000990.KS</t>
        </is>
      </c>
    </row>
    <row r="35" ht="24" customHeight="1">
      <c r="A35" s="24" t="inlineStr">
        <is>
          <t>2023-07-25</t>
        </is>
      </c>
      <c r="B35" s="30" t="n">
        <v>60700</v>
      </c>
      <c r="C35" s="30" t="n">
        <v>60700</v>
      </c>
      <c r="D35" s="30" t="n">
        <v>60700</v>
      </c>
      <c r="E35" s="30" t="n">
        <v>60700</v>
      </c>
      <c r="F35" s="30" t="n">
        <v>57933.8671875</v>
      </c>
      <c r="G35" s="30" t="n">
        <v>0</v>
      </c>
      <c r="H35" s="35" t="n">
        <v>0</v>
      </c>
      <c r="I35" s="35" t="n">
        <v>-0.2850412249705536</v>
      </c>
      <c r="J35" s="30" t="n">
        <v>61015</v>
      </c>
      <c r="K35" s="30" t="n">
        <v>61396.66666666666</v>
      </c>
      <c r="L35" s="30" t="n">
        <v>58552.5</v>
      </c>
      <c r="M35" s="35" t="n">
        <v>0.2388967374485866</v>
      </c>
      <c r="N35" s="35" t="n">
        <v>0.3732869552925612</v>
      </c>
      <c r="O35" s="35" t="n">
        <v>-0.03035143769968052</v>
      </c>
      <c r="P35" s="35" t="n">
        <v>-0.004918032786885296</v>
      </c>
      <c r="Q35" s="35" t="n">
        <v>0.3370044052863437</v>
      </c>
      <c r="R35" s="35" t="n">
        <v>-0.005162664918462623</v>
      </c>
      <c r="S35" s="35" t="n">
        <v>-0.01134697866333678</v>
      </c>
      <c r="T35" s="35" t="n">
        <v>0.03667648691345371</v>
      </c>
      <c r="U35" s="30" t="n">
        <v>77700</v>
      </c>
      <c r="V35" s="30" t="n">
        <v>36200</v>
      </c>
      <c r="W35" s="35" t="n">
        <v>-0.2187902187902188</v>
      </c>
      <c r="X35" s="35" t="n">
        <v>0.6767955801104972</v>
      </c>
      <c r="Y35" s="30" t="n">
        <v>43617167</v>
      </c>
      <c r="Z35" s="30" t="n">
        <v>2647562036900</v>
      </c>
      <c r="AA35" s="30" t="n">
        <v>0</v>
      </c>
      <c r="AB35" s="30" t="n">
        <v>23801398340</v>
      </c>
      <c r="AC35" s="35" t="n">
        <v>0</v>
      </c>
      <c r="AD35" s="24" t="inlineStr">
        <is>
          <t>yfinance_download</t>
        </is>
      </c>
      <c r="AE35" s="24" t="inlineStr">
        <is>
          <t>000990.KS</t>
        </is>
      </c>
    </row>
    <row r="36" ht="24" customHeight="1">
      <c r="A36" s="29" t="inlineStr">
        <is>
          <t>2023-07-26</t>
        </is>
      </c>
      <c r="B36" s="31" t="n">
        <v>60700</v>
      </c>
      <c r="C36" s="31" t="n">
        <v>60700</v>
      </c>
      <c r="D36" s="31" t="n">
        <v>60700</v>
      </c>
      <c r="E36" s="31" t="n">
        <v>60700</v>
      </c>
      <c r="F36" s="31" t="n">
        <v>57933.8671875</v>
      </c>
      <c r="G36" s="31" t="n">
        <v>0</v>
      </c>
      <c r="H36" s="36" t="n">
        <v>0</v>
      </c>
      <c r="I36" s="36" t="n">
        <v>-0.2850412249705536</v>
      </c>
      <c r="J36" s="31" t="n">
        <v>60905</v>
      </c>
      <c r="K36" s="31" t="n">
        <v>61381.66666666666</v>
      </c>
      <c r="L36" s="31" t="n">
        <v>58683.75</v>
      </c>
      <c r="M36" s="36" t="n">
        <v>0.2378440788489694</v>
      </c>
      <c r="N36" s="36" t="n">
        <v>0.3727450971072304</v>
      </c>
      <c r="O36" s="36" t="n">
        <v>-0.03497615262321141</v>
      </c>
      <c r="P36" s="36" t="n">
        <v>-0.01461038961038963</v>
      </c>
      <c r="Q36" s="36" t="n">
        <v>0.350389321468298</v>
      </c>
      <c r="R36" s="36" t="n">
        <v>-0.003365897709547649</v>
      </c>
      <c r="S36" s="36" t="n">
        <v>-0.01110537891335628</v>
      </c>
      <c r="T36" s="36" t="n">
        <v>0.03435789294310609</v>
      </c>
      <c r="U36" s="31" t="n">
        <v>77700</v>
      </c>
      <c r="V36" s="31" t="n">
        <v>36200</v>
      </c>
      <c r="W36" s="36" t="n">
        <v>-0.2187902187902188</v>
      </c>
      <c r="X36" s="36" t="n">
        <v>0.6767955801104972</v>
      </c>
      <c r="Y36" s="31" t="n">
        <v>43617167</v>
      </c>
      <c r="Z36" s="31" t="n">
        <v>2647562036900</v>
      </c>
      <c r="AA36" s="31" t="n">
        <v>0</v>
      </c>
      <c r="AB36" s="31" t="n">
        <v>22573552600</v>
      </c>
      <c r="AC36" s="36" t="n">
        <v>0</v>
      </c>
      <c r="AD36" s="29" t="inlineStr">
        <is>
          <t>yfinance_download</t>
        </is>
      </c>
      <c r="AE36" s="29" t="inlineStr">
        <is>
          <t>000990.KS</t>
        </is>
      </c>
    </row>
    <row r="37" ht="24" customHeight="1">
      <c r="A37" s="24" t="inlineStr">
        <is>
          <t>2023-07-27</t>
        </is>
      </c>
      <c r="B37" s="30" t="n">
        <v>56200</v>
      </c>
      <c r="C37" s="30" t="n">
        <v>59400</v>
      </c>
      <c r="D37" s="30" t="n">
        <v>56100</v>
      </c>
      <c r="E37" s="30" t="n">
        <v>58800</v>
      </c>
      <c r="F37" s="30" t="n">
        <v>56120.453125</v>
      </c>
      <c r="G37" s="30" t="n">
        <v>586507</v>
      </c>
      <c r="H37" s="35" t="n">
        <v>-0.03130148270181221</v>
      </c>
      <c r="I37" s="35" t="n">
        <v>-0.3074204946996466</v>
      </c>
      <c r="J37" s="30" t="n">
        <v>60695</v>
      </c>
      <c r="K37" s="30" t="n">
        <v>61353.33333333334</v>
      </c>
      <c r="L37" s="30" t="n">
        <v>58785</v>
      </c>
      <c r="M37" s="35" t="n">
        <v>0.2595296343761384</v>
      </c>
      <c r="N37" s="35" t="n">
        <v>0.3764993476824199</v>
      </c>
      <c r="O37" s="35" t="n">
        <v>-0.06666666666666665</v>
      </c>
      <c r="P37" s="35" t="n">
        <v>-0.02809917355371905</v>
      </c>
      <c r="Q37" s="35" t="n">
        <v>0.2604501607717042</v>
      </c>
      <c r="R37" s="35" t="n">
        <v>-0.03122168218139876</v>
      </c>
      <c r="S37" s="35" t="n">
        <v>-0.04161686406606546</v>
      </c>
      <c r="T37" s="35" t="n">
        <v>0.0002551671344730444</v>
      </c>
      <c r="U37" s="30" t="n">
        <v>77700</v>
      </c>
      <c r="V37" s="30" t="n">
        <v>36200</v>
      </c>
      <c r="W37" s="35" t="n">
        <v>-0.2432432432432432</v>
      </c>
      <c r="X37" s="35" t="n">
        <v>0.6243093922651934</v>
      </c>
      <c r="Y37" s="30" t="n">
        <v>43617167</v>
      </c>
      <c r="Z37" s="30" t="n">
        <v>2564689419600</v>
      </c>
      <c r="AA37" s="30" t="n">
        <v>34486611600</v>
      </c>
      <c r="AB37" s="30" t="n">
        <v>22668662230</v>
      </c>
      <c r="AC37" s="35" t="n">
        <v>0.0134467009285587</v>
      </c>
      <c r="AD37" s="24" t="inlineStr">
        <is>
          <t>yfinance_download</t>
        </is>
      </c>
      <c r="AE37" s="24" t="inlineStr">
        <is>
          <t>000990.KS</t>
        </is>
      </c>
    </row>
    <row r="38" ht="24" customHeight="1">
      <c r="A38" s="29" t="inlineStr">
        <is>
          <t>2023-07-28</t>
        </is>
      </c>
      <c r="B38" s="31" t="n">
        <v>58300</v>
      </c>
      <c r="C38" s="31" t="n">
        <v>59700</v>
      </c>
      <c r="D38" s="31" t="n">
        <v>57600</v>
      </c>
      <c r="E38" s="31" t="n">
        <v>59200</v>
      </c>
      <c r="F38" s="31" t="n">
        <v>56502.22265625</v>
      </c>
      <c r="G38" s="31" t="n">
        <v>530042</v>
      </c>
      <c r="H38" s="36" t="n">
        <v>0.006802721088435382</v>
      </c>
      <c r="I38" s="36" t="n">
        <v>-0.3027090694935218</v>
      </c>
      <c r="J38" s="31" t="n">
        <v>60500</v>
      </c>
      <c r="K38" s="31" t="n">
        <v>61336.66666666666</v>
      </c>
      <c r="L38" s="31" t="n">
        <v>58895.83333333334</v>
      </c>
      <c r="M38" s="36" t="n">
        <v>0.2614893874715745</v>
      </c>
      <c r="N38" s="36" t="n">
        <v>0.3766358324371493</v>
      </c>
      <c r="O38" s="36" t="n">
        <v>-0.06180665610142633</v>
      </c>
      <c r="P38" s="36" t="n">
        <v>-0.01661129568106312</v>
      </c>
      <c r="Q38" s="36" t="n">
        <v>0.289760348583878</v>
      </c>
      <c r="R38" s="36" t="n">
        <v>-0.02148760330578514</v>
      </c>
      <c r="S38" s="36" t="n">
        <v>-0.03483506331177655</v>
      </c>
      <c r="T38" s="36" t="n">
        <v>0.005164485320127365</v>
      </c>
      <c r="U38" s="31" t="n">
        <v>77700</v>
      </c>
      <c r="V38" s="31" t="n">
        <v>36200</v>
      </c>
      <c r="W38" s="36" t="n">
        <v>-0.2380952380952381</v>
      </c>
      <c r="X38" s="36" t="n">
        <v>0.6353591160220995</v>
      </c>
      <c r="Y38" s="31" t="n">
        <v>43617167</v>
      </c>
      <c r="Z38" s="31" t="n">
        <v>2582136286400</v>
      </c>
      <c r="AA38" s="31" t="n">
        <v>31378486400</v>
      </c>
      <c r="AB38" s="31" t="n">
        <v>22333010855</v>
      </c>
      <c r="AC38" s="36" t="n">
        <v>0.0121521418390149</v>
      </c>
      <c r="AD38" s="29" t="inlineStr">
        <is>
          <t>yfinance_download</t>
        </is>
      </c>
      <c r="AE38" s="29" t="inlineStr">
        <is>
          <t>000990.KS</t>
        </is>
      </c>
    </row>
    <row r="39" ht="24" customHeight="1">
      <c r="A39" s="24" t="inlineStr">
        <is>
          <t>2023-07-31</t>
        </is>
      </c>
      <c r="B39" s="30" t="n">
        <v>59300</v>
      </c>
      <c r="C39" s="30" t="n">
        <v>59800</v>
      </c>
      <c r="D39" s="30" t="n">
        <v>58500</v>
      </c>
      <c r="E39" s="30" t="n">
        <v>59000</v>
      </c>
      <c r="F39" s="30" t="n">
        <v>56311.3359375</v>
      </c>
      <c r="G39" s="30" t="n">
        <v>386061</v>
      </c>
      <c r="H39" s="35" t="n">
        <v>-0.003378378378378399</v>
      </c>
      <c r="I39" s="35" t="n">
        <v>-0.3050647820965842</v>
      </c>
      <c r="J39" s="30" t="n">
        <v>60315</v>
      </c>
      <c r="K39" s="30" t="n">
        <v>61253.33333333334</v>
      </c>
      <c r="L39" s="30" t="n">
        <v>59012.5</v>
      </c>
      <c r="M39" s="35" t="n">
        <v>0.2612072631374707</v>
      </c>
      <c r="N39" s="35" t="n">
        <v>0.3529421784136808</v>
      </c>
      <c r="O39" s="35" t="n">
        <v>-0.05901116427432218</v>
      </c>
      <c r="P39" s="35" t="n">
        <v>-0.078125</v>
      </c>
      <c r="Q39" s="35" t="n">
        <v>0.3111111111111111</v>
      </c>
      <c r="R39" s="35" t="n">
        <v>-0.02180220508994446</v>
      </c>
      <c r="S39" s="35" t="n">
        <v>-0.03678711362646936</v>
      </c>
      <c r="T39" s="35" t="n">
        <v>-0.0002118195297606817</v>
      </c>
      <c r="U39" s="30" t="n">
        <v>77700</v>
      </c>
      <c r="V39" s="30" t="n">
        <v>36200</v>
      </c>
      <c r="W39" s="35" t="n">
        <v>-0.2406692406692407</v>
      </c>
      <c r="X39" s="35" t="n">
        <v>0.6298342541436464</v>
      </c>
      <c r="Y39" s="30" t="n">
        <v>43617167</v>
      </c>
      <c r="Z39" s="30" t="n">
        <v>2573412853000</v>
      </c>
      <c r="AA39" s="30" t="n">
        <v>22777599000</v>
      </c>
      <c r="AB39" s="30" t="n">
        <v>21431965115</v>
      </c>
      <c r="AC39" s="35" t="n">
        <v>0.008851125062753387</v>
      </c>
      <c r="AD39" s="24" t="inlineStr">
        <is>
          <t>yfinance_download</t>
        </is>
      </c>
      <c r="AE39" s="24" t="inlineStr">
        <is>
          <t>000990.KS</t>
        </is>
      </c>
    </row>
    <row r="40" ht="24" customHeight="1">
      <c r="A40" s="29" t="inlineStr">
        <is>
          <t>2023-08-01</t>
        </is>
      </c>
      <c r="B40" s="31" t="n">
        <v>59100</v>
      </c>
      <c r="C40" s="31" t="n">
        <v>61200</v>
      </c>
      <c r="D40" s="31" t="n">
        <v>58600</v>
      </c>
      <c r="E40" s="31" t="n">
        <v>61200</v>
      </c>
      <c r="F40" s="31" t="n">
        <v>58411.0859375</v>
      </c>
      <c r="G40" s="31" t="n">
        <v>690465</v>
      </c>
      <c r="H40" s="36" t="n">
        <v>0.03728813559322042</v>
      </c>
      <c r="I40" s="36" t="n">
        <v>-0.2791519434628975</v>
      </c>
      <c r="J40" s="31" t="n">
        <v>60270</v>
      </c>
      <c r="K40" s="31" t="n">
        <v>61231.66666666666</v>
      </c>
      <c r="L40" s="31" t="n">
        <v>59135.41666666666</v>
      </c>
      <c r="M40" s="36" t="n">
        <v>0.2959953072663924</v>
      </c>
      <c r="N40" s="36" t="n">
        <v>0.358433623230504</v>
      </c>
      <c r="O40" s="36" t="n">
        <v>-0.01449275362318836</v>
      </c>
      <c r="P40" s="36" t="n">
        <v>-0.02080000000000004</v>
      </c>
      <c r="Q40" s="36" t="n">
        <v>0.317545748116254</v>
      </c>
      <c r="R40" s="36" t="n">
        <v>0.01543056246888996</v>
      </c>
      <c r="S40" s="36" t="n">
        <v>-0.0005171615993903034</v>
      </c>
      <c r="T40" s="36" t="n">
        <v>0.0349128060595385</v>
      </c>
      <c r="U40" s="31" t="n">
        <v>77700</v>
      </c>
      <c r="V40" s="31" t="n">
        <v>36200</v>
      </c>
      <c r="W40" s="36" t="n">
        <v>-0.2123552123552124</v>
      </c>
      <c r="X40" s="36" t="n">
        <v>0.6906077348066297</v>
      </c>
      <c r="Y40" s="31" t="n">
        <v>43617167</v>
      </c>
      <c r="Z40" s="31" t="n">
        <v>2669370620400</v>
      </c>
      <c r="AA40" s="31" t="n">
        <v>42256458000</v>
      </c>
      <c r="AB40" s="31" t="n">
        <v>21647775845</v>
      </c>
      <c r="AC40" s="36" t="n">
        <v>0.01583012028268594</v>
      </c>
      <c r="AD40" s="29" t="inlineStr">
        <is>
          <t>yfinance_download</t>
        </is>
      </c>
      <c r="AE40" s="29" t="inlineStr">
        <is>
          <t>000990.KS</t>
        </is>
      </c>
    </row>
    <row r="41" ht="24" customHeight="1">
      <c r="A41" s="24" t="inlineStr">
        <is>
          <t>2023-08-02</t>
        </is>
      </c>
      <c r="B41" s="30" t="n">
        <v>61200</v>
      </c>
      <c r="C41" s="30" t="n">
        <v>62000</v>
      </c>
      <c r="D41" s="30" t="n">
        <v>58700</v>
      </c>
      <c r="E41" s="30" t="n">
        <v>59100</v>
      </c>
      <c r="F41" s="30" t="n">
        <v>56406.78125</v>
      </c>
      <c r="G41" s="30" t="n">
        <v>591294</v>
      </c>
      <c r="H41" s="35" t="n">
        <v>-0.03431372549019607</v>
      </c>
      <c r="I41" s="35" t="n">
        <v>-0.3038869257950531</v>
      </c>
      <c r="J41" s="30" t="n">
        <v>60085</v>
      </c>
      <c r="K41" s="30" t="n">
        <v>61195</v>
      </c>
      <c r="L41" s="30" t="n">
        <v>59237.5</v>
      </c>
      <c r="M41" s="35" t="n">
        <v>0.3154109550298171</v>
      </c>
      <c r="N41" s="35" t="n">
        <v>0.363180502694002</v>
      </c>
      <c r="O41" s="35" t="n">
        <v>-0.05891719745222934</v>
      </c>
      <c r="P41" s="35" t="n">
        <v>-0.03588907014681897</v>
      </c>
      <c r="Q41" s="35" t="n">
        <v>0.2614727854855923</v>
      </c>
      <c r="R41" s="35" t="n">
        <v>-0.01639344262295084</v>
      </c>
      <c r="S41" s="35" t="n">
        <v>-0.03423482310646297</v>
      </c>
      <c r="T41" s="35" t="n">
        <v>-0.002321164802700948</v>
      </c>
      <c r="U41" s="30" t="n">
        <v>77700</v>
      </c>
      <c r="V41" s="30" t="n">
        <v>36200</v>
      </c>
      <c r="W41" s="35" t="n">
        <v>-0.2393822393822393</v>
      </c>
      <c r="X41" s="35" t="n">
        <v>0.632596685082873</v>
      </c>
      <c r="Y41" s="30" t="n">
        <v>43617167</v>
      </c>
      <c r="Z41" s="30" t="n">
        <v>2577774569700</v>
      </c>
      <c r="AA41" s="30" t="n">
        <v>34945475400</v>
      </c>
      <c r="AB41" s="30" t="n">
        <v>20789430515</v>
      </c>
      <c r="AC41" s="35" t="n">
        <v>0.01355645129359273</v>
      </c>
      <c r="AD41" s="24" t="inlineStr">
        <is>
          <t>yfinance_download</t>
        </is>
      </c>
      <c r="AE41" s="24" t="inlineStr">
        <is>
          <t>000990.KS</t>
        </is>
      </c>
    </row>
    <row r="42" ht="24" customHeight="1">
      <c r="A42" s="29" t="inlineStr">
        <is>
          <t>2023-08-03</t>
        </is>
      </c>
      <c r="B42" s="31" t="n">
        <v>58500</v>
      </c>
      <c r="C42" s="31" t="n">
        <v>59000</v>
      </c>
      <c r="D42" s="31" t="n">
        <v>57400</v>
      </c>
      <c r="E42" s="31" t="n">
        <v>57800</v>
      </c>
      <c r="F42" s="31" t="n">
        <v>55166.0234375</v>
      </c>
      <c r="G42" s="31" t="n">
        <v>393176</v>
      </c>
      <c r="H42" s="36" t="n">
        <v>-0.02199661590524538</v>
      </c>
      <c r="I42" s="36" t="n">
        <v>-0.3191990577149588</v>
      </c>
      <c r="J42" s="31" t="n">
        <v>59970</v>
      </c>
      <c r="K42" s="31" t="n">
        <v>61166.66666666666</v>
      </c>
      <c r="L42" s="31" t="n">
        <v>59328.75</v>
      </c>
      <c r="M42" s="36" t="n">
        <v>0.2875353071067652</v>
      </c>
      <c r="N42" s="36" t="n">
        <v>0.3609739367126527</v>
      </c>
      <c r="O42" s="36" t="n">
        <v>-0.03826955074875205</v>
      </c>
      <c r="P42" s="36" t="n">
        <v>-0.02857142857142858</v>
      </c>
      <c r="Q42" s="36" t="n">
        <v>0.2337246531483457</v>
      </c>
      <c r="R42" s="36" t="n">
        <v>-0.03618475904618979</v>
      </c>
      <c r="S42" s="36" t="n">
        <v>-0.05504087193460483</v>
      </c>
      <c r="T42" s="36" t="n">
        <v>-0.02576743990055408</v>
      </c>
      <c r="U42" s="31" t="n">
        <v>77700</v>
      </c>
      <c r="V42" s="31" t="n">
        <v>36200</v>
      </c>
      <c r="W42" s="36" t="n">
        <v>-0.2561132561132561</v>
      </c>
      <c r="X42" s="36" t="n">
        <v>0.5966850828729282</v>
      </c>
      <c r="Y42" s="31" t="n">
        <v>43617167</v>
      </c>
      <c r="Z42" s="31" t="n">
        <v>2521072252600</v>
      </c>
      <c r="AA42" s="31" t="n">
        <v>22725572800</v>
      </c>
      <c r="AB42" s="31" t="n">
        <v>19297082400</v>
      </c>
      <c r="AC42" s="36" t="n">
        <v>0.009014248908004502</v>
      </c>
      <c r="AD42" s="29" t="inlineStr">
        <is>
          <t>yfinance_download</t>
        </is>
      </c>
      <c r="AE42" s="29" t="inlineStr">
        <is>
          <t>000990.KS</t>
        </is>
      </c>
    </row>
    <row r="43" ht="24" customHeight="1">
      <c r="A43" s="24" t="inlineStr">
        <is>
          <t>2023-08-04</t>
        </is>
      </c>
      <c r="B43" s="30" t="n">
        <v>57900</v>
      </c>
      <c r="C43" s="30" t="n">
        <v>58000</v>
      </c>
      <c r="D43" s="30" t="n">
        <v>56900</v>
      </c>
      <c r="E43" s="30" t="n">
        <v>57400</v>
      </c>
      <c r="F43" s="30" t="n">
        <v>54784.25</v>
      </c>
      <c r="G43" s="30" t="n">
        <v>288383</v>
      </c>
      <c r="H43" s="35" t="n">
        <v>-0.00692041522491349</v>
      </c>
      <c r="I43" s="35" t="n">
        <v>-0.3239104829210836</v>
      </c>
      <c r="J43" s="30" t="n">
        <v>59895</v>
      </c>
      <c r="K43" s="30" t="n">
        <v>61140</v>
      </c>
      <c r="L43" s="30" t="n">
        <v>59418.75</v>
      </c>
      <c r="M43" s="35" t="n">
        <v>0.280235611242426</v>
      </c>
      <c r="N43" s="35" t="n">
        <v>0.3608432629594882</v>
      </c>
      <c r="O43" s="35" t="n">
        <v>-0.02546689303904925</v>
      </c>
      <c r="P43" s="35" t="n">
        <v>-0.02711864406779663</v>
      </c>
      <c r="Q43" s="35" t="n">
        <v>0.2317596566523605</v>
      </c>
      <c r="R43" s="35" t="n">
        <v>-0.04165623173887634</v>
      </c>
      <c r="S43" s="35" t="n">
        <v>-0.06117108276087668</v>
      </c>
      <c r="T43" s="35" t="n">
        <v>-0.03397496581466286</v>
      </c>
      <c r="U43" s="30" t="n">
        <v>77700</v>
      </c>
      <c r="V43" s="30" t="n">
        <v>36200</v>
      </c>
      <c r="W43" s="35" t="n">
        <v>-0.2612612612612613</v>
      </c>
      <c r="X43" s="35" t="n">
        <v>0.5856353591160222</v>
      </c>
      <c r="Y43" s="30" t="n">
        <v>43617167</v>
      </c>
      <c r="Z43" s="30" t="n">
        <v>2503625385800</v>
      </c>
      <c r="AA43" s="30" t="n">
        <v>16553184200</v>
      </c>
      <c r="AB43" s="30" t="n">
        <v>18296146935</v>
      </c>
      <c r="AC43" s="35" t="n">
        <v>0.006611685715397334</v>
      </c>
      <c r="AD43" s="24" t="inlineStr">
        <is>
          <t>yfinance_download</t>
        </is>
      </c>
      <c r="AE43" s="24" t="inlineStr">
        <is>
          <t>000990.KS</t>
        </is>
      </c>
    </row>
    <row r="44" ht="24" customHeight="1">
      <c r="A44" s="29" t="inlineStr">
        <is>
          <t>2023-08-07</t>
        </is>
      </c>
      <c r="B44" s="31" t="n">
        <v>56900</v>
      </c>
      <c r="C44" s="31" t="n">
        <v>57900</v>
      </c>
      <c r="D44" s="31" t="n">
        <v>56600</v>
      </c>
      <c r="E44" s="31" t="n">
        <v>57000</v>
      </c>
      <c r="F44" s="31" t="n">
        <v>54402.48046875</v>
      </c>
      <c r="G44" s="31" t="n">
        <v>229263</v>
      </c>
      <c r="H44" s="36" t="n">
        <v>-0.006968641114982632</v>
      </c>
      <c r="I44" s="36" t="n">
        <v>-0.3286219081272085</v>
      </c>
      <c r="J44" s="31" t="n">
        <v>59840</v>
      </c>
      <c r="K44" s="31" t="n">
        <v>61113.33333333334</v>
      </c>
      <c r="L44" s="31" t="n">
        <v>59504.58333333334</v>
      </c>
      <c r="M44" s="36" t="n">
        <v>0.2773094404765841</v>
      </c>
      <c r="N44" s="36" t="n">
        <v>0.3608581801853292</v>
      </c>
      <c r="O44" s="36" t="n">
        <v>-0.01893287435456115</v>
      </c>
      <c r="P44" s="36" t="n">
        <v>-0.02730375426621157</v>
      </c>
      <c r="Q44" s="36" t="n">
        <v>0.220556745182013</v>
      </c>
      <c r="R44" s="36" t="n">
        <v>-0.04745989304812837</v>
      </c>
      <c r="S44" s="36" t="n">
        <v>-0.06730664339478565</v>
      </c>
      <c r="T44" s="36" t="n">
        <v>-0.04209059526226977</v>
      </c>
      <c r="U44" s="31" t="n">
        <v>77700</v>
      </c>
      <c r="V44" s="31" t="n">
        <v>36200</v>
      </c>
      <c r="W44" s="36" t="n">
        <v>-0.2664092664092664</v>
      </c>
      <c r="X44" s="36" t="n">
        <v>0.5745856353591161</v>
      </c>
      <c r="Y44" s="31" t="n">
        <v>43617167</v>
      </c>
      <c r="Z44" s="31" t="n">
        <v>2486178519000</v>
      </c>
      <c r="AA44" s="31" t="n">
        <v>13067991000</v>
      </c>
      <c r="AB44" s="31" t="n">
        <v>17461422470</v>
      </c>
      <c r="AC44" s="36" t="n">
        <v>0.005256256097513165</v>
      </c>
      <c r="AD44" s="29" t="inlineStr">
        <is>
          <t>yfinance_download</t>
        </is>
      </c>
      <c r="AE44" s="29" t="inlineStr">
        <is>
          <t>000990.KS</t>
        </is>
      </c>
    </row>
    <row r="45" ht="24" customHeight="1">
      <c r="A45" s="24" t="inlineStr">
        <is>
          <t>2023-08-08</t>
        </is>
      </c>
      <c r="B45" s="30" t="n">
        <v>57600</v>
      </c>
      <c r="C45" s="30" t="n">
        <v>57600</v>
      </c>
      <c r="D45" s="30" t="n">
        <v>54700</v>
      </c>
      <c r="E45" s="30" t="n">
        <v>54900</v>
      </c>
      <c r="F45" s="30" t="n">
        <v>52398.17578125</v>
      </c>
      <c r="G45" s="30" t="n">
        <v>532519</v>
      </c>
      <c r="H45" s="35" t="n">
        <v>-0.0368421052631579</v>
      </c>
      <c r="I45" s="35" t="n">
        <v>-0.3533568904593639</v>
      </c>
      <c r="J45" s="30" t="n">
        <v>59630</v>
      </c>
      <c r="K45" s="30" t="n">
        <v>61025</v>
      </c>
      <c r="L45" s="30" t="n">
        <v>59562.91666666666</v>
      </c>
      <c r="M45" s="35" t="n">
        <v>0.2964355182733698</v>
      </c>
      <c r="N45" s="35" t="n">
        <v>0.3639033726951039</v>
      </c>
      <c r="O45" s="35" t="n">
        <v>-0.07106598984771573</v>
      </c>
      <c r="P45" s="35" t="n">
        <v>-0.08803986710963452</v>
      </c>
      <c r="Q45" s="35" t="n">
        <v>0.1461377870563674</v>
      </c>
      <c r="R45" s="35" t="n">
        <v>-0.07932248868019454</v>
      </c>
      <c r="S45" s="35" t="n">
        <v>-0.100368701351905</v>
      </c>
      <c r="T45" s="35" t="n">
        <v>-0.07828556638288642</v>
      </c>
      <c r="U45" s="30" t="n">
        <v>77700</v>
      </c>
      <c r="V45" s="30" t="n">
        <v>36200</v>
      </c>
      <c r="W45" s="35" t="n">
        <v>-0.2934362934362934</v>
      </c>
      <c r="X45" s="35" t="n">
        <v>0.5165745856353592</v>
      </c>
      <c r="Y45" s="30" t="n">
        <v>43617167</v>
      </c>
      <c r="Z45" s="30" t="n">
        <v>2394582468300</v>
      </c>
      <c r="AA45" s="30" t="n">
        <v>29235293100</v>
      </c>
      <c r="AB45" s="30" t="n">
        <v>17808806390</v>
      </c>
      <c r="AC45" s="35" t="n">
        <v>0.0122089314053799</v>
      </c>
      <c r="AD45" s="24" t="inlineStr">
        <is>
          <t>yfinance_download</t>
        </is>
      </c>
      <c r="AE45" s="24" t="inlineStr">
        <is>
          <t>000990.KS</t>
        </is>
      </c>
    </row>
    <row r="46" ht="24" customHeight="1">
      <c r="A46" s="29" t="inlineStr">
        <is>
          <t>2023-08-09</t>
        </is>
      </c>
      <c r="B46" s="31" t="n">
        <v>54900</v>
      </c>
      <c r="C46" s="31" t="n">
        <v>56200</v>
      </c>
      <c r="D46" s="31" t="n">
        <v>54900</v>
      </c>
      <c r="E46" s="31" t="n">
        <v>55500</v>
      </c>
      <c r="F46" s="31" t="n">
        <v>52970.8359375</v>
      </c>
      <c r="G46" s="31" t="n">
        <v>252915</v>
      </c>
      <c r="H46" s="36" t="n">
        <v>0.01092896174863389</v>
      </c>
      <c r="I46" s="36" t="n">
        <v>-0.3462897526501767</v>
      </c>
      <c r="J46" s="31" t="n">
        <v>59345</v>
      </c>
      <c r="K46" s="31" t="n">
        <v>61001.66666666666</v>
      </c>
      <c r="L46" s="31" t="n">
        <v>59636.66666666666</v>
      </c>
      <c r="M46" s="36" t="n">
        <v>0.2646086758663725</v>
      </c>
      <c r="N46" s="36" t="n">
        <v>0.3471456567352613</v>
      </c>
      <c r="O46" s="36" t="n">
        <v>-0.09313725490196079</v>
      </c>
      <c r="P46" s="36" t="n">
        <v>-0.02460456942003519</v>
      </c>
      <c r="Q46" s="36" t="n">
        <v>0.189710610932476</v>
      </c>
      <c r="R46" s="36" t="n">
        <v>-0.06479063105569127</v>
      </c>
      <c r="S46" s="36" t="n">
        <v>-0.09018879265593838</v>
      </c>
      <c r="T46" s="36" t="n">
        <v>-0.06936448493656022</v>
      </c>
      <c r="U46" s="31" t="n">
        <v>77700</v>
      </c>
      <c r="V46" s="31" t="n">
        <v>36200</v>
      </c>
      <c r="W46" s="36" t="n">
        <v>-0.2857142857142857</v>
      </c>
      <c r="X46" s="36" t="n">
        <v>0.5331491712707181</v>
      </c>
      <c r="Y46" s="31" t="n">
        <v>43617167</v>
      </c>
      <c r="Z46" s="31" t="n">
        <v>2420752768500</v>
      </c>
      <c r="AA46" s="31" t="n">
        <v>14036782500</v>
      </c>
      <c r="AB46" s="31" t="n">
        <v>17098981835</v>
      </c>
      <c r="AC46" s="36" t="n">
        <v>0.005798519651677515</v>
      </c>
      <c r="AD46" s="29" t="inlineStr">
        <is>
          <t>yfinance_download</t>
        </is>
      </c>
      <c r="AE46" s="29" t="inlineStr">
        <is>
          <t>000990.KS</t>
        </is>
      </c>
    </row>
    <row r="47" ht="24" customHeight="1">
      <c r="A47" s="24" t="inlineStr">
        <is>
          <t>2023-08-10</t>
        </is>
      </c>
      <c r="B47" s="30" t="n">
        <v>54800</v>
      </c>
      <c r="C47" s="30" t="n">
        <v>55000</v>
      </c>
      <c r="D47" s="30" t="n">
        <v>53700</v>
      </c>
      <c r="E47" s="30" t="n">
        <v>55000</v>
      </c>
      <c r="F47" s="30" t="n">
        <v>52493.62109375</v>
      </c>
      <c r="G47" s="30" t="n">
        <v>497603</v>
      </c>
      <c r="H47" s="35" t="n">
        <v>-0.009009009009009028</v>
      </c>
      <c r="I47" s="35" t="n">
        <v>-0.3521790341578327</v>
      </c>
      <c r="J47" s="30" t="n">
        <v>59060</v>
      </c>
      <c r="K47" s="30" t="n">
        <v>60955</v>
      </c>
      <c r="L47" s="30" t="n">
        <v>59666.66666666666</v>
      </c>
      <c r="M47" s="35" t="n">
        <v>0.2647694935589358</v>
      </c>
      <c r="N47" s="35" t="n">
        <v>0.345985678621044</v>
      </c>
      <c r="O47" s="35" t="n">
        <v>-0.09390444810543652</v>
      </c>
      <c r="P47" s="35" t="n">
        <v>-0.04844290657439443</v>
      </c>
      <c r="Q47" s="35" t="n">
        <v>0.07003891050583655</v>
      </c>
      <c r="R47" s="35" t="n">
        <v>-0.06874365052488995</v>
      </c>
      <c r="S47" s="35" t="n">
        <v>-0.09769502091706994</v>
      </c>
      <c r="T47" s="35" t="n">
        <v>-0.07821229050279321</v>
      </c>
      <c r="U47" s="30" t="n">
        <v>77700</v>
      </c>
      <c r="V47" s="30" t="n">
        <v>36200</v>
      </c>
      <c r="W47" s="35" t="n">
        <v>-0.2921492921492922</v>
      </c>
      <c r="X47" s="35" t="n">
        <v>0.5193370165745856</v>
      </c>
      <c r="Y47" s="30" t="n">
        <v>43617167</v>
      </c>
      <c r="Z47" s="30" t="n">
        <v>2398944185000</v>
      </c>
      <c r="AA47" s="30" t="n">
        <v>27368165000</v>
      </c>
      <c r="AB47" s="30" t="n">
        <v>16943164525</v>
      </c>
      <c r="AC47" s="35" t="n">
        <v>0.01140842090913424</v>
      </c>
      <c r="AD47" s="24" t="inlineStr">
        <is>
          <t>yfinance_download</t>
        </is>
      </c>
      <c r="AE47" s="24" t="inlineStr">
        <is>
          <t>000990.KS</t>
        </is>
      </c>
    </row>
    <row r="48" ht="24" customHeight="1">
      <c r="A48" s="29" t="inlineStr">
        <is>
          <t>2023-08-11</t>
        </is>
      </c>
      <c r="B48" s="31" t="n">
        <v>55000</v>
      </c>
      <c r="C48" s="31" t="n">
        <v>55800</v>
      </c>
      <c r="D48" s="31" t="n">
        <v>54200</v>
      </c>
      <c r="E48" s="31" t="n">
        <v>54200</v>
      </c>
      <c r="F48" s="31" t="n">
        <v>51730.07421875</v>
      </c>
      <c r="G48" s="31" t="n">
        <v>352738</v>
      </c>
      <c r="H48" s="36" t="n">
        <v>-0.01454545454545453</v>
      </c>
      <c r="I48" s="36" t="n">
        <v>-0.3616018845700825</v>
      </c>
      <c r="J48" s="31" t="n">
        <v>58735</v>
      </c>
      <c r="K48" s="31" t="n">
        <v>60863.33333333334</v>
      </c>
      <c r="L48" s="31" t="n">
        <v>59710.83333333334</v>
      </c>
      <c r="M48" s="36" t="n">
        <v>0.2663122878228458</v>
      </c>
      <c r="N48" s="36" t="n">
        <v>0.3399908753608248</v>
      </c>
      <c r="O48" s="36" t="n">
        <v>-0.1070840197693574</v>
      </c>
      <c r="P48" s="36" t="n">
        <v>-0.09212730318257956</v>
      </c>
      <c r="Q48" s="36" t="n">
        <v>0.1083844580777096</v>
      </c>
      <c r="R48" s="36" t="n">
        <v>-0.07721120286030481</v>
      </c>
      <c r="S48" s="36" t="n">
        <v>-0.1094802563119558</v>
      </c>
      <c r="T48" s="36" t="n">
        <v>-0.09229201847794233</v>
      </c>
      <c r="U48" s="31" t="n">
        <v>77700</v>
      </c>
      <c r="V48" s="31" t="n">
        <v>36200</v>
      </c>
      <c r="W48" s="36" t="n">
        <v>-0.3024453024453024</v>
      </c>
      <c r="X48" s="36" t="n">
        <v>0.4972375690607735</v>
      </c>
      <c r="Y48" s="31" t="n">
        <v>43617167</v>
      </c>
      <c r="Z48" s="31" t="n">
        <v>2364050451400</v>
      </c>
      <c r="AA48" s="31" t="n">
        <v>19118399600</v>
      </c>
      <c r="AB48" s="31" t="n">
        <v>15397500930</v>
      </c>
      <c r="AC48" s="36" t="n">
        <v>0.008087136883511944</v>
      </c>
      <c r="AD48" s="29" t="inlineStr">
        <is>
          <t>yfinance_download</t>
        </is>
      </c>
      <c r="AE48" s="29" t="inlineStr">
        <is>
          <t>000990.KS</t>
        </is>
      </c>
    </row>
    <row r="49" ht="24" customHeight="1">
      <c r="A49" s="24" t="inlineStr">
        <is>
          <t>2023-08-14</t>
        </is>
      </c>
      <c r="B49" s="30" t="n">
        <v>54200</v>
      </c>
      <c r="C49" s="30" t="n">
        <v>54200</v>
      </c>
      <c r="D49" s="30" t="n">
        <v>52700</v>
      </c>
      <c r="E49" s="30" t="n">
        <v>53300</v>
      </c>
      <c r="F49" s="30" t="n">
        <v>50871.08984375</v>
      </c>
      <c r="G49" s="30" t="n">
        <v>337829</v>
      </c>
      <c r="H49" s="35" t="n">
        <v>-0.01660516605166051</v>
      </c>
      <c r="I49" s="35" t="n">
        <v>-0.3722025912838633</v>
      </c>
      <c r="J49" s="30" t="n">
        <v>58365</v>
      </c>
      <c r="K49" s="30" t="n">
        <v>60756.66666666666</v>
      </c>
      <c r="L49" s="30" t="n">
        <v>59756.66666666666</v>
      </c>
      <c r="M49" s="35" t="n">
        <v>0.2682689088299043</v>
      </c>
      <c r="N49" s="35" t="n">
        <v>0.3414022753250815</v>
      </c>
      <c r="O49" s="35" t="n">
        <v>-0.1219110378912686</v>
      </c>
      <c r="P49" s="35" t="n">
        <v>-0.1072026800670016</v>
      </c>
      <c r="Q49" s="35" t="n">
        <v>0.1150627615062763</v>
      </c>
      <c r="R49" s="35" t="n">
        <v>-0.08678146149233268</v>
      </c>
      <c r="S49" s="35" t="n">
        <v>-0.1227300159104625</v>
      </c>
      <c r="T49" s="35" t="n">
        <v>-0.1080493110949964</v>
      </c>
      <c r="U49" s="30" t="n">
        <v>77700</v>
      </c>
      <c r="V49" s="30" t="n">
        <v>36200</v>
      </c>
      <c r="W49" s="35" t="n">
        <v>-0.314028314028314</v>
      </c>
      <c r="X49" s="35" t="n">
        <v>0.4723756906077348</v>
      </c>
      <c r="Y49" s="30" t="n">
        <v>43617167</v>
      </c>
      <c r="Z49" s="30" t="n">
        <v>2324795001100</v>
      </c>
      <c r="AA49" s="30" t="n">
        <v>18006285700</v>
      </c>
      <c r="AB49" s="30" t="n">
        <v>16297815215</v>
      </c>
      <c r="AC49" s="35" t="n">
        <v>0.007745321927946398</v>
      </c>
      <c r="AD49" s="24" t="inlineStr">
        <is>
          <t>yfinance_download</t>
        </is>
      </c>
      <c r="AE49" s="24" t="inlineStr">
        <is>
          <t>000990.KS</t>
        </is>
      </c>
    </row>
    <row r="50" ht="24" customHeight="1">
      <c r="A50" s="29" t="inlineStr">
        <is>
          <t>2023-08-16</t>
        </is>
      </c>
      <c r="B50" s="31" t="n">
        <v>52600</v>
      </c>
      <c r="C50" s="31" t="n">
        <v>53600</v>
      </c>
      <c r="D50" s="31" t="n">
        <v>52100</v>
      </c>
      <c r="E50" s="31" t="n">
        <v>52300</v>
      </c>
      <c r="F50" s="31" t="n">
        <v>49916.66015625</v>
      </c>
      <c r="G50" s="31" t="n">
        <v>347815</v>
      </c>
      <c r="H50" s="36" t="n">
        <v>-0.01876172607879922</v>
      </c>
      <c r="I50" s="36" t="n">
        <v>-0.3839811542991755</v>
      </c>
      <c r="J50" s="31" t="n">
        <v>57945</v>
      </c>
      <c r="K50" s="31" t="n">
        <v>60586.66666666666</v>
      </c>
      <c r="L50" s="31" t="n">
        <v>59800</v>
      </c>
      <c r="M50" s="36" t="n">
        <v>0.2706411408521269</v>
      </c>
      <c r="N50" s="36" t="n">
        <v>0.3277574513565101</v>
      </c>
      <c r="O50" s="36" t="n">
        <v>-0.1383855024711697</v>
      </c>
      <c r="P50" s="36" t="n">
        <v>-0.1632</v>
      </c>
      <c r="Q50" s="36" t="n">
        <v>0.1104033970276008</v>
      </c>
      <c r="R50" s="36" t="n">
        <v>-0.09741996721028556</v>
      </c>
      <c r="S50" s="36" t="n">
        <v>-0.1367737676056338</v>
      </c>
      <c r="T50" s="36" t="n">
        <v>-0.1254180602006689</v>
      </c>
      <c r="U50" s="31" t="n">
        <v>77700</v>
      </c>
      <c r="V50" s="31" t="n">
        <v>36200</v>
      </c>
      <c r="W50" s="36" t="n">
        <v>-0.3268983268983269</v>
      </c>
      <c r="X50" s="36" t="n">
        <v>0.4447513812154695</v>
      </c>
      <c r="Y50" s="31" t="n">
        <v>43617167</v>
      </c>
      <c r="Z50" s="31" t="n">
        <v>2281177834100</v>
      </c>
      <c r="AA50" s="31" t="n">
        <v>18190724500</v>
      </c>
      <c r="AB50" s="31" t="n">
        <v>17207351440</v>
      </c>
      <c r="AC50" s="36" t="n">
        <v>0.007974268480114722</v>
      </c>
      <c r="AD50" s="29" t="inlineStr">
        <is>
          <t>yfinance_download</t>
        </is>
      </c>
      <c r="AE50" s="29" t="inlineStr">
        <is>
          <t>000990.KS</t>
        </is>
      </c>
    </row>
    <row r="51" ht="24" customHeight="1">
      <c r="A51" s="24" t="inlineStr">
        <is>
          <t>2023-08-17</t>
        </is>
      </c>
      <c r="B51" s="30" t="n">
        <v>51600</v>
      </c>
      <c r="C51" s="30" t="n">
        <v>52800</v>
      </c>
      <c r="D51" s="30" t="n">
        <v>51200</v>
      </c>
      <c r="E51" s="30" t="n">
        <v>52300</v>
      </c>
      <c r="F51" s="30" t="n">
        <v>49916.66015625</v>
      </c>
      <c r="G51" s="30" t="n">
        <v>318308</v>
      </c>
      <c r="H51" s="35" t="n">
        <v>0</v>
      </c>
      <c r="I51" s="35" t="n">
        <v>-0.3839811542991755</v>
      </c>
      <c r="J51" s="30" t="n">
        <v>57525</v>
      </c>
      <c r="K51" s="30" t="n">
        <v>60453.33333333334</v>
      </c>
      <c r="L51" s="30" t="n">
        <v>59858.33333333334</v>
      </c>
      <c r="M51" s="35" t="n">
        <v>0.2706411408521269</v>
      </c>
      <c r="N51" s="35" t="n">
        <v>0.3207383633342743</v>
      </c>
      <c r="O51" s="35" t="n">
        <v>-0.1383855024711697</v>
      </c>
      <c r="P51" s="35" t="n">
        <v>-0.132669983416252</v>
      </c>
      <c r="Q51" s="35" t="n">
        <v>0.1545253863134657</v>
      </c>
      <c r="R51" s="35" t="n">
        <v>-0.09083007388092135</v>
      </c>
      <c r="S51" s="35" t="n">
        <v>-0.1348698720776357</v>
      </c>
      <c r="T51" s="35" t="n">
        <v>-0.1262703605735765</v>
      </c>
      <c r="U51" s="30" t="n">
        <v>77700</v>
      </c>
      <c r="V51" s="30" t="n">
        <v>36200</v>
      </c>
      <c r="W51" s="35" t="n">
        <v>-0.3268983268983269</v>
      </c>
      <c r="X51" s="35" t="n">
        <v>0.4447513812154695</v>
      </c>
      <c r="Y51" s="30" t="n">
        <v>43617167</v>
      </c>
      <c r="Z51" s="30" t="n">
        <v>2281177834100</v>
      </c>
      <c r="AA51" s="30" t="n">
        <v>16647508400</v>
      </c>
      <c r="AB51" s="30" t="n">
        <v>18039726860</v>
      </c>
      <c r="AC51" s="35" t="n">
        <v>0.007297768789064177</v>
      </c>
      <c r="AD51" s="24" t="inlineStr">
        <is>
          <t>yfinance_download</t>
        </is>
      </c>
      <c r="AE51" s="24" t="inlineStr">
        <is>
          <t>000990.KS</t>
        </is>
      </c>
    </row>
    <row r="52" ht="24" customHeight="1">
      <c r="A52" s="29" t="inlineStr">
        <is>
          <t>2023-08-18</t>
        </is>
      </c>
      <c r="B52" s="31" t="n">
        <v>51700</v>
      </c>
      <c r="C52" s="31" t="n">
        <v>54000</v>
      </c>
      <c r="D52" s="31" t="n">
        <v>50900</v>
      </c>
      <c r="E52" s="31" t="n">
        <v>53700</v>
      </c>
      <c r="F52" s="31" t="n">
        <v>51252.86328125</v>
      </c>
      <c r="G52" s="31" t="n">
        <v>482680</v>
      </c>
      <c r="H52" s="36" t="n">
        <v>0.02676864244741872</v>
      </c>
      <c r="I52" s="36" t="n">
        <v>-0.3674911660777385</v>
      </c>
      <c r="J52" s="31" t="n">
        <v>57175</v>
      </c>
      <c r="K52" s="31" t="n">
        <v>60345</v>
      </c>
      <c r="L52" s="31" t="n">
        <v>59913.75</v>
      </c>
      <c r="M52" s="36" t="n">
        <v>0.2957117410001026</v>
      </c>
      <c r="N52" s="36" t="n">
        <v>0.3261763782869176</v>
      </c>
      <c r="O52" s="36" t="n">
        <v>-0.1153212520593081</v>
      </c>
      <c r="P52" s="36" t="n">
        <v>-0.1079734219269103</v>
      </c>
      <c r="Q52" s="36" t="n">
        <v>0.1413390010626994</v>
      </c>
      <c r="R52" s="36" t="n">
        <v>-0.0607783121993879</v>
      </c>
      <c r="S52" s="36" t="n">
        <v>-0.1101168282376336</v>
      </c>
      <c r="T52" s="36" t="n">
        <v>-0.1037115854040183</v>
      </c>
      <c r="U52" s="31" t="n">
        <v>77700</v>
      </c>
      <c r="V52" s="31" t="n">
        <v>36200</v>
      </c>
      <c r="W52" s="36" t="n">
        <v>-0.3088803088803089</v>
      </c>
      <c r="X52" s="36" t="n">
        <v>0.4834254143646408</v>
      </c>
      <c r="Y52" s="31" t="n">
        <v>43617167</v>
      </c>
      <c r="Z52" s="31" t="n">
        <v>2342241867900</v>
      </c>
      <c r="AA52" s="31" t="n">
        <v>25919916000</v>
      </c>
      <c r="AB52" s="31" t="n">
        <v>19335722660</v>
      </c>
      <c r="AC52" s="36" t="n">
        <v>0.01106628497903131</v>
      </c>
      <c r="AD52" s="29" t="inlineStr">
        <is>
          <t>yfinance_download</t>
        </is>
      </c>
      <c r="AE52" s="29" t="inlineStr">
        <is>
          <t>000990.KS</t>
        </is>
      </c>
    </row>
    <row r="53" ht="24" customHeight="1">
      <c r="A53" s="24" t="inlineStr">
        <is>
          <t>2023-08-21</t>
        </is>
      </c>
      <c r="B53" s="30" t="n">
        <v>53800</v>
      </c>
      <c r="C53" s="30" t="n">
        <v>53800</v>
      </c>
      <c r="D53" s="30" t="n">
        <v>52000</v>
      </c>
      <c r="E53" s="30" t="n">
        <v>52200</v>
      </c>
      <c r="F53" s="30" t="n">
        <v>49821.21484375</v>
      </c>
      <c r="G53" s="30" t="n">
        <v>316961</v>
      </c>
      <c r="H53" s="35" t="n">
        <v>-0.02793296089385477</v>
      </c>
      <c r="I53" s="35" t="n">
        <v>-0.3851590106007067</v>
      </c>
      <c r="J53" s="30" t="n">
        <v>56750</v>
      </c>
      <c r="K53" s="30" t="n">
        <v>60221.66666666666</v>
      </c>
      <c r="L53" s="30" t="n">
        <v>59963.75</v>
      </c>
      <c r="M53" s="35" t="n">
        <v>0.3047511832349093</v>
      </c>
      <c r="N53" s="35" t="n">
        <v>0.330176060801611</v>
      </c>
      <c r="O53" s="35" t="n">
        <v>-0.1400329489291599</v>
      </c>
      <c r="P53" s="35" t="n">
        <v>-0.1241610738255033</v>
      </c>
      <c r="Q53" s="35" t="n">
        <v>0.1298701298701299</v>
      </c>
      <c r="R53" s="35" t="n">
        <v>-0.08017621145374454</v>
      </c>
      <c r="S53" s="35" t="n">
        <v>-0.133202335814906</v>
      </c>
      <c r="T53" s="35" t="n">
        <v>-0.1294740572429176</v>
      </c>
      <c r="U53" s="30" t="n">
        <v>77700</v>
      </c>
      <c r="V53" s="30" t="n">
        <v>36200</v>
      </c>
      <c r="W53" s="35" t="n">
        <v>-0.3281853281853282</v>
      </c>
      <c r="X53" s="35" t="n">
        <v>0.4419889502762431</v>
      </c>
      <c r="Y53" s="30" t="n">
        <v>43617167</v>
      </c>
      <c r="Z53" s="30" t="n">
        <v>2276816117400</v>
      </c>
      <c r="AA53" s="30" t="n">
        <v>16545364200</v>
      </c>
      <c r="AB53" s="30" t="n">
        <v>20162990870</v>
      </c>
      <c r="AC53" s="35" t="n">
        <v>0.007266886453216918</v>
      </c>
      <c r="AD53" s="24" t="inlineStr">
        <is>
          <t>yfinance_download</t>
        </is>
      </c>
      <c r="AE53" s="24" t="inlineStr">
        <is>
          <t>000990.KS</t>
        </is>
      </c>
    </row>
    <row r="54" ht="24" customHeight="1">
      <c r="A54" s="29" t="inlineStr">
        <is>
          <t>2023-08-22</t>
        </is>
      </c>
      <c r="B54" s="31" t="n">
        <v>52700</v>
      </c>
      <c r="C54" s="31" t="n">
        <v>53200</v>
      </c>
      <c r="D54" s="31" t="n">
        <v>50900</v>
      </c>
      <c r="E54" s="31" t="n">
        <v>51300</v>
      </c>
      <c r="F54" s="31" t="n">
        <v>48962.23046875</v>
      </c>
      <c r="G54" s="31" t="n">
        <v>331121</v>
      </c>
      <c r="H54" s="36" t="n">
        <v>-0.01724137931034486</v>
      </c>
      <c r="I54" s="36" t="n">
        <v>-0.3957597173144877</v>
      </c>
      <c r="J54" s="31" t="n">
        <v>56280</v>
      </c>
      <c r="K54" s="31" t="n">
        <v>60091.66666666666</v>
      </c>
      <c r="L54" s="31" t="n">
        <v>60011.66666666666</v>
      </c>
      <c r="M54" s="36" t="n">
        <v>0.3053885491621202</v>
      </c>
      <c r="N54" s="36" t="n">
        <v>0.3314044531640637</v>
      </c>
      <c r="O54" s="36" t="n">
        <v>-0.1548599670510709</v>
      </c>
      <c r="P54" s="36" t="n">
        <v>-0.131979695431472</v>
      </c>
      <c r="Q54" s="36" t="n">
        <v>0.1262349066959385</v>
      </c>
      <c r="R54" s="36" t="n">
        <v>-0.08848614072494665</v>
      </c>
      <c r="S54" s="36" t="n">
        <v>-0.1463042573845513</v>
      </c>
      <c r="T54" s="36" t="n">
        <v>-0.1451662176798956</v>
      </c>
      <c r="U54" s="31" t="n">
        <v>77700</v>
      </c>
      <c r="V54" s="31" t="n">
        <v>36200</v>
      </c>
      <c r="W54" s="36" t="n">
        <v>-0.3397683397683398</v>
      </c>
      <c r="X54" s="36" t="n">
        <v>0.4171270718232045</v>
      </c>
      <c r="Y54" s="31" t="n">
        <v>43617167</v>
      </c>
      <c r="Z54" s="31" t="n">
        <v>2237560667100</v>
      </c>
      <c r="AA54" s="31" t="n">
        <v>16986507300</v>
      </c>
      <c r="AB54" s="31" t="n">
        <v>21012316235</v>
      </c>
      <c r="AC54" s="36" t="n">
        <v>0.007591529271032206</v>
      </c>
      <c r="AD54" s="29" t="inlineStr">
        <is>
          <t>yfinance_download</t>
        </is>
      </c>
      <c r="AE54" s="29" t="inlineStr">
        <is>
          <t>000990.KS</t>
        </is>
      </c>
    </row>
    <row r="55" ht="24" customHeight="1">
      <c r="A55" s="24" t="inlineStr">
        <is>
          <t>2023-08-23</t>
        </is>
      </c>
      <c r="B55" s="30" t="n">
        <v>51000</v>
      </c>
      <c r="C55" s="30" t="n">
        <v>52500</v>
      </c>
      <c r="D55" s="30" t="n">
        <v>50900</v>
      </c>
      <c r="E55" s="30" t="n">
        <v>51600</v>
      </c>
      <c r="F55" s="30" t="n">
        <v>49248.5625</v>
      </c>
      <c r="G55" s="30" t="n">
        <v>268525</v>
      </c>
      <c r="H55" s="35" t="n">
        <v>0.005847953216374213</v>
      </c>
      <c r="I55" s="35" t="n">
        <v>-0.392226148409894</v>
      </c>
      <c r="J55" s="30" t="n">
        <v>55825</v>
      </c>
      <c r="K55" s="30" t="n">
        <v>59926.66666666666</v>
      </c>
      <c r="L55" s="30" t="n">
        <v>60064.16666666666</v>
      </c>
      <c r="M55" s="35" t="n">
        <v>0.3081644232502356</v>
      </c>
      <c r="N55" s="35" t="n">
        <v>0.3197019124008121</v>
      </c>
      <c r="O55" s="35" t="n">
        <v>-0.1499176276771005</v>
      </c>
      <c r="P55" s="35" t="n">
        <v>-0.1609756097560976</v>
      </c>
      <c r="Q55" s="35" t="n">
        <v>0.1390728476821192</v>
      </c>
      <c r="R55" s="35" t="n">
        <v>-0.07568293775190327</v>
      </c>
      <c r="S55" s="35" t="n">
        <v>-0.138947602625431</v>
      </c>
      <c r="T55" s="35" t="n">
        <v>-0.1409187396811743</v>
      </c>
      <c r="U55" s="30" t="n">
        <v>77700</v>
      </c>
      <c r="V55" s="30" t="n">
        <v>36200</v>
      </c>
      <c r="W55" s="35" t="n">
        <v>-0.3359073359073359</v>
      </c>
      <c r="X55" s="35" t="n">
        <v>0.4254143646408839</v>
      </c>
      <c r="Y55" s="30" t="n">
        <v>43617167</v>
      </c>
      <c r="Z55" s="30" t="n">
        <v>2250645817200</v>
      </c>
      <c r="AA55" s="30" t="n">
        <v>13855890000</v>
      </c>
      <c r="AB55" s="30" t="n">
        <v>21705110735</v>
      </c>
      <c r="AC55" s="35" t="n">
        <v>0.006156406260865131</v>
      </c>
      <c r="AD55" s="24" t="inlineStr">
        <is>
          <t>yfinance_download</t>
        </is>
      </c>
      <c r="AE55" s="24" t="inlineStr">
        <is>
          <t>000990.KS</t>
        </is>
      </c>
    </row>
    <row r="56" ht="24" customHeight="1">
      <c r="A56" s="29" t="inlineStr">
        <is>
          <t>2023-08-24</t>
        </is>
      </c>
      <c r="B56" s="31" t="n">
        <v>52600</v>
      </c>
      <c r="C56" s="31" t="n">
        <v>53600</v>
      </c>
      <c r="D56" s="31" t="n">
        <v>52400</v>
      </c>
      <c r="E56" s="31" t="n">
        <v>52700</v>
      </c>
      <c r="F56" s="31" t="n">
        <v>50298.43359375</v>
      </c>
      <c r="G56" s="31" t="n">
        <v>298124</v>
      </c>
      <c r="H56" s="36" t="n">
        <v>0.02131782945736438</v>
      </c>
      <c r="I56" s="36" t="n">
        <v>-0.3792697290930507</v>
      </c>
      <c r="J56" s="31" t="n">
        <v>55425</v>
      </c>
      <c r="K56" s="31" t="n">
        <v>59771.66666666666</v>
      </c>
      <c r="L56" s="31" t="n">
        <v>60130.41666666666</v>
      </c>
      <c r="M56" s="36" t="n">
        <v>0.3242896960687605</v>
      </c>
      <c r="N56" s="36" t="n">
        <v>0.3227417208925827</v>
      </c>
      <c r="O56" s="36" t="n">
        <v>-0.1317957166392092</v>
      </c>
      <c r="P56" s="36" t="n">
        <v>-0.15</v>
      </c>
      <c r="Q56" s="36" t="n">
        <v>0.1776536312849162</v>
      </c>
      <c r="R56" s="36" t="n">
        <v>-0.04916553901668919</v>
      </c>
      <c r="S56" s="36" t="n">
        <v>-0.1183113515322198</v>
      </c>
      <c r="T56" s="36" t="n">
        <v>-0.1235716809989398</v>
      </c>
      <c r="U56" s="31" t="n">
        <v>77700</v>
      </c>
      <c r="V56" s="31" t="n">
        <v>36200</v>
      </c>
      <c r="W56" s="36" t="n">
        <v>-0.3217503217503217</v>
      </c>
      <c r="X56" s="36" t="n">
        <v>0.4558011049723756</v>
      </c>
      <c r="Y56" s="31" t="n">
        <v>43617167</v>
      </c>
      <c r="Z56" s="31" t="n">
        <v>2298624700900</v>
      </c>
      <c r="AA56" s="31" t="n">
        <v>15711134800</v>
      </c>
      <c r="AB56" s="31" t="n">
        <v>22490667475</v>
      </c>
      <c r="AC56" s="36" t="n">
        <v>0.006835015213161369</v>
      </c>
      <c r="AD56" s="29" t="inlineStr">
        <is>
          <t>yfinance_download</t>
        </is>
      </c>
      <c r="AE56" s="29" t="inlineStr">
        <is>
          <t>000990.KS</t>
        </is>
      </c>
    </row>
    <row r="57" ht="24" customHeight="1">
      <c r="A57" s="24" t="inlineStr">
        <is>
          <t>2023-08-25</t>
        </is>
      </c>
      <c r="B57" s="30" t="n">
        <v>51700</v>
      </c>
      <c r="C57" s="30" t="n">
        <v>51900</v>
      </c>
      <c r="D57" s="30" t="n">
        <v>51000</v>
      </c>
      <c r="E57" s="30" t="n">
        <v>51600</v>
      </c>
      <c r="F57" s="30" t="n">
        <v>49248.5625</v>
      </c>
      <c r="G57" s="30" t="n">
        <v>278483</v>
      </c>
      <c r="H57" s="35" t="n">
        <v>-0.02087286527514232</v>
      </c>
      <c r="I57" s="35" t="n">
        <v>-0.392226148409894</v>
      </c>
      <c r="J57" s="30" t="n">
        <v>55065</v>
      </c>
      <c r="K57" s="30" t="n">
        <v>59625</v>
      </c>
      <c r="L57" s="30" t="n">
        <v>60180.41666666666</v>
      </c>
      <c r="M57" s="35" t="n">
        <v>0.3158609722240844</v>
      </c>
      <c r="N57" s="35" t="n">
        <v>0.32137559054188</v>
      </c>
      <c r="O57" s="35" t="n">
        <v>-0.1224489795918368</v>
      </c>
      <c r="P57" s="35" t="n">
        <v>-0.1456953642384106</v>
      </c>
      <c r="Q57" s="35" t="n">
        <v>0.131578947368421</v>
      </c>
      <c r="R57" s="35" t="n">
        <v>-0.06292563334241352</v>
      </c>
      <c r="S57" s="35" t="n">
        <v>-0.1345911949685534</v>
      </c>
      <c r="T57" s="35" t="n">
        <v>-0.1425782196589421</v>
      </c>
      <c r="U57" s="30" t="n">
        <v>77700</v>
      </c>
      <c r="V57" s="30" t="n">
        <v>36200</v>
      </c>
      <c r="W57" s="35" t="n">
        <v>-0.3359073359073359</v>
      </c>
      <c r="X57" s="35" t="n">
        <v>0.4254143646408839</v>
      </c>
      <c r="Y57" s="30" t="n">
        <v>43617167</v>
      </c>
      <c r="Z57" s="30" t="n">
        <v>2250645817200</v>
      </c>
      <c r="AA57" s="30" t="n">
        <v>14369722800</v>
      </c>
      <c r="AB57" s="30" t="n">
        <v>21484823035</v>
      </c>
      <c r="AC57" s="35" t="n">
        <v>0.00638471086395868</v>
      </c>
      <c r="AD57" s="24" t="inlineStr">
        <is>
          <t>yfinance_download</t>
        </is>
      </c>
      <c r="AE57" s="24" t="inlineStr">
        <is>
          <t>000990.KS</t>
        </is>
      </c>
    </row>
    <row r="58" ht="24" customHeight="1">
      <c r="A58" s="29" t="inlineStr">
        <is>
          <t>2023-08-28</t>
        </is>
      </c>
      <c r="B58" s="31" t="n">
        <v>52100</v>
      </c>
      <c r="C58" s="31" t="n">
        <v>52600</v>
      </c>
      <c r="D58" s="31" t="n">
        <v>51800</v>
      </c>
      <c r="E58" s="31" t="n">
        <v>52500</v>
      </c>
      <c r="F58" s="31" t="n">
        <v>50107.546875</v>
      </c>
      <c r="G58" s="31" t="n">
        <v>189166</v>
      </c>
      <c r="H58" s="36" t="n">
        <v>0.01744186046511631</v>
      </c>
      <c r="I58" s="36" t="n">
        <v>-0.3816254416961131</v>
      </c>
      <c r="J58" s="31" t="n">
        <v>54730</v>
      </c>
      <c r="K58" s="31" t="n">
        <v>59488.33333333334</v>
      </c>
      <c r="L58" s="31" t="n">
        <v>60232.08333333334</v>
      </c>
      <c r="M58" s="36" t="n">
        <v>0.3238800762362445</v>
      </c>
      <c r="N58" s="36" t="n">
        <v>0.3236093402096471</v>
      </c>
      <c r="O58" s="36" t="n">
        <v>-0.1131756756756757</v>
      </c>
      <c r="P58" s="36" t="n">
        <v>-0.1350906095551895</v>
      </c>
      <c r="Q58" s="36" t="n">
        <v>0.1339092872570193</v>
      </c>
      <c r="R58" s="36" t="n">
        <v>-0.04074547780010962</v>
      </c>
      <c r="S58" s="36" t="n">
        <v>-0.1174740145126496</v>
      </c>
      <c r="T58" s="36" t="n">
        <v>-0.1283715074330541</v>
      </c>
      <c r="U58" s="31" t="n">
        <v>77700</v>
      </c>
      <c r="V58" s="31" t="n">
        <v>36200</v>
      </c>
      <c r="W58" s="36" t="n">
        <v>-0.3243243243243243</v>
      </c>
      <c r="X58" s="36" t="n">
        <v>0.4502762430939227</v>
      </c>
      <c r="Y58" s="31" t="n">
        <v>43617167</v>
      </c>
      <c r="Z58" s="31" t="n">
        <v>2289901267500</v>
      </c>
      <c r="AA58" s="31" t="n">
        <v>9931215000</v>
      </c>
      <c r="AB58" s="31" t="n">
        <v>20412459465</v>
      </c>
      <c r="AC58" s="36" t="n">
        <v>0.004336962095681272</v>
      </c>
      <c r="AD58" s="29" t="inlineStr">
        <is>
          <t>yfinance_download</t>
        </is>
      </c>
      <c r="AE58" s="29" t="inlineStr">
        <is>
          <t>000990.KS</t>
        </is>
      </c>
    </row>
    <row r="59" ht="24" customHeight="1">
      <c r="A59" s="24" t="inlineStr">
        <is>
          <t>2023-08-29</t>
        </is>
      </c>
      <c r="B59" s="30" t="n">
        <v>52900</v>
      </c>
      <c r="C59" s="30" t="n">
        <v>54100</v>
      </c>
      <c r="D59" s="30" t="n">
        <v>52700</v>
      </c>
      <c r="E59" s="30" t="n">
        <v>53600</v>
      </c>
      <c r="F59" s="30" t="n">
        <v>51157.421875</v>
      </c>
      <c r="G59" s="30" t="n">
        <v>274122</v>
      </c>
      <c r="H59" s="35" t="n">
        <v>0.02095238095238106</v>
      </c>
      <c r="I59" s="35" t="n">
        <v>-0.3686690223792697</v>
      </c>
      <c r="J59" s="30" t="n">
        <v>54460</v>
      </c>
      <c r="K59" s="30" t="n">
        <v>59326.66666666666</v>
      </c>
      <c r="L59" s="30" t="n">
        <v>60302.08333333334</v>
      </c>
      <c r="M59" s="35" t="n">
        <v>0.3375109475123172</v>
      </c>
      <c r="N59" s="35" t="n">
        <v>0.3135509892334427</v>
      </c>
      <c r="O59" s="35" t="n">
        <v>-0.09152542372881356</v>
      </c>
      <c r="P59" s="35" t="n">
        <v>-0.1532385466034755</v>
      </c>
      <c r="Q59" s="35" t="n">
        <v>0.1858407079646018</v>
      </c>
      <c r="R59" s="35" t="n">
        <v>-0.0157914065369078</v>
      </c>
      <c r="S59" s="35" t="n">
        <v>-0.09652769974154396</v>
      </c>
      <c r="T59" s="35" t="n">
        <v>-0.1111418206944205</v>
      </c>
      <c r="U59" s="30" t="n">
        <v>77700</v>
      </c>
      <c r="V59" s="30" t="n">
        <v>36200</v>
      </c>
      <c r="W59" s="35" t="n">
        <v>-0.3101673101673101</v>
      </c>
      <c r="X59" s="35" t="n">
        <v>0.4806629834254144</v>
      </c>
      <c r="Y59" s="30" t="n">
        <v>43617167</v>
      </c>
      <c r="Z59" s="30" t="n">
        <v>2337880151200</v>
      </c>
      <c r="AA59" s="30" t="n">
        <v>14692939200</v>
      </c>
      <c r="AB59" s="30" t="n">
        <v>20008226475</v>
      </c>
      <c r="AC59" s="35" t="n">
        <v>0.006284727295562318</v>
      </c>
      <c r="AD59" s="24" t="inlineStr">
        <is>
          <t>yfinance_download</t>
        </is>
      </c>
      <c r="AE59" s="24" t="inlineStr">
        <is>
          <t>000990.KS</t>
        </is>
      </c>
    </row>
    <row r="60" ht="24" customHeight="1">
      <c r="A60" s="29" t="inlineStr">
        <is>
          <t>2023-08-30</t>
        </is>
      </c>
      <c r="B60" s="31" t="n">
        <v>54200</v>
      </c>
      <c r="C60" s="31" t="n">
        <v>54300</v>
      </c>
      <c r="D60" s="31" t="n">
        <v>53400</v>
      </c>
      <c r="E60" s="31" t="n">
        <v>53500</v>
      </c>
      <c r="F60" s="31" t="n">
        <v>51061.9765625</v>
      </c>
      <c r="G60" s="31" t="n">
        <v>235977</v>
      </c>
      <c r="H60" s="36" t="n">
        <v>-0.001865671641791078</v>
      </c>
      <c r="I60" s="36" t="n">
        <v>-0.3698468786808009</v>
      </c>
      <c r="J60" s="31" t="n">
        <v>54075</v>
      </c>
      <c r="K60" s="31" t="n">
        <v>59186.66666666666</v>
      </c>
      <c r="L60" s="31" t="n">
        <v>60306.25</v>
      </c>
      <c r="M60" s="36" t="n">
        <v>0.2995867802966409</v>
      </c>
      <c r="N60" s="36" t="n">
        <v>0.3108958790305559</v>
      </c>
      <c r="O60" s="36" t="n">
        <v>-0.1258169934640523</v>
      </c>
      <c r="P60" s="36" t="n">
        <v>-0.135702746365105</v>
      </c>
      <c r="Q60" s="36" t="n">
        <v>0.009433962264151052</v>
      </c>
      <c r="R60" s="36" t="n">
        <v>-0.01063337956541843</v>
      </c>
      <c r="S60" s="36" t="n">
        <v>-0.09608019824284741</v>
      </c>
      <c r="T60" s="36" t="n">
        <v>-0.1128614364182817</v>
      </c>
      <c r="U60" s="31" t="n">
        <v>77700</v>
      </c>
      <c r="V60" s="31" t="n">
        <v>36200</v>
      </c>
      <c r="W60" s="36" t="n">
        <v>-0.3114543114543115</v>
      </c>
      <c r="X60" s="36" t="n">
        <v>0.4779005524861879</v>
      </c>
      <c r="Y60" s="31" t="n">
        <v>43617167</v>
      </c>
      <c r="Z60" s="31" t="n">
        <v>2333518434500</v>
      </c>
      <c r="AA60" s="31" t="n">
        <v>12624769500</v>
      </c>
      <c r="AB60" s="31" t="n">
        <v>18526642050</v>
      </c>
      <c r="AC60" s="36" t="n">
        <v>0.00541018631494338</v>
      </c>
      <c r="AD60" s="29" t="inlineStr">
        <is>
          <t>yfinance_download</t>
        </is>
      </c>
      <c r="AE60" s="29" t="inlineStr">
        <is>
          <t>000990.KS</t>
        </is>
      </c>
    </row>
    <row r="61" ht="24" customHeight="1">
      <c r="A61" s="24" t="inlineStr">
        <is>
          <t>2023-08-31</t>
        </is>
      </c>
      <c r="B61" s="30" t="n">
        <v>53400</v>
      </c>
      <c r="C61" s="30" t="n">
        <v>53600</v>
      </c>
      <c r="D61" s="30" t="n">
        <v>52900</v>
      </c>
      <c r="E61" s="30" t="n">
        <v>53500</v>
      </c>
      <c r="F61" s="30" t="n">
        <v>51061.9765625</v>
      </c>
      <c r="G61" s="30" t="n">
        <v>208203</v>
      </c>
      <c r="H61" s="35" t="n">
        <v>0</v>
      </c>
      <c r="I61" s="35" t="n">
        <v>-0.3698468786808009</v>
      </c>
      <c r="J61" s="30" t="n">
        <v>53795</v>
      </c>
      <c r="K61" s="30" t="n">
        <v>59053.33333333334</v>
      </c>
      <c r="L61" s="30" t="n">
        <v>60333.75</v>
      </c>
      <c r="M61" s="35" t="n">
        <v>0.2816016543244487</v>
      </c>
      <c r="N61" s="35" t="n">
        <v>0.3108029711603567</v>
      </c>
      <c r="O61" s="35" t="n">
        <v>-0.09475465313028764</v>
      </c>
      <c r="P61" s="35" t="n">
        <v>-0.1300813008130082</v>
      </c>
      <c r="Q61" s="35" t="n">
        <v>0.06573705179282863</v>
      </c>
      <c r="R61" s="35" t="n">
        <v>-0.005483781020540923</v>
      </c>
      <c r="S61" s="35" t="n">
        <v>-0.09403928652065929</v>
      </c>
      <c r="T61" s="35" t="n">
        <v>-0.1132657923633124</v>
      </c>
      <c r="U61" s="30" t="n">
        <v>77700</v>
      </c>
      <c r="V61" s="30" t="n">
        <v>36200</v>
      </c>
      <c r="W61" s="35" t="n">
        <v>-0.3114543114543115</v>
      </c>
      <c r="X61" s="35" t="n">
        <v>0.4779005524861879</v>
      </c>
      <c r="Y61" s="30" t="n">
        <v>43617167</v>
      </c>
      <c r="Z61" s="30" t="n">
        <v>2333518434500</v>
      </c>
      <c r="AA61" s="30" t="n">
        <v>11138860500</v>
      </c>
      <c r="AB61" s="30" t="n">
        <v>17336311305</v>
      </c>
      <c r="AC61" s="35" t="n">
        <v>0.004773418686270936</v>
      </c>
      <c r="AD61" s="24" t="inlineStr">
        <is>
          <t>yfinance_download</t>
        </is>
      </c>
      <c r="AE61" s="24" t="inlineStr">
        <is>
          <t>000990.KS</t>
        </is>
      </c>
    </row>
    <row r="62" ht="24" customHeight="1">
      <c r="A62" s="29" t="inlineStr">
        <is>
          <t>2023-09-01</t>
        </is>
      </c>
      <c r="B62" s="31" t="n">
        <v>53500</v>
      </c>
      <c r="C62" s="31" t="n">
        <v>55200</v>
      </c>
      <c r="D62" s="31" t="n">
        <v>53100</v>
      </c>
      <c r="E62" s="31" t="n">
        <v>54700</v>
      </c>
      <c r="F62" s="31" t="n">
        <v>52207.29296875</v>
      </c>
      <c r="G62" s="31" t="n">
        <v>462071</v>
      </c>
      <c r="H62" s="36" t="n">
        <v>0.02242990654205612</v>
      </c>
      <c r="I62" s="36" t="n">
        <v>-0.3557126030624264</v>
      </c>
      <c r="J62" s="31" t="n">
        <v>53640</v>
      </c>
      <c r="K62" s="31" t="n">
        <v>58933.33333333334</v>
      </c>
      <c r="L62" s="31" t="n">
        <v>60401.66666666666</v>
      </c>
      <c r="M62" s="36" t="n">
        <v>0.2896903822773872</v>
      </c>
      <c r="N62" s="36" t="n">
        <v>0.3143858594437835</v>
      </c>
      <c r="O62" s="36" t="n">
        <v>-0.05363321799307963</v>
      </c>
      <c r="P62" s="36" t="n">
        <v>-0.1163166397415186</v>
      </c>
      <c r="Q62" s="36" t="n">
        <v>0.1750805585392052</v>
      </c>
      <c r="R62" s="36" t="n">
        <v>0.01976137211036533</v>
      </c>
      <c r="S62" s="36" t="n">
        <v>-0.07183257918552044</v>
      </c>
      <c r="T62" s="36" t="n">
        <v>-0.09439585000413897</v>
      </c>
      <c r="U62" s="31" t="n">
        <v>77700</v>
      </c>
      <c r="V62" s="31" t="n">
        <v>36200</v>
      </c>
      <c r="W62" s="36" t="n">
        <v>-0.296010296010296</v>
      </c>
      <c r="X62" s="36" t="n">
        <v>0.511049723756906</v>
      </c>
      <c r="Y62" s="31" t="n">
        <v>43617167</v>
      </c>
      <c r="Z62" s="31" t="n">
        <v>2385859034900</v>
      </c>
      <c r="AA62" s="31" t="n">
        <v>25275283700</v>
      </c>
      <c r="AB62" s="31" t="n">
        <v>17463796850</v>
      </c>
      <c r="AC62" s="36" t="n">
        <v>0.01059378753324351</v>
      </c>
      <c r="AD62" s="29" t="inlineStr">
        <is>
          <t>yfinance_download</t>
        </is>
      </c>
      <c r="AE62" s="29" t="inlineStr">
        <is>
          <t>000990.KS</t>
        </is>
      </c>
    </row>
    <row r="63" ht="24" customHeight="1">
      <c r="A63" s="24" t="inlineStr">
        <is>
          <t>2023-09-04</t>
        </is>
      </c>
      <c r="B63" s="30" t="n">
        <v>55000</v>
      </c>
      <c r="C63" s="30" t="n">
        <v>55100</v>
      </c>
      <c r="D63" s="30" t="n">
        <v>53300</v>
      </c>
      <c r="E63" s="30" t="n">
        <v>54000</v>
      </c>
      <c r="F63" s="30" t="n">
        <v>51539.19140625</v>
      </c>
      <c r="G63" s="30" t="n">
        <v>262366</v>
      </c>
      <c r="H63" s="35" t="n">
        <v>-0.01279707495429616</v>
      </c>
      <c r="I63" s="35" t="n">
        <v>-0.3639575971731449</v>
      </c>
      <c r="J63" s="30" t="n">
        <v>53470</v>
      </c>
      <c r="K63" s="30" t="n">
        <v>58775</v>
      </c>
      <c r="L63" s="30" t="n">
        <v>60463.33333333334</v>
      </c>
      <c r="M63" s="35" t="n">
        <v>0.2915992198782301</v>
      </c>
      <c r="N63" s="35" t="n">
        <v>0.3097775572406615</v>
      </c>
      <c r="O63" s="35" t="n">
        <v>-0.05923344947735187</v>
      </c>
      <c r="P63" s="35" t="n">
        <v>-0.1496062992125984</v>
      </c>
      <c r="Q63" s="35" t="n">
        <v>0.1587982832618027</v>
      </c>
      <c r="R63" s="35" t="n">
        <v>0.009912100243127053</v>
      </c>
      <c r="S63" s="35" t="n">
        <v>-0.08124202467035302</v>
      </c>
      <c r="T63" s="35" t="n">
        <v>-0.1068967418270026</v>
      </c>
      <c r="U63" s="30" t="n">
        <v>77700</v>
      </c>
      <c r="V63" s="30" t="n">
        <v>36200</v>
      </c>
      <c r="W63" s="35" t="n">
        <v>-0.305019305019305</v>
      </c>
      <c r="X63" s="35" t="n">
        <v>0.4917127071823204</v>
      </c>
      <c r="Y63" s="30" t="n">
        <v>43617167</v>
      </c>
      <c r="Z63" s="30" t="n">
        <v>2355327018000</v>
      </c>
      <c r="AA63" s="30" t="n">
        <v>14167764000</v>
      </c>
      <c r="AB63" s="30" t="n">
        <v>17344525840</v>
      </c>
      <c r="AC63" s="35" t="n">
        <v>0.006015200391167083</v>
      </c>
      <c r="AD63" s="24" t="inlineStr">
        <is>
          <t>yfinance_download</t>
        </is>
      </c>
      <c r="AE63" s="24" t="inlineStr">
        <is>
          <t>000990.KS</t>
        </is>
      </c>
    </row>
    <row r="64" ht="24" customHeight="1">
      <c r="A64" s="29" t="inlineStr">
        <is>
          <t>2023-09-05</t>
        </is>
      </c>
      <c r="B64" s="31" t="n">
        <v>53700</v>
      </c>
      <c r="C64" s="31" t="n">
        <v>54900</v>
      </c>
      <c r="D64" s="31" t="n">
        <v>53200</v>
      </c>
      <c r="E64" s="31" t="n">
        <v>53500</v>
      </c>
      <c r="F64" s="31" t="n">
        <v>51061.9765625</v>
      </c>
      <c r="G64" s="31" t="n">
        <v>228331</v>
      </c>
      <c r="H64" s="36" t="n">
        <v>-0.0092592592592593</v>
      </c>
      <c r="I64" s="36" t="n">
        <v>-0.3698468786808009</v>
      </c>
      <c r="J64" s="31" t="n">
        <v>53295</v>
      </c>
      <c r="K64" s="31" t="n">
        <v>58635</v>
      </c>
      <c r="L64" s="31" t="n">
        <v>60532.91666666666</v>
      </c>
      <c r="M64" s="36" t="n">
        <v>0.2921372614886603</v>
      </c>
      <c r="N64" s="36" t="n">
        <v>0.3064966421275019</v>
      </c>
      <c r="O64" s="36" t="n">
        <v>-0.06140350877192979</v>
      </c>
      <c r="P64" s="36" t="n">
        <v>-0.135702746365105</v>
      </c>
      <c r="Q64" s="36" t="n">
        <v>0.184939091915836</v>
      </c>
      <c r="R64" s="36" t="n">
        <v>0.003846514682428026</v>
      </c>
      <c r="S64" s="36" t="n">
        <v>-0.08757568005457494</v>
      </c>
      <c r="T64" s="36" t="n">
        <v>-0.116183343773016</v>
      </c>
      <c r="U64" s="31" t="n">
        <v>77700</v>
      </c>
      <c r="V64" s="31" t="n">
        <v>36200</v>
      </c>
      <c r="W64" s="36" t="n">
        <v>-0.3114543114543115</v>
      </c>
      <c r="X64" s="36" t="n">
        <v>0.4779005524861879</v>
      </c>
      <c r="Y64" s="31" t="n">
        <v>43617167</v>
      </c>
      <c r="Z64" s="31" t="n">
        <v>2333518434500</v>
      </c>
      <c r="AA64" s="31" t="n">
        <v>12215708500</v>
      </c>
      <c r="AB64" s="31" t="n">
        <v>17301911715</v>
      </c>
      <c r="AC64" s="36" t="n">
        <v>0.005234888364024193</v>
      </c>
      <c r="AD64" s="29" t="inlineStr">
        <is>
          <t>yfinance_download</t>
        </is>
      </c>
      <c r="AE64" s="29" t="inlineStr">
        <is>
          <t>000990.KS</t>
        </is>
      </c>
    </row>
    <row r="65" ht="24" customHeight="1">
      <c r="A65" s="24" t="inlineStr">
        <is>
          <t>2023-09-06</t>
        </is>
      </c>
      <c r="B65" s="30" t="n">
        <v>53000</v>
      </c>
      <c r="C65" s="30" t="n">
        <v>53400</v>
      </c>
      <c r="D65" s="30" t="n">
        <v>52700</v>
      </c>
      <c r="E65" s="30" t="n">
        <v>52900</v>
      </c>
      <c r="F65" s="30" t="n">
        <v>50489.31640625</v>
      </c>
      <c r="G65" s="30" t="n">
        <v>169065</v>
      </c>
      <c r="H65" s="35" t="n">
        <v>-0.01121495327102806</v>
      </c>
      <c r="I65" s="35" t="n">
        <v>-0.3769140164899882</v>
      </c>
      <c r="J65" s="30" t="n">
        <v>53195</v>
      </c>
      <c r="K65" s="30" t="n">
        <v>58465</v>
      </c>
      <c r="L65" s="30" t="n">
        <v>60595.83333333334</v>
      </c>
      <c r="M65" s="35" t="n">
        <v>0.2657350517374016</v>
      </c>
      <c r="N65" s="35" t="n">
        <v>0.3036757950344208</v>
      </c>
      <c r="O65" s="35" t="n">
        <v>-0.03642987249544627</v>
      </c>
      <c r="P65" s="35" t="n">
        <v>-0.161648177496038</v>
      </c>
      <c r="Q65" s="35" t="n">
        <v>0.1664829106945975</v>
      </c>
      <c r="R65" s="35" t="n">
        <v>-0.005545633988156773</v>
      </c>
      <c r="S65" s="35" t="n">
        <v>-0.09518515351064738</v>
      </c>
      <c r="T65" s="35" t="n">
        <v>-0.1270026817025374</v>
      </c>
      <c r="U65" s="30" t="n">
        <v>77700</v>
      </c>
      <c r="V65" s="30" t="n">
        <v>36200</v>
      </c>
      <c r="W65" s="35" t="n">
        <v>-0.3191763191763192</v>
      </c>
      <c r="X65" s="35" t="n">
        <v>0.4613259668508287</v>
      </c>
      <c r="Y65" s="30" t="n">
        <v>43617167</v>
      </c>
      <c r="Z65" s="30" t="n">
        <v>2307348134300</v>
      </c>
      <c r="AA65" s="30" t="n">
        <v>8943538500</v>
      </c>
      <c r="AB65" s="30" t="n">
        <v>16287323985</v>
      </c>
      <c r="AC65" s="35" t="n">
        <v>0.00387611144025012</v>
      </c>
      <c r="AD65" s="24" t="inlineStr">
        <is>
          <t>yfinance_download</t>
        </is>
      </c>
      <c r="AE65" s="24" t="inlineStr">
        <is>
          <t>000990.KS</t>
        </is>
      </c>
    </row>
    <row r="66" ht="24" customHeight="1">
      <c r="A66" s="29" t="inlineStr">
        <is>
          <t>2023-09-07</t>
        </is>
      </c>
      <c r="B66" s="31" t="n">
        <v>52200</v>
      </c>
      <c r="C66" s="31" t="n">
        <v>53500</v>
      </c>
      <c r="D66" s="31" t="n">
        <v>52200</v>
      </c>
      <c r="E66" s="31" t="n">
        <v>52700</v>
      </c>
      <c r="F66" s="31" t="n">
        <v>50298.43359375</v>
      </c>
      <c r="G66" s="31" t="n">
        <v>210513</v>
      </c>
      <c r="H66" s="36" t="n">
        <v>-0.003780718336483968</v>
      </c>
      <c r="I66" s="36" t="n">
        <v>-0.3792697290930507</v>
      </c>
      <c r="J66" s="31" t="n">
        <v>53055</v>
      </c>
      <c r="K66" s="31" t="n">
        <v>58311.66666666666</v>
      </c>
      <c r="L66" s="31" t="n">
        <v>60642.08333333334</v>
      </c>
      <c r="M66" s="36" t="n">
        <v>0.261544534907754</v>
      </c>
      <c r="N66" s="36" t="n">
        <v>0.3017900245493665</v>
      </c>
      <c r="O66" s="36" t="n">
        <v>-0.05045045045045049</v>
      </c>
      <c r="P66" s="36" t="n">
        <v>-0.148626817447496</v>
      </c>
      <c r="Q66" s="36" t="n">
        <v>0.117709437963945</v>
      </c>
      <c r="R66" s="36" t="n">
        <v>-0.006691169541042319</v>
      </c>
      <c r="S66" s="36" t="n">
        <v>-0.09623574470517615</v>
      </c>
      <c r="T66" s="36" t="n">
        <v>-0.1309665317676806</v>
      </c>
      <c r="U66" s="31" t="n">
        <v>77700</v>
      </c>
      <c r="V66" s="31" t="n">
        <v>36200</v>
      </c>
      <c r="W66" s="36" t="n">
        <v>-0.3217503217503217</v>
      </c>
      <c r="X66" s="36" t="n">
        <v>0.4558011049723756</v>
      </c>
      <c r="Y66" s="31" t="n">
        <v>43617167</v>
      </c>
      <c r="Z66" s="31" t="n">
        <v>2298624700900</v>
      </c>
      <c r="AA66" s="31" t="n">
        <v>11094035100</v>
      </c>
      <c r="AB66" s="31" t="n">
        <v>16140186615</v>
      </c>
      <c r="AC66" s="36" t="n">
        <v>0.004826379484939955</v>
      </c>
      <c r="AD66" s="29" t="inlineStr">
        <is>
          <t>yfinance_download</t>
        </is>
      </c>
      <c r="AE66" s="29" t="inlineStr">
        <is>
          <t>000990.KS</t>
        </is>
      </c>
    </row>
    <row r="67" ht="24" customHeight="1">
      <c r="A67" s="24" t="inlineStr">
        <is>
          <t>2023-09-08</t>
        </is>
      </c>
      <c r="B67" s="30" t="n">
        <v>52300</v>
      </c>
      <c r="C67" s="30" t="n">
        <v>52400</v>
      </c>
      <c r="D67" s="30" t="n">
        <v>51100</v>
      </c>
      <c r="E67" s="30" t="n">
        <v>51500</v>
      </c>
      <c r="F67" s="30" t="n">
        <v>49153.1171875</v>
      </c>
      <c r="G67" s="30" t="n">
        <v>320719</v>
      </c>
      <c r="H67" s="35" t="n">
        <v>-0.02277039848197349</v>
      </c>
      <c r="I67" s="35" t="n">
        <v>-0.3934040047114252</v>
      </c>
      <c r="J67" s="30" t="n">
        <v>52880</v>
      </c>
      <c r="K67" s="30" t="n">
        <v>58100</v>
      </c>
      <c r="L67" s="30" t="n">
        <v>60668.75</v>
      </c>
      <c r="M67" s="35" t="n">
        <v>0.2705247549265792</v>
      </c>
      <c r="N67" s="35" t="n">
        <v>0.2930179263964976</v>
      </c>
      <c r="O67" s="35" t="n">
        <v>-0.0636363636363636</v>
      </c>
      <c r="P67" s="35" t="n">
        <v>-0.1978193146417445</v>
      </c>
      <c r="Q67" s="35" t="n">
        <v>0.0662525879917184</v>
      </c>
      <c r="R67" s="35" t="n">
        <v>-0.02609682299546146</v>
      </c>
      <c r="S67" s="35" t="n">
        <v>-0.1135972461273667</v>
      </c>
      <c r="T67" s="35" t="n">
        <v>-0.1511280519212939</v>
      </c>
      <c r="U67" s="30" t="n">
        <v>77700</v>
      </c>
      <c r="V67" s="30" t="n">
        <v>36200</v>
      </c>
      <c r="W67" s="35" t="n">
        <v>-0.3371943371943372</v>
      </c>
      <c r="X67" s="35" t="n">
        <v>0.4226519337016574</v>
      </c>
      <c r="Y67" s="30" t="n">
        <v>43617167</v>
      </c>
      <c r="Z67" s="30" t="n">
        <v>2246284100500</v>
      </c>
      <c r="AA67" s="30" t="n">
        <v>16517028500</v>
      </c>
      <c r="AB67" s="30" t="n">
        <v>15597629790</v>
      </c>
      <c r="AC67" s="35" t="n">
        <v>0.007353045189752924</v>
      </c>
      <c r="AD67" s="24" t="inlineStr">
        <is>
          <t>yfinance_download</t>
        </is>
      </c>
      <c r="AE67" s="24" t="inlineStr">
        <is>
          <t>000990.KS</t>
        </is>
      </c>
    </row>
    <row r="68" ht="24" customHeight="1">
      <c r="A68" s="29" t="inlineStr">
        <is>
          <t>2023-09-11</t>
        </is>
      </c>
      <c r="B68" s="31" t="n">
        <v>51500</v>
      </c>
      <c r="C68" s="31" t="n">
        <v>51600</v>
      </c>
      <c r="D68" s="31" t="n">
        <v>50300</v>
      </c>
      <c r="E68" s="31" t="n">
        <v>51200</v>
      </c>
      <c r="F68" s="31" t="n">
        <v>48866.7890625</v>
      </c>
      <c r="G68" s="31" t="n">
        <v>280515</v>
      </c>
      <c r="H68" s="36" t="n">
        <v>-0.005825242718446644</v>
      </c>
      <c r="I68" s="36" t="n">
        <v>-0.3969375736160189</v>
      </c>
      <c r="J68" s="31" t="n">
        <v>52730</v>
      </c>
      <c r="K68" s="31" t="n">
        <v>57883.33333333334</v>
      </c>
      <c r="L68" s="31" t="n">
        <v>60687.91666666666</v>
      </c>
      <c r="M68" s="36" t="n">
        <v>0.2674033463322658</v>
      </c>
      <c r="N68" s="36" t="n">
        <v>0.2929640356588861</v>
      </c>
      <c r="O68" s="36" t="n">
        <v>-0.05535055350553508</v>
      </c>
      <c r="P68" s="36" t="n">
        <v>-0.2024922118380063</v>
      </c>
      <c r="Q68" s="36" t="n">
        <v>0.04703476482617597</v>
      </c>
      <c r="R68" s="36" t="n">
        <v>-0.02901574056514322</v>
      </c>
      <c r="S68" s="36" t="n">
        <v>-0.1154621364814282</v>
      </c>
      <c r="T68" s="36" t="n">
        <v>-0.1563394690046755</v>
      </c>
      <c r="U68" s="31" t="n">
        <v>77700</v>
      </c>
      <c r="V68" s="31" t="n">
        <v>36200</v>
      </c>
      <c r="W68" s="36" t="n">
        <v>-0.3410553410553411</v>
      </c>
      <c r="X68" s="36" t="n">
        <v>0.4143646408839778</v>
      </c>
      <c r="Y68" s="31" t="n">
        <v>43617167</v>
      </c>
      <c r="Z68" s="31" t="n">
        <v>2233198950400</v>
      </c>
      <c r="AA68" s="31" t="n">
        <v>14362368000</v>
      </c>
      <c r="AB68" s="31" t="n">
        <v>15359828210</v>
      </c>
      <c r="AC68" s="36" t="n">
        <v>0.00643129802538528</v>
      </c>
      <c r="AD68" s="29" t="inlineStr">
        <is>
          <t>yfinance_download</t>
        </is>
      </c>
      <c r="AE68" s="29" t="inlineStr">
        <is>
          <t>000990.KS</t>
        </is>
      </c>
    </row>
    <row r="69" ht="24" customHeight="1">
      <c r="A69" s="24" t="inlineStr">
        <is>
          <t>2023-09-12</t>
        </is>
      </c>
      <c r="B69" s="30" t="n">
        <v>51400</v>
      </c>
      <c r="C69" s="30" t="n">
        <v>51700</v>
      </c>
      <c r="D69" s="30" t="n">
        <v>49900</v>
      </c>
      <c r="E69" s="30" t="n">
        <v>50100</v>
      </c>
      <c r="F69" s="30" t="n">
        <v>47816.91796875</v>
      </c>
      <c r="G69" s="30" t="n">
        <v>465800</v>
      </c>
      <c r="H69" s="35" t="n">
        <v>-0.021484375</v>
      </c>
      <c r="I69" s="35" t="n">
        <v>-0.4098939929328622</v>
      </c>
      <c r="J69" s="30" t="n">
        <v>52570</v>
      </c>
      <c r="K69" s="30" t="n">
        <v>57636.66666666666</v>
      </c>
      <c r="L69" s="30" t="n">
        <v>60707.91666666666</v>
      </c>
      <c r="M69" s="35" t="n">
        <v>0.2712989700650296</v>
      </c>
      <c r="N69" s="35" t="n">
        <v>0.2936360406341808</v>
      </c>
      <c r="O69" s="35" t="n">
        <v>-0.06003752345215763</v>
      </c>
      <c r="P69" s="35" t="n">
        <v>-0.2280431432973806</v>
      </c>
      <c r="Q69" s="35" t="n">
        <v>0.05031446540880502</v>
      </c>
      <c r="R69" s="35" t="n">
        <v>-0.0469849724177287</v>
      </c>
      <c r="S69" s="35" t="n">
        <v>-0.130761667919727</v>
      </c>
      <c r="T69" s="35" t="n">
        <v>-0.1747369577004646</v>
      </c>
      <c r="U69" s="30" t="n">
        <v>77700</v>
      </c>
      <c r="V69" s="30" t="n">
        <v>36200</v>
      </c>
      <c r="W69" s="35" t="n">
        <v>-0.3552123552123552</v>
      </c>
      <c r="X69" s="35" t="n">
        <v>0.3839779005524862</v>
      </c>
      <c r="Y69" s="30" t="n">
        <v>43617167</v>
      </c>
      <c r="Z69" s="30" t="n">
        <v>2185220066700</v>
      </c>
      <c r="AA69" s="30" t="n">
        <v>23336580000</v>
      </c>
      <c r="AB69" s="30" t="n">
        <v>15626342925</v>
      </c>
      <c r="AC69" s="35" t="n">
        <v>0.01067928139395206</v>
      </c>
      <c r="AD69" s="24" t="inlineStr">
        <is>
          <t>yfinance_download</t>
        </is>
      </c>
      <c r="AE69" s="24" t="inlineStr">
        <is>
          <t>000990.KS</t>
        </is>
      </c>
    </row>
    <row r="70" ht="24" customHeight="1">
      <c r="A70" s="29" t="inlineStr">
        <is>
          <t>2023-09-13</t>
        </is>
      </c>
      <c r="B70" s="31" t="n">
        <v>49600</v>
      </c>
      <c r="C70" s="31" t="n">
        <v>51000</v>
      </c>
      <c r="D70" s="31" t="n">
        <v>49150</v>
      </c>
      <c r="E70" s="31" t="n">
        <v>49350</v>
      </c>
      <c r="F70" s="31" t="n">
        <v>47101.09765625</v>
      </c>
      <c r="G70" s="31" t="n">
        <v>406731</v>
      </c>
      <c r="H70" s="36" t="n">
        <v>-0.01497005988023947</v>
      </c>
      <c r="I70" s="36" t="n">
        <v>-0.4187279151943463</v>
      </c>
      <c r="J70" s="31" t="n">
        <v>52422.5</v>
      </c>
      <c r="K70" s="31" t="n">
        <v>57339.16666666666</v>
      </c>
      <c r="L70" s="31" t="n">
        <v>60719.58333333334</v>
      </c>
      <c r="M70" s="36" t="n">
        <v>0.2686897710586097</v>
      </c>
      <c r="N70" s="36" t="n">
        <v>0.2825831932758545</v>
      </c>
      <c r="O70" s="36" t="n">
        <v>-0.05640535372848954</v>
      </c>
      <c r="P70" s="36" t="n">
        <v>-0.265625</v>
      </c>
      <c r="Q70" s="36" t="n">
        <v>0.02919708029197077</v>
      </c>
      <c r="R70" s="36" t="n">
        <v>-0.05861032953407408</v>
      </c>
      <c r="S70" s="36" t="n">
        <v>-0.1393317540366532</v>
      </c>
      <c r="T70" s="36" t="n">
        <v>-0.1872473872377802</v>
      </c>
      <c r="U70" s="31" t="n">
        <v>77700</v>
      </c>
      <c r="V70" s="31" t="n">
        <v>36200</v>
      </c>
      <c r="W70" s="36" t="n">
        <v>-0.3648648648648649</v>
      </c>
      <c r="X70" s="36" t="n">
        <v>0.3632596685082874</v>
      </c>
      <c r="Y70" s="31" t="n">
        <v>43617167</v>
      </c>
      <c r="Z70" s="31" t="n">
        <v>2152507191450</v>
      </c>
      <c r="AA70" s="31" t="n">
        <v>20072174850</v>
      </c>
      <c r="AB70" s="31" t="n">
        <v>15720415442.5</v>
      </c>
      <c r="AC70" s="36" t="n">
        <v>0.009325021040454094</v>
      </c>
      <c r="AD70" s="29" t="inlineStr">
        <is>
          <t>yfinance_download</t>
        </is>
      </c>
      <c r="AE70" s="29" t="inlineStr">
        <is>
          <t>000990.KS</t>
        </is>
      </c>
    </row>
    <row r="71" ht="24" customHeight="1">
      <c r="A71" s="24" t="inlineStr">
        <is>
          <t>2023-09-14</t>
        </is>
      </c>
      <c r="B71" s="30" t="n">
        <v>49350</v>
      </c>
      <c r="C71" s="30" t="n">
        <v>51800</v>
      </c>
      <c r="D71" s="30" t="n">
        <v>49350</v>
      </c>
      <c r="E71" s="30" t="n">
        <v>51800</v>
      </c>
      <c r="F71" s="30" t="n">
        <v>49439.44921875</v>
      </c>
      <c r="G71" s="30" t="n">
        <v>603979</v>
      </c>
      <c r="H71" s="35" t="n">
        <v>0.04964539007092195</v>
      </c>
      <c r="I71" s="35" t="n">
        <v>-0.3898704358068316</v>
      </c>
      <c r="J71" s="30" t="n">
        <v>52397.5</v>
      </c>
      <c r="K71" s="30" t="n">
        <v>57139.16666666666</v>
      </c>
      <c r="L71" s="30" t="n">
        <v>60756.25</v>
      </c>
      <c r="M71" s="35" t="n">
        <v>0.32693631092256</v>
      </c>
      <c r="N71" s="35" t="n">
        <v>0.2880832673945417</v>
      </c>
      <c r="O71" s="35" t="n">
        <v>-0.009560229445506718</v>
      </c>
      <c r="P71" s="35" t="n">
        <v>-0.1880877742946708</v>
      </c>
      <c r="Q71" s="35" t="n">
        <v>0.09282700421940926</v>
      </c>
      <c r="R71" s="35" t="n">
        <v>-0.01140321580228065</v>
      </c>
      <c r="S71" s="35" t="n">
        <v>-0.09344145142707128</v>
      </c>
      <c r="T71" s="35" t="n">
        <v>-0.1474128176113568</v>
      </c>
      <c r="U71" s="30" t="n">
        <v>77700</v>
      </c>
      <c r="V71" s="30" t="n">
        <v>36200</v>
      </c>
      <c r="W71" s="35" t="n">
        <v>-0.3333333333333334</v>
      </c>
      <c r="X71" s="35" t="n">
        <v>0.430939226519337</v>
      </c>
      <c r="Y71" s="30" t="n">
        <v>43617167</v>
      </c>
      <c r="Z71" s="30" t="n">
        <v>2259369250600</v>
      </c>
      <c r="AA71" s="30" t="n">
        <v>31286112200</v>
      </c>
      <c r="AB71" s="30" t="n">
        <v>16452345632.5</v>
      </c>
      <c r="AC71" s="35" t="n">
        <v>0.01384727715121892</v>
      </c>
      <c r="AD71" s="24" t="inlineStr">
        <is>
          <t>yfinance_download</t>
        </is>
      </c>
      <c r="AE71" s="24" t="inlineStr">
        <is>
          <t>000990.KS</t>
        </is>
      </c>
    </row>
    <row r="72" ht="24" customHeight="1">
      <c r="A72" s="29" t="inlineStr">
        <is>
          <t>2023-09-15</t>
        </is>
      </c>
      <c r="B72" s="31" t="n">
        <v>52000</v>
      </c>
      <c r="C72" s="31" t="n">
        <v>52500</v>
      </c>
      <c r="D72" s="31" t="n">
        <v>51300</v>
      </c>
      <c r="E72" s="31" t="n">
        <v>52500</v>
      </c>
      <c r="F72" s="31" t="n">
        <v>50107.546875</v>
      </c>
      <c r="G72" s="31" t="n">
        <v>240673</v>
      </c>
      <c r="H72" s="36" t="n">
        <v>0.0135135135135136</v>
      </c>
      <c r="I72" s="36" t="n">
        <v>-0.3816254416961131</v>
      </c>
      <c r="J72" s="31" t="n">
        <v>52337.5</v>
      </c>
      <c r="K72" s="31" t="n">
        <v>56972.5</v>
      </c>
      <c r="L72" s="31" t="n">
        <v>60722.08333333334</v>
      </c>
      <c r="M72" s="36" t="n">
        <v>0.3155794550365124</v>
      </c>
      <c r="N72" s="36" t="n">
        <v>0.2878778409735021</v>
      </c>
      <c r="O72" s="36" t="n">
        <v>-0.02234636871508378</v>
      </c>
      <c r="P72" s="36" t="n">
        <v>-0.16</v>
      </c>
      <c r="Q72" s="36" t="n">
        <v>-0.07243816254416957</v>
      </c>
      <c r="R72" s="36" t="n">
        <v>0.003104848340100386</v>
      </c>
      <c r="S72" s="36" t="n">
        <v>-0.07850278643205055</v>
      </c>
      <c r="T72" s="36" t="n">
        <v>-0.1354051587492195</v>
      </c>
      <c r="U72" s="31" t="n">
        <v>77700</v>
      </c>
      <c r="V72" s="31" t="n">
        <v>36200</v>
      </c>
      <c r="W72" s="36" t="n">
        <v>-0.3243243243243243</v>
      </c>
      <c r="X72" s="36" t="n">
        <v>0.4502762430939227</v>
      </c>
      <c r="Y72" s="31" t="n">
        <v>43617167</v>
      </c>
      <c r="Z72" s="31" t="n">
        <v>2289901267500</v>
      </c>
      <c r="AA72" s="31" t="n">
        <v>12635332500</v>
      </c>
      <c r="AB72" s="31" t="n">
        <v>15788116457.5</v>
      </c>
      <c r="AC72" s="36" t="n">
        <v>0.005517850345484382</v>
      </c>
      <c r="AD72" s="29" t="inlineStr">
        <is>
          <t>yfinance_download</t>
        </is>
      </c>
      <c r="AE72" s="29" t="inlineStr">
        <is>
          <t>000990.KS</t>
        </is>
      </c>
    </row>
    <row r="73" ht="24" customHeight="1">
      <c r="A73" s="24" t="inlineStr">
        <is>
          <t>2023-09-18</t>
        </is>
      </c>
      <c r="B73" s="30" t="n">
        <v>51800</v>
      </c>
      <c r="C73" s="30" t="n">
        <v>51800</v>
      </c>
      <c r="D73" s="30" t="n">
        <v>51000</v>
      </c>
      <c r="E73" s="30" t="n">
        <v>51500</v>
      </c>
      <c r="F73" s="30" t="n">
        <v>49153.1171875</v>
      </c>
      <c r="G73" s="30" t="n">
        <v>173779</v>
      </c>
      <c r="H73" s="35" t="n">
        <v>-0.01904761904761909</v>
      </c>
      <c r="I73" s="35" t="n">
        <v>-0.3934040047114252</v>
      </c>
      <c r="J73" s="30" t="n">
        <v>52302.5</v>
      </c>
      <c r="K73" s="30" t="n">
        <v>56774.16666666666</v>
      </c>
      <c r="L73" s="30" t="n">
        <v>60655.41666666666</v>
      </c>
      <c r="M73" s="35" t="n">
        <v>0.3069589819631804</v>
      </c>
      <c r="N73" s="35" t="n">
        <v>0.2875326674569518</v>
      </c>
      <c r="O73" s="35" t="n">
        <v>-0.01340996168582376</v>
      </c>
      <c r="P73" s="35" t="n">
        <v>-0.1876971608832808</v>
      </c>
      <c r="Q73" s="35" t="n">
        <v>-0.134453781512605</v>
      </c>
      <c r="R73" s="35" t="n">
        <v>-0.01534343482625111</v>
      </c>
      <c r="S73" s="35" t="n">
        <v>-0.09289729777334166</v>
      </c>
      <c r="T73" s="35" t="n">
        <v>-0.1509414520549827</v>
      </c>
      <c r="U73" s="30" t="n">
        <v>77700</v>
      </c>
      <c r="V73" s="30" t="n">
        <v>36200</v>
      </c>
      <c r="W73" s="35" t="n">
        <v>-0.3371943371943372</v>
      </c>
      <c r="X73" s="35" t="n">
        <v>0.4226519337016574</v>
      </c>
      <c r="Y73" s="30" t="n">
        <v>43617167</v>
      </c>
      <c r="Z73" s="30" t="n">
        <v>2246284100500</v>
      </c>
      <c r="AA73" s="30" t="n">
        <v>8949618500</v>
      </c>
      <c r="AB73" s="30" t="n">
        <v>15408329172.5</v>
      </c>
      <c r="AC73" s="35" t="n">
        <v>0.003984188152339192</v>
      </c>
      <c r="AD73" s="24" t="inlineStr">
        <is>
          <t>yfinance_download</t>
        </is>
      </c>
      <c r="AE73" s="24" t="inlineStr">
        <is>
          <t>000990.KS</t>
        </is>
      </c>
    </row>
    <row r="74" ht="24" customHeight="1">
      <c r="A74" s="29" t="inlineStr">
        <is>
          <t>2023-09-19</t>
        </is>
      </c>
      <c r="B74" s="31" t="n">
        <v>51500</v>
      </c>
      <c r="C74" s="31" t="n">
        <v>51700</v>
      </c>
      <c r="D74" s="31" t="n">
        <v>50700</v>
      </c>
      <c r="E74" s="31" t="n">
        <v>50800</v>
      </c>
      <c r="F74" s="31" t="n">
        <v>48485.01953125</v>
      </c>
      <c r="G74" s="31" t="n">
        <v>135407</v>
      </c>
      <c r="H74" s="36" t="n">
        <v>-0.01359223300970869</v>
      </c>
      <c r="I74" s="36" t="n">
        <v>-0.4016489988221437</v>
      </c>
      <c r="J74" s="31" t="n">
        <v>52277.5</v>
      </c>
      <c r="K74" s="31" t="n">
        <v>56555.83333333334</v>
      </c>
      <c r="L74" s="31" t="n">
        <v>60567.08333333334</v>
      </c>
      <c r="M74" s="36" t="n">
        <v>0.304583272249797</v>
      </c>
      <c r="N74" s="36" t="n">
        <v>0.2873335806277382</v>
      </c>
      <c r="O74" s="36" t="n">
        <v>-0.00974658869395717</v>
      </c>
      <c r="P74" s="36" t="n">
        <v>-0.2050078247261345</v>
      </c>
      <c r="Q74" s="36" t="n">
        <v>-0.1726384364820847</v>
      </c>
      <c r="R74" s="36" t="n">
        <v>-0.02826263688967534</v>
      </c>
      <c r="S74" s="36" t="n">
        <v>-0.1017725846140245</v>
      </c>
      <c r="T74" s="36" t="n">
        <v>-0.1612605857141874</v>
      </c>
      <c r="U74" s="31" t="n">
        <v>77700</v>
      </c>
      <c r="V74" s="31" t="n">
        <v>36200</v>
      </c>
      <c r="W74" s="36" t="n">
        <v>-0.3462033462033463</v>
      </c>
      <c r="X74" s="36" t="n">
        <v>0.4033149171270718</v>
      </c>
      <c r="Y74" s="31" t="n">
        <v>43617167</v>
      </c>
      <c r="Z74" s="31" t="n">
        <v>2215752083600</v>
      </c>
      <c r="AA74" s="31" t="n">
        <v>6878675600</v>
      </c>
      <c r="AB74" s="31" t="n">
        <v>14902937587.5</v>
      </c>
      <c r="AC74" s="36" t="n">
        <v>0.003104442798864035</v>
      </c>
      <c r="AD74" s="29" t="inlineStr">
        <is>
          <t>yfinance_download</t>
        </is>
      </c>
      <c r="AE74" s="29" t="inlineStr">
        <is>
          <t>000990.KS</t>
        </is>
      </c>
    </row>
    <row r="75" ht="24" customHeight="1">
      <c r="A75" s="24" t="inlineStr">
        <is>
          <t>2023-09-20</t>
        </is>
      </c>
      <c r="B75" s="30" t="n">
        <v>50800</v>
      </c>
      <c r="C75" s="30" t="n">
        <v>51300</v>
      </c>
      <c r="D75" s="30" t="n">
        <v>50400</v>
      </c>
      <c r="E75" s="30" t="n">
        <v>51000</v>
      </c>
      <c r="F75" s="30" t="n">
        <v>48675.90234375</v>
      </c>
      <c r="G75" s="30" t="n">
        <v>131043</v>
      </c>
      <c r="H75" s="35" t="n">
        <v>0.003937007874015741</v>
      </c>
      <c r="I75" s="35" t="n">
        <v>-0.3992932862190812</v>
      </c>
      <c r="J75" s="30" t="n">
        <v>52247.5</v>
      </c>
      <c r="K75" s="30" t="n">
        <v>56362.5</v>
      </c>
      <c r="L75" s="30" t="n">
        <v>60468.75</v>
      </c>
      <c r="M75" s="35" t="n">
        <v>0.3041455226231349</v>
      </c>
      <c r="N75" s="35" t="n">
        <v>0.2856138548824572</v>
      </c>
      <c r="O75" s="35" t="n">
        <v>-0.01162790697674421</v>
      </c>
      <c r="P75" s="35" t="n">
        <v>-0.1853035143769968</v>
      </c>
      <c r="Q75" s="35" t="n">
        <v>-0.1878980891719745</v>
      </c>
      <c r="R75" s="35" t="n">
        <v>-0.02387674051390021</v>
      </c>
      <c r="S75" s="35" t="n">
        <v>-0.09514304723885558</v>
      </c>
      <c r="T75" s="35" t="n">
        <v>-0.1565891472868217</v>
      </c>
      <c r="U75" s="30" t="n">
        <v>77700</v>
      </c>
      <c r="V75" s="30" t="n">
        <v>36200</v>
      </c>
      <c r="W75" s="35" t="n">
        <v>-0.3436293436293436</v>
      </c>
      <c r="X75" s="35" t="n">
        <v>0.4088397790055249</v>
      </c>
      <c r="Y75" s="30" t="n">
        <v>43617167</v>
      </c>
      <c r="Z75" s="30" t="n">
        <v>2224475517000</v>
      </c>
      <c r="AA75" s="30" t="n">
        <v>6683193000</v>
      </c>
      <c r="AB75" s="30" t="n">
        <v>14544302737.5</v>
      </c>
      <c r="AC75" s="35" t="n">
        <v>0.003004390450209662</v>
      </c>
      <c r="AD75" s="24" t="inlineStr">
        <is>
          <t>yfinance_download</t>
        </is>
      </c>
      <c r="AE75" s="24" t="inlineStr">
        <is>
          <t>000990.KS</t>
        </is>
      </c>
    </row>
    <row r="76" ht="24" customHeight="1">
      <c r="A76" s="29" t="inlineStr">
        <is>
          <t>2023-09-21</t>
        </is>
      </c>
      <c r="B76" s="31" t="n">
        <v>50400</v>
      </c>
      <c r="C76" s="31" t="n">
        <v>50900</v>
      </c>
      <c r="D76" s="31" t="n">
        <v>48900</v>
      </c>
      <c r="E76" s="31" t="n">
        <v>49050</v>
      </c>
      <c r="F76" s="31" t="n">
        <v>46814.765625</v>
      </c>
      <c r="G76" s="31" t="n">
        <v>299720</v>
      </c>
      <c r="H76" s="36" t="n">
        <v>-0.03823529411764703</v>
      </c>
      <c r="I76" s="36" t="n">
        <v>-0.4222614840989399</v>
      </c>
      <c r="J76" s="31" t="n">
        <v>52065</v>
      </c>
      <c r="K76" s="31" t="n">
        <v>56131.66666666666</v>
      </c>
      <c r="L76" s="31" t="n">
        <v>60368.33333333334</v>
      </c>
      <c r="M76" s="36" t="n">
        <v>0.3207241494150631</v>
      </c>
      <c r="N76" s="36" t="n">
        <v>0.2939297132995816</v>
      </c>
      <c r="O76" s="36" t="n">
        <v>-0.06925996204933582</v>
      </c>
      <c r="P76" s="36" t="n">
        <v>-0.2201907790143084</v>
      </c>
      <c r="Q76" s="36" t="n">
        <v>-0.1972176759410802</v>
      </c>
      <c r="R76" s="36" t="n">
        <v>-0.05790838375108043</v>
      </c>
      <c r="S76" s="36" t="n">
        <v>-0.1261617031384542</v>
      </c>
      <c r="T76" s="36" t="n">
        <v>-0.1874879213715801</v>
      </c>
      <c r="U76" s="31" t="n">
        <v>77700</v>
      </c>
      <c r="V76" s="31" t="n">
        <v>36200</v>
      </c>
      <c r="W76" s="36" t="n">
        <v>-0.3687258687258688</v>
      </c>
      <c r="X76" s="36" t="n">
        <v>0.3549723756906078</v>
      </c>
      <c r="Y76" s="31" t="n">
        <v>43617167</v>
      </c>
      <c r="Z76" s="31" t="n">
        <v>2139422041350</v>
      </c>
      <c r="AA76" s="31" t="n">
        <v>14701266000</v>
      </c>
      <c r="AB76" s="31" t="n">
        <v>14493809297.5</v>
      </c>
      <c r="AC76" s="36" t="n">
        <v>0.0068716063104236</v>
      </c>
      <c r="AD76" s="29" t="inlineStr">
        <is>
          <t>yfinance_download</t>
        </is>
      </c>
      <c r="AE76" s="29" t="inlineStr">
        <is>
          <t>000990.KS</t>
        </is>
      </c>
    </row>
    <row r="77" ht="24" customHeight="1">
      <c r="A77" s="24" t="inlineStr">
        <is>
          <t>2023-09-22</t>
        </is>
      </c>
      <c r="B77" s="30" t="n">
        <v>48500</v>
      </c>
      <c r="C77" s="30" t="n">
        <v>49400</v>
      </c>
      <c r="D77" s="30" t="n">
        <v>48100</v>
      </c>
      <c r="E77" s="30" t="n">
        <v>49400</v>
      </c>
      <c r="F77" s="30" t="n">
        <v>47148.8125</v>
      </c>
      <c r="G77" s="30" t="n">
        <v>176099</v>
      </c>
      <c r="H77" s="35" t="n">
        <v>0.007135575942915473</v>
      </c>
      <c r="I77" s="35" t="n">
        <v>-0.4181389870435807</v>
      </c>
      <c r="J77" s="30" t="n">
        <v>51955</v>
      </c>
      <c r="K77" s="30" t="n">
        <v>55905</v>
      </c>
      <c r="L77" s="30" t="n">
        <v>60177.5</v>
      </c>
      <c r="M77" s="35" t="n">
        <v>0.3158466316091789</v>
      </c>
      <c r="N77" s="35" t="n">
        <v>0.2945965869430783</v>
      </c>
      <c r="O77" s="35" t="n">
        <v>-0.04263565891472865</v>
      </c>
      <c r="P77" s="35" t="n">
        <v>-0.2158730158730159</v>
      </c>
      <c r="Q77" s="35" t="n">
        <v>-0.3167358229598893</v>
      </c>
      <c r="R77" s="35" t="n">
        <v>-0.049177172553171</v>
      </c>
      <c r="S77" s="35" t="n">
        <v>-0.116358107503801</v>
      </c>
      <c r="T77" s="35" t="n">
        <v>-0.1790951767687259</v>
      </c>
      <c r="U77" s="30" t="n">
        <v>77700</v>
      </c>
      <c r="V77" s="30" t="n">
        <v>36200</v>
      </c>
      <c r="W77" s="35" t="n">
        <v>-0.3642213642213642</v>
      </c>
      <c r="X77" s="35" t="n">
        <v>0.3646408839779005</v>
      </c>
      <c r="Y77" s="30" t="n">
        <v>43617167</v>
      </c>
      <c r="Z77" s="30" t="n">
        <v>2154688049800</v>
      </c>
      <c r="AA77" s="30" t="n">
        <v>8699290600</v>
      </c>
      <c r="AB77" s="30" t="n">
        <v>14210287687.5</v>
      </c>
      <c r="AC77" s="35" t="n">
        <v>0.004037378218534918</v>
      </c>
      <c r="AD77" s="24" t="inlineStr">
        <is>
          <t>yfinance_download</t>
        </is>
      </c>
      <c r="AE77" s="24" t="inlineStr">
        <is>
          <t>000990.KS</t>
        </is>
      </c>
    </row>
    <row r="78" ht="24" customHeight="1">
      <c r="A78" s="29" t="inlineStr">
        <is>
          <t>2023-09-25</t>
        </is>
      </c>
      <c r="B78" s="31" t="n">
        <v>49000</v>
      </c>
      <c r="C78" s="31" t="n">
        <v>50200</v>
      </c>
      <c r="D78" s="31" t="n">
        <v>48900</v>
      </c>
      <c r="E78" s="31" t="n">
        <v>49600</v>
      </c>
      <c r="F78" s="31" t="n">
        <v>47339.69921875</v>
      </c>
      <c r="G78" s="31" t="n">
        <v>242261</v>
      </c>
      <c r="H78" s="36" t="n">
        <v>0.004048582995951344</v>
      </c>
      <c r="I78" s="36" t="n">
        <v>-0.4157832744405182</v>
      </c>
      <c r="J78" s="31" t="n">
        <v>51810</v>
      </c>
      <c r="K78" s="31" t="n">
        <v>55680</v>
      </c>
      <c r="L78" s="31" t="n">
        <v>59962.5</v>
      </c>
      <c r="M78" s="36" t="n">
        <v>0.3084086034212069</v>
      </c>
      <c r="N78" s="36" t="n">
        <v>0.2948346182853422</v>
      </c>
      <c r="O78" s="36" t="n">
        <v>-0.0552380952380952</v>
      </c>
      <c r="P78" s="36" t="n">
        <v>-0.213946117274168</v>
      </c>
      <c r="Q78" s="36" t="n">
        <v>-0.3421750663129973</v>
      </c>
      <c r="R78" s="36" t="n">
        <v>-0.04265585794248217</v>
      </c>
      <c r="S78" s="36" t="n">
        <v>-0.1091954022988506</v>
      </c>
      <c r="T78" s="36" t="n">
        <v>-0.1728163435480509</v>
      </c>
      <c r="U78" s="31" t="n">
        <v>77700</v>
      </c>
      <c r="V78" s="31" t="n">
        <v>36200</v>
      </c>
      <c r="W78" s="36" t="n">
        <v>-0.3616473616473617</v>
      </c>
      <c r="X78" s="36" t="n">
        <v>0.3701657458563536</v>
      </c>
      <c r="Y78" s="31" t="n">
        <v>43617167</v>
      </c>
      <c r="Z78" s="31" t="n">
        <v>2163411483200</v>
      </c>
      <c r="AA78" s="31" t="n">
        <v>12016145600</v>
      </c>
      <c r="AB78" s="31" t="n">
        <v>14314534217.5</v>
      </c>
      <c r="AC78" s="36" t="n">
        <v>0.005554258028725249</v>
      </c>
      <c r="AD78" s="29" t="inlineStr">
        <is>
          <t>yfinance_download</t>
        </is>
      </c>
      <c r="AE78" s="29" t="inlineStr">
        <is>
          <t>000990.KS</t>
        </is>
      </c>
    </row>
    <row r="79" ht="24" customHeight="1">
      <c r="A79" s="24" t="inlineStr">
        <is>
          <t>2023-09-26</t>
        </is>
      </c>
      <c r="B79" s="30" t="n">
        <v>49600</v>
      </c>
      <c r="C79" s="30" t="n">
        <v>49600</v>
      </c>
      <c r="D79" s="30" t="n">
        <v>48000</v>
      </c>
      <c r="E79" s="30" t="n">
        <v>48300</v>
      </c>
      <c r="F79" s="30" t="n">
        <v>46098.9453125</v>
      </c>
      <c r="G79" s="30" t="n">
        <v>257275</v>
      </c>
      <c r="H79" s="35" t="n">
        <v>-0.02620967741935487</v>
      </c>
      <c r="I79" s="35" t="n">
        <v>-0.431095406360424</v>
      </c>
      <c r="J79" s="30" t="n">
        <v>51545</v>
      </c>
      <c r="K79" s="30" t="n">
        <v>55440</v>
      </c>
      <c r="L79" s="30" t="n">
        <v>59717.5</v>
      </c>
      <c r="M79" s="35" t="n">
        <v>0.3059457896701103</v>
      </c>
      <c r="N79" s="35" t="n">
        <v>0.2983469283418491</v>
      </c>
      <c r="O79" s="35" t="n">
        <v>-0.09888059701492535</v>
      </c>
      <c r="P79" s="35" t="n">
        <v>-0.2296650717703349</v>
      </c>
      <c r="Q79" s="35" t="n">
        <v>-0.3783783783783784</v>
      </c>
      <c r="R79" s="35" t="n">
        <v>-0.06295469977689394</v>
      </c>
      <c r="S79" s="35" t="n">
        <v>-0.1287878787878788</v>
      </c>
      <c r="T79" s="35" t="n">
        <v>-0.1911918616820865</v>
      </c>
      <c r="U79" s="30" t="n">
        <v>77700</v>
      </c>
      <c r="V79" s="30" t="n">
        <v>36200</v>
      </c>
      <c r="W79" s="35" t="n">
        <v>-0.3783783783783784</v>
      </c>
      <c r="X79" s="35" t="n">
        <v>0.3342541436464088</v>
      </c>
      <c r="Y79" s="30" t="n">
        <v>43617167</v>
      </c>
      <c r="Z79" s="30" t="n">
        <v>2106709166100</v>
      </c>
      <c r="AA79" s="30" t="n">
        <v>12426382500</v>
      </c>
      <c r="AB79" s="30" t="n">
        <v>14201206382.5</v>
      </c>
      <c r="AC79" s="35" t="n">
        <v>0.005898480293321205</v>
      </c>
      <c r="AD79" s="24" t="inlineStr">
        <is>
          <t>yfinance_download</t>
        </is>
      </c>
      <c r="AE79" s="24" t="inlineStr">
        <is>
          <t>000990.KS</t>
        </is>
      </c>
    </row>
    <row r="80" ht="24" customHeight="1">
      <c r="A80" s="29" t="inlineStr">
        <is>
          <t>2023-09-27</t>
        </is>
      </c>
      <c r="B80" s="31" t="n">
        <v>47600</v>
      </c>
      <c r="C80" s="31" t="n">
        <v>48850</v>
      </c>
      <c r="D80" s="31" t="n">
        <v>47500</v>
      </c>
      <c r="E80" s="31" t="n">
        <v>48800</v>
      </c>
      <c r="F80" s="31" t="n">
        <v>46576.16015625</v>
      </c>
      <c r="G80" s="31" t="n">
        <v>230141</v>
      </c>
      <c r="H80" s="36" t="n">
        <v>0.01035196687370599</v>
      </c>
      <c r="I80" s="36" t="n">
        <v>-0.425206124852768</v>
      </c>
      <c r="J80" s="31" t="n">
        <v>51310</v>
      </c>
      <c r="K80" s="31" t="n">
        <v>55218.33333333334</v>
      </c>
      <c r="L80" s="31" t="n">
        <v>59504.16666666666</v>
      </c>
      <c r="M80" s="36" t="n">
        <v>0.3106525224686549</v>
      </c>
      <c r="N80" s="36" t="n">
        <v>0.2995966423528902</v>
      </c>
      <c r="O80" s="36" t="n">
        <v>-0.08785046728971968</v>
      </c>
      <c r="P80" s="36" t="n">
        <v>-0.2141706924315619</v>
      </c>
      <c r="Q80" s="36" t="n">
        <v>-0.3440860215053764</v>
      </c>
      <c r="R80" s="36" t="n">
        <v>-0.04891833950496982</v>
      </c>
      <c r="S80" s="36" t="n">
        <v>-0.1162355497872084</v>
      </c>
      <c r="T80" s="36" t="n">
        <v>-0.1798893634899517</v>
      </c>
      <c r="U80" s="31" t="n">
        <v>77700</v>
      </c>
      <c r="V80" s="31" t="n">
        <v>36200</v>
      </c>
      <c r="W80" s="36" t="n">
        <v>-0.3719433719433719</v>
      </c>
      <c r="X80" s="36" t="n">
        <v>0.3480662983425415</v>
      </c>
      <c r="Y80" s="31" t="n">
        <v>43617167</v>
      </c>
      <c r="Z80" s="31" t="n">
        <v>2128517749600</v>
      </c>
      <c r="AA80" s="31" t="n">
        <v>11230880800</v>
      </c>
      <c r="AB80" s="31" t="n">
        <v>14131511947.5</v>
      </c>
      <c r="AC80" s="36" t="n">
        <v>0.005276385786357926</v>
      </c>
      <c r="AD80" s="29" t="inlineStr">
        <is>
          <t>yfinance_download</t>
        </is>
      </c>
      <c r="AE80" s="29" t="inlineStr">
        <is>
          <t>000990.KS</t>
        </is>
      </c>
    </row>
    <row r="81" ht="24" customHeight="1">
      <c r="A81" s="24" t="inlineStr">
        <is>
          <t>2023-10-04</t>
        </is>
      </c>
      <c r="B81" s="30" t="n">
        <v>48100</v>
      </c>
      <c r="C81" s="30" t="n">
        <v>49100</v>
      </c>
      <c r="D81" s="30" t="n">
        <v>47850</v>
      </c>
      <c r="E81" s="30" t="n">
        <v>48350</v>
      </c>
      <c r="F81" s="30" t="n">
        <v>46146.66796875</v>
      </c>
      <c r="G81" s="30" t="n">
        <v>290602</v>
      </c>
      <c r="H81" s="35" t="n">
        <v>-0.009221311475409832</v>
      </c>
      <c r="I81" s="35" t="n">
        <v>-0.4305064782096584</v>
      </c>
      <c r="J81" s="30" t="n">
        <v>51052.5</v>
      </c>
      <c r="K81" s="30" t="n">
        <v>54977.5</v>
      </c>
      <c r="L81" s="30" t="n">
        <v>59287.91666666666</v>
      </c>
      <c r="M81" s="35" t="n">
        <v>0.3106422368491966</v>
      </c>
      <c r="N81" s="35" t="n">
        <v>0.2981234376933138</v>
      </c>
      <c r="O81" s="35" t="n">
        <v>-0.0962616822429907</v>
      </c>
      <c r="P81" s="35" t="n">
        <v>-0.2300955414012739</v>
      </c>
      <c r="Q81" s="35" t="n">
        <v>-0.3492597577388964</v>
      </c>
      <c r="R81" s="35" t="n">
        <v>-0.05293570344253462</v>
      </c>
      <c r="S81" s="35" t="n">
        <v>-0.120549315629121</v>
      </c>
      <c r="T81" s="35" t="n">
        <v>-0.1844881264451019</v>
      </c>
      <c r="U81" s="30" t="n">
        <v>77700</v>
      </c>
      <c r="V81" s="30" t="n">
        <v>36200</v>
      </c>
      <c r="W81" s="35" t="n">
        <v>-0.3777348777348777</v>
      </c>
      <c r="X81" s="35" t="n">
        <v>0.3356353591160222</v>
      </c>
      <c r="Y81" s="30" t="n">
        <v>43617167</v>
      </c>
      <c r="Z81" s="30" t="n">
        <v>2108890024450</v>
      </c>
      <c r="AA81" s="30" t="n">
        <v>14050606700</v>
      </c>
      <c r="AB81" s="30" t="n">
        <v>14277099257.5</v>
      </c>
      <c r="AC81" s="35" t="n">
        <v>0.006662560179573332</v>
      </c>
      <c r="AD81" s="24" t="inlineStr">
        <is>
          <t>yfinance_download</t>
        </is>
      </c>
      <c r="AE81" s="24" t="inlineStr">
        <is>
          <t>000990.KS</t>
        </is>
      </c>
    </row>
    <row r="82" ht="24" customHeight="1">
      <c r="A82" s="29" t="inlineStr">
        <is>
          <t>2023-10-05</t>
        </is>
      </c>
      <c r="B82" s="31" t="n">
        <v>48600</v>
      </c>
      <c r="C82" s="31" t="n">
        <v>50100</v>
      </c>
      <c r="D82" s="31" t="n">
        <v>48400</v>
      </c>
      <c r="E82" s="31" t="n">
        <v>49050</v>
      </c>
      <c r="F82" s="31" t="n">
        <v>46814.765625</v>
      </c>
      <c r="G82" s="31" t="n">
        <v>215702</v>
      </c>
      <c r="H82" s="36" t="n">
        <v>0.01447776628748709</v>
      </c>
      <c r="I82" s="36" t="n">
        <v>-0.4222614840989399</v>
      </c>
      <c r="J82" s="31" t="n">
        <v>50770</v>
      </c>
      <c r="K82" s="31" t="n">
        <v>54793.33333333334</v>
      </c>
      <c r="L82" s="31" t="n">
        <v>59066.66666666666</v>
      </c>
      <c r="M82" s="36" t="n">
        <v>0.3025512802362608</v>
      </c>
      <c r="N82" s="36" t="n">
        <v>0.2892965546823904</v>
      </c>
      <c r="O82" s="36" t="n">
        <v>-0.103290676416819</v>
      </c>
      <c r="P82" s="36" t="n">
        <v>-0.1838602329450915</v>
      </c>
      <c r="Q82" s="36" t="n">
        <v>-0.3511904761904762</v>
      </c>
      <c r="R82" s="36" t="n">
        <v>-0.03387827457159742</v>
      </c>
      <c r="S82" s="36" t="n">
        <v>-0.1048181043922619</v>
      </c>
      <c r="T82" s="36" t="n">
        <v>-0.1695823927765236</v>
      </c>
      <c r="U82" s="31" t="n">
        <v>77700</v>
      </c>
      <c r="V82" s="31" t="n">
        <v>36200</v>
      </c>
      <c r="W82" s="36" t="n">
        <v>-0.3687258687258688</v>
      </c>
      <c r="X82" s="36" t="n">
        <v>0.3549723756906078</v>
      </c>
      <c r="Y82" s="31" t="n">
        <v>43617167</v>
      </c>
      <c r="Z82" s="31" t="n">
        <v>2139422041350</v>
      </c>
      <c r="AA82" s="31" t="n">
        <v>10580183100</v>
      </c>
      <c r="AB82" s="31" t="n">
        <v>13542344227.5</v>
      </c>
      <c r="AC82" s="36" t="n">
        <v>0.004945346404547549</v>
      </c>
      <c r="AD82" s="29" t="inlineStr">
        <is>
          <t>yfinance_download</t>
        </is>
      </c>
      <c r="AE82" s="29" t="inlineStr">
        <is>
          <t>000990.KS</t>
        </is>
      </c>
    </row>
    <row r="83" ht="24" customHeight="1">
      <c r="A83" s="24" t="inlineStr">
        <is>
          <t>2023-10-06</t>
        </is>
      </c>
      <c r="B83" s="30" t="n">
        <v>49050</v>
      </c>
      <c r="C83" s="30" t="n">
        <v>49900</v>
      </c>
      <c r="D83" s="30" t="n">
        <v>49000</v>
      </c>
      <c r="E83" s="30" t="n">
        <v>49750</v>
      </c>
      <c r="F83" s="30" t="n">
        <v>47482.8671875</v>
      </c>
      <c r="G83" s="30" t="n">
        <v>144756</v>
      </c>
      <c r="H83" s="35" t="n">
        <v>0.01427115188583072</v>
      </c>
      <c r="I83" s="35" t="n">
        <v>-0.4140164899882215</v>
      </c>
      <c r="J83" s="30" t="n">
        <v>50557.5</v>
      </c>
      <c r="K83" s="30" t="n">
        <v>54640.83333333334</v>
      </c>
      <c r="L83" s="30" t="n">
        <v>58849.58333333334</v>
      </c>
      <c r="M83" s="35" t="n">
        <v>0.3088056305174239</v>
      </c>
      <c r="N83" s="35" t="n">
        <v>0.2893392137923885</v>
      </c>
      <c r="O83" s="35" t="n">
        <v>-0.07870370370370372</v>
      </c>
      <c r="P83" s="35" t="n">
        <v>-0.1553480475382003</v>
      </c>
      <c r="Q83" s="35" t="n">
        <v>-0.3436675461741425</v>
      </c>
      <c r="R83" s="35" t="n">
        <v>-0.01597191316817481</v>
      </c>
      <c r="S83" s="35" t="n">
        <v>-0.08950876176241829</v>
      </c>
      <c r="T83" s="35" t="n">
        <v>-0.1546244309291344</v>
      </c>
      <c r="U83" s="30" t="n">
        <v>77700</v>
      </c>
      <c r="V83" s="30" t="n">
        <v>36200</v>
      </c>
      <c r="W83" s="35" t="n">
        <v>-0.3597168597168597</v>
      </c>
      <c r="X83" s="35" t="n">
        <v>0.3743093922651934</v>
      </c>
      <c r="Y83" s="30" t="n">
        <v>43617167</v>
      </c>
      <c r="Z83" s="30" t="n">
        <v>2169954058250</v>
      </c>
      <c r="AA83" s="30" t="n">
        <v>7201611000</v>
      </c>
      <c r="AB83" s="30" t="n">
        <v>13194036577.5</v>
      </c>
      <c r="AC83" s="35" t="n">
        <v>0.003318785009581205</v>
      </c>
      <c r="AD83" s="24" t="inlineStr">
        <is>
          <t>yfinance_download</t>
        </is>
      </c>
      <c r="AE83" s="24" t="inlineStr">
        <is>
          <t>000990.KS</t>
        </is>
      </c>
    </row>
    <row r="84" ht="24" customHeight="1">
      <c r="A84" s="29" t="inlineStr">
        <is>
          <t>2023-10-10</t>
        </is>
      </c>
      <c r="B84" s="31" t="n">
        <v>50200</v>
      </c>
      <c r="C84" s="31" t="n">
        <v>50800</v>
      </c>
      <c r="D84" s="31" t="n">
        <v>49250</v>
      </c>
      <c r="E84" s="31" t="n">
        <v>49600</v>
      </c>
      <c r="F84" s="31" t="n">
        <v>47339.69921875</v>
      </c>
      <c r="G84" s="31" t="n">
        <v>211194</v>
      </c>
      <c r="H84" s="36" t="n">
        <v>-0.003015075376884391</v>
      </c>
      <c r="I84" s="36" t="n">
        <v>-0.4157832744405182</v>
      </c>
      <c r="J84" s="31" t="n">
        <v>50362.5</v>
      </c>
      <c r="K84" s="31" t="n">
        <v>54499.16666666666</v>
      </c>
      <c r="L84" s="31" t="n">
        <v>58617.08333333334</v>
      </c>
      <c r="M84" s="36" t="n">
        <v>0.30816621121134</v>
      </c>
      <c r="N84" s="36" t="n">
        <v>0.2884424419146273</v>
      </c>
      <c r="O84" s="36" t="n">
        <v>-0.07289719626168223</v>
      </c>
      <c r="P84" s="36" t="n">
        <v>-0.1462994836488812</v>
      </c>
      <c r="Q84" s="36" t="n">
        <v>-0.36</v>
      </c>
      <c r="R84" s="36" t="n">
        <v>-0.01514023330851333</v>
      </c>
      <c r="S84" s="36" t="n">
        <v>-0.0898943408920625</v>
      </c>
      <c r="T84" s="36" t="n">
        <v>-0.1538302969128739</v>
      </c>
      <c r="U84" s="31" t="n">
        <v>77700</v>
      </c>
      <c r="V84" s="31" t="n">
        <v>36600</v>
      </c>
      <c r="W84" s="36" t="n">
        <v>-0.3616473616473617</v>
      </c>
      <c r="X84" s="36" t="n">
        <v>0.355191256830601</v>
      </c>
      <c r="Y84" s="31" t="n">
        <v>43617167</v>
      </c>
      <c r="Z84" s="31" t="n">
        <v>2163411483200</v>
      </c>
      <c r="AA84" s="31" t="n">
        <v>10475222400</v>
      </c>
      <c r="AB84" s="31" t="n">
        <v>13107012272.5</v>
      </c>
      <c r="AC84" s="36" t="n">
        <v>0.004841992603508614</v>
      </c>
      <c r="AD84" s="29" t="inlineStr">
        <is>
          <t>yfinance_download</t>
        </is>
      </c>
      <c r="AE84" s="29" t="inlineStr">
        <is>
          <t>000990.KS</t>
        </is>
      </c>
    </row>
    <row r="85" ht="24" customHeight="1">
      <c r="A85" s="24" t="inlineStr">
        <is>
          <t>2023-10-11</t>
        </is>
      </c>
      <c r="B85" s="30" t="n">
        <v>50400</v>
      </c>
      <c r="C85" s="30" t="n">
        <v>51300</v>
      </c>
      <c r="D85" s="30" t="n">
        <v>49900</v>
      </c>
      <c r="E85" s="30" t="n">
        <v>51100</v>
      </c>
      <c r="F85" s="30" t="n">
        <v>48771.34765625</v>
      </c>
      <c r="G85" s="30" t="n">
        <v>220908</v>
      </c>
      <c r="H85" s="35" t="n">
        <v>0.030241935483871</v>
      </c>
      <c r="I85" s="35" t="n">
        <v>-0.3981154299175501</v>
      </c>
      <c r="J85" s="30" t="n">
        <v>50272.5</v>
      </c>
      <c r="K85" s="30" t="n">
        <v>54365.83333333334</v>
      </c>
      <c r="L85" s="30" t="n">
        <v>58410.41666666666</v>
      </c>
      <c r="M85" s="35" t="n">
        <v>0.3290087824150711</v>
      </c>
      <c r="N85" s="35" t="n">
        <v>0.2934330982906582</v>
      </c>
      <c r="O85" s="35" t="n">
        <v>-0.03402646502835538</v>
      </c>
      <c r="P85" s="35" t="n">
        <v>-0.1353637901861252</v>
      </c>
      <c r="Q85" s="35" t="n">
        <v>-0.3267457180500659</v>
      </c>
      <c r="R85" s="35" t="n">
        <v>0.01646029141180572</v>
      </c>
      <c r="S85" s="35" t="n">
        <v>-0.06007142966630397</v>
      </c>
      <c r="T85" s="35" t="n">
        <v>-0.1251560437992653</v>
      </c>
      <c r="U85" s="30" t="n">
        <v>77700</v>
      </c>
      <c r="V85" s="30" t="n">
        <v>36600</v>
      </c>
      <c r="W85" s="35" t="n">
        <v>-0.3423423423423423</v>
      </c>
      <c r="X85" s="35" t="n">
        <v>0.3961748633879782</v>
      </c>
      <c r="Y85" s="30" t="n">
        <v>43617167</v>
      </c>
      <c r="Z85" s="30" t="n">
        <v>2228837233700</v>
      </c>
      <c r="AA85" s="30" t="n">
        <v>11288398800</v>
      </c>
      <c r="AB85" s="30" t="n">
        <v>13224255287.5</v>
      </c>
      <c r="AC85" s="35" t="n">
        <v>0.005064703078950543</v>
      </c>
      <c r="AD85" s="24" t="inlineStr">
        <is>
          <t>yfinance_download</t>
        </is>
      </c>
      <c r="AE85" s="24" t="inlineStr">
        <is>
          <t>000990.KS</t>
        </is>
      </c>
    </row>
    <row r="86" ht="24" customHeight="1">
      <c r="A86" s="29" t="inlineStr">
        <is>
          <t>2023-10-12</t>
        </is>
      </c>
      <c r="B86" s="31" t="n">
        <v>51500</v>
      </c>
      <c r="C86" s="31" t="n">
        <v>52200</v>
      </c>
      <c r="D86" s="31" t="n">
        <v>51200</v>
      </c>
      <c r="E86" s="31" t="n">
        <v>52000</v>
      </c>
      <c r="F86" s="31" t="n">
        <v>49630.33203125</v>
      </c>
      <c r="G86" s="31" t="n">
        <v>266958</v>
      </c>
      <c r="H86" s="36" t="n">
        <v>0.01761252446183947</v>
      </c>
      <c r="I86" s="36" t="n">
        <v>-0.3875147232037691</v>
      </c>
      <c r="J86" s="31" t="n">
        <v>50237.5</v>
      </c>
      <c r="K86" s="31" t="n">
        <v>54212.5</v>
      </c>
      <c r="L86" s="31" t="n">
        <v>58233.75</v>
      </c>
      <c r="M86" s="36" t="n">
        <v>0.3357591006530716</v>
      </c>
      <c r="N86" s="36" t="n">
        <v>0.2857748946067249</v>
      </c>
      <c r="O86" s="36" t="n">
        <v>-0.01328273244781786</v>
      </c>
      <c r="P86" s="36" t="n">
        <v>-0.1503267973856209</v>
      </c>
      <c r="Q86" s="36" t="n">
        <v>-0.2896174863387978</v>
      </c>
      <c r="R86" s="36" t="n">
        <v>0.03508335406817609</v>
      </c>
      <c r="S86" s="36" t="n">
        <v>-0.040811620936131</v>
      </c>
      <c r="T86" s="36" t="n">
        <v>-0.1070470302874192</v>
      </c>
      <c r="U86" s="31" t="n">
        <v>77700</v>
      </c>
      <c r="V86" s="31" t="n">
        <v>36600</v>
      </c>
      <c r="W86" s="36" t="n">
        <v>-0.3307593307593307</v>
      </c>
      <c r="X86" s="36" t="n">
        <v>0.4207650273224044</v>
      </c>
      <c r="Y86" s="31" t="n">
        <v>43617167</v>
      </c>
      <c r="Z86" s="31" t="n">
        <v>2268092684000</v>
      </c>
      <c r="AA86" s="31" t="n">
        <v>13881816000</v>
      </c>
      <c r="AB86" s="31" t="n">
        <v>13363644332.5</v>
      </c>
      <c r="AC86" s="36" t="n">
        <v>0.006120480039430346</v>
      </c>
      <c r="AD86" s="29" t="inlineStr">
        <is>
          <t>yfinance_download</t>
        </is>
      </c>
      <c r="AE86" s="29" t="inlineStr">
        <is>
          <t>000990.KS</t>
        </is>
      </c>
    </row>
    <row r="87" ht="24" customHeight="1">
      <c r="A87" s="24" t="inlineStr">
        <is>
          <t>2023-10-13</t>
        </is>
      </c>
      <c r="B87" s="30" t="n">
        <v>51100</v>
      </c>
      <c r="C87" s="30" t="n">
        <v>51700</v>
      </c>
      <c r="D87" s="30" t="n">
        <v>50600</v>
      </c>
      <c r="E87" s="30" t="n">
        <v>51100</v>
      </c>
      <c r="F87" s="30" t="n">
        <v>48771.34765625</v>
      </c>
      <c r="G87" s="30" t="n">
        <v>229851</v>
      </c>
      <c r="H87" s="35" t="n">
        <v>-0.01730769230769236</v>
      </c>
      <c r="I87" s="35" t="n">
        <v>-0.3981154299175501</v>
      </c>
      <c r="J87" s="30" t="n">
        <v>50217.5</v>
      </c>
      <c r="K87" s="30" t="n">
        <v>54052.5</v>
      </c>
      <c r="L87" s="30" t="n">
        <v>58062.91666666666</v>
      </c>
      <c r="M87" s="35" t="n">
        <v>0.3314767094138408</v>
      </c>
      <c r="N87" s="35" t="n">
        <v>0.2871523820650652</v>
      </c>
      <c r="O87" s="35" t="n">
        <v>-0.007766990291262155</v>
      </c>
      <c r="P87" s="35" t="n">
        <v>-0.158154859967051</v>
      </c>
      <c r="Q87" s="35" t="n">
        <v>-0.2863128491620112</v>
      </c>
      <c r="R87" s="35" t="n">
        <v>0.0175735550355951</v>
      </c>
      <c r="S87" s="35" t="n">
        <v>-0.05462282040608668</v>
      </c>
      <c r="T87" s="35" t="n">
        <v>-0.1199202015055507</v>
      </c>
      <c r="U87" s="30" t="n">
        <v>77700</v>
      </c>
      <c r="V87" s="30" t="n">
        <v>36600</v>
      </c>
      <c r="W87" s="35" t="n">
        <v>-0.3423423423423423</v>
      </c>
      <c r="X87" s="35" t="n">
        <v>0.3961748633879782</v>
      </c>
      <c r="Y87" s="30" t="n">
        <v>43617167</v>
      </c>
      <c r="Z87" s="30" t="n">
        <v>2228837233700</v>
      </c>
      <c r="AA87" s="30" t="n">
        <v>11745386100</v>
      </c>
      <c r="AB87" s="30" t="n">
        <v>13125062212.5</v>
      </c>
      <c r="AC87" s="35" t="n">
        <v>0.005269737028083461</v>
      </c>
      <c r="AD87" s="24" t="inlineStr">
        <is>
          <t>yfinance_download</t>
        </is>
      </c>
      <c r="AE87" s="24" t="inlineStr">
        <is>
          <t>000990.KS</t>
        </is>
      </c>
    </row>
    <row r="88" ht="24" customHeight="1">
      <c r="A88" s="29" t="inlineStr">
        <is>
          <t>2023-10-16</t>
        </is>
      </c>
      <c r="B88" s="31" t="n">
        <v>50200</v>
      </c>
      <c r="C88" s="31" t="n">
        <v>51100</v>
      </c>
      <c r="D88" s="31" t="n">
        <v>49650</v>
      </c>
      <c r="E88" s="31" t="n">
        <v>50800</v>
      </c>
      <c r="F88" s="31" t="n">
        <v>48485.01953125</v>
      </c>
      <c r="G88" s="31" t="n">
        <v>237101</v>
      </c>
      <c r="H88" s="36" t="n">
        <v>-0.005870841487279899</v>
      </c>
      <c r="I88" s="36" t="n">
        <v>-0.4016489988221437</v>
      </c>
      <c r="J88" s="31" t="n">
        <v>50197.5</v>
      </c>
      <c r="K88" s="31" t="n">
        <v>53887.5</v>
      </c>
      <c r="L88" s="31" t="n">
        <v>57896.25</v>
      </c>
      <c r="M88" s="36" t="n">
        <v>0.3314870419166935</v>
      </c>
      <c r="N88" s="36" t="n">
        <v>0.287168270402847</v>
      </c>
      <c r="O88" s="36" t="n">
        <v>-0.0078125</v>
      </c>
      <c r="P88" s="36" t="n">
        <v>-0.1630971993410214</v>
      </c>
      <c r="Q88" s="36" t="n">
        <v>-0.2824858757062146</v>
      </c>
      <c r="R88" s="36" t="n">
        <v>0.0120025897704068</v>
      </c>
      <c r="S88" s="36" t="n">
        <v>-0.05729529111575038</v>
      </c>
      <c r="T88" s="36" t="n">
        <v>-0.122568387417147</v>
      </c>
      <c r="U88" s="31" t="n">
        <v>77700</v>
      </c>
      <c r="V88" s="31" t="n">
        <v>36600</v>
      </c>
      <c r="W88" s="36" t="n">
        <v>-0.3462033462033463</v>
      </c>
      <c r="X88" s="36" t="n">
        <v>0.3879781420765027</v>
      </c>
      <c r="Y88" s="31" t="n">
        <v>43617167</v>
      </c>
      <c r="Z88" s="31" t="n">
        <v>2215752083600</v>
      </c>
      <c r="AA88" s="31" t="n">
        <v>12044730800</v>
      </c>
      <c r="AB88" s="31" t="n">
        <v>13009180352.5</v>
      </c>
      <c r="AC88" s="36" t="n">
        <v>0.005435955984945102</v>
      </c>
      <c r="AD88" s="29" t="inlineStr">
        <is>
          <t>yfinance_download</t>
        </is>
      </c>
      <c r="AE88" s="29" t="inlineStr">
        <is>
          <t>000990.KS</t>
        </is>
      </c>
    </row>
    <row r="89" ht="24" customHeight="1">
      <c r="A89" s="24" t="inlineStr">
        <is>
          <t>2023-10-17</t>
        </is>
      </c>
      <c r="B89" s="30" t="n">
        <v>51400</v>
      </c>
      <c r="C89" s="30" t="n">
        <v>52700</v>
      </c>
      <c r="D89" s="30" t="n">
        <v>50900</v>
      </c>
      <c r="E89" s="30" t="n">
        <v>52600</v>
      </c>
      <c r="F89" s="30" t="n">
        <v>50202.9921875</v>
      </c>
      <c r="G89" s="30" t="n">
        <v>251214</v>
      </c>
      <c r="H89" s="35" t="n">
        <v>0.03543307086614167</v>
      </c>
      <c r="I89" s="35" t="n">
        <v>-0.3804475853945819</v>
      </c>
      <c r="J89" s="30" t="n">
        <v>50322.5</v>
      </c>
      <c r="K89" s="30" t="n">
        <v>53752.5</v>
      </c>
      <c r="L89" s="30" t="n">
        <v>57757.08333333334</v>
      </c>
      <c r="M89" s="35" t="n">
        <v>0.3443050509965333</v>
      </c>
      <c r="N89" s="35" t="n">
        <v>0.2976356188095463</v>
      </c>
      <c r="O89" s="35" t="n">
        <v>0.04990019960079839</v>
      </c>
      <c r="P89" s="35" t="n">
        <v>-0.1334431630971994</v>
      </c>
      <c r="Q89" s="35" t="n">
        <v>-0.240981240981241</v>
      </c>
      <c r="R89" s="35" t="n">
        <v>0.04525808534949571</v>
      </c>
      <c r="S89" s="35" t="n">
        <v>-0.02144086321566441</v>
      </c>
      <c r="T89" s="35" t="n">
        <v>-0.0892891925232836</v>
      </c>
      <c r="U89" s="30" t="n">
        <v>77700</v>
      </c>
      <c r="V89" s="30" t="n">
        <v>36600</v>
      </c>
      <c r="W89" s="35" t="n">
        <v>-0.323037323037323</v>
      </c>
      <c r="X89" s="35" t="n">
        <v>0.4371584699453552</v>
      </c>
      <c r="Y89" s="30" t="n">
        <v>43617167</v>
      </c>
      <c r="Z89" s="30" t="n">
        <v>2294262984200</v>
      </c>
      <c r="AA89" s="30" t="n">
        <v>13213856400</v>
      </c>
      <c r="AB89" s="30" t="n">
        <v>12503044172.5</v>
      </c>
      <c r="AC89" s="35" t="n">
        <v>0.005759521245384873</v>
      </c>
      <c r="AD89" s="24" t="inlineStr">
        <is>
          <t>yfinance_download</t>
        </is>
      </c>
      <c r="AE89" s="24" t="inlineStr">
        <is>
          <t>000990.KS</t>
        </is>
      </c>
    </row>
    <row r="90" ht="24" customHeight="1">
      <c r="A90" s="29" t="inlineStr">
        <is>
          <t>2023-10-18</t>
        </is>
      </c>
      <c r="B90" s="31" t="n">
        <v>52200</v>
      </c>
      <c r="C90" s="31" t="n">
        <v>52900</v>
      </c>
      <c r="D90" s="31" t="n">
        <v>51700</v>
      </c>
      <c r="E90" s="31" t="n">
        <v>52600</v>
      </c>
      <c r="F90" s="31" t="n">
        <v>50202.9921875</v>
      </c>
      <c r="G90" s="31" t="n">
        <v>285051</v>
      </c>
      <c r="H90" s="36" t="n">
        <v>0</v>
      </c>
      <c r="I90" s="36" t="n">
        <v>-0.3804475853945819</v>
      </c>
      <c r="J90" s="31" t="n">
        <v>50485</v>
      </c>
      <c r="K90" s="31" t="n">
        <v>53617.5</v>
      </c>
      <c r="L90" s="31" t="n">
        <v>57627.91666666666</v>
      </c>
      <c r="M90" s="36" t="n">
        <v>0.3381845384008249</v>
      </c>
      <c r="N90" s="36" t="n">
        <v>0.2976356188095463</v>
      </c>
      <c r="O90" s="36" t="n">
        <v>0.06585612968591703</v>
      </c>
      <c r="P90" s="36" t="n">
        <v>-0.1334431630971994</v>
      </c>
      <c r="Q90" s="36" t="n">
        <v>-0.2276064610866373</v>
      </c>
      <c r="R90" s="36" t="n">
        <v>0.04189363177181349</v>
      </c>
      <c r="S90" s="36" t="n">
        <v>-0.01897701310206557</v>
      </c>
      <c r="T90" s="36" t="n">
        <v>-0.08724793394405195</v>
      </c>
      <c r="U90" s="31" t="n">
        <v>77700</v>
      </c>
      <c r="V90" s="31" t="n">
        <v>36600</v>
      </c>
      <c r="W90" s="36" t="n">
        <v>-0.323037323037323</v>
      </c>
      <c r="X90" s="36" t="n">
        <v>0.4371584699453552</v>
      </c>
      <c r="Y90" s="31" t="n">
        <v>43617167</v>
      </c>
      <c r="Z90" s="31" t="n">
        <v>2294262984200</v>
      </c>
      <c r="AA90" s="31" t="n">
        <v>14993682600</v>
      </c>
      <c r="AB90" s="31" t="n">
        <v>12249119560</v>
      </c>
      <c r="AC90" s="36" t="n">
        <v>0.006535293775498991</v>
      </c>
      <c r="AD90" s="29" t="inlineStr">
        <is>
          <t>yfinance_download</t>
        </is>
      </c>
      <c r="AE90" s="29" t="inlineStr">
        <is>
          <t>000990.KS</t>
        </is>
      </c>
    </row>
    <row r="91" ht="24" customHeight="1">
      <c r="A91" s="24" t="inlineStr">
        <is>
          <t>2023-10-19</t>
        </is>
      </c>
      <c r="B91" s="30" t="n">
        <v>51700</v>
      </c>
      <c r="C91" s="30" t="n">
        <v>51700</v>
      </c>
      <c r="D91" s="30" t="n">
        <v>50400</v>
      </c>
      <c r="E91" s="30" t="n">
        <v>50900</v>
      </c>
      <c r="F91" s="30" t="n">
        <v>48580.45703125</v>
      </c>
      <c r="G91" s="30" t="n">
        <v>215883</v>
      </c>
      <c r="H91" s="35" t="n">
        <v>-0.03231939163498099</v>
      </c>
      <c r="I91" s="35" t="n">
        <v>-0.4004711425206124</v>
      </c>
      <c r="J91" s="30" t="n">
        <v>50440</v>
      </c>
      <c r="K91" s="30" t="n">
        <v>53454.16666666666</v>
      </c>
      <c r="L91" s="30" t="n">
        <v>57502.91666666666</v>
      </c>
      <c r="M91" s="35" t="n">
        <v>0.313829482958964</v>
      </c>
      <c r="N91" s="35" t="n">
        <v>0.3039134540411512</v>
      </c>
      <c r="O91" s="35" t="n">
        <v>-0.01737451737451734</v>
      </c>
      <c r="P91" s="35" t="n">
        <v>-0.1614497528830313</v>
      </c>
      <c r="Q91" s="35" t="n">
        <v>-0.2276176024279211</v>
      </c>
      <c r="R91" s="35" t="n">
        <v>0.009119746233148263</v>
      </c>
      <c r="S91" s="35" t="n">
        <v>-0.04778236807233605</v>
      </c>
      <c r="T91" s="35" t="n">
        <v>-0.1148275087495562</v>
      </c>
      <c r="U91" s="30" t="n">
        <v>77700</v>
      </c>
      <c r="V91" s="30" t="n">
        <v>36600</v>
      </c>
      <c r="W91" s="35" t="n">
        <v>-0.3449163449163449</v>
      </c>
      <c r="X91" s="35" t="n">
        <v>0.3907103825136613</v>
      </c>
      <c r="Y91" s="30" t="n">
        <v>43617167</v>
      </c>
      <c r="Z91" s="30" t="n">
        <v>2220113800300</v>
      </c>
      <c r="AA91" s="30" t="n">
        <v>10988444700</v>
      </c>
      <c r="AB91" s="30" t="n">
        <v>11234236185</v>
      </c>
      <c r="AC91" s="35" t="n">
        <v>0.004949496146780922</v>
      </c>
      <c r="AD91" s="24" t="inlineStr">
        <is>
          <t>yfinance_download</t>
        </is>
      </c>
      <c r="AE91" s="24" t="inlineStr">
        <is>
          <t>000990.KS</t>
        </is>
      </c>
    </row>
    <row r="92" ht="24" customHeight="1">
      <c r="A92" s="29" t="inlineStr">
        <is>
          <t>2023-10-20</t>
        </is>
      </c>
      <c r="B92" s="31" t="n">
        <v>50200</v>
      </c>
      <c r="C92" s="31" t="n">
        <v>51000</v>
      </c>
      <c r="D92" s="31" t="n">
        <v>49200</v>
      </c>
      <c r="E92" s="31" t="n">
        <v>50200</v>
      </c>
      <c r="F92" s="31" t="n">
        <v>47912.359375</v>
      </c>
      <c r="G92" s="31" t="n">
        <v>217120</v>
      </c>
      <c r="H92" s="36" t="n">
        <v>-0.01375245579567785</v>
      </c>
      <c r="I92" s="36" t="n">
        <v>-0.408716136631331</v>
      </c>
      <c r="J92" s="31" t="n">
        <v>50325</v>
      </c>
      <c r="K92" s="31" t="n">
        <v>53279.16666666666</v>
      </c>
      <c r="L92" s="31" t="n">
        <v>57377.08333333334</v>
      </c>
      <c r="M92" s="36" t="n">
        <v>0.3123834664523816</v>
      </c>
      <c r="N92" s="36" t="n">
        <v>0.3046877236388832</v>
      </c>
      <c r="O92" s="36" t="n">
        <v>-0.04380952380952385</v>
      </c>
      <c r="P92" s="36" t="n">
        <v>-0.1729818780889621</v>
      </c>
      <c r="Q92" s="36" t="n">
        <v>-0.2312404287901991</v>
      </c>
      <c r="R92" s="36" t="n">
        <v>-0.002483854942871289</v>
      </c>
      <c r="S92" s="36" t="n">
        <v>-0.0577930710878235</v>
      </c>
      <c r="T92" s="36" t="n">
        <v>-0.1250862350677172</v>
      </c>
      <c r="U92" s="31" t="n">
        <v>77700</v>
      </c>
      <c r="V92" s="31" t="n">
        <v>36600</v>
      </c>
      <c r="W92" s="36" t="n">
        <v>-0.353925353925354</v>
      </c>
      <c r="X92" s="36" t="n">
        <v>0.3715846994535519</v>
      </c>
      <c r="Y92" s="31" t="n">
        <v>43617167</v>
      </c>
      <c r="Z92" s="31" t="n">
        <v>2189581783400</v>
      </c>
      <c r="AA92" s="31" t="n">
        <v>10899424000</v>
      </c>
      <c r="AB92" s="31" t="n">
        <v>11147440760</v>
      </c>
      <c r="AC92" s="36" t="n">
        <v>0.004977856539834419</v>
      </c>
      <c r="AD92" s="29" t="inlineStr">
        <is>
          <t>yfinance_download</t>
        </is>
      </c>
      <c r="AE92" s="29" t="inlineStr">
        <is>
          <t>000990.KS</t>
        </is>
      </c>
    </row>
    <row r="93" ht="24" customHeight="1">
      <c r="A93" s="24" t="inlineStr">
        <is>
          <t>2023-10-23</t>
        </is>
      </c>
      <c r="B93" s="30" t="n">
        <v>50900</v>
      </c>
      <c r="C93" s="30" t="n">
        <v>52700</v>
      </c>
      <c r="D93" s="30" t="n">
        <v>50700</v>
      </c>
      <c r="E93" s="30" t="n">
        <v>50800</v>
      </c>
      <c r="F93" s="30" t="n">
        <v>48485.01953125</v>
      </c>
      <c r="G93" s="30" t="n">
        <v>257161</v>
      </c>
      <c r="H93" s="35" t="n">
        <v>0.01195219123505975</v>
      </c>
      <c r="I93" s="35" t="n">
        <v>-0.4016489988221437</v>
      </c>
      <c r="J93" s="30" t="n">
        <v>50290</v>
      </c>
      <c r="K93" s="30" t="n">
        <v>53114.16666666666</v>
      </c>
      <c r="L93" s="30" t="n">
        <v>57268.75</v>
      </c>
      <c r="M93" s="35" t="n">
        <v>0.3093818133855383</v>
      </c>
      <c r="N93" s="35" t="n">
        <v>0.3061679729693266</v>
      </c>
      <c r="O93" s="35" t="n">
        <v>-0.01359223300970869</v>
      </c>
      <c r="P93" s="35" t="n">
        <v>-0.1630971993410214</v>
      </c>
      <c r="Q93" s="35" t="n">
        <v>-0.2037617554858934</v>
      </c>
      <c r="R93" s="35" t="n">
        <v>0.01014118114933393</v>
      </c>
      <c r="S93" s="35" t="n">
        <v>-0.04356966910899474</v>
      </c>
      <c r="T93" s="35" t="n">
        <v>-0.1129542726181382</v>
      </c>
      <c r="U93" s="30" t="n">
        <v>77700</v>
      </c>
      <c r="V93" s="30" t="n">
        <v>36600</v>
      </c>
      <c r="W93" s="35" t="n">
        <v>-0.3462033462033463</v>
      </c>
      <c r="X93" s="35" t="n">
        <v>0.3879781420765027</v>
      </c>
      <c r="Y93" s="30" t="n">
        <v>43617167</v>
      </c>
      <c r="Z93" s="30" t="n">
        <v>2215752083600</v>
      </c>
      <c r="AA93" s="30" t="n">
        <v>13063778800</v>
      </c>
      <c r="AB93" s="30" t="n">
        <v>11353148775</v>
      </c>
      <c r="AC93" s="35" t="n">
        <v>0.00589586664351676</v>
      </c>
      <c r="AD93" s="24" t="inlineStr">
        <is>
          <t>yfinance_download</t>
        </is>
      </c>
      <c r="AE93" s="24" t="inlineStr">
        <is>
          <t>000990.KS</t>
        </is>
      </c>
    </row>
    <row r="94" ht="24" customHeight="1">
      <c r="A94" s="29" t="inlineStr">
        <is>
          <t>2023-10-24</t>
        </is>
      </c>
      <c r="B94" s="31" t="n">
        <v>51300</v>
      </c>
      <c r="C94" s="31" t="n">
        <v>51600</v>
      </c>
      <c r="D94" s="31" t="n">
        <v>49500</v>
      </c>
      <c r="E94" s="31" t="n">
        <v>51400</v>
      </c>
      <c r="F94" s="31" t="n">
        <v>49057.671875</v>
      </c>
      <c r="G94" s="31" t="n">
        <v>192586</v>
      </c>
      <c r="H94" s="36" t="n">
        <v>0.01181102362204722</v>
      </c>
      <c r="I94" s="36" t="n">
        <v>-0.3945818610129564</v>
      </c>
      <c r="J94" s="31" t="n">
        <v>50320</v>
      </c>
      <c r="K94" s="31" t="n">
        <v>52959.16666666666</v>
      </c>
      <c r="L94" s="31" t="n">
        <v>57180.41666666666</v>
      </c>
      <c r="M94" s="36" t="n">
        <v>0.3082661813806758</v>
      </c>
      <c r="N94" s="36" t="n">
        <v>0.307579689538386</v>
      </c>
      <c r="O94" s="36" t="n">
        <v>0.01181102362204722</v>
      </c>
      <c r="P94" s="36" t="n">
        <v>-0.1532125205930808</v>
      </c>
      <c r="Q94" s="36" t="n">
        <v>-0.1709677419354839</v>
      </c>
      <c r="R94" s="36" t="n">
        <v>0.02146263910969792</v>
      </c>
      <c r="S94" s="36" t="n">
        <v>-0.02944092146465038</v>
      </c>
      <c r="T94" s="36" t="n">
        <v>-0.1010908454963456</v>
      </c>
      <c r="U94" s="31" t="n">
        <v>77700</v>
      </c>
      <c r="V94" s="31" t="n">
        <v>36600</v>
      </c>
      <c r="W94" s="36" t="n">
        <v>-0.3384813384813384</v>
      </c>
      <c r="X94" s="36" t="n">
        <v>0.4043715846994536</v>
      </c>
      <c r="Y94" s="31" t="n">
        <v>43617167</v>
      </c>
      <c r="Z94" s="31" t="n">
        <v>2241922383800</v>
      </c>
      <c r="AA94" s="31" t="n">
        <v>9898920400</v>
      </c>
      <c r="AB94" s="31" t="n">
        <v>11504161015</v>
      </c>
      <c r="AC94" s="36" t="n">
        <v>0.004415371589814625</v>
      </c>
      <c r="AD94" s="29" t="inlineStr">
        <is>
          <t>yfinance_download</t>
        </is>
      </c>
      <c r="AE94" s="29" t="inlineStr">
        <is>
          <t>000990.KS</t>
        </is>
      </c>
    </row>
    <row r="95" ht="24" customHeight="1">
      <c r="A95" s="24" t="inlineStr">
        <is>
          <t>2023-10-25</t>
        </is>
      </c>
      <c r="B95" s="30" t="n">
        <v>51500</v>
      </c>
      <c r="C95" s="30" t="n">
        <v>52100</v>
      </c>
      <c r="D95" s="30" t="n">
        <v>50700</v>
      </c>
      <c r="E95" s="30" t="n">
        <v>51700</v>
      </c>
      <c r="F95" s="30" t="n">
        <v>49344.00390625</v>
      </c>
      <c r="G95" s="30" t="n">
        <v>230115</v>
      </c>
      <c r="H95" s="35" t="n">
        <v>0.005836575875486361</v>
      </c>
      <c r="I95" s="35" t="n">
        <v>-0.3910482921083628</v>
      </c>
      <c r="J95" s="30" t="n">
        <v>50355</v>
      </c>
      <c r="K95" s="30" t="n">
        <v>52809.16666666666</v>
      </c>
      <c r="L95" s="30" t="n">
        <v>57102.91666666666</v>
      </c>
      <c r="M95" s="35" t="n">
        <v>0.308598822594375</v>
      </c>
      <c r="N95" s="35" t="n">
        <v>0.3080213585410089</v>
      </c>
      <c r="O95" s="35" t="n">
        <v>0.01372549019607838</v>
      </c>
      <c r="P95" s="35" t="n">
        <v>-0.1482701812191104</v>
      </c>
      <c r="Q95" s="35" t="n">
        <v>-0.1524590163934426</v>
      </c>
      <c r="R95" s="35" t="n">
        <v>0.02671035646906961</v>
      </c>
      <c r="S95" s="35" t="n">
        <v>-0.02100329803853496</v>
      </c>
      <c r="T95" s="35" t="n">
        <v>-0.09461717512970003</v>
      </c>
      <c r="U95" s="30" t="n">
        <v>77700</v>
      </c>
      <c r="V95" s="30" t="n">
        <v>36600</v>
      </c>
      <c r="W95" s="35" t="n">
        <v>-0.3346203346203346</v>
      </c>
      <c r="X95" s="35" t="n">
        <v>0.4125683060109289</v>
      </c>
      <c r="Y95" s="30" t="n">
        <v>43617167</v>
      </c>
      <c r="Z95" s="30" t="n">
        <v>2255007533900</v>
      </c>
      <c r="AA95" s="30" t="n">
        <v>11896945500</v>
      </c>
      <c r="AB95" s="30" t="n">
        <v>11764848640</v>
      </c>
      <c r="AC95" s="35" t="n">
        <v>0.005275789690788492</v>
      </c>
      <c r="AD95" s="24" t="inlineStr">
        <is>
          <t>yfinance_download</t>
        </is>
      </c>
      <c r="AE95" s="24" t="inlineStr">
        <is>
          <t>000990.KS</t>
        </is>
      </c>
    </row>
    <row r="96" ht="24" customHeight="1">
      <c r="A96" s="29" t="inlineStr">
        <is>
          <t>2023-10-26</t>
        </is>
      </c>
      <c r="B96" s="31" t="n">
        <v>50000</v>
      </c>
      <c r="C96" s="31" t="n">
        <v>50800</v>
      </c>
      <c r="D96" s="31" t="n">
        <v>47850</v>
      </c>
      <c r="E96" s="31" t="n">
        <v>48350</v>
      </c>
      <c r="F96" s="31" t="n">
        <v>46146.66796875</v>
      </c>
      <c r="G96" s="31" t="n">
        <v>499448</v>
      </c>
      <c r="H96" s="36" t="n">
        <v>-0.06479690522243708</v>
      </c>
      <c r="I96" s="36" t="n">
        <v>-0.4305064782096584</v>
      </c>
      <c r="J96" s="31" t="n">
        <v>50320</v>
      </c>
      <c r="K96" s="31" t="n">
        <v>52603.33333333334</v>
      </c>
      <c r="L96" s="31" t="n">
        <v>56992.5</v>
      </c>
      <c r="M96" s="36" t="n">
        <v>0.3628636581589098</v>
      </c>
      <c r="N96" s="36" t="n">
        <v>0.3333694395916402</v>
      </c>
      <c r="O96" s="36" t="n">
        <v>-0.01427115188583084</v>
      </c>
      <c r="P96" s="36" t="n">
        <v>-0.2034596375617792</v>
      </c>
      <c r="Q96" s="36" t="n">
        <v>-0.2150974025974026</v>
      </c>
      <c r="R96" s="36" t="n">
        <v>-0.03914944356120831</v>
      </c>
      <c r="S96" s="36" t="n">
        <v>-0.0808567264431912</v>
      </c>
      <c r="T96" s="36" t="n">
        <v>-0.1516427600122823</v>
      </c>
      <c r="U96" s="31" t="n">
        <v>77700</v>
      </c>
      <c r="V96" s="31" t="n">
        <v>36600</v>
      </c>
      <c r="W96" s="36" t="n">
        <v>-0.3777348777348777</v>
      </c>
      <c r="X96" s="36" t="n">
        <v>0.3210382513661203</v>
      </c>
      <c r="Y96" s="31" t="n">
        <v>43617167</v>
      </c>
      <c r="Z96" s="31" t="n">
        <v>2108890024450</v>
      </c>
      <c r="AA96" s="31" t="n">
        <v>24148310800</v>
      </c>
      <c r="AB96" s="31" t="n">
        <v>12237200880</v>
      </c>
      <c r="AC96" s="36" t="n">
        <v>0.01145072076781144</v>
      </c>
      <c r="AD96" s="29" t="inlineStr">
        <is>
          <t>yfinance_download</t>
        </is>
      </c>
      <c r="AE96" s="29" t="inlineStr">
        <is>
          <t>000990.KS</t>
        </is>
      </c>
    </row>
    <row r="97" ht="24" customHeight="1">
      <c r="A97" s="24" t="inlineStr">
        <is>
          <t>2023-10-27</t>
        </is>
      </c>
      <c r="B97" s="30" t="n">
        <v>48500</v>
      </c>
      <c r="C97" s="30" t="n">
        <v>48950</v>
      </c>
      <c r="D97" s="30" t="n">
        <v>47400</v>
      </c>
      <c r="E97" s="30" t="n">
        <v>47800</v>
      </c>
      <c r="F97" s="30" t="n">
        <v>45621.73046875</v>
      </c>
      <c r="G97" s="30" t="n">
        <v>245392</v>
      </c>
      <c r="H97" s="35" t="n">
        <v>-0.01137538779731129</v>
      </c>
      <c r="I97" s="35" t="n">
        <v>-0.4369846878680801</v>
      </c>
      <c r="J97" s="30" t="n">
        <v>50240</v>
      </c>
      <c r="K97" s="30" t="n">
        <v>52420</v>
      </c>
      <c r="L97" s="30" t="n">
        <v>56886.66666666666</v>
      </c>
      <c r="M97" s="35" t="n">
        <v>0.3636686526404988</v>
      </c>
      <c r="N97" s="35" t="n">
        <v>0.3287579943867285</v>
      </c>
      <c r="O97" s="35" t="n">
        <v>-0.03238866396761131</v>
      </c>
      <c r="P97" s="35" t="n">
        <v>-0.1870748299319728</v>
      </c>
      <c r="Q97" s="35" t="n">
        <v>-0.2099173553719008</v>
      </c>
      <c r="R97" s="35" t="n">
        <v>-0.04856687898089174</v>
      </c>
      <c r="S97" s="35" t="n">
        <v>-0.08813429988553989</v>
      </c>
      <c r="T97" s="35" t="n">
        <v>-0.1597328020625806</v>
      </c>
      <c r="U97" s="30" t="n">
        <v>77700</v>
      </c>
      <c r="V97" s="30" t="n">
        <v>36600</v>
      </c>
      <c r="W97" s="35" t="n">
        <v>-0.3848133848133848</v>
      </c>
      <c r="X97" s="35" t="n">
        <v>0.3060109289617485</v>
      </c>
      <c r="Y97" s="30" t="n">
        <v>43617167</v>
      </c>
      <c r="Z97" s="30" t="n">
        <v>2084900582600</v>
      </c>
      <c r="AA97" s="30" t="n">
        <v>11729737600</v>
      </c>
      <c r="AB97" s="30" t="n">
        <v>12388723230</v>
      </c>
      <c r="AC97" s="35" t="n">
        <v>0.005626041691336808</v>
      </c>
      <c r="AD97" s="24" t="inlineStr">
        <is>
          <t>yfinance_download</t>
        </is>
      </c>
      <c r="AE97" s="24" t="inlineStr">
        <is>
          <t>000990.KS</t>
        </is>
      </c>
    </row>
    <row r="98" ht="24" customHeight="1">
      <c r="A98" s="29" t="inlineStr">
        <is>
          <t>2023-10-30</t>
        </is>
      </c>
      <c r="B98" s="31" t="n">
        <v>47700</v>
      </c>
      <c r="C98" s="31" t="n">
        <v>48750</v>
      </c>
      <c r="D98" s="31" t="n">
        <v>47700</v>
      </c>
      <c r="E98" s="31" t="n">
        <v>48750</v>
      </c>
      <c r="F98" s="31" t="n">
        <v>46528.4375</v>
      </c>
      <c r="G98" s="31" t="n">
        <v>158473</v>
      </c>
      <c r="H98" s="36" t="n">
        <v>0.01987447698744771</v>
      </c>
      <c r="I98" s="36" t="n">
        <v>-0.4257950530035336</v>
      </c>
      <c r="J98" s="31" t="n">
        <v>50197.5</v>
      </c>
      <c r="K98" s="31" t="n">
        <v>52245.83333333334</v>
      </c>
      <c r="L98" s="31" t="n">
        <v>56791.25</v>
      </c>
      <c r="M98" s="36" t="n">
        <v>0.3710720597713983</v>
      </c>
      <c r="N98" s="36" t="n">
        <v>0.3315422141321739</v>
      </c>
      <c r="O98" s="36" t="n">
        <v>-0.01713709677419351</v>
      </c>
      <c r="P98" s="36" t="n">
        <v>-0.1765202702702703</v>
      </c>
      <c r="Q98" s="36" t="n">
        <v>-0.1901993355481728</v>
      </c>
      <c r="R98" s="36" t="n">
        <v>-0.02883609741520987</v>
      </c>
      <c r="S98" s="36" t="n">
        <v>-0.06691123694074497</v>
      </c>
      <c r="T98" s="36" t="n">
        <v>-0.1415931151365747</v>
      </c>
      <c r="U98" s="31" t="n">
        <v>77700</v>
      </c>
      <c r="V98" s="31" t="n">
        <v>36600</v>
      </c>
      <c r="W98" s="36" t="n">
        <v>-0.3725868725868726</v>
      </c>
      <c r="X98" s="36" t="n">
        <v>0.3319672131147542</v>
      </c>
      <c r="Y98" s="31" t="n">
        <v>43617167</v>
      </c>
      <c r="Z98" s="31" t="n">
        <v>2126336891250</v>
      </c>
      <c r="AA98" s="31" t="n">
        <v>7725558750</v>
      </c>
      <c r="AB98" s="31" t="n">
        <v>12174193887.5</v>
      </c>
      <c r="AC98" s="36" t="n">
        <v>0.00363327127596343</v>
      </c>
      <c r="AD98" s="29" t="inlineStr">
        <is>
          <t>yfinance_download</t>
        </is>
      </c>
      <c r="AE98" s="29" t="inlineStr">
        <is>
          <t>000990.KS</t>
        </is>
      </c>
    </row>
    <row r="99" ht="24" customHeight="1">
      <c r="A99" s="24" t="inlineStr">
        <is>
          <t>2023-10-31</t>
        </is>
      </c>
      <c r="B99" s="30" t="n">
        <v>49100</v>
      </c>
      <c r="C99" s="30" t="n">
        <v>49650</v>
      </c>
      <c r="D99" s="30" t="n">
        <v>47600</v>
      </c>
      <c r="E99" s="30" t="n">
        <v>48400</v>
      </c>
      <c r="F99" s="30" t="n">
        <v>46194.3828125</v>
      </c>
      <c r="G99" s="30" t="n">
        <v>232603</v>
      </c>
      <c r="H99" s="35" t="n">
        <v>-0.007179487179487132</v>
      </c>
      <c r="I99" s="35" t="n">
        <v>-0.4299175500588928</v>
      </c>
      <c r="J99" s="30" t="n">
        <v>50202.5</v>
      </c>
      <c r="K99" s="30" t="n">
        <v>52069.16666666666</v>
      </c>
      <c r="L99" s="30" t="n">
        <v>56661.25</v>
      </c>
      <c r="M99" s="35" t="n">
        <v>0.3596246743122778</v>
      </c>
      <c r="N99" s="35" t="n">
        <v>0.3316514405711641</v>
      </c>
      <c r="O99" s="35" t="n">
        <v>0.002070393374741242</v>
      </c>
      <c r="P99" s="35" t="n">
        <v>-0.1796610169491526</v>
      </c>
      <c r="Q99" s="35" t="n">
        <v>-0.24375</v>
      </c>
      <c r="R99" s="35" t="n">
        <v>-0.03590458642497885</v>
      </c>
      <c r="S99" s="35" t="n">
        <v>-0.07046716706944289</v>
      </c>
      <c r="T99" s="35" t="n">
        <v>-0.145800701537647</v>
      </c>
      <c r="U99" s="30" t="n">
        <v>77700</v>
      </c>
      <c r="V99" s="30" t="n">
        <v>36600</v>
      </c>
      <c r="W99" s="35" t="n">
        <v>-0.3770913770913771</v>
      </c>
      <c r="X99" s="35" t="n">
        <v>0.3224043715846994</v>
      </c>
      <c r="Y99" s="30" t="n">
        <v>43617167</v>
      </c>
      <c r="Z99" s="30" t="n">
        <v>2111070882800</v>
      </c>
      <c r="AA99" s="30" t="n">
        <v>11257985200</v>
      </c>
      <c r="AB99" s="30" t="n">
        <v>12115774022.5</v>
      </c>
      <c r="AC99" s="35" t="n">
        <v>0.005332831451432873</v>
      </c>
      <c r="AD99" s="24" t="inlineStr">
        <is>
          <t>yfinance_download</t>
        </is>
      </c>
      <c r="AE99" s="24" t="inlineStr">
        <is>
          <t>000990.KS</t>
        </is>
      </c>
    </row>
    <row r="100" ht="24" customHeight="1">
      <c r="A100" s="29" t="inlineStr">
        <is>
          <t>2023-11-01</t>
        </is>
      </c>
      <c r="B100" s="31" t="n">
        <v>48450</v>
      </c>
      <c r="C100" s="31" t="n">
        <v>49700</v>
      </c>
      <c r="D100" s="31" t="n">
        <v>48400</v>
      </c>
      <c r="E100" s="31" t="n">
        <v>48750</v>
      </c>
      <c r="F100" s="31" t="n">
        <v>46528.4375</v>
      </c>
      <c r="G100" s="31" t="n">
        <v>203664</v>
      </c>
      <c r="H100" s="36" t="n">
        <v>0.00723140495867769</v>
      </c>
      <c r="I100" s="36" t="n">
        <v>-0.4257950530035336</v>
      </c>
      <c r="J100" s="31" t="n">
        <v>50200</v>
      </c>
      <c r="K100" s="31" t="n">
        <v>51861.66666666666</v>
      </c>
      <c r="L100" s="31" t="n">
        <v>56546.66666666666</v>
      </c>
      <c r="M100" s="36" t="n">
        <v>0.3586429575088458</v>
      </c>
      <c r="N100" s="36" t="n">
        <v>0.3215933899294572</v>
      </c>
      <c r="O100" s="36" t="n">
        <v>-0.001024590163934413</v>
      </c>
      <c r="P100" s="36" t="n">
        <v>-0.2034313725490197</v>
      </c>
      <c r="Q100" s="36" t="n">
        <v>-0.22</v>
      </c>
      <c r="R100" s="36" t="n">
        <v>-0.0288844621513944</v>
      </c>
      <c r="S100" s="36" t="n">
        <v>-0.05999935726451777</v>
      </c>
      <c r="T100" s="36" t="n">
        <v>-0.1378802169299693</v>
      </c>
      <c r="U100" s="31" t="n">
        <v>77700</v>
      </c>
      <c r="V100" s="31" t="n">
        <v>36600</v>
      </c>
      <c r="W100" s="36" t="n">
        <v>-0.3725868725868726</v>
      </c>
      <c r="X100" s="36" t="n">
        <v>0.3319672131147542</v>
      </c>
      <c r="Y100" s="31" t="n">
        <v>43617167</v>
      </c>
      <c r="Z100" s="31" t="n">
        <v>2126336891250</v>
      </c>
      <c r="AA100" s="31" t="n">
        <v>9928620000</v>
      </c>
      <c r="AB100" s="31" t="n">
        <v>12050660982.5</v>
      </c>
      <c r="AC100" s="36" t="n">
        <v>0.004669354155899213</v>
      </c>
      <c r="AD100" s="29" t="inlineStr">
        <is>
          <t>yfinance_download</t>
        </is>
      </c>
      <c r="AE100" s="29" t="inlineStr">
        <is>
          <t>000990.KS</t>
        </is>
      </c>
    </row>
    <row r="101" ht="24" customHeight="1">
      <c r="A101" s="24" t="inlineStr">
        <is>
          <t>2023-11-02</t>
        </is>
      </c>
      <c r="B101" s="30" t="n">
        <v>49650</v>
      </c>
      <c r="C101" s="30" t="n">
        <v>52000</v>
      </c>
      <c r="D101" s="30" t="n">
        <v>49600</v>
      </c>
      <c r="E101" s="30" t="n">
        <v>51900</v>
      </c>
      <c r="F101" s="30" t="n">
        <v>49534.88671875</v>
      </c>
      <c r="G101" s="30" t="n">
        <v>341673</v>
      </c>
      <c r="H101" s="35" t="n">
        <v>0.06461538461538452</v>
      </c>
      <c r="I101" s="35" t="n">
        <v>-0.3886925795053003</v>
      </c>
      <c r="J101" s="30" t="n">
        <v>50377.5</v>
      </c>
      <c r="K101" s="30" t="n">
        <v>51741.66666666666</v>
      </c>
      <c r="L101" s="30" t="n">
        <v>56468.33333333334</v>
      </c>
      <c r="M101" s="35" t="n">
        <v>0.4229360402509797</v>
      </c>
      <c r="N101" s="35" t="n">
        <v>0.344318732851278</v>
      </c>
      <c r="O101" s="35" t="n">
        <v>0.0734229576008274</v>
      </c>
      <c r="P101" s="35" t="n">
        <v>-0.1218274111675127</v>
      </c>
      <c r="Q101" s="35" t="n">
        <v>-0.1533442088091354</v>
      </c>
      <c r="R101" s="35" t="n">
        <v>0.03022182521959205</v>
      </c>
      <c r="S101" s="35" t="n">
        <v>0.003060074086004283</v>
      </c>
      <c r="T101" s="35" t="n">
        <v>-0.08090079985832777</v>
      </c>
      <c r="U101" s="30" t="n">
        <v>77700</v>
      </c>
      <c r="V101" s="30" t="n">
        <v>36600</v>
      </c>
      <c r="W101" s="35" t="n">
        <v>-0.332046332046332</v>
      </c>
      <c r="X101" s="35" t="n">
        <v>0.4180327868852458</v>
      </c>
      <c r="Y101" s="30" t="n">
        <v>43617167</v>
      </c>
      <c r="Z101" s="30" t="n">
        <v>2263730967300</v>
      </c>
      <c r="AA101" s="30" t="n">
        <v>17732828700</v>
      </c>
      <c r="AB101" s="30" t="n">
        <v>12234772082.5</v>
      </c>
      <c r="AC101" s="35" t="n">
        <v>0.007833452365212074</v>
      </c>
      <c r="AD101" s="24" t="inlineStr">
        <is>
          <t>yfinance_download</t>
        </is>
      </c>
      <c r="AE101" s="24" t="inlineStr">
        <is>
          <t>000990.KS</t>
        </is>
      </c>
    </row>
    <row r="102" ht="24" customHeight="1">
      <c r="A102" s="29" t="inlineStr">
        <is>
          <t>2023-11-03</t>
        </is>
      </c>
      <c r="B102" s="31" t="n">
        <v>52300</v>
      </c>
      <c r="C102" s="31" t="n">
        <v>52900</v>
      </c>
      <c r="D102" s="31" t="n">
        <v>51800</v>
      </c>
      <c r="E102" s="31" t="n">
        <v>52100</v>
      </c>
      <c r="F102" s="31" t="n">
        <v>49725.77734375</v>
      </c>
      <c r="G102" s="31" t="n">
        <v>200829</v>
      </c>
      <c r="H102" s="36" t="n">
        <v>0.003853564547206201</v>
      </c>
      <c r="I102" s="36" t="n">
        <v>-0.3863368669022379</v>
      </c>
      <c r="J102" s="31" t="n">
        <v>50530</v>
      </c>
      <c r="K102" s="31" t="n">
        <v>51646.66666666666</v>
      </c>
      <c r="L102" s="31" t="n">
        <v>56406.66666666666</v>
      </c>
      <c r="M102" s="36" t="n">
        <v>0.421084797256891</v>
      </c>
      <c r="N102" s="36" t="n">
        <v>0.3419520754090878</v>
      </c>
      <c r="O102" s="36" t="n">
        <v>0.06218144750254839</v>
      </c>
      <c r="P102" s="36" t="n">
        <v>-0.09861591695501726</v>
      </c>
      <c r="Q102" s="36" t="n">
        <v>-0.1243697478991597</v>
      </c>
      <c r="R102" s="36" t="n">
        <v>0.03107065109835738</v>
      </c>
      <c r="S102" s="36" t="n">
        <v>0.008777591325674461</v>
      </c>
      <c r="T102" s="36" t="n">
        <v>-0.07635031320174912</v>
      </c>
      <c r="U102" s="31" t="n">
        <v>77700</v>
      </c>
      <c r="V102" s="31" t="n">
        <v>36600</v>
      </c>
      <c r="W102" s="36" t="n">
        <v>-0.3294723294723295</v>
      </c>
      <c r="X102" s="36" t="n">
        <v>0.4234972677595628</v>
      </c>
      <c r="Y102" s="31" t="n">
        <v>43617167</v>
      </c>
      <c r="Z102" s="31" t="n">
        <v>2272454400700</v>
      </c>
      <c r="AA102" s="31" t="n">
        <v>10463190900</v>
      </c>
      <c r="AB102" s="31" t="n">
        <v>12228922472.5</v>
      </c>
      <c r="AC102" s="36" t="n">
        <v>0.004604356812078144</v>
      </c>
      <c r="AD102" s="29" t="inlineStr">
        <is>
          <t>yfinance_download</t>
        </is>
      </c>
      <c r="AE102" s="29" t="inlineStr">
        <is>
          <t>000990.KS</t>
        </is>
      </c>
    </row>
    <row r="103" ht="24" customHeight="1">
      <c r="A103" s="24" t="inlineStr">
        <is>
          <t>2023-11-06</t>
        </is>
      </c>
      <c r="B103" s="30" t="n">
        <v>53800</v>
      </c>
      <c r="C103" s="30" t="n">
        <v>55300</v>
      </c>
      <c r="D103" s="30" t="n">
        <v>52900</v>
      </c>
      <c r="E103" s="30" t="n">
        <v>55300</v>
      </c>
      <c r="F103" s="30" t="n">
        <v>52779.94921875</v>
      </c>
      <c r="G103" s="30" t="n">
        <v>501494</v>
      </c>
      <c r="H103" s="35" t="n">
        <v>0.06142034548944331</v>
      </c>
      <c r="I103" s="35" t="n">
        <v>-0.3486454652532391</v>
      </c>
      <c r="J103" s="30" t="n">
        <v>50807.5</v>
      </c>
      <c r="K103" s="30" t="n">
        <v>51611.66666666666</v>
      </c>
      <c r="L103" s="30" t="n">
        <v>56375.83333333334</v>
      </c>
      <c r="M103" s="35" t="n">
        <v>0.4679471733786394</v>
      </c>
      <c r="N103" s="35" t="n">
        <v>0.3652168416450943</v>
      </c>
      <c r="O103" s="35" t="n">
        <v>0.1115577889447237</v>
      </c>
      <c r="P103" s="35" t="n">
        <v>-0.03658536585365857</v>
      </c>
      <c r="Q103" s="35" t="n">
        <v>-0.06271186440677967</v>
      </c>
      <c r="R103" s="35" t="n">
        <v>0.08842198494316778</v>
      </c>
      <c r="S103" s="35" t="n">
        <v>0.07146317047179251</v>
      </c>
      <c r="T103" s="35" t="n">
        <v>-0.01908323602016238</v>
      </c>
      <c r="U103" s="30" t="n">
        <v>77700</v>
      </c>
      <c r="V103" s="30" t="n">
        <v>36600</v>
      </c>
      <c r="W103" s="35" t="n">
        <v>-0.2882882882882883</v>
      </c>
      <c r="X103" s="35" t="n">
        <v>0.5109289617486339</v>
      </c>
      <c r="Y103" s="30" t="n">
        <v>43617167</v>
      </c>
      <c r="Z103" s="30" t="n">
        <v>2412029335100</v>
      </c>
      <c r="AA103" s="30" t="n">
        <v>27732618200</v>
      </c>
      <c r="AB103" s="30" t="n">
        <v>13255472832.5</v>
      </c>
      <c r="AC103" s="35" t="n">
        <v>0.01149762890377543</v>
      </c>
      <c r="AD103" s="24" t="inlineStr">
        <is>
          <t>yfinance_download</t>
        </is>
      </c>
      <c r="AE103" s="24" t="inlineStr">
        <is>
          <t>000990.KS</t>
        </is>
      </c>
    </row>
    <row r="104" ht="24" customHeight="1">
      <c r="A104" s="29" t="inlineStr">
        <is>
          <t>2023-11-07</t>
        </is>
      </c>
      <c r="B104" s="31" t="n">
        <v>55300</v>
      </c>
      <c r="C104" s="31" t="n">
        <v>55300</v>
      </c>
      <c r="D104" s="31" t="n">
        <v>53600</v>
      </c>
      <c r="E104" s="31" t="n">
        <v>54600</v>
      </c>
      <c r="F104" s="31" t="n">
        <v>52111.8515625</v>
      </c>
      <c r="G104" s="31" t="n">
        <v>360386</v>
      </c>
      <c r="H104" s="36" t="n">
        <v>-0.01265822784810122</v>
      </c>
      <c r="I104" s="36" t="n">
        <v>-0.3568904593639576</v>
      </c>
      <c r="J104" s="31" t="n">
        <v>51057.5</v>
      </c>
      <c r="K104" s="31" t="n">
        <v>51571.66666666666</v>
      </c>
      <c r="L104" s="31" t="n">
        <v>56342.5</v>
      </c>
      <c r="M104" s="36" t="n">
        <v>0.4715706961380088</v>
      </c>
      <c r="N104" s="36" t="n">
        <v>0.3658420444481222</v>
      </c>
      <c r="O104" s="36" t="n">
        <v>0.1008064516129032</v>
      </c>
      <c r="P104" s="36" t="n">
        <v>-0.04210526315789476</v>
      </c>
      <c r="Q104" s="36" t="n">
        <v>-0.06825938566552903</v>
      </c>
      <c r="R104" s="36" t="n">
        <v>0.06938255887969436</v>
      </c>
      <c r="S104" s="36" t="n">
        <v>0.05872087386484837</v>
      </c>
      <c r="T104" s="36" t="n">
        <v>-0.03092692017571108</v>
      </c>
      <c r="U104" s="31" t="n">
        <v>77700</v>
      </c>
      <c r="V104" s="31" t="n">
        <v>36600</v>
      </c>
      <c r="W104" s="36" t="n">
        <v>-0.2972972972972973</v>
      </c>
      <c r="X104" s="36" t="n">
        <v>0.4918032786885247</v>
      </c>
      <c r="Y104" s="31" t="n">
        <v>43617167</v>
      </c>
      <c r="Z104" s="31" t="n">
        <v>2381497318200</v>
      </c>
      <c r="AA104" s="31" t="n">
        <v>19677075600</v>
      </c>
      <c r="AB104" s="31" t="n">
        <v>13715565492.5</v>
      </c>
      <c r="AC104" s="36" t="n">
        <v>0.008262480687936473</v>
      </c>
      <c r="AD104" s="29" t="inlineStr">
        <is>
          <t>yfinance_download</t>
        </is>
      </c>
      <c r="AE104" s="29" t="inlineStr">
        <is>
          <t>000990.KS</t>
        </is>
      </c>
    </row>
    <row r="105" ht="24" customHeight="1">
      <c r="A105" s="24" t="inlineStr">
        <is>
          <t>2023-11-08</t>
        </is>
      </c>
      <c r="B105" s="30" t="n">
        <v>55200</v>
      </c>
      <c r="C105" s="30" t="n">
        <v>56500</v>
      </c>
      <c r="D105" s="30" t="n">
        <v>54400</v>
      </c>
      <c r="E105" s="30" t="n">
        <v>54600</v>
      </c>
      <c r="F105" s="30" t="n">
        <v>52111.8515625</v>
      </c>
      <c r="G105" s="30" t="n">
        <v>234576</v>
      </c>
      <c r="H105" s="35" t="n">
        <v>0</v>
      </c>
      <c r="I105" s="35" t="n">
        <v>-0.3568904593639576</v>
      </c>
      <c r="J105" s="30" t="n">
        <v>51232.5</v>
      </c>
      <c r="K105" s="30" t="n">
        <v>51566.66666666666</v>
      </c>
      <c r="L105" s="30" t="n">
        <v>56295.83333333334</v>
      </c>
      <c r="M105" s="35" t="n">
        <v>0.4624269628720005</v>
      </c>
      <c r="N105" s="35" t="n">
        <v>0.3578967602545445</v>
      </c>
      <c r="O105" s="35" t="n">
        <v>0.06849315068493156</v>
      </c>
      <c r="P105" s="35" t="n">
        <v>-0.005464480874316946</v>
      </c>
      <c r="Q105" s="35" t="n">
        <v>-0.09302325581395354</v>
      </c>
      <c r="R105" s="35" t="n">
        <v>0.0657297613819352</v>
      </c>
      <c r="S105" s="35" t="n">
        <v>0.05882352941176472</v>
      </c>
      <c r="T105" s="35" t="n">
        <v>-0.03012360299015626</v>
      </c>
      <c r="U105" s="30" t="n">
        <v>77700</v>
      </c>
      <c r="V105" s="30" t="n">
        <v>36600</v>
      </c>
      <c r="W105" s="35" t="n">
        <v>-0.2972972972972973</v>
      </c>
      <c r="X105" s="35" t="n">
        <v>0.4918032786885247</v>
      </c>
      <c r="Y105" s="30" t="n">
        <v>43617167</v>
      </c>
      <c r="Z105" s="30" t="n">
        <v>2381497318200</v>
      </c>
      <c r="AA105" s="30" t="n">
        <v>12807849600</v>
      </c>
      <c r="AB105" s="30" t="n">
        <v>13791538032.5</v>
      </c>
      <c r="AC105" s="35" t="n">
        <v>0.00537806593445191</v>
      </c>
      <c r="AD105" s="24" t="inlineStr">
        <is>
          <t>yfinance_download</t>
        </is>
      </c>
      <c r="AE105" s="24" t="inlineStr">
        <is>
          <t>000990.KS</t>
        </is>
      </c>
    </row>
    <row r="106" ht="24" customHeight="1">
      <c r="A106" s="29" t="inlineStr">
        <is>
          <t>2023-11-09</t>
        </is>
      </c>
      <c r="B106" s="31" t="n">
        <v>54600</v>
      </c>
      <c r="C106" s="31" t="n">
        <v>55400</v>
      </c>
      <c r="D106" s="31" t="n">
        <v>54600</v>
      </c>
      <c r="E106" s="31" t="n">
        <v>55300</v>
      </c>
      <c r="F106" s="31" t="n">
        <v>52779.94921875</v>
      </c>
      <c r="G106" s="31" t="n">
        <v>148617</v>
      </c>
      <c r="H106" s="36" t="n">
        <v>0.01282051282051277</v>
      </c>
      <c r="I106" s="36" t="n">
        <v>-0.3486454652532391</v>
      </c>
      <c r="J106" s="31" t="n">
        <v>51397.5</v>
      </c>
      <c r="K106" s="31" t="n">
        <v>51563.33333333334</v>
      </c>
      <c r="L106" s="31" t="n">
        <v>56282.5</v>
      </c>
      <c r="M106" s="36" t="n">
        <v>0.4608274822576708</v>
      </c>
      <c r="N106" s="36" t="n">
        <v>0.3581608184834587</v>
      </c>
      <c r="O106" s="36" t="n">
        <v>0.06346153846153846</v>
      </c>
      <c r="P106" s="36" t="n">
        <v>-0.003603603603603567</v>
      </c>
      <c r="Q106" s="36" t="n">
        <v>-0.02811950790861162</v>
      </c>
      <c r="R106" s="36" t="n">
        <v>0.07592781750085131</v>
      </c>
      <c r="S106" s="36" t="n">
        <v>0.07246751567651422</v>
      </c>
      <c r="T106" s="36" t="n">
        <v>-0.0174565806422956</v>
      </c>
      <c r="U106" s="31" t="n">
        <v>77700</v>
      </c>
      <c r="V106" s="31" t="n">
        <v>36600</v>
      </c>
      <c r="W106" s="36" t="n">
        <v>-0.2882882882882883</v>
      </c>
      <c r="X106" s="36" t="n">
        <v>0.5109289617486339</v>
      </c>
      <c r="Y106" s="31" t="n">
        <v>43617167</v>
      </c>
      <c r="Z106" s="31" t="n">
        <v>2412029335100</v>
      </c>
      <c r="AA106" s="31" t="n">
        <v>8218520100</v>
      </c>
      <c r="AB106" s="31" t="n">
        <v>13508373237.5</v>
      </c>
      <c r="AC106" s="36" t="n">
        <v>0.00340730520164228</v>
      </c>
      <c r="AD106" s="29" t="inlineStr">
        <is>
          <t>yfinance_download</t>
        </is>
      </c>
      <c r="AE106" s="29" t="inlineStr">
        <is>
          <t>000990.KS</t>
        </is>
      </c>
    </row>
    <row r="107" ht="24" customHeight="1">
      <c r="A107" s="24" t="inlineStr">
        <is>
          <t>2023-11-10</t>
        </is>
      </c>
      <c r="B107" s="30" t="n">
        <v>54600</v>
      </c>
      <c r="C107" s="30" t="n">
        <v>55200</v>
      </c>
      <c r="D107" s="30" t="n">
        <v>53800</v>
      </c>
      <c r="E107" s="30" t="n">
        <v>54200</v>
      </c>
      <c r="F107" s="30" t="n">
        <v>51730.07421875</v>
      </c>
      <c r="G107" s="30" t="n">
        <v>175726</v>
      </c>
      <c r="H107" s="35" t="n">
        <v>-0.01989150090415914</v>
      </c>
      <c r="I107" s="35" t="n">
        <v>-0.3616018845700825</v>
      </c>
      <c r="J107" s="30" t="n">
        <v>51552.5</v>
      </c>
      <c r="K107" s="30" t="n">
        <v>51550</v>
      </c>
      <c r="L107" s="30" t="n">
        <v>56252.5</v>
      </c>
      <c r="M107" s="35" t="n">
        <v>0.4624616874023051</v>
      </c>
      <c r="N107" s="35" t="n">
        <v>0.3600439090264507</v>
      </c>
      <c r="O107" s="35" t="n">
        <v>0.0606653620352251</v>
      </c>
      <c r="P107" s="35" t="n">
        <v>-0.01454545454545453</v>
      </c>
      <c r="Q107" s="35" t="n">
        <v>-0.06228373702422141</v>
      </c>
      <c r="R107" s="35" t="n">
        <v>0.05135541438339564</v>
      </c>
      <c r="S107" s="35" t="n">
        <v>0.05140640155189136</v>
      </c>
      <c r="T107" s="35" t="n">
        <v>-0.03648726723256746</v>
      </c>
      <c r="U107" s="30" t="n">
        <v>77700</v>
      </c>
      <c r="V107" s="30" t="n">
        <v>36600</v>
      </c>
      <c r="W107" s="35" t="n">
        <v>-0.3024453024453024</v>
      </c>
      <c r="X107" s="35" t="n">
        <v>0.4808743169398908</v>
      </c>
      <c r="Y107" s="30" t="n">
        <v>43617167</v>
      </c>
      <c r="Z107" s="30" t="n">
        <v>2364050451400</v>
      </c>
      <c r="AA107" s="30" t="n">
        <v>9524349200</v>
      </c>
      <c r="AB107" s="30" t="n">
        <v>13397321392.5</v>
      </c>
      <c r="AC107" s="35" t="n">
        <v>0.004028826539788795</v>
      </c>
      <c r="AD107" s="24" t="inlineStr">
        <is>
          <t>yfinance_download</t>
        </is>
      </c>
      <c r="AE107" s="24" t="inlineStr">
        <is>
          <t>000990.KS</t>
        </is>
      </c>
    </row>
    <row r="108" ht="24" customHeight="1">
      <c r="A108" s="29" t="inlineStr">
        <is>
          <t>2023-11-13</t>
        </is>
      </c>
      <c r="B108" s="31" t="n">
        <v>55000</v>
      </c>
      <c r="C108" s="31" t="n">
        <v>55700</v>
      </c>
      <c r="D108" s="31" t="n">
        <v>53200</v>
      </c>
      <c r="E108" s="31" t="n">
        <v>53900</v>
      </c>
      <c r="F108" s="31" t="n">
        <v>51443.74609375</v>
      </c>
      <c r="G108" s="31" t="n">
        <v>186375</v>
      </c>
      <c r="H108" s="36" t="n">
        <v>-0.005535055350553542</v>
      </c>
      <c r="I108" s="36" t="n">
        <v>-0.3651354534746761</v>
      </c>
      <c r="J108" s="31" t="n">
        <v>51707.5</v>
      </c>
      <c r="K108" s="31" t="n">
        <v>51545</v>
      </c>
      <c r="L108" s="31" t="n">
        <v>56204.16666666666</v>
      </c>
      <c r="M108" s="36" t="n">
        <v>0.4623744147995787</v>
      </c>
      <c r="N108" s="36" t="n">
        <v>0.3589602616999692</v>
      </c>
      <c r="O108" s="36" t="n">
        <v>0.06102362204724399</v>
      </c>
      <c r="P108" s="36" t="n">
        <v>-0.005535055350553542</v>
      </c>
      <c r="Q108" s="36" t="n">
        <v>-0.09715242881072028</v>
      </c>
      <c r="R108" s="36" t="n">
        <v>0.04240197263453083</v>
      </c>
      <c r="S108" s="36" t="n">
        <v>0.04568823358230678</v>
      </c>
      <c r="T108" s="36" t="n">
        <v>-0.04099636741048263</v>
      </c>
      <c r="U108" s="31" t="n">
        <v>77700</v>
      </c>
      <c r="V108" s="31" t="n">
        <v>36600</v>
      </c>
      <c r="W108" s="36" t="n">
        <v>-0.3063063063063063</v>
      </c>
      <c r="X108" s="36" t="n">
        <v>0.4726775956284153</v>
      </c>
      <c r="Y108" s="31" t="n">
        <v>43617167</v>
      </c>
      <c r="Z108" s="31" t="n">
        <v>2350965301300</v>
      </c>
      <c r="AA108" s="31" t="n">
        <v>10045612500</v>
      </c>
      <c r="AB108" s="31" t="n">
        <v>13297365477.5</v>
      </c>
      <c r="AC108" s="36" t="n">
        <v>0.004272973528977707</v>
      </c>
      <c r="AD108" s="29" t="inlineStr">
        <is>
          <t>yfinance_download</t>
        </is>
      </c>
      <c r="AE108" s="29" t="inlineStr">
        <is>
          <t>000990.KS</t>
        </is>
      </c>
    </row>
    <row r="109" ht="24" customHeight="1">
      <c r="A109" s="24" t="inlineStr">
        <is>
          <t>2023-11-14</t>
        </is>
      </c>
      <c r="B109" s="30" t="n">
        <v>53900</v>
      </c>
      <c r="C109" s="30" t="n">
        <v>55000</v>
      </c>
      <c r="D109" s="30" t="n">
        <v>53700</v>
      </c>
      <c r="E109" s="30" t="n">
        <v>54600</v>
      </c>
      <c r="F109" s="30" t="n">
        <v>52111.8515625</v>
      </c>
      <c r="G109" s="30" t="n">
        <v>165410</v>
      </c>
      <c r="H109" s="35" t="n">
        <v>0.01298701298701288</v>
      </c>
      <c r="I109" s="35" t="n">
        <v>-0.3568904593639576</v>
      </c>
      <c r="J109" s="30" t="n">
        <v>51807.5</v>
      </c>
      <c r="K109" s="30" t="n">
        <v>51566.66666666666</v>
      </c>
      <c r="L109" s="30" t="n">
        <v>56161.66666666666</v>
      </c>
      <c r="M109" s="35" t="n">
        <v>0.4483813184424834</v>
      </c>
      <c r="N109" s="35" t="n">
        <v>0.3581801156271925</v>
      </c>
      <c r="O109" s="35" t="n">
        <v>0.03802281368821303</v>
      </c>
      <c r="P109" s="35" t="n">
        <v>0.02439024390243905</v>
      </c>
      <c r="Q109" s="35" t="n">
        <v>-0.085427135678392</v>
      </c>
      <c r="R109" s="35" t="n">
        <v>0.0539014621435121</v>
      </c>
      <c r="S109" s="35" t="n">
        <v>0.05882352941176472</v>
      </c>
      <c r="T109" s="35" t="n">
        <v>-0.02780662967029701</v>
      </c>
      <c r="U109" s="30" t="n">
        <v>77700</v>
      </c>
      <c r="V109" s="30" t="n">
        <v>36600</v>
      </c>
      <c r="W109" s="35" t="n">
        <v>-0.2972972972972973</v>
      </c>
      <c r="X109" s="35" t="n">
        <v>0.4918032786885247</v>
      </c>
      <c r="Y109" s="30" t="n">
        <v>43617167</v>
      </c>
      <c r="Z109" s="30" t="n">
        <v>2381497318200</v>
      </c>
      <c r="AA109" s="30" t="n">
        <v>9031386000</v>
      </c>
      <c r="AB109" s="30" t="n">
        <v>13088241957.5</v>
      </c>
      <c r="AC109" s="35" t="n">
        <v>0.003792314159239182</v>
      </c>
      <c r="AD109" s="24" t="inlineStr">
        <is>
          <t>yfinance_download</t>
        </is>
      </c>
      <c r="AE109" s="24" t="inlineStr">
        <is>
          <t>000990.KS</t>
        </is>
      </c>
    </row>
    <row r="110" ht="24" customHeight="1">
      <c r="A110" s="29" t="inlineStr">
        <is>
          <t>2023-11-15</t>
        </is>
      </c>
      <c r="B110" s="31" t="n">
        <v>56000</v>
      </c>
      <c r="C110" s="31" t="n">
        <v>56100</v>
      </c>
      <c r="D110" s="31" t="n">
        <v>54600</v>
      </c>
      <c r="E110" s="31" t="n">
        <v>54600</v>
      </c>
      <c r="F110" s="31" t="n">
        <v>52111.8515625</v>
      </c>
      <c r="G110" s="31" t="n">
        <v>237084</v>
      </c>
      <c r="H110" s="36" t="n">
        <v>0</v>
      </c>
      <c r="I110" s="36" t="n">
        <v>-0.3568904593639576</v>
      </c>
      <c r="J110" s="31" t="n">
        <v>51907.5</v>
      </c>
      <c r="K110" s="31" t="n">
        <v>51605</v>
      </c>
      <c r="L110" s="31" t="n">
        <v>56095.83333333334</v>
      </c>
      <c r="M110" s="36" t="n">
        <v>0.4483813184424834</v>
      </c>
      <c r="N110" s="36" t="n">
        <v>0.3558934882719735</v>
      </c>
      <c r="O110" s="36" t="n">
        <v>0.03802281368821303</v>
      </c>
      <c r="P110" s="36" t="n">
        <v>0.04397705544933084</v>
      </c>
      <c r="Q110" s="36" t="n">
        <v>-0.1264</v>
      </c>
      <c r="R110" s="36" t="n">
        <v>0.05187111689062274</v>
      </c>
      <c r="S110" s="36" t="n">
        <v>0.05803701191744981</v>
      </c>
      <c r="T110" s="36" t="n">
        <v>-0.02666567629800198</v>
      </c>
      <c r="U110" s="31" t="n">
        <v>77700</v>
      </c>
      <c r="V110" s="31" t="n">
        <v>36600</v>
      </c>
      <c r="W110" s="36" t="n">
        <v>-0.2972972972972973</v>
      </c>
      <c r="X110" s="36" t="n">
        <v>0.4918032786885247</v>
      </c>
      <c r="Y110" s="31" t="n">
        <v>43617167</v>
      </c>
      <c r="Z110" s="31" t="n">
        <v>2381497318200</v>
      </c>
      <c r="AA110" s="31" t="n">
        <v>12944786400</v>
      </c>
      <c r="AB110" s="31" t="n">
        <v>12985797147.5</v>
      </c>
      <c r="AC110" s="36" t="n">
        <v>0.005435566230149702</v>
      </c>
      <c r="AD110" s="29" t="inlineStr">
        <is>
          <t>yfinance_download</t>
        </is>
      </c>
      <c r="AE110" s="29" t="inlineStr">
        <is>
          <t>000990.KS</t>
        </is>
      </c>
    </row>
    <row r="111" ht="24" customHeight="1">
      <c r="A111" s="24" t="inlineStr">
        <is>
          <t>2023-11-16</t>
        </is>
      </c>
      <c r="B111" s="30" t="n">
        <v>54700</v>
      </c>
      <c r="C111" s="30" t="n">
        <v>55200</v>
      </c>
      <c r="D111" s="30" t="n">
        <v>54300</v>
      </c>
      <c r="E111" s="30" t="n">
        <v>55000</v>
      </c>
      <c r="F111" s="30" t="n">
        <v>52493.62109375</v>
      </c>
      <c r="G111" s="30" t="n">
        <v>139500</v>
      </c>
      <c r="H111" s="35" t="n">
        <v>0.0073260073260073</v>
      </c>
      <c r="I111" s="35" t="n">
        <v>-0.3521790341578327</v>
      </c>
      <c r="J111" s="30" t="n">
        <v>52112.5</v>
      </c>
      <c r="K111" s="30" t="n">
        <v>51650</v>
      </c>
      <c r="L111" s="30" t="n">
        <v>56051.66666666666</v>
      </c>
      <c r="M111" s="35" t="n">
        <v>0.4295355018665291</v>
      </c>
      <c r="N111" s="35" t="n">
        <v>0.3561253951323368</v>
      </c>
      <c r="O111" s="35" t="n">
        <v>0.08055009823182702</v>
      </c>
      <c r="P111" s="35" t="n">
        <v>0.05162523900573612</v>
      </c>
      <c r="Q111" s="35" t="n">
        <v>-0.08789386401326704</v>
      </c>
      <c r="R111" s="35" t="n">
        <v>0.0554089709762533</v>
      </c>
      <c r="S111" s="35" t="n">
        <v>0.06485963213939971</v>
      </c>
      <c r="T111" s="35" t="n">
        <v>-0.01876245130980336</v>
      </c>
      <c r="U111" s="30" t="n">
        <v>77700</v>
      </c>
      <c r="V111" s="30" t="n">
        <v>36600</v>
      </c>
      <c r="W111" s="35" t="n">
        <v>-0.2921492921492922</v>
      </c>
      <c r="X111" s="35" t="n">
        <v>0.5027322404371584</v>
      </c>
      <c r="Y111" s="30" t="n">
        <v>43617167</v>
      </c>
      <c r="Z111" s="30" t="n">
        <v>2398944185000</v>
      </c>
      <c r="AA111" s="30" t="n">
        <v>7672500000</v>
      </c>
      <c r="AB111" s="30" t="n">
        <v>12819999912.5</v>
      </c>
      <c r="AC111" s="35" t="n">
        <v>0.003198281997544682</v>
      </c>
      <c r="AD111" s="24" t="inlineStr">
        <is>
          <t>yfinance_download</t>
        </is>
      </c>
      <c r="AE111" s="24" t="inlineStr">
        <is>
          <t>000990.KS</t>
        </is>
      </c>
    </row>
    <row r="112" ht="24" customHeight="1">
      <c r="A112" s="29" t="inlineStr">
        <is>
          <t>2023-11-17</t>
        </is>
      </c>
      <c r="B112" s="31" t="n">
        <v>55000</v>
      </c>
      <c r="C112" s="31" t="n">
        <v>55500</v>
      </c>
      <c r="D112" s="31" t="n">
        <v>54400</v>
      </c>
      <c r="E112" s="31" t="n">
        <v>55300</v>
      </c>
      <c r="F112" s="31" t="n">
        <v>52779.94921875</v>
      </c>
      <c r="G112" s="31" t="n">
        <v>174148</v>
      </c>
      <c r="H112" s="36" t="n">
        <v>0.005454545454545379</v>
      </c>
      <c r="I112" s="36" t="n">
        <v>-0.3486454652532391</v>
      </c>
      <c r="J112" s="31" t="n">
        <v>52367.5</v>
      </c>
      <c r="K112" s="31" t="n">
        <v>51676.66666666666</v>
      </c>
      <c r="L112" s="31" t="n">
        <v>56010.83333333334</v>
      </c>
      <c r="M112" s="36" t="n">
        <v>0.424250683135468</v>
      </c>
      <c r="N112" s="36" t="n">
        <v>0.3522174323791435</v>
      </c>
      <c r="O112" s="36" t="n">
        <v>0.1015936254980079</v>
      </c>
      <c r="P112" s="36" t="n">
        <v>0.02979515828677837</v>
      </c>
      <c r="Q112" s="36" t="n">
        <v>-0.08139534883720934</v>
      </c>
      <c r="R112" s="36" t="n">
        <v>0.05599847233494049</v>
      </c>
      <c r="S112" s="36" t="n">
        <v>0.07011546152357617</v>
      </c>
      <c r="T112" s="36" t="n">
        <v>-0.01269099727731249</v>
      </c>
      <c r="U112" s="31" t="n">
        <v>77700</v>
      </c>
      <c r="V112" s="31" t="n">
        <v>36600</v>
      </c>
      <c r="W112" s="36" t="n">
        <v>-0.2882882882882883</v>
      </c>
      <c r="X112" s="36" t="n">
        <v>0.5109289617486339</v>
      </c>
      <c r="Y112" s="31" t="n">
        <v>43617167</v>
      </c>
      <c r="Z112" s="31" t="n">
        <v>2412029335100</v>
      </c>
      <c r="AA112" s="31" t="n">
        <v>9630384400</v>
      </c>
      <c r="AB112" s="31" t="n">
        <v>12756547932.5</v>
      </c>
      <c r="AC112" s="36" t="n">
        <v>0.003992648124074633</v>
      </c>
      <c r="AD112" s="29" t="inlineStr">
        <is>
          <t>yfinance_download</t>
        </is>
      </c>
      <c r="AE112" s="29" t="inlineStr">
        <is>
          <t>000990.KS</t>
        </is>
      </c>
    </row>
    <row r="113" ht="24" customHeight="1">
      <c r="A113" s="24" t="inlineStr">
        <is>
          <t>2023-11-20</t>
        </is>
      </c>
      <c r="B113" s="30" t="n">
        <v>55500</v>
      </c>
      <c r="C113" s="30" t="n">
        <v>56800</v>
      </c>
      <c r="D113" s="30" t="n">
        <v>55200</v>
      </c>
      <c r="E113" s="30" t="n">
        <v>56600</v>
      </c>
      <c r="F113" s="30" t="n">
        <v>54020.7109375</v>
      </c>
      <c r="G113" s="30" t="n">
        <v>254811</v>
      </c>
      <c r="H113" s="35" t="n">
        <v>0.02350813743218816</v>
      </c>
      <c r="I113" s="35" t="n">
        <v>-0.3333333333333334</v>
      </c>
      <c r="J113" s="30" t="n">
        <v>52657.5</v>
      </c>
      <c r="K113" s="30" t="n">
        <v>51750</v>
      </c>
      <c r="L113" s="30" t="n">
        <v>55985.83333333334</v>
      </c>
      <c r="M113" s="35" t="n">
        <v>0.4286547849862366</v>
      </c>
      <c r="N113" s="35" t="n">
        <v>0.3501080283549249</v>
      </c>
      <c r="O113" s="35" t="n">
        <v>0.1141732283464567</v>
      </c>
      <c r="P113" s="35" t="n">
        <v>0.08429118773946365</v>
      </c>
      <c r="Q113" s="35" t="n">
        <v>-0.05033557046979864</v>
      </c>
      <c r="R113" s="35" t="n">
        <v>0.07487062621658835</v>
      </c>
      <c r="S113" s="35" t="n">
        <v>0.09371980676328495</v>
      </c>
      <c r="T113" s="35" t="n">
        <v>0.01097003706294752</v>
      </c>
      <c r="U113" s="30" t="n">
        <v>77700</v>
      </c>
      <c r="V113" s="30" t="n">
        <v>36600</v>
      </c>
      <c r="W113" s="35" t="n">
        <v>-0.2715572715572716</v>
      </c>
      <c r="X113" s="35" t="n">
        <v>0.5464480874316939</v>
      </c>
      <c r="Y113" s="30" t="n">
        <v>43617167</v>
      </c>
      <c r="Z113" s="30" t="n">
        <v>2468731652200</v>
      </c>
      <c r="AA113" s="30" t="n">
        <v>14422302600</v>
      </c>
      <c r="AB113" s="30" t="n">
        <v>12824474122.5</v>
      </c>
      <c r="AC113" s="35" t="n">
        <v>0.005841988774740918</v>
      </c>
      <c r="AD113" s="24" t="inlineStr">
        <is>
          <t>yfinance_download</t>
        </is>
      </c>
      <c r="AE113" s="24" t="inlineStr">
        <is>
          <t>000990.KS</t>
        </is>
      </c>
    </row>
    <row r="114" ht="24" customHeight="1">
      <c r="A114" s="29" t="inlineStr">
        <is>
          <t>2023-11-21</t>
        </is>
      </c>
      <c r="B114" s="31" t="n">
        <v>57400</v>
      </c>
      <c r="C114" s="31" t="n">
        <v>57400</v>
      </c>
      <c r="D114" s="31" t="n">
        <v>56100</v>
      </c>
      <c r="E114" s="31" t="n">
        <v>56200</v>
      </c>
      <c r="F114" s="31" t="n">
        <v>53638.93359375</v>
      </c>
      <c r="G114" s="31" t="n">
        <v>173254</v>
      </c>
      <c r="H114" s="36" t="n">
        <v>-0.007067137809187329</v>
      </c>
      <c r="I114" s="36" t="n">
        <v>-0.3380447585394581</v>
      </c>
      <c r="J114" s="31" t="n">
        <v>52897.5</v>
      </c>
      <c r="K114" s="31" t="n">
        <v>51831.66666666666</v>
      </c>
      <c r="L114" s="31" t="n">
        <v>55961.66666666666</v>
      </c>
      <c r="M114" s="36" t="n">
        <v>0.4303577356403856</v>
      </c>
      <c r="N114" s="36" t="n">
        <v>0.3483876045075574</v>
      </c>
      <c r="O114" s="36" t="n">
        <v>0.09338521400778199</v>
      </c>
      <c r="P114" s="36" t="n">
        <v>0.09551656920077978</v>
      </c>
      <c r="Q114" s="36" t="n">
        <v>-0.04906937394247035</v>
      </c>
      <c r="R114" s="36" t="n">
        <v>0.06243206200671114</v>
      </c>
      <c r="S114" s="36" t="n">
        <v>0.08427923727451048</v>
      </c>
      <c r="T114" s="36" t="n">
        <v>0.004258867677279232</v>
      </c>
      <c r="U114" s="31" t="n">
        <v>77700</v>
      </c>
      <c r="V114" s="31" t="n">
        <v>36600</v>
      </c>
      <c r="W114" s="36" t="n">
        <v>-0.2767052767052767</v>
      </c>
      <c r="X114" s="36" t="n">
        <v>0.53551912568306</v>
      </c>
      <c r="Y114" s="31" t="n">
        <v>43617167</v>
      </c>
      <c r="Z114" s="31" t="n">
        <v>2451284785400</v>
      </c>
      <c r="AA114" s="31" t="n">
        <v>9736874800</v>
      </c>
      <c r="AB114" s="31" t="n">
        <v>12816371842.5</v>
      </c>
      <c r="AC114" s="36" t="n">
        <v>0.003972151607187143</v>
      </c>
      <c r="AD114" s="29" t="inlineStr">
        <is>
          <t>yfinance_download</t>
        </is>
      </c>
      <c r="AE114" s="29" t="inlineStr">
        <is>
          <t>000990.KS</t>
        </is>
      </c>
    </row>
    <row r="115" ht="24" customHeight="1">
      <c r="A115" s="24" t="inlineStr">
        <is>
          <t>2023-11-22</t>
        </is>
      </c>
      <c r="B115" s="30" t="n">
        <v>55600</v>
      </c>
      <c r="C115" s="30" t="n">
        <v>56500</v>
      </c>
      <c r="D115" s="30" t="n">
        <v>55500</v>
      </c>
      <c r="E115" s="30" t="n">
        <v>56100</v>
      </c>
      <c r="F115" s="30" t="n">
        <v>53543.4921875</v>
      </c>
      <c r="G115" s="30" t="n">
        <v>120824</v>
      </c>
      <c r="H115" s="35" t="n">
        <v>-0.001779359430605032</v>
      </c>
      <c r="I115" s="35" t="n">
        <v>-0.3392226148409894</v>
      </c>
      <c r="J115" s="30" t="n">
        <v>53117.5</v>
      </c>
      <c r="K115" s="30" t="n">
        <v>51906.66666666666</v>
      </c>
      <c r="L115" s="30" t="n">
        <v>55916.66666666666</v>
      </c>
      <c r="M115" s="35" t="n">
        <v>0.4309680794035212</v>
      </c>
      <c r="N115" s="35" t="n">
        <v>0.3483557508171041</v>
      </c>
      <c r="O115" s="35" t="n">
        <v>0.08510638297872331</v>
      </c>
      <c r="P115" s="35" t="n">
        <v>0.08720930232558133</v>
      </c>
      <c r="Q115" s="35" t="n">
        <v>-0.08780487804878045</v>
      </c>
      <c r="R115" s="35" t="n">
        <v>0.05614910340283341</v>
      </c>
      <c r="S115" s="35" t="n">
        <v>0.0807860262008735</v>
      </c>
      <c r="T115" s="35" t="n">
        <v>0.003278688524590123</v>
      </c>
      <c r="U115" s="30" t="n">
        <v>77700</v>
      </c>
      <c r="V115" s="30" t="n">
        <v>36600</v>
      </c>
      <c r="W115" s="35" t="n">
        <v>-0.277992277992278</v>
      </c>
      <c r="X115" s="35" t="n">
        <v>0.5327868852459017</v>
      </c>
      <c r="Y115" s="30" t="n">
        <v>43617167</v>
      </c>
      <c r="Z115" s="30" t="n">
        <v>2446923068700</v>
      </c>
      <c r="AA115" s="30" t="n">
        <v>6778226400</v>
      </c>
      <c r="AB115" s="30" t="n">
        <v>12560435887.5</v>
      </c>
      <c r="AC115" s="35" t="n">
        <v>0.002770101964669095</v>
      </c>
      <c r="AD115" s="24" t="inlineStr">
        <is>
          <t>yfinance_download</t>
        </is>
      </c>
      <c r="AE115" s="24" t="inlineStr">
        <is>
          <t>000990.KS</t>
        </is>
      </c>
    </row>
    <row r="116" ht="24" customHeight="1">
      <c r="A116" s="29" t="inlineStr">
        <is>
          <t>2023-11-23</t>
        </is>
      </c>
      <c r="B116" s="31" t="n">
        <v>55900</v>
      </c>
      <c r="C116" s="31" t="n">
        <v>56100</v>
      </c>
      <c r="D116" s="31" t="n">
        <v>55100</v>
      </c>
      <c r="E116" s="31" t="n">
        <v>55800</v>
      </c>
      <c r="F116" s="31" t="n">
        <v>53257.1640625</v>
      </c>
      <c r="G116" s="31" t="n">
        <v>158403</v>
      </c>
      <c r="H116" s="36" t="n">
        <v>-0.005347593582887722</v>
      </c>
      <c r="I116" s="36" t="n">
        <v>-0.342756183745583</v>
      </c>
      <c r="J116" s="31" t="n">
        <v>53490</v>
      </c>
      <c r="K116" s="31" t="n">
        <v>51958.33333333334</v>
      </c>
      <c r="L116" s="31" t="n">
        <v>55865</v>
      </c>
      <c r="M116" s="36" t="n">
        <v>0.347964656730485</v>
      </c>
      <c r="N116" s="36" t="n">
        <v>0.3461986853997289</v>
      </c>
      <c r="O116" s="36" t="n">
        <v>0.1540847983453981</v>
      </c>
      <c r="P116" s="36" t="n">
        <v>0.05882352941176472</v>
      </c>
      <c r="Q116" s="36" t="n">
        <v>-0.09999999999999998</v>
      </c>
      <c r="R116" s="36" t="n">
        <v>0.04318564217610765</v>
      </c>
      <c r="S116" s="36" t="n">
        <v>0.07393744987971118</v>
      </c>
      <c r="T116" s="36" t="n">
        <v>-0.001163519198066787</v>
      </c>
      <c r="U116" s="31" t="n">
        <v>77700</v>
      </c>
      <c r="V116" s="31" t="n">
        <v>36600</v>
      </c>
      <c r="W116" s="36" t="n">
        <v>-0.2818532818532818</v>
      </c>
      <c r="X116" s="36" t="n">
        <v>0.5245901639344261</v>
      </c>
      <c r="Y116" s="31" t="n">
        <v>43617167</v>
      </c>
      <c r="Z116" s="31" t="n">
        <v>2433837918600</v>
      </c>
      <c r="AA116" s="31" t="n">
        <v>8838887400</v>
      </c>
      <c r="AB116" s="31" t="n">
        <v>11794964717.5</v>
      </c>
      <c r="AC116" s="36" t="n">
        <v>0.00363166640327649</v>
      </c>
      <c r="AD116" s="29" t="inlineStr">
        <is>
          <t>yfinance_download</t>
        </is>
      </c>
      <c r="AE116" s="29" t="inlineStr">
        <is>
          <t>000990.KS</t>
        </is>
      </c>
    </row>
    <row r="117" ht="24" customHeight="1">
      <c r="A117" s="24" t="inlineStr">
        <is>
          <t>2023-11-24</t>
        </is>
      </c>
      <c r="B117" s="30" t="n">
        <v>55500</v>
      </c>
      <c r="C117" s="30" t="n">
        <v>56500</v>
      </c>
      <c r="D117" s="30" t="n">
        <v>55300</v>
      </c>
      <c r="E117" s="30" t="n">
        <v>56400</v>
      </c>
      <c r="F117" s="30" t="n">
        <v>53829.8203125</v>
      </c>
      <c r="G117" s="30" t="n">
        <v>128391</v>
      </c>
      <c r="H117" s="35" t="n">
        <v>0.010752688172043</v>
      </c>
      <c r="I117" s="35" t="n">
        <v>-0.3356890459363958</v>
      </c>
      <c r="J117" s="30" t="n">
        <v>53920</v>
      </c>
      <c r="K117" s="30" t="n">
        <v>52038.33333333334</v>
      </c>
      <c r="L117" s="30" t="n">
        <v>55831.66666666666</v>
      </c>
      <c r="M117" s="35" t="n">
        <v>0.340911637501208</v>
      </c>
      <c r="N117" s="35" t="n">
        <v>0.3436495167512823</v>
      </c>
      <c r="O117" s="35" t="n">
        <v>0.1799163179916319</v>
      </c>
      <c r="P117" s="35" t="n">
        <v>0.09302325581395343</v>
      </c>
      <c r="Q117" s="35" t="n">
        <v>-0.06622516556291391</v>
      </c>
      <c r="R117" s="35" t="n">
        <v>0.04599406528189909</v>
      </c>
      <c r="S117" s="35" t="n">
        <v>0.08381641738462031</v>
      </c>
      <c r="T117" s="35" t="n">
        <v>0.01017940834054754</v>
      </c>
      <c r="U117" s="30" t="n">
        <v>77700</v>
      </c>
      <c r="V117" s="30" t="n">
        <v>36600</v>
      </c>
      <c r="W117" s="35" t="n">
        <v>-0.2741312741312741</v>
      </c>
      <c r="X117" s="35" t="n">
        <v>0.540983606557377</v>
      </c>
      <c r="Y117" s="30" t="n">
        <v>43617167</v>
      </c>
      <c r="Z117" s="30" t="n">
        <v>2460008218800</v>
      </c>
      <c r="AA117" s="30" t="n">
        <v>7241252400</v>
      </c>
      <c r="AB117" s="30" t="n">
        <v>11570540457.5</v>
      </c>
      <c r="AC117" s="35" t="n">
        <v>0.002943588702127307</v>
      </c>
      <c r="AD117" s="24" t="inlineStr">
        <is>
          <t>yfinance_download</t>
        </is>
      </c>
      <c r="AE117" s="24" t="inlineStr">
        <is>
          <t>000990.KS</t>
        </is>
      </c>
    </row>
    <row r="118" ht="24" customHeight="1">
      <c r="A118" s="29" t="inlineStr">
        <is>
          <t>2023-11-27</t>
        </is>
      </c>
      <c r="B118" s="31" t="n">
        <v>56300</v>
      </c>
      <c r="C118" s="31" t="n">
        <v>60500</v>
      </c>
      <c r="D118" s="31" t="n">
        <v>56200</v>
      </c>
      <c r="E118" s="31" t="n">
        <v>60000</v>
      </c>
      <c r="F118" s="31" t="n">
        <v>57265.765625</v>
      </c>
      <c r="G118" s="31" t="n">
        <v>994568</v>
      </c>
      <c r="H118" s="36" t="n">
        <v>0.06382978723404253</v>
      </c>
      <c r="I118" s="36" t="n">
        <v>-0.2932862190812721</v>
      </c>
      <c r="J118" s="31" t="n">
        <v>54482.5</v>
      </c>
      <c r="K118" s="31" t="n">
        <v>52163.33333333334</v>
      </c>
      <c r="L118" s="31" t="n">
        <v>55825.83333333334</v>
      </c>
      <c r="M118" s="36" t="n">
        <v>0.3921793691298248</v>
      </c>
      <c r="N118" s="36" t="n">
        <v>0.365192512741261</v>
      </c>
      <c r="O118" s="36" t="n">
        <v>0.2307692307692308</v>
      </c>
      <c r="P118" s="36" t="n">
        <v>0.1428571428571428</v>
      </c>
      <c r="Q118" s="36" t="n">
        <v>-0.01153212520593083</v>
      </c>
      <c r="R118" s="36" t="n">
        <v>0.1012710503372642</v>
      </c>
      <c r="S118" s="36" t="n">
        <v>0.1502332417406862</v>
      </c>
      <c r="T118" s="36" t="n">
        <v>0.07477123792748275</v>
      </c>
      <c r="U118" s="31" t="n">
        <v>77700</v>
      </c>
      <c r="V118" s="31" t="n">
        <v>36600</v>
      </c>
      <c r="W118" s="36" t="n">
        <v>-0.2277992277992278</v>
      </c>
      <c r="X118" s="36" t="n">
        <v>0.639344262295082</v>
      </c>
      <c r="Y118" s="31" t="n">
        <v>43617167</v>
      </c>
      <c r="Z118" s="31" t="n">
        <v>2617030020000</v>
      </c>
      <c r="AA118" s="31" t="n">
        <v>59674080000</v>
      </c>
      <c r="AB118" s="31" t="n">
        <v>14167966520</v>
      </c>
      <c r="AC118" s="36" t="n">
        <v>0.02280221455006466</v>
      </c>
      <c r="AD118" s="29" t="inlineStr">
        <is>
          <t>yfinance_download</t>
        </is>
      </c>
      <c r="AE118" s="29" t="inlineStr">
        <is>
          <t>000990.KS</t>
        </is>
      </c>
    </row>
    <row r="119" ht="24" customHeight="1">
      <c r="A119" s="24" t="inlineStr">
        <is>
          <t>2023-11-28</t>
        </is>
      </c>
      <c r="B119" s="30" t="n">
        <v>60300</v>
      </c>
      <c r="C119" s="30" t="n">
        <v>60600</v>
      </c>
      <c r="D119" s="30" t="n">
        <v>59000</v>
      </c>
      <c r="E119" s="30" t="n">
        <v>60500</v>
      </c>
      <c r="F119" s="30" t="n">
        <v>57742.984375</v>
      </c>
      <c r="G119" s="30" t="n">
        <v>356359</v>
      </c>
      <c r="H119" s="35" t="n">
        <v>0.008333333333333304</v>
      </c>
      <c r="I119" s="35" t="n">
        <v>-0.2873969375736161</v>
      </c>
      <c r="J119" s="30" t="n">
        <v>55087.5</v>
      </c>
      <c r="K119" s="30" t="n">
        <v>52278.33333333334</v>
      </c>
      <c r="L119" s="30" t="n">
        <v>55802.5</v>
      </c>
      <c r="M119" s="35" t="n">
        <v>0.3866166420597482</v>
      </c>
      <c r="N119" s="35" t="n">
        <v>0.3633782569363437</v>
      </c>
      <c r="O119" s="35" t="n">
        <v>0.25</v>
      </c>
      <c r="P119" s="35" t="n">
        <v>0.1287313432835822</v>
      </c>
      <c r="Q119" s="35" t="n">
        <v>-0.04423380726698267</v>
      </c>
      <c r="R119" s="35" t="n">
        <v>0.09825277966870893</v>
      </c>
      <c r="S119" s="35" t="n">
        <v>0.1572671916345203</v>
      </c>
      <c r="T119" s="35" t="n">
        <v>0.0841808162716724</v>
      </c>
      <c r="U119" s="30" t="n">
        <v>77700</v>
      </c>
      <c r="V119" s="30" t="n">
        <v>36600</v>
      </c>
      <c r="W119" s="35" t="n">
        <v>-0.2213642213642214</v>
      </c>
      <c r="X119" s="35" t="n">
        <v>0.6530054644808743</v>
      </c>
      <c r="Y119" s="30" t="n">
        <v>43617167</v>
      </c>
      <c r="Z119" s="30" t="n">
        <v>2638838603500</v>
      </c>
      <c r="AA119" s="30" t="n">
        <v>21559719500</v>
      </c>
      <c r="AB119" s="30" t="n">
        <v>14683053235</v>
      </c>
      <c r="AC119" s="35" t="n">
        <v>0.008170154654932081</v>
      </c>
      <c r="AD119" s="24" t="inlineStr">
        <is>
          <t>yfinance_download</t>
        </is>
      </c>
      <c r="AE119" s="24" t="inlineStr">
        <is>
          <t>000990.KS</t>
        </is>
      </c>
    </row>
    <row r="120" ht="24" customHeight="1">
      <c r="A120" s="29" t="inlineStr">
        <is>
          <t>2023-11-29</t>
        </is>
      </c>
      <c r="B120" s="31" t="n">
        <v>60400</v>
      </c>
      <c r="C120" s="31" t="n">
        <v>60400</v>
      </c>
      <c r="D120" s="31" t="n">
        <v>57900</v>
      </c>
      <c r="E120" s="31" t="n">
        <v>58100</v>
      </c>
      <c r="F120" s="31" t="n">
        <v>55452.3515625</v>
      </c>
      <c r="G120" s="31" t="n">
        <v>385505</v>
      </c>
      <c r="H120" s="36" t="n">
        <v>-0.03966942148760333</v>
      </c>
      <c r="I120" s="36" t="n">
        <v>-0.3156654888103652</v>
      </c>
      <c r="J120" s="31" t="n">
        <v>55555</v>
      </c>
      <c r="K120" s="31" t="n">
        <v>52355</v>
      </c>
      <c r="L120" s="31" t="n">
        <v>55770.83333333334</v>
      </c>
      <c r="M120" s="36" t="n">
        <v>0.4271884649859234</v>
      </c>
      <c r="N120" s="36" t="n">
        <v>0.3733409022589834</v>
      </c>
      <c r="O120" s="36" t="n">
        <v>0.1917948717948719</v>
      </c>
      <c r="P120" s="36" t="n">
        <v>0.08598130841121487</v>
      </c>
      <c r="Q120" s="36" t="n">
        <v>-0.06138933764135701</v>
      </c>
      <c r="R120" s="36" t="n">
        <v>0.04581045810458106</v>
      </c>
      <c r="S120" s="36" t="n">
        <v>0.1097316397669754</v>
      </c>
      <c r="T120" s="36" t="n">
        <v>0.04176316772506539</v>
      </c>
      <c r="U120" s="31" t="n">
        <v>77700</v>
      </c>
      <c r="V120" s="31" t="n">
        <v>36600</v>
      </c>
      <c r="W120" s="36" t="n">
        <v>-0.2522522522522522</v>
      </c>
      <c r="X120" s="36" t="n">
        <v>0.5874316939890711</v>
      </c>
      <c r="Y120" s="31" t="n">
        <v>43617167</v>
      </c>
      <c r="Z120" s="31" t="n">
        <v>2534157402700</v>
      </c>
      <c r="AA120" s="31" t="n">
        <v>22397840500</v>
      </c>
      <c r="AB120" s="31" t="n">
        <v>15306514260</v>
      </c>
      <c r="AC120" s="36" t="n">
        <v>0.008838377788268551</v>
      </c>
      <c r="AD120" s="29" t="inlineStr">
        <is>
          <t>yfinance_download</t>
        </is>
      </c>
      <c r="AE120" s="29" t="inlineStr">
        <is>
          <t>000990.KS</t>
        </is>
      </c>
    </row>
    <row r="121" ht="24" customHeight="1">
      <c r="A121" s="24" t="inlineStr">
        <is>
          <t>2023-11-30</t>
        </is>
      </c>
      <c r="B121" s="30" t="n">
        <v>57700</v>
      </c>
      <c r="C121" s="30" t="n">
        <v>62000</v>
      </c>
      <c r="D121" s="30" t="n">
        <v>57600</v>
      </c>
      <c r="E121" s="30" t="n">
        <v>61900</v>
      </c>
      <c r="F121" s="30" t="n">
        <v>59079.1796875</v>
      </c>
      <c r="G121" s="30" t="n">
        <v>912551</v>
      </c>
      <c r="H121" s="35" t="n">
        <v>0.06540447504302915</v>
      </c>
      <c r="I121" s="35" t="n">
        <v>-0.2709069493521791</v>
      </c>
      <c r="J121" s="30" t="n">
        <v>56055</v>
      </c>
      <c r="K121" s="30" t="n">
        <v>52495</v>
      </c>
      <c r="L121" s="30" t="n">
        <v>55774.16666666666</v>
      </c>
      <c r="M121" s="35" t="n">
        <v>0.4285543863050406</v>
      </c>
      <c r="N121" s="35" t="n">
        <v>0.3955130696078484</v>
      </c>
      <c r="O121" s="35" t="n">
        <v>0.1926782273603083</v>
      </c>
      <c r="P121" s="35" t="n">
        <v>0.1570093457943926</v>
      </c>
      <c r="Q121" s="35" t="n">
        <v>0.006504065040650486</v>
      </c>
      <c r="R121" s="35" t="n">
        <v>0.1042725894211043</v>
      </c>
      <c r="S121" s="35" t="n">
        <v>0.1791599199923801</v>
      </c>
      <c r="T121" s="35" t="n">
        <v>0.1098328079009099</v>
      </c>
      <c r="U121" s="30" t="n">
        <v>77700</v>
      </c>
      <c r="V121" s="30" t="n">
        <v>36600</v>
      </c>
      <c r="W121" s="35" t="n">
        <v>-0.2033462033462033</v>
      </c>
      <c r="X121" s="35" t="n">
        <v>0.6912568306010929</v>
      </c>
      <c r="Y121" s="30" t="n">
        <v>43617167</v>
      </c>
      <c r="Z121" s="30" t="n">
        <v>2699902637300</v>
      </c>
      <c r="AA121" s="30" t="n">
        <v>56486906900</v>
      </c>
      <c r="AB121" s="30" t="n">
        <v>17244218170</v>
      </c>
      <c r="AC121" s="35" t="n">
        <v>0.02092183107628242</v>
      </c>
      <c r="AD121" s="24" t="inlineStr">
        <is>
          <t>yfinance_download</t>
        </is>
      </c>
      <c r="AE121" s="24" t="inlineStr">
        <is>
          <t>000990.KS</t>
        </is>
      </c>
    </row>
    <row r="122" ht="24" customHeight="1">
      <c r="A122" s="29" t="inlineStr">
        <is>
          <t>2023-12-01</t>
        </is>
      </c>
      <c r="B122" s="31" t="n">
        <v>61400</v>
      </c>
      <c r="C122" s="31" t="n">
        <v>61500</v>
      </c>
      <c r="D122" s="31" t="n">
        <v>59500</v>
      </c>
      <c r="E122" s="31" t="n">
        <v>59600</v>
      </c>
      <c r="F122" s="31" t="n">
        <v>56884</v>
      </c>
      <c r="G122" s="31" t="n">
        <v>345231</v>
      </c>
      <c r="H122" s="36" t="n">
        <v>-0.03715670436187402</v>
      </c>
      <c r="I122" s="36" t="n">
        <v>-0.2979976442873969</v>
      </c>
      <c r="J122" s="31" t="n">
        <v>56430</v>
      </c>
      <c r="K122" s="31" t="n">
        <v>52576.66666666666</v>
      </c>
      <c r="L122" s="31" t="n">
        <v>55755</v>
      </c>
      <c r="M122" s="36" t="n">
        <v>0.4589685970361504</v>
      </c>
      <c r="N122" s="36" t="n">
        <v>0.4016445433012751</v>
      </c>
      <c r="O122" s="36" t="n">
        <v>0.1439539347408829</v>
      </c>
      <c r="P122" s="36" t="n">
        <v>0.08957952468007302</v>
      </c>
      <c r="Q122" s="36" t="n">
        <v>-0.03715670436187402</v>
      </c>
      <c r="R122" s="36" t="n">
        <v>0.05617579301789832</v>
      </c>
      <c r="S122" s="36" t="n">
        <v>0.1335827046218221</v>
      </c>
      <c r="T122" s="36" t="n">
        <v>0.06896242489462834</v>
      </c>
      <c r="U122" s="31" t="n">
        <v>77700</v>
      </c>
      <c r="V122" s="31" t="n">
        <v>36600</v>
      </c>
      <c r="W122" s="36" t="n">
        <v>-0.232947232947233</v>
      </c>
      <c r="X122" s="36" t="n">
        <v>0.6284153005464481</v>
      </c>
      <c r="Y122" s="31" t="n">
        <v>43617167</v>
      </c>
      <c r="Z122" s="31" t="n">
        <v>2599583153200</v>
      </c>
      <c r="AA122" s="31" t="n">
        <v>20575767600</v>
      </c>
      <c r="AB122" s="31" t="n">
        <v>17749847005</v>
      </c>
      <c r="AC122" s="36" t="n">
        <v>0.007915025751213965</v>
      </c>
      <c r="AD122" s="29" t="inlineStr">
        <is>
          <t>yfinance_download</t>
        </is>
      </c>
      <c r="AE122" s="29" t="inlineStr">
        <is>
          <t>000990.KS</t>
        </is>
      </c>
    </row>
    <row r="123" ht="24" customHeight="1">
      <c r="A123" s="24" t="inlineStr">
        <is>
          <t>2023-12-04</t>
        </is>
      </c>
      <c r="B123" s="30" t="n">
        <v>59500</v>
      </c>
      <c r="C123" s="30" t="n">
        <v>59900</v>
      </c>
      <c r="D123" s="30" t="n">
        <v>58700</v>
      </c>
      <c r="E123" s="30" t="n">
        <v>59500</v>
      </c>
      <c r="F123" s="30" t="n">
        <v>56788.5546875</v>
      </c>
      <c r="G123" s="30" t="n">
        <v>257811</v>
      </c>
      <c r="H123" s="35" t="n">
        <v>-0.001677852348993314</v>
      </c>
      <c r="I123" s="35" t="n">
        <v>-0.2991755005889282</v>
      </c>
      <c r="J123" s="30" t="n">
        <v>56640</v>
      </c>
      <c r="K123" s="30" t="n">
        <v>52668.33333333334</v>
      </c>
      <c r="L123" s="30" t="n">
        <v>55721.66666666666</v>
      </c>
      <c r="M123" s="35" t="n">
        <v>0.4122614108202445</v>
      </c>
      <c r="N123" s="35" t="n">
        <v>0.4005703195492729</v>
      </c>
      <c r="O123" s="35" t="n">
        <v>0.07594936708860756</v>
      </c>
      <c r="P123" s="35" t="n">
        <v>0.1018518518518519</v>
      </c>
      <c r="Q123" s="35" t="n">
        <v>-0.06299212598425197</v>
      </c>
      <c r="R123" s="35" t="n">
        <v>0.05049435028248594</v>
      </c>
      <c r="S123" s="35" t="n">
        <v>0.1297110850922438</v>
      </c>
      <c r="T123" s="35" t="n">
        <v>0.06780725630365203</v>
      </c>
      <c r="U123" s="30" t="n">
        <v>77700</v>
      </c>
      <c r="V123" s="30" t="n">
        <v>36600</v>
      </c>
      <c r="W123" s="35" t="n">
        <v>-0.2342342342342343</v>
      </c>
      <c r="X123" s="35" t="n">
        <v>0.6256830601092895</v>
      </c>
      <c r="Y123" s="30" t="n">
        <v>43617167</v>
      </c>
      <c r="Z123" s="30" t="n">
        <v>2595221436500</v>
      </c>
      <c r="AA123" s="30" t="n">
        <v>15339754500</v>
      </c>
      <c r="AB123" s="30" t="n">
        <v>17130203820</v>
      </c>
      <c r="AC123" s="35" t="n">
        <v>0.005910769032752632</v>
      </c>
      <c r="AD123" s="24" t="inlineStr">
        <is>
          <t>yfinance_download</t>
        </is>
      </c>
      <c r="AE123" s="24" t="inlineStr">
        <is>
          <t>000990.KS</t>
        </is>
      </c>
    </row>
    <row r="124" ht="24" customHeight="1">
      <c r="A124" s="29" t="inlineStr">
        <is>
          <t>2023-12-05</t>
        </is>
      </c>
      <c r="B124" s="31" t="n">
        <v>59000</v>
      </c>
      <c r="C124" s="31" t="n">
        <v>59600</v>
      </c>
      <c r="D124" s="31" t="n">
        <v>57200</v>
      </c>
      <c r="E124" s="31" t="n">
        <v>58800</v>
      </c>
      <c r="F124" s="31" t="n">
        <v>56120.453125</v>
      </c>
      <c r="G124" s="31" t="n">
        <v>328306</v>
      </c>
      <c r="H124" s="36" t="n">
        <v>-0.0117647058823529</v>
      </c>
      <c r="I124" s="36" t="n">
        <v>-0.3074204946996466</v>
      </c>
      <c r="J124" s="31" t="n">
        <v>56850</v>
      </c>
      <c r="K124" s="31" t="n">
        <v>52756.66666666666</v>
      </c>
      <c r="L124" s="31" t="n">
        <v>55695.83333333334</v>
      </c>
      <c r="M124" s="36" t="n">
        <v>0.4117950143854448</v>
      </c>
      <c r="N124" s="36" t="n">
        <v>0.400901953406554</v>
      </c>
      <c r="O124" s="36" t="n">
        <v>0.07692307692307687</v>
      </c>
      <c r="P124" s="36" t="n">
        <v>0.09906542056074774</v>
      </c>
      <c r="Q124" s="36" t="n">
        <v>-0.05008077544426492</v>
      </c>
      <c r="R124" s="36" t="n">
        <v>0.03430079155672816</v>
      </c>
      <c r="S124" s="36" t="n">
        <v>0.1145510835913313</v>
      </c>
      <c r="T124" s="36" t="n">
        <v>0.05573427096581129</v>
      </c>
      <c r="U124" s="31" t="n">
        <v>77700</v>
      </c>
      <c r="V124" s="31" t="n">
        <v>36600</v>
      </c>
      <c r="W124" s="36" t="n">
        <v>-0.2432432432432432</v>
      </c>
      <c r="X124" s="36" t="n">
        <v>0.6065573770491803</v>
      </c>
      <c r="Y124" s="31" t="n">
        <v>43617167</v>
      </c>
      <c r="Z124" s="31" t="n">
        <v>2564689419600</v>
      </c>
      <c r="AA124" s="31" t="n">
        <v>19304392800</v>
      </c>
      <c r="AB124" s="31" t="n">
        <v>17111569680</v>
      </c>
      <c r="AC124" s="36" t="n">
        <v>0.007526990462264549</v>
      </c>
      <c r="AD124" s="29" t="inlineStr">
        <is>
          <t>yfinance_download</t>
        </is>
      </c>
      <c r="AE124" s="29" t="inlineStr">
        <is>
          <t>000990.KS</t>
        </is>
      </c>
    </row>
    <row r="125" ht="24" customHeight="1">
      <c r="A125" s="24" t="inlineStr">
        <is>
          <t>2023-12-06</t>
        </is>
      </c>
      <c r="B125" s="30" t="n">
        <v>58800</v>
      </c>
      <c r="C125" s="30" t="n">
        <v>59500</v>
      </c>
      <c r="D125" s="30" t="n">
        <v>58300</v>
      </c>
      <c r="E125" s="30" t="n">
        <v>58700</v>
      </c>
      <c r="F125" s="30" t="n">
        <v>56025.0078125</v>
      </c>
      <c r="G125" s="30" t="n">
        <v>243642</v>
      </c>
      <c r="H125" s="35" t="n">
        <v>-0.00170068027210879</v>
      </c>
      <c r="I125" s="35" t="n">
        <v>-0.3085983510011778</v>
      </c>
      <c r="J125" s="30" t="n">
        <v>57055</v>
      </c>
      <c r="K125" s="30" t="n">
        <v>52853.33333333334</v>
      </c>
      <c r="L125" s="30" t="n">
        <v>55659.16666666666</v>
      </c>
      <c r="M125" s="35" t="n">
        <v>0.4120597253450304</v>
      </c>
      <c r="N125" s="35" t="n">
        <v>0.4000472330204222</v>
      </c>
      <c r="O125" s="35" t="n">
        <v>0.07509157509157505</v>
      </c>
      <c r="P125" s="35" t="n">
        <v>0.109640831758034</v>
      </c>
      <c r="Q125" s="35" t="n">
        <v>-0.06973058637083995</v>
      </c>
      <c r="R125" s="35" t="n">
        <v>0.02883182893699066</v>
      </c>
      <c r="S125" s="35" t="n">
        <v>0.1106205852674067</v>
      </c>
      <c r="T125" s="35" t="n">
        <v>0.05463310925124643</v>
      </c>
      <c r="U125" s="30" t="n">
        <v>77700</v>
      </c>
      <c r="V125" s="30" t="n">
        <v>36600</v>
      </c>
      <c r="W125" s="35" t="n">
        <v>-0.2445302445302445</v>
      </c>
      <c r="X125" s="35" t="n">
        <v>0.6038251366120218</v>
      </c>
      <c r="Y125" s="30" t="n">
        <v>43617167</v>
      </c>
      <c r="Z125" s="30" t="n">
        <v>2560327702900</v>
      </c>
      <c r="AA125" s="30" t="n">
        <v>14301785400</v>
      </c>
      <c r="AB125" s="30" t="n">
        <v>17186266470</v>
      </c>
      <c r="AC125" s="35" t="n">
        <v>0.005585919874163309</v>
      </c>
      <c r="AD125" s="24" t="inlineStr">
        <is>
          <t>yfinance_download</t>
        </is>
      </c>
      <c r="AE125" s="24" t="inlineStr">
        <is>
          <t>000990.KS</t>
        </is>
      </c>
    </row>
    <row r="126" ht="24" customHeight="1">
      <c r="A126" s="29" t="inlineStr">
        <is>
          <t>2023-12-07</t>
        </is>
      </c>
      <c r="B126" s="31" t="n">
        <v>58100</v>
      </c>
      <c r="C126" s="31" t="n">
        <v>60600</v>
      </c>
      <c r="D126" s="31" t="n">
        <v>58000</v>
      </c>
      <c r="E126" s="31" t="n">
        <v>59900</v>
      </c>
      <c r="F126" s="31" t="n">
        <v>57170.32421875</v>
      </c>
      <c r="G126" s="31" t="n">
        <v>339890</v>
      </c>
      <c r="H126" s="36" t="n">
        <v>0.02044293015332199</v>
      </c>
      <c r="I126" s="36" t="n">
        <v>-0.2944640753828033</v>
      </c>
      <c r="J126" s="31" t="n">
        <v>57285</v>
      </c>
      <c r="K126" s="31" t="n">
        <v>52973.33333333334</v>
      </c>
      <c r="L126" s="31" t="n">
        <v>55642.5</v>
      </c>
      <c r="M126" s="36" t="n">
        <v>0.4151151856238269</v>
      </c>
      <c r="N126" s="36" t="n">
        <v>0.401617806782081</v>
      </c>
      <c r="O126" s="36" t="n">
        <v>0.08318264014466537</v>
      </c>
      <c r="P126" s="36" t="n">
        <v>0.1366223908918407</v>
      </c>
      <c r="Q126" s="36" t="n">
        <v>-0.03231017770597733</v>
      </c>
      <c r="R126" s="36" t="n">
        <v>0.04564894824124988</v>
      </c>
      <c r="S126" s="36" t="n">
        <v>0.1307576138937829</v>
      </c>
      <c r="T126" s="36" t="n">
        <v>0.07651525362807199</v>
      </c>
      <c r="U126" s="31" t="n">
        <v>77700</v>
      </c>
      <c r="V126" s="31" t="n">
        <v>36600</v>
      </c>
      <c r="W126" s="36" t="n">
        <v>-0.2290862290862291</v>
      </c>
      <c r="X126" s="36" t="n">
        <v>0.6366120218579234</v>
      </c>
      <c r="Y126" s="31" t="n">
        <v>43617167</v>
      </c>
      <c r="Z126" s="31" t="n">
        <v>2612668303300</v>
      </c>
      <c r="AA126" s="31" t="n">
        <v>20359411000</v>
      </c>
      <c r="AB126" s="31" t="n">
        <v>17793311015</v>
      </c>
      <c r="AC126" s="36" t="n">
        <v>0.007792573965200445</v>
      </c>
      <c r="AD126" s="29" t="inlineStr">
        <is>
          <t>yfinance_download</t>
        </is>
      </c>
      <c r="AE126" s="29" t="inlineStr">
        <is>
          <t>000990.KS</t>
        </is>
      </c>
    </row>
    <row r="127" ht="24" customHeight="1">
      <c r="A127" s="24" t="inlineStr">
        <is>
          <t>2023-12-08</t>
        </is>
      </c>
      <c r="B127" s="30" t="n">
        <v>60600</v>
      </c>
      <c r="C127" s="30" t="n">
        <v>60700</v>
      </c>
      <c r="D127" s="30" t="n">
        <v>58800</v>
      </c>
      <c r="E127" s="30" t="n">
        <v>59000</v>
      </c>
      <c r="F127" s="30" t="n">
        <v>56311.3359375</v>
      </c>
      <c r="G127" s="30" t="n">
        <v>208564</v>
      </c>
      <c r="H127" s="35" t="n">
        <v>-0.0150250417362271</v>
      </c>
      <c r="I127" s="35" t="n">
        <v>-0.3050647820965842</v>
      </c>
      <c r="J127" s="30" t="n">
        <v>57525</v>
      </c>
      <c r="K127" s="30" t="n">
        <v>53098.33333333334</v>
      </c>
      <c r="L127" s="30" t="n">
        <v>55599.16666666666</v>
      </c>
      <c r="M127" s="35" t="n">
        <v>0.4116955867567865</v>
      </c>
      <c r="N127" s="35" t="n">
        <v>0.3998502925754075</v>
      </c>
      <c r="O127" s="35" t="n">
        <v>0.088560885608856</v>
      </c>
      <c r="P127" s="35" t="n">
        <v>0.145631067961165</v>
      </c>
      <c r="Q127" s="35" t="n">
        <v>-0.0809968847352025</v>
      </c>
      <c r="R127" s="35" t="n">
        <v>0.02564102564102555</v>
      </c>
      <c r="S127" s="35" t="n">
        <v>0.1111459870052418</v>
      </c>
      <c r="T127" s="35" t="n">
        <v>0.06116698391762476</v>
      </c>
      <c r="U127" s="30" t="n">
        <v>77700</v>
      </c>
      <c r="V127" s="30" t="n">
        <v>36600</v>
      </c>
      <c r="W127" s="35" t="n">
        <v>-0.2406692406692407</v>
      </c>
      <c r="X127" s="35" t="n">
        <v>0.6120218579234973</v>
      </c>
      <c r="Y127" s="30" t="n">
        <v>43617167</v>
      </c>
      <c r="Z127" s="30" t="n">
        <v>2573412853000</v>
      </c>
      <c r="AA127" s="30" t="n">
        <v>12305276000</v>
      </c>
      <c r="AB127" s="30" t="n">
        <v>17932357355</v>
      </c>
      <c r="AC127" s="35" t="n">
        <v>0.004781695243985012</v>
      </c>
      <c r="AD127" s="24" t="inlineStr">
        <is>
          <t>yfinance_download</t>
        </is>
      </c>
      <c r="AE127" s="24" t="inlineStr">
        <is>
          <t>000990.KS</t>
        </is>
      </c>
    </row>
    <row r="128" ht="24" customHeight="1">
      <c r="A128" s="29" t="inlineStr">
        <is>
          <t>2023-12-11</t>
        </is>
      </c>
      <c r="B128" s="31" t="n">
        <v>59400</v>
      </c>
      <c r="C128" s="31" t="n">
        <v>59400</v>
      </c>
      <c r="D128" s="31" t="n">
        <v>58400</v>
      </c>
      <c r="E128" s="31" t="n">
        <v>58900</v>
      </c>
      <c r="F128" s="31" t="n">
        <v>56215.89453125</v>
      </c>
      <c r="G128" s="31" t="n">
        <v>128129</v>
      </c>
      <c r="H128" s="36" t="n">
        <v>-0.001694915254237261</v>
      </c>
      <c r="I128" s="36" t="n">
        <v>-0.3062426383981154</v>
      </c>
      <c r="J128" s="31" t="n">
        <v>57775</v>
      </c>
      <c r="K128" s="31" t="n">
        <v>53226.66666666666</v>
      </c>
      <c r="L128" s="31" t="n">
        <v>55555</v>
      </c>
      <c r="M128" s="36" t="n">
        <v>0.4106703619830318</v>
      </c>
      <c r="N128" s="36" t="n">
        <v>0.399569063582457</v>
      </c>
      <c r="O128" s="36" t="n">
        <v>0.09276437847866426</v>
      </c>
      <c r="P128" s="36" t="n">
        <v>0.150390625</v>
      </c>
      <c r="Q128" s="36" t="n">
        <v>-0.08255451713395634</v>
      </c>
      <c r="R128" s="36" t="n">
        <v>0.01947209000432704</v>
      </c>
      <c r="S128" s="36" t="n">
        <v>0.1065881763527055</v>
      </c>
      <c r="T128" s="36" t="n">
        <v>0.06021060210602114</v>
      </c>
      <c r="U128" s="31" t="n">
        <v>77700</v>
      </c>
      <c r="V128" s="31" t="n">
        <v>36600</v>
      </c>
      <c r="W128" s="36" t="n">
        <v>-0.241956241956242</v>
      </c>
      <c r="X128" s="36" t="n">
        <v>0.6092896174863387</v>
      </c>
      <c r="Y128" s="31" t="n">
        <v>43617167</v>
      </c>
      <c r="Z128" s="31" t="n">
        <v>2569051136300</v>
      </c>
      <c r="AA128" s="31" t="n">
        <v>7546798100</v>
      </c>
      <c r="AB128" s="31" t="n">
        <v>17807416635</v>
      </c>
      <c r="AC128" s="36" t="n">
        <v>0.002937581892927617</v>
      </c>
      <c r="AD128" s="29" t="inlineStr">
        <is>
          <t>yfinance_download</t>
        </is>
      </c>
      <c r="AE128" s="29" t="inlineStr">
        <is>
          <t>000990.KS</t>
        </is>
      </c>
    </row>
    <row r="129" ht="24" customHeight="1">
      <c r="A129" s="24" t="inlineStr">
        <is>
          <t>2023-12-12</t>
        </is>
      </c>
      <c r="B129" s="30" t="n">
        <v>59500</v>
      </c>
      <c r="C129" s="30" t="n">
        <v>60600</v>
      </c>
      <c r="D129" s="30" t="n">
        <v>59400</v>
      </c>
      <c r="E129" s="30" t="n">
        <v>60300</v>
      </c>
      <c r="F129" s="30" t="n">
        <v>57552.09765625</v>
      </c>
      <c r="G129" s="30" t="n">
        <v>394963</v>
      </c>
      <c r="H129" s="35" t="n">
        <v>0.02376910016977929</v>
      </c>
      <c r="I129" s="35" t="n">
        <v>-0.2897526501766784</v>
      </c>
      <c r="J129" s="30" t="n">
        <v>58060</v>
      </c>
      <c r="K129" s="30" t="n">
        <v>53396.66666666666</v>
      </c>
      <c r="L129" s="30" t="n">
        <v>55516.66666666666</v>
      </c>
      <c r="M129" s="35" t="n">
        <v>0.4152933608492052</v>
      </c>
      <c r="N129" s="35" t="n">
        <v>0.3986581022955448</v>
      </c>
      <c r="O129" s="35" t="n">
        <v>0.1043956043956045</v>
      </c>
      <c r="P129" s="35" t="n">
        <v>0.2035928143712575</v>
      </c>
      <c r="Q129" s="35" t="n">
        <v>-0.07087827426810478</v>
      </c>
      <c r="R129" s="35" t="n">
        <v>0.03858077850499475</v>
      </c>
      <c r="S129" s="35" t="n">
        <v>0.1292839752793558</v>
      </c>
      <c r="T129" s="35" t="n">
        <v>0.08616031221855303</v>
      </c>
      <c r="U129" s="30" t="n">
        <v>77700</v>
      </c>
      <c r="V129" s="30" t="n">
        <v>36600</v>
      </c>
      <c r="W129" s="35" t="n">
        <v>-0.2239382239382239</v>
      </c>
      <c r="X129" s="35" t="n">
        <v>0.6475409836065573</v>
      </c>
      <c r="Y129" s="30" t="n">
        <v>43617167</v>
      </c>
      <c r="Z129" s="30" t="n">
        <v>2630115170100</v>
      </c>
      <c r="AA129" s="30" t="n">
        <v>23816268900</v>
      </c>
      <c r="AB129" s="30" t="n">
        <v>18546660780</v>
      </c>
      <c r="AC129" s="35" t="n">
        <v>0.009055219015026813</v>
      </c>
      <c r="AD129" s="24" t="inlineStr">
        <is>
          <t>yfinance_download</t>
        </is>
      </c>
      <c r="AE129" s="24" t="inlineStr">
        <is>
          <t>000990.KS</t>
        </is>
      </c>
    </row>
    <row r="130" ht="24" customHeight="1">
      <c r="A130" s="29" t="inlineStr">
        <is>
          <t>2023-12-13</t>
        </is>
      </c>
      <c r="B130" s="31" t="n">
        <v>60400</v>
      </c>
      <c r="C130" s="31" t="n">
        <v>61000</v>
      </c>
      <c r="D130" s="31" t="n">
        <v>59300</v>
      </c>
      <c r="E130" s="31" t="n">
        <v>60500</v>
      </c>
      <c r="F130" s="31" t="n">
        <v>57742.984375</v>
      </c>
      <c r="G130" s="31" t="n">
        <v>317177</v>
      </c>
      <c r="H130" s="36" t="n">
        <v>0.003316749585406287</v>
      </c>
      <c r="I130" s="36" t="n">
        <v>-0.2873969375736161</v>
      </c>
      <c r="J130" s="31" t="n">
        <v>58355</v>
      </c>
      <c r="K130" s="31" t="n">
        <v>53582.5</v>
      </c>
      <c r="L130" s="31" t="n">
        <v>55460.83333333334</v>
      </c>
      <c r="M130" s="36" t="n">
        <v>0.4148989762014479</v>
      </c>
      <c r="N130" s="36" t="n">
        <v>0.3968161754398114</v>
      </c>
      <c r="O130" s="36" t="n">
        <v>0.1080586080586081</v>
      </c>
      <c r="P130" s="36" t="n">
        <v>0.2259371833839918</v>
      </c>
      <c r="Q130" s="36" t="n">
        <v>-0.09970238095238093</v>
      </c>
      <c r="R130" s="36" t="n">
        <v>0.03675777568331773</v>
      </c>
      <c r="S130" s="36" t="n">
        <v>0.1290999860028927</v>
      </c>
      <c r="T130" s="36" t="n">
        <v>0.0908599161570478</v>
      </c>
      <c r="U130" s="31" t="n">
        <v>77700</v>
      </c>
      <c r="V130" s="31" t="n">
        <v>36600</v>
      </c>
      <c r="W130" s="36" t="n">
        <v>-0.2213642213642214</v>
      </c>
      <c r="X130" s="36" t="n">
        <v>0.6530054644808743</v>
      </c>
      <c r="Y130" s="31" t="n">
        <v>43617167</v>
      </c>
      <c r="Z130" s="31" t="n">
        <v>2638838603500</v>
      </c>
      <c r="AA130" s="31" t="n">
        <v>19189208500</v>
      </c>
      <c r="AB130" s="31" t="n">
        <v>18858881885</v>
      </c>
      <c r="AC130" s="36" t="n">
        <v>0.007271838631793761</v>
      </c>
      <c r="AD130" s="29" t="inlineStr">
        <is>
          <t>yfinance_download</t>
        </is>
      </c>
      <c r="AE130" s="29" t="inlineStr">
        <is>
          <t>000990.KS</t>
        </is>
      </c>
    </row>
    <row r="131" ht="24" customHeight="1">
      <c r="A131" s="24" t="inlineStr">
        <is>
          <t>2023-12-14</t>
        </is>
      </c>
      <c r="B131" s="30" t="n">
        <v>61400</v>
      </c>
      <c r="C131" s="30" t="n">
        <v>61600</v>
      </c>
      <c r="D131" s="30" t="n">
        <v>60100</v>
      </c>
      <c r="E131" s="30" t="n">
        <v>61200</v>
      </c>
      <c r="F131" s="30" t="n">
        <v>58411.0859375</v>
      </c>
      <c r="G131" s="30" t="n">
        <v>357893</v>
      </c>
      <c r="H131" s="35" t="n">
        <v>0.01157024793388439</v>
      </c>
      <c r="I131" s="35" t="n">
        <v>-0.2791519434628975</v>
      </c>
      <c r="J131" s="30" t="n">
        <v>58665</v>
      </c>
      <c r="K131" s="30" t="n">
        <v>53739.16666666666</v>
      </c>
      <c r="L131" s="30" t="n">
        <v>55439.16666666666</v>
      </c>
      <c r="M131" s="35" t="n">
        <v>0.4154249731690849</v>
      </c>
      <c r="N131" s="35" t="n">
        <v>0.3854993808583225</v>
      </c>
      <c r="O131" s="35" t="n">
        <v>0.1127272727272728</v>
      </c>
      <c r="P131" s="35" t="n">
        <v>0.1814671814671815</v>
      </c>
      <c r="Q131" s="35" t="n">
        <v>-0.04075235109717867</v>
      </c>
      <c r="R131" s="35" t="n">
        <v>0.04321145487087708</v>
      </c>
      <c r="S131" s="35" t="n">
        <v>0.1388341836339109</v>
      </c>
      <c r="T131" s="35" t="n">
        <v>0.1039126971004254</v>
      </c>
      <c r="U131" s="30" t="n">
        <v>77700</v>
      </c>
      <c r="V131" s="30" t="n">
        <v>36600</v>
      </c>
      <c r="W131" s="35" t="n">
        <v>-0.2123552123552124</v>
      </c>
      <c r="X131" s="35" t="n">
        <v>0.6721311475409837</v>
      </c>
      <c r="Y131" s="30" t="n">
        <v>43617167</v>
      </c>
      <c r="Z131" s="30" t="n">
        <v>2669370620400</v>
      </c>
      <c r="AA131" s="30" t="n">
        <v>21903051600</v>
      </c>
      <c r="AB131" s="30" t="n">
        <v>19570409465</v>
      </c>
      <c r="AC131" s="35" t="n">
        <v>0.008205324293528738</v>
      </c>
      <c r="AD131" s="24" t="inlineStr">
        <is>
          <t>yfinance_download</t>
        </is>
      </c>
      <c r="AE131" s="24" t="inlineStr">
        <is>
          <t>000990.KS</t>
        </is>
      </c>
    </row>
    <row r="132" ht="24" customHeight="1">
      <c r="A132" s="29" t="inlineStr">
        <is>
          <t>2023-12-15</t>
        </is>
      </c>
      <c r="B132" s="31" t="n">
        <v>61200</v>
      </c>
      <c r="C132" s="31" t="n">
        <v>61900</v>
      </c>
      <c r="D132" s="31" t="n">
        <v>60400</v>
      </c>
      <c r="E132" s="31" t="n">
        <v>60800</v>
      </c>
      <c r="F132" s="31" t="n">
        <v>58029.3125</v>
      </c>
      <c r="G132" s="31" t="n">
        <v>243322</v>
      </c>
      <c r="H132" s="36" t="n">
        <v>-0.006535947712418277</v>
      </c>
      <c r="I132" s="36" t="n">
        <v>-0.2838633686690224</v>
      </c>
      <c r="J132" s="31" t="n">
        <v>58940</v>
      </c>
      <c r="K132" s="31" t="n">
        <v>53877.5</v>
      </c>
      <c r="L132" s="31" t="n">
        <v>55425</v>
      </c>
      <c r="M132" s="36" t="n">
        <v>0.4176835292754207</v>
      </c>
      <c r="N132" s="36" t="n">
        <v>0.3853693709562891</v>
      </c>
      <c r="O132" s="36" t="n">
        <v>0.09945750452079571</v>
      </c>
      <c r="P132" s="36" t="n">
        <v>0.1580952380952381</v>
      </c>
      <c r="Q132" s="36" t="n">
        <v>-0.0272</v>
      </c>
      <c r="R132" s="36" t="n">
        <v>0.0315575161180861</v>
      </c>
      <c r="S132" s="36" t="n">
        <v>0.1284859171268156</v>
      </c>
      <c r="T132" s="36" t="n">
        <v>0.0969778980604421</v>
      </c>
      <c r="U132" s="31" t="n">
        <v>77700</v>
      </c>
      <c r="V132" s="31" t="n">
        <v>36600</v>
      </c>
      <c r="W132" s="36" t="n">
        <v>-0.2175032175032175</v>
      </c>
      <c r="X132" s="36" t="n">
        <v>0.6612021857923498</v>
      </c>
      <c r="Y132" s="31" t="n">
        <v>43617167</v>
      </c>
      <c r="Z132" s="31" t="n">
        <v>2651923753600</v>
      </c>
      <c r="AA132" s="31" t="n">
        <v>14793977600</v>
      </c>
      <c r="AB132" s="31" t="n">
        <v>19828589125</v>
      </c>
      <c r="AC132" s="36" t="n">
        <v>0.005578583313308725</v>
      </c>
      <c r="AD132" s="29" t="inlineStr">
        <is>
          <t>yfinance_download</t>
        </is>
      </c>
      <c r="AE132" s="29" t="inlineStr">
        <is>
          <t>000990.KS</t>
        </is>
      </c>
    </row>
    <row r="133" ht="24" customHeight="1">
      <c r="A133" s="24" t="inlineStr">
        <is>
          <t>2023-12-18</t>
        </is>
      </c>
      <c r="B133" s="30" t="n">
        <v>60400</v>
      </c>
      <c r="C133" s="30" t="n">
        <v>60900</v>
      </c>
      <c r="D133" s="30" t="n">
        <v>60100</v>
      </c>
      <c r="E133" s="30" t="n">
        <v>60600</v>
      </c>
      <c r="F133" s="30" t="n">
        <v>57838.42578125</v>
      </c>
      <c r="G133" s="30" t="n">
        <v>161297</v>
      </c>
      <c r="H133" s="35" t="n">
        <v>-0.003289473684210509</v>
      </c>
      <c r="I133" s="35" t="n">
        <v>-0.2862190812720848</v>
      </c>
      <c r="J133" s="30" t="n">
        <v>59140</v>
      </c>
      <c r="K133" s="30" t="n">
        <v>54029.16666666666</v>
      </c>
      <c r="L133" s="30" t="n">
        <v>55401.66666666666</v>
      </c>
      <c r="M133" s="35" t="n">
        <v>0.4128013838506003</v>
      </c>
      <c r="N133" s="35" t="n">
        <v>0.3829100206462051</v>
      </c>
      <c r="O133" s="35" t="n">
        <v>0.07067137809187285</v>
      </c>
      <c r="P133" s="35" t="n">
        <v>0.1766990291262136</v>
      </c>
      <c r="Q133" s="35" t="n">
        <v>-0.04416403785488954</v>
      </c>
      <c r="R133" s="35" t="n">
        <v>0.02468718295569827</v>
      </c>
      <c r="S133" s="35" t="n">
        <v>0.1216164108891802</v>
      </c>
      <c r="T133" s="35" t="n">
        <v>0.09382990884750764</v>
      </c>
      <c r="U133" s="30" t="n">
        <v>77700</v>
      </c>
      <c r="V133" s="30" t="n">
        <v>36600</v>
      </c>
      <c r="W133" s="35" t="n">
        <v>-0.2200772200772201</v>
      </c>
      <c r="X133" s="35" t="n">
        <v>0.6557377049180328</v>
      </c>
      <c r="Y133" s="30" t="n">
        <v>43617167</v>
      </c>
      <c r="Z133" s="30" t="n">
        <v>2643200320200</v>
      </c>
      <c r="AA133" s="30" t="n">
        <v>9774598200</v>
      </c>
      <c r="AB133" s="30" t="n">
        <v>19596203905</v>
      </c>
      <c r="AC133" s="35" t="n">
        <v>0.003698016425505123</v>
      </c>
      <c r="AD133" s="24" t="inlineStr">
        <is>
          <t>yfinance_download</t>
        </is>
      </c>
      <c r="AE133" s="24" t="inlineStr">
        <is>
          <t>000990.KS</t>
        </is>
      </c>
    </row>
    <row r="134" ht="24" customHeight="1">
      <c r="A134" s="29" t="inlineStr">
        <is>
          <t>2023-12-19</t>
        </is>
      </c>
      <c r="B134" s="31" t="n">
        <v>60600</v>
      </c>
      <c r="C134" s="31" t="n">
        <v>61000</v>
      </c>
      <c r="D134" s="31" t="n">
        <v>59600</v>
      </c>
      <c r="E134" s="31" t="n">
        <v>59700</v>
      </c>
      <c r="F134" s="31" t="n">
        <v>56979.4375</v>
      </c>
      <c r="G134" s="31" t="n">
        <v>192372</v>
      </c>
      <c r="H134" s="36" t="n">
        <v>-0.01485148514851486</v>
      </c>
      <c r="I134" s="36" t="n">
        <v>-0.2968197879858657</v>
      </c>
      <c r="J134" s="31" t="n">
        <v>59315</v>
      </c>
      <c r="K134" s="31" t="n">
        <v>54177.5</v>
      </c>
      <c r="L134" s="31" t="n">
        <v>55366.66666666666</v>
      </c>
      <c r="M134" s="36" t="n">
        <v>0.4164122177940408</v>
      </c>
      <c r="N134" s="36" t="n">
        <v>0.3831516902654699</v>
      </c>
      <c r="O134" s="36" t="n">
        <v>0.06227758007117434</v>
      </c>
      <c r="P134" s="36" t="n">
        <v>0.1751968503937007</v>
      </c>
      <c r="Q134" s="36" t="n">
        <v>-0.06572769953051638</v>
      </c>
      <c r="R134" s="36" t="n">
        <v>0.00649076961982642</v>
      </c>
      <c r="S134" s="36" t="n">
        <v>0.1019334594619539</v>
      </c>
      <c r="T134" s="36" t="n">
        <v>0.07826610475617102</v>
      </c>
      <c r="U134" s="31" t="n">
        <v>77700</v>
      </c>
      <c r="V134" s="31" t="n">
        <v>36600</v>
      </c>
      <c r="W134" s="36" t="n">
        <v>-0.2316602316602316</v>
      </c>
      <c r="X134" s="36" t="n">
        <v>0.6311475409836065</v>
      </c>
      <c r="Y134" s="31" t="n">
        <v>43617167</v>
      </c>
      <c r="Z134" s="31" t="n">
        <v>2603944869900</v>
      </c>
      <c r="AA134" s="31" t="n">
        <v>11484608400</v>
      </c>
      <c r="AB134" s="31" t="n">
        <v>19683590585</v>
      </c>
      <c r="AC134" s="36" t="n">
        <v>0.004410465264743123</v>
      </c>
      <c r="AD134" s="29" t="inlineStr">
        <is>
          <t>yfinance_download</t>
        </is>
      </c>
      <c r="AE134" s="29" t="inlineStr">
        <is>
          <t>000990.KS</t>
        </is>
      </c>
    </row>
    <row r="135" ht="24" customHeight="1">
      <c r="A135" s="24" t="inlineStr">
        <is>
          <t>2023-12-20</t>
        </is>
      </c>
      <c r="B135" s="30" t="n">
        <v>60100</v>
      </c>
      <c r="C135" s="30" t="n">
        <v>60500</v>
      </c>
      <c r="D135" s="30" t="n">
        <v>58800</v>
      </c>
      <c r="E135" s="30" t="n">
        <v>59500</v>
      </c>
      <c r="F135" s="30" t="n">
        <v>56788.5546875</v>
      </c>
      <c r="G135" s="30" t="n">
        <v>292654</v>
      </c>
      <c r="H135" s="35" t="n">
        <v>-0.00335008375209378</v>
      </c>
      <c r="I135" s="35" t="n">
        <v>-0.2991755005889282</v>
      </c>
      <c r="J135" s="30" t="n">
        <v>59485</v>
      </c>
      <c r="K135" s="30" t="n">
        <v>54319.16666666666</v>
      </c>
      <c r="L135" s="30" t="n">
        <v>55340.83333333334</v>
      </c>
      <c r="M135" s="35" t="n">
        <v>0.4167058736299452</v>
      </c>
      <c r="N135" s="35" t="n">
        <v>0.3833647864152366</v>
      </c>
      <c r="O135" s="35" t="n">
        <v>0.06060606060606055</v>
      </c>
      <c r="P135" s="35" t="n">
        <v>0.1666666666666667</v>
      </c>
      <c r="Q135" s="35" t="n">
        <v>-0.04952076677316297</v>
      </c>
      <c r="R135" s="35" t="n">
        <v>0.0002521644111961319</v>
      </c>
      <c r="S135" s="35" t="n">
        <v>0.09537762913643122</v>
      </c>
      <c r="T135" s="35" t="n">
        <v>0.07515547591440908</v>
      </c>
      <c r="U135" s="30" t="n">
        <v>77700</v>
      </c>
      <c r="V135" s="30" t="n">
        <v>36600</v>
      </c>
      <c r="W135" s="35" t="n">
        <v>-0.2342342342342343</v>
      </c>
      <c r="X135" s="35" t="n">
        <v>0.6256830601092895</v>
      </c>
      <c r="Y135" s="30" t="n">
        <v>43617167</v>
      </c>
      <c r="Z135" s="30" t="n">
        <v>2595221436500</v>
      </c>
      <c r="AA135" s="30" t="n">
        <v>17412913000</v>
      </c>
      <c r="AB135" s="30" t="n">
        <v>20215324915</v>
      </c>
      <c r="AC135" s="35" t="n">
        <v>0.006709605876053344</v>
      </c>
      <c r="AD135" s="24" t="inlineStr">
        <is>
          <t>yfinance_download</t>
        </is>
      </c>
      <c r="AE135" s="24" t="inlineStr">
        <is>
          <t>000990.KS</t>
        </is>
      </c>
    </row>
    <row r="136" ht="24" customHeight="1">
      <c r="A136" s="29" t="inlineStr">
        <is>
          <t>2023-12-21</t>
        </is>
      </c>
      <c r="B136" s="31" t="n">
        <v>59200</v>
      </c>
      <c r="C136" s="31" t="n">
        <v>59500</v>
      </c>
      <c r="D136" s="31" t="n">
        <v>58300</v>
      </c>
      <c r="E136" s="31" t="n">
        <v>59000</v>
      </c>
      <c r="F136" s="31" t="n">
        <v>56311.3359375</v>
      </c>
      <c r="G136" s="31" t="n">
        <v>228265</v>
      </c>
      <c r="H136" s="36" t="n">
        <v>-0.008403361344537785</v>
      </c>
      <c r="I136" s="36" t="n">
        <v>-0.3050647820965842</v>
      </c>
      <c r="J136" s="31" t="n">
        <v>59645</v>
      </c>
      <c r="K136" s="31" t="n">
        <v>54485</v>
      </c>
      <c r="L136" s="31" t="n">
        <v>55308.33333333334</v>
      </c>
      <c r="M136" s="36" t="n">
        <v>0.4176838358850443</v>
      </c>
      <c r="N136" s="36" t="n">
        <v>0.3744791269471541</v>
      </c>
      <c r="O136" s="36" t="n">
        <v>0.05734767025089615</v>
      </c>
      <c r="P136" s="36" t="n">
        <v>0.2028542303771661</v>
      </c>
      <c r="Q136" s="36" t="n">
        <v>-0.06200317965023849</v>
      </c>
      <c r="R136" s="36" t="n">
        <v>-0.01081398273115941</v>
      </c>
      <c r="S136" s="36" t="n">
        <v>0.08286684408552802</v>
      </c>
      <c r="T136" s="36" t="n">
        <v>0.06674702425794776</v>
      </c>
      <c r="U136" s="31" t="n">
        <v>77700</v>
      </c>
      <c r="V136" s="31" t="n">
        <v>36600</v>
      </c>
      <c r="W136" s="36" t="n">
        <v>-0.2406692406692407</v>
      </c>
      <c r="X136" s="36" t="n">
        <v>0.6120218579234973</v>
      </c>
      <c r="Y136" s="31" t="n">
        <v>43617167</v>
      </c>
      <c r="Z136" s="31" t="n">
        <v>2573412853000</v>
      </c>
      <c r="AA136" s="31" t="n">
        <v>13467635000</v>
      </c>
      <c r="AB136" s="31" t="n">
        <v>20446762295</v>
      </c>
      <c r="AC136" s="36" t="n">
        <v>0.005233375198347935</v>
      </c>
      <c r="AD136" s="29" t="inlineStr">
        <is>
          <t>yfinance_download</t>
        </is>
      </c>
      <c r="AE136" s="29" t="inlineStr">
        <is>
          <t>000990.KS</t>
        </is>
      </c>
    </row>
    <row r="137" ht="24" customHeight="1">
      <c r="A137" s="24" t="inlineStr">
        <is>
          <t>2023-12-22</t>
        </is>
      </c>
      <c r="B137" s="30" t="n">
        <v>59600</v>
      </c>
      <c r="C137" s="30" t="n">
        <v>61200</v>
      </c>
      <c r="D137" s="30" t="n">
        <v>58600</v>
      </c>
      <c r="E137" s="30" t="n">
        <v>59400</v>
      </c>
      <c r="F137" s="30" t="n">
        <v>56693.109375</v>
      </c>
      <c r="G137" s="30" t="n">
        <v>638505</v>
      </c>
      <c r="H137" s="35" t="n">
        <v>0.006779661016949046</v>
      </c>
      <c r="I137" s="35" t="n">
        <v>-0.3003533568904594</v>
      </c>
      <c r="J137" s="30" t="n">
        <v>59795</v>
      </c>
      <c r="K137" s="30" t="n">
        <v>54651.66666666666</v>
      </c>
      <c r="L137" s="30" t="n">
        <v>55278.33333333334</v>
      </c>
      <c r="M137" s="35" t="n">
        <v>0.4169577208030393</v>
      </c>
      <c r="N137" s="35" t="n">
        <v>0.3744644856639012</v>
      </c>
      <c r="O137" s="35" t="n">
        <v>0.05319148936170204</v>
      </c>
      <c r="P137" s="35" t="n">
        <v>0.2024291497975708</v>
      </c>
      <c r="Q137" s="35" t="n">
        <v>-0.05714285714285716</v>
      </c>
      <c r="R137" s="35" t="n">
        <v>-0.006605903503637434</v>
      </c>
      <c r="S137" s="35" t="n">
        <v>0.08688359610868845</v>
      </c>
      <c r="T137" s="35" t="n">
        <v>0.0745620647028673</v>
      </c>
      <c r="U137" s="30" t="n">
        <v>77700</v>
      </c>
      <c r="V137" s="30" t="n">
        <v>36600</v>
      </c>
      <c r="W137" s="35" t="n">
        <v>-0.2355212355212355</v>
      </c>
      <c r="X137" s="35" t="n">
        <v>0.6229508196721312</v>
      </c>
      <c r="Y137" s="30" t="n">
        <v>43617167</v>
      </c>
      <c r="Z137" s="30" t="n">
        <v>2590859719800</v>
      </c>
      <c r="AA137" s="30" t="n">
        <v>37927197000</v>
      </c>
      <c r="AB137" s="30" t="n">
        <v>21981059525</v>
      </c>
      <c r="AC137" s="35" t="n">
        <v>0.01463884621392306</v>
      </c>
      <c r="AD137" s="24" t="inlineStr">
        <is>
          <t>yfinance_download</t>
        </is>
      </c>
      <c r="AE137" s="24" t="inlineStr">
        <is>
          <t>000990.KS</t>
        </is>
      </c>
    </row>
    <row r="138" ht="24" customHeight="1">
      <c r="A138" s="29" t="inlineStr">
        <is>
          <t>2023-12-26</t>
        </is>
      </c>
      <c r="B138" s="31" t="n">
        <v>59600</v>
      </c>
      <c r="C138" s="31" t="n">
        <v>60600</v>
      </c>
      <c r="D138" s="31" t="n">
        <v>58700</v>
      </c>
      <c r="E138" s="31" t="n">
        <v>59900</v>
      </c>
      <c r="F138" s="31" t="n">
        <v>57170.32421875</v>
      </c>
      <c r="G138" s="31" t="n">
        <v>400523</v>
      </c>
      <c r="H138" s="36" t="n">
        <v>0.008417508417508435</v>
      </c>
      <c r="I138" s="36" t="n">
        <v>-0.2944640753828033</v>
      </c>
      <c r="J138" s="31" t="n">
        <v>59790</v>
      </c>
      <c r="K138" s="31" t="n">
        <v>54823.33333333334</v>
      </c>
      <c r="L138" s="31" t="n">
        <v>55251.66666666666</v>
      </c>
      <c r="M138" s="36" t="n">
        <v>0.3507229814077356</v>
      </c>
      <c r="N138" s="36" t="n">
        <v>0.3746064131547028</v>
      </c>
      <c r="O138" s="36" t="n">
        <v>-0.001666666666666705</v>
      </c>
      <c r="P138" s="36" t="n">
        <v>0.2076612903225807</v>
      </c>
      <c r="Q138" s="36" t="n">
        <v>-0.05071315372424723</v>
      </c>
      <c r="R138" s="36" t="n">
        <v>0.00183977253721368</v>
      </c>
      <c r="S138" s="36" t="n">
        <v>0.09260047425062323</v>
      </c>
      <c r="T138" s="36" t="n">
        <v>0.08413019215106643</v>
      </c>
      <c r="U138" s="31" t="n">
        <v>77700</v>
      </c>
      <c r="V138" s="31" t="n">
        <v>36600</v>
      </c>
      <c r="W138" s="36" t="n">
        <v>-0.2290862290862291</v>
      </c>
      <c r="X138" s="36" t="n">
        <v>0.6366120218579234</v>
      </c>
      <c r="Y138" s="31" t="n">
        <v>43617167</v>
      </c>
      <c r="Z138" s="31" t="n">
        <v>2612668303300</v>
      </c>
      <c r="AA138" s="31" t="n">
        <v>23991327700</v>
      </c>
      <c r="AB138" s="31" t="n">
        <v>20196921910</v>
      </c>
      <c r="AC138" s="36" t="n">
        <v>0.009182691759875189</v>
      </c>
      <c r="AD138" s="29" t="inlineStr">
        <is>
          <t>yfinance_download</t>
        </is>
      </c>
      <c r="AE138" s="29" t="inlineStr">
        <is>
          <t>000990.KS</t>
        </is>
      </c>
    </row>
    <row r="139" ht="24" customHeight="1">
      <c r="A139" s="24" t="inlineStr">
        <is>
          <t>2023-12-27</t>
        </is>
      </c>
      <c r="B139" s="30" t="n">
        <v>59900</v>
      </c>
      <c r="C139" s="30" t="n">
        <v>60100</v>
      </c>
      <c r="D139" s="30" t="n">
        <v>56700</v>
      </c>
      <c r="E139" s="30" t="n">
        <v>57500</v>
      </c>
      <c r="F139" s="30" t="n">
        <v>55416.27734375</v>
      </c>
      <c r="G139" s="30" t="n">
        <v>632581</v>
      </c>
      <c r="H139" s="35" t="n">
        <v>-0.04006677796327207</v>
      </c>
      <c r="I139" s="35" t="n">
        <v>-0.3227326266195524</v>
      </c>
      <c r="J139" s="30" t="n">
        <v>59640</v>
      </c>
      <c r="K139" s="30" t="n">
        <v>54976.66666666666</v>
      </c>
      <c r="L139" s="30" t="n">
        <v>55208.33333333334</v>
      </c>
      <c r="M139" s="35" t="n">
        <v>0.3768436169610362</v>
      </c>
      <c r="N139" s="35" t="n">
        <v>0.3803207625433211</v>
      </c>
      <c r="O139" s="35" t="n">
        <v>-0.04958677685950408</v>
      </c>
      <c r="P139" s="35" t="n">
        <v>0.1904761904761905</v>
      </c>
      <c r="Q139" s="35" t="n">
        <v>-0.08293460925039875</v>
      </c>
      <c r="R139" s="35" t="n">
        <v>-0.03588195841716968</v>
      </c>
      <c r="S139" s="35" t="n">
        <v>0.04589825986782281</v>
      </c>
      <c r="T139" s="35" t="n">
        <v>0.04150943396226414</v>
      </c>
      <c r="U139" s="30" t="n">
        <v>77700</v>
      </c>
      <c r="V139" s="30" t="n">
        <v>36600</v>
      </c>
      <c r="W139" s="35" t="n">
        <v>-0.2599742599742599</v>
      </c>
      <c r="X139" s="35" t="n">
        <v>0.5710382513661203</v>
      </c>
      <c r="Y139" s="30" t="n">
        <v>43617167</v>
      </c>
      <c r="Z139" s="30" t="n">
        <v>2507987102500</v>
      </c>
      <c r="AA139" s="30" t="n">
        <v>36373407500</v>
      </c>
      <c r="AB139" s="30" t="n">
        <v>20937606310</v>
      </c>
      <c r="AC139" s="35" t="n">
        <v>0.0145030281311026</v>
      </c>
      <c r="AD139" s="24" t="inlineStr">
        <is>
          <t>yfinance_download</t>
        </is>
      </c>
      <c r="AE139" s="24" t="inlineStr">
        <is>
          <t>000990.KS</t>
        </is>
      </c>
    </row>
    <row r="140" ht="24" customHeight="1">
      <c r="A140" s="29" t="inlineStr">
        <is>
          <t>2023-12-28</t>
        </is>
      </c>
      <c r="B140" s="31" t="n">
        <v>57900</v>
      </c>
      <c r="C140" s="31" t="n">
        <v>59000</v>
      </c>
      <c r="D140" s="31" t="n">
        <v>57500</v>
      </c>
      <c r="E140" s="31" t="n">
        <v>58600</v>
      </c>
      <c r="F140" s="31" t="n">
        <v>56476.41796875</v>
      </c>
      <c r="G140" s="31" t="n">
        <v>2761180</v>
      </c>
      <c r="H140" s="36" t="n">
        <v>0.01913043478260867</v>
      </c>
      <c r="I140" s="36" t="n">
        <v>-0.3097762073027091</v>
      </c>
      <c r="J140" s="31" t="n">
        <v>59665</v>
      </c>
      <c r="K140" s="31" t="n">
        <v>55140</v>
      </c>
      <c r="L140" s="31" t="n">
        <v>55179.16666666666</v>
      </c>
      <c r="M140" s="36" t="n">
        <v>0.3567181319315447</v>
      </c>
      <c r="N140" s="36" t="n">
        <v>0.3814506767671794</v>
      </c>
      <c r="O140" s="36" t="n">
        <v>0.008605851979345935</v>
      </c>
      <c r="P140" s="36" t="n">
        <v>0.2008196721311475</v>
      </c>
      <c r="Q140" s="36" t="n">
        <v>-0.05636070853462161</v>
      </c>
      <c r="R140" s="36" t="n">
        <v>-0.01784966060504478</v>
      </c>
      <c r="S140" s="36" t="n">
        <v>0.06274936525208563</v>
      </c>
      <c r="T140" s="36" t="n">
        <v>0.06199501623499204</v>
      </c>
      <c r="U140" s="31" t="n">
        <v>77700</v>
      </c>
      <c r="V140" s="31" t="n">
        <v>36600</v>
      </c>
      <c r="W140" s="36" t="n">
        <v>-0.2458172458172458</v>
      </c>
      <c r="X140" s="36" t="n">
        <v>0.6010928961748634</v>
      </c>
      <c r="Y140" s="31" t="n">
        <v>43617167</v>
      </c>
      <c r="Z140" s="31" t="n">
        <v>2555965986200</v>
      </c>
      <c r="AA140" s="31" t="n">
        <v>161805148000</v>
      </c>
      <c r="AB140" s="31" t="n">
        <v>27907971685</v>
      </c>
      <c r="AC140" s="36" t="n">
        <v>0.06330489093892779</v>
      </c>
      <c r="AD140" s="29" t="inlineStr">
        <is>
          <t>yfinance_download</t>
        </is>
      </c>
      <c r="AE140" s="29" t="inlineStr">
        <is>
          <t>000990.KS</t>
        </is>
      </c>
    </row>
    <row r="141" ht="24" customHeight="1">
      <c r="A141" s="24" t="inlineStr">
        <is>
          <t>2024-01-02</t>
        </is>
      </c>
      <c r="B141" s="30" t="n">
        <v>57400</v>
      </c>
      <c r="C141" s="30" t="n">
        <v>57500</v>
      </c>
      <c r="D141" s="30" t="n">
        <v>54300</v>
      </c>
      <c r="E141" s="30" t="n">
        <v>54800</v>
      </c>
      <c r="F141" s="30" t="n">
        <v>52814.12109375</v>
      </c>
      <c r="G141" s="30" t="n">
        <v>1104640</v>
      </c>
      <c r="H141" s="35" t="n">
        <v>-0.06484641638225253</v>
      </c>
      <c r="I141" s="35" t="n">
        <v>-0.3545347467608951</v>
      </c>
      <c r="J141" s="30" t="n">
        <v>59310</v>
      </c>
      <c r="K141" s="30" t="n">
        <v>55247.5</v>
      </c>
      <c r="L141" s="30" t="n">
        <v>55112.5</v>
      </c>
      <c r="M141" s="35" t="n">
        <v>0.3425392628463947</v>
      </c>
      <c r="N141" s="35" t="n">
        <v>0.4055453187301108</v>
      </c>
      <c r="O141" s="35" t="n">
        <v>-0.1147011308562197</v>
      </c>
      <c r="P141" s="35" t="n">
        <v>0.1334022750775594</v>
      </c>
      <c r="Q141" s="35" t="n">
        <v>-0.1273885350318471</v>
      </c>
      <c r="R141" s="35" t="n">
        <v>-0.07604113977406846</v>
      </c>
      <c r="S141" s="35" t="n">
        <v>-0.008099914023258936</v>
      </c>
      <c r="T141" s="35" t="n">
        <v>-0.005670220004536208</v>
      </c>
      <c r="U141" s="30" t="n">
        <v>77700</v>
      </c>
      <c r="V141" s="30" t="n">
        <v>36600</v>
      </c>
      <c r="W141" s="35" t="n">
        <v>-0.2947232947232947</v>
      </c>
      <c r="X141" s="35" t="n">
        <v>0.4972677595628416</v>
      </c>
      <c r="Y141" s="30" t="n">
        <v>43617167</v>
      </c>
      <c r="Z141" s="30" t="n">
        <v>2390220751600</v>
      </c>
      <c r="AA141" s="30" t="n">
        <v>60534272000</v>
      </c>
      <c r="AB141" s="30" t="n">
        <v>28110339940</v>
      </c>
      <c r="AC141" s="35" t="n">
        <v>0.02532580807001977</v>
      </c>
      <c r="AD141" s="24" t="inlineStr">
        <is>
          <t>yfinance_download</t>
        </is>
      </c>
      <c r="AE141" s="24" t="inlineStr">
        <is>
          <t>000990.KS</t>
        </is>
      </c>
    </row>
    <row r="142" ht="24" customHeight="1">
      <c r="A142" s="29" t="inlineStr">
        <is>
          <t>2024-01-03</t>
        </is>
      </c>
      <c r="B142" s="31" t="n">
        <v>53900</v>
      </c>
      <c r="C142" s="31" t="n">
        <v>54500</v>
      </c>
      <c r="D142" s="31" t="n">
        <v>52400</v>
      </c>
      <c r="E142" s="31" t="n">
        <v>52500</v>
      </c>
      <c r="F142" s="31" t="n">
        <v>50597.47265625</v>
      </c>
      <c r="G142" s="31" t="n">
        <v>843708</v>
      </c>
      <c r="H142" s="36" t="n">
        <v>-0.04197080291970801</v>
      </c>
      <c r="I142" s="36" t="n">
        <v>-0.3816254416961131</v>
      </c>
      <c r="J142" s="31" t="n">
        <v>58955</v>
      </c>
      <c r="K142" s="31" t="n">
        <v>55305</v>
      </c>
      <c r="L142" s="31" t="n">
        <v>55049.16666666666</v>
      </c>
      <c r="M142" s="36" t="n">
        <v>0.3487455195369742</v>
      </c>
      <c r="N142" s="36" t="n">
        <v>0.4147655798236657</v>
      </c>
      <c r="O142" s="36" t="n">
        <v>-0.1191275167785235</v>
      </c>
      <c r="P142" s="36" t="n">
        <v>0.07033639143730896</v>
      </c>
      <c r="Q142" s="36" t="n">
        <v>-0.1264559068219634</v>
      </c>
      <c r="R142" s="36" t="n">
        <v>-0.1094902892036299</v>
      </c>
      <c r="S142" s="36" t="n">
        <v>-0.05071874152427447</v>
      </c>
      <c r="T142" s="36" t="n">
        <v>-0.04630708911730419</v>
      </c>
      <c r="U142" s="31" t="n">
        <v>77700</v>
      </c>
      <c r="V142" s="31" t="n">
        <v>36600</v>
      </c>
      <c r="W142" s="36" t="n">
        <v>-0.3243243243243243</v>
      </c>
      <c r="X142" s="36" t="n">
        <v>0.4344262295081966</v>
      </c>
      <c r="Y142" s="31" t="n">
        <v>43617167</v>
      </c>
      <c r="Z142" s="31" t="n">
        <v>2289901267500</v>
      </c>
      <c r="AA142" s="31" t="n">
        <v>44294670000</v>
      </c>
      <c r="AB142" s="31" t="n">
        <v>29296285060</v>
      </c>
      <c r="AC142" s="36" t="n">
        <v>0.01934348464218228</v>
      </c>
      <c r="AD142" s="29" t="inlineStr">
        <is>
          <t>yfinance_download</t>
        </is>
      </c>
      <c r="AE142" s="29" t="inlineStr">
        <is>
          <t>000990.KS</t>
        </is>
      </c>
    </row>
    <row r="143" ht="24" customHeight="1">
      <c r="A143" s="24" t="inlineStr">
        <is>
          <t>2024-01-04</t>
        </is>
      </c>
      <c r="B143" s="30" t="n">
        <v>51900</v>
      </c>
      <c r="C143" s="30" t="n">
        <v>53000</v>
      </c>
      <c r="D143" s="30" t="n">
        <v>51900</v>
      </c>
      <c r="E143" s="30" t="n">
        <v>52000</v>
      </c>
      <c r="F143" s="30" t="n">
        <v>50115.58984375</v>
      </c>
      <c r="G143" s="30" t="n">
        <v>379232</v>
      </c>
      <c r="H143" s="35" t="n">
        <v>-0.00952380952380949</v>
      </c>
      <c r="I143" s="35" t="n">
        <v>-0.3875147232037691</v>
      </c>
      <c r="J143" s="30" t="n">
        <v>58580</v>
      </c>
      <c r="K143" s="30" t="n">
        <v>55342.5</v>
      </c>
      <c r="L143" s="30" t="n">
        <v>54991.66666666666</v>
      </c>
      <c r="M143" s="35" t="n">
        <v>0.3485417003179698</v>
      </c>
      <c r="N143" s="35" t="n">
        <v>0.4144950498824963</v>
      </c>
      <c r="O143" s="35" t="n">
        <v>-0.1260504201680672</v>
      </c>
      <c r="P143" s="35" t="n">
        <v>0.04522613065326642</v>
      </c>
      <c r="Q143" s="35" t="n">
        <v>-0.1171477079796265</v>
      </c>
      <c r="R143" s="35" t="n">
        <v>-0.1123250256060089</v>
      </c>
      <c r="S143" s="35" t="n">
        <v>-0.06039662104169485</v>
      </c>
      <c r="T143" s="35" t="n">
        <v>-0.05440218214881043</v>
      </c>
      <c r="U143" s="30" t="n">
        <v>77700</v>
      </c>
      <c r="V143" s="30" t="n">
        <v>36600</v>
      </c>
      <c r="W143" s="35" t="n">
        <v>-0.3307593307593307</v>
      </c>
      <c r="X143" s="35" t="n">
        <v>0.4207650273224044</v>
      </c>
      <c r="Y143" s="30" t="n">
        <v>43617167</v>
      </c>
      <c r="Z143" s="30" t="n">
        <v>2268092684000</v>
      </c>
      <c r="AA143" s="30" t="n">
        <v>19720064000</v>
      </c>
      <c r="AB143" s="30" t="n">
        <v>29515300535</v>
      </c>
      <c r="AC143" s="35" t="n">
        <v>0.008694558268766058</v>
      </c>
      <c r="AD143" s="24" t="inlineStr">
        <is>
          <t>yfinance_download</t>
        </is>
      </c>
      <c r="AE143" s="24" t="inlineStr">
        <is>
          <t>000990.KS</t>
        </is>
      </c>
    </row>
    <row r="144" ht="24" customHeight="1">
      <c r="A144" s="29" t="inlineStr">
        <is>
          <t>2024-01-05</t>
        </is>
      </c>
      <c r="B144" s="31" t="n">
        <v>51800</v>
      </c>
      <c r="C144" s="31" t="n">
        <v>52300</v>
      </c>
      <c r="D144" s="31" t="n">
        <v>51600</v>
      </c>
      <c r="E144" s="31" t="n">
        <v>51800</v>
      </c>
      <c r="F144" s="31" t="n">
        <v>49922.83984375</v>
      </c>
      <c r="G144" s="31" t="n">
        <v>245977</v>
      </c>
      <c r="H144" s="36" t="n">
        <v>-0.003846153846153832</v>
      </c>
      <c r="I144" s="36" t="n">
        <v>-0.3898704358068316</v>
      </c>
      <c r="J144" s="31" t="n">
        <v>58230</v>
      </c>
      <c r="K144" s="31" t="n">
        <v>55379.16666666666</v>
      </c>
      <c r="L144" s="31" t="n">
        <v>54939.16666666666</v>
      </c>
      <c r="M144" s="36" t="n">
        <v>0.3480823108477762</v>
      </c>
      <c r="N144" s="36" t="n">
        <v>0.4145335461285353</v>
      </c>
      <c r="O144" s="36" t="n">
        <v>-0.1190476190476191</v>
      </c>
      <c r="P144" s="36" t="n">
        <v>0.04435483870967749</v>
      </c>
      <c r="Q144" s="36" t="n">
        <v>-0.1084337349397591</v>
      </c>
      <c r="R144" s="36" t="n">
        <v>-0.1104241799759574</v>
      </c>
      <c r="S144" s="36" t="n">
        <v>-0.06463020088781879</v>
      </c>
      <c r="T144" s="36" t="n">
        <v>-0.05713895672486236</v>
      </c>
      <c r="U144" s="31" t="n">
        <v>77700</v>
      </c>
      <c r="V144" s="31" t="n">
        <v>36600</v>
      </c>
      <c r="W144" s="36" t="n">
        <v>-0.3333333333333334</v>
      </c>
      <c r="X144" s="36" t="n">
        <v>0.4153005464480874</v>
      </c>
      <c r="Y144" s="31" t="n">
        <v>43617167</v>
      </c>
      <c r="Z144" s="31" t="n">
        <v>2259369250600</v>
      </c>
      <c r="AA144" s="31" t="n">
        <v>12741608600</v>
      </c>
      <c r="AB144" s="31" t="n">
        <v>29187161325</v>
      </c>
      <c r="AC144" s="36" t="n">
        <v>0.005639453841649092</v>
      </c>
      <c r="AD144" s="29" t="inlineStr">
        <is>
          <t>yfinance_download</t>
        </is>
      </c>
      <c r="AE144" s="29" t="inlineStr">
        <is>
          <t>000990.KS</t>
        </is>
      </c>
    </row>
    <row r="145" ht="24" customHeight="1">
      <c r="A145" s="24" t="inlineStr">
        <is>
          <t>2024-01-08</t>
        </is>
      </c>
      <c r="B145" s="30" t="n">
        <v>51700</v>
      </c>
      <c r="C145" s="30" t="n">
        <v>52300</v>
      </c>
      <c r="D145" s="30" t="n">
        <v>51200</v>
      </c>
      <c r="E145" s="30" t="n">
        <v>51300</v>
      </c>
      <c r="F145" s="30" t="n">
        <v>49440.95703125</v>
      </c>
      <c r="G145" s="30" t="n">
        <v>220662</v>
      </c>
      <c r="H145" s="35" t="n">
        <v>-0.009652509652509633</v>
      </c>
      <c r="I145" s="35" t="n">
        <v>-0.3957597173144877</v>
      </c>
      <c r="J145" s="30" t="n">
        <v>57860</v>
      </c>
      <c r="K145" s="30" t="n">
        <v>55382.5</v>
      </c>
      <c r="L145" s="30" t="n">
        <v>54874.16666666666</v>
      </c>
      <c r="M145" s="35" t="n">
        <v>0.3478986135095281</v>
      </c>
      <c r="N145" s="35" t="n">
        <v>0.4105811763259561</v>
      </c>
      <c r="O145" s="35" t="n">
        <v>-0.1260647359454855</v>
      </c>
      <c r="P145" s="35" t="n">
        <v>0.00391389432485334</v>
      </c>
      <c r="Q145" s="35" t="n">
        <v>-0.131979695431472</v>
      </c>
      <c r="R145" s="35" t="n">
        <v>-0.1133771171793986</v>
      </c>
      <c r="S145" s="35" t="n">
        <v>-0.07371462104455373</v>
      </c>
      <c r="T145" s="35" t="n">
        <v>-0.06513386687724942</v>
      </c>
      <c r="U145" s="30" t="n">
        <v>77700</v>
      </c>
      <c r="V145" s="30" t="n">
        <v>36600</v>
      </c>
      <c r="W145" s="35" t="n">
        <v>-0.3397683397683398</v>
      </c>
      <c r="X145" s="35" t="n">
        <v>0.401639344262295</v>
      </c>
      <c r="Y145" s="30" t="n">
        <v>43617167</v>
      </c>
      <c r="Z145" s="30" t="n">
        <v>2237560667100</v>
      </c>
      <c r="AA145" s="30" t="n">
        <v>11319960600</v>
      </c>
      <c r="AB145" s="30" t="n">
        <v>29038070085</v>
      </c>
      <c r="AC145" s="35" t="n">
        <v>0.005059063097793582</v>
      </c>
      <c r="AD145" s="24" t="inlineStr">
        <is>
          <t>yfinance_download</t>
        </is>
      </c>
      <c r="AE145" s="24" t="inlineStr">
        <is>
          <t>000990.KS</t>
        </is>
      </c>
    </row>
    <row r="146" ht="24" customHeight="1">
      <c r="A146" s="29" t="inlineStr">
        <is>
          <t>2024-01-09</t>
        </is>
      </c>
      <c r="B146" s="31" t="n">
        <v>52300</v>
      </c>
      <c r="C146" s="31" t="n">
        <v>52800</v>
      </c>
      <c r="D146" s="31" t="n">
        <v>51300</v>
      </c>
      <c r="E146" s="31" t="n">
        <v>51900</v>
      </c>
      <c r="F146" s="31" t="n">
        <v>50019.2109375</v>
      </c>
      <c r="G146" s="31" t="n">
        <v>267944</v>
      </c>
      <c r="H146" s="36" t="n">
        <v>0.01169590643274865</v>
      </c>
      <c r="I146" s="36" t="n">
        <v>-0.3886925795053003</v>
      </c>
      <c r="J146" s="31" t="n">
        <v>57460</v>
      </c>
      <c r="K146" s="31" t="n">
        <v>55380.83333333334</v>
      </c>
      <c r="L146" s="31" t="n">
        <v>54796.66666666666</v>
      </c>
      <c r="M146" s="36" t="n">
        <v>0.3402209556308958</v>
      </c>
      <c r="N146" s="36" t="n">
        <v>0.4096994235961857</v>
      </c>
      <c r="O146" s="36" t="n">
        <v>-0.1335559265442404</v>
      </c>
      <c r="P146" s="36" t="n">
        <v>-0.001923076923076916</v>
      </c>
      <c r="Q146" s="36" t="n">
        <v>-0.1519607843137255</v>
      </c>
      <c r="R146" s="36" t="n">
        <v>-0.09676296554124608</v>
      </c>
      <c r="S146" s="36" t="n">
        <v>-0.06285267165234665</v>
      </c>
      <c r="T146" s="36" t="n">
        <v>-0.05286209623456406</v>
      </c>
      <c r="U146" s="31" t="n">
        <v>77700</v>
      </c>
      <c r="V146" s="31" t="n">
        <v>36600</v>
      </c>
      <c r="W146" s="36" t="n">
        <v>-0.332046332046332</v>
      </c>
      <c r="X146" s="36" t="n">
        <v>0.4180327868852458</v>
      </c>
      <c r="Y146" s="31" t="n">
        <v>43617167</v>
      </c>
      <c r="Z146" s="31" t="n">
        <v>2263730967300</v>
      </c>
      <c r="AA146" s="31" t="n">
        <v>13906293600</v>
      </c>
      <c r="AB146" s="31" t="n">
        <v>28715414215</v>
      </c>
      <c r="AC146" s="36" t="n">
        <v>0.006143085817563529</v>
      </c>
      <c r="AD146" s="29" t="inlineStr">
        <is>
          <t>yfinance_download</t>
        </is>
      </c>
      <c r="AE146" s="29" t="inlineStr">
        <is>
          <t>000990.KS</t>
        </is>
      </c>
    </row>
    <row r="147" ht="24" customHeight="1">
      <c r="A147" s="24" t="inlineStr">
        <is>
          <t>2024-01-10</t>
        </is>
      </c>
      <c r="B147" s="30" t="n">
        <v>51900</v>
      </c>
      <c r="C147" s="30" t="n">
        <v>52800</v>
      </c>
      <c r="D147" s="30" t="n">
        <v>51800</v>
      </c>
      <c r="E147" s="30" t="n">
        <v>52800</v>
      </c>
      <c r="F147" s="30" t="n">
        <v>50886.6015625</v>
      </c>
      <c r="G147" s="30" t="n">
        <v>188899</v>
      </c>
      <c r="H147" s="35" t="n">
        <v>0.01734104046242768</v>
      </c>
      <c r="I147" s="35" t="n">
        <v>-0.3780918727915195</v>
      </c>
      <c r="J147" s="30" t="n">
        <v>57150</v>
      </c>
      <c r="K147" s="30" t="n">
        <v>55409.16666666666</v>
      </c>
      <c r="L147" s="30" t="n">
        <v>54730.83333333334</v>
      </c>
      <c r="M147" s="35" t="n">
        <v>0.3492706811325193</v>
      </c>
      <c r="N147" s="35" t="n">
        <v>0.4094947791623334</v>
      </c>
      <c r="O147" s="35" t="n">
        <v>-0.1050847457627119</v>
      </c>
      <c r="P147" s="35" t="n">
        <v>0.03326810176125239</v>
      </c>
      <c r="Q147" s="35" t="n">
        <v>-0.1301482701812191</v>
      </c>
      <c r="R147" s="35" t="n">
        <v>-0.07611548556430447</v>
      </c>
      <c r="S147" s="35" t="n">
        <v>-0.04708907972507548</v>
      </c>
      <c r="T147" s="35" t="n">
        <v>-0.03527871248686754</v>
      </c>
      <c r="U147" s="30" t="n">
        <v>77700</v>
      </c>
      <c r="V147" s="30" t="n">
        <v>36600</v>
      </c>
      <c r="W147" s="35" t="n">
        <v>-0.3204633204633205</v>
      </c>
      <c r="X147" s="35" t="n">
        <v>0.4426229508196722</v>
      </c>
      <c r="Y147" s="30" t="n">
        <v>43617167</v>
      </c>
      <c r="Z147" s="30" t="n">
        <v>2302986417600</v>
      </c>
      <c r="AA147" s="30" t="n">
        <v>9973867200</v>
      </c>
      <c r="AB147" s="30" t="n">
        <v>28598843775</v>
      </c>
      <c r="AC147" s="35" t="n">
        <v>0.004330840652718229</v>
      </c>
      <c r="AD147" s="24" t="inlineStr">
        <is>
          <t>yfinance_download</t>
        </is>
      </c>
      <c r="AE147" s="24" t="inlineStr">
        <is>
          <t>000990.KS</t>
        </is>
      </c>
    </row>
    <row r="148" ht="24" customHeight="1">
      <c r="A148" s="29" t="inlineStr">
        <is>
          <t>2024-01-11</t>
        </is>
      </c>
      <c r="B148" s="31" t="n">
        <v>53000</v>
      </c>
      <c r="C148" s="31" t="n">
        <v>53300</v>
      </c>
      <c r="D148" s="31" t="n">
        <v>52000</v>
      </c>
      <c r="E148" s="31" t="n">
        <v>52800</v>
      </c>
      <c r="F148" s="31" t="n">
        <v>50886.6015625</v>
      </c>
      <c r="G148" s="31" t="n">
        <v>312510</v>
      </c>
      <c r="H148" s="36" t="n">
        <v>0</v>
      </c>
      <c r="I148" s="36" t="n">
        <v>-0.3780918727915195</v>
      </c>
      <c r="J148" s="31" t="n">
        <v>56845</v>
      </c>
      <c r="K148" s="31" t="n">
        <v>55442.5</v>
      </c>
      <c r="L148" s="31" t="n">
        <v>54665</v>
      </c>
      <c r="M148" s="36" t="n">
        <v>0.3495544510033527</v>
      </c>
      <c r="N148" s="36" t="n">
        <v>0.4092585789639749</v>
      </c>
      <c r="O148" s="36" t="n">
        <v>-0.1035653650254669</v>
      </c>
      <c r="P148" s="36" t="n">
        <v>0.03937007874015741</v>
      </c>
      <c r="Q148" s="36" t="n">
        <v>-0.1301482701812191</v>
      </c>
      <c r="R148" s="36" t="n">
        <v>-0.07115841322895589</v>
      </c>
      <c r="S148" s="36" t="n">
        <v>-0.04766199215403344</v>
      </c>
      <c r="T148" s="36" t="n">
        <v>-0.03411689380773808</v>
      </c>
      <c r="U148" s="31" t="n">
        <v>77700</v>
      </c>
      <c r="V148" s="31" t="n">
        <v>37500</v>
      </c>
      <c r="W148" s="36" t="n">
        <v>-0.3204633204633205</v>
      </c>
      <c r="X148" s="36" t="n">
        <v>0.4079999999999999</v>
      </c>
      <c r="Y148" s="31" t="n">
        <v>43617167</v>
      </c>
      <c r="Z148" s="31" t="n">
        <v>2302986417600</v>
      </c>
      <c r="AA148" s="31" t="n">
        <v>16500528000</v>
      </c>
      <c r="AB148" s="31" t="n">
        <v>29046530270</v>
      </c>
      <c r="AC148" s="36" t="n">
        <v>0.007164839477080205</v>
      </c>
      <c r="AD148" s="29" t="inlineStr">
        <is>
          <t>yfinance_download</t>
        </is>
      </c>
      <c r="AE148" s="29" t="inlineStr">
        <is>
          <t>000990.KS</t>
        </is>
      </c>
    </row>
    <row r="149" ht="24" customHeight="1">
      <c r="A149" s="24" t="inlineStr">
        <is>
          <t>2024-01-12</t>
        </is>
      </c>
      <c r="B149" s="30" t="n">
        <v>53000</v>
      </c>
      <c r="C149" s="30" t="n">
        <v>53200</v>
      </c>
      <c r="D149" s="30" t="n">
        <v>51300</v>
      </c>
      <c r="E149" s="30" t="n">
        <v>51900</v>
      </c>
      <c r="F149" s="30" t="n">
        <v>50019.2109375</v>
      </c>
      <c r="G149" s="30" t="n">
        <v>232867</v>
      </c>
      <c r="H149" s="35" t="n">
        <v>-0.01704545454545459</v>
      </c>
      <c r="I149" s="35" t="n">
        <v>-0.3886925795053003</v>
      </c>
      <c r="J149" s="30" t="n">
        <v>56425</v>
      </c>
      <c r="K149" s="30" t="n">
        <v>55430.83333333334</v>
      </c>
      <c r="L149" s="30" t="n">
        <v>54591.66666666666</v>
      </c>
      <c r="M149" s="35" t="n">
        <v>0.3343605102578183</v>
      </c>
      <c r="N149" s="35" t="n">
        <v>0.404486988239403</v>
      </c>
      <c r="O149" s="35" t="n">
        <v>-0.1393034825870647</v>
      </c>
      <c r="P149" s="35" t="n">
        <v>-0.01330798479087447</v>
      </c>
      <c r="Q149" s="35" t="n">
        <v>-0.1449752883031301</v>
      </c>
      <c r="R149" s="35" t="n">
        <v>-0.08019494904740809</v>
      </c>
      <c r="S149" s="35" t="n">
        <v>-0.06369800201452269</v>
      </c>
      <c r="T149" s="35" t="n">
        <v>-0.04930544954968707</v>
      </c>
      <c r="U149" s="30" t="n">
        <v>77700</v>
      </c>
      <c r="V149" s="30" t="n">
        <v>39450</v>
      </c>
      <c r="W149" s="35" t="n">
        <v>-0.332046332046332</v>
      </c>
      <c r="X149" s="35" t="n">
        <v>0.3155893536121672</v>
      </c>
      <c r="Y149" s="30" t="n">
        <v>43617167</v>
      </c>
      <c r="Z149" s="30" t="n">
        <v>2263730967300</v>
      </c>
      <c r="AA149" s="30" t="n">
        <v>12085797300</v>
      </c>
      <c r="AB149" s="30" t="n">
        <v>28460006690</v>
      </c>
      <c r="AC149" s="35" t="n">
        <v>0.005338884114137903</v>
      </c>
      <c r="AD149" s="24" t="inlineStr">
        <is>
          <t>yfinance_download</t>
        </is>
      </c>
      <c r="AE149" s="24" t="inlineStr">
        <is>
          <t>000990.KS</t>
        </is>
      </c>
    </row>
    <row r="150" ht="24" customHeight="1">
      <c r="A150" s="29" t="inlineStr">
        <is>
          <t>2024-01-15</t>
        </is>
      </c>
      <c r="B150" s="31" t="n">
        <v>51800</v>
      </c>
      <c r="C150" s="31" t="n">
        <v>52100</v>
      </c>
      <c r="D150" s="31" t="n">
        <v>51200</v>
      </c>
      <c r="E150" s="31" t="n">
        <v>51300</v>
      </c>
      <c r="F150" s="31" t="n">
        <v>49440.95703125</v>
      </c>
      <c r="G150" s="31" t="n">
        <v>27668</v>
      </c>
      <c r="H150" s="36" t="n">
        <v>-0.01156069364161849</v>
      </c>
      <c r="I150" s="36" t="n">
        <v>-0.3957597173144877</v>
      </c>
      <c r="J150" s="31" t="n">
        <v>55965</v>
      </c>
      <c r="K150" s="31" t="n">
        <v>55409.16666666666</v>
      </c>
      <c r="L150" s="31" t="n">
        <v>54513.33333333334</v>
      </c>
      <c r="M150" s="36" t="n">
        <v>0.332284715733064</v>
      </c>
      <c r="N150" s="36" t="n">
        <v>0.405191850221305</v>
      </c>
      <c r="O150" s="36" t="n">
        <v>-0.1520661157024793</v>
      </c>
      <c r="P150" s="36" t="n">
        <v>-0.02471482889733845</v>
      </c>
      <c r="Q150" s="36" t="n">
        <v>-0.1548599670510709</v>
      </c>
      <c r="R150" s="36" t="n">
        <v>-0.08335566872152234</v>
      </c>
      <c r="S150" s="36" t="n">
        <v>-0.07416041268743134</v>
      </c>
      <c r="T150" s="36" t="n">
        <v>-0.05894582365170609</v>
      </c>
      <c r="U150" s="31" t="n">
        <v>77700</v>
      </c>
      <c r="V150" s="31" t="n">
        <v>39450</v>
      </c>
      <c r="W150" s="36" t="n">
        <v>-0.3397683397683398</v>
      </c>
      <c r="X150" s="36" t="n">
        <v>0.3003802281368821</v>
      </c>
      <c r="Y150" s="31" t="n">
        <v>43617167</v>
      </c>
      <c r="Z150" s="31" t="n">
        <v>2237560667100</v>
      </c>
      <c r="AA150" s="31" t="n">
        <v>1419368400</v>
      </c>
      <c r="AB150" s="31" t="n">
        <v>27571514685</v>
      </c>
      <c r="AC150" s="36" t="n">
        <v>0.000634337392889364</v>
      </c>
      <c r="AD150" s="29" t="inlineStr">
        <is>
          <t>yfinance_download</t>
        </is>
      </c>
      <c r="AE150" s="29" t="inlineStr">
        <is>
          <t>000990.KS</t>
        </is>
      </c>
    </row>
    <row r="151" ht="24" customHeight="1">
      <c r="A151" s="24" t="inlineStr">
        <is>
          <t>2024-01-16</t>
        </is>
      </c>
      <c r="B151" s="30" t="n">
        <v>51200</v>
      </c>
      <c r="C151" s="30" t="n">
        <v>51600</v>
      </c>
      <c r="D151" s="30" t="n">
        <v>50400</v>
      </c>
      <c r="E151" s="30" t="n">
        <v>50500</v>
      </c>
      <c r="F151" s="30" t="n">
        <v>48669.94921875</v>
      </c>
      <c r="G151" s="30" t="n">
        <v>180479</v>
      </c>
      <c r="H151" s="35" t="n">
        <v>-0.01559454191033138</v>
      </c>
      <c r="I151" s="35" t="n">
        <v>-0.4051825677267373</v>
      </c>
      <c r="J151" s="30" t="n">
        <v>55430</v>
      </c>
      <c r="K151" s="30" t="n">
        <v>55402.5</v>
      </c>
      <c r="L151" s="30" t="n">
        <v>54428.33333333334</v>
      </c>
      <c r="M151" s="35" t="n">
        <v>0.3249749816904904</v>
      </c>
      <c r="N151" s="35" t="n">
        <v>0.4009385821872832</v>
      </c>
      <c r="O151" s="35" t="n">
        <v>-0.1748366013071896</v>
      </c>
      <c r="P151" s="35" t="n">
        <v>-0.007858546168958758</v>
      </c>
      <c r="Q151" s="35" t="n">
        <v>-0.1680395387149918</v>
      </c>
      <c r="R151" s="35" t="n">
        <v>-0.08894100667508564</v>
      </c>
      <c r="S151" s="35" t="n">
        <v>-0.08848878660710258</v>
      </c>
      <c r="T151" s="35" t="n">
        <v>-0.07217441896071286</v>
      </c>
      <c r="U151" s="30" t="n">
        <v>77700</v>
      </c>
      <c r="V151" s="30" t="n">
        <v>42000</v>
      </c>
      <c r="W151" s="35" t="n">
        <v>-0.3500643500643501</v>
      </c>
      <c r="X151" s="35" t="n">
        <v>0.2023809523809523</v>
      </c>
      <c r="Y151" s="30" t="n">
        <v>43617167</v>
      </c>
      <c r="Z151" s="30" t="n">
        <v>2202666933500</v>
      </c>
      <c r="AA151" s="30" t="n">
        <v>9114189500</v>
      </c>
      <c r="AB151" s="30" t="n">
        <v>26932071580</v>
      </c>
      <c r="AC151" s="35" t="n">
        <v>0.004137797395232019</v>
      </c>
      <c r="AD151" s="24" t="inlineStr">
        <is>
          <t>yfinance_download</t>
        </is>
      </c>
      <c r="AE151" s="24" t="inlineStr">
        <is>
          <t>000990.KS</t>
        </is>
      </c>
    </row>
    <row r="152" ht="24" customHeight="1">
      <c r="A152" s="29" t="inlineStr">
        <is>
          <t>2024-01-17</t>
        </is>
      </c>
      <c r="B152" s="31" t="n">
        <v>50900</v>
      </c>
      <c r="C152" s="31" t="n">
        <v>51400</v>
      </c>
      <c r="D152" s="31" t="n">
        <v>49700</v>
      </c>
      <c r="E152" s="31" t="n">
        <v>49800</v>
      </c>
      <c r="F152" s="31" t="n">
        <v>47995.31640625</v>
      </c>
      <c r="G152" s="31" t="n">
        <v>230048</v>
      </c>
      <c r="H152" s="36" t="n">
        <v>-0.01386138613861387</v>
      </c>
      <c r="I152" s="36" t="n">
        <v>-0.4134275618374559</v>
      </c>
      <c r="J152" s="31" t="n">
        <v>54880</v>
      </c>
      <c r="K152" s="31" t="n">
        <v>55395.83333333334</v>
      </c>
      <c r="L152" s="31" t="n">
        <v>54337.5</v>
      </c>
      <c r="M152" s="36" t="n">
        <v>0.3251713120381897</v>
      </c>
      <c r="N152" s="36" t="n">
        <v>0.4009548129296678</v>
      </c>
      <c r="O152" s="36" t="n">
        <v>-0.180921052631579</v>
      </c>
      <c r="P152" s="36" t="n">
        <v>-0.007968127490039834</v>
      </c>
      <c r="Q152" s="36" t="n">
        <v>-0.1795716639209226</v>
      </c>
      <c r="R152" s="36" t="n">
        <v>-0.0925655976676385</v>
      </c>
      <c r="S152" s="36" t="n">
        <v>-0.1010154193305755</v>
      </c>
      <c r="T152" s="36" t="n">
        <v>-0.08350586611456179</v>
      </c>
      <c r="U152" s="31" t="n">
        <v>77700</v>
      </c>
      <c r="V152" s="31" t="n">
        <v>42750</v>
      </c>
      <c r="W152" s="36" t="n">
        <v>-0.359073359073359</v>
      </c>
      <c r="X152" s="36" t="n">
        <v>0.1649122807017545</v>
      </c>
      <c r="Y152" s="31" t="n">
        <v>43617167</v>
      </c>
      <c r="Z152" s="31" t="n">
        <v>2172134916600</v>
      </c>
      <c r="AA152" s="31" t="n">
        <v>11456390400</v>
      </c>
      <c r="AB152" s="31" t="n">
        <v>26765192220</v>
      </c>
      <c r="AC152" s="36" t="n">
        <v>0.005274253598359564</v>
      </c>
      <c r="AD152" s="29" t="inlineStr">
        <is>
          <t>yfinance_download</t>
        </is>
      </c>
      <c r="AE152" s="29" t="inlineStr">
        <is>
          <t>000990.KS</t>
        </is>
      </c>
    </row>
    <row r="153" ht="24" customHeight="1">
      <c r="A153" s="24" t="inlineStr">
        <is>
          <t>2024-01-18</t>
        </is>
      </c>
      <c r="B153" s="30" t="n">
        <v>49800</v>
      </c>
      <c r="C153" s="30" t="n">
        <v>51000</v>
      </c>
      <c r="D153" s="30" t="n">
        <v>49800</v>
      </c>
      <c r="E153" s="30" t="n">
        <v>50500</v>
      </c>
      <c r="F153" s="30" t="n">
        <v>48669.94921875</v>
      </c>
      <c r="G153" s="30" t="n">
        <v>172656</v>
      </c>
      <c r="H153" s="35" t="n">
        <v>0.01405622489959835</v>
      </c>
      <c r="I153" s="35" t="n">
        <v>-0.4051825677267373</v>
      </c>
      <c r="J153" s="30" t="n">
        <v>54375</v>
      </c>
      <c r="K153" s="30" t="n">
        <v>55390.83333333334</v>
      </c>
      <c r="L153" s="30" t="n">
        <v>54252.5</v>
      </c>
      <c r="M153" s="35" t="n">
        <v>0.3353929733245391</v>
      </c>
      <c r="N153" s="35" t="n">
        <v>0.4012417664414059</v>
      </c>
      <c r="O153" s="35" t="n">
        <v>-0.1666666666666666</v>
      </c>
      <c r="P153" s="35" t="n">
        <v>-0.005905511811023612</v>
      </c>
      <c r="Q153" s="35" t="n">
        <v>-0.1680395387149918</v>
      </c>
      <c r="R153" s="35" t="n">
        <v>-0.07126436781609191</v>
      </c>
      <c r="S153" s="35" t="n">
        <v>-0.08829680001203577</v>
      </c>
      <c r="T153" s="35" t="n">
        <v>-0.06916731947836507</v>
      </c>
      <c r="U153" s="30" t="n">
        <v>77700</v>
      </c>
      <c r="V153" s="30" t="n">
        <v>42750</v>
      </c>
      <c r="W153" s="35" t="n">
        <v>-0.3500643500643501</v>
      </c>
      <c r="X153" s="35" t="n">
        <v>0.1812865497076024</v>
      </c>
      <c r="Y153" s="30" t="n">
        <v>43617167</v>
      </c>
      <c r="Z153" s="30" t="n">
        <v>2202666933500</v>
      </c>
      <c r="AA153" s="30" t="n">
        <v>8719128000</v>
      </c>
      <c r="AB153" s="30" t="n">
        <v>26712418710</v>
      </c>
      <c r="AC153" s="35" t="n">
        <v>0.003958441409090141</v>
      </c>
      <c r="AD153" s="24" t="inlineStr">
        <is>
          <t>yfinance_download</t>
        </is>
      </c>
      <c r="AE153" s="24" t="inlineStr">
        <is>
          <t>000990.KS</t>
        </is>
      </c>
    </row>
    <row r="154" ht="24" customHeight="1">
      <c r="A154" s="29" t="inlineStr">
        <is>
          <t>2024-01-19</t>
        </is>
      </c>
      <c r="B154" s="31" t="n">
        <v>51500</v>
      </c>
      <c r="C154" s="31" t="n">
        <v>52200</v>
      </c>
      <c r="D154" s="31" t="n">
        <v>51300</v>
      </c>
      <c r="E154" s="31" t="n">
        <v>51700</v>
      </c>
      <c r="F154" s="31" t="n">
        <v>49826.4609375</v>
      </c>
      <c r="G154" s="31" t="n">
        <v>212031</v>
      </c>
      <c r="H154" s="36" t="n">
        <v>0.02376237623762378</v>
      </c>
      <c r="I154" s="36" t="n">
        <v>-0.3910482921083628</v>
      </c>
      <c r="J154" s="31" t="n">
        <v>53975</v>
      </c>
      <c r="K154" s="31" t="n">
        <v>55395.83333333334</v>
      </c>
      <c r="L154" s="31" t="n">
        <v>54177.5</v>
      </c>
      <c r="M154" s="36" t="n">
        <v>0.3537457089041761</v>
      </c>
      <c r="N154" s="36" t="n">
        <v>0.4034585492150734</v>
      </c>
      <c r="O154" s="36" t="n">
        <v>-0.1340033500837521</v>
      </c>
      <c r="P154" s="36" t="n">
        <v>0.005836575875486361</v>
      </c>
      <c r="Q154" s="36" t="n">
        <v>-0.1482701812191104</v>
      </c>
      <c r="R154" s="36" t="n">
        <v>-0.04214914312181561</v>
      </c>
      <c r="S154" s="36" t="n">
        <v>-0.06671681083113956</v>
      </c>
      <c r="T154" s="36" t="n">
        <v>-0.04572931567532645</v>
      </c>
      <c r="U154" s="31" t="n">
        <v>77700</v>
      </c>
      <c r="V154" s="31" t="n">
        <v>42750</v>
      </c>
      <c r="W154" s="36" t="n">
        <v>-0.3346203346203346</v>
      </c>
      <c r="X154" s="36" t="n">
        <v>0.2093567251461987</v>
      </c>
      <c r="Y154" s="31" t="n">
        <v>43617167</v>
      </c>
      <c r="Z154" s="31" t="n">
        <v>2255007533900</v>
      </c>
      <c r="AA154" s="31" t="n">
        <v>10962002700</v>
      </c>
      <c r="AB154" s="31" t="n">
        <v>26686288425</v>
      </c>
      <c r="AC154" s="36" t="n">
        <v>0.004861182295493882</v>
      </c>
      <c r="AD154" s="29" t="inlineStr">
        <is>
          <t>yfinance_download</t>
        </is>
      </c>
      <c r="AE154" s="29" t="inlineStr">
        <is>
          <t>000990.KS</t>
        </is>
      </c>
    </row>
    <row r="155" ht="24" customHeight="1">
      <c r="A155" s="24" t="inlineStr">
        <is>
          <t>2024-01-22</t>
        </is>
      </c>
      <c r="B155" s="30" t="n">
        <v>52500</v>
      </c>
      <c r="C155" s="30" t="n">
        <v>52700</v>
      </c>
      <c r="D155" s="30" t="n">
        <v>51600</v>
      </c>
      <c r="E155" s="30" t="n">
        <v>51800</v>
      </c>
      <c r="F155" s="30" t="n">
        <v>49922.83984375</v>
      </c>
      <c r="G155" s="30" t="n">
        <v>289259</v>
      </c>
      <c r="H155" s="35" t="n">
        <v>0.0019342359767891</v>
      </c>
      <c r="I155" s="35" t="n">
        <v>-0.3898704358068316</v>
      </c>
      <c r="J155" s="30" t="n">
        <v>53590</v>
      </c>
      <c r="K155" s="30" t="n">
        <v>55397.5</v>
      </c>
      <c r="L155" s="30" t="n">
        <v>54103.33333333334</v>
      </c>
      <c r="M155" s="35" t="n">
        <v>0.354949644689779</v>
      </c>
      <c r="N155" s="35" t="n">
        <v>0.4033137499871885</v>
      </c>
      <c r="O155" s="35" t="n">
        <v>-0.1294117647058823</v>
      </c>
      <c r="P155" s="35" t="n">
        <v>0.0019342359767891</v>
      </c>
      <c r="Q155" s="35" t="n">
        <v>-0.1466227347611203</v>
      </c>
      <c r="R155" s="35" t="n">
        <v>-0.03340175405859303</v>
      </c>
      <c r="S155" s="35" t="n">
        <v>-0.06493975359898907</v>
      </c>
      <c r="T155" s="35" t="n">
        <v>-0.04257285441439229</v>
      </c>
      <c r="U155" s="30" t="n">
        <v>77700</v>
      </c>
      <c r="V155" s="30" t="n">
        <v>42750</v>
      </c>
      <c r="W155" s="35" t="n">
        <v>-0.3333333333333334</v>
      </c>
      <c r="X155" s="35" t="n">
        <v>0.2116959064327486</v>
      </c>
      <c r="Y155" s="30" t="n">
        <v>43617167</v>
      </c>
      <c r="Z155" s="30" t="n">
        <v>2259369250600</v>
      </c>
      <c r="AA155" s="30" t="n">
        <v>14983616200</v>
      </c>
      <c r="AB155" s="30" t="n">
        <v>26564823585</v>
      </c>
      <c r="AC155" s="35" t="n">
        <v>0.006631769550736755</v>
      </c>
      <c r="AD155" s="24" t="inlineStr">
        <is>
          <t>yfinance_download</t>
        </is>
      </c>
      <c r="AE155" s="24" t="inlineStr">
        <is>
          <t>000990.KS</t>
        </is>
      </c>
    </row>
    <row r="156" ht="24" customHeight="1">
      <c r="A156" s="29" t="inlineStr">
        <is>
          <t>2024-01-23</t>
        </is>
      </c>
      <c r="B156" s="31" t="n">
        <v>52000</v>
      </c>
      <c r="C156" s="31" t="n">
        <v>52000</v>
      </c>
      <c r="D156" s="31" t="n">
        <v>50900</v>
      </c>
      <c r="E156" s="31" t="n">
        <v>51700</v>
      </c>
      <c r="F156" s="31" t="n">
        <v>49826.4609375</v>
      </c>
      <c r="G156" s="31" t="n">
        <v>143781</v>
      </c>
      <c r="H156" s="36" t="n">
        <v>-0.001930501930501927</v>
      </c>
      <c r="I156" s="36" t="n">
        <v>-0.3910482921083628</v>
      </c>
      <c r="J156" s="31" t="n">
        <v>53225</v>
      </c>
      <c r="K156" s="31" t="n">
        <v>55453.33333333334</v>
      </c>
      <c r="L156" s="31" t="n">
        <v>54028.33333333334</v>
      </c>
      <c r="M156" s="36" t="n">
        <v>0.3552721420121181</v>
      </c>
      <c r="N156" s="36" t="n">
        <v>0.3798371229740223</v>
      </c>
      <c r="O156" s="36" t="n">
        <v>-0.1237288135593221</v>
      </c>
      <c r="P156" s="36" t="n">
        <v>0.06928645294725966</v>
      </c>
      <c r="Q156" s="36" t="n">
        <v>-0.1482701812191104</v>
      </c>
      <c r="R156" s="36" t="n">
        <v>-0.02865194927195869</v>
      </c>
      <c r="S156" s="36" t="n">
        <v>-0.0676845395527772</v>
      </c>
      <c r="T156" s="36" t="n">
        <v>-0.04309467254835431</v>
      </c>
      <c r="U156" s="31" t="n">
        <v>77700</v>
      </c>
      <c r="V156" s="31" t="n">
        <v>42750</v>
      </c>
      <c r="W156" s="36" t="n">
        <v>-0.3346203346203346</v>
      </c>
      <c r="X156" s="36" t="n">
        <v>0.2093567251461987</v>
      </c>
      <c r="Y156" s="31" t="n">
        <v>43617167</v>
      </c>
      <c r="Z156" s="31" t="n">
        <v>2255007533900</v>
      </c>
      <c r="AA156" s="31" t="n">
        <v>7433477700</v>
      </c>
      <c r="AB156" s="31" t="n">
        <v>26263115720</v>
      </c>
      <c r="AC156" s="36" t="n">
        <v>0.003296431425727398</v>
      </c>
      <c r="AD156" s="29" t="inlineStr">
        <is>
          <t>yfinance_download</t>
        </is>
      </c>
      <c r="AE156" s="29" t="inlineStr">
        <is>
          <t>000990.KS</t>
        </is>
      </c>
    </row>
    <row r="157" ht="24" customHeight="1">
      <c r="A157" s="24" t="inlineStr">
        <is>
          <t>2024-01-24</t>
        </is>
      </c>
      <c r="B157" s="30" t="n">
        <v>51600</v>
      </c>
      <c r="C157" s="30" t="n">
        <v>51900</v>
      </c>
      <c r="D157" s="30" t="n">
        <v>50600</v>
      </c>
      <c r="E157" s="30" t="n">
        <v>50900</v>
      </c>
      <c r="F157" s="30" t="n">
        <v>49055.44921875</v>
      </c>
      <c r="G157" s="30" t="n">
        <v>135358</v>
      </c>
      <c r="H157" s="35" t="n">
        <v>-0.01547388781431336</v>
      </c>
      <c r="I157" s="35" t="n">
        <v>-0.4004711425206124</v>
      </c>
      <c r="J157" s="30" t="n">
        <v>52800</v>
      </c>
      <c r="K157" s="30" t="n">
        <v>55505</v>
      </c>
      <c r="L157" s="30" t="n">
        <v>53962.5</v>
      </c>
      <c r="M157" s="35" t="n">
        <v>0.3531487173925189</v>
      </c>
      <c r="N157" s="35" t="n">
        <v>0.3805179856880484</v>
      </c>
      <c r="O157" s="35" t="n">
        <v>-0.1430976430976431</v>
      </c>
      <c r="P157" s="35" t="n">
        <v>0.06485355648535562</v>
      </c>
      <c r="Q157" s="35" t="n">
        <v>-0.1343537414965986</v>
      </c>
      <c r="R157" s="35" t="n">
        <v>-0.03598484848484851</v>
      </c>
      <c r="S157" s="35" t="n">
        <v>-0.08296549860372937</v>
      </c>
      <c r="T157" s="35" t="n">
        <v>-0.05675237433402824</v>
      </c>
      <c r="U157" s="30" t="n">
        <v>77700</v>
      </c>
      <c r="V157" s="30" t="n">
        <v>42750</v>
      </c>
      <c r="W157" s="35" t="n">
        <v>-0.3449163449163449</v>
      </c>
      <c r="X157" s="35" t="n">
        <v>0.1906432748538012</v>
      </c>
      <c r="Y157" s="30" t="n">
        <v>43617167</v>
      </c>
      <c r="Z157" s="30" t="n">
        <v>2220113800300</v>
      </c>
      <c r="AA157" s="30" t="n">
        <v>6889722200</v>
      </c>
      <c r="AB157" s="30" t="n">
        <v>24711241980</v>
      </c>
      <c r="AC157" s="35" t="n">
        <v>0.003103319387983177</v>
      </c>
      <c r="AD157" s="24" t="inlineStr">
        <is>
          <t>yfinance_download</t>
        </is>
      </c>
      <c r="AE157" s="24" t="inlineStr">
        <is>
          <t>000990.KS</t>
        </is>
      </c>
    </row>
    <row r="158" ht="24" customHeight="1">
      <c r="A158" s="29" t="inlineStr">
        <is>
          <t>2024-01-25</t>
        </is>
      </c>
      <c r="B158" s="31" t="n">
        <v>50900</v>
      </c>
      <c r="C158" s="31" t="n">
        <v>51400</v>
      </c>
      <c r="D158" s="31" t="n">
        <v>49850</v>
      </c>
      <c r="E158" s="31" t="n">
        <v>50600</v>
      </c>
      <c r="F158" s="31" t="n">
        <v>48766.32421875</v>
      </c>
      <c r="G158" s="31" t="n">
        <v>184572</v>
      </c>
      <c r="H158" s="36" t="n">
        <v>-0.005893909626719096</v>
      </c>
      <c r="I158" s="36" t="n">
        <v>-0.4040047114252061</v>
      </c>
      <c r="J158" s="31" t="n">
        <v>52335</v>
      </c>
      <c r="K158" s="31" t="n">
        <v>55535.83333333334</v>
      </c>
      <c r="L158" s="31" t="n">
        <v>53890.83333333334</v>
      </c>
      <c r="M158" s="36" t="n">
        <v>0.3482388104268282</v>
      </c>
      <c r="N158" s="36" t="n">
        <v>0.3788142797776264</v>
      </c>
      <c r="O158" s="36" t="n">
        <v>-0.1552587646076795</v>
      </c>
      <c r="P158" s="36" t="n">
        <v>0.0379487179487179</v>
      </c>
      <c r="Q158" s="36" t="n">
        <v>-0.1452702702702703</v>
      </c>
      <c r="R158" s="36" t="n">
        <v>-0.03315181045189641</v>
      </c>
      <c r="S158" s="36" t="n">
        <v>-0.0888765511756674</v>
      </c>
      <c r="T158" s="36" t="n">
        <v>-0.06106480693995586</v>
      </c>
      <c r="U158" s="31" t="n">
        <v>77700</v>
      </c>
      <c r="V158" s="31" t="n">
        <v>42750</v>
      </c>
      <c r="W158" s="36" t="n">
        <v>-0.3487773487773488</v>
      </c>
      <c r="X158" s="36" t="n">
        <v>0.183625730994152</v>
      </c>
      <c r="Y158" s="31" t="n">
        <v>43617167</v>
      </c>
      <c r="Z158" s="31" t="n">
        <v>2207028650200</v>
      </c>
      <c r="AA158" s="31" t="n">
        <v>9339343200</v>
      </c>
      <c r="AB158" s="31" t="n">
        <v>23978642755</v>
      </c>
      <c r="AC158" s="36" t="n">
        <v>0.004231636593912668</v>
      </c>
      <c r="AD158" s="29" t="inlineStr">
        <is>
          <t>yfinance_download</t>
        </is>
      </c>
      <c r="AE158" s="29" t="inlineStr">
        <is>
          <t>000990.KS</t>
        </is>
      </c>
    </row>
    <row r="159" ht="24" customHeight="1">
      <c r="A159" s="24" t="inlineStr">
        <is>
          <t>2024-01-26</t>
        </is>
      </c>
      <c r="B159" s="30" t="n">
        <v>50300</v>
      </c>
      <c r="C159" s="30" t="n">
        <v>51100</v>
      </c>
      <c r="D159" s="30" t="n">
        <v>50300</v>
      </c>
      <c r="E159" s="30" t="n">
        <v>50400</v>
      </c>
      <c r="F159" s="30" t="n">
        <v>48573.5703125</v>
      </c>
      <c r="G159" s="30" t="n">
        <v>137911</v>
      </c>
      <c r="H159" s="35" t="n">
        <v>-0.003952569169960451</v>
      </c>
      <c r="I159" s="35" t="n">
        <v>-0.4063604240282686</v>
      </c>
      <c r="J159" s="30" t="n">
        <v>51980</v>
      </c>
      <c r="K159" s="30" t="n">
        <v>55569.16666666666</v>
      </c>
      <c r="L159" s="30" t="n">
        <v>53819.16666666666</v>
      </c>
      <c r="M159" s="35" t="n">
        <v>0.3273296663305711</v>
      </c>
      <c r="N159" s="35" t="n">
        <v>0.3785780232535195</v>
      </c>
      <c r="O159" s="35" t="n">
        <v>-0.1234782608695653</v>
      </c>
      <c r="P159" s="35" t="n">
        <v>0.04132231404958686</v>
      </c>
      <c r="Q159" s="35" t="n">
        <v>-0.1457627118644068</v>
      </c>
      <c r="R159" s="35" t="n">
        <v>-0.03039630627164291</v>
      </c>
      <c r="S159" s="35" t="n">
        <v>-0.09302220955865814</v>
      </c>
      <c r="T159" s="35" t="n">
        <v>-0.06353065048077666</v>
      </c>
      <c r="U159" s="30" t="n">
        <v>77700</v>
      </c>
      <c r="V159" s="30" t="n">
        <v>42750</v>
      </c>
      <c r="W159" s="35" t="n">
        <v>-0.3513513513513513</v>
      </c>
      <c r="X159" s="35" t="n">
        <v>0.1789473684210525</v>
      </c>
      <c r="Y159" s="30" t="n">
        <v>43617167</v>
      </c>
      <c r="Z159" s="30" t="n">
        <v>2198305216800</v>
      </c>
      <c r="AA159" s="30" t="n">
        <v>6950714400</v>
      </c>
      <c r="AB159" s="30" t="n">
        <v>22507508100</v>
      </c>
      <c r="AC159" s="35" t="n">
        <v>0.003161851387551145</v>
      </c>
      <c r="AD159" s="24" t="inlineStr">
        <is>
          <t>yfinance_download</t>
        </is>
      </c>
      <c r="AE159" s="24" t="inlineStr">
        <is>
          <t>000990.KS</t>
        </is>
      </c>
    </row>
    <row r="160" ht="24" customHeight="1">
      <c r="A160" s="29" t="inlineStr">
        <is>
          <t>2024-01-29</t>
        </is>
      </c>
      <c r="B160" s="31" t="n">
        <v>50600</v>
      </c>
      <c r="C160" s="31" t="n">
        <v>51600</v>
      </c>
      <c r="D160" s="31" t="n">
        <v>50200</v>
      </c>
      <c r="E160" s="31" t="n">
        <v>50500</v>
      </c>
      <c r="F160" s="31" t="n">
        <v>48669.94921875</v>
      </c>
      <c r="G160" s="31" t="n">
        <v>241650</v>
      </c>
      <c r="H160" s="36" t="n">
        <v>0.001984126984126977</v>
      </c>
      <c r="I160" s="36" t="n">
        <v>-0.4051825677267373</v>
      </c>
      <c r="J160" s="31" t="n">
        <v>51575</v>
      </c>
      <c r="K160" s="31" t="n">
        <v>55598.33333333334</v>
      </c>
      <c r="L160" s="31" t="n">
        <v>53730</v>
      </c>
      <c r="M160" s="36" t="n">
        <v>0.3150468983505837</v>
      </c>
      <c r="N160" s="36" t="n">
        <v>0.3783589625451851</v>
      </c>
      <c r="O160" s="36" t="n">
        <v>-0.1382252559726962</v>
      </c>
      <c r="P160" s="36" t="n">
        <v>0.03589743589743599</v>
      </c>
      <c r="Q160" s="36" t="n">
        <v>-0.1748366013071896</v>
      </c>
      <c r="R160" s="36" t="n">
        <v>-0.02084343189529814</v>
      </c>
      <c r="S160" s="36" t="n">
        <v>-0.0916993914685692</v>
      </c>
      <c r="T160" s="36" t="n">
        <v>-0.06011539177368319</v>
      </c>
      <c r="U160" s="31" t="n">
        <v>77700</v>
      </c>
      <c r="V160" s="31" t="n">
        <v>43850</v>
      </c>
      <c r="W160" s="36" t="n">
        <v>-0.3500643500643501</v>
      </c>
      <c r="X160" s="36" t="n">
        <v>0.1516533637400228</v>
      </c>
      <c r="Y160" s="31" t="n">
        <v>43617167</v>
      </c>
      <c r="Z160" s="31" t="n">
        <v>2202666933500</v>
      </c>
      <c r="AA160" s="31" t="n">
        <v>12203325000</v>
      </c>
      <c r="AB160" s="31" t="n">
        <v>15027416950</v>
      </c>
      <c r="AC160" s="36" t="n">
        <v>0.00554024978284353</v>
      </c>
      <c r="AD160" s="29" t="inlineStr">
        <is>
          <t>yfinance_download</t>
        </is>
      </c>
      <c r="AE160" s="29" t="inlineStr">
        <is>
          <t>000990.KS</t>
        </is>
      </c>
    </row>
    <row r="161" ht="24" customHeight="1">
      <c r="A161" s="24" t="inlineStr">
        <is>
          <t>2024-01-30</t>
        </is>
      </c>
      <c r="B161" s="30" t="n">
        <v>50900</v>
      </c>
      <c r="C161" s="30" t="n">
        <v>51200</v>
      </c>
      <c r="D161" s="30" t="n">
        <v>50400</v>
      </c>
      <c r="E161" s="30" t="n">
        <v>50700</v>
      </c>
      <c r="F161" s="30" t="n">
        <v>48862.69921875</v>
      </c>
      <c r="G161" s="30" t="n">
        <v>137821</v>
      </c>
      <c r="H161" s="35" t="n">
        <v>0.003960396039603964</v>
      </c>
      <c r="I161" s="35" t="n">
        <v>-0.4028268551236749</v>
      </c>
      <c r="J161" s="30" t="n">
        <v>51370</v>
      </c>
      <c r="K161" s="30" t="n">
        <v>55578.33333333334</v>
      </c>
      <c r="L161" s="30" t="n">
        <v>53660</v>
      </c>
      <c r="M161" s="35" t="n">
        <v>0.2317898451864158</v>
      </c>
      <c r="N161" s="35" t="n">
        <v>0.3543668345631343</v>
      </c>
      <c r="O161" s="35" t="n">
        <v>-0.07481751824817517</v>
      </c>
      <c r="P161" s="35" t="n">
        <v>-0.02312138728323698</v>
      </c>
      <c r="Q161" s="35" t="n">
        <v>-0.1421319796954315</v>
      </c>
      <c r="R161" s="35" t="n">
        <v>-0.01304263188631494</v>
      </c>
      <c r="S161" s="35" t="n">
        <v>-0.08777401265481155</v>
      </c>
      <c r="T161" s="35" t="n">
        <v>-0.05516213194185615</v>
      </c>
      <c r="U161" s="30" t="n">
        <v>77700</v>
      </c>
      <c r="V161" s="30" t="n">
        <v>44000</v>
      </c>
      <c r="W161" s="35" t="n">
        <v>-0.3474903474903475</v>
      </c>
      <c r="X161" s="35" t="n">
        <v>0.1522727272727273</v>
      </c>
      <c r="Y161" s="30" t="n">
        <v>43617167</v>
      </c>
      <c r="Z161" s="30" t="n">
        <v>2211390366900</v>
      </c>
      <c r="AA161" s="30" t="n">
        <v>6987524700</v>
      </c>
      <c r="AB161" s="30" t="n">
        <v>12350079585</v>
      </c>
      <c r="AC161" s="35" t="n">
        <v>0.003159787979810793</v>
      </c>
      <c r="AD161" s="24" t="inlineStr">
        <is>
          <t>yfinance_download</t>
        </is>
      </c>
      <c r="AE161" s="24" t="inlineStr">
        <is>
          <t>000990.KS</t>
        </is>
      </c>
    </row>
    <row r="162" ht="24" customHeight="1">
      <c r="A162" s="29" t="inlineStr">
        <is>
          <t>2024-01-31</t>
        </is>
      </c>
      <c r="B162" s="31" t="n">
        <v>50400</v>
      </c>
      <c r="C162" s="31" t="n">
        <v>51200</v>
      </c>
      <c r="D162" s="31" t="n">
        <v>49850</v>
      </c>
      <c r="E162" s="31" t="n">
        <v>49850</v>
      </c>
      <c r="F162" s="31" t="n">
        <v>48043.50390625</v>
      </c>
      <c r="G162" s="31" t="n">
        <v>202369</v>
      </c>
      <c r="H162" s="36" t="n">
        <v>-0.0167652859960552</v>
      </c>
      <c r="I162" s="36" t="n">
        <v>-0.4128386336866903</v>
      </c>
      <c r="J162" s="31" t="n">
        <v>51237.5</v>
      </c>
      <c r="K162" s="31" t="n">
        <v>55540.83333333334</v>
      </c>
      <c r="L162" s="31" t="n">
        <v>53593.75</v>
      </c>
      <c r="M162" s="36" t="n">
        <v>0.1902521157290006</v>
      </c>
      <c r="N162" s="36" t="n">
        <v>0.3558889580640089</v>
      </c>
      <c r="O162" s="36" t="n">
        <v>-0.05047619047619045</v>
      </c>
      <c r="P162" s="36" t="n">
        <v>-0.04318618042226485</v>
      </c>
      <c r="Q162" s="36" t="n">
        <v>-0.1375432525951558</v>
      </c>
      <c r="R162" s="36" t="n">
        <v>-0.0270797755550134</v>
      </c>
      <c r="S162" s="36" t="n">
        <v>-0.1024621524704047</v>
      </c>
      <c r="T162" s="36" t="n">
        <v>-0.06985422740524783</v>
      </c>
      <c r="U162" s="31" t="n">
        <v>77700</v>
      </c>
      <c r="V162" s="31" t="n">
        <v>44750</v>
      </c>
      <c r="W162" s="36" t="n">
        <v>-0.3584298584298584</v>
      </c>
      <c r="X162" s="36" t="n">
        <v>0.1139664804469274</v>
      </c>
      <c r="Y162" s="31" t="n">
        <v>43617167</v>
      </c>
      <c r="Z162" s="31" t="n">
        <v>2174315774950</v>
      </c>
      <c r="AA162" s="31" t="n">
        <v>10088094650</v>
      </c>
      <c r="AB162" s="31" t="n">
        <v>10639750817.5</v>
      </c>
      <c r="AC162" s="36" t="n">
        <v>0.004639664011190823</v>
      </c>
      <c r="AD162" s="29" t="inlineStr">
        <is>
          <t>yfinance_download</t>
        </is>
      </c>
      <c r="AE162" s="29" t="inlineStr">
        <is>
          <t>000990.KS</t>
        </is>
      </c>
    </row>
    <row r="163" ht="24" customHeight="1">
      <c r="A163" s="24" t="inlineStr">
        <is>
          <t>2024-02-01</t>
        </is>
      </c>
      <c r="B163" s="30" t="n">
        <v>49550</v>
      </c>
      <c r="C163" s="30" t="n">
        <v>50200</v>
      </c>
      <c r="D163" s="30" t="n">
        <v>48700</v>
      </c>
      <c r="E163" s="30" t="n">
        <v>50100</v>
      </c>
      <c r="F163" s="30" t="n">
        <v>48284.4453125</v>
      </c>
      <c r="G163" s="30" t="n">
        <v>275675</v>
      </c>
      <c r="H163" s="35" t="n">
        <v>0.005015045135406293</v>
      </c>
      <c r="I163" s="35" t="n">
        <v>-0.4098939929328622</v>
      </c>
      <c r="J163" s="30" t="n">
        <v>51142.5</v>
      </c>
      <c r="K163" s="30" t="n">
        <v>55454.16666666666</v>
      </c>
      <c r="L163" s="30" t="n">
        <v>53532.91666666666</v>
      </c>
      <c r="M163" s="35" t="n">
        <v>0.1901512059914163</v>
      </c>
      <c r="N163" s="35" t="n">
        <v>0.3319473337767622</v>
      </c>
      <c r="O163" s="35" t="n">
        <v>-0.03653846153846152</v>
      </c>
      <c r="P163" s="35" t="n">
        <v>-0.0940325497287523</v>
      </c>
      <c r="Q163" s="35" t="n">
        <v>-0.127177700348432</v>
      </c>
      <c r="R163" s="35" t="n">
        <v>-0.0203842205601994</v>
      </c>
      <c r="S163" s="35" t="n">
        <v>-0.09655120595086031</v>
      </c>
      <c r="T163" s="35" t="n">
        <v>-0.0641272114508985</v>
      </c>
      <c r="U163" s="30" t="n">
        <v>77700</v>
      </c>
      <c r="V163" s="30" t="n">
        <v>44750</v>
      </c>
      <c r="W163" s="35" t="n">
        <v>-0.3552123552123552</v>
      </c>
      <c r="X163" s="35" t="n">
        <v>0.1195530726256984</v>
      </c>
      <c r="Y163" s="30" t="n">
        <v>43617167</v>
      </c>
      <c r="Z163" s="30" t="n">
        <v>2185220066700</v>
      </c>
      <c r="AA163" s="30" t="n">
        <v>13811317500</v>
      </c>
      <c r="AB163" s="30" t="n">
        <v>10344313492.5</v>
      </c>
      <c r="AC163" s="35" t="n">
        <v>0.006320332542459716</v>
      </c>
      <c r="AD163" s="24" t="inlineStr">
        <is>
          <t>yfinance_download</t>
        </is>
      </c>
      <c r="AE163" s="24" t="inlineStr">
        <is>
          <t>000990.KS</t>
        </is>
      </c>
    </row>
    <row r="164" ht="24" customHeight="1">
      <c r="A164" s="29" t="inlineStr">
        <is>
          <t>2024-02-02</t>
        </is>
      </c>
      <c r="B164" s="31" t="n">
        <v>50400</v>
      </c>
      <c r="C164" s="31" t="n">
        <v>51200</v>
      </c>
      <c r="D164" s="31" t="n">
        <v>50000</v>
      </c>
      <c r="E164" s="31" t="n">
        <v>51200</v>
      </c>
      <c r="F164" s="31" t="n">
        <v>49344.58203125</v>
      </c>
      <c r="G164" s="31" t="n">
        <v>232654</v>
      </c>
      <c r="H164" s="36" t="n">
        <v>0.02195608782435121</v>
      </c>
      <c r="I164" s="36" t="n">
        <v>-0.3969375736160189</v>
      </c>
      <c r="J164" s="31" t="n">
        <v>51112.5</v>
      </c>
      <c r="K164" s="31" t="n">
        <v>55397.5</v>
      </c>
      <c r="L164" s="31" t="n">
        <v>53484.58333333334</v>
      </c>
      <c r="M164" s="36" t="n">
        <v>0.2077008293700928</v>
      </c>
      <c r="N164" s="36" t="n">
        <v>0.3345163132430831</v>
      </c>
      <c r="O164" s="36" t="n">
        <v>-0.01158301158301156</v>
      </c>
      <c r="P164" s="36" t="n">
        <v>-0.06227106227106227</v>
      </c>
      <c r="Q164" s="36" t="n">
        <v>-0.1017543859649123</v>
      </c>
      <c r="R164" s="36" t="n">
        <v>0.001711910002445638</v>
      </c>
      <c r="S164" s="36" t="n">
        <v>-0.07577056726386566</v>
      </c>
      <c r="T164" s="36" t="n">
        <v>-0.042714800994056</v>
      </c>
      <c r="U164" s="31" t="n">
        <v>77700</v>
      </c>
      <c r="V164" s="31" t="n">
        <v>44750</v>
      </c>
      <c r="W164" s="36" t="n">
        <v>-0.3410553410553411</v>
      </c>
      <c r="X164" s="36" t="n">
        <v>0.1441340782122904</v>
      </c>
      <c r="Y164" s="31" t="n">
        <v>43617167</v>
      </c>
      <c r="Z164" s="31" t="n">
        <v>2233198950400</v>
      </c>
      <c r="AA164" s="31" t="n">
        <v>11911884800</v>
      </c>
      <c r="AB164" s="31" t="n">
        <v>10302827302.5</v>
      </c>
      <c r="AC164" s="36" t="n">
        <v>0.005334000715819072</v>
      </c>
      <c r="AD164" s="29" t="inlineStr">
        <is>
          <t>yfinance_download</t>
        </is>
      </c>
      <c r="AE164" s="29" t="inlineStr">
        <is>
          <t>000990.KS</t>
        </is>
      </c>
    </row>
    <row r="165" ht="24" customHeight="1">
      <c r="A165" s="24" t="inlineStr">
        <is>
          <t>2024-02-05</t>
        </is>
      </c>
      <c r="B165" s="30" t="n">
        <v>51300</v>
      </c>
      <c r="C165" s="30" t="n">
        <v>51400</v>
      </c>
      <c r="D165" s="30" t="n">
        <v>49400</v>
      </c>
      <c r="E165" s="30" t="n">
        <v>49400</v>
      </c>
      <c r="F165" s="30" t="n">
        <v>47609.80859375</v>
      </c>
      <c r="G165" s="30" t="n">
        <v>268037</v>
      </c>
      <c r="H165" s="35" t="n">
        <v>-0.03515625</v>
      </c>
      <c r="I165" s="35" t="n">
        <v>-0.4181389870435807</v>
      </c>
      <c r="J165" s="30" t="n">
        <v>51017.5</v>
      </c>
      <c r="K165" s="30" t="n">
        <v>55310.83333333334</v>
      </c>
      <c r="L165" s="30" t="n">
        <v>53438.75</v>
      </c>
      <c r="M165" s="35" t="n">
        <v>0.2398461814070909</v>
      </c>
      <c r="N165" s="35" t="n">
        <v>0.3418128882250644</v>
      </c>
      <c r="O165" s="35" t="n">
        <v>-0.03703703703703709</v>
      </c>
      <c r="P165" s="35" t="n">
        <v>-0.09523809523809523</v>
      </c>
      <c r="Q165" s="35" t="n">
        <v>-0.1001821493624773</v>
      </c>
      <c r="R165" s="35" t="n">
        <v>-0.03170480717400892</v>
      </c>
      <c r="S165" s="35" t="n">
        <v>-0.1068657436005606</v>
      </c>
      <c r="T165" s="35" t="n">
        <v>-0.0755771794811817</v>
      </c>
      <c r="U165" s="30" t="n">
        <v>77700</v>
      </c>
      <c r="V165" s="30" t="n">
        <v>44750</v>
      </c>
      <c r="W165" s="35" t="n">
        <v>-0.3642213642213642</v>
      </c>
      <c r="X165" s="35" t="n">
        <v>0.1039106145251396</v>
      </c>
      <c r="Y165" s="30" t="n">
        <v>43617167</v>
      </c>
      <c r="Z165" s="30" t="n">
        <v>2154688049800</v>
      </c>
      <c r="AA165" s="30" t="n">
        <v>13241027800</v>
      </c>
      <c r="AB165" s="30" t="n">
        <v>10398880662.5</v>
      </c>
      <c r="AC165" s="35" t="n">
        <v>0.006145218005561893</v>
      </c>
      <c r="AD165" s="24" t="inlineStr">
        <is>
          <t>yfinance_download</t>
        </is>
      </c>
      <c r="AE165" s="24" t="inlineStr">
        <is>
          <t>000990.KS</t>
        </is>
      </c>
    </row>
    <row r="166" ht="24" customHeight="1">
      <c r="A166" s="29" t="inlineStr">
        <is>
          <t>2024-02-06</t>
        </is>
      </c>
      <c r="B166" s="31" t="n">
        <v>49300</v>
      </c>
      <c r="C166" s="31" t="n">
        <v>50000</v>
      </c>
      <c r="D166" s="31" t="n">
        <v>48150</v>
      </c>
      <c r="E166" s="31" t="n">
        <v>49700</v>
      </c>
      <c r="F166" s="31" t="n">
        <v>47898.9375</v>
      </c>
      <c r="G166" s="31" t="n">
        <v>257861</v>
      </c>
      <c r="H166" s="36" t="n">
        <v>0.006072874493927127</v>
      </c>
      <c r="I166" s="36" t="n">
        <v>-0.414605418138987</v>
      </c>
      <c r="J166" s="31" t="n">
        <v>50907.5</v>
      </c>
      <c r="K166" s="31" t="n">
        <v>55217.5</v>
      </c>
      <c r="L166" s="31" t="n">
        <v>53390.41666666666</v>
      </c>
      <c r="M166" s="36" t="n">
        <v>0.2364636744162448</v>
      </c>
      <c r="N166" s="36" t="n">
        <v>0.3408890667829664</v>
      </c>
      <c r="O166" s="36" t="n">
        <v>-0.04238921001926788</v>
      </c>
      <c r="P166" s="36" t="n">
        <v>-0.1012658227848101</v>
      </c>
      <c r="Q166" s="36" t="n">
        <v>-0.1045045045045045</v>
      </c>
      <c r="R166" s="36" t="n">
        <v>-0.02371949123410111</v>
      </c>
      <c r="S166" s="36" t="n">
        <v>-0.09992303164757554</v>
      </c>
      <c r="T166" s="36" t="n">
        <v>-0.06912133107533336</v>
      </c>
      <c r="U166" s="31" t="n">
        <v>77700</v>
      </c>
      <c r="V166" s="31" t="n">
        <v>44750</v>
      </c>
      <c r="W166" s="36" t="n">
        <v>-0.3603603603603603</v>
      </c>
      <c r="X166" s="36" t="n">
        <v>0.1106145251396649</v>
      </c>
      <c r="Y166" s="31" t="n">
        <v>43617167</v>
      </c>
      <c r="Z166" s="31" t="n">
        <v>2167773199900</v>
      </c>
      <c r="AA166" s="31" t="n">
        <v>12815691700</v>
      </c>
      <c r="AB166" s="31" t="n">
        <v>10344350567.5</v>
      </c>
      <c r="AC166" s="36" t="n">
        <v>0.00591191537038616</v>
      </c>
      <c r="AD166" s="29" t="inlineStr">
        <is>
          <t>yfinance_download</t>
        </is>
      </c>
      <c r="AE166" s="29" t="inlineStr">
        <is>
          <t>000990.KS</t>
        </is>
      </c>
    </row>
    <row r="167" ht="24" customHeight="1">
      <c r="A167" s="24" t="inlineStr">
        <is>
          <t>2024-02-07</t>
        </is>
      </c>
      <c r="B167" s="30" t="n">
        <v>49800</v>
      </c>
      <c r="C167" s="30" t="n">
        <v>50300</v>
      </c>
      <c r="D167" s="30" t="n">
        <v>49350</v>
      </c>
      <c r="E167" s="30" t="n">
        <v>49950</v>
      </c>
      <c r="F167" s="30" t="n">
        <v>48139.87890625</v>
      </c>
      <c r="G167" s="30" t="n">
        <v>204302</v>
      </c>
      <c r="H167" s="35" t="n">
        <v>0.005030181086519203</v>
      </c>
      <c r="I167" s="35" t="n">
        <v>-0.411660777385159</v>
      </c>
      <c r="J167" s="30" t="n">
        <v>50765</v>
      </c>
      <c r="K167" s="30" t="n">
        <v>55146.66666666666</v>
      </c>
      <c r="L167" s="30" t="n">
        <v>53348.33333333334</v>
      </c>
      <c r="M167" s="35" t="n">
        <v>0.226913718710894</v>
      </c>
      <c r="N167" s="35" t="n">
        <v>0.3389830264868566</v>
      </c>
      <c r="O167" s="35" t="n">
        <v>-0.05397727272727271</v>
      </c>
      <c r="P167" s="35" t="n">
        <v>-0.07841328413284132</v>
      </c>
      <c r="Q167" s="35" t="n">
        <v>-0.0918181818181818</v>
      </c>
      <c r="R167" s="35" t="n">
        <v>-0.0160543681670442</v>
      </c>
      <c r="S167" s="35" t="n">
        <v>-0.09423355899419728</v>
      </c>
      <c r="T167" s="35" t="n">
        <v>-0.06370083414039807</v>
      </c>
      <c r="U167" s="30" t="n">
        <v>77700</v>
      </c>
      <c r="V167" s="30" t="n">
        <v>44750</v>
      </c>
      <c r="W167" s="35" t="n">
        <v>-0.3571428571428571</v>
      </c>
      <c r="X167" s="35" t="n">
        <v>0.1162011173184359</v>
      </c>
      <c r="Y167" s="30" t="n">
        <v>43617167</v>
      </c>
      <c r="Z167" s="30" t="n">
        <v>2178677491650</v>
      </c>
      <c r="AA167" s="30" t="n">
        <v>10204884900</v>
      </c>
      <c r="AB167" s="30" t="n">
        <v>10355901452.5</v>
      </c>
      <c r="AC167" s="35" t="n">
        <v>0.004683981424103037</v>
      </c>
      <c r="AD167" s="24" t="inlineStr">
        <is>
          <t>yfinance_download</t>
        </is>
      </c>
      <c r="AE167" s="24" t="inlineStr">
        <is>
          <t>000990.KS</t>
        </is>
      </c>
    </row>
    <row r="168" ht="24" customHeight="1">
      <c r="A168" s="29" t="inlineStr">
        <is>
          <t>2024-02-08</t>
        </is>
      </c>
      <c r="B168" s="31" t="n">
        <v>49950</v>
      </c>
      <c r="C168" s="31" t="n">
        <v>50300</v>
      </c>
      <c r="D168" s="31" t="n">
        <v>49550</v>
      </c>
      <c r="E168" s="31" t="n">
        <v>50100</v>
      </c>
      <c r="F168" s="31" t="n">
        <v>48284.4453125</v>
      </c>
      <c r="G168" s="31" t="n">
        <v>235359</v>
      </c>
      <c r="H168" s="36" t="n">
        <v>0.003003003003003046</v>
      </c>
      <c r="I168" s="36" t="n">
        <v>-0.4098939929328622</v>
      </c>
      <c r="J168" s="31" t="n">
        <v>50630</v>
      </c>
      <c r="K168" s="31" t="n">
        <v>55083.33333333334</v>
      </c>
      <c r="L168" s="31" t="n">
        <v>53314.16666666666</v>
      </c>
      <c r="M168" s="36" t="n">
        <v>0.2276321638344699</v>
      </c>
      <c r="N168" s="36" t="n">
        <v>0.3389613808921339</v>
      </c>
      <c r="O168" s="36" t="n">
        <v>-0.05113636363636365</v>
      </c>
      <c r="P168" s="36" t="n">
        <v>-0.07050092764378479</v>
      </c>
      <c r="Q168" s="36" t="n">
        <v>-0.07564575645756455</v>
      </c>
      <c r="R168" s="36" t="n">
        <v>-0.01046810191586012</v>
      </c>
      <c r="S168" s="36" t="n">
        <v>-0.09046898638426626</v>
      </c>
      <c r="T168" s="36" t="n">
        <v>-0.06028729074511152</v>
      </c>
      <c r="U168" s="31" t="n">
        <v>77700</v>
      </c>
      <c r="V168" s="31" t="n">
        <v>44750</v>
      </c>
      <c r="W168" s="36" t="n">
        <v>-0.3552123552123552</v>
      </c>
      <c r="X168" s="36" t="n">
        <v>0.1195530726256984</v>
      </c>
      <c r="Y168" s="31" t="n">
        <v>43617167</v>
      </c>
      <c r="Z168" s="31" t="n">
        <v>2185220066700</v>
      </c>
      <c r="AA168" s="31" t="n">
        <v>11791485900</v>
      </c>
      <c r="AB168" s="31" t="n">
        <v>10120449347.5</v>
      </c>
      <c r="AC168" s="36" t="n">
        <v>0.005396017581792967</v>
      </c>
      <c r="AD168" s="29" t="inlineStr">
        <is>
          <t>yfinance_download</t>
        </is>
      </c>
      <c r="AE168" s="29" t="inlineStr">
        <is>
          <t>000990.KS</t>
        </is>
      </c>
    </row>
    <row r="169" ht="24" customHeight="1">
      <c r="A169" s="24" t="inlineStr">
        <is>
          <t>2024-02-13</t>
        </is>
      </c>
      <c r="B169" s="30" t="n">
        <v>50100</v>
      </c>
      <c r="C169" s="30" t="n">
        <v>50400</v>
      </c>
      <c r="D169" s="30" t="n">
        <v>49300</v>
      </c>
      <c r="E169" s="30" t="n">
        <v>49600</v>
      </c>
      <c r="F169" s="30" t="n">
        <v>47802.5625</v>
      </c>
      <c r="G169" s="30" t="n">
        <v>472884</v>
      </c>
      <c r="H169" s="35" t="n">
        <v>-0.009980039920159722</v>
      </c>
      <c r="I169" s="35" t="n">
        <v>-0.4157832744405182</v>
      </c>
      <c r="J169" s="30" t="n">
        <v>50515</v>
      </c>
      <c r="K169" s="30" t="n">
        <v>55000</v>
      </c>
      <c r="L169" s="30" t="n">
        <v>53283.33333333334</v>
      </c>
      <c r="M169" s="35" t="n">
        <v>0.2229879019198044</v>
      </c>
      <c r="N169" s="35" t="n">
        <v>0.3381824088632073</v>
      </c>
      <c r="O169" s="35" t="n">
        <v>-0.04431599229287086</v>
      </c>
      <c r="P169" s="35" t="n">
        <v>-0.09157509157509158</v>
      </c>
      <c r="Q169" s="35" t="n">
        <v>-0.06941838649155718</v>
      </c>
      <c r="R169" s="35" t="n">
        <v>-0.01811343165396417</v>
      </c>
      <c r="S169" s="35" t="n">
        <v>-0.09818181818181815</v>
      </c>
      <c r="T169" s="35" t="n">
        <v>-0.0691273068501721</v>
      </c>
      <c r="U169" s="30" t="n">
        <v>77700</v>
      </c>
      <c r="V169" s="30" t="n">
        <v>44750</v>
      </c>
      <c r="W169" s="35" t="n">
        <v>-0.3616473616473617</v>
      </c>
      <c r="X169" s="35" t="n">
        <v>0.1083798882681564</v>
      </c>
      <c r="Y169" s="30" t="n">
        <v>43617167</v>
      </c>
      <c r="Z169" s="30" t="n">
        <v>2163411483200</v>
      </c>
      <c r="AA169" s="30" t="n">
        <v>23455046400</v>
      </c>
      <c r="AB169" s="30" t="n">
        <v>10688911802.5</v>
      </c>
      <c r="AC169" s="35" t="n">
        <v>0.01084169450987039</v>
      </c>
      <c r="AD169" s="24" t="inlineStr">
        <is>
          <t>yfinance_download</t>
        </is>
      </c>
      <c r="AE169" s="24" t="inlineStr">
        <is>
          <t>000990.KS</t>
        </is>
      </c>
    </row>
    <row r="170" ht="24" customHeight="1">
      <c r="A170" s="29" t="inlineStr">
        <is>
          <t>2024-02-14</t>
        </is>
      </c>
      <c r="B170" s="31" t="n">
        <v>49200</v>
      </c>
      <c r="C170" s="31" t="n">
        <v>49200</v>
      </c>
      <c r="D170" s="31" t="n">
        <v>48000</v>
      </c>
      <c r="E170" s="31" t="n">
        <v>48800</v>
      </c>
      <c r="F170" s="31" t="n">
        <v>47031.5546875</v>
      </c>
      <c r="G170" s="31" t="n">
        <v>434805</v>
      </c>
      <c r="H170" s="36" t="n">
        <v>-0.0161290322580645</v>
      </c>
      <c r="I170" s="36" t="n">
        <v>-0.425206124852768</v>
      </c>
      <c r="J170" s="31" t="n">
        <v>50390</v>
      </c>
      <c r="K170" s="31" t="n">
        <v>54903.33333333334</v>
      </c>
      <c r="L170" s="31" t="n">
        <v>53254.16666666666</v>
      </c>
      <c r="M170" s="36" t="n">
        <v>0.2261074336226628</v>
      </c>
      <c r="N170" s="36" t="n">
        <v>0.3395148074343816</v>
      </c>
      <c r="O170" s="36" t="n">
        <v>-0.04873294346978563</v>
      </c>
      <c r="P170" s="36" t="n">
        <v>-0.1062271062271062</v>
      </c>
      <c r="Q170" s="36" t="n">
        <v>-0.06692160611854681</v>
      </c>
      <c r="R170" s="36" t="n">
        <v>-0.03155387973804324</v>
      </c>
      <c r="S170" s="36" t="n">
        <v>-0.1111650780159068</v>
      </c>
      <c r="T170" s="36" t="n">
        <v>-0.08363977779516463</v>
      </c>
      <c r="U170" s="31" t="n">
        <v>77700</v>
      </c>
      <c r="V170" s="31" t="n">
        <v>44750</v>
      </c>
      <c r="W170" s="36" t="n">
        <v>-0.3719433719433719</v>
      </c>
      <c r="X170" s="36" t="n">
        <v>0.09050279329608935</v>
      </c>
      <c r="Y170" s="31" t="n">
        <v>43617167</v>
      </c>
      <c r="Z170" s="31" t="n">
        <v>2128517749600</v>
      </c>
      <c r="AA170" s="31" t="n">
        <v>21218484000</v>
      </c>
      <c r="AB170" s="31" t="n">
        <v>11678867582.5</v>
      </c>
      <c r="AC170" s="36" t="n">
        <v>0.00996866669492771</v>
      </c>
      <c r="AD170" s="29" t="inlineStr">
        <is>
          <t>yfinance_download</t>
        </is>
      </c>
      <c r="AE170" s="29" t="inlineStr">
        <is>
          <t>000990.KS</t>
        </is>
      </c>
    </row>
    <row r="171" ht="24" customHeight="1">
      <c r="A171" s="24" t="inlineStr">
        <is>
          <t>2024-02-15</t>
        </is>
      </c>
      <c r="B171" s="30" t="n">
        <v>49200</v>
      </c>
      <c r="C171" s="30" t="n">
        <v>49700</v>
      </c>
      <c r="D171" s="30" t="n">
        <v>48800</v>
      </c>
      <c r="E171" s="30" t="n">
        <v>48850</v>
      </c>
      <c r="F171" s="30" t="n">
        <v>47079.7421875</v>
      </c>
      <c r="G171" s="30" t="n">
        <v>223066</v>
      </c>
      <c r="H171" s="35" t="n">
        <v>0.001024590163934525</v>
      </c>
      <c r="I171" s="35" t="n">
        <v>-0.4246171967020024</v>
      </c>
      <c r="J171" s="30" t="n">
        <v>50307.5</v>
      </c>
      <c r="K171" s="30" t="n">
        <v>54800.83333333334</v>
      </c>
      <c r="L171" s="30" t="n">
        <v>53225.41666666666</v>
      </c>
      <c r="M171" s="35" t="n">
        <v>0.2208779696735593</v>
      </c>
      <c r="N171" s="35" t="n">
        <v>0.3390489074716839</v>
      </c>
      <c r="O171" s="35" t="n">
        <v>-0.0326732673267327</v>
      </c>
      <c r="P171" s="35" t="n">
        <v>-0.1118181818181818</v>
      </c>
      <c r="Q171" s="35" t="n">
        <v>-0.06596558317399615</v>
      </c>
      <c r="R171" s="35" t="n">
        <v>-0.02897182328678627</v>
      </c>
      <c r="S171" s="35" t="n">
        <v>-0.1085901978376241</v>
      </c>
      <c r="T171" s="35" t="n">
        <v>-0.08220539998904031</v>
      </c>
      <c r="U171" s="30" t="n">
        <v>77700</v>
      </c>
      <c r="V171" s="30" t="n">
        <v>44750</v>
      </c>
      <c r="W171" s="35" t="n">
        <v>-0.3712998712998713</v>
      </c>
      <c r="X171" s="35" t="n">
        <v>0.09162011173184359</v>
      </c>
      <c r="Y171" s="30" t="n">
        <v>43617167</v>
      </c>
      <c r="Z171" s="30" t="n">
        <v>2130698607950</v>
      </c>
      <c r="AA171" s="30" t="n">
        <v>10896774100</v>
      </c>
      <c r="AB171" s="30" t="n">
        <v>11767996812.5</v>
      </c>
      <c r="AC171" s="35" t="n">
        <v>0.005114179011213635</v>
      </c>
      <c r="AD171" s="24" t="inlineStr">
        <is>
          <t>yfinance_download</t>
        </is>
      </c>
      <c r="AE171" s="24" t="inlineStr">
        <is>
          <t>000990.KS</t>
        </is>
      </c>
    </row>
    <row r="172" ht="24" customHeight="1">
      <c r="A172" s="29" t="inlineStr">
        <is>
          <t>2024-02-16</t>
        </is>
      </c>
      <c r="B172" s="31" t="n">
        <v>49300</v>
      </c>
      <c r="C172" s="31" t="n">
        <v>49900</v>
      </c>
      <c r="D172" s="31" t="n">
        <v>49250</v>
      </c>
      <c r="E172" s="31" t="n">
        <v>49750</v>
      </c>
      <c r="F172" s="31" t="n">
        <v>47947.12890625</v>
      </c>
      <c r="G172" s="31" t="n">
        <v>229913</v>
      </c>
      <c r="H172" s="36" t="n">
        <v>0.0184237461617196</v>
      </c>
      <c r="I172" s="36" t="n">
        <v>-0.4140164899882215</v>
      </c>
      <c r="J172" s="31" t="n">
        <v>50305</v>
      </c>
      <c r="K172" s="31" t="n">
        <v>54708.33333333334</v>
      </c>
      <c r="L172" s="31" t="n">
        <v>53192.5</v>
      </c>
      <c r="M172" s="36" t="n">
        <v>0.226697178138002</v>
      </c>
      <c r="N172" s="36" t="n">
        <v>0.3412606205651596</v>
      </c>
      <c r="O172" s="36" t="n">
        <v>-0.001004016064257041</v>
      </c>
      <c r="P172" s="36" t="n">
        <v>-0.1003616636528029</v>
      </c>
      <c r="Q172" s="36" t="n">
        <v>-0.07355679702048412</v>
      </c>
      <c r="R172" s="36" t="n">
        <v>-0.01103270052678662</v>
      </c>
      <c r="S172" s="36" t="n">
        <v>-0.09063214013709064</v>
      </c>
      <c r="T172" s="36" t="n">
        <v>-0.06471777036236315</v>
      </c>
      <c r="U172" s="31" t="n">
        <v>77700</v>
      </c>
      <c r="V172" s="31" t="n">
        <v>44750</v>
      </c>
      <c r="W172" s="36" t="n">
        <v>-0.3597168597168597</v>
      </c>
      <c r="X172" s="36" t="n">
        <v>0.1117318435754191</v>
      </c>
      <c r="Y172" s="31" t="n">
        <v>43617167</v>
      </c>
      <c r="Z172" s="31" t="n">
        <v>2169954058250</v>
      </c>
      <c r="AA172" s="31" t="n">
        <v>11438171750</v>
      </c>
      <c r="AB172" s="31" t="n">
        <v>11767085880</v>
      </c>
      <c r="AC172" s="36" t="n">
        <v>0.005271158486749036</v>
      </c>
      <c r="AD172" s="29" t="inlineStr">
        <is>
          <t>yfinance_download</t>
        </is>
      </c>
      <c r="AE172" s="29" t="inlineStr">
        <is>
          <t>000990.KS</t>
        </is>
      </c>
    </row>
    <row r="173" ht="24" customHeight="1">
      <c r="A173" s="24" t="inlineStr">
        <is>
          <t>2024-02-19</t>
        </is>
      </c>
      <c r="B173" s="30" t="n">
        <v>49600</v>
      </c>
      <c r="C173" s="30" t="n">
        <v>50100</v>
      </c>
      <c r="D173" s="30" t="n">
        <v>49000</v>
      </c>
      <c r="E173" s="30" t="n">
        <v>49400</v>
      </c>
      <c r="F173" s="30" t="n">
        <v>47609.80859375</v>
      </c>
      <c r="G173" s="30" t="n">
        <v>220040</v>
      </c>
      <c r="H173" s="35" t="n">
        <v>-0.007035175879396949</v>
      </c>
      <c r="I173" s="35" t="n">
        <v>-0.4181389870435807</v>
      </c>
      <c r="J173" s="30" t="n">
        <v>50250</v>
      </c>
      <c r="K173" s="30" t="n">
        <v>54588.33333333334</v>
      </c>
      <c r="L173" s="30" t="n">
        <v>53169.16666666666</v>
      </c>
      <c r="M173" s="35" t="n">
        <v>0.2217180265184303</v>
      </c>
      <c r="N173" s="35" t="n">
        <v>0.3374064666546666</v>
      </c>
      <c r="O173" s="35" t="n">
        <v>-0.0217821782178218</v>
      </c>
      <c r="P173" s="35" t="n">
        <v>-0.127208480565371</v>
      </c>
      <c r="Q173" s="35" t="n">
        <v>-0.05363984674329503</v>
      </c>
      <c r="R173" s="35" t="n">
        <v>-0.01691542288557213</v>
      </c>
      <c r="S173" s="35" t="n">
        <v>-0.09504472872713954</v>
      </c>
      <c r="T173" s="35" t="n">
        <v>-0.07089008353839155</v>
      </c>
      <c r="U173" s="30" t="n">
        <v>77700</v>
      </c>
      <c r="V173" s="30" t="n">
        <v>44750</v>
      </c>
      <c r="W173" s="35" t="n">
        <v>-0.3642213642213642</v>
      </c>
      <c r="X173" s="35" t="n">
        <v>0.1039106145251396</v>
      </c>
      <c r="Y173" s="30" t="n">
        <v>43617167</v>
      </c>
      <c r="Z173" s="30" t="n">
        <v>2154688049800</v>
      </c>
      <c r="AA173" s="30" t="n">
        <v>10869976000</v>
      </c>
      <c r="AB173" s="30" t="n">
        <v>11874628280</v>
      </c>
      <c r="AC173" s="35" t="n">
        <v>0.005044802657632487</v>
      </c>
      <c r="AD173" s="24" t="inlineStr">
        <is>
          <t>yfinance_download</t>
        </is>
      </c>
      <c r="AE173" s="24" t="inlineStr">
        <is>
          <t>000990.KS</t>
        </is>
      </c>
    </row>
    <row r="174" ht="24" customHeight="1">
      <c r="A174" s="29" t="inlineStr">
        <is>
          <t>2024-02-20</t>
        </is>
      </c>
      <c r="B174" s="31" t="n">
        <v>49400</v>
      </c>
      <c r="C174" s="31" t="n">
        <v>49750</v>
      </c>
      <c r="D174" s="31" t="n">
        <v>49150</v>
      </c>
      <c r="E174" s="31" t="n">
        <v>49500</v>
      </c>
      <c r="F174" s="31" t="n">
        <v>47706.1875</v>
      </c>
      <c r="G174" s="31" t="n">
        <v>152441</v>
      </c>
      <c r="H174" s="36" t="n">
        <v>0.002024291497975783</v>
      </c>
      <c r="I174" s="36" t="n">
        <v>-0.4169611307420494</v>
      </c>
      <c r="J174" s="31" t="n">
        <v>50140</v>
      </c>
      <c r="K174" s="31" t="n">
        <v>54476.66666666666</v>
      </c>
      <c r="L174" s="31" t="n">
        <v>53154.16666666666</v>
      </c>
      <c r="M174" s="36" t="n">
        <v>0.2020639902946006</v>
      </c>
      <c r="N174" s="36" t="n">
        <v>0.3373427044071707</v>
      </c>
      <c r="O174" s="36" t="n">
        <v>-0.04255319148936165</v>
      </c>
      <c r="P174" s="36" t="n">
        <v>-0.1192170818505338</v>
      </c>
      <c r="Q174" s="36" t="n">
        <v>-0.03508771929824561</v>
      </c>
      <c r="R174" s="36" t="n">
        <v>-0.01276426007179898</v>
      </c>
      <c r="S174" s="36" t="n">
        <v>-0.09135409655509996</v>
      </c>
      <c r="T174" s="36" t="n">
        <v>-0.06874657051030797</v>
      </c>
      <c r="U174" s="31" t="n">
        <v>77700</v>
      </c>
      <c r="V174" s="31" t="n">
        <v>44750</v>
      </c>
      <c r="W174" s="36" t="n">
        <v>-0.362934362934363</v>
      </c>
      <c r="X174" s="36" t="n">
        <v>0.1061452513966481</v>
      </c>
      <c r="Y174" s="31" t="n">
        <v>43617167</v>
      </c>
      <c r="Z174" s="31" t="n">
        <v>2159049766500</v>
      </c>
      <c r="AA174" s="31" t="n">
        <v>7545829500</v>
      </c>
      <c r="AB174" s="31" t="n">
        <v>11703819620</v>
      </c>
      <c r="AC174" s="36" t="n">
        <v>0.003494977103854544</v>
      </c>
      <c r="AD174" s="29" t="inlineStr">
        <is>
          <t>yfinance_download</t>
        </is>
      </c>
      <c r="AE174" s="29" t="inlineStr">
        <is>
          <t>000990.KS</t>
        </is>
      </c>
    </row>
    <row r="175" ht="24" customHeight="1">
      <c r="A175" s="24" t="inlineStr">
        <is>
          <t>2024-02-21</t>
        </is>
      </c>
      <c r="B175" s="30" t="n">
        <v>49500</v>
      </c>
      <c r="C175" s="30" t="n">
        <v>50100</v>
      </c>
      <c r="D175" s="30" t="n">
        <v>49100</v>
      </c>
      <c r="E175" s="30" t="n">
        <v>49350</v>
      </c>
      <c r="F175" s="30" t="n">
        <v>47561.625</v>
      </c>
      <c r="G175" s="30" t="n">
        <v>230281</v>
      </c>
      <c r="H175" s="35" t="n">
        <v>-0.00303030303030305</v>
      </c>
      <c r="I175" s="35" t="n">
        <v>-0.4187279151943463</v>
      </c>
      <c r="J175" s="30" t="n">
        <v>50017.5</v>
      </c>
      <c r="K175" s="30" t="n">
        <v>54364.16666666666</v>
      </c>
      <c r="L175" s="30" t="n">
        <v>53135.41666666666</v>
      </c>
      <c r="M175" s="35" t="n">
        <v>0.2015189038973336</v>
      </c>
      <c r="N175" s="35" t="n">
        <v>0.3373506667708373</v>
      </c>
      <c r="O175" s="35" t="n">
        <v>-0.04729729729729726</v>
      </c>
      <c r="P175" s="35" t="n">
        <v>-0.1203208556149733</v>
      </c>
      <c r="Q175" s="35" t="n">
        <v>-0.04360465116279066</v>
      </c>
      <c r="R175" s="35" t="n">
        <v>-0.0133453291348028</v>
      </c>
      <c r="S175" s="35" t="n">
        <v>-0.09223293529745391</v>
      </c>
      <c r="T175" s="35" t="n">
        <v>-0.07124093315036262</v>
      </c>
      <c r="U175" s="30" t="n">
        <v>77700</v>
      </c>
      <c r="V175" s="30" t="n">
        <v>44750</v>
      </c>
      <c r="W175" s="35" t="n">
        <v>-0.3648648648648649</v>
      </c>
      <c r="X175" s="35" t="n">
        <v>0.1027932960893854</v>
      </c>
      <c r="Y175" s="30" t="n">
        <v>43617167</v>
      </c>
      <c r="Z175" s="30" t="n">
        <v>2152507191450</v>
      </c>
      <c r="AA175" s="30" t="n">
        <v>11364367350</v>
      </c>
      <c r="AB175" s="30" t="n">
        <v>11522857177.5</v>
      </c>
      <c r="AC175" s="35" t="n">
        <v>0.005279595531731807</v>
      </c>
      <c r="AD175" s="24" t="inlineStr">
        <is>
          <t>yfinance_download</t>
        </is>
      </c>
      <c r="AE175" s="24" t="inlineStr">
        <is>
          <t>000990.KS</t>
        </is>
      </c>
    </row>
    <row r="176" ht="24" customHeight="1">
      <c r="A176" s="29" t="inlineStr">
        <is>
          <t>2024-02-22</t>
        </is>
      </c>
      <c r="B176" s="31" t="n">
        <v>49750</v>
      </c>
      <c r="C176" s="31" t="n">
        <v>49850</v>
      </c>
      <c r="D176" s="31" t="n">
        <v>49250</v>
      </c>
      <c r="E176" s="31" t="n">
        <v>49350</v>
      </c>
      <c r="F176" s="31" t="n">
        <v>47561.625</v>
      </c>
      <c r="G176" s="31" t="n">
        <v>151372</v>
      </c>
      <c r="H176" s="36" t="n">
        <v>0</v>
      </c>
      <c r="I176" s="36" t="n">
        <v>-0.4187279151943463</v>
      </c>
      <c r="J176" s="31" t="n">
        <v>49900</v>
      </c>
      <c r="K176" s="31" t="n">
        <v>54256.66666666666</v>
      </c>
      <c r="L176" s="31" t="n">
        <v>53107.5</v>
      </c>
      <c r="M176" s="36" t="n">
        <v>0.201687707920049</v>
      </c>
      <c r="N176" s="36" t="n">
        <v>0.3372961029714606</v>
      </c>
      <c r="O176" s="36" t="n">
        <v>-0.04545454545454541</v>
      </c>
      <c r="P176" s="36" t="n">
        <v>-0.1155913978494624</v>
      </c>
      <c r="Q176" s="36" t="n">
        <v>-0.06356736242884253</v>
      </c>
      <c r="R176" s="36" t="n">
        <v>-0.01102204408817631</v>
      </c>
      <c r="S176" s="36" t="n">
        <v>-0.0904343552251643</v>
      </c>
      <c r="T176" s="36" t="n">
        <v>-0.0707527185425787</v>
      </c>
      <c r="U176" s="31" t="n">
        <v>77700</v>
      </c>
      <c r="V176" s="31" t="n">
        <v>44750</v>
      </c>
      <c r="W176" s="36" t="n">
        <v>-0.3648648648648649</v>
      </c>
      <c r="X176" s="36" t="n">
        <v>0.1027932960893854</v>
      </c>
      <c r="Y176" s="31" t="n">
        <v>43617167</v>
      </c>
      <c r="Z176" s="31" t="n">
        <v>2152507191450</v>
      </c>
      <c r="AA176" s="31" t="n">
        <v>7470208200</v>
      </c>
      <c r="AB176" s="31" t="n">
        <v>11524693702.5</v>
      </c>
      <c r="AC176" s="36" t="n">
        <v>0.003470468405249704</v>
      </c>
      <c r="AD176" s="29" t="inlineStr">
        <is>
          <t>yfinance_download</t>
        </is>
      </c>
      <c r="AE176" s="29" t="inlineStr">
        <is>
          <t>000990.KS</t>
        </is>
      </c>
    </row>
    <row r="177" ht="24" customHeight="1">
      <c r="A177" s="24" t="inlineStr">
        <is>
          <t>2024-02-23</t>
        </is>
      </c>
      <c r="B177" s="30" t="n">
        <v>49850</v>
      </c>
      <c r="C177" s="30" t="n">
        <v>49900</v>
      </c>
      <c r="D177" s="30" t="n">
        <v>48450</v>
      </c>
      <c r="E177" s="30" t="n">
        <v>48750</v>
      </c>
      <c r="F177" s="30" t="n">
        <v>46983.3671875</v>
      </c>
      <c r="G177" s="30" t="n">
        <v>292103</v>
      </c>
      <c r="H177" s="35" t="n">
        <v>-0.0121580547112462</v>
      </c>
      <c r="I177" s="35" t="n">
        <v>-0.4257950530035336</v>
      </c>
      <c r="J177" s="30" t="n">
        <v>49792.5</v>
      </c>
      <c r="K177" s="30" t="n">
        <v>54129.16666666666</v>
      </c>
      <c r="L177" s="30" t="n">
        <v>53083.75</v>
      </c>
      <c r="M177" s="35" t="n">
        <v>0.199130589040616</v>
      </c>
      <c r="N177" s="35" t="n">
        <v>0.336915355685495</v>
      </c>
      <c r="O177" s="35" t="n">
        <v>-0.04223968565815328</v>
      </c>
      <c r="P177" s="35" t="n">
        <v>-0.1356382978723404</v>
      </c>
      <c r="Q177" s="35" t="n">
        <v>-0.05523255813953487</v>
      </c>
      <c r="R177" s="35" t="n">
        <v>-0.02093688808555505</v>
      </c>
      <c r="S177" s="35" t="n">
        <v>-0.09937649141713489</v>
      </c>
      <c r="T177" s="35" t="n">
        <v>-0.08163986153954839</v>
      </c>
      <c r="U177" s="30" t="n">
        <v>77700</v>
      </c>
      <c r="V177" s="30" t="n">
        <v>44750</v>
      </c>
      <c r="W177" s="35" t="n">
        <v>-0.3725868725868726</v>
      </c>
      <c r="X177" s="35" t="n">
        <v>0.0893854748603351</v>
      </c>
      <c r="Y177" s="30" t="n">
        <v>43617167</v>
      </c>
      <c r="Z177" s="30" t="n">
        <v>2126336891250</v>
      </c>
      <c r="AA177" s="30" t="n">
        <v>14240021250</v>
      </c>
      <c r="AB177" s="30" t="n">
        <v>11892208655</v>
      </c>
      <c r="AC177" s="35" t="n">
        <v>0.006696973235331859</v>
      </c>
      <c r="AD177" s="24" t="inlineStr">
        <is>
          <t>yfinance_download</t>
        </is>
      </c>
      <c r="AE177" s="24" t="inlineStr">
        <is>
          <t>000990.KS</t>
        </is>
      </c>
    </row>
    <row r="178" ht="24" customHeight="1">
      <c r="A178" s="29" t="inlineStr">
        <is>
          <t>2024-02-26</t>
        </is>
      </c>
      <c r="B178" s="31" t="n">
        <v>48750</v>
      </c>
      <c r="C178" s="31" t="n">
        <v>49000</v>
      </c>
      <c r="D178" s="31" t="n">
        <v>48000</v>
      </c>
      <c r="E178" s="31" t="n">
        <v>48000</v>
      </c>
      <c r="F178" s="31" t="n">
        <v>46260.54296875</v>
      </c>
      <c r="G178" s="31" t="n">
        <v>218237</v>
      </c>
      <c r="H178" s="36" t="n">
        <v>-0.01538461538461533</v>
      </c>
      <c r="I178" s="36" t="n">
        <v>-0.4346289752650176</v>
      </c>
      <c r="J178" s="31" t="n">
        <v>49662.5</v>
      </c>
      <c r="K178" s="31" t="n">
        <v>53929.16666666666</v>
      </c>
      <c r="L178" s="31" t="n">
        <v>53046.25</v>
      </c>
      <c r="M178" s="36" t="n">
        <v>0.2043232817072131</v>
      </c>
      <c r="N178" s="36" t="n">
        <v>0.3085159773995332</v>
      </c>
      <c r="O178" s="36" t="n">
        <v>-0.0513833992094862</v>
      </c>
      <c r="P178" s="36" t="n">
        <v>-0.2</v>
      </c>
      <c r="Q178" s="36" t="n">
        <v>-0.08571428571428574</v>
      </c>
      <c r="R178" s="36" t="n">
        <v>-0.03347596274855269</v>
      </c>
      <c r="S178" s="36" t="n">
        <v>-0.1099435988565247</v>
      </c>
      <c r="T178" s="36" t="n">
        <v>-0.09512925041826703</v>
      </c>
      <c r="U178" s="31" t="n">
        <v>77700</v>
      </c>
      <c r="V178" s="31" t="n">
        <v>44750</v>
      </c>
      <c r="W178" s="36" t="n">
        <v>-0.3822393822393823</v>
      </c>
      <c r="X178" s="36" t="n">
        <v>0.07262569832402233</v>
      </c>
      <c r="Y178" s="31" t="n">
        <v>43617167</v>
      </c>
      <c r="Z178" s="31" t="n">
        <v>2093624016000</v>
      </c>
      <c r="AA178" s="31" t="n">
        <v>10475376000</v>
      </c>
      <c r="AB178" s="31" t="n">
        <v>11949010295</v>
      </c>
      <c r="AC178" s="36" t="n">
        <v>0.005003465722567447</v>
      </c>
      <c r="AD178" s="29" t="inlineStr">
        <is>
          <t>yfinance_download</t>
        </is>
      </c>
      <c r="AE178" s="29" t="inlineStr">
        <is>
          <t>000990.KS</t>
        </is>
      </c>
    </row>
    <row r="179" ht="24" customHeight="1">
      <c r="A179" s="24" t="inlineStr">
        <is>
          <t>2024-02-27</t>
        </is>
      </c>
      <c r="B179" s="30" t="n">
        <v>48000</v>
      </c>
      <c r="C179" s="30" t="n">
        <v>48100</v>
      </c>
      <c r="D179" s="30" t="n">
        <v>47000</v>
      </c>
      <c r="E179" s="30" t="n">
        <v>47500</v>
      </c>
      <c r="F179" s="30" t="n">
        <v>45778.6640625</v>
      </c>
      <c r="G179" s="30" t="n">
        <v>285856</v>
      </c>
      <c r="H179" s="35" t="n">
        <v>-0.01041666666666663</v>
      </c>
      <c r="I179" s="35" t="n">
        <v>-0.4405182567726738</v>
      </c>
      <c r="J179" s="30" t="n">
        <v>49517.5</v>
      </c>
      <c r="K179" s="30" t="n">
        <v>53712.5</v>
      </c>
      <c r="L179" s="30" t="n">
        <v>52995.41666666666</v>
      </c>
      <c r="M179" s="35" t="n">
        <v>0.2061896070938267</v>
      </c>
      <c r="N179" s="35" t="n">
        <v>0.3078299034077486</v>
      </c>
      <c r="O179" s="35" t="n">
        <v>-0.05753968253968256</v>
      </c>
      <c r="P179" s="35" t="n">
        <v>-0.2148760330578512</v>
      </c>
      <c r="Q179" s="35" t="n">
        <v>-0.1138059701492538</v>
      </c>
      <c r="R179" s="35" t="n">
        <v>-0.04074317160599783</v>
      </c>
      <c r="S179" s="35" t="n">
        <v>-0.1156620898301141</v>
      </c>
      <c r="T179" s="35" t="n">
        <v>-0.1036960743460519</v>
      </c>
      <c r="U179" s="30" t="n">
        <v>77700</v>
      </c>
      <c r="V179" s="30" t="n">
        <v>44750</v>
      </c>
      <c r="W179" s="35" t="n">
        <v>-0.3886743886743886</v>
      </c>
      <c r="X179" s="35" t="n">
        <v>0.06145251396648055</v>
      </c>
      <c r="Y179" s="30" t="n">
        <v>43617167</v>
      </c>
      <c r="Z179" s="30" t="n">
        <v>2071815432500</v>
      </c>
      <c r="AA179" s="30" t="n">
        <v>13578160000</v>
      </c>
      <c r="AB179" s="30" t="n">
        <v>12280382575</v>
      </c>
      <c r="AC179" s="35" t="n">
        <v>0.006553749811398801</v>
      </c>
      <c r="AD179" s="24" t="inlineStr">
        <is>
          <t>yfinance_download</t>
        </is>
      </c>
      <c r="AE179" s="24" t="inlineStr">
        <is>
          <t>000990.KS</t>
        </is>
      </c>
    </row>
    <row r="180" ht="24" customHeight="1">
      <c r="A180" s="29" t="inlineStr">
        <is>
          <t>2024-02-28</t>
        </is>
      </c>
      <c r="B180" s="31" t="n">
        <v>47800</v>
      </c>
      <c r="C180" s="31" t="n">
        <v>48000</v>
      </c>
      <c r="D180" s="31" t="n">
        <v>47150</v>
      </c>
      <c r="E180" s="31" t="n">
        <v>47200</v>
      </c>
      <c r="F180" s="31" t="n">
        <v>45489.53515625</v>
      </c>
      <c r="G180" s="31" t="n">
        <v>209305</v>
      </c>
      <c r="H180" s="36" t="n">
        <v>-0.006315789473684164</v>
      </c>
      <c r="I180" s="36" t="n">
        <v>-0.4440518256772674</v>
      </c>
      <c r="J180" s="31" t="n">
        <v>49352.5</v>
      </c>
      <c r="K180" s="31" t="n">
        <v>53530.83333333334</v>
      </c>
      <c r="L180" s="31" t="n">
        <v>52942.91666666666</v>
      </c>
      <c r="M180" s="36" t="n">
        <v>0.2056979889270965</v>
      </c>
      <c r="N180" s="36" t="n">
        <v>0.2987014219309922</v>
      </c>
      <c r="O180" s="36" t="n">
        <v>-0.06534653465346529</v>
      </c>
      <c r="P180" s="36" t="n">
        <v>-0.1876075731497419</v>
      </c>
      <c r="Q180" s="36" t="n">
        <v>-0.1177570093457944</v>
      </c>
      <c r="R180" s="36" t="n">
        <v>-0.0436148118129781</v>
      </c>
      <c r="S180" s="36" t="n">
        <v>-0.1182651742765074</v>
      </c>
      <c r="T180" s="36" t="n">
        <v>-0.1084737492425017</v>
      </c>
      <c r="U180" s="31" t="n">
        <v>77700</v>
      </c>
      <c r="V180" s="31" t="n">
        <v>44750</v>
      </c>
      <c r="W180" s="36" t="n">
        <v>-0.3925353925353925</v>
      </c>
      <c r="X180" s="36" t="n">
        <v>0.05474860335195531</v>
      </c>
      <c r="Y180" s="31" t="n">
        <v>43617167</v>
      </c>
      <c r="Z180" s="31" t="n">
        <v>2058730282400</v>
      </c>
      <c r="AA180" s="31" t="n">
        <v>9879196000</v>
      </c>
      <c r="AB180" s="31" t="n">
        <v>12164176125</v>
      </c>
      <c r="AC180" s="36" t="n">
        <v>0.004798683967713905</v>
      </c>
      <c r="AD180" s="29" t="inlineStr">
        <is>
          <t>yfinance_download</t>
        </is>
      </c>
      <c r="AE180" s="29" t="inlineStr">
        <is>
          <t>000990.KS</t>
        </is>
      </c>
    </row>
    <row r="181" ht="24" customHeight="1">
      <c r="A181" s="24" t="inlineStr">
        <is>
          <t>2024-02-29</t>
        </is>
      </c>
      <c r="B181" s="30" t="n">
        <v>47350</v>
      </c>
      <c r="C181" s="30" t="n">
        <v>47350</v>
      </c>
      <c r="D181" s="30" t="n">
        <v>46400</v>
      </c>
      <c r="E181" s="30" t="n">
        <v>46400</v>
      </c>
      <c r="F181" s="30" t="n">
        <v>44718.5234375</v>
      </c>
      <c r="G181" s="30" t="n">
        <v>251575</v>
      </c>
      <c r="H181" s="35" t="n">
        <v>-0.01694915254237284</v>
      </c>
      <c r="I181" s="35" t="n">
        <v>-0.4534746760895171</v>
      </c>
      <c r="J181" s="30" t="n">
        <v>49137.5</v>
      </c>
      <c r="K181" s="30" t="n">
        <v>53272.5</v>
      </c>
      <c r="L181" s="30" t="n">
        <v>52883.75</v>
      </c>
      <c r="M181" s="35" t="n">
        <v>0.2092781670461455</v>
      </c>
      <c r="N181" s="35" t="n">
        <v>0.2634136637916425</v>
      </c>
      <c r="O181" s="35" t="n">
        <v>-0.08481262327416172</v>
      </c>
      <c r="P181" s="35" t="n">
        <v>-0.2504038772213247</v>
      </c>
      <c r="Q181" s="35" t="n">
        <v>-0.1327102803738318</v>
      </c>
      <c r="R181" s="35" t="n">
        <v>-0.05571101500890363</v>
      </c>
      <c r="S181" s="35" t="n">
        <v>-0.1290065230653714</v>
      </c>
      <c r="T181" s="35" t="n">
        <v>-0.1226038244262179</v>
      </c>
      <c r="U181" s="30" t="n">
        <v>77700</v>
      </c>
      <c r="V181" s="30" t="n">
        <v>44750</v>
      </c>
      <c r="W181" s="35" t="n">
        <v>-0.4028314028314028</v>
      </c>
      <c r="X181" s="35" t="n">
        <v>0.03687150837988828</v>
      </c>
      <c r="Y181" s="30" t="n">
        <v>43617167</v>
      </c>
      <c r="Z181" s="30" t="n">
        <v>2023836548800</v>
      </c>
      <c r="AA181" s="30" t="n">
        <v>11673080000</v>
      </c>
      <c r="AB181" s="30" t="n">
        <v>12398453890</v>
      </c>
      <c r="AC181" s="35" t="n">
        <v>0.005767797803098949</v>
      </c>
      <c r="AD181" s="24" t="inlineStr">
        <is>
          <t>yfinance_download</t>
        </is>
      </c>
      <c r="AE181" s="24" t="inlineStr">
        <is>
          <t>000990.KS</t>
        </is>
      </c>
    </row>
    <row r="182" ht="24" customHeight="1">
      <c r="A182" s="29" t="inlineStr">
        <is>
          <t>2024-03-04</t>
        </is>
      </c>
      <c r="B182" s="31" t="n">
        <v>46850</v>
      </c>
      <c r="C182" s="31" t="n">
        <v>48250</v>
      </c>
      <c r="D182" s="31" t="n">
        <v>46750</v>
      </c>
      <c r="E182" s="31" t="n">
        <v>47950</v>
      </c>
      <c r="F182" s="31" t="n">
        <v>46212.35546875</v>
      </c>
      <c r="G182" s="31" t="n">
        <v>412891</v>
      </c>
      <c r="H182" s="36" t="n">
        <v>0.03340517241379315</v>
      </c>
      <c r="I182" s="36" t="n">
        <v>-0.4352179034157833</v>
      </c>
      <c r="J182" s="31" t="n">
        <v>49042.5</v>
      </c>
      <c r="K182" s="31" t="n">
        <v>53078.33333333334</v>
      </c>
      <c r="L182" s="31" t="n">
        <v>52827.5</v>
      </c>
      <c r="M182" s="36" t="n">
        <v>0.2428466582387782</v>
      </c>
      <c r="N182" s="36" t="n">
        <v>0.2659085212946595</v>
      </c>
      <c r="O182" s="36" t="n">
        <v>-0.03811434302908723</v>
      </c>
      <c r="P182" s="36" t="n">
        <v>-0.1954697986577181</v>
      </c>
      <c r="Q182" s="36" t="n">
        <v>-0.123400365630713</v>
      </c>
      <c r="R182" s="36" t="n">
        <v>-0.02227659682928074</v>
      </c>
      <c r="S182" s="36" t="n">
        <v>-0.09661820579646441</v>
      </c>
      <c r="T182" s="36" t="n">
        <v>-0.09232880601959204</v>
      </c>
      <c r="U182" s="31" t="n">
        <v>77700</v>
      </c>
      <c r="V182" s="31" t="n">
        <v>44750</v>
      </c>
      <c r="W182" s="36" t="n">
        <v>-0.3828828828828829</v>
      </c>
      <c r="X182" s="36" t="n">
        <v>0.07150837988826808</v>
      </c>
      <c r="Y182" s="31" t="n">
        <v>43617167</v>
      </c>
      <c r="Z182" s="31" t="n">
        <v>2091443157650</v>
      </c>
      <c r="AA182" s="31" t="n">
        <v>19798123450</v>
      </c>
      <c r="AB182" s="31" t="n">
        <v>12883955330</v>
      </c>
      <c r="AC182" s="36" t="n">
        <v>0.009466249836904814</v>
      </c>
      <c r="AD182" s="29" t="inlineStr">
        <is>
          <t>yfinance_download</t>
        </is>
      </c>
      <c r="AE182" s="29" t="inlineStr">
        <is>
          <t>000990.KS</t>
        </is>
      </c>
    </row>
    <row r="183" ht="24" customHeight="1">
      <c r="A183" s="24" t="inlineStr">
        <is>
          <t>2024-03-05</t>
        </is>
      </c>
      <c r="B183" s="30" t="n">
        <v>47950</v>
      </c>
      <c r="C183" s="30" t="n">
        <v>48000</v>
      </c>
      <c r="D183" s="30" t="n">
        <v>46500</v>
      </c>
      <c r="E183" s="30" t="n">
        <v>46600</v>
      </c>
      <c r="F183" s="30" t="n">
        <v>44911.28125</v>
      </c>
      <c r="G183" s="30" t="n">
        <v>303123</v>
      </c>
      <c r="H183" s="35" t="n">
        <v>-0.02815432742440038</v>
      </c>
      <c r="I183" s="35" t="n">
        <v>-0.4511189634864546</v>
      </c>
      <c r="J183" s="30" t="n">
        <v>48867.5</v>
      </c>
      <c r="K183" s="30" t="n">
        <v>52863.33333333334</v>
      </c>
      <c r="L183" s="30" t="n">
        <v>52765.83333333334</v>
      </c>
      <c r="M183" s="35" t="n">
        <v>0.2584848491573819</v>
      </c>
      <c r="N183" s="35" t="n">
        <v>0.2706367926724493</v>
      </c>
      <c r="O183" s="35" t="n">
        <v>-0.06986027944111772</v>
      </c>
      <c r="P183" s="35" t="n">
        <v>-0.2168067226890756</v>
      </c>
      <c r="Q183" s="35" t="n">
        <v>-0.1370370370370371</v>
      </c>
      <c r="R183" s="35" t="n">
        <v>-0.04640098224791533</v>
      </c>
      <c r="S183" s="35" t="n">
        <v>-0.1184816192698153</v>
      </c>
      <c r="T183" s="35" t="n">
        <v>-0.1168527614144255</v>
      </c>
      <c r="U183" s="30" t="n">
        <v>77700</v>
      </c>
      <c r="V183" s="30" t="n">
        <v>44750</v>
      </c>
      <c r="W183" s="35" t="n">
        <v>-0.4002574002574003</v>
      </c>
      <c r="X183" s="35" t="n">
        <v>0.04134078212290504</v>
      </c>
      <c r="Y183" s="30" t="n">
        <v>43617167</v>
      </c>
      <c r="Z183" s="30" t="n">
        <v>2032559982200</v>
      </c>
      <c r="AA183" s="30" t="n">
        <v>14125531800</v>
      </c>
      <c r="AB183" s="30" t="n">
        <v>12899666045</v>
      </c>
      <c r="AC183" s="35" t="n">
        <v>0.006949626049761554</v>
      </c>
      <c r="AD183" s="24" t="inlineStr">
        <is>
          <t>yfinance_download</t>
        </is>
      </c>
      <c r="AE183" s="24" t="inlineStr">
        <is>
          <t>000990.KS</t>
        </is>
      </c>
    </row>
    <row r="184" ht="24" customHeight="1">
      <c r="A184" s="29" t="inlineStr">
        <is>
          <t>2024-03-06</t>
        </is>
      </c>
      <c r="B184" s="31" t="n">
        <v>46550</v>
      </c>
      <c r="C184" s="31" t="n">
        <v>46850</v>
      </c>
      <c r="D184" s="31" t="n">
        <v>45500</v>
      </c>
      <c r="E184" s="31" t="n">
        <v>45800</v>
      </c>
      <c r="F184" s="31" t="n">
        <v>44140.26953125</v>
      </c>
      <c r="G184" s="31" t="n">
        <v>269342</v>
      </c>
      <c r="H184" s="36" t="n">
        <v>-0.01716738197424894</v>
      </c>
      <c r="I184" s="36" t="n">
        <v>-0.4605418138987044</v>
      </c>
      <c r="J184" s="31" t="n">
        <v>48597.5</v>
      </c>
      <c r="K184" s="31" t="n">
        <v>52646.66666666666</v>
      </c>
      <c r="L184" s="31" t="n">
        <v>52701.66666666666</v>
      </c>
      <c r="M184" s="36" t="n">
        <v>0.2443238663117737</v>
      </c>
      <c r="N184" s="36" t="n">
        <v>0.2715306943707828</v>
      </c>
      <c r="O184" s="36" t="n">
        <v>-0.10546875</v>
      </c>
      <c r="P184" s="36" t="n">
        <v>-0.2210884353741497</v>
      </c>
      <c r="Q184" s="36" t="n">
        <v>-0.1439252336448598</v>
      </c>
      <c r="R184" s="36" t="n">
        <v>-0.05756468954164307</v>
      </c>
      <c r="S184" s="36" t="n">
        <v>-0.1300493858427251</v>
      </c>
      <c r="T184" s="36" t="n">
        <v>-0.1309572752284873</v>
      </c>
      <c r="U184" s="31" t="n">
        <v>77700</v>
      </c>
      <c r="V184" s="31" t="n">
        <v>44750</v>
      </c>
      <c r="W184" s="36" t="n">
        <v>-0.4105534105534105</v>
      </c>
      <c r="X184" s="36" t="n">
        <v>0.02346368715083802</v>
      </c>
      <c r="Y184" s="31" t="n">
        <v>43617167</v>
      </c>
      <c r="Z184" s="31" t="n">
        <v>1997666248600</v>
      </c>
      <c r="AA184" s="31" t="n">
        <v>12335863600</v>
      </c>
      <c r="AB184" s="31" t="n">
        <v>12920864985</v>
      </c>
      <c r="AC184" s="36" t="n">
        <v>0.006175137417796988</v>
      </c>
      <c r="AD184" s="29" t="inlineStr">
        <is>
          <t>yfinance_download</t>
        </is>
      </c>
      <c r="AE184" s="29" t="inlineStr">
        <is>
          <t>000990.KS</t>
        </is>
      </c>
    </row>
    <row r="185" ht="24" customHeight="1">
      <c r="A185" s="24" t="inlineStr">
        <is>
          <t>2024-03-07</t>
        </is>
      </c>
      <c r="B185" s="30" t="n">
        <v>45800</v>
      </c>
      <c r="C185" s="30" t="n">
        <v>46300</v>
      </c>
      <c r="D185" s="30" t="n">
        <v>45100</v>
      </c>
      <c r="E185" s="30" t="n">
        <v>45450</v>
      </c>
      <c r="F185" s="30" t="n">
        <v>43802.953125</v>
      </c>
      <c r="G185" s="30" t="n">
        <v>203005</v>
      </c>
      <c r="H185" s="35" t="n">
        <v>-0.007641921397379958</v>
      </c>
      <c r="I185" s="35" t="n">
        <v>-0.4646643109540636</v>
      </c>
      <c r="J185" s="30" t="n">
        <v>48400</v>
      </c>
      <c r="K185" s="30" t="n">
        <v>52425.83333333334</v>
      </c>
      <c r="L185" s="30" t="n">
        <v>52639.58333333334</v>
      </c>
      <c r="M185" s="35" t="n">
        <v>0.2180543697552598</v>
      </c>
      <c r="N185" s="35" t="n">
        <v>0.2715878691656202</v>
      </c>
      <c r="O185" s="35" t="n">
        <v>-0.07995951417004044</v>
      </c>
      <c r="P185" s="35" t="n">
        <v>-0.2257240204429302</v>
      </c>
      <c r="Q185" s="35" t="n">
        <v>-0.1408317580340265</v>
      </c>
      <c r="R185" s="35" t="n">
        <v>-0.06095041322314054</v>
      </c>
      <c r="S185" s="35" t="n">
        <v>-0.1330609909236858</v>
      </c>
      <c r="T185" s="35" t="n">
        <v>-0.1365813115921954</v>
      </c>
      <c r="U185" s="30" t="n">
        <v>77700</v>
      </c>
      <c r="V185" s="30" t="n">
        <v>44750</v>
      </c>
      <c r="W185" s="35" t="n">
        <v>-0.415057915057915</v>
      </c>
      <c r="X185" s="35" t="n">
        <v>0.01564245810055875</v>
      </c>
      <c r="Y185" s="30" t="n">
        <v>43617167</v>
      </c>
      <c r="Z185" s="30" t="n">
        <v>1982400240150</v>
      </c>
      <c r="AA185" s="30" t="n">
        <v>9226577250</v>
      </c>
      <c r="AB185" s="30" t="n">
        <v>12720142457.5</v>
      </c>
      <c r="AC185" s="35" t="n">
        <v>0.004654245425889306</v>
      </c>
      <c r="AD185" s="24" t="inlineStr">
        <is>
          <t>yfinance_download</t>
        </is>
      </c>
      <c r="AE185" s="24" t="inlineStr">
        <is>
          <t>000990.KS</t>
        </is>
      </c>
    </row>
    <row r="186" ht="24" customHeight="1">
      <c r="A186" s="29" t="inlineStr">
        <is>
          <t>2024-03-08</t>
        </is>
      </c>
      <c r="B186" s="31" t="n">
        <v>45900</v>
      </c>
      <c r="C186" s="31" t="n">
        <v>46250</v>
      </c>
      <c r="D186" s="31" t="n">
        <v>45500</v>
      </c>
      <c r="E186" s="31" t="n">
        <v>46150</v>
      </c>
      <c r="F186" s="31" t="n">
        <v>44477.5859375</v>
      </c>
      <c r="G186" s="31" t="n">
        <v>319203</v>
      </c>
      <c r="H186" s="36" t="n">
        <v>0.01540154015401529</v>
      </c>
      <c r="I186" s="36" t="n">
        <v>-0.4564193168433451</v>
      </c>
      <c r="J186" s="31" t="n">
        <v>48222.5</v>
      </c>
      <c r="K186" s="31" t="n">
        <v>52196.66666666666</v>
      </c>
      <c r="L186" s="31" t="n">
        <v>52585</v>
      </c>
      <c r="M186" s="36" t="n">
        <v>0.2261721737780954</v>
      </c>
      <c r="N186" s="36" t="n">
        <v>0.2698321299092439</v>
      </c>
      <c r="O186" s="36" t="n">
        <v>-0.0714285714285714</v>
      </c>
      <c r="P186" s="36" t="n">
        <v>-0.2295492487479132</v>
      </c>
      <c r="Q186" s="36" t="n">
        <v>-0.1242884250474383</v>
      </c>
      <c r="R186" s="36" t="n">
        <v>-0.04297786303074291</v>
      </c>
      <c r="S186" s="36" t="n">
        <v>-0.1158439236221981</v>
      </c>
      <c r="T186" s="36" t="n">
        <v>-0.1223733003708282</v>
      </c>
      <c r="U186" s="31" t="n">
        <v>77700</v>
      </c>
      <c r="V186" s="31" t="n">
        <v>44750</v>
      </c>
      <c r="W186" s="36" t="n">
        <v>-0.4060489060489061</v>
      </c>
      <c r="X186" s="36" t="n">
        <v>0.03128491620111729</v>
      </c>
      <c r="Y186" s="31" t="n">
        <v>43617167</v>
      </c>
      <c r="Z186" s="31" t="n">
        <v>2012932257050</v>
      </c>
      <c r="AA186" s="31" t="n">
        <v>14731218450</v>
      </c>
      <c r="AB186" s="31" t="n">
        <v>12815918795</v>
      </c>
      <c r="AC186" s="36" t="n">
        <v>0.007318288232704338</v>
      </c>
      <c r="AD186" s="29" t="inlineStr">
        <is>
          <t>yfinance_download</t>
        </is>
      </c>
      <c r="AE186" s="29" t="inlineStr">
        <is>
          <t>000990.KS</t>
        </is>
      </c>
    </row>
    <row r="187" ht="24" customHeight="1">
      <c r="A187" s="24" t="inlineStr">
        <is>
          <t>2024-03-11</t>
        </is>
      </c>
      <c r="B187" s="30" t="n">
        <v>45600</v>
      </c>
      <c r="C187" s="30" t="n">
        <v>45800</v>
      </c>
      <c r="D187" s="30" t="n">
        <v>44950</v>
      </c>
      <c r="E187" s="30" t="n">
        <v>45100</v>
      </c>
      <c r="F187" s="30" t="n">
        <v>43465.63671875</v>
      </c>
      <c r="G187" s="30" t="n">
        <v>232289</v>
      </c>
      <c r="H187" s="35" t="n">
        <v>-0.02275189599133265</v>
      </c>
      <c r="I187" s="35" t="n">
        <v>-0.4687868080094229</v>
      </c>
      <c r="J187" s="30" t="n">
        <v>47980</v>
      </c>
      <c r="K187" s="30" t="n">
        <v>51965</v>
      </c>
      <c r="L187" s="30" t="n">
        <v>52531.66666666666</v>
      </c>
      <c r="M187" s="35" t="n">
        <v>0.2334891412717224</v>
      </c>
      <c r="N187" s="35" t="n">
        <v>0.2716157458083086</v>
      </c>
      <c r="O187" s="35" t="n">
        <v>-0.09709709709709713</v>
      </c>
      <c r="P187" s="35" t="n">
        <v>-0.235593220338983</v>
      </c>
      <c r="Q187" s="35" t="n">
        <v>-0.1242718446601941</v>
      </c>
      <c r="R187" s="35" t="n">
        <v>-0.06002501042100872</v>
      </c>
      <c r="S187" s="35" t="n">
        <v>-0.1321081497161551</v>
      </c>
      <c r="T187" s="35" t="n">
        <v>-0.1414702243091468</v>
      </c>
      <c r="U187" s="30" t="n">
        <v>77700</v>
      </c>
      <c r="V187" s="30" t="n">
        <v>44750</v>
      </c>
      <c r="W187" s="35" t="n">
        <v>-0.4195624195624196</v>
      </c>
      <c r="X187" s="35" t="n">
        <v>0.007821229050279266</v>
      </c>
      <c r="Y187" s="30" t="n">
        <v>43617167</v>
      </c>
      <c r="Z187" s="30" t="n">
        <v>1967134231700</v>
      </c>
      <c r="AA187" s="30" t="n">
        <v>10476233900</v>
      </c>
      <c r="AB187" s="30" t="n">
        <v>12829486245</v>
      </c>
      <c r="AC187" s="35" t="n">
        <v>0.005325632451094313</v>
      </c>
      <c r="AD187" s="24" t="inlineStr">
        <is>
          <t>yfinance_download</t>
        </is>
      </c>
      <c r="AE187" s="24" t="inlineStr">
        <is>
          <t>000990.KS</t>
        </is>
      </c>
    </row>
    <row r="188" ht="24" customHeight="1">
      <c r="A188" s="29" t="inlineStr">
        <is>
          <t>2024-03-12</t>
        </is>
      </c>
      <c r="B188" s="31" t="n">
        <v>45550</v>
      </c>
      <c r="C188" s="31" t="n">
        <v>45650</v>
      </c>
      <c r="D188" s="31" t="n">
        <v>45000</v>
      </c>
      <c r="E188" s="31" t="n">
        <v>45400</v>
      </c>
      <c r="F188" s="31" t="n">
        <v>43754.765625</v>
      </c>
      <c r="G188" s="31" t="n">
        <v>197432</v>
      </c>
      <c r="H188" s="36" t="n">
        <v>0.006651884700665134</v>
      </c>
      <c r="I188" s="36" t="n">
        <v>-0.4652532391048292</v>
      </c>
      <c r="J188" s="31" t="n">
        <v>47745</v>
      </c>
      <c r="K188" s="31" t="n">
        <v>51740</v>
      </c>
      <c r="L188" s="31" t="n">
        <v>52483.33333333334</v>
      </c>
      <c r="M188" s="36" t="n">
        <v>0.2354968121503523</v>
      </c>
      <c r="N188" s="36" t="n">
        <v>0.2724977465779002</v>
      </c>
      <c r="O188" s="36" t="n">
        <v>-0.09381237524950103</v>
      </c>
      <c r="P188" s="36" t="n">
        <v>-0.2292020373514432</v>
      </c>
      <c r="Q188" s="36" t="n">
        <v>-0.11328125</v>
      </c>
      <c r="R188" s="36" t="n">
        <v>-0.04911509058540164</v>
      </c>
      <c r="S188" s="36" t="n">
        <v>-0.1225357557015848</v>
      </c>
      <c r="T188" s="36" t="n">
        <v>-0.1349634804699905</v>
      </c>
      <c r="U188" s="31" t="n">
        <v>77700</v>
      </c>
      <c r="V188" s="31" t="n">
        <v>45100</v>
      </c>
      <c r="W188" s="36" t="n">
        <v>-0.4157014157014157</v>
      </c>
      <c r="X188" s="36" t="n">
        <v>0.006651884700665134</v>
      </c>
      <c r="Y188" s="31" t="n">
        <v>43617167</v>
      </c>
      <c r="Z188" s="31" t="n">
        <v>1980219381800</v>
      </c>
      <c r="AA188" s="31" t="n">
        <v>8963412800</v>
      </c>
      <c r="AB188" s="31" t="n">
        <v>12688082590</v>
      </c>
      <c r="AC188" s="36" t="n">
        <v>0.004526474633256213</v>
      </c>
      <c r="AD188" s="29" t="inlineStr">
        <is>
          <t>yfinance_download</t>
        </is>
      </c>
      <c r="AE188" s="29" t="inlineStr">
        <is>
          <t>000990.KS</t>
        </is>
      </c>
    </row>
    <row r="189" ht="24" customHeight="1">
      <c r="A189" s="24" t="inlineStr">
        <is>
          <t>2024-03-13</t>
        </is>
      </c>
      <c r="B189" s="30" t="n">
        <v>45800</v>
      </c>
      <c r="C189" s="30" t="n">
        <v>45800</v>
      </c>
      <c r="D189" s="30" t="n">
        <v>44850</v>
      </c>
      <c r="E189" s="30" t="n">
        <v>45100</v>
      </c>
      <c r="F189" s="30" t="n">
        <v>43465.63671875</v>
      </c>
      <c r="G189" s="30" t="n">
        <v>232120</v>
      </c>
      <c r="H189" s="35" t="n">
        <v>-0.006607929515418554</v>
      </c>
      <c r="I189" s="35" t="n">
        <v>-0.4687868080094229</v>
      </c>
      <c r="J189" s="30" t="n">
        <v>47520</v>
      </c>
      <c r="K189" s="30" t="n">
        <v>51486.66666666666</v>
      </c>
      <c r="L189" s="30" t="n">
        <v>52441.66666666666</v>
      </c>
      <c r="M189" s="35" t="n">
        <v>0.2348179954091246</v>
      </c>
      <c r="N189" s="35" t="n">
        <v>0.2662280530437913</v>
      </c>
      <c r="O189" s="35" t="n">
        <v>-0.09072580645161288</v>
      </c>
      <c r="P189" s="35" t="n">
        <v>-0.2520729684908789</v>
      </c>
      <c r="Q189" s="35" t="n">
        <v>-0.09980039920159678</v>
      </c>
      <c r="R189" s="35" t="n">
        <v>-0.05092592592592593</v>
      </c>
      <c r="S189" s="35" t="n">
        <v>-0.124045060209763</v>
      </c>
      <c r="T189" s="35" t="n">
        <v>-0.1399968218655648</v>
      </c>
      <c r="U189" s="30" t="n">
        <v>77700</v>
      </c>
      <c r="V189" s="30" t="n">
        <v>45100</v>
      </c>
      <c r="W189" s="35" t="n">
        <v>-0.4195624195624196</v>
      </c>
      <c r="X189" s="35" t="n">
        <v>0</v>
      </c>
      <c r="Y189" s="30" t="n">
        <v>43617167</v>
      </c>
      <c r="Z189" s="30" t="n">
        <v>1967134231700</v>
      </c>
      <c r="AA189" s="30" t="n">
        <v>10468612000</v>
      </c>
      <c r="AB189" s="30" t="n">
        <v>12038760870</v>
      </c>
      <c r="AC189" s="35" t="n">
        <v>0.005321757829892987</v>
      </c>
      <c r="AD189" s="24" t="inlineStr">
        <is>
          <t>yfinance_download</t>
        </is>
      </c>
      <c r="AE189" s="24" t="inlineStr">
        <is>
          <t>000990.KS</t>
        </is>
      </c>
    </row>
    <row r="190" ht="24" customHeight="1">
      <c r="A190" s="29" t="inlineStr">
        <is>
          <t>2024-03-14</t>
        </is>
      </c>
      <c r="B190" s="31" t="n">
        <v>45150</v>
      </c>
      <c r="C190" s="31" t="n">
        <v>45150</v>
      </c>
      <c r="D190" s="31" t="n">
        <v>44150</v>
      </c>
      <c r="E190" s="31" t="n">
        <v>44400</v>
      </c>
      <c r="F190" s="31" t="n">
        <v>42791.00390625</v>
      </c>
      <c r="G190" s="31" t="n">
        <v>438691</v>
      </c>
      <c r="H190" s="36" t="n">
        <v>-0.01552106430155209</v>
      </c>
      <c r="I190" s="36" t="n">
        <v>-0.4770318021201413</v>
      </c>
      <c r="J190" s="31" t="n">
        <v>47300</v>
      </c>
      <c r="K190" s="31" t="n">
        <v>51218.33333333334</v>
      </c>
      <c r="L190" s="31" t="n">
        <v>52400.41666666666</v>
      </c>
      <c r="M190" s="36" t="n">
        <v>0.2344330859409084</v>
      </c>
      <c r="N190" s="36" t="n">
        <v>0.2666074446790937</v>
      </c>
      <c r="O190" s="36" t="n">
        <v>-0.0901639344262295</v>
      </c>
      <c r="P190" s="36" t="n">
        <v>-0.2661157024793388</v>
      </c>
      <c r="Q190" s="36" t="n">
        <v>-0.1003039513677811</v>
      </c>
      <c r="R190" s="36" t="n">
        <v>-0.06131078224101483</v>
      </c>
      <c r="S190" s="36" t="n">
        <v>-0.1331229052097231</v>
      </c>
      <c r="T190" s="36" t="n">
        <v>-0.1526784933325911</v>
      </c>
      <c r="U190" s="31" t="n">
        <v>77700</v>
      </c>
      <c r="V190" s="31" t="n">
        <v>44400</v>
      </c>
      <c r="W190" s="36" t="n">
        <v>-0.4285714285714286</v>
      </c>
      <c r="X190" s="36" t="n">
        <v>0</v>
      </c>
      <c r="Y190" s="31" t="n">
        <v>43617167</v>
      </c>
      <c r="Z190" s="31" t="n">
        <v>1936602214800</v>
      </c>
      <c r="AA190" s="31" t="n">
        <v>19477880400</v>
      </c>
      <c r="AB190" s="31" t="n">
        <v>11951730690</v>
      </c>
      <c r="AC190" s="36" t="n">
        <v>0.01005776005580555</v>
      </c>
      <c r="AD190" s="29" t="inlineStr">
        <is>
          <t>yfinance_download</t>
        </is>
      </c>
      <c r="AE190" s="29" t="inlineStr">
        <is>
          <t>000990.KS</t>
        </is>
      </c>
    </row>
    <row r="191" ht="24" customHeight="1">
      <c r="A191" s="24" t="inlineStr">
        <is>
          <t>2024-03-15</t>
        </is>
      </c>
      <c r="B191" s="30" t="n">
        <v>44150</v>
      </c>
      <c r="C191" s="30" t="n">
        <v>44400</v>
      </c>
      <c r="D191" s="30" t="n">
        <v>43450</v>
      </c>
      <c r="E191" s="30" t="n">
        <v>43500</v>
      </c>
      <c r="F191" s="30" t="n">
        <v>41923.6171875</v>
      </c>
      <c r="G191" s="30" t="n">
        <v>425543</v>
      </c>
      <c r="H191" s="35" t="n">
        <v>-0.02027027027027029</v>
      </c>
      <c r="I191" s="35" t="n">
        <v>-0.4876325088339223</v>
      </c>
      <c r="J191" s="30" t="n">
        <v>47032.5</v>
      </c>
      <c r="K191" s="30" t="n">
        <v>50923.33333333334</v>
      </c>
      <c r="L191" s="30" t="n">
        <v>52331.25</v>
      </c>
      <c r="M191" s="35" t="n">
        <v>0.2397700702761814</v>
      </c>
      <c r="N191" s="35" t="n">
        <v>0.2661386433794449</v>
      </c>
      <c r="O191" s="35" t="n">
        <v>-0.1095189355168884</v>
      </c>
      <c r="P191" s="35" t="n">
        <v>-0.2892156862745098</v>
      </c>
      <c r="Q191" s="35" t="n">
        <v>-0.1602316602316602</v>
      </c>
      <c r="R191" s="35" t="n">
        <v>-0.07510763833519374</v>
      </c>
      <c r="S191" s="35" t="n">
        <v>-0.1457746939844211</v>
      </c>
      <c r="T191" s="35" t="n">
        <v>-0.1687567180222143</v>
      </c>
      <c r="U191" s="30" t="n">
        <v>77700</v>
      </c>
      <c r="V191" s="30" t="n">
        <v>43500</v>
      </c>
      <c r="W191" s="35" t="n">
        <v>-0.4401544401544402</v>
      </c>
      <c r="X191" s="35" t="n">
        <v>0</v>
      </c>
      <c r="Y191" s="30" t="n">
        <v>43617167</v>
      </c>
      <c r="Z191" s="30" t="n">
        <v>1897346764500</v>
      </c>
      <c r="AA191" s="30" t="n">
        <v>18511120500</v>
      </c>
      <c r="AB191" s="30" t="n">
        <v>12332448010</v>
      </c>
      <c r="AC191" s="35" t="n">
        <v>0.00975631911169288</v>
      </c>
      <c r="AD191" s="24" t="inlineStr">
        <is>
          <t>yfinance_download</t>
        </is>
      </c>
      <c r="AE191" s="24" t="inlineStr">
        <is>
          <t>000990.KS</t>
        </is>
      </c>
    </row>
    <row r="192" ht="24" customHeight="1">
      <c r="A192" s="29" t="inlineStr">
        <is>
          <t>2024-03-18</t>
        </is>
      </c>
      <c r="B192" s="31" t="n">
        <v>43550</v>
      </c>
      <c r="C192" s="31" t="n">
        <v>44200</v>
      </c>
      <c r="D192" s="31" t="n">
        <v>43550</v>
      </c>
      <c r="E192" s="31" t="n">
        <v>43950</v>
      </c>
      <c r="F192" s="31" t="n">
        <v>42357.30859375</v>
      </c>
      <c r="G192" s="31" t="n">
        <v>165020</v>
      </c>
      <c r="H192" s="36" t="n">
        <v>0.01034482758620681</v>
      </c>
      <c r="I192" s="36" t="n">
        <v>-0.4823321554770318</v>
      </c>
      <c r="J192" s="31" t="n">
        <v>46742.5</v>
      </c>
      <c r="K192" s="31" t="n">
        <v>50642.5</v>
      </c>
      <c r="L192" s="31" t="n">
        <v>52260</v>
      </c>
      <c r="M192" s="36" t="n">
        <v>0.2305377215002023</v>
      </c>
      <c r="N192" s="36" t="n">
        <v>0.2681083141502134</v>
      </c>
      <c r="O192" s="36" t="n">
        <v>-0.1165829145728643</v>
      </c>
      <c r="P192" s="36" t="n">
        <v>-0.2771381578947368</v>
      </c>
      <c r="Q192" s="36" t="n">
        <v>-0.1628571428571428</v>
      </c>
      <c r="R192" s="36" t="n">
        <v>-0.05974220463175905</v>
      </c>
      <c r="S192" s="36" t="n">
        <v>-0.1321518487436442</v>
      </c>
      <c r="T192" s="36" t="n">
        <v>-0.1590126291618829</v>
      </c>
      <c r="U192" s="31" t="n">
        <v>77700</v>
      </c>
      <c r="V192" s="31" t="n">
        <v>43500</v>
      </c>
      <c r="W192" s="36" t="n">
        <v>-0.4343629343629344</v>
      </c>
      <c r="X192" s="36" t="n">
        <v>0.01034482758620681</v>
      </c>
      <c r="Y192" s="31" t="n">
        <v>43617167</v>
      </c>
      <c r="Z192" s="31" t="n">
        <v>1916974489650</v>
      </c>
      <c r="AA192" s="31" t="n">
        <v>7252629000</v>
      </c>
      <c r="AB192" s="31" t="n">
        <v>12123170872.5</v>
      </c>
      <c r="AC192" s="36" t="n">
        <v>0.003783372725697659</v>
      </c>
      <c r="AD192" s="29" t="inlineStr">
        <is>
          <t>yfinance_download</t>
        </is>
      </c>
      <c r="AE192" s="29" t="inlineStr">
        <is>
          <t>000990.KS</t>
        </is>
      </c>
    </row>
    <row r="193" ht="24" customHeight="1">
      <c r="A193" s="24" t="inlineStr">
        <is>
          <t>2024-03-19</t>
        </is>
      </c>
      <c r="B193" s="30" t="n">
        <v>44000</v>
      </c>
      <c r="C193" s="30" t="n">
        <v>44550</v>
      </c>
      <c r="D193" s="30" t="n">
        <v>43600</v>
      </c>
      <c r="E193" s="30" t="n">
        <v>44250</v>
      </c>
      <c r="F193" s="30" t="n">
        <v>42646.44140625</v>
      </c>
      <c r="G193" s="30" t="n">
        <v>176727</v>
      </c>
      <c r="H193" s="35" t="n">
        <v>0.006825938566553003</v>
      </c>
      <c r="I193" s="35" t="n">
        <v>-0.4787985865724381</v>
      </c>
      <c r="J193" s="30" t="n">
        <v>46485</v>
      </c>
      <c r="K193" s="30" t="n">
        <v>50370</v>
      </c>
      <c r="L193" s="30" t="n">
        <v>52199.58333333334</v>
      </c>
      <c r="M193" s="35" t="n">
        <v>0.2349826720412956</v>
      </c>
      <c r="N193" s="35" t="n">
        <v>0.2692237354924826</v>
      </c>
      <c r="O193" s="35" t="n">
        <v>-0.1042510121457489</v>
      </c>
      <c r="P193" s="35" t="n">
        <v>-0.2698019801980198</v>
      </c>
      <c r="Q193" s="35" t="n">
        <v>-0.1407766990291263</v>
      </c>
      <c r="R193" s="35" t="n">
        <v>-0.04808002581477899</v>
      </c>
      <c r="S193" s="35" t="n">
        <v>-0.121500893388922</v>
      </c>
      <c r="T193" s="35" t="n">
        <v>-0.1522920840683595</v>
      </c>
      <c r="U193" s="30" t="n">
        <v>77700</v>
      </c>
      <c r="V193" s="30" t="n">
        <v>43500</v>
      </c>
      <c r="W193" s="35" t="n">
        <v>-0.4305019305019305</v>
      </c>
      <c r="X193" s="35" t="n">
        <v>0.01724137931034475</v>
      </c>
      <c r="Y193" s="30" t="n">
        <v>43617167</v>
      </c>
      <c r="Z193" s="30" t="n">
        <v>1930059639750</v>
      </c>
      <c r="AA193" s="30" t="n">
        <v>7820169750</v>
      </c>
      <c r="AB193" s="30" t="n">
        <v>11970680560</v>
      </c>
      <c r="AC193" s="35" t="n">
        <v>0.004051776219212037</v>
      </c>
      <c r="AD193" s="24" t="inlineStr">
        <is>
          <t>yfinance_download</t>
        </is>
      </c>
      <c r="AE193" s="24" t="inlineStr">
        <is>
          <t>000990.KS</t>
        </is>
      </c>
    </row>
    <row r="194" ht="24" customHeight="1">
      <c r="A194" s="29" t="inlineStr">
        <is>
          <t>2024-03-20</t>
        </is>
      </c>
      <c r="B194" s="31" t="n">
        <v>44450</v>
      </c>
      <c r="C194" s="31" t="n">
        <v>44850</v>
      </c>
      <c r="D194" s="31" t="n">
        <v>44200</v>
      </c>
      <c r="E194" s="31" t="n">
        <v>44650</v>
      </c>
      <c r="F194" s="31" t="n">
        <v>43031.94140625</v>
      </c>
      <c r="G194" s="31" t="n">
        <v>187424</v>
      </c>
      <c r="H194" s="36" t="n">
        <v>0.009039548022598876</v>
      </c>
      <c r="I194" s="36" t="n">
        <v>-0.4740871613663133</v>
      </c>
      <c r="J194" s="31" t="n">
        <v>46242.5</v>
      </c>
      <c r="K194" s="31" t="n">
        <v>50119.16666666666</v>
      </c>
      <c r="L194" s="31" t="n">
        <v>52148.33333333334</v>
      </c>
      <c r="M194" s="36" t="n">
        <v>0.2391984188212742</v>
      </c>
      <c r="N194" s="36" t="n">
        <v>0.2699726289453618</v>
      </c>
      <c r="O194" s="36" t="n">
        <v>-0.09797979797979794</v>
      </c>
      <c r="P194" s="36" t="n">
        <v>-0.2520938023450586</v>
      </c>
      <c r="Q194" s="36" t="n">
        <v>-0.1210629921259843</v>
      </c>
      <c r="R194" s="36" t="n">
        <v>-0.03443801697572579</v>
      </c>
      <c r="S194" s="36" t="n">
        <v>-0.1091232562392963</v>
      </c>
      <c r="T194" s="36" t="n">
        <v>-0.1437885518872447</v>
      </c>
      <c r="U194" s="31" t="n">
        <v>77700</v>
      </c>
      <c r="V194" s="31" t="n">
        <v>43500</v>
      </c>
      <c r="W194" s="36" t="n">
        <v>-0.4253539253539254</v>
      </c>
      <c r="X194" s="36" t="n">
        <v>0.02643678160919549</v>
      </c>
      <c r="Y194" s="31" t="n">
        <v>43617167</v>
      </c>
      <c r="Z194" s="31" t="n">
        <v>1947506506550</v>
      </c>
      <c r="AA194" s="31" t="n">
        <v>8368481600</v>
      </c>
      <c r="AB194" s="31" t="n">
        <v>12011813165</v>
      </c>
      <c r="AC194" s="36" t="n">
        <v>0.004297023692529136</v>
      </c>
      <c r="AD194" s="29" t="inlineStr">
        <is>
          <t>yfinance_download</t>
        </is>
      </c>
      <c r="AE194" s="29" t="inlineStr">
        <is>
          <t>000990.KS</t>
        </is>
      </c>
    </row>
    <row r="195" ht="24" customHeight="1">
      <c r="A195" s="24" t="inlineStr">
        <is>
          <t>2024-03-21</t>
        </is>
      </c>
      <c r="B195" s="30" t="n">
        <v>45200</v>
      </c>
      <c r="C195" s="30" t="n">
        <v>45900</v>
      </c>
      <c r="D195" s="30" t="n">
        <v>44650</v>
      </c>
      <c r="E195" s="30" t="n">
        <v>45500</v>
      </c>
      <c r="F195" s="30" t="n">
        <v>43851.140625</v>
      </c>
      <c r="G195" s="30" t="n">
        <v>360367</v>
      </c>
      <c r="H195" s="35" t="n">
        <v>0.01903695408734607</v>
      </c>
      <c r="I195" s="35" t="n">
        <v>-0.464075382803298</v>
      </c>
      <c r="J195" s="30" t="n">
        <v>46050</v>
      </c>
      <c r="K195" s="30" t="n">
        <v>49885.83333333334</v>
      </c>
      <c r="L195" s="30" t="n">
        <v>52102.5</v>
      </c>
      <c r="M195" s="35" t="n">
        <v>0.2540179460251646</v>
      </c>
      <c r="N195" s="35" t="n">
        <v>0.2743092208765445</v>
      </c>
      <c r="O195" s="35" t="n">
        <v>-0.07801418439716312</v>
      </c>
      <c r="P195" s="35" t="n">
        <v>-0.2352941176470589</v>
      </c>
      <c r="Q195" s="35" t="n">
        <v>-0.1078431372549019</v>
      </c>
      <c r="R195" s="35" t="n">
        <v>-0.01194353963083605</v>
      </c>
      <c r="S195" s="35" t="n">
        <v>-0.08791741142274867</v>
      </c>
      <c r="T195" s="35" t="n">
        <v>-0.1267213665371143</v>
      </c>
      <c r="U195" s="30" t="n">
        <v>77700</v>
      </c>
      <c r="V195" s="30" t="n">
        <v>43500</v>
      </c>
      <c r="W195" s="35" t="n">
        <v>-0.4144144144144144</v>
      </c>
      <c r="X195" s="35" t="n">
        <v>0.04597701149425282</v>
      </c>
      <c r="Y195" s="30" t="n">
        <v>43617167</v>
      </c>
      <c r="Z195" s="30" t="n">
        <v>1984581098500</v>
      </c>
      <c r="AA195" s="30" t="n">
        <v>16396698500</v>
      </c>
      <c r="AB195" s="30" t="n">
        <v>12263429722.5</v>
      </c>
      <c r="AC195" s="35" t="n">
        <v>0.008262045079635731</v>
      </c>
      <c r="AD195" s="24" t="inlineStr">
        <is>
          <t>yfinance_download</t>
        </is>
      </c>
      <c r="AE195" s="24" t="inlineStr">
        <is>
          <t>000990.KS</t>
        </is>
      </c>
    </row>
    <row r="196" ht="24" customHeight="1">
      <c r="A196" s="29" t="inlineStr">
        <is>
          <t>2024-03-22</t>
        </is>
      </c>
      <c r="B196" s="31" t="n">
        <v>45700</v>
      </c>
      <c r="C196" s="31" t="n">
        <v>45700</v>
      </c>
      <c r="D196" s="31" t="n">
        <v>45100</v>
      </c>
      <c r="E196" s="31" t="n">
        <v>45450</v>
      </c>
      <c r="F196" s="31" t="n">
        <v>43802.953125</v>
      </c>
      <c r="G196" s="31" t="n">
        <v>199704</v>
      </c>
      <c r="H196" s="36" t="n">
        <v>-0.001098901098901095</v>
      </c>
      <c r="I196" s="36" t="n">
        <v>-0.4646643109540636</v>
      </c>
      <c r="J196" s="31" t="n">
        <v>45855</v>
      </c>
      <c r="K196" s="31" t="n">
        <v>49660</v>
      </c>
      <c r="L196" s="31" t="n">
        <v>52072.5</v>
      </c>
      <c r="M196" s="36" t="n">
        <v>0.2538222318028808</v>
      </c>
      <c r="N196" s="36" t="n">
        <v>0.2742523855655337</v>
      </c>
      <c r="O196" s="36" t="n">
        <v>-0.07902735562310026</v>
      </c>
      <c r="P196" s="36" t="n">
        <v>-0.2296610169491525</v>
      </c>
      <c r="Q196" s="36" t="n">
        <v>-0.07339449541284404</v>
      </c>
      <c r="R196" s="36" t="n">
        <v>-0.008832188420019649</v>
      </c>
      <c r="S196" s="36" t="n">
        <v>-0.08477648006443816</v>
      </c>
      <c r="T196" s="36" t="n">
        <v>-0.1271784531182486</v>
      </c>
      <c r="U196" s="31" t="n">
        <v>77700</v>
      </c>
      <c r="V196" s="31" t="n">
        <v>43500</v>
      </c>
      <c r="W196" s="36" t="n">
        <v>-0.415057915057915</v>
      </c>
      <c r="X196" s="36" t="n">
        <v>0.04482758620689653</v>
      </c>
      <c r="Y196" s="31" t="n">
        <v>43617167</v>
      </c>
      <c r="Z196" s="31" t="n">
        <v>1982400240150</v>
      </c>
      <c r="AA196" s="31" t="n">
        <v>9076546800</v>
      </c>
      <c r="AB196" s="31" t="n">
        <v>12343746652.5</v>
      </c>
      <c r="AC196" s="36" t="n">
        <v>0.004578564215323751</v>
      </c>
      <c r="AD196" s="29" t="inlineStr">
        <is>
          <t>yfinance_download</t>
        </is>
      </c>
      <c r="AE196" s="29" t="inlineStr">
        <is>
          <t>000990.KS</t>
        </is>
      </c>
    </row>
    <row r="197" ht="24" customHeight="1">
      <c r="A197" s="24" t="inlineStr">
        <is>
          <t>2024-03-25</t>
        </is>
      </c>
      <c r="B197" s="30" t="n">
        <v>45600</v>
      </c>
      <c r="C197" s="30" t="n">
        <v>45650</v>
      </c>
      <c r="D197" s="30" t="n">
        <v>44250</v>
      </c>
      <c r="E197" s="30" t="n">
        <v>44300</v>
      </c>
      <c r="F197" s="30" t="n">
        <v>42694.62890625</v>
      </c>
      <c r="G197" s="30" t="n">
        <v>212795</v>
      </c>
      <c r="H197" s="35" t="n">
        <v>-0.02530253025302531</v>
      </c>
      <c r="I197" s="35" t="n">
        <v>-0.4782096584216725</v>
      </c>
      <c r="J197" s="30" t="n">
        <v>45632.5</v>
      </c>
      <c r="K197" s="30" t="n">
        <v>49408.33333333334</v>
      </c>
      <c r="L197" s="30" t="n">
        <v>52030</v>
      </c>
      <c r="M197" s="35" t="n">
        <v>0.2635372737825318</v>
      </c>
      <c r="N197" s="35" t="n">
        <v>0.2766420154231062</v>
      </c>
      <c r="O197" s="35" t="n">
        <v>-0.09128205128205125</v>
      </c>
      <c r="P197" s="35" t="n">
        <v>-0.2542087542087542</v>
      </c>
      <c r="Q197" s="35" t="n">
        <v>-0.1032388663967612</v>
      </c>
      <c r="R197" s="35" t="n">
        <v>-0.0292006793403824</v>
      </c>
      <c r="S197" s="35" t="n">
        <v>-0.1033901163771294</v>
      </c>
      <c r="T197" s="35" t="n">
        <v>-0.1485681337689795</v>
      </c>
      <c r="U197" s="30" t="n">
        <v>77700</v>
      </c>
      <c r="V197" s="30" t="n">
        <v>43500</v>
      </c>
      <c r="W197" s="35" t="n">
        <v>-0.4298584298584298</v>
      </c>
      <c r="X197" s="35" t="n">
        <v>0.01839080459770126</v>
      </c>
      <c r="Y197" s="30" t="n">
        <v>43617167</v>
      </c>
      <c r="Z197" s="30" t="n">
        <v>1932240498100</v>
      </c>
      <c r="AA197" s="30" t="n">
        <v>9426818500</v>
      </c>
      <c r="AB197" s="30" t="n">
        <v>12103086515</v>
      </c>
      <c r="AC197" s="35" t="n">
        <v>0.004878698334534199</v>
      </c>
      <c r="AD197" s="24" t="inlineStr">
        <is>
          <t>yfinance_download</t>
        </is>
      </c>
      <c r="AE197" s="24" t="inlineStr">
        <is>
          <t>000990.KS</t>
        </is>
      </c>
    </row>
    <row r="198" ht="24" customHeight="1">
      <c r="A198" s="29" t="inlineStr">
        <is>
          <t>2024-03-26</t>
        </is>
      </c>
      <c r="B198" s="31" t="n">
        <v>44500</v>
      </c>
      <c r="C198" s="31" t="n">
        <v>45150</v>
      </c>
      <c r="D198" s="31" t="n">
        <v>43600</v>
      </c>
      <c r="E198" s="31" t="n">
        <v>43700</v>
      </c>
      <c r="F198" s="31" t="n">
        <v>42116.37109375</v>
      </c>
      <c r="G198" s="31" t="n">
        <v>392876</v>
      </c>
      <c r="H198" s="36" t="n">
        <v>-0.01354401805869077</v>
      </c>
      <c r="I198" s="36" t="n">
        <v>-0.4852767962308598</v>
      </c>
      <c r="J198" s="31" t="n">
        <v>45417.5</v>
      </c>
      <c r="K198" s="31" t="n">
        <v>49138.33333333334</v>
      </c>
      <c r="L198" s="31" t="n">
        <v>51980.83333333334</v>
      </c>
      <c r="M198" s="36" t="n">
        <v>0.2626217240164715</v>
      </c>
      <c r="N198" s="36" t="n">
        <v>0.2758457237331716</v>
      </c>
      <c r="O198" s="36" t="n">
        <v>-0.08958333333333335</v>
      </c>
      <c r="P198" s="36" t="n">
        <v>-0.2704507512520868</v>
      </c>
      <c r="Q198" s="36" t="n">
        <v>-0.1189516129032258</v>
      </c>
      <c r="R198" s="36" t="n">
        <v>-0.03781581989321292</v>
      </c>
      <c r="S198" s="36" t="n">
        <v>-0.1106739476986739</v>
      </c>
      <c r="T198" s="36" t="n">
        <v>-0.1593055132500761</v>
      </c>
      <c r="U198" s="31" t="n">
        <v>77700</v>
      </c>
      <c r="V198" s="31" t="n">
        <v>43500</v>
      </c>
      <c r="W198" s="36" t="n">
        <v>-0.4375804375804376</v>
      </c>
      <c r="X198" s="36" t="n">
        <v>0.004597701149425371</v>
      </c>
      <c r="Y198" s="31" t="n">
        <v>43617167</v>
      </c>
      <c r="Z198" s="31" t="n">
        <v>1906070197900</v>
      </c>
      <c r="AA198" s="31" t="n">
        <v>17168681200</v>
      </c>
      <c r="AB198" s="31" t="n">
        <v>12437751775</v>
      </c>
      <c r="AC198" s="36" t="n">
        <v>0.00900737088220333</v>
      </c>
      <c r="AD198" s="29" t="inlineStr">
        <is>
          <t>yfinance_download</t>
        </is>
      </c>
      <c r="AE198" s="29" t="inlineStr">
        <is>
          <t>000990.KS</t>
        </is>
      </c>
    </row>
    <row r="199" ht="24" customHeight="1">
      <c r="A199" s="24" t="inlineStr">
        <is>
          <t>2024-03-27</t>
        </is>
      </c>
      <c r="B199" s="30" t="n">
        <v>43550</v>
      </c>
      <c r="C199" s="30" t="n">
        <v>44250</v>
      </c>
      <c r="D199" s="30" t="n">
        <v>43500</v>
      </c>
      <c r="E199" s="30" t="n">
        <v>44100</v>
      </c>
      <c r="F199" s="30" t="n">
        <v>42501.87890625</v>
      </c>
      <c r="G199" s="30" t="n">
        <v>265005</v>
      </c>
      <c r="H199" s="35" t="n">
        <v>0.009153318077803174</v>
      </c>
      <c r="I199" s="35" t="n">
        <v>-0.480565371024735</v>
      </c>
      <c r="J199" s="30" t="n">
        <v>45247.5</v>
      </c>
      <c r="K199" s="30" t="n">
        <v>48915</v>
      </c>
      <c r="L199" s="30" t="n">
        <v>51945.83333333334</v>
      </c>
      <c r="M199" s="35" t="n">
        <v>0.2659909857520489</v>
      </c>
      <c r="N199" s="35" t="n">
        <v>0.2675073932320078</v>
      </c>
      <c r="O199" s="35" t="n">
        <v>-0.07157894736842108</v>
      </c>
      <c r="P199" s="35" t="n">
        <v>-0.2330434782608696</v>
      </c>
      <c r="Q199" s="35" t="n">
        <v>-0.08695652173913049</v>
      </c>
      <c r="R199" s="35" t="n">
        <v>-0.02536051715564391</v>
      </c>
      <c r="S199" s="35" t="n">
        <v>-0.09843606255749771</v>
      </c>
      <c r="T199" s="35" t="n">
        <v>-0.1510387422796182</v>
      </c>
      <c r="U199" s="30" t="n">
        <v>77700</v>
      </c>
      <c r="V199" s="30" t="n">
        <v>43500</v>
      </c>
      <c r="W199" s="35" t="n">
        <v>-0.4324324324324325</v>
      </c>
      <c r="X199" s="35" t="n">
        <v>0.01379310344827589</v>
      </c>
      <c r="Y199" s="30" t="n">
        <v>43617167</v>
      </c>
      <c r="Z199" s="30" t="n">
        <v>1923517064700</v>
      </c>
      <c r="AA199" s="30" t="n">
        <v>11686720500</v>
      </c>
      <c r="AB199" s="30" t="n">
        <v>12343179800</v>
      </c>
      <c r="AC199" s="35" t="n">
        <v>0.006075704091464721</v>
      </c>
      <c r="AD199" s="24" t="inlineStr">
        <is>
          <t>yfinance_download</t>
        </is>
      </c>
      <c r="AE199" s="24" t="inlineStr">
        <is>
          <t>000990.KS</t>
        </is>
      </c>
    </row>
    <row r="200" ht="24" customHeight="1">
      <c r="A200" s="29" t="inlineStr">
        <is>
          <t>2024-03-28</t>
        </is>
      </c>
      <c r="B200" s="31" t="n">
        <v>44350</v>
      </c>
      <c r="C200" s="31" t="n">
        <v>44400</v>
      </c>
      <c r="D200" s="31" t="n">
        <v>43850</v>
      </c>
      <c r="E200" s="31" t="n">
        <v>43900</v>
      </c>
      <c r="F200" s="31" t="n">
        <v>42309.12109375</v>
      </c>
      <c r="G200" s="31" t="n">
        <v>294684</v>
      </c>
      <c r="H200" s="36" t="n">
        <v>-0.004535147392290217</v>
      </c>
      <c r="I200" s="36" t="n">
        <v>-0.4829210836277974</v>
      </c>
      <c r="J200" s="31" t="n">
        <v>45082.5</v>
      </c>
      <c r="K200" s="31" t="n">
        <v>48670</v>
      </c>
      <c r="L200" s="31" t="n">
        <v>51905</v>
      </c>
      <c r="M200" s="36" t="n">
        <v>0.2658225286576991</v>
      </c>
      <c r="N200" s="36" t="n">
        <v>0.2630239890605612</v>
      </c>
      <c r="O200" s="36" t="n">
        <v>-0.06991525423728817</v>
      </c>
      <c r="P200" s="36" t="n">
        <v>-0.2508532423208191</v>
      </c>
      <c r="Q200" s="36" t="n">
        <v>-0.1004098360655737</v>
      </c>
      <c r="R200" s="36" t="n">
        <v>-0.02622969001275444</v>
      </c>
      <c r="S200" s="36" t="n">
        <v>-0.0980069858228888</v>
      </c>
      <c r="T200" s="36" t="n">
        <v>-0.1542240631923707</v>
      </c>
      <c r="U200" s="31" t="n">
        <v>77700</v>
      </c>
      <c r="V200" s="31" t="n">
        <v>43500</v>
      </c>
      <c r="W200" s="36" t="n">
        <v>-0.435006435006435</v>
      </c>
      <c r="X200" s="36" t="n">
        <v>0.009195402298850519</v>
      </c>
      <c r="Y200" s="31" t="n">
        <v>43617167</v>
      </c>
      <c r="Z200" s="31" t="n">
        <v>1914793631300</v>
      </c>
      <c r="AA200" s="31" t="n">
        <v>12936627600</v>
      </c>
      <c r="AB200" s="31" t="n">
        <v>12496051380</v>
      </c>
      <c r="AC200" s="36" t="n">
        <v>0.006756147183974603</v>
      </c>
      <c r="AD200" s="29" t="inlineStr">
        <is>
          <t>yfinance_download</t>
        </is>
      </c>
      <c r="AE200" s="29" t="inlineStr">
        <is>
          <t>000990.KS</t>
        </is>
      </c>
    </row>
    <row r="201" ht="24" customHeight="1">
      <c r="A201" s="24" t="inlineStr">
        <is>
          <t>2024-03-29</t>
        </is>
      </c>
      <c r="B201" s="30" t="n">
        <v>44050</v>
      </c>
      <c r="C201" s="30" t="n">
        <v>44100</v>
      </c>
      <c r="D201" s="30" t="n">
        <v>42950</v>
      </c>
      <c r="E201" s="30" t="n">
        <v>43250</v>
      </c>
      <c r="F201" s="30" t="n">
        <v>41682.6796875</v>
      </c>
      <c r="G201" s="30" t="n">
        <v>293647</v>
      </c>
      <c r="H201" s="35" t="n">
        <v>-0.01480637813211849</v>
      </c>
      <c r="I201" s="35" t="n">
        <v>-0.4905771495877503</v>
      </c>
      <c r="J201" s="30" t="n">
        <v>44925</v>
      </c>
      <c r="K201" s="30" t="n">
        <v>48477.5</v>
      </c>
      <c r="L201" s="30" t="n">
        <v>51862.5</v>
      </c>
      <c r="M201" s="35" t="n">
        <v>0.264488424270566</v>
      </c>
      <c r="N201" s="35" t="n">
        <v>0.2323218284857995</v>
      </c>
      <c r="O201" s="35" t="n">
        <v>-0.06788793103448276</v>
      </c>
      <c r="P201" s="35" t="n">
        <v>-0.2107664233576643</v>
      </c>
      <c r="Q201" s="35" t="n">
        <v>-0.1054808686659773</v>
      </c>
      <c r="R201" s="35" t="n">
        <v>-0.03728436282693381</v>
      </c>
      <c r="S201" s="35" t="n">
        <v>-0.1078335310195452</v>
      </c>
      <c r="T201" s="35" t="n">
        <v>-0.1660641118341769</v>
      </c>
      <c r="U201" s="30" t="n">
        <v>77700</v>
      </c>
      <c r="V201" s="30" t="n">
        <v>43250</v>
      </c>
      <c r="W201" s="35" t="n">
        <v>-0.4433719433719434</v>
      </c>
      <c r="X201" s="35" t="n">
        <v>0</v>
      </c>
      <c r="Y201" s="30" t="n">
        <v>43617167</v>
      </c>
      <c r="Z201" s="30" t="n">
        <v>1886442472750</v>
      </c>
      <c r="AA201" s="30" t="n">
        <v>12700232750</v>
      </c>
      <c r="AB201" s="30" t="n">
        <v>12547409017.5</v>
      </c>
      <c r="AC201" s="35" t="n">
        <v>0.006732372141455221</v>
      </c>
      <c r="AD201" s="24" t="inlineStr">
        <is>
          <t>yfinance_download</t>
        </is>
      </c>
      <c r="AE201" s="24" t="inlineStr">
        <is>
          <t>000990.KS</t>
        </is>
      </c>
    </row>
    <row r="202" ht="24" customHeight="1">
      <c r="A202" s="29" t="inlineStr">
        <is>
          <t>2024-04-01</t>
        </is>
      </c>
      <c r="B202" s="31" t="n">
        <v>43700</v>
      </c>
      <c r="C202" s="31" t="n">
        <v>46900</v>
      </c>
      <c r="D202" s="31" t="n">
        <v>43600</v>
      </c>
      <c r="E202" s="31" t="n">
        <v>46900</v>
      </c>
      <c r="F202" s="31" t="n">
        <v>45200.40625</v>
      </c>
      <c r="G202" s="31" t="n">
        <v>870763</v>
      </c>
      <c r="H202" s="36" t="n">
        <v>0.08439306358381504</v>
      </c>
      <c r="I202" s="36" t="n">
        <v>-0.447585394581861</v>
      </c>
      <c r="J202" s="31" t="n">
        <v>44872.5</v>
      </c>
      <c r="K202" s="31" t="n">
        <v>48384.16666666666</v>
      </c>
      <c r="L202" s="31" t="n">
        <v>51844.58333333334</v>
      </c>
      <c r="M202" s="36" t="n">
        <v>0.3904612628796507</v>
      </c>
      <c r="N202" s="36" t="n">
        <v>0.2826107728003014</v>
      </c>
      <c r="O202" s="36" t="n">
        <v>-0.02189781021897808</v>
      </c>
      <c r="P202" s="36" t="n">
        <v>-0.1066666666666667</v>
      </c>
      <c r="Q202" s="36" t="n">
        <v>-0.04383282364933738</v>
      </c>
      <c r="R202" s="36" t="n">
        <v>0.04518357568666787</v>
      </c>
      <c r="S202" s="36" t="n">
        <v>-0.03067463529735959</v>
      </c>
      <c r="T202" s="36" t="n">
        <v>-0.09537319070619721</v>
      </c>
      <c r="U202" s="31" t="n">
        <v>77700</v>
      </c>
      <c r="V202" s="31" t="n">
        <v>43250</v>
      </c>
      <c r="W202" s="36" t="n">
        <v>-0.3963963963963963</v>
      </c>
      <c r="X202" s="36" t="n">
        <v>0.08439306358381504</v>
      </c>
      <c r="Y202" s="31" t="n">
        <v>43617167</v>
      </c>
      <c r="Z202" s="31" t="n">
        <v>2045645132300</v>
      </c>
      <c r="AA202" s="31" t="n">
        <v>40838784700</v>
      </c>
      <c r="AB202" s="31" t="n">
        <v>13599442080</v>
      </c>
      <c r="AC202" s="36" t="n">
        <v>0.01996376793568459</v>
      </c>
      <c r="AD202" s="29" t="inlineStr">
        <is>
          <t>yfinance_download</t>
        </is>
      </c>
      <c r="AE202" s="29" t="inlineStr">
        <is>
          <t>000990.KS</t>
        </is>
      </c>
    </row>
    <row r="203" ht="24" customHeight="1">
      <c r="A203" s="24" t="inlineStr">
        <is>
          <t>2024-04-02</t>
        </is>
      </c>
      <c r="B203" s="30" t="n">
        <v>47300</v>
      </c>
      <c r="C203" s="30" t="n">
        <v>47800</v>
      </c>
      <c r="D203" s="30" t="n">
        <v>46200</v>
      </c>
      <c r="E203" s="30" t="n">
        <v>46350</v>
      </c>
      <c r="F203" s="30" t="n">
        <v>44670.33984375</v>
      </c>
      <c r="G203" s="30" t="n">
        <v>617000</v>
      </c>
      <c r="H203" s="35" t="n">
        <v>-0.01172707889125801</v>
      </c>
      <c r="I203" s="35" t="n">
        <v>-0.4540636042402827</v>
      </c>
      <c r="J203" s="30" t="n">
        <v>44860</v>
      </c>
      <c r="K203" s="30" t="n">
        <v>48290</v>
      </c>
      <c r="L203" s="30" t="n">
        <v>51816.25</v>
      </c>
      <c r="M203" s="35" t="n">
        <v>0.3794107033878428</v>
      </c>
      <c r="N203" s="35" t="n">
        <v>0.2829063683891621</v>
      </c>
      <c r="O203" s="35" t="n">
        <v>-0.005364806866952843</v>
      </c>
      <c r="P203" s="35" t="n">
        <v>-0.1086538461538461</v>
      </c>
      <c r="Q203" s="35" t="n">
        <v>-0.0683417085427136</v>
      </c>
      <c r="R203" s="35" t="n">
        <v>0.03321444493981285</v>
      </c>
      <c r="S203" s="35" t="n">
        <v>-0.04017394905777594</v>
      </c>
      <c r="T203" s="35" t="n">
        <v>-0.1054929679395943</v>
      </c>
      <c r="U203" s="30" t="n">
        <v>77700</v>
      </c>
      <c r="V203" s="30" t="n">
        <v>43250</v>
      </c>
      <c r="W203" s="35" t="n">
        <v>-0.4034749034749034</v>
      </c>
      <c r="X203" s="35" t="n">
        <v>0.07167630057803476</v>
      </c>
      <c r="Y203" s="30" t="n">
        <v>43617167</v>
      </c>
      <c r="Z203" s="30" t="n">
        <v>2021655690450</v>
      </c>
      <c r="AA203" s="30" t="n">
        <v>28597950000</v>
      </c>
      <c r="AB203" s="30" t="n">
        <v>14323062990</v>
      </c>
      <c r="AC203" s="35" t="n">
        <v>0.01414580639774243</v>
      </c>
      <c r="AD203" s="24" t="inlineStr">
        <is>
          <t>yfinance_download</t>
        </is>
      </c>
      <c r="AE203" s="24" t="inlineStr">
        <is>
          <t>000990.KS</t>
        </is>
      </c>
    </row>
    <row r="204" ht="24" customHeight="1">
      <c r="A204" s="29" t="inlineStr">
        <is>
          <t>2024-04-03</t>
        </is>
      </c>
      <c r="B204" s="31" t="n">
        <v>45850</v>
      </c>
      <c r="C204" s="31" t="n">
        <v>46050</v>
      </c>
      <c r="D204" s="31" t="n">
        <v>44450</v>
      </c>
      <c r="E204" s="31" t="n">
        <v>45150</v>
      </c>
      <c r="F204" s="31" t="n">
        <v>43513.82421875</v>
      </c>
      <c r="G204" s="31" t="n">
        <v>398764</v>
      </c>
      <c r="H204" s="36" t="n">
        <v>-0.02588996763754048</v>
      </c>
      <c r="I204" s="36" t="n">
        <v>-0.4681978798586572</v>
      </c>
      <c r="J204" s="31" t="n">
        <v>44827.5</v>
      </c>
      <c r="K204" s="31" t="n">
        <v>48179.16666666666</v>
      </c>
      <c r="L204" s="31" t="n">
        <v>51779.16666666666</v>
      </c>
      <c r="M204" s="36" t="n">
        <v>0.3858520638159911</v>
      </c>
      <c r="N204" s="36" t="n">
        <v>0.2871747966722382</v>
      </c>
      <c r="O204" s="36" t="n">
        <v>-0.01419213973799127</v>
      </c>
      <c r="P204" s="36" t="n">
        <v>-0.1283783783783784</v>
      </c>
      <c r="Q204" s="36" t="n">
        <v>-0.08971774193548387</v>
      </c>
      <c r="R204" s="36" t="n">
        <v>0.007194244604316502</v>
      </c>
      <c r="S204" s="36" t="n">
        <v>-0.06287295684510941</v>
      </c>
      <c r="T204" s="36" t="n">
        <v>-0.1280276816608996</v>
      </c>
      <c r="U204" s="31" t="n">
        <v>77700</v>
      </c>
      <c r="V204" s="31" t="n">
        <v>43250</v>
      </c>
      <c r="W204" s="36" t="n">
        <v>-0.418918918918919</v>
      </c>
      <c r="X204" s="36" t="n">
        <v>0.04393063583815038</v>
      </c>
      <c r="Y204" s="31" t="n">
        <v>43617167</v>
      </c>
      <c r="Z204" s="31" t="n">
        <v>1969315090050</v>
      </c>
      <c r="AA204" s="31" t="n">
        <v>18004194600</v>
      </c>
      <c r="AB204" s="31" t="n">
        <v>14606479540</v>
      </c>
      <c r="AC204" s="36" t="n">
        <v>0.009142363601927654</v>
      </c>
      <c r="AD204" s="29" t="inlineStr">
        <is>
          <t>yfinance_download</t>
        </is>
      </c>
      <c r="AE204" s="29" t="inlineStr">
        <is>
          <t>000990.KS</t>
        </is>
      </c>
    </row>
    <row r="205" ht="24" customHeight="1">
      <c r="A205" s="24" t="inlineStr">
        <is>
          <t>2024-04-04</t>
        </is>
      </c>
      <c r="B205" s="30" t="n">
        <v>45650</v>
      </c>
      <c r="C205" s="30" t="n">
        <v>46550</v>
      </c>
      <c r="D205" s="30" t="n">
        <v>45300</v>
      </c>
      <c r="E205" s="30" t="n">
        <v>45350</v>
      </c>
      <c r="F205" s="30" t="n">
        <v>43706.578125</v>
      </c>
      <c r="G205" s="30" t="n">
        <v>359955</v>
      </c>
      <c r="H205" s="35" t="n">
        <v>0.004429678848283602</v>
      </c>
      <c r="I205" s="35" t="n">
        <v>-0.4658421672555948</v>
      </c>
      <c r="J205" s="30" t="n">
        <v>44822.5</v>
      </c>
      <c r="K205" s="30" t="n">
        <v>48080</v>
      </c>
      <c r="L205" s="30" t="n">
        <v>51731.25</v>
      </c>
      <c r="M205" s="35" t="n">
        <v>0.385243518843811</v>
      </c>
      <c r="N205" s="35" t="n">
        <v>0.2870492489972172</v>
      </c>
      <c r="O205" s="35" t="n">
        <v>-0.002200220022002153</v>
      </c>
      <c r="P205" s="35" t="n">
        <v>-0.1159844054580896</v>
      </c>
      <c r="Q205" s="35" t="n">
        <v>-0.1125244618395304</v>
      </c>
      <c r="R205" s="35" t="n">
        <v>0.01176864298064584</v>
      </c>
      <c r="S205" s="35" t="n">
        <v>-0.05678036605657233</v>
      </c>
      <c r="T205" s="35" t="n">
        <v>-0.1233538721759091</v>
      </c>
      <c r="U205" s="30" t="n">
        <v>77700</v>
      </c>
      <c r="V205" s="30" t="n">
        <v>43250</v>
      </c>
      <c r="W205" s="35" t="n">
        <v>-0.4163449163449163</v>
      </c>
      <c r="X205" s="35" t="n">
        <v>0.04855491329479777</v>
      </c>
      <c r="Y205" s="30" t="n">
        <v>43617167</v>
      </c>
      <c r="Z205" s="30" t="n">
        <v>1978038523450</v>
      </c>
      <c r="AA205" s="30" t="n">
        <v>16323959250</v>
      </c>
      <c r="AB205" s="30" t="n">
        <v>14961348640</v>
      </c>
      <c r="AC205" s="35" t="n">
        <v>0.008252599257535456</v>
      </c>
      <c r="AD205" s="24" t="inlineStr">
        <is>
          <t>yfinance_download</t>
        </is>
      </c>
      <c r="AE205" s="24" t="inlineStr">
        <is>
          <t>000990.KS</t>
        </is>
      </c>
    </row>
    <row r="206" ht="24" customHeight="1">
      <c r="A206" s="29" t="inlineStr">
        <is>
          <t>2024-04-05</t>
        </is>
      </c>
      <c r="B206" s="31" t="n">
        <v>44850</v>
      </c>
      <c r="C206" s="31" t="n">
        <v>44850</v>
      </c>
      <c r="D206" s="31" t="n">
        <v>43950</v>
      </c>
      <c r="E206" s="31" t="n">
        <v>43950</v>
      </c>
      <c r="F206" s="31" t="n">
        <v>42357.30859375</v>
      </c>
      <c r="G206" s="31" t="n">
        <v>304752</v>
      </c>
      <c r="H206" s="36" t="n">
        <v>-0.0308710033076075</v>
      </c>
      <c r="I206" s="36" t="n">
        <v>-0.4823321554770318</v>
      </c>
      <c r="J206" s="31" t="n">
        <v>44712.5</v>
      </c>
      <c r="K206" s="31" t="n">
        <v>47947.5</v>
      </c>
      <c r="L206" s="31" t="n">
        <v>51664.16666666666</v>
      </c>
      <c r="M206" s="36" t="n">
        <v>0.39583365630864</v>
      </c>
      <c r="N206" s="36" t="n">
        <v>0.2916599957540965</v>
      </c>
      <c r="O206" s="36" t="n">
        <v>-0.04767063921993497</v>
      </c>
      <c r="P206" s="36" t="n">
        <v>-0.153179190751445</v>
      </c>
      <c r="Q206" s="36" t="n">
        <v>-0.1548076923076923</v>
      </c>
      <c r="R206" s="36" t="n">
        <v>-0.01705339670114625</v>
      </c>
      <c r="S206" s="36" t="n">
        <v>-0.08337243860472388</v>
      </c>
      <c r="T206" s="36" t="n">
        <v>-0.1493136764682161</v>
      </c>
      <c r="U206" s="31" t="n">
        <v>77700</v>
      </c>
      <c r="V206" s="31" t="n">
        <v>43250</v>
      </c>
      <c r="W206" s="36" t="n">
        <v>-0.4343629343629344</v>
      </c>
      <c r="X206" s="36" t="n">
        <v>0.016184971098266</v>
      </c>
      <c r="Y206" s="31" t="n">
        <v>43617167</v>
      </c>
      <c r="Z206" s="31" t="n">
        <v>1916974489650</v>
      </c>
      <c r="AA206" s="31" t="n">
        <v>13393850400</v>
      </c>
      <c r="AB206" s="31" t="n">
        <v>14894480237.5</v>
      </c>
      <c r="AC206" s="36" t="n">
        <v>0.006986973729861914</v>
      </c>
      <c r="AD206" s="29" t="inlineStr">
        <is>
          <t>yfinance_download</t>
        </is>
      </c>
      <c r="AE206" s="29" t="inlineStr">
        <is>
          <t>000990.KS</t>
        </is>
      </c>
    </row>
    <row r="207" ht="24" customHeight="1">
      <c r="A207" s="24" t="inlineStr">
        <is>
          <t>2024-04-08</t>
        </is>
      </c>
      <c r="B207" s="30" t="n">
        <v>44100</v>
      </c>
      <c r="C207" s="30" t="n">
        <v>45750</v>
      </c>
      <c r="D207" s="30" t="n">
        <v>43450</v>
      </c>
      <c r="E207" s="30" t="n">
        <v>44450</v>
      </c>
      <c r="F207" s="30" t="n">
        <v>42839.19140625</v>
      </c>
      <c r="G207" s="30" t="n">
        <v>422272</v>
      </c>
      <c r="H207" s="35" t="n">
        <v>0.01137656427758826</v>
      </c>
      <c r="I207" s="35" t="n">
        <v>-0.4764428739693758</v>
      </c>
      <c r="J207" s="30" t="n">
        <v>44680</v>
      </c>
      <c r="K207" s="30" t="n">
        <v>47808.33333333334</v>
      </c>
      <c r="L207" s="30" t="n">
        <v>51608.75</v>
      </c>
      <c r="M207" s="35" t="n">
        <v>0.3907832126025583</v>
      </c>
      <c r="N207" s="35" t="n">
        <v>0.2901701942646601</v>
      </c>
      <c r="O207" s="35" t="n">
        <v>-0.01441241685144123</v>
      </c>
      <c r="P207" s="35" t="n">
        <v>-0.1581439393939394</v>
      </c>
      <c r="Q207" s="35" t="n">
        <v>-0.1301369863013698</v>
      </c>
      <c r="R207" s="35" t="n">
        <v>-0.005147717099373339</v>
      </c>
      <c r="S207" s="35" t="n">
        <v>-0.07024577305211788</v>
      </c>
      <c r="T207" s="35" t="n">
        <v>-0.1387119432266816</v>
      </c>
      <c r="U207" s="30" t="n">
        <v>77700</v>
      </c>
      <c r="V207" s="30" t="n">
        <v>43250</v>
      </c>
      <c r="W207" s="35" t="n">
        <v>-0.4279279279279279</v>
      </c>
      <c r="X207" s="35" t="n">
        <v>0.02774566473988438</v>
      </c>
      <c r="Y207" s="30" t="n">
        <v>43617167</v>
      </c>
      <c r="Z207" s="30" t="n">
        <v>1938783073150</v>
      </c>
      <c r="AA207" s="30" t="n">
        <v>18769990400</v>
      </c>
      <c r="AB207" s="30" t="n">
        <v>15309168062.5</v>
      </c>
      <c r="AC207" s="35" t="n">
        <v>0.009681325703707442</v>
      </c>
      <c r="AD207" s="24" t="inlineStr">
        <is>
          <t>yfinance_download</t>
        </is>
      </c>
      <c r="AE207" s="24" t="inlineStr">
        <is>
          <t>000990.KS</t>
        </is>
      </c>
    </row>
    <row r="208" ht="24" customHeight="1">
      <c r="A208" s="29" t="inlineStr">
        <is>
          <t>2024-04-09</t>
        </is>
      </c>
      <c r="B208" s="31" t="n">
        <v>44700</v>
      </c>
      <c r="C208" s="31" t="n">
        <v>45500</v>
      </c>
      <c r="D208" s="31" t="n">
        <v>44200</v>
      </c>
      <c r="E208" s="31" t="n">
        <v>44300</v>
      </c>
      <c r="F208" s="31" t="n">
        <v>42694.62890625</v>
      </c>
      <c r="G208" s="31" t="n">
        <v>210072</v>
      </c>
      <c r="H208" s="36" t="n">
        <v>-0.003374578177727794</v>
      </c>
      <c r="I208" s="36" t="n">
        <v>-0.4782096584216725</v>
      </c>
      <c r="J208" s="31" t="n">
        <v>44625</v>
      </c>
      <c r="K208" s="31" t="n">
        <v>47666.66666666666</v>
      </c>
      <c r="L208" s="31" t="n">
        <v>51554.58333333334</v>
      </c>
      <c r="M208" s="36" t="n">
        <v>0.3899876582244555</v>
      </c>
      <c r="N208" s="36" t="n">
        <v>0.2901183089469914</v>
      </c>
      <c r="O208" s="36" t="n">
        <v>-0.02422907488986781</v>
      </c>
      <c r="P208" s="36" t="n">
        <v>-0.1609848484848485</v>
      </c>
      <c r="Q208" s="36" t="n">
        <v>-0.1279527559055118</v>
      </c>
      <c r="R208" s="36" t="n">
        <v>-0.007282913165266081</v>
      </c>
      <c r="S208" s="36" t="n">
        <v>-0.07062937062937058</v>
      </c>
      <c r="T208" s="36" t="n">
        <v>-0.1407165544608869</v>
      </c>
      <c r="U208" s="31" t="n">
        <v>77700</v>
      </c>
      <c r="V208" s="31" t="n">
        <v>43250</v>
      </c>
      <c r="W208" s="36" t="n">
        <v>-0.4298584298584298</v>
      </c>
      <c r="X208" s="36" t="n">
        <v>0.02427745664739889</v>
      </c>
      <c r="Y208" s="31" t="n">
        <v>43617167</v>
      </c>
      <c r="Z208" s="31" t="n">
        <v>1932240498100</v>
      </c>
      <c r="AA208" s="31" t="n">
        <v>9306189600</v>
      </c>
      <c r="AB208" s="31" t="n">
        <v>15326306902.5</v>
      </c>
      <c r="AC208" s="36" t="n">
        <v>0.004816268787012233</v>
      </c>
      <c r="AD208" s="29" t="inlineStr">
        <is>
          <t>yfinance_download</t>
        </is>
      </c>
      <c r="AE208" s="29" t="inlineStr">
        <is>
          <t>000990.KS</t>
        </is>
      </c>
    </row>
    <row r="209" ht="24" customHeight="1">
      <c r="A209" s="24" t="inlineStr">
        <is>
          <t>2024-04-11</t>
        </is>
      </c>
      <c r="B209" s="30" t="n">
        <v>43550</v>
      </c>
      <c r="C209" s="30" t="n">
        <v>44150</v>
      </c>
      <c r="D209" s="30" t="n">
        <v>43500</v>
      </c>
      <c r="E209" s="30" t="n">
        <v>43800</v>
      </c>
      <c r="F209" s="30" t="n">
        <v>42212.74609375</v>
      </c>
      <c r="G209" s="30" t="n">
        <v>257538</v>
      </c>
      <c r="H209" s="35" t="n">
        <v>-0.01128668171557567</v>
      </c>
      <c r="I209" s="35" t="n">
        <v>-0.4840989399293286</v>
      </c>
      <c r="J209" s="30" t="n">
        <v>44560</v>
      </c>
      <c r="K209" s="30" t="n">
        <v>47531.66666666666</v>
      </c>
      <c r="L209" s="30" t="n">
        <v>51481.25</v>
      </c>
      <c r="M209" s="35" t="n">
        <v>0.3912399765756757</v>
      </c>
      <c r="N209" s="35" t="n">
        <v>0.2891455697155253</v>
      </c>
      <c r="O209" s="35" t="n">
        <v>-0.02882483370288247</v>
      </c>
      <c r="P209" s="35" t="n">
        <v>-0.1560693641618497</v>
      </c>
      <c r="Q209" s="35" t="n">
        <v>-0.1673003802281369</v>
      </c>
      <c r="R209" s="35" t="n">
        <v>-0.01705565529622977</v>
      </c>
      <c r="S209" s="35" t="n">
        <v>-0.07850906413268344</v>
      </c>
      <c r="T209" s="35" t="n">
        <v>-0.1492048075755736</v>
      </c>
      <c r="U209" s="30" t="n">
        <v>77700</v>
      </c>
      <c r="V209" s="30" t="n">
        <v>43250</v>
      </c>
      <c r="W209" s="35" t="n">
        <v>-0.4362934362934363</v>
      </c>
      <c r="X209" s="35" t="n">
        <v>0.01271676300578028</v>
      </c>
      <c r="Y209" s="30" t="n">
        <v>43617167</v>
      </c>
      <c r="Z209" s="30" t="n">
        <v>1910431914600</v>
      </c>
      <c r="AA209" s="30" t="n">
        <v>11280164400</v>
      </c>
      <c r="AB209" s="30" t="n">
        <v>15366884522.5</v>
      </c>
      <c r="AC209" s="35" t="n">
        <v>0.005904510029273565</v>
      </c>
      <c r="AD209" s="24" t="inlineStr">
        <is>
          <t>yfinance_download</t>
        </is>
      </c>
      <c r="AE209" s="24" t="inlineStr">
        <is>
          <t>000990.KS</t>
        </is>
      </c>
    </row>
    <row r="210" ht="24" customHeight="1">
      <c r="A210" s="29" t="inlineStr">
        <is>
          <t>2024-04-12</t>
        </is>
      </c>
      <c r="B210" s="31" t="n">
        <v>44250</v>
      </c>
      <c r="C210" s="31" t="n">
        <v>44300</v>
      </c>
      <c r="D210" s="31" t="n">
        <v>41900</v>
      </c>
      <c r="E210" s="31" t="n">
        <v>42000</v>
      </c>
      <c r="F210" s="31" t="n">
        <v>40477.9765625</v>
      </c>
      <c r="G210" s="31" t="n">
        <v>512545</v>
      </c>
      <c r="H210" s="36" t="n">
        <v>-0.04109589041095896</v>
      </c>
      <c r="I210" s="36" t="n">
        <v>-0.5053003533568905</v>
      </c>
      <c r="J210" s="31" t="n">
        <v>44440</v>
      </c>
      <c r="K210" s="31" t="n">
        <v>47376.66666666666</v>
      </c>
      <c r="L210" s="31" t="n">
        <v>51392.91666666666</v>
      </c>
      <c r="M210" s="36" t="n">
        <v>0.4135675826575125</v>
      </c>
      <c r="N210" s="36" t="n">
        <v>0.2991882475888304</v>
      </c>
      <c r="O210" s="36" t="n">
        <v>-0.05405405405405406</v>
      </c>
      <c r="P210" s="36" t="n">
        <v>-0.1812865497076024</v>
      </c>
      <c r="Q210" s="36" t="n">
        <v>-0.2015209125475285</v>
      </c>
      <c r="R210" s="36" t="n">
        <v>-0.05490549054905491</v>
      </c>
      <c r="S210" s="36" t="n">
        <v>-0.1134876521494406</v>
      </c>
      <c r="T210" s="36" t="n">
        <v>-0.182766756119115</v>
      </c>
      <c r="U210" s="31" t="n">
        <v>77700</v>
      </c>
      <c r="V210" s="31" t="n">
        <v>42000</v>
      </c>
      <c r="W210" s="36" t="n">
        <v>-0.4594594594594594</v>
      </c>
      <c r="X210" s="36" t="n">
        <v>0</v>
      </c>
      <c r="Y210" s="31" t="n">
        <v>43617167</v>
      </c>
      <c r="Z210" s="31" t="n">
        <v>1831921014000</v>
      </c>
      <c r="AA210" s="31" t="n">
        <v>21526890000</v>
      </c>
      <c r="AB210" s="31" t="n">
        <v>15469335002.5</v>
      </c>
      <c r="AC210" s="36" t="n">
        <v>0.01175099244753791</v>
      </c>
      <c r="AD210" s="29" t="inlineStr">
        <is>
          <t>yfinance_download</t>
        </is>
      </c>
      <c r="AE210" s="29" t="inlineStr">
        <is>
          <t>000990.KS</t>
        </is>
      </c>
    </row>
    <row r="211" ht="24" customHeight="1">
      <c r="A211" s="24" t="inlineStr">
        <is>
          <t>2024-04-15</t>
        </is>
      </c>
      <c r="B211" s="30" t="n">
        <v>41000</v>
      </c>
      <c r="C211" s="30" t="n">
        <v>41500</v>
      </c>
      <c r="D211" s="30" t="n">
        <v>40200</v>
      </c>
      <c r="E211" s="30" t="n">
        <v>41000</v>
      </c>
      <c r="F211" s="30" t="n">
        <v>39514.21484375</v>
      </c>
      <c r="G211" s="30" t="n">
        <v>293100</v>
      </c>
      <c r="H211" s="35" t="n">
        <v>-0.02380952380952384</v>
      </c>
      <c r="I211" s="35" t="n">
        <v>-0.5170789163722026</v>
      </c>
      <c r="J211" s="30" t="n">
        <v>44315</v>
      </c>
      <c r="K211" s="30" t="n">
        <v>47218.33333333334</v>
      </c>
      <c r="L211" s="30" t="n">
        <v>51310.41666666666</v>
      </c>
      <c r="M211" s="35" t="n">
        <v>0.4157740407767291</v>
      </c>
      <c r="N211" s="35" t="n">
        <v>0.3011144610147354</v>
      </c>
      <c r="O211" s="35" t="n">
        <v>-0.05747126436781613</v>
      </c>
      <c r="P211" s="35" t="n">
        <v>-0.1881188118811881</v>
      </c>
      <c r="Q211" s="35" t="n">
        <v>-0.1944990176817288</v>
      </c>
      <c r="R211" s="35" t="n">
        <v>-0.07480537064199477</v>
      </c>
      <c r="S211" s="35" t="n">
        <v>-0.1316931982633864</v>
      </c>
      <c r="T211" s="35" t="n">
        <v>-0.2009419789678834</v>
      </c>
      <c r="U211" s="30" t="n">
        <v>77500</v>
      </c>
      <c r="V211" s="30" t="n">
        <v>41000</v>
      </c>
      <c r="W211" s="35" t="n">
        <v>-0.4709677419354839</v>
      </c>
      <c r="X211" s="35" t="n">
        <v>0</v>
      </c>
      <c r="Y211" s="30" t="n">
        <v>43617167</v>
      </c>
      <c r="Z211" s="30" t="n">
        <v>1788303847000</v>
      </c>
      <c r="AA211" s="30" t="n">
        <v>12017100000</v>
      </c>
      <c r="AB211" s="30" t="n">
        <v>15144633977.5</v>
      </c>
      <c r="AC211" s="35" t="n">
        <v>0.006719831207744419</v>
      </c>
      <c r="AD211" s="24" t="inlineStr">
        <is>
          <t>yfinance_download</t>
        </is>
      </c>
      <c r="AE211" s="24" t="inlineStr">
        <is>
          <t>000990.KS</t>
        </is>
      </c>
    </row>
    <row r="212" ht="24" customHeight="1">
      <c r="A212" s="29" t="inlineStr">
        <is>
          <t>2024-04-16</t>
        </is>
      </c>
      <c r="B212" s="31" t="n">
        <v>40250</v>
      </c>
      <c r="C212" s="31" t="n">
        <v>41300</v>
      </c>
      <c r="D212" s="31" t="n">
        <v>40050</v>
      </c>
      <c r="E212" s="31" t="n">
        <v>40800</v>
      </c>
      <c r="F212" s="31" t="n">
        <v>39321.46484375</v>
      </c>
      <c r="G212" s="31" t="n">
        <v>297589</v>
      </c>
      <c r="H212" s="36" t="n">
        <v>-0.004878048780487809</v>
      </c>
      <c r="I212" s="36" t="n">
        <v>-0.519434628975265</v>
      </c>
      <c r="J212" s="31" t="n">
        <v>44157.5</v>
      </c>
      <c r="K212" s="31" t="n">
        <v>47068.33333333334</v>
      </c>
      <c r="L212" s="31" t="n">
        <v>51232.08333333334</v>
      </c>
      <c r="M212" s="36" t="n">
        <v>0.4129718381331772</v>
      </c>
      <c r="N212" s="36" t="n">
        <v>0.3003295805190828</v>
      </c>
      <c r="O212" s="36" t="n">
        <v>-0.07167235494880542</v>
      </c>
      <c r="P212" s="36" t="n">
        <v>-0.1807228915662651</v>
      </c>
      <c r="Q212" s="36" t="n">
        <v>-0.1872509960159362</v>
      </c>
      <c r="R212" s="36" t="n">
        <v>-0.07603464870067378</v>
      </c>
      <c r="S212" s="36" t="n">
        <v>-0.1331751708508906</v>
      </c>
      <c r="T212" s="36" t="n">
        <v>-0.2036240311653668</v>
      </c>
      <c r="U212" s="31" t="n">
        <v>77500</v>
      </c>
      <c r="V212" s="31" t="n">
        <v>40800</v>
      </c>
      <c r="W212" s="36" t="n">
        <v>-0.4735483870967742</v>
      </c>
      <c r="X212" s="36" t="n">
        <v>0</v>
      </c>
      <c r="Y212" s="31" t="n">
        <v>43617167</v>
      </c>
      <c r="Z212" s="31" t="n">
        <v>1779580413600</v>
      </c>
      <c r="AA212" s="31" t="n">
        <v>12141631200</v>
      </c>
      <c r="AB212" s="31" t="n">
        <v>15389084087.5</v>
      </c>
      <c r="AC212" s="36" t="n">
        <v>0.006822749400482613</v>
      </c>
      <c r="AD212" s="29" t="inlineStr">
        <is>
          <t>yfinance_download</t>
        </is>
      </c>
      <c r="AE212" s="29" t="inlineStr">
        <is>
          <t>000990.KS</t>
        </is>
      </c>
    </row>
    <row r="213" ht="24" customHeight="1">
      <c r="A213" s="24" t="inlineStr">
        <is>
          <t>2024-04-17</t>
        </is>
      </c>
      <c r="B213" s="30" t="n">
        <v>41200</v>
      </c>
      <c r="C213" s="30" t="n">
        <v>42950</v>
      </c>
      <c r="D213" s="30" t="n">
        <v>41200</v>
      </c>
      <c r="E213" s="30" t="n">
        <v>41700</v>
      </c>
      <c r="F213" s="30" t="n">
        <v>40188.84765625</v>
      </c>
      <c r="G213" s="30" t="n">
        <v>404070</v>
      </c>
      <c r="H213" s="35" t="n">
        <v>0.02205882352941169</v>
      </c>
      <c r="I213" s="35" t="n">
        <v>-0.5088339222614842</v>
      </c>
      <c r="J213" s="30" t="n">
        <v>44030</v>
      </c>
      <c r="K213" s="30" t="n">
        <v>46921.66666666666</v>
      </c>
      <c r="L213" s="30" t="n">
        <v>51156.25</v>
      </c>
      <c r="M213" s="35" t="n">
        <v>0.421427049576914</v>
      </c>
      <c r="N213" s="35" t="n">
        <v>0.3027253108527537</v>
      </c>
      <c r="O213" s="35" t="n">
        <v>-0.05762711864406778</v>
      </c>
      <c r="P213" s="35" t="n">
        <v>-0.1742574257425743</v>
      </c>
      <c r="Q213" s="35" t="n">
        <v>-0.1791338582677166</v>
      </c>
      <c r="R213" s="35" t="n">
        <v>-0.05291846468317052</v>
      </c>
      <c r="S213" s="35" t="n">
        <v>-0.1112847653891237</v>
      </c>
      <c r="T213" s="35" t="n">
        <v>-0.1848503359804521</v>
      </c>
      <c r="U213" s="30" t="n">
        <v>77500</v>
      </c>
      <c r="V213" s="30" t="n">
        <v>40800</v>
      </c>
      <c r="W213" s="35" t="n">
        <v>-0.4619354838709677</v>
      </c>
      <c r="X213" s="35" t="n">
        <v>0.02205882352941169</v>
      </c>
      <c r="Y213" s="30" t="n">
        <v>43617167</v>
      </c>
      <c r="Z213" s="30" t="n">
        <v>1818835863900</v>
      </c>
      <c r="AA213" s="30" t="n">
        <v>16849719000</v>
      </c>
      <c r="AB213" s="30" t="n">
        <v>15840561550</v>
      </c>
      <c r="AC213" s="35" t="n">
        <v>0.009264012951597705</v>
      </c>
      <c r="AD213" s="24" t="inlineStr">
        <is>
          <t>yfinance_download</t>
        </is>
      </c>
      <c r="AE213" s="24" t="inlineStr">
        <is>
          <t>000990.KS</t>
        </is>
      </c>
    </row>
    <row r="214" ht="24" customHeight="1">
      <c r="A214" s="29" t="inlineStr">
        <is>
          <t>2024-04-18</t>
        </is>
      </c>
      <c r="B214" s="31" t="n">
        <v>41550</v>
      </c>
      <c r="C214" s="31" t="n">
        <v>42350</v>
      </c>
      <c r="D214" s="31" t="n">
        <v>41500</v>
      </c>
      <c r="E214" s="31" t="n">
        <v>41950</v>
      </c>
      <c r="F214" s="31" t="n">
        <v>40429.7890625</v>
      </c>
      <c r="G214" s="31" t="n">
        <v>174230</v>
      </c>
      <c r="H214" s="36" t="n">
        <v>0.005995203836930418</v>
      </c>
      <c r="I214" s="36" t="n">
        <v>-0.5058892815076561</v>
      </c>
      <c r="J214" s="31" t="n">
        <v>43895</v>
      </c>
      <c r="K214" s="31" t="n">
        <v>46759.16666666666</v>
      </c>
      <c r="L214" s="31" t="n">
        <v>51077.5</v>
      </c>
      <c r="M214" s="36" t="n">
        <v>0.420445746857658</v>
      </c>
      <c r="N214" s="36" t="n">
        <v>0.298169580435764</v>
      </c>
      <c r="O214" s="36" t="n">
        <v>-0.06047032474804026</v>
      </c>
      <c r="P214" s="36" t="n">
        <v>-0.188588007736944</v>
      </c>
      <c r="Q214" s="36" t="n">
        <v>-0.183852140077821</v>
      </c>
      <c r="R214" s="36" t="n">
        <v>-0.04431028590955688</v>
      </c>
      <c r="S214" s="36" t="n">
        <v>-0.1028497086132844</v>
      </c>
      <c r="T214" s="36" t="n">
        <v>-0.1786990357789633</v>
      </c>
      <c r="U214" s="31" t="n">
        <v>77500</v>
      </c>
      <c r="V214" s="31" t="n">
        <v>40800</v>
      </c>
      <c r="W214" s="36" t="n">
        <v>-0.4587096774193549</v>
      </c>
      <c r="X214" s="36" t="n">
        <v>0.02818627450980382</v>
      </c>
      <c r="Y214" s="31" t="n">
        <v>43617167</v>
      </c>
      <c r="Z214" s="31" t="n">
        <v>1829740155650</v>
      </c>
      <c r="AA214" s="31" t="n">
        <v>7308948500</v>
      </c>
      <c r="AB214" s="31" t="n">
        <v>15787584895</v>
      </c>
      <c r="AC214" s="36" t="n">
        <v>0.00399452811779362</v>
      </c>
      <c r="AD214" s="29" t="inlineStr">
        <is>
          <t>yfinance_download</t>
        </is>
      </c>
      <c r="AE214" s="29" t="inlineStr">
        <is>
          <t>000990.KS</t>
        </is>
      </c>
    </row>
    <row r="215" ht="24" customHeight="1">
      <c r="A215" s="24" t="inlineStr">
        <is>
          <t>2024-04-19</t>
        </is>
      </c>
      <c r="B215" s="30" t="n">
        <v>41700</v>
      </c>
      <c r="C215" s="30" t="n">
        <v>41900</v>
      </c>
      <c r="D215" s="30" t="n">
        <v>40100</v>
      </c>
      <c r="E215" s="30" t="n">
        <v>41100</v>
      </c>
      <c r="F215" s="30" t="n">
        <v>39610.59375</v>
      </c>
      <c r="G215" s="30" t="n">
        <v>321986</v>
      </c>
      <c r="H215" s="35" t="n">
        <v>-0.02026221692491059</v>
      </c>
      <c r="I215" s="35" t="n">
        <v>-0.5159010600706714</v>
      </c>
      <c r="J215" s="30" t="n">
        <v>43675</v>
      </c>
      <c r="K215" s="30" t="n">
        <v>46580.83333333334</v>
      </c>
      <c r="L215" s="30" t="n">
        <v>50989.16666666666</v>
      </c>
      <c r="M215" s="35" t="n">
        <v>0.4165115215943072</v>
      </c>
      <c r="N215" s="35" t="n">
        <v>0.2999679105946982</v>
      </c>
      <c r="O215" s="35" t="n">
        <v>-0.09670329670329669</v>
      </c>
      <c r="P215" s="35" t="n">
        <v>-0.2065637065637066</v>
      </c>
      <c r="Q215" s="35" t="n">
        <v>-0.2050290135396519</v>
      </c>
      <c r="R215" s="35" t="n">
        <v>-0.05895821408128221</v>
      </c>
      <c r="S215" s="35" t="n">
        <v>-0.117662844159794</v>
      </c>
      <c r="T215" s="35" t="n">
        <v>-0.1939464265285109</v>
      </c>
      <c r="U215" s="30" t="n">
        <v>77500</v>
      </c>
      <c r="V215" s="30" t="n">
        <v>40800</v>
      </c>
      <c r="W215" s="35" t="n">
        <v>-0.4696774193548388</v>
      </c>
      <c r="X215" s="35" t="n">
        <v>0.007352941176470562</v>
      </c>
      <c r="Y215" s="30" t="n">
        <v>43617167</v>
      </c>
      <c r="Z215" s="30" t="n">
        <v>1792665563700</v>
      </c>
      <c r="AA215" s="30" t="n">
        <v>13233624600</v>
      </c>
      <c r="AB215" s="30" t="n">
        <v>15629431200</v>
      </c>
      <c r="AC215" s="35" t="n">
        <v>0.007382093385386538</v>
      </c>
      <c r="AD215" s="24" t="inlineStr">
        <is>
          <t>yfinance_download</t>
        </is>
      </c>
      <c r="AE215" s="24" t="inlineStr">
        <is>
          <t>000990.KS</t>
        </is>
      </c>
    </row>
    <row r="216" ht="24" customHeight="1">
      <c r="A216" s="29" t="inlineStr">
        <is>
          <t>2024-04-22</t>
        </is>
      </c>
      <c r="B216" s="31" t="n">
        <v>41100</v>
      </c>
      <c r="C216" s="31" t="n">
        <v>41150</v>
      </c>
      <c r="D216" s="31" t="n">
        <v>40400</v>
      </c>
      <c r="E216" s="31" t="n">
        <v>40950</v>
      </c>
      <c r="F216" s="31" t="n">
        <v>39466.02734375</v>
      </c>
      <c r="G216" s="31" t="n">
        <v>170763</v>
      </c>
      <c r="H216" s="36" t="n">
        <v>-0.003649635036496401</v>
      </c>
      <c r="I216" s="36" t="n">
        <v>-0.5176678445229682</v>
      </c>
      <c r="J216" s="31" t="n">
        <v>43450</v>
      </c>
      <c r="K216" s="31" t="n">
        <v>46401.66666666666</v>
      </c>
      <c r="L216" s="31" t="n">
        <v>50927.5</v>
      </c>
      <c r="M216" s="36" t="n">
        <v>0.41631302214118</v>
      </c>
      <c r="N216" s="36" t="n">
        <v>0.2999458724474216</v>
      </c>
      <c r="O216" s="36" t="n">
        <v>-0.09900990099009899</v>
      </c>
      <c r="P216" s="36" t="n">
        <v>-0.2079303675048356</v>
      </c>
      <c r="Q216" s="36" t="n">
        <v>-0.1530506721820062</v>
      </c>
      <c r="R216" s="36" t="n">
        <v>-0.05753739930955126</v>
      </c>
      <c r="S216" s="36" t="n">
        <v>-0.117488595955605</v>
      </c>
      <c r="T216" s="36" t="n">
        <v>-0.1959157626037014</v>
      </c>
      <c r="U216" s="31" t="n">
        <v>75900</v>
      </c>
      <c r="V216" s="31" t="n">
        <v>40800</v>
      </c>
      <c r="W216" s="36" t="n">
        <v>-0.4604743083003953</v>
      </c>
      <c r="X216" s="36" t="n">
        <v>0.003676470588235281</v>
      </c>
      <c r="Y216" s="31" t="n">
        <v>43617167</v>
      </c>
      <c r="Z216" s="31" t="n">
        <v>1786122988650</v>
      </c>
      <c r="AA216" s="31" t="n">
        <v>6992744850</v>
      </c>
      <c r="AB216" s="31" t="n">
        <v>15525241102.5</v>
      </c>
      <c r="AC216" s="36" t="n">
        <v>0.00391504106628475</v>
      </c>
      <c r="AD216" s="29" t="inlineStr">
        <is>
          <t>yfinance_download</t>
        </is>
      </c>
      <c r="AE216" s="29" t="inlineStr">
        <is>
          <t>000990.KS</t>
        </is>
      </c>
    </row>
    <row r="217" ht="24" customHeight="1">
      <c r="A217" s="24" t="inlineStr">
        <is>
          <t>2024-04-23</t>
        </is>
      </c>
      <c r="B217" s="30" t="n">
        <v>41100</v>
      </c>
      <c r="C217" s="30" t="n">
        <v>41350</v>
      </c>
      <c r="D217" s="30" t="n">
        <v>40400</v>
      </c>
      <c r="E217" s="30" t="n">
        <v>40500</v>
      </c>
      <c r="F217" s="30" t="n">
        <v>39032.3359375</v>
      </c>
      <c r="G217" s="30" t="n">
        <v>145860</v>
      </c>
      <c r="H217" s="35" t="n">
        <v>-0.01098901098901095</v>
      </c>
      <c r="I217" s="35" t="n">
        <v>-0.5229681978798586</v>
      </c>
      <c r="J217" s="30" t="n">
        <v>43260</v>
      </c>
      <c r="K217" s="30" t="n">
        <v>46228.33333333334</v>
      </c>
      <c r="L217" s="30" t="n">
        <v>50866.66666666666</v>
      </c>
      <c r="M217" s="35" t="n">
        <v>0.4100540793218314</v>
      </c>
      <c r="N217" s="35" t="n">
        <v>0.2993344441764127</v>
      </c>
      <c r="O217" s="35" t="n">
        <v>-0.08577878103837466</v>
      </c>
      <c r="P217" s="35" t="n">
        <v>-0.2043222003929273</v>
      </c>
      <c r="Q217" s="35" t="n">
        <v>-0.1527196652719666</v>
      </c>
      <c r="R217" s="35" t="n">
        <v>-0.06380027739251037</v>
      </c>
      <c r="S217" s="35" t="n">
        <v>-0.1239139056134406</v>
      </c>
      <c r="T217" s="35" t="n">
        <v>-0.2038007863695936</v>
      </c>
      <c r="U217" s="30" t="n">
        <v>73200</v>
      </c>
      <c r="V217" s="30" t="n">
        <v>40500</v>
      </c>
      <c r="W217" s="35" t="n">
        <v>-0.4467213114754098</v>
      </c>
      <c r="X217" s="35" t="n">
        <v>0</v>
      </c>
      <c r="Y217" s="30" t="n">
        <v>43617167</v>
      </c>
      <c r="Z217" s="30" t="n">
        <v>1766495263500</v>
      </c>
      <c r="AA217" s="30" t="n">
        <v>5907330000</v>
      </c>
      <c r="AB217" s="30" t="n">
        <v>15349266677.5</v>
      </c>
      <c r="AC217" s="35" t="n">
        <v>0.003344096144529515</v>
      </c>
      <c r="AD217" s="24" t="inlineStr">
        <is>
          <t>yfinance_download</t>
        </is>
      </c>
      <c r="AE217" s="24" t="inlineStr">
        <is>
          <t>000990.KS</t>
        </is>
      </c>
    </row>
    <row r="218" ht="24" customHeight="1">
      <c r="A218" s="29" t="inlineStr">
        <is>
          <t>2024-04-24</t>
        </is>
      </c>
      <c r="B218" s="31" t="n">
        <v>40950</v>
      </c>
      <c r="C218" s="31" t="n">
        <v>41550</v>
      </c>
      <c r="D218" s="31" t="n">
        <v>40850</v>
      </c>
      <c r="E218" s="31" t="n">
        <v>40850</v>
      </c>
      <c r="F218" s="31" t="n">
        <v>39369.65234375</v>
      </c>
      <c r="G218" s="31" t="n">
        <v>243208</v>
      </c>
      <c r="H218" s="36" t="n">
        <v>0.008641975308641969</v>
      </c>
      <c r="I218" s="36" t="n">
        <v>-0.5188457008244994</v>
      </c>
      <c r="J218" s="31" t="n">
        <v>43117.5</v>
      </c>
      <c r="K218" s="31" t="n">
        <v>46065.83333333334</v>
      </c>
      <c r="L218" s="31" t="n">
        <v>50800.83333333334</v>
      </c>
      <c r="M218" s="36" t="n">
        <v>0.410885624309566</v>
      </c>
      <c r="N218" s="36" t="n">
        <v>0.3003454915725668</v>
      </c>
      <c r="O218" s="36" t="n">
        <v>-0.06521739130434778</v>
      </c>
      <c r="P218" s="36" t="n">
        <v>-0.1926877470355731</v>
      </c>
      <c r="Q218" s="36" t="n">
        <v>-0.1620512820512821</v>
      </c>
      <c r="R218" s="36" t="n">
        <v>-0.05258885603293328</v>
      </c>
      <c r="S218" s="36" t="n">
        <v>-0.1132256372220917</v>
      </c>
      <c r="T218" s="36" t="n">
        <v>-0.1958793326881121</v>
      </c>
      <c r="U218" s="31" t="n">
        <v>71600</v>
      </c>
      <c r="V218" s="31" t="n">
        <v>40500</v>
      </c>
      <c r="W218" s="36" t="n">
        <v>-0.4294692737430168</v>
      </c>
      <c r="X218" s="36" t="n">
        <v>0.008641975308641969</v>
      </c>
      <c r="Y218" s="31" t="n">
        <v>43617167</v>
      </c>
      <c r="Z218" s="31" t="n">
        <v>1781761271950</v>
      </c>
      <c r="AA218" s="31" t="n">
        <v>9935046800</v>
      </c>
      <c r="AB218" s="31" t="n">
        <v>14987584957.5</v>
      </c>
      <c r="AC218" s="36" t="n">
        <v>0.00557596966350428</v>
      </c>
      <c r="AD218" s="29" t="inlineStr">
        <is>
          <t>yfinance_download</t>
        </is>
      </c>
      <c r="AE218" s="29" t="inlineStr">
        <is>
          <t>000990.KS</t>
        </is>
      </c>
    </row>
    <row r="219" ht="24" customHeight="1">
      <c r="A219" s="24" t="inlineStr">
        <is>
          <t>2024-04-25</t>
        </is>
      </c>
      <c r="B219" s="30" t="n">
        <v>40450</v>
      </c>
      <c r="C219" s="30" t="n">
        <v>40750</v>
      </c>
      <c r="D219" s="30" t="n">
        <v>40050</v>
      </c>
      <c r="E219" s="30" t="n">
        <v>40050</v>
      </c>
      <c r="F219" s="30" t="n">
        <v>38598.64453125</v>
      </c>
      <c r="G219" s="30" t="n">
        <v>232148</v>
      </c>
      <c r="H219" s="35" t="n">
        <v>-0.01958384332925334</v>
      </c>
      <c r="I219" s="35" t="n">
        <v>-0.5282685512367491</v>
      </c>
      <c r="J219" s="30" t="n">
        <v>42915</v>
      </c>
      <c r="K219" s="30" t="n">
        <v>45893.33333333334</v>
      </c>
      <c r="L219" s="30" t="n">
        <v>50731.25</v>
      </c>
      <c r="M219" s="35" t="n">
        <v>0.4122197008133297</v>
      </c>
      <c r="N219" s="35" t="n">
        <v>0.3021738904849343</v>
      </c>
      <c r="O219" s="35" t="n">
        <v>-0.09183673469387754</v>
      </c>
      <c r="P219" s="35" t="n">
        <v>-0.2053571428571429</v>
      </c>
      <c r="Q219" s="35" t="n">
        <v>-0.1725206611570248</v>
      </c>
      <c r="R219" s="35" t="n">
        <v>-0.06675987416987073</v>
      </c>
      <c r="S219" s="35" t="n">
        <v>-0.1273242300987798</v>
      </c>
      <c r="T219" s="35" t="n">
        <v>-0.2105457681409387</v>
      </c>
      <c r="U219" s="30" t="n">
        <v>70800</v>
      </c>
      <c r="V219" s="30" t="n">
        <v>40050</v>
      </c>
      <c r="W219" s="35" t="n">
        <v>-0.434322033898305</v>
      </c>
      <c r="X219" s="35" t="n">
        <v>0</v>
      </c>
      <c r="Y219" s="30" t="n">
        <v>43617167</v>
      </c>
      <c r="Z219" s="30" t="n">
        <v>1746867538350</v>
      </c>
      <c r="AA219" s="30" t="n">
        <v>9297527400</v>
      </c>
      <c r="AB219" s="30" t="n">
        <v>14868125302.5</v>
      </c>
      <c r="AC219" s="35" t="n">
        <v>0.005322399778967763</v>
      </c>
      <c r="AD219" s="24" t="inlineStr">
        <is>
          <t>yfinance_download</t>
        </is>
      </c>
      <c r="AE219" s="24" t="inlineStr">
        <is>
          <t>000990.KS</t>
        </is>
      </c>
    </row>
    <row r="220" ht="24" customHeight="1">
      <c r="A220" s="29" t="inlineStr">
        <is>
          <t>2024-04-26</t>
        </is>
      </c>
      <c r="B220" s="31" t="n">
        <v>40450</v>
      </c>
      <c r="C220" s="31" t="n">
        <v>41800</v>
      </c>
      <c r="D220" s="31" t="n">
        <v>40050</v>
      </c>
      <c r="E220" s="31" t="n">
        <v>41600</v>
      </c>
      <c r="F220" s="31" t="n">
        <v>40092.47265625</v>
      </c>
      <c r="G220" s="31" t="n">
        <v>337756</v>
      </c>
      <c r="H220" s="36" t="n">
        <v>0.03870162297128599</v>
      </c>
      <c r="I220" s="36" t="n">
        <v>-0.5100117785630154</v>
      </c>
      <c r="J220" s="31" t="n">
        <v>42800</v>
      </c>
      <c r="K220" s="31" t="n">
        <v>45745</v>
      </c>
      <c r="L220" s="31" t="n">
        <v>50671.66666666666</v>
      </c>
      <c r="M220" s="36" t="n">
        <v>0.4398086231582812</v>
      </c>
      <c r="N220" s="36" t="n">
        <v>0.314226019892875</v>
      </c>
      <c r="O220" s="36" t="n">
        <v>-0.05239179954441908</v>
      </c>
      <c r="P220" s="36" t="n">
        <v>-0.1762376237623763</v>
      </c>
      <c r="Q220" s="36" t="n">
        <v>-0.1466666666666666</v>
      </c>
      <c r="R220" s="36" t="n">
        <v>-0.0280373831775701</v>
      </c>
      <c r="S220" s="36" t="n">
        <v>-0.09061099573723908</v>
      </c>
      <c r="T220" s="36" t="n">
        <v>-0.1790283853567082</v>
      </c>
      <c r="U220" s="31" t="n">
        <v>69300</v>
      </c>
      <c r="V220" s="31" t="n">
        <v>40050</v>
      </c>
      <c r="W220" s="36" t="n">
        <v>-0.3997113997113997</v>
      </c>
      <c r="X220" s="36" t="n">
        <v>0.03870162297128599</v>
      </c>
      <c r="Y220" s="31" t="n">
        <v>43617167</v>
      </c>
      <c r="Z220" s="31" t="n">
        <v>1814474147200</v>
      </c>
      <c r="AA220" s="31" t="n">
        <v>14050649600</v>
      </c>
      <c r="AB220" s="31" t="n">
        <v>14923826402.5</v>
      </c>
      <c r="AC220" s="36" t="n">
        <v>0.007743648275001446</v>
      </c>
      <c r="AD220" s="29" t="inlineStr">
        <is>
          <t>yfinance_download</t>
        </is>
      </c>
      <c r="AE220" s="29" t="inlineStr">
        <is>
          <t>000990.KS</t>
        </is>
      </c>
    </row>
    <row r="221" ht="24" customHeight="1">
      <c r="A221" s="24" t="inlineStr">
        <is>
          <t>2024-04-29</t>
        </is>
      </c>
      <c r="B221" s="30" t="n">
        <v>41900</v>
      </c>
      <c r="C221" s="30" t="n">
        <v>42150</v>
      </c>
      <c r="D221" s="30" t="n">
        <v>41050</v>
      </c>
      <c r="E221" s="30" t="n">
        <v>41550</v>
      </c>
      <c r="F221" s="30" t="n">
        <v>40044.28515625</v>
      </c>
      <c r="G221" s="30" t="n">
        <v>209013</v>
      </c>
      <c r="H221" s="35" t="n">
        <v>-0.001201923076923128</v>
      </c>
      <c r="I221" s="35" t="n">
        <v>-0.510600706713781</v>
      </c>
      <c r="J221" s="30" t="n">
        <v>42715</v>
      </c>
      <c r="K221" s="30" t="n">
        <v>45592.5</v>
      </c>
      <c r="L221" s="30" t="n">
        <v>50585.41666666666</v>
      </c>
      <c r="M221" s="35" t="n">
        <v>0.437334777483661</v>
      </c>
      <c r="N221" s="35" t="n">
        <v>0.3139130128322886</v>
      </c>
      <c r="O221" s="35" t="n">
        <v>-0.03930635838150287</v>
      </c>
      <c r="P221" s="35" t="n">
        <v>-0.1804733727810651</v>
      </c>
      <c r="Q221" s="35" t="n">
        <v>-0.1994219653179191</v>
      </c>
      <c r="R221" s="35" t="n">
        <v>-0.02727379140817043</v>
      </c>
      <c r="S221" s="35" t="n">
        <v>-0.08866589899654553</v>
      </c>
      <c r="T221" s="35" t="n">
        <v>-0.1786170256579218</v>
      </c>
      <c r="U221" s="30" t="n">
        <v>68100</v>
      </c>
      <c r="V221" s="30" t="n">
        <v>40050</v>
      </c>
      <c r="W221" s="35" t="n">
        <v>-0.3898678414096917</v>
      </c>
      <c r="X221" s="35" t="n">
        <v>0.03745318352059934</v>
      </c>
      <c r="Y221" s="30" t="n">
        <v>43617167</v>
      </c>
      <c r="Z221" s="30" t="n">
        <v>1812293288850</v>
      </c>
      <c r="AA221" s="30" t="n">
        <v>8684490150</v>
      </c>
      <c r="AB221" s="30" t="n">
        <v>14723039272.5</v>
      </c>
      <c r="AC221" s="35" t="n">
        <v>0.004791989355934098</v>
      </c>
      <c r="AD221" s="24" t="inlineStr">
        <is>
          <t>yfinance_download</t>
        </is>
      </c>
      <c r="AE221" s="24" t="inlineStr">
        <is>
          <t>000990.KS</t>
        </is>
      </c>
    </row>
    <row r="222" ht="24" customHeight="1">
      <c r="A222" s="29" t="inlineStr">
        <is>
          <t>2024-04-30</t>
        </is>
      </c>
      <c r="B222" s="31" t="n">
        <v>41600</v>
      </c>
      <c r="C222" s="31" t="n">
        <v>41900</v>
      </c>
      <c r="D222" s="31" t="n">
        <v>41200</v>
      </c>
      <c r="E222" s="31" t="n">
        <v>41400</v>
      </c>
      <c r="F222" s="31" t="n">
        <v>39899.71875</v>
      </c>
      <c r="G222" s="31" t="n">
        <v>183391</v>
      </c>
      <c r="H222" s="36" t="n">
        <v>-0.003610108303249149</v>
      </c>
      <c r="I222" s="36" t="n">
        <v>-0.5123674911660777</v>
      </c>
      <c r="J222" s="31" t="n">
        <v>42440</v>
      </c>
      <c r="K222" s="31" t="n">
        <v>45451.66666666666</v>
      </c>
      <c r="L222" s="31" t="n">
        <v>50496.25</v>
      </c>
      <c r="M222" s="36" t="n">
        <v>0.2966169206273518</v>
      </c>
      <c r="N222" s="36" t="n">
        <v>0.3126260890647599</v>
      </c>
      <c r="O222" s="36" t="n">
        <v>-0.1172707889125799</v>
      </c>
      <c r="P222" s="36" t="n">
        <v>-0.1695085255767302</v>
      </c>
      <c r="Q222" s="36" t="n">
        <v>-0.2053742802303263</v>
      </c>
      <c r="R222" s="36" t="n">
        <v>-0.02450518378887845</v>
      </c>
      <c r="S222" s="36" t="n">
        <v>-0.08914231234644854</v>
      </c>
      <c r="T222" s="36" t="n">
        <v>-0.1801371388964527</v>
      </c>
      <c r="U222" s="31" t="n">
        <v>67200</v>
      </c>
      <c r="V222" s="31" t="n">
        <v>40050</v>
      </c>
      <c r="W222" s="36" t="n">
        <v>-0.3839285714285714</v>
      </c>
      <c r="X222" s="36" t="n">
        <v>0.03370786516853941</v>
      </c>
      <c r="Y222" s="31" t="n">
        <v>43617167</v>
      </c>
      <c r="Z222" s="31" t="n">
        <v>1805750713800</v>
      </c>
      <c r="AA222" s="31" t="n">
        <v>7592387400</v>
      </c>
      <c r="AB222" s="31" t="n">
        <v>13060719407.5</v>
      </c>
      <c r="AC222" s="36" t="n">
        <v>0.004204560099008723</v>
      </c>
      <c r="AD222" s="29" t="inlineStr">
        <is>
          <t>yfinance_download</t>
        </is>
      </c>
      <c r="AE222" s="29" t="inlineStr">
        <is>
          <t>000990.KS</t>
        </is>
      </c>
    </row>
    <row r="223" ht="24" customHeight="1">
      <c r="A223" s="24" t="inlineStr">
        <is>
          <t>2024-05-02</t>
        </is>
      </c>
      <c r="B223" s="30" t="n">
        <v>41450</v>
      </c>
      <c r="C223" s="30" t="n">
        <v>42750</v>
      </c>
      <c r="D223" s="30" t="n">
        <v>41000</v>
      </c>
      <c r="E223" s="30" t="n">
        <v>42650</v>
      </c>
      <c r="F223" s="30" t="n">
        <v>41104.421875</v>
      </c>
      <c r="G223" s="30" t="n">
        <v>284367</v>
      </c>
      <c r="H223" s="35" t="n">
        <v>0.03019323671497576</v>
      </c>
      <c r="I223" s="35" t="n">
        <v>-0.4976442873969376</v>
      </c>
      <c r="J223" s="30" t="n">
        <v>42255</v>
      </c>
      <c r="K223" s="30" t="n">
        <v>45327.5</v>
      </c>
      <c r="L223" s="30" t="n">
        <v>50390.83333333334</v>
      </c>
      <c r="M223" s="35" t="n">
        <v>0.3221991645974852</v>
      </c>
      <c r="N223" s="35" t="n">
        <v>0.3195319259410015</v>
      </c>
      <c r="O223" s="35" t="n">
        <v>-0.07982740021574974</v>
      </c>
      <c r="P223" s="35" t="n">
        <v>-0.1487025948103793</v>
      </c>
      <c r="Q223" s="35" t="n">
        <v>-0.22875226039783</v>
      </c>
      <c r="R223" s="35" t="n">
        <v>0.009348006153117927</v>
      </c>
      <c r="S223" s="35" t="n">
        <v>-0.05907010093210519</v>
      </c>
      <c r="T223" s="35" t="n">
        <v>-0.1536159023631944</v>
      </c>
      <c r="U223" s="30" t="n">
        <v>67200</v>
      </c>
      <c r="V223" s="30" t="n">
        <v>40050</v>
      </c>
      <c r="W223" s="35" t="n">
        <v>-0.3653273809523809</v>
      </c>
      <c r="X223" s="35" t="n">
        <v>0.0649188514357053</v>
      </c>
      <c r="Y223" s="30" t="n">
        <v>43617167</v>
      </c>
      <c r="Z223" s="30" t="n">
        <v>1860272172550</v>
      </c>
      <c r="AA223" s="30" t="n">
        <v>12128252550</v>
      </c>
      <c r="AB223" s="30" t="n">
        <v>12237234535</v>
      </c>
      <c r="AC223" s="35" t="n">
        <v>0.00651961187667232</v>
      </c>
      <c r="AD223" s="24" t="inlineStr">
        <is>
          <t>yfinance_download</t>
        </is>
      </c>
      <c r="AE223" s="24" t="inlineStr">
        <is>
          <t>000990.KS</t>
        </is>
      </c>
    </row>
    <row r="224" ht="24" customHeight="1">
      <c r="A224" s="29" t="inlineStr">
        <is>
          <t>2024-05-03</t>
        </is>
      </c>
      <c r="B224" s="31" t="n">
        <v>42700</v>
      </c>
      <c r="C224" s="31" t="n">
        <v>43200</v>
      </c>
      <c r="D224" s="31" t="n">
        <v>42400</v>
      </c>
      <c r="E224" s="31" t="n">
        <v>43000</v>
      </c>
      <c r="F224" s="31" t="n">
        <v>41441.73828125</v>
      </c>
      <c r="G224" s="31" t="n">
        <v>149046</v>
      </c>
      <c r="H224" s="36" t="n">
        <v>0.008206330597889888</v>
      </c>
      <c r="I224" s="36" t="n">
        <v>-0.4935217903415783</v>
      </c>
      <c r="J224" s="31" t="n">
        <v>42147.5</v>
      </c>
      <c r="K224" s="31" t="n">
        <v>45190.83333333334</v>
      </c>
      <c r="L224" s="31" t="n">
        <v>50294.16666666666</v>
      </c>
      <c r="M224" s="36" t="n">
        <v>0.3140409277914964</v>
      </c>
      <c r="N224" s="36" t="n">
        <v>0.3162659261734434</v>
      </c>
      <c r="O224" s="36" t="n">
        <v>-0.04761904761904767</v>
      </c>
      <c r="P224" s="36" t="n">
        <v>-0.16015625</v>
      </c>
      <c r="Q224" s="36" t="n">
        <v>-0.2124542124542125</v>
      </c>
      <c r="R224" s="36" t="n">
        <v>0.0202265852067145</v>
      </c>
      <c r="S224" s="36" t="n">
        <v>-0.04847959578823147</v>
      </c>
      <c r="T224" s="36" t="n">
        <v>-0.1450300730701042</v>
      </c>
      <c r="U224" s="31" t="n">
        <v>67200</v>
      </c>
      <c r="V224" s="31" t="n">
        <v>40050</v>
      </c>
      <c r="W224" s="36" t="n">
        <v>-0.3601190476190477</v>
      </c>
      <c r="X224" s="36" t="n">
        <v>0.07365792759051182</v>
      </c>
      <c r="Y224" s="31" t="n">
        <v>43617167</v>
      </c>
      <c r="Z224" s="31" t="n">
        <v>1875538181000</v>
      </c>
      <c r="AA224" s="31" t="n">
        <v>6408978000</v>
      </c>
      <c r="AB224" s="31" t="n">
        <v>11657473705</v>
      </c>
      <c r="AC224" s="36" t="n">
        <v>0.003417140778537955</v>
      </c>
      <c r="AD224" s="29" t="inlineStr">
        <is>
          <t>yfinance_download</t>
        </is>
      </c>
      <c r="AE224" s="29" t="inlineStr">
        <is>
          <t>000990.KS</t>
        </is>
      </c>
    </row>
    <row r="225" ht="24" customHeight="1">
      <c r="A225" s="24" t="inlineStr">
        <is>
          <t>2024-05-07</t>
        </is>
      </c>
      <c r="B225" s="30" t="n">
        <v>43400</v>
      </c>
      <c r="C225" s="30" t="n">
        <v>43500</v>
      </c>
      <c r="D225" s="30" t="n">
        <v>42450</v>
      </c>
      <c r="E225" s="30" t="n">
        <v>42800</v>
      </c>
      <c r="F225" s="30" t="n">
        <v>41248.98828125</v>
      </c>
      <c r="G225" s="30" t="n">
        <v>287596</v>
      </c>
      <c r="H225" s="35" t="n">
        <v>-0.00465116279069766</v>
      </c>
      <c r="I225" s="35" t="n">
        <v>-0.4958775029446407</v>
      </c>
      <c r="J225" s="30" t="n">
        <v>42020</v>
      </c>
      <c r="K225" s="30" t="n">
        <v>45080.83333333334</v>
      </c>
      <c r="L225" s="30" t="n">
        <v>50195.83333333334</v>
      </c>
      <c r="M225" s="35" t="n">
        <v>0.3131319263226706</v>
      </c>
      <c r="N225" s="35" t="n">
        <v>0.3089953343080283</v>
      </c>
      <c r="O225" s="35" t="n">
        <v>-0.05622932745314224</v>
      </c>
      <c r="P225" s="35" t="n">
        <v>-0.1336032388663968</v>
      </c>
      <c r="Q225" s="35" t="n">
        <v>-0.2161172161172161</v>
      </c>
      <c r="R225" s="35" t="n">
        <v>0.01856258924321752</v>
      </c>
      <c r="S225" s="35" t="n">
        <v>-0.05059430282640442</v>
      </c>
      <c r="T225" s="35" t="n">
        <v>-0.1473395866190753</v>
      </c>
      <c r="U225" s="30" t="n">
        <v>67200</v>
      </c>
      <c r="V225" s="30" t="n">
        <v>40050</v>
      </c>
      <c r="W225" s="35" t="n">
        <v>-0.3630952380952381</v>
      </c>
      <c r="X225" s="35" t="n">
        <v>0.06866416978776524</v>
      </c>
      <c r="Y225" s="30" t="n">
        <v>43617167</v>
      </c>
      <c r="Z225" s="30" t="n">
        <v>1866814747600</v>
      </c>
      <c r="AA225" s="30" t="n">
        <v>12309108800</v>
      </c>
      <c r="AB225" s="30" t="n">
        <v>11456731182.5</v>
      </c>
      <c r="AC225" s="35" t="n">
        <v>0.006593642361045595</v>
      </c>
      <c r="AD225" s="24" t="inlineStr">
        <is>
          <t>yfinance_download</t>
        </is>
      </c>
      <c r="AE225" s="24" t="inlineStr">
        <is>
          <t>000990.KS</t>
        </is>
      </c>
    </row>
    <row r="226" ht="24" customHeight="1">
      <c r="A226" s="29" t="inlineStr">
        <is>
          <t>2024-05-08</t>
        </is>
      </c>
      <c r="B226" s="31" t="n">
        <v>43700</v>
      </c>
      <c r="C226" s="31" t="n">
        <v>44700</v>
      </c>
      <c r="D226" s="31" t="n">
        <v>43300</v>
      </c>
      <c r="E226" s="31" t="n">
        <v>44450</v>
      </c>
      <c r="F226" s="31" t="n">
        <v>42839.19140625</v>
      </c>
      <c r="G226" s="31" t="n">
        <v>455288</v>
      </c>
      <c r="H226" s="36" t="n">
        <v>0.03855140186915884</v>
      </c>
      <c r="I226" s="36" t="n">
        <v>-0.4764428739693758</v>
      </c>
      <c r="J226" s="31" t="n">
        <v>42045</v>
      </c>
      <c r="K226" s="31" t="n">
        <v>44993.33333333334</v>
      </c>
      <c r="L226" s="31" t="n">
        <v>50105.41666666666</v>
      </c>
      <c r="M226" s="36" t="n">
        <v>0.3269674605815425</v>
      </c>
      <c r="N226" s="36" t="n">
        <v>0.3196950188066103</v>
      </c>
      <c r="O226" s="36" t="n">
        <v>0.01137656427758826</v>
      </c>
      <c r="P226" s="36" t="n">
        <v>-0.1056338028169014</v>
      </c>
      <c r="Q226" s="36" t="n">
        <v>-0.1962025316455697</v>
      </c>
      <c r="R226" s="36" t="n">
        <v>0.05720061838506352</v>
      </c>
      <c r="S226" s="36" t="n">
        <v>-0.01207586309082831</v>
      </c>
      <c r="T226" s="36" t="n">
        <v>-0.1128703649804994</v>
      </c>
      <c r="U226" s="31" t="n">
        <v>67200</v>
      </c>
      <c r="V226" s="31" t="n">
        <v>40050</v>
      </c>
      <c r="W226" s="36" t="n">
        <v>-0.3385416666666666</v>
      </c>
      <c r="X226" s="36" t="n">
        <v>0.1098626716604245</v>
      </c>
      <c r="Y226" s="31" t="n">
        <v>43617167</v>
      </c>
      <c r="Z226" s="31" t="n">
        <v>1938783073150</v>
      </c>
      <c r="AA226" s="31" t="n">
        <v>20237551600</v>
      </c>
      <c r="AB226" s="31" t="n">
        <v>11798916242.5</v>
      </c>
      <c r="AC226" s="36" t="n">
        <v>0.01043827536987902</v>
      </c>
      <c r="AD226" s="29" t="inlineStr">
        <is>
          <t>yfinance_download</t>
        </is>
      </c>
      <c r="AE226" s="29" t="inlineStr">
        <is>
          <t>000990.KS</t>
        </is>
      </c>
    </row>
    <row r="227" ht="24" customHeight="1">
      <c r="A227" s="24" t="inlineStr">
        <is>
          <t>2024-05-09</t>
        </is>
      </c>
      <c r="B227" s="30" t="n">
        <v>44500</v>
      </c>
      <c r="C227" s="30" t="n">
        <v>44500</v>
      </c>
      <c r="D227" s="30" t="n">
        <v>43150</v>
      </c>
      <c r="E227" s="30" t="n">
        <v>43350</v>
      </c>
      <c r="F227" s="30" t="n">
        <v>41779.0546875</v>
      </c>
      <c r="G227" s="30" t="n">
        <v>265917</v>
      </c>
      <c r="H227" s="35" t="n">
        <v>-0.02474690663667045</v>
      </c>
      <c r="I227" s="35" t="n">
        <v>-0.4893992932862191</v>
      </c>
      <c r="J227" s="30" t="n">
        <v>41990</v>
      </c>
      <c r="K227" s="30" t="n">
        <v>44883.33333333334</v>
      </c>
      <c r="L227" s="30" t="n">
        <v>50015</v>
      </c>
      <c r="M227" s="35" t="n">
        <v>0.3364265793994351</v>
      </c>
      <c r="N227" s="35" t="n">
        <v>0.3228412378346318</v>
      </c>
      <c r="O227" s="35" t="n">
        <v>-0.02474690663667045</v>
      </c>
      <c r="P227" s="35" t="n">
        <v>-0.1321321321321322</v>
      </c>
      <c r="Q227" s="35" t="n">
        <v>-0.2001845018450185</v>
      </c>
      <c r="R227" s="35" t="n">
        <v>0.03238866396761142</v>
      </c>
      <c r="S227" s="35" t="n">
        <v>-0.03416264389157075</v>
      </c>
      <c r="T227" s="35" t="n">
        <v>-0.133260021993402</v>
      </c>
      <c r="U227" s="30" t="n">
        <v>67200</v>
      </c>
      <c r="V227" s="30" t="n">
        <v>40050</v>
      </c>
      <c r="W227" s="35" t="n">
        <v>-0.3549107142857143</v>
      </c>
      <c r="X227" s="35" t="n">
        <v>0.08239700374531833</v>
      </c>
      <c r="Y227" s="30" t="n">
        <v>43617167</v>
      </c>
      <c r="Z227" s="30" t="n">
        <v>1890804189450</v>
      </c>
      <c r="AA227" s="30" t="n">
        <v>11527501950</v>
      </c>
      <c r="AB227" s="30" t="n">
        <v>11436791820</v>
      </c>
      <c r="AC227" s="35" t="n">
        <v>0.006096613289900282</v>
      </c>
      <c r="AD227" s="24" t="inlineStr">
        <is>
          <t>yfinance_download</t>
        </is>
      </c>
      <c r="AE227" s="24" t="inlineStr">
        <is>
          <t>000990.KS</t>
        </is>
      </c>
    </row>
    <row r="228" ht="24" customHeight="1">
      <c r="A228" s="29" t="inlineStr">
        <is>
          <t>2024-05-10</t>
        </is>
      </c>
      <c r="B228" s="31" t="n">
        <v>43800</v>
      </c>
      <c r="C228" s="31" t="n">
        <v>44150</v>
      </c>
      <c r="D228" s="31" t="n">
        <v>43000</v>
      </c>
      <c r="E228" s="31" t="n">
        <v>43100</v>
      </c>
      <c r="F228" s="31" t="n">
        <v>41538.1171875</v>
      </c>
      <c r="G228" s="31" t="n">
        <v>214410</v>
      </c>
      <c r="H228" s="36" t="n">
        <v>-0.005767012687427964</v>
      </c>
      <c r="I228" s="36" t="n">
        <v>-0.4923439340400471</v>
      </c>
      <c r="J228" s="31" t="n">
        <v>41930</v>
      </c>
      <c r="K228" s="31" t="n">
        <v>44766.66666666666</v>
      </c>
      <c r="L228" s="31" t="n">
        <v>49925</v>
      </c>
      <c r="M228" s="36" t="n">
        <v>0.3367538408925825</v>
      </c>
      <c r="N228" s="36" t="n">
        <v>0.3227425799412047</v>
      </c>
      <c r="O228" s="36" t="n">
        <v>-0.02708803611738153</v>
      </c>
      <c r="P228" s="36" t="n">
        <v>-0.1397205588822356</v>
      </c>
      <c r="Q228" s="36" t="n">
        <v>-0.2003710575139147</v>
      </c>
      <c r="R228" s="36" t="n">
        <v>0.02790364893870745</v>
      </c>
      <c r="S228" s="36" t="n">
        <v>-0.03723008190618016</v>
      </c>
      <c r="T228" s="36" t="n">
        <v>-0.1367050575863795</v>
      </c>
      <c r="U228" s="31" t="n">
        <v>67200</v>
      </c>
      <c r="V228" s="31" t="n">
        <v>40050</v>
      </c>
      <c r="W228" s="36" t="n">
        <v>-0.3586309523809523</v>
      </c>
      <c r="X228" s="36" t="n">
        <v>0.07615480649188511</v>
      </c>
      <c r="Y228" s="31" t="n">
        <v>43617167</v>
      </c>
      <c r="Z228" s="31" t="n">
        <v>1879899897700</v>
      </c>
      <c r="AA228" s="31" t="n">
        <v>9241071000</v>
      </c>
      <c r="AB228" s="31" t="n">
        <v>11433535890</v>
      </c>
      <c r="AC228" s="36" t="n">
        <v>0.004915725040097171</v>
      </c>
      <c r="AD228" s="29" t="inlineStr">
        <is>
          <t>yfinance_download</t>
        </is>
      </c>
      <c r="AE228" s="29" t="inlineStr">
        <is>
          <t>000990.KS</t>
        </is>
      </c>
    </row>
    <row r="229" ht="24" customHeight="1">
      <c r="A229" s="24" t="inlineStr">
        <is>
          <t>2024-05-13</t>
        </is>
      </c>
      <c r="B229" s="30" t="n">
        <v>43600</v>
      </c>
      <c r="C229" s="30" t="n">
        <v>43800</v>
      </c>
      <c r="D229" s="30" t="n">
        <v>42750</v>
      </c>
      <c r="E229" s="30" t="n">
        <v>42900</v>
      </c>
      <c r="F229" s="30" t="n">
        <v>41345.359375</v>
      </c>
      <c r="G229" s="30" t="n">
        <v>184727</v>
      </c>
      <c r="H229" s="35" t="n">
        <v>-0.004640371229698403</v>
      </c>
      <c r="I229" s="35" t="n">
        <v>-0.4946996466431095</v>
      </c>
      <c r="J229" s="30" t="n">
        <v>41885</v>
      </c>
      <c r="K229" s="30" t="n">
        <v>44655</v>
      </c>
      <c r="L229" s="30" t="n">
        <v>49827.5</v>
      </c>
      <c r="M229" s="35" t="n">
        <v>0.3349242191544743</v>
      </c>
      <c r="N229" s="35" t="n">
        <v>0.3223855616343143</v>
      </c>
      <c r="O229" s="35" t="n">
        <v>-0.02054794520547942</v>
      </c>
      <c r="P229" s="35" t="n">
        <v>-0.1350806451612904</v>
      </c>
      <c r="Q229" s="35" t="n">
        <v>-0.2142857142857143</v>
      </c>
      <c r="R229" s="35" t="n">
        <v>0.02423301898054198</v>
      </c>
      <c r="S229" s="35" t="n">
        <v>-0.0393013100436681</v>
      </c>
      <c r="T229" s="35" t="n">
        <v>-0.1390296523004365</v>
      </c>
      <c r="U229" s="30" t="n">
        <v>67200</v>
      </c>
      <c r="V229" s="30" t="n">
        <v>40050</v>
      </c>
      <c r="W229" s="35" t="n">
        <v>-0.3616071428571429</v>
      </c>
      <c r="X229" s="35" t="n">
        <v>0.07116104868913853</v>
      </c>
      <c r="Y229" s="30" t="n">
        <v>43617167</v>
      </c>
      <c r="Z229" s="30" t="n">
        <v>1871176464300</v>
      </c>
      <c r="AA229" s="30" t="n">
        <v>7924788300</v>
      </c>
      <c r="AB229" s="30" t="n">
        <v>11265767085</v>
      </c>
      <c r="AC229" s="35" t="n">
        <v>0.004235190240576606</v>
      </c>
      <c r="AD229" s="24" t="inlineStr">
        <is>
          <t>yfinance_download</t>
        </is>
      </c>
      <c r="AE229" s="24" t="inlineStr">
        <is>
          <t>000990.KS</t>
        </is>
      </c>
    </row>
    <row r="230" ht="24" customHeight="1">
      <c r="A230" s="29" t="inlineStr">
        <is>
          <t>2024-05-14</t>
        </is>
      </c>
      <c r="B230" s="31" t="n">
        <v>42500</v>
      </c>
      <c r="C230" s="31" t="n">
        <v>43250</v>
      </c>
      <c r="D230" s="31" t="n">
        <v>42500</v>
      </c>
      <c r="E230" s="31" t="n">
        <v>42800</v>
      </c>
      <c r="F230" s="31" t="n">
        <v>41248.98828125</v>
      </c>
      <c r="G230" s="31" t="n">
        <v>150823</v>
      </c>
      <c r="H230" s="36" t="n">
        <v>-0.002331002331002363</v>
      </c>
      <c r="I230" s="36" t="n">
        <v>-0.4958775029446407</v>
      </c>
      <c r="J230" s="31" t="n">
        <v>41925</v>
      </c>
      <c r="K230" s="31" t="n">
        <v>44555</v>
      </c>
      <c r="L230" s="31" t="n">
        <v>49729.16666666666</v>
      </c>
      <c r="M230" s="36" t="n">
        <v>0.2994999601638814</v>
      </c>
      <c r="N230" s="36" t="n">
        <v>0.3210797423076186</v>
      </c>
      <c r="O230" s="36" t="n">
        <v>0.01904761904761898</v>
      </c>
      <c r="P230" s="36" t="n">
        <v>-0.1229508196721312</v>
      </c>
      <c r="Q230" s="36" t="n">
        <v>-0.2161172161172161</v>
      </c>
      <c r="R230" s="36" t="n">
        <v>0.02087060226595105</v>
      </c>
      <c r="S230" s="36" t="n">
        <v>-0.0393895185725508</v>
      </c>
      <c r="T230" s="36" t="n">
        <v>-0.1393380812735651</v>
      </c>
      <c r="U230" s="31" t="n">
        <v>67200</v>
      </c>
      <c r="V230" s="31" t="n">
        <v>40050</v>
      </c>
      <c r="W230" s="36" t="n">
        <v>-0.3630952380952381</v>
      </c>
      <c r="X230" s="36" t="n">
        <v>0.06866416978776524</v>
      </c>
      <c r="Y230" s="31" t="n">
        <v>43617167</v>
      </c>
      <c r="Z230" s="31" t="n">
        <v>1866814747600</v>
      </c>
      <c r="AA230" s="31" t="n">
        <v>6455224400</v>
      </c>
      <c r="AB230" s="31" t="n">
        <v>10512183805</v>
      </c>
      <c r="AC230" s="36" t="n">
        <v>0.00345788161803356</v>
      </c>
      <c r="AD230" s="29" t="inlineStr">
        <is>
          <t>yfinance_download</t>
        </is>
      </c>
      <c r="AE230" s="29" t="inlineStr">
        <is>
          <t>000990.KS</t>
        </is>
      </c>
    </row>
    <row r="231" ht="24" customHeight="1">
      <c r="A231" s="24" t="inlineStr">
        <is>
          <t>2024-05-16</t>
        </is>
      </c>
      <c r="B231" s="30" t="n">
        <v>43600</v>
      </c>
      <c r="C231" s="30" t="n">
        <v>44050</v>
      </c>
      <c r="D231" s="30" t="n">
        <v>43050</v>
      </c>
      <c r="E231" s="30" t="n">
        <v>43150</v>
      </c>
      <c r="F231" s="30" t="n">
        <v>41586.30078125</v>
      </c>
      <c r="G231" s="30" t="n">
        <v>187814</v>
      </c>
      <c r="H231" s="35" t="n">
        <v>0.008177570093457875</v>
      </c>
      <c r="I231" s="35" t="n">
        <v>-0.4917550058892816</v>
      </c>
      <c r="J231" s="30" t="n">
        <v>42032.5</v>
      </c>
      <c r="K231" s="30" t="n">
        <v>44460</v>
      </c>
      <c r="L231" s="30" t="n">
        <v>49630.41666666666</v>
      </c>
      <c r="M231" s="35" t="n">
        <v>0.285388910604091</v>
      </c>
      <c r="N231" s="35" t="n">
        <v>0.3217002796024076</v>
      </c>
      <c r="O231" s="35" t="n">
        <v>0.05243902439024395</v>
      </c>
      <c r="P231" s="35" t="n">
        <v>-0.1166837256908905</v>
      </c>
      <c r="Q231" s="35" t="n">
        <v>-0.2154545454545455</v>
      </c>
      <c r="R231" s="35" t="n">
        <v>0.02658656991613628</v>
      </c>
      <c r="S231" s="35" t="n">
        <v>-0.0294646873594242</v>
      </c>
      <c r="T231" s="35" t="n">
        <v>-0.1305734890398192</v>
      </c>
      <c r="U231" s="30" t="n">
        <v>67200</v>
      </c>
      <c r="V231" s="30" t="n">
        <v>40050</v>
      </c>
      <c r="W231" s="35" t="n">
        <v>-0.3578869047619048</v>
      </c>
      <c r="X231" s="35" t="n">
        <v>0.07740324594257175</v>
      </c>
      <c r="Y231" s="30" t="n">
        <v>43617167</v>
      </c>
      <c r="Z231" s="30" t="n">
        <v>1882080756050</v>
      </c>
      <c r="AA231" s="30" t="n">
        <v>8104174100</v>
      </c>
      <c r="AB231" s="30" t="n">
        <v>10316537510</v>
      </c>
      <c r="AC231" s="35" t="n">
        <v>0.004305965126070659</v>
      </c>
      <c r="AD231" s="24" t="inlineStr">
        <is>
          <t>yfinance_download</t>
        </is>
      </c>
      <c r="AE231" s="24" t="inlineStr">
        <is>
          <t>000990.KS</t>
        </is>
      </c>
    </row>
    <row r="232" ht="24" customHeight="1">
      <c r="A232" s="29" t="inlineStr">
        <is>
          <t>2024-05-17</t>
        </is>
      </c>
      <c r="B232" s="31" t="n">
        <v>43000</v>
      </c>
      <c r="C232" s="31" t="n">
        <v>43000</v>
      </c>
      <c r="D232" s="31" t="n">
        <v>42250</v>
      </c>
      <c r="E232" s="31" t="n">
        <v>42250</v>
      </c>
      <c r="F232" s="31" t="n">
        <v>40718.91796875</v>
      </c>
      <c r="G232" s="31" t="n">
        <v>155697</v>
      </c>
      <c r="H232" s="36" t="n">
        <v>-0.02085747392815762</v>
      </c>
      <c r="I232" s="36" t="n">
        <v>-0.5023557126030624</v>
      </c>
      <c r="J232" s="31" t="n">
        <v>42105</v>
      </c>
      <c r="K232" s="31" t="n">
        <v>44335</v>
      </c>
      <c r="L232" s="31" t="n">
        <v>49521.66666666666</v>
      </c>
      <c r="M232" s="36" t="n">
        <v>0.2964470313612984</v>
      </c>
      <c r="N232" s="36" t="n">
        <v>0.3211900450891818</v>
      </c>
      <c r="O232" s="36" t="n">
        <v>0.03553921568627461</v>
      </c>
      <c r="P232" s="36" t="n">
        <v>-0.1507537688442211</v>
      </c>
      <c r="Q232" s="36" t="n">
        <v>-0.2359855334538878</v>
      </c>
      <c r="R232" s="36" t="n">
        <v>0.003443771523572003</v>
      </c>
      <c r="S232" s="36" t="n">
        <v>-0.04702830720649598</v>
      </c>
      <c r="T232" s="36" t="n">
        <v>-0.1468380843401877</v>
      </c>
      <c r="U232" s="31" t="n">
        <v>67200</v>
      </c>
      <c r="V232" s="31" t="n">
        <v>40050</v>
      </c>
      <c r="W232" s="36" t="n">
        <v>-0.3712797619047619</v>
      </c>
      <c r="X232" s="36" t="n">
        <v>0.05493133583021215</v>
      </c>
      <c r="Y232" s="31" t="n">
        <v>43617167</v>
      </c>
      <c r="Z232" s="31" t="n">
        <v>1842825305750</v>
      </c>
      <c r="AA232" s="31" t="n">
        <v>6578198250</v>
      </c>
      <c r="AB232" s="31" t="n">
        <v>10038365862.5</v>
      </c>
      <c r="AC232" s="36" t="n">
        <v>0.003569626610549924</v>
      </c>
      <c r="AD232" s="29" t="inlineStr">
        <is>
          <t>yfinance_download</t>
        </is>
      </c>
      <c r="AE232" s="29" t="inlineStr">
        <is>
          <t>000990.KS</t>
        </is>
      </c>
    </row>
    <row r="233" ht="24" customHeight="1">
      <c r="A233" s="24" t="inlineStr">
        <is>
          <t>2024-05-20</t>
        </is>
      </c>
      <c r="B233" s="30" t="n">
        <v>42350</v>
      </c>
      <c r="C233" s="30" t="n">
        <v>42450</v>
      </c>
      <c r="D233" s="30" t="n">
        <v>41500</v>
      </c>
      <c r="E233" s="30" t="n">
        <v>41900</v>
      </c>
      <c r="F233" s="30" t="n">
        <v>40381.59765625</v>
      </c>
      <c r="G233" s="30" t="n">
        <v>140320</v>
      </c>
      <c r="H233" s="35" t="n">
        <v>-0.008284023668639007</v>
      </c>
      <c r="I233" s="35" t="n">
        <v>-0.5064782096584217</v>
      </c>
      <c r="J233" s="30" t="n">
        <v>42115</v>
      </c>
      <c r="K233" s="30" t="n">
        <v>44210</v>
      </c>
      <c r="L233" s="30" t="n">
        <v>49399.16666666666</v>
      </c>
      <c r="M233" s="35" t="n">
        <v>0.288557585088468</v>
      </c>
      <c r="N233" s="35" t="n">
        <v>0.3212751859008207</v>
      </c>
      <c r="O233" s="35" t="n">
        <v>0.004796163069544335</v>
      </c>
      <c r="P233" s="35" t="n">
        <v>-0.1518218623481782</v>
      </c>
      <c r="Q233" s="35" t="n">
        <v>-0.2597173144876325</v>
      </c>
      <c r="R233" s="35" t="n">
        <v>-0.005105069452689071</v>
      </c>
      <c r="S233" s="35" t="n">
        <v>-0.05225062203121467</v>
      </c>
      <c r="T233" s="35" t="n">
        <v>-0.1518075541085375</v>
      </c>
      <c r="U233" s="30" t="n">
        <v>67200</v>
      </c>
      <c r="V233" s="30" t="n">
        <v>40050</v>
      </c>
      <c r="W233" s="35" t="n">
        <v>-0.3764880952380952</v>
      </c>
      <c r="X233" s="35" t="n">
        <v>0.04619225967540563</v>
      </c>
      <c r="Y233" s="30" t="n">
        <v>43617167</v>
      </c>
      <c r="Z233" s="30" t="n">
        <v>1827559297300</v>
      </c>
      <c r="AA233" s="30" t="n">
        <v>5879408000</v>
      </c>
      <c r="AB233" s="30" t="n">
        <v>9489850312.5</v>
      </c>
      <c r="AC233" s="35" t="n">
        <v>0.003217081934734551</v>
      </c>
      <c r="AD233" s="24" t="inlineStr">
        <is>
          <t>yfinance_download</t>
        </is>
      </c>
      <c r="AE233" s="24" t="inlineStr">
        <is>
          <t>000990.KS</t>
        </is>
      </c>
    </row>
    <row r="234" ht="24" customHeight="1">
      <c r="A234" s="29" t="inlineStr">
        <is>
          <t>2024-05-21</t>
        </is>
      </c>
      <c r="B234" s="31" t="n">
        <v>41800</v>
      </c>
      <c r="C234" s="31" t="n">
        <v>42200</v>
      </c>
      <c r="D234" s="31" t="n">
        <v>41600</v>
      </c>
      <c r="E234" s="31" t="n">
        <v>41850</v>
      </c>
      <c r="F234" s="31" t="n">
        <v>40333.4140625</v>
      </c>
      <c r="G234" s="31" t="n">
        <v>176589</v>
      </c>
      <c r="H234" s="36" t="n">
        <v>-0.001193317422434337</v>
      </c>
      <c r="I234" s="36" t="n">
        <v>-0.5070671378091873</v>
      </c>
      <c r="J234" s="31" t="n">
        <v>42110</v>
      </c>
      <c r="K234" s="31" t="n">
        <v>44082.5</v>
      </c>
      <c r="L234" s="31" t="n">
        <v>49279.58333333334</v>
      </c>
      <c r="M234" s="36" t="n">
        <v>0.2878343933804274</v>
      </c>
      <c r="N234" s="36" t="n">
        <v>0.3211474779237607</v>
      </c>
      <c r="O234" s="36" t="n">
        <v>-0.00238379022646007</v>
      </c>
      <c r="P234" s="36" t="n">
        <v>-0.1545454545454545</v>
      </c>
      <c r="Q234" s="36" t="n">
        <v>-0.255338078291815</v>
      </c>
      <c r="R234" s="36" t="n">
        <v>-0.006174305390643564</v>
      </c>
      <c r="S234" s="36" t="n">
        <v>-0.05064367946464021</v>
      </c>
      <c r="T234" s="36" t="n">
        <v>-0.1507639235315504</v>
      </c>
      <c r="U234" s="31" t="n">
        <v>67200</v>
      </c>
      <c r="V234" s="31" t="n">
        <v>40050</v>
      </c>
      <c r="W234" s="36" t="n">
        <v>-0.3772321428571429</v>
      </c>
      <c r="X234" s="36" t="n">
        <v>0.04494382022471921</v>
      </c>
      <c r="Y234" s="31" t="n">
        <v>43617167</v>
      </c>
      <c r="Z234" s="31" t="n">
        <v>1825378438950</v>
      </c>
      <c r="AA234" s="31" t="n">
        <v>7390249650</v>
      </c>
      <c r="AB234" s="31" t="n">
        <v>9493915370</v>
      </c>
      <c r="AC234" s="36" t="n">
        <v>0.004048612327343498</v>
      </c>
      <c r="AD234" s="29" t="inlineStr">
        <is>
          <t>yfinance_download</t>
        </is>
      </c>
      <c r="AE234" s="29" t="inlineStr">
        <is>
          <t>000990.KS</t>
        </is>
      </c>
    </row>
    <row r="235" ht="24" customHeight="1">
      <c r="A235" s="24" t="inlineStr">
        <is>
          <t>2024-05-22</t>
        </is>
      </c>
      <c r="B235" s="30" t="n">
        <v>42200</v>
      </c>
      <c r="C235" s="30" t="n">
        <v>44250</v>
      </c>
      <c r="D235" s="30" t="n">
        <v>41900</v>
      </c>
      <c r="E235" s="30" t="n">
        <v>43900</v>
      </c>
      <c r="F235" s="30" t="n">
        <v>42309.12109375</v>
      </c>
      <c r="G235" s="30" t="n">
        <v>430482</v>
      </c>
      <c r="H235" s="35" t="n">
        <v>0.04898446833930703</v>
      </c>
      <c r="I235" s="35" t="n">
        <v>-0.4829210836277974</v>
      </c>
      <c r="J235" s="30" t="n">
        <v>42250</v>
      </c>
      <c r="K235" s="30" t="n">
        <v>43991.66666666666</v>
      </c>
      <c r="L235" s="30" t="n">
        <v>49177.91666666666</v>
      </c>
      <c r="M235" s="35" t="n">
        <v>0.3255509596657879</v>
      </c>
      <c r="N235" s="35" t="n">
        <v>0.3380918134469648</v>
      </c>
      <c r="O235" s="35" t="n">
        <v>0.06812652068126512</v>
      </c>
      <c r="P235" s="35" t="n">
        <v>-0.110435663627153</v>
      </c>
      <c r="Q235" s="35" t="n">
        <v>-0.2174688057040999</v>
      </c>
      <c r="R235" s="35" t="n">
        <v>0.03905325443786989</v>
      </c>
      <c r="S235" s="35" t="n">
        <v>-0.002083727978783756</v>
      </c>
      <c r="T235" s="35" t="n">
        <v>-0.1073229006922144</v>
      </c>
      <c r="U235" s="30" t="n">
        <v>67200</v>
      </c>
      <c r="V235" s="30" t="n">
        <v>40050</v>
      </c>
      <c r="W235" s="35" t="n">
        <v>-0.3467261904761905</v>
      </c>
      <c r="X235" s="35" t="n">
        <v>0.09612983770287142</v>
      </c>
      <c r="Y235" s="30" t="n">
        <v>43617167</v>
      </c>
      <c r="Z235" s="30" t="n">
        <v>1914793631300</v>
      </c>
      <c r="AA235" s="30" t="n">
        <v>18898159800</v>
      </c>
      <c r="AB235" s="30" t="n">
        <v>9777142130</v>
      </c>
      <c r="AC235" s="35" t="n">
        <v>0.00986955434313283</v>
      </c>
      <c r="AD235" s="24" t="inlineStr">
        <is>
          <t>yfinance_download</t>
        </is>
      </c>
      <c r="AE235" s="24" t="inlineStr">
        <is>
          <t>000990.KS</t>
        </is>
      </c>
    </row>
    <row r="236" ht="24" customHeight="1">
      <c r="A236" s="29" t="inlineStr">
        <is>
          <t>2024-05-23</t>
        </is>
      </c>
      <c r="B236" s="31" t="n">
        <v>44350</v>
      </c>
      <c r="C236" s="31" t="n">
        <v>46150</v>
      </c>
      <c r="D236" s="31" t="n">
        <v>43750</v>
      </c>
      <c r="E236" s="31" t="n">
        <v>44700</v>
      </c>
      <c r="F236" s="31" t="n">
        <v>43080.1328125</v>
      </c>
      <c r="G236" s="31" t="n">
        <v>649628</v>
      </c>
      <c r="H236" s="36" t="n">
        <v>0.01822323462414577</v>
      </c>
      <c r="I236" s="36" t="n">
        <v>-0.4734982332155477</v>
      </c>
      <c r="J236" s="31" t="n">
        <v>42437.5</v>
      </c>
      <c r="K236" s="31" t="n">
        <v>43914.16666666666</v>
      </c>
      <c r="L236" s="31" t="n">
        <v>49085.41666666666</v>
      </c>
      <c r="M236" s="36" t="n">
        <v>0.3284276343927818</v>
      </c>
      <c r="N236" s="36" t="n">
        <v>0.3405437350411573</v>
      </c>
      <c r="O236" s="36" t="n">
        <v>0.09157509157509147</v>
      </c>
      <c r="P236" s="36" t="n">
        <v>-0.0942249240121581</v>
      </c>
      <c r="Q236" s="36" t="n">
        <v>-0.1989247311827957</v>
      </c>
      <c r="R236" s="36" t="n">
        <v>0.05331369661266572</v>
      </c>
      <c r="S236" s="36" t="n">
        <v>0.01789475681727626</v>
      </c>
      <c r="T236" s="36" t="n">
        <v>-0.08934255761639998</v>
      </c>
      <c r="U236" s="31" t="n">
        <v>67200</v>
      </c>
      <c r="V236" s="31" t="n">
        <v>40050</v>
      </c>
      <c r="W236" s="36" t="n">
        <v>-0.3348214285714286</v>
      </c>
      <c r="X236" s="36" t="n">
        <v>0.1161048689138577</v>
      </c>
      <c r="Y236" s="31" t="n">
        <v>43617167</v>
      </c>
      <c r="Z236" s="31" t="n">
        <v>1949687364900</v>
      </c>
      <c r="AA236" s="31" t="n">
        <v>29038371600</v>
      </c>
      <c r="AB236" s="31" t="n">
        <v>10879423467.5</v>
      </c>
      <c r="AC236" s="36" t="n">
        <v>0.01489386048387783</v>
      </c>
      <c r="AD236" s="29" t="inlineStr">
        <is>
          <t>yfinance_download</t>
        </is>
      </c>
      <c r="AE236" s="29" t="inlineStr">
        <is>
          <t>000990.KS</t>
        </is>
      </c>
    </row>
    <row r="237" ht="24" customHeight="1">
      <c r="A237" s="24" t="inlineStr">
        <is>
          <t>2024-05-24</t>
        </is>
      </c>
      <c r="B237" s="30" t="n">
        <v>44300</v>
      </c>
      <c r="C237" s="30" t="n">
        <v>44450</v>
      </c>
      <c r="D237" s="30" t="n">
        <v>42650</v>
      </c>
      <c r="E237" s="30" t="n">
        <v>42700</v>
      </c>
      <c r="F237" s="30" t="n">
        <v>41152.609375</v>
      </c>
      <c r="G237" s="30" t="n">
        <v>342851</v>
      </c>
      <c r="H237" s="35" t="n">
        <v>-0.04474272930648771</v>
      </c>
      <c r="I237" s="35" t="n">
        <v>-0.4970553592461719</v>
      </c>
      <c r="J237" s="30" t="n">
        <v>42547.5</v>
      </c>
      <c r="K237" s="30" t="n">
        <v>43813.33333333334</v>
      </c>
      <c r="L237" s="30" t="n">
        <v>48971.25</v>
      </c>
      <c r="M237" s="35" t="n">
        <v>0.3690121578115217</v>
      </c>
      <c r="N237" s="35" t="n">
        <v>0.3513073047358512</v>
      </c>
      <c r="O237" s="35" t="n">
        <v>0.05432098765432092</v>
      </c>
      <c r="P237" s="35" t="n">
        <v>-0.1241025641025642</v>
      </c>
      <c r="Q237" s="35" t="n">
        <v>-0.2429078014184397</v>
      </c>
      <c r="R237" s="35" t="n">
        <v>0.003584229390680926</v>
      </c>
      <c r="S237" s="35" t="n">
        <v>-0.02541083384053566</v>
      </c>
      <c r="T237" s="35" t="n">
        <v>-0.1280598310233045</v>
      </c>
      <c r="U237" s="30" t="n">
        <v>67200</v>
      </c>
      <c r="V237" s="30" t="n">
        <v>40050</v>
      </c>
      <c r="W237" s="35" t="n">
        <v>-0.3645833333333334</v>
      </c>
      <c r="X237" s="35" t="n">
        <v>0.06616729088639195</v>
      </c>
      <c r="Y237" s="30" t="n">
        <v>43617167</v>
      </c>
      <c r="Z237" s="30" t="n">
        <v>1862453030900</v>
      </c>
      <c r="AA237" s="30" t="n">
        <v>14639737700</v>
      </c>
      <c r="AB237" s="30" t="n">
        <v>11316043852.5</v>
      </c>
      <c r="AC237" s="35" t="n">
        <v>0.007860460079858007</v>
      </c>
      <c r="AD237" s="24" t="inlineStr">
        <is>
          <t>yfinance_download</t>
        </is>
      </c>
      <c r="AE237" s="24" t="inlineStr">
        <is>
          <t>000990.KS</t>
        </is>
      </c>
    </row>
    <row r="238" ht="24" customHeight="1">
      <c r="A238" s="29" t="inlineStr">
        <is>
          <t>2024-05-27</t>
        </is>
      </c>
      <c r="B238" s="31" t="n">
        <v>42650</v>
      </c>
      <c r="C238" s="31" t="n">
        <v>42650</v>
      </c>
      <c r="D238" s="31" t="n">
        <v>40450</v>
      </c>
      <c r="E238" s="31" t="n">
        <v>41150</v>
      </c>
      <c r="F238" s="31" t="n">
        <v>39658.77734375</v>
      </c>
      <c r="G238" s="31" t="n">
        <v>690148</v>
      </c>
      <c r="H238" s="36" t="n">
        <v>-0.03629976580796257</v>
      </c>
      <c r="I238" s="36" t="n">
        <v>-0.5153121319199058</v>
      </c>
      <c r="J238" s="31" t="n">
        <v>42562.5</v>
      </c>
      <c r="K238" s="31" t="n">
        <v>43699.16666666666</v>
      </c>
      <c r="L238" s="31" t="n">
        <v>48814.16666666666</v>
      </c>
      <c r="M238" s="36" t="n">
        <v>0.3934182108148375</v>
      </c>
      <c r="N238" s="36" t="n">
        <v>0.3572828688175506</v>
      </c>
      <c r="O238" s="36" t="n">
        <v>0.007343941248469932</v>
      </c>
      <c r="P238" s="36" t="n">
        <v>-0.1427083333333333</v>
      </c>
      <c r="Q238" s="36" t="n">
        <v>-0.3141666666666667</v>
      </c>
      <c r="R238" s="36" t="n">
        <v>-0.03318649045521294</v>
      </c>
      <c r="S238" s="36" t="n">
        <v>-0.05833444573695146</v>
      </c>
      <c r="T238" s="36" t="n">
        <v>-0.1570070164057565</v>
      </c>
      <c r="U238" s="31" t="n">
        <v>67200</v>
      </c>
      <c r="V238" s="31" t="n">
        <v>40050</v>
      </c>
      <c r="W238" s="36" t="n">
        <v>-0.3876488095238095</v>
      </c>
      <c r="X238" s="36" t="n">
        <v>0.02746566791510618</v>
      </c>
      <c r="Y238" s="31" t="n">
        <v>43617167</v>
      </c>
      <c r="Z238" s="31" t="n">
        <v>1794846422050</v>
      </c>
      <c r="AA238" s="31" t="n">
        <v>28399590200</v>
      </c>
      <c r="AB238" s="31" t="n">
        <v>12239271022.5</v>
      </c>
      <c r="AC238" s="36" t="n">
        <v>0.01582285250208937</v>
      </c>
      <c r="AD238" s="29" t="inlineStr">
        <is>
          <t>yfinance_download</t>
        </is>
      </c>
      <c r="AE238" s="29" t="inlineStr">
        <is>
          <t>000990.KS</t>
        </is>
      </c>
    </row>
    <row r="239" ht="24" customHeight="1">
      <c r="A239" s="24" t="inlineStr">
        <is>
          <t>2024-05-28</t>
        </is>
      </c>
      <c r="B239" s="30" t="n">
        <v>41250</v>
      </c>
      <c r="C239" s="30" t="n">
        <v>41450</v>
      </c>
      <c r="D239" s="30" t="n">
        <v>40800</v>
      </c>
      <c r="E239" s="30" t="n">
        <v>40850</v>
      </c>
      <c r="F239" s="30" t="n">
        <v>39369.65234375</v>
      </c>
      <c r="G239" s="30" t="n">
        <v>260957</v>
      </c>
      <c r="H239" s="35" t="n">
        <v>-0.007290400972053468</v>
      </c>
      <c r="I239" s="35" t="n">
        <v>-0.5188457008244994</v>
      </c>
      <c r="J239" s="30" t="n">
        <v>42602.5</v>
      </c>
      <c r="K239" s="30" t="n">
        <v>43588.33333333334</v>
      </c>
      <c r="L239" s="30" t="n">
        <v>48650.41666666666</v>
      </c>
      <c r="M239" s="35" t="n">
        <v>0.387403883439621</v>
      </c>
      <c r="N239" s="35" t="n">
        <v>0.3570375275501107</v>
      </c>
      <c r="O239" s="35" t="n">
        <v>0.01997503121098632</v>
      </c>
      <c r="P239" s="35" t="n">
        <v>-0.14</v>
      </c>
      <c r="Q239" s="35" t="n">
        <v>-0.324793388429752</v>
      </c>
      <c r="R239" s="35" t="n">
        <v>-0.04113608356317122</v>
      </c>
      <c r="S239" s="35" t="n">
        <v>-0.0628226207318473</v>
      </c>
      <c r="T239" s="35" t="n">
        <v>-0.1603360711196375</v>
      </c>
      <c r="U239" s="30" t="n">
        <v>67200</v>
      </c>
      <c r="V239" s="30" t="n">
        <v>40050</v>
      </c>
      <c r="W239" s="35" t="n">
        <v>-0.3921130952380952</v>
      </c>
      <c r="X239" s="35" t="n">
        <v>0.01997503121098632</v>
      </c>
      <c r="Y239" s="30" t="n">
        <v>43617167</v>
      </c>
      <c r="Z239" s="30" t="n">
        <v>1781761271950</v>
      </c>
      <c r="AA239" s="30" t="n">
        <v>10660093450</v>
      </c>
      <c r="AB239" s="30" t="n">
        <v>12307399325</v>
      </c>
      <c r="AC239" s="35" t="n">
        <v>0.005982896596654248</v>
      </c>
      <c r="AD239" s="24" t="inlineStr">
        <is>
          <t>yfinance_download</t>
        </is>
      </c>
      <c r="AE239" s="24" t="inlineStr">
        <is>
          <t>000990.KS</t>
        </is>
      </c>
    </row>
    <row r="240" ht="24" customHeight="1">
      <c r="A240" s="29" t="inlineStr">
        <is>
          <t>2024-05-29</t>
        </is>
      </c>
      <c r="B240" s="31" t="n">
        <v>40850</v>
      </c>
      <c r="C240" s="31" t="n">
        <v>40950</v>
      </c>
      <c r="D240" s="31" t="n">
        <v>40350</v>
      </c>
      <c r="E240" s="31" t="n">
        <v>40450</v>
      </c>
      <c r="F240" s="31" t="n">
        <v>38984.14453125</v>
      </c>
      <c r="G240" s="31" t="n">
        <v>294130</v>
      </c>
      <c r="H240" s="36" t="n">
        <v>-0.009791921664626724</v>
      </c>
      <c r="I240" s="36" t="n">
        <v>-0.5235571260306242</v>
      </c>
      <c r="J240" s="31" t="n">
        <v>42545</v>
      </c>
      <c r="K240" s="31" t="n">
        <v>43475.83333333334</v>
      </c>
      <c r="L240" s="31" t="n">
        <v>48503.33333333334</v>
      </c>
      <c r="M240" s="36" t="n">
        <v>0.3627165076800734</v>
      </c>
      <c r="N240" s="36" t="n">
        <v>0.3572769634595634</v>
      </c>
      <c r="O240" s="36" t="n">
        <v>-0.02764423076923073</v>
      </c>
      <c r="P240" s="36" t="n">
        <v>-0.1430084745762712</v>
      </c>
      <c r="Q240" s="36" t="n">
        <v>-0.3037865748709122</v>
      </c>
      <c r="R240" s="36" t="n">
        <v>-0.04924197908097305</v>
      </c>
      <c r="S240" s="36" t="n">
        <v>-0.0695980525579345</v>
      </c>
      <c r="T240" s="36" t="n">
        <v>-0.1660366985086936</v>
      </c>
      <c r="U240" s="31" t="n">
        <v>67200</v>
      </c>
      <c r="V240" s="31" t="n">
        <v>40050</v>
      </c>
      <c r="W240" s="36" t="n">
        <v>-0.3980654761904762</v>
      </c>
      <c r="X240" s="36" t="n">
        <v>0.009987515605493158</v>
      </c>
      <c r="Y240" s="31" t="n">
        <v>43617167</v>
      </c>
      <c r="Z240" s="31" t="n">
        <v>1764314405150</v>
      </c>
      <c r="AA240" s="31" t="n">
        <v>11897558500</v>
      </c>
      <c r="AB240" s="31" t="n">
        <v>12199744770</v>
      </c>
      <c r="AC240" s="36" t="n">
        <v>0.006743445762995107</v>
      </c>
      <c r="AD240" s="29" t="inlineStr">
        <is>
          <t>yfinance_download</t>
        </is>
      </c>
      <c r="AE240" s="29" t="inlineStr">
        <is>
          <t>000990.KS</t>
        </is>
      </c>
    </row>
    <row r="241" ht="24" customHeight="1">
      <c r="A241" s="24" t="inlineStr">
        <is>
          <t>2024-05-30</t>
        </is>
      </c>
      <c r="B241" s="30" t="n">
        <v>40250</v>
      </c>
      <c r="C241" s="30" t="n">
        <v>40300</v>
      </c>
      <c r="D241" s="30" t="n">
        <v>39800</v>
      </c>
      <c r="E241" s="30" t="n">
        <v>39950</v>
      </c>
      <c r="F241" s="30" t="n">
        <v>38502.265625</v>
      </c>
      <c r="G241" s="30" t="n">
        <v>227557</v>
      </c>
      <c r="H241" s="35" t="n">
        <v>-0.01236093943139682</v>
      </c>
      <c r="I241" s="35" t="n">
        <v>-0.5294464075382803</v>
      </c>
      <c r="J241" s="30" t="n">
        <v>42465</v>
      </c>
      <c r="K241" s="30" t="n">
        <v>43368.33333333334</v>
      </c>
      <c r="L241" s="30" t="n">
        <v>48320.41666666666</v>
      </c>
      <c r="M241" s="35" t="n">
        <v>0.3648925440353684</v>
      </c>
      <c r="N241" s="35" t="n">
        <v>0.3565977954604074</v>
      </c>
      <c r="O241" s="35" t="n">
        <v>-0.03850782190132374</v>
      </c>
      <c r="P241" s="35" t="n">
        <v>-0.1390086206896551</v>
      </c>
      <c r="Q241" s="35" t="n">
        <v>-0.3546042003231018</v>
      </c>
      <c r="R241" s="35" t="n">
        <v>-0.05922524431885079</v>
      </c>
      <c r="S241" s="35" t="n">
        <v>-0.07882095230775144</v>
      </c>
      <c r="T241" s="35" t="n">
        <v>-0.1732273279928256</v>
      </c>
      <c r="U241" s="30" t="n">
        <v>67200</v>
      </c>
      <c r="V241" s="30" t="n">
        <v>39950</v>
      </c>
      <c r="W241" s="35" t="n">
        <v>-0.4055059523809523</v>
      </c>
      <c r="X241" s="35" t="n">
        <v>0</v>
      </c>
      <c r="Y241" s="30" t="n">
        <v>43617167</v>
      </c>
      <c r="Z241" s="30" t="n">
        <v>1742505821650</v>
      </c>
      <c r="AA241" s="30" t="n">
        <v>9090902150</v>
      </c>
      <c r="AB241" s="30" t="n">
        <v>12220065370</v>
      </c>
      <c r="AC241" s="35" t="n">
        <v>0.005217143057457171</v>
      </c>
      <c r="AD241" s="24" t="inlineStr">
        <is>
          <t>yfinance_download</t>
        </is>
      </c>
      <c r="AE241" s="24" t="inlineStr">
        <is>
          <t>000990.KS</t>
        </is>
      </c>
    </row>
    <row r="242" ht="24" customHeight="1">
      <c r="A242" s="29" t="inlineStr">
        <is>
          <t>2024-05-31</t>
        </is>
      </c>
      <c r="B242" s="31" t="n">
        <v>39900</v>
      </c>
      <c r="C242" s="31" t="n">
        <v>40800</v>
      </c>
      <c r="D242" s="31" t="n">
        <v>39850</v>
      </c>
      <c r="E242" s="31" t="n">
        <v>40550</v>
      </c>
      <c r="F242" s="31" t="n">
        <v>39080.5234375</v>
      </c>
      <c r="G242" s="31" t="n">
        <v>227745</v>
      </c>
      <c r="H242" s="36" t="n">
        <v>0.01501877346683345</v>
      </c>
      <c r="I242" s="36" t="n">
        <v>-0.522379269729093</v>
      </c>
      <c r="J242" s="31" t="n">
        <v>42422.5</v>
      </c>
      <c r="K242" s="31" t="n">
        <v>43245</v>
      </c>
      <c r="L242" s="31" t="n">
        <v>48161.66666666666</v>
      </c>
      <c r="M242" s="36" t="n">
        <v>0.3695687037982158</v>
      </c>
      <c r="N242" s="36" t="n">
        <v>0.3506882478429183</v>
      </c>
      <c r="O242" s="36" t="n">
        <v>-0.02053140096618356</v>
      </c>
      <c r="P242" s="36" t="n">
        <v>-0.1543274244004171</v>
      </c>
      <c r="Q242" s="36" t="n">
        <v>-0.3196308724832215</v>
      </c>
      <c r="R242" s="36" t="n">
        <v>-0.04413931286463546</v>
      </c>
      <c r="S242" s="36" t="n">
        <v>-0.06231934327667943</v>
      </c>
      <c r="T242" s="36" t="n">
        <v>-0.1580440876215524</v>
      </c>
      <c r="U242" s="31" t="n">
        <v>67200</v>
      </c>
      <c r="V242" s="31" t="n">
        <v>39950</v>
      </c>
      <c r="W242" s="36" t="n">
        <v>-0.3965773809523809</v>
      </c>
      <c r="X242" s="36" t="n">
        <v>0.01501877346683345</v>
      </c>
      <c r="Y242" s="31" t="n">
        <v>43617167</v>
      </c>
      <c r="Z242" s="31" t="n">
        <v>1768676121850</v>
      </c>
      <c r="AA242" s="31" t="n">
        <v>9235059750</v>
      </c>
      <c r="AB242" s="31" t="n">
        <v>12302198987.5</v>
      </c>
      <c r="AC242" s="36" t="n">
        <v>0.005221453286959238</v>
      </c>
      <c r="AD242" s="29" t="inlineStr">
        <is>
          <t>yfinance_download</t>
        </is>
      </c>
      <c r="AE242" s="29" t="inlineStr">
        <is>
          <t>000990.KS</t>
        </is>
      </c>
    </row>
    <row r="243" ht="24" customHeight="1">
      <c r="A243" s="24" t="inlineStr">
        <is>
          <t>2024-06-03</t>
        </is>
      </c>
      <c r="B243" s="30" t="n">
        <v>40600</v>
      </c>
      <c r="C243" s="30" t="n">
        <v>42150</v>
      </c>
      <c r="D243" s="30" t="n">
        <v>40600</v>
      </c>
      <c r="E243" s="30" t="n">
        <v>41650</v>
      </c>
      <c r="F243" s="30" t="n">
        <v>40140.66015625</v>
      </c>
      <c r="G243" s="30" t="n">
        <v>358205</v>
      </c>
      <c r="H243" s="35" t="n">
        <v>0.0271270036991369</v>
      </c>
      <c r="I243" s="35" t="n">
        <v>-0.5094228504122498</v>
      </c>
      <c r="J243" s="30" t="n">
        <v>42372.5</v>
      </c>
      <c r="K243" s="30" t="n">
        <v>43162.5</v>
      </c>
      <c r="L243" s="30" t="n">
        <v>48012.91666666666</v>
      </c>
      <c r="M243" s="35" t="n">
        <v>0.3663062190649461</v>
      </c>
      <c r="N243" s="35" t="n">
        <v>0.351749573319914</v>
      </c>
      <c r="O243" s="35" t="n">
        <v>-0.02344665885111374</v>
      </c>
      <c r="P243" s="35" t="n">
        <v>-0.1062231759656652</v>
      </c>
      <c r="Q243" s="35" t="n">
        <v>-0.3</v>
      </c>
      <c r="R243" s="35" t="n">
        <v>-0.01705115346038111</v>
      </c>
      <c r="S243" s="35" t="n">
        <v>-0.0350419924703157</v>
      </c>
      <c r="T243" s="35" t="n">
        <v>-0.1325251017521326</v>
      </c>
      <c r="U243" s="30" t="n">
        <v>67200</v>
      </c>
      <c r="V243" s="30" t="n">
        <v>39950</v>
      </c>
      <c r="W243" s="35" t="n">
        <v>-0.3802083333333334</v>
      </c>
      <c r="X243" s="35" t="n">
        <v>0.04255319148936176</v>
      </c>
      <c r="Y243" s="30" t="n">
        <v>43617167</v>
      </c>
      <c r="Z243" s="30" t="n">
        <v>1816655005550</v>
      </c>
      <c r="AA243" s="30" t="n">
        <v>14919238250</v>
      </c>
      <c r="AB243" s="30" t="n">
        <v>12441748272.5</v>
      </c>
      <c r="AC243" s="35" t="n">
        <v>0.008212477440361956</v>
      </c>
      <c r="AD243" s="24" t="inlineStr">
        <is>
          <t>yfinance_download</t>
        </is>
      </c>
      <c r="AE243" s="24" t="inlineStr">
        <is>
          <t>000990.KS</t>
        </is>
      </c>
    </row>
    <row r="244" ht="24" customHeight="1">
      <c r="A244" s="29" t="inlineStr">
        <is>
          <t>2024-06-04</t>
        </is>
      </c>
      <c r="B244" s="31" t="n">
        <v>41250</v>
      </c>
      <c r="C244" s="31" t="n">
        <v>43150</v>
      </c>
      <c r="D244" s="31" t="n">
        <v>41250</v>
      </c>
      <c r="E244" s="31" t="n">
        <v>42750</v>
      </c>
      <c r="F244" s="31" t="n">
        <v>41200.796875</v>
      </c>
      <c r="G244" s="31" t="n">
        <v>361924</v>
      </c>
      <c r="H244" s="36" t="n">
        <v>0.02641056422569021</v>
      </c>
      <c r="I244" s="36" t="n">
        <v>-0.4964664310954063</v>
      </c>
      <c r="J244" s="31" t="n">
        <v>42360</v>
      </c>
      <c r="K244" s="31" t="n">
        <v>43111.66666666666</v>
      </c>
      <c r="L244" s="31" t="n">
        <v>47879.16666666666</v>
      </c>
      <c r="M244" s="36" t="n">
        <v>0.3778482683760809</v>
      </c>
      <c r="N244" s="36" t="n">
        <v>0.3548526663440023</v>
      </c>
      <c r="O244" s="36" t="n">
        <v>-0.005813953488372103</v>
      </c>
      <c r="P244" s="36" t="n">
        <v>-0.06659388646288211</v>
      </c>
      <c r="Q244" s="36" t="n">
        <v>-0.2729591836734694</v>
      </c>
      <c r="R244" s="36" t="n">
        <v>0.009206798866855603</v>
      </c>
      <c r="S244" s="36" t="n">
        <v>-0.008389067151196472</v>
      </c>
      <c r="T244" s="36" t="n">
        <v>-0.1071273170307196</v>
      </c>
      <c r="U244" s="31" t="n">
        <v>67200</v>
      </c>
      <c r="V244" s="31" t="n">
        <v>39950</v>
      </c>
      <c r="W244" s="36" t="n">
        <v>-0.3638392857142857</v>
      </c>
      <c r="X244" s="36" t="n">
        <v>0.07008760951188986</v>
      </c>
      <c r="Y244" s="31" t="n">
        <v>43617167</v>
      </c>
      <c r="Z244" s="31" t="n">
        <v>1864633889250</v>
      </c>
      <c r="AA244" s="31" t="n">
        <v>15472251000</v>
      </c>
      <c r="AB244" s="31" t="n">
        <v>12894911922.5</v>
      </c>
      <c r="AC244" s="36" t="n">
        <v>0.00829774203354381</v>
      </c>
      <c r="AD244" s="29" t="inlineStr">
        <is>
          <t>yfinance_download</t>
        </is>
      </c>
      <c r="AE244" s="29" t="inlineStr">
        <is>
          <t>000990.KS</t>
        </is>
      </c>
    </row>
    <row r="245" ht="24" customHeight="1">
      <c r="A245" s="24" t="inlineStr">
        <is>
          <t>2024-06-05</t>
        </is>
      </c>
      <c r="B245" s="30" t="n">
        <v>43250</v>
      </c>
      <c r="C245" s="30" t="n">
        <v>44150</v>
      </c>
      <c r="D245" s="30" t="n">
        <v>42500</v>
      </c>
      <c r="E245" s="30" t="n">
        <v>43150</v>
      </c>
      <c r="F245" s="30" t="n">
        <v>41586.30078125</v>
      </c>
      <c r="G245" s="30" t="n">
        <v>406745</v>
      </c>
      <c r="H245" s="35" t="n">
        <v>0.009356725146198785</v>
      </c>
      <c r="I245" s="35" t="n">
        <v>-0.4917550058892816</v>
      </c>
      <c r="J245" s="30" t="n">
        <v>42377.5</v>
      </c>
      <c r="K245" s="30" t="n">
        <v>43073.33333333334</v>
      </c>
      <c r="L245" s="30" t="n">
        <v>47749.58333333334</v>
      </c>
      <c r="M245" s="35" t="n">
        <v>0.3788430416388278</v>
      </c>
      <c r="N245" s="35" t="n">
        <v>0.3551842018639266</v>
      </c>
      <c r="O245" s="35" t="n">
        <v>0.008177570093457875</v>
      </c>
      <c r="P245" s="35" t="n">
        <v>-0.05060506050605063</v>
      </c>
      <c r="Q245" s="35" t="n">
        <v>-0.2649063032367973</v>
      </c>
      <c r="R245" s="35" t="n">
        <v>0.01822901303757885</v>
      </c>
      <c r="S245" s="35" t="n">
        <v>0.001779910230614412</v>
      </c>
      <c r="T245" s="35" t="n">
        <v>-0.09632719308196414</v>
      </c>
      <c r="U245" s="30" t="n">
        <v>67200</v>
      </c>
      <c r="V245" s="30" t="n">
        <v>39950</v>
      </c>
      <c r="W245" s="35" t="n">
        <v>-0.3578869047619048</v>
      </c>
      <c r="X245" s="35" t="n">
        <v>0.08010012515644549</v>
      </c>
      <c r="Y245" s="30" t="n">
        <v>43617167</v>
      </c>
      <c r="Z245" s="30" t="n">
        <v>1882080756050</v>
      </c>
      <c r="AA245" s="30" t="n">
        <v>17551046750</v>
      </c>
      <c r="AB245" s="30" t="n">
        <v>13157008820</v>
      </c>
      <c r="AC245" s="35" t="n">
        <v>0.009325342014991482</v>
      </c>
      <c r="AD245" s="24" t="inlineStr">
        <is>
          <t>yfinance_download</t>
        </is>
      </c>
      <c r="AE245" s="24" t="inlineStr">
        <is>
          <t>000990.KS</t>
        </is>
      </c>
    </row>
    <row r="246" ht="24" customHeight="1">
      <c r="A246" s="29" t="inlineStr">
        <is>
          <t>2024-06-07</t>
        </is>
      </c>
      <c r="B246" s="31" t="n">
        <v>43450</v>
      </c>
      <c r="C246" s="31" t="n">
        <v>44000</v>
      </c>
      <c r="D246" s="31" t="n">
        <v>42900</v>
      </c>
      <c r="E246" s="31" t="n">
        <v>43450</v>
      </c>
      <c r="F246" s="31" t="n">
        <v>41875.4296875</v>
      </c>
      <c r="G246" s="31" t="n">
        <v>206394</v>
      </c>
      <c r="H246" s="36" t="n">
        <v>0.006952491309385911</v>
      </c>
      <c r="I246" s="36" t="n">
        <v>-0.4882214369846879</v>
      </c>
      <c r="J246" s="31" t="n">
        <v>42327.5</v>
      </c>
      <c r="K246" s="31" t="n">
        <v>43028.33333333334</v>
      </c>
      <c r="L246" s="31" t="n">
        <v>47612.5</v>
      </c>
      <c r="M246" s="36" t="n">
        <v>0.3526425612078097</v>
      </c>
      <c r="N246" s="36" t="n">
        <v>0.353976181551849</v>
      </c>
      <c r="O246" s="36" t="n">
        <v>-0.02249718785151855</v>
      </c>
      <c r="P246" s="36" t="n">
        <v>-0.05850487540628391</v>
      </c>
      <c r="Q246" s="36" t="n">
        <v>-0.2746243739565943</v>
      </c>
      <c r="R246" s="36" t="n">
        <v>0.02651940227984162</v>
      </c>
      <c r="S246" s="36" t="n">
        <v>0.009799744354495044</v>
      </c>
      <c r="T246" s="36" t="n">
        <v>-0.08742452087161989</v>
      </c>
      <c r="U246" s="31" t="n">
        <v>67200</v>
      </c>
      <c r="V246" s="31" t="n">
        <v>39950</v>
      </c>
      <c r="W246" s="36" t="n">
        <v>-0.3534226190476191</v>
      </c>
      <c r="X246" s="36" t="n">
        <v>0.08760951188986232</v>
      </c>
      <c r="Y246" s="31" t="n">
        <v>43617167</v>
      </c>
      <c r="Z246" s="31" t="n">
        <v>1895165906150</v>
      </c>
      <c r="AA246" s="31" t="n">
        <v>8967819300</v>
      </c>
      <c r="AB246" s="31" t="n">
        <v>12593522205</v>
      </c>
      <c r="AC246" s="36" t="n">
        <v>0.004731944190689872</v>
      </c>
      <c r="AD246" s="29" t="inlineStr">
        <is>
          <t>yfinance_download</t>
        </is>
      </c>
      <c r="AE246" s="29" t="inlineStr">
        <is>
          <t>000990.KS</t>
        </is>
      </c>
    </row>
    <row r="247" ht="24" customHeight="1">
      <c r="A247" s="24" t="inlineStr">
        <is>
          <t>2024-06-10</t>
        </is>
      </c>
      <c r="B247" s="30" t="n">
        <v>42900</v>
      </c>
      <c r="C247" s="30" t="n">
        <v>43400</v>
      </c>
      <c r="D247" s="30" t="n">
        <v>42150</v>
      </c>
      <c r="E247" s="30" t="n">
        <v>42750</v>
      </c>
      <c r="F247" s="30" t="n">
        <v>41200.796875</v>
      </c>
      <c r="G247" s="30" t="n">
        <v>209538</v>
      </c>
      <c r="H247" s="35" t="n">
        <v>-0.01611047180667435</v>
      </c>
      <c r="I247" s="35" t="n">
        <v>-0.4964664310954063</v>
      </c>
      <c r="J247" s="30" t="n">
        <v>42297.5</v>
      </c>
      <c r="K247" s="30" t="n">
        <v>42989.16666666666</v>
      </c>
      <c r="L247" s="30" t="n">
        <v>47477.08333333334</v>
      </c>
      <c r="M247" s="35" t="n">
        <v>0.346170565905542</v>
      </c>
      <c r="N247" s="35" t="n">
        <v>0.3524725225943573</v>
      </c>
      <c r="O247" s="35" t="n">
        <v>-0.01384083044982698</v>
      </c>
      <c r="P247" s="35" t="n">
        <v>-0.05210643015521066</v>
      </c>
      <c r="Q247" s="35" t="n">
        <v>-0.2754237288135594</v>
      </c>
      <c r="R247" s="35" t="n">
        <v>0.01069803179856965</v>
      </c>
      <c r="S247" s="35" t="n">
        <v>-0.0055634171399771</v>
      </c>
      <c r="T247" s="35" t="n">
        <v>-0.09956557988503234</v>
      </c>
      <c r="U247" s="30" t="n">
        <v>67200</v>
      </c>
      <c r="V247" s="30" t="n">
        <v>39950</v>
      </c>
      <c r="W247" s="35" t="n">
        <v>-0.3638392857142857</v>
      </c>
      <c r="X247" s="35" t="n">
        <v>0.07008760951188986</v>
      </c>
      <c r="Y247" s="30" t="n">
        <v>43617167</v>
      </c>
      <c r="Z247" s="30" t="n">
        <v>1864633889250</v>
      </c>
      <c r="AA247" s="30" t="n">
        <v>8957749500</v>
      </c>
      <c r="AB247" s="30" t="n">
        <v>12465034582.5</v>
      </c>
      <c r="AC247" s="35" t="n">
        <v>0.004804025901086148</v>
      </c>
      <c r="AD247" s="24" t="inlineStr">
        <is>
          <t>yfinance_download</t>
        </is>
      </c>
      <c r="AE247" s="24" t="inlineStr">
        <is>
          <t>000990.KS</t>
        </is>
      </c>
    </row>
    <row r="248" ht="24" customHeight="1">
      <c r="A248" s="29" t="inlineStr">
        <is>
          <t>2024-06-11</t>
        </is>
      </c>
      <c r="B248" s="31" t="n">
        <v>42750</v>
      </c>
      <c r="C248" s="31" t="n">
        <v>43100</v>
      </c>
      <c r="D248" s="31" t="n">
        <v>42050</v>
      </c>
      <c r="E248" s="31" t="n">
        <v>42700</v>
      </c>
      <c r="F248" s="31" t="n">
        <v>41152.609375</v>
      </c>
      <c r="G248" s="31" t="n">
        <v>219402</v>
      </c>
      <c r="H248" s="36" t="n">
        <v>-0.00116959064327482</v>
      </c>
      <c r="I248" s="36" t="n">
        <v>-0.4970553592461719</v>
      </c>
      <c r="J248" s="31" t="n">
        <v>42277.5</v>
      </c>
      <c r="K248" s="31" t="n">
        <v>42944.16666666666</v>
      </c>
      <c r="L248" s="31" t="n">
        <v>47342.08333333334</v>
      </c>
      <c r="M248" s="36" t="n">
        <v>0.3456219126787856</v>
      </c>
      <c r="N248" s="36" t="n">
        <v>0.3521445744577014</v>
      </c>
      <c r="O248" s="36" t="n">
        <v>-0.009280742459396807</v>
      </c>
      <c r="P248" s="36" t="n">
        <v>-0.05947136563876654</v>
      </c>
      <c r="Q248" s="36" t="n">
        <v>-0.2750424448217318</v>
      </c>
      <c r="R248" s="36" t="n">
        <v>0.009993495358050941</v>
      </c>
      <c r="S248" s="36" t="n">
        <v>-0.005685677138920653</v>
      </c>
      <c r="T248" s="36" t="n">
        <v>-0.09805405690849411</v>
      </c>
      <c r="U248" s="31" t="n">
        <v>67200</v>
      </c>
      <c r="V248" s="31" t="n">
        <v>39950</v>
      </c>
      <c r="W248" s="36" t="n">
        <v>-0.3645833333333334</v>
      </c>
      <c r="X248" s="36" t="n">
        <v>0.06883604505632035</v>
      </c>
      <c r="Y248" s="31" t="n">
        <v>43617167</v>
      </c>
      <c r="Z248" s="31" t="n">
        <v>1862453030900</v>
      </c>
      <c r="AA248" s="31" t="n">
        <v>9368465400</v>
      </c>
      <c r="AB248" s="31" t="n">
        <v>12471404302.5</v>
      </c>
      <c r="AC248" s="36" t="n">
        <v>0.005030175389428663</v>
      </c>
      <c r="AD248" s="29" t="inlineStr">
        <is>
          <t>yfinance_download</t>
        </is>
      </c>
      <c r="AE248" s="29" t="inlineStr">
        <is>
          <t>000990.KS</t>
        </is>
      </c>
    </row>
    <row r="249" ht="24" customHeight="1">
      <c r="A249" s="24" t="inlineStr">
        <is>
          <t>2024-06-12</t>
        </is>
      </c>
      <c r="B249" s="30" t="n">
        <v>42600</v>
      </c>
      <c r="C249" s="30" t="n">
        <v>43600</v>
      </c>
      <c r="D249" s="30" t="n">
        <v>42350</v>
      </c>
      <c r="E249" s="30" t="n">
        <v>42950</v>
      </c>
      <c r="F249" s="30" t="n">
        <v>41393.55078125</v>
      </c>
      <c r="G249" s="30" t="n">
        <v>251624</v>
      </c>
      <c r="H249" s="35" t="n">
        <v>0.005854800936768045</v>
      </c>
      <c r="I249" s="35" t="n">
        <v>-0.4941107184923439</v>
      </c>
      <c r="J249" s="30" t="n">
        <v>42280</v>
      </c>
      <c r="K249" s="30" t="n">
        <v>42908.33333333334</v>
      </c>
      <c r="L249" s="30" t="n">
        <v>47197.5</v>
      </c>
      <c r="M249" s="35" t="n">
        <v>0.3458578009878894</v>
      </c>
      <c r="N249" s="35" t="n">
        <v>0.3521902431272418</v>
      </c>
      <c r="O249" s="35" t="n">
        <v>0.001165501165501182</v>
      </c>
      <c r="P249" s="35" t="n">
        <v>-0.04767184035476724</v>
      </c>
      <c r="Q249" s="35" t="n">
        <v>-0.2877280265339967</v>
      </c>
      <c r="R249" s="35" t="n">
        <v>0.01584673604541154</v>
      </c>
      <c r="S249" s="35" t="n">
        <v>0.0009710623422023446</v>
      </c>
      <c r="T249" s="35" t="n">
        <v>-0.08999417342020233</v>
      </c>
      <c r="U249" s="30" t="n">
        <v>67200</v>
      </c>
      <c r="V249" s="30" t="n">
        <v>39950</v>
      </c>
      <c r="W249" s="35" t="n">
        <v>-0.3608630952380952</v>
      </c>
      <c r="X249" s="35" t="n">
        <v>0.07509386733416767</v>
      </c>
      <c r="Y249" s="30" t="n">
        <v>43617167</v>
      </c>
      <c r="Z249" s="30" t="n">
        <v>1873357322650</v>
      </c>
      <c r="AA249" s="30" t="n">
        <v>10807250800</v>
      </c>
      <c r="AB249" s="30" t="n">
        <v>12615527427.5</v>
      </c>
      <c r="AC249" s="35" t="n">
        <v>0.005768921213979808</v>
      </c>
      <c r="AD249" s="24" t="inlineStr">
        <is>
          <t>yfinance_download</t>
        </is>
      </c>
      <c r="AE249" s="24" t="inlineStr">
        <is>
          <t>000990.KS</t>
        </is>
      </c>
    </row>
    <row r="250" ht="24" customHeight="1">
      <c r="A250" s="29" t="inlineStr">
        <is>
          <t>2024-06-13</t>
        </is>
      </c>
      <c r="B250" s="31" t="n">
        <v>43500</v>
      </c>
      <c r="C250" s="31" t="n">
        <v>43850</v>
      </c>
      <c r="D250" s="31" t="n">
        <v>40500</v>
      </c>
      <c r="E250" s="31" t="n">
        <v>40600</v>
      </c>
      <c r="F250" s="31" t="n">
        <v>39128.7109375</v>
      </c>
      <c r="G250" s="31" t="n">
        <v>1685959</v>
      </c>
      <c r="H250" s="36" t="n">
        <v>-0.05471478463329449</v>
      </c>
      <c r="I250" s="36" t="n">
        <v>-0.5217903415783274</v>
      </c>
      <c r="J250" s="31" t="n">
        <v>42170</v>
      </c>
      <c r="K250" s="31" t="n">
        <v>42845</v>
      </c>
      <c r="L250" s="31" t="n">
        <v>47031.66666666666</v>
      </c>
      <c r="M250" s="36" t="n">
        <v>0.3972732544172685</v>
      </c>
      <c r="N250" s="36" t="n">
        <v>0.3680949492675409</v>
      </c>
      <c r="O250" s="36" t="n">
        <v>-0.05140186915887845</v>
      </c>
      <c r="P250" s="36" t="n">
        <v>-0.0855855855855856</v>
      </c>
      <c r="Q250" s="36" t="n">
        <v>-0.3289256198347107</v>
      </c>
      <c r="R250" s="36" t="n">
        <v>-0.03723025847759065</v>
      </c>
      <c r="S250" s="36" t="n">
        <v>-0.05239817948418724</v>
      </c>
      <c r="T250" s="36" t="n">
        <v>-0.1367518338707963</v>
      </c>
      <c r="U250" s="31" t="n">
        <v>67200</v>
      </c>
      <c r="V250" s="31" t="n">
        <v>39950</v>
      </c>
      <c r="W250" s="36" t="n">
        <v>-0.3958333333333334</v>
      </c>
      <c r="X250" s="36" t="n">
        <v>0.01627033792240296</v>
      </c>
      <c r="Y250" s="31" t="n">
        <v>43617167</v>
      </c>
      <c r="Z250" s="31" t="n">
        <v>1770856980200</v>
      </c>
      <c r="AA250" s="31" t="n">
        <v>68449935400</v>
      </c>
      <c r="AB250" s="31" t="n">
        <v>15715262977.5</v>
      </c>
      <c r="AC250" s="36" t="n">
        <v>0.03865356500572355</v>
      </c>
      <c r="AD250" s="29" t="inlineStr">
        <is>
          <t>yfinance_download</t>
        </is>
      </c>
      <c r="AE250" s="29" t="inlineStr">
        <is>
          <t>000990.KS</t>
        </is>
      </c>
    </row>
    <row r="251" ht="24" customHeight="1">
      <c r="A251" s="24" t="inlineStr">
        <is>
          <t>2024-06-14</t>
        </is>
      </c>
      <c r="B251" s="30" t="n">
        <v>40750</v>
      </c>
      <c r="C251" s="30" t="n">
        <v>40950</v>
      </c>
      <c r="D251" s="30" t="n">
        <v>40200</v>
      </c>
      <c r="E251" s="30" t="n">
        <v>40200</v>
      </c>
      <c r="F251" s="30" t="n">
        <v>38743.20703125</v>
      </c>
      <c r="G251" s="30" t="n">
        <v>366777</v>
      </c>
      <c r="H251" s="35" t="n">
        <v>-0.009852216748768461</v>
      </c>
      <c r="I251" s="35" t="n">
        <v>-0.5265017667844523</v>
      </c>
      <c r="J251" s="30" t="n">
        <v>42022.5</v>
      </c>
      <c r="K251" s="30" t="n">
        <v>42790</v>
      </c>
      <c r="L251" s="30" t="n">
        <v>46856.66666666666</v>
      </c>
      <c r="M251" s="35" t="n">
        <v>0.3960984034211516</v>
      </c>
      <c r="N251" s="35" t="n">
        <v>0.3664083568826293</v>
      </c>
      <c r="O251" s="35" t="n">
        <v>-0.06836616454229427</v>
      </c>
      <c r="P251" s="35" t="n">
        <v>-0.07586206896551728</v>
      </c>
      <c r="Q251" s="35" t="n">
        <v>-0.3431372549019608</v>
      </c>
      <c r="R251" s="35" t="n">
        <v>-0.04336962341602713</v>
      </c>
      <c r="S251" s="35" t="n">
        <v>-0.06052816078523016</v>
      </c>
      <c r="T251" s="35" t="n">
        <v>-0.1420644518745109</v>
      </c>
      <c r="U251" s="30" t="n">
        <v>67200</v>
      </c>
      <c r="V251" s="30" t="n">
        <v>39950</v>
      </c>
      <c r="W251" s="35" t="n">
        <v>-0.4017857142857143</v>
      </c>
      <c r="X251" s="35" t="n">
        <v>0.006257822277847325</v>
      </c>
      <c r="Y251" s="30" t="n">
        <v>43617167</v>
      </c>
      <c r="Z251" s="30" t="n">
        <v>1753410113400</v>
      </c>
      <c r="AA251" s="30" t="n">
        <v>14744435400</v>
      </c>
      <c r="AB251" s="30" t="n">
        <v>16047276042.5</v>
      </c>
      <c r="AC251" s="35" t="n">
        <v>0.008409005564254094</v>
      </c>
      <c r="AD251" s="24" t="inlineStr">
        <is>
          <t>yfinance_download</t>
        </is>
      </c>
      <c r="AE251" s="24" t="inlineStr">
        <is>
          <t>000990.KS</t>
        </is>
      </c>
    </row>
    <row r="252" ht="24" customHeight="1">
      <c r="A252" s="29" t="inlineStr">
        <is>
          <t>2024-06-17</t>
        </is>
      </c>
      <c r="B252" s="31" t="n">
        <v>40550</v>
      </c>
      <c r="C252" s="31" t="n">
        <v>44750</v>
      </c>
      <c r="D252" s="31" t="n">
        <v>40550</v>
      </c>
      <c r="E252" s="31" t="n">
        <v>43650</v>
      </c>
      <c r="F252" s="31" t="n">
        <v>42068.1796875</v>
      </c>
      <c r="G252" s="31" t="n">
        <v>1422659</v>
      </c>
      <c r="H252" s="36" t="n">
        <v>0.08582089552238803</v>
      </c>
      <c r="I252" s="36" t="n">
        <v>-0.4858657243816255</v>
      </c>
      <c r="J252" s="31" t="n">
        <v>42092.5</v>
      </c>
      <c r="K252" s="31" t="n">
        <v>42785</v>
      </c>
      <c r="L252" s="31" t="n">
        <v>46713.75</v>
      </c>
      <c r="M252" s="36" t="n">
        <v>0.500423027577828</v>
      </c>
      <c r="N252" s="36" t="n">
        <v>0.4068544909935822</v>
      </c>
      <c r="O252" s="36" t="n">
        <v>0.03313609467455625</v>
      </c>
      <c r="P252" s="36" t="n">
        <v>-0.006825938566552892</v>
      </c>
      <c r="Q252" s="36" t="n">
        <v>-0.2820723684210527</v>
      </c>
      <c r="R252" s="36" t="n">
        <v>0.03700184118310856</v>
      </c>
      <c r="S252" s="36" t="n">
        <v>0.02021736589926371</v>
      </c>
      <c r="T252" s="36" t="n">
        <v>-0.06558561451392786</v>
      </c>
      <c r="U252" s="31" t="n">
        <v>67200</v>
      </c>
      <c r="V252" s="31" t="n">
        <v>39950</v>
      </c>
      <c r="W252" s="36" t="n">
        <v>-0.3504464285714286</v>
      </c>
      <c r="X252" s="36" t="n">
        <v>0.09261576971214014</v>
      </c>
      <c r="Y252" s="31" t="n">
        <v>43617167</v>
      </c>
      <c r="Z252" s="31" t="n">
        <v>1903889339550</v>
      </c>
      <c r="AA252" s="31" t="n">
        <v>62099065350</v>
      </c>
      <c r="AB252" s="31" t="n">
        <v>18823319397.5</v>
      </c>
      <c r="AC252" s="36" t="n">
        <v>0.03261695102756215</v>
      </c>
      <c r="AD252" s="29" t="inlineStr">
        <is>
          <t>yfinance_download</t>
        </is>
      </c>
      <c r="AE252" s="29" t="inlineStr">
        <is>
          <t>000990.KS</t>
        </is>
      </c>
    </row>
    <row r="253" ht="24" customHeight="1">
      <c r="A253" s="24" t="inlineStr">
        <is>
          <t>2024-06-18</t>
        </is>
      </c>
      <c r="B253" s="30" t="n">
        <v>44200</v>
      </c>
      <c r="C253" s="30" t="n">
        <v>46450</v>
      </c>
      <c r="D253" s="30" t="n">
        <v>43550</v>
      </c>
      <c r="E253" s="30" t="n">
        <v>45400</v>
      </c>
      <c r="F253" s="30" t="n">
        <v>43754.765625</v>
      </c>
      <c r="G253" s="30" t="n">
        <v>1793233</v>
      </c>
      <c r="H253" s="35" t="n">
        <v>0.04009163802978244</v>
      </c>
      <c r="I253" s="35" t="n">
        <v>-0.4652532391048292</v>
      </c>
      <c r="J253" s="30" t="n">
        <v>42267.5</v>
      </c>
      <c r="K253" s="30" t="n">
        <v>42804.16666666666</v>
      </c>
      <c r="L253" s="30" t="n">
        <v>46587.08333333334</v>
      </c>
      <c r="M253" s="35" t="n">
        <v>0.516322226231313</v>
      </c>
      <c r="N253" s="35" t="n">
        <v>0.4148014130437313</v>
      </c>
      <c r="O253" s="35" t="n">
        <v>0.0835322195704058</v>
      </c>
      <c r="P253" s="35" t="n">
        <v>0.02598870056497171</v>
      </c>
      <c r="Q253" s="35" t="n">
        <v>-0.2508250825082509</v>
      </c>
      <c r="R253" s="35" t="n">
        <v>0.07411131484000699</v>
      </c>
      <c r="S253" s="35" t="n">
        <v>0.06064440767059298</v>
      </c>
      <c r="T253" s="35" t="n">
        <v>-0.02548095412712759</v>
      </c>
      <c r="U253" s="30" t="n">
        <v>67200</v>
      </c>
      <c r="V253" s="30" t="n">
        <v>39950</v>
      </c>
      <c r="W253" s="35" t="n">
        <v>-0.3244047619047619</v>
      </c>
      <c r="X253" s="35" t="n">
        <v>0.1364205256570714</v>
      </c>
      <c r="Y253" s="30" t="n">
        <v>43617167</v>
      </c>
      <c r="Z253" s="30" t="n">
        <v>1980219381800</v>
      </c>
      <c r="AA253" s="30" t="n">
        <v>81412778200</v>
      </c>
      <c r="AB253" s="30" t="n">
        <v>22599987907.5</v>
      </c>
      <c r="AC253" s="35" t="n">
        <v>0.0411130094717064</v>
      </c>
      <c r="AD253" s="24" t="inlineStr">
        <is>
          <t>yfinance_download</t>
        </is>
      </c>
      <c r="AE253" s="24" t="inlineStr">
        <is>
          <t>000990.KS</t>
        </is>
      </c>
    </row>
    <row r="254" ht="24" customHeight="1">
      <c r="A254" s="29" t="inlineStr">
        <is>
          <t>2024-06-19</t>
        </is>
      </c>
      <c r="B254" s="31" t="n">
        <v>45550</v>
      </c>
      <c r="C254" s="31" t="n">
        <v>46650</v>
      </c>
      <c r="D254" s="31" t="n">
        <v>45000</v>
      </c>
      <c r="E254" s="31" t="n">
        <v>45850</v>
      </c>
      <c r="F254" s="31" t="n">
        <v>44188.4609375</v>
      </c>
      <c r="G254" s="31" t="n">
        <v>1021852</v>
      </c>
      <c r="H254" s="36" t="n">
        <v>0.009911894273127775</v>
      </c>
      <c r="I254" s="36" t="n">
        <v>-0.4599528857479388</v>
      </c>
      <c r="J254" s="31" t="n">
        <v>42467.5</v>
      </c>
      <c r="K254" s="31" t="n">
        <v>42824.16666666666</v>
      </c>
      <c r="L254" s="31" t="n">
        <v>46471.66666666666</v>
      </c>
      <c r="M254" s="36" t="n">
        <v>0.5161983866355986</v>
      </c>
      <c r="N254" s="36" t="n">
        <v>0.4148796479949007</v>
      </c>
      <c r="O254" s="36" t="n">
        <v>0.09557945041816018</v>
      </c>
      <c r="P254" s="36" t="n">
        <v>0.02687569988801797</v>
      </c>
      <c r="Q254" s="36" t="n">
        <v>-0.2319932998324958</v>
      </c>
      <c r="R254" s="36" t="n">
        <v>0.07964914346264784</v>
      </c>
      <c r="S254" s="36" t="n">
        <v>0.07065714452509297</v>
      </c>
      <c r="T254" s="36" t="n">
        <v>-0.01337732668651148</v>
      </c>
      <c r="U254" s="31" t="n">
        <v>67200</v>
      </c>
      <c r="V254" s="31" t="n">
        <v>39950</v>
      </c>
      <c r="W254" s="36" t="n">
        <v>-0.3177083333333334</v>
      </c>
      <c r="X254" s="36" t="n">
        <v>0.1476846057571966</v>
      </c>
      <c r="Y254" s="31" t="n">
        <v>43617167</v>
      </c>
      <c r="Z254" s="31" t="n">
        <v>1999847106950</v>
      </c>
      <c r="AA254" s="31" t="n">
        <v>46851914200</v>
      </c>
      <c r="AB254" s="31" t="n">
        <v>24573071135</v>
      </c>
      <c r="AC254" s="36" t="n">
        <v>0.02342774806992852</v>
      </c>
      <c r="AD254" s="29" t="inlineStr">
        <is>
          <t>yfinance_download</t>
        </is>
      </c>
      <c r="AE254" s="29" t="inlineStr">
        <is>
          <t>000990.KS</t>
        </is>
      </c>
    </row>
    <row r="255" ht="24" customHeight="1">
      <c r="A255" s="24" t="inlineStr">
        <is>
          <t>2024-06-20</t>
        </is>
      </c>
      <c r="B255" s="30" t="n">
        <v>48800</v>
      </c>
      <c r="C255" s="30" t="n">
        <v>58900</v>
      </c>
      <c r="D255" s="30" t="n">
        <v>47300</v>
      </c>
      <c r="E255" s="30" t="n">
        <v>57100</v>
      </c>
      <c r="F255" s="30" t="n">
        <v>55030.7734375</v>
      </c>
      <c r="G255" s="30" t="n">
        <v>15710176</v>
      </c>
      <c r="H255" s="35" t="n">
        <v>0.2453653217011995</v>
      </c>
      <c r="I255" s="35" t="n">
        <v>-0.3274440518256773</v>
      </c>
      <c r="J255" s="30" t="n">
        <v>43127.5</v>
      </c>
      <c r="K255" s="30" t="n">
        <v>43017.5</v>
      </c>
      <c r="L255" s="30" t="n">
        <v>46451.66666666666</v>
      </c>
      <c r="M255" s="35" t="n">
        <v>0.9905261716134955</v>
      </c>
      <c r="N255" s="35" t="n">
        <v>0.6500618262524225</v>
      </c>
      <c r="O255" s="35" t="n">
        <v>0.3006833712984054</v>
      </c>
      <c r="P255" s="35" t="n">
        <v>0.2549450549450549</v>
      </c>
      <c r="Q255" s="35" t="n">
        <v>-0.04033613445378148</v>
      </c>
      <c r="R255" s="35" t="n">
        <v>0.3239812184800881</v>
      </c>
      <c r="S255" s="35" t="n">
        <v>0.3273667693380602</v>
      </c>
      <c r="T255" s="35" t="n">
        <v>0.2292346883857774</v>
      </c>
      <c r="U255" s="30" t="n">
        <v>67200</v>
      </c>
      <c r="V255" s="30" t="n">
        <v>39950</v>
      </c>
      <c r="W255" s="35" t="n">
        <v>-0.1502976190476191</v>
      </c>
      <c r="X255" s="35" t="n">
        <v>0.4292866082603255</v>
      </c>
      <c r="Y255" s="30" t="n">
        <v>43617167</v>
      </c>
      <c r="Z255" s="30" t="n">
        <v>2490540235700</v>
      </c>
      <c r="AA255" s="30" t="n">
        <v>897051049600</v>
      </c>
      <c r="AB255" s="30" t="n">
        <v>68480715625</v>
      </c>
      <c r="AC255" s="35" t="n">
        <v>0.3601833195631436</v>
      </c>
      <c r="AD255" s="24" t="inlineStr">
        <is>
          <t>yfinance_download</t>
        </is>
      </c>
      <c r="AE255" s="24" t="inlineStr">
        <is>
          <t>000990.KS</t>
        </is>
      </c>
    </row>
    <row r="256" ht="24" customHeight="1">
      <c r="A256" s="29" t="inlineStr">
        <is>
          <t>2024-06-21</t>
        </is>
      </c>
      <c r="B256" s="31" t="n">
        <v>55900</v>
      </c>
      <c r="C256" s="31" t="n">
        <v>55900</v>
      </c>
      <c r="D256" s="31" t="n">
        <v>52200</v>
      </c>
      <c r="E256" s="31" t="n">
        <v>52200</v>
      </c>
      <c r="F256" s="31" t="n">
        <v>50308.33984375</v>
      </c>
      <c r="G256" s="31" t="n">
        <v>3406348</v>
      </c>
      <c r="H256" s="36" t="n">
        <v>-0.08581436077057791</v>
      </c>
      <c r="I256" s="36" t="n">
        <v>-0.3851590106007067</v>
      </c>
      <c r="J256" s="31" t="n">
        <v>43502.5</v>
      </c>
      <c r="K256" s="31" t="n">
        <v>43130</v>
      </c>
      <c r="L256" s="31" t="n">
        <v>46395</v>
      </c>
      <c r="M256" s="36" t="n">
        <v>1.052769431168042</v>
      </c>
      <c r="N256" s="36" t="n">
        <v>0.6758746887035048</v>
      </c>
      <c r="O256" s="36" t="n">
        <v>0.1677852348993289</v>
      </c>
      <c r="P256" s="36" t="n">
        <v>0.1485148514851484</v>
      </c>
      <c r="Q256" s="36" t="n">
        <v>-0.1152542372881356</v>
      </c>
      <c r="R256" s="36" t="n">
        <v>0.1999310384460664</v>
      </c>
      <c r="S256" s="36" t="n">
        <v>0.2102944586134941</v>
      </c>
      <c r="T256" s="36" t="n">
        <v>0.125121241513094</v>
      </c>
      <c r="U256" s="31" t="n">
        <v>67200</v>
      </c>
      <c r="V256" s="31" t="n">
        <v>39950</v>
      </c>
      <c r="W256" s="36" t="n">
        <v>-0.2232142857142857</v>
      </c>
      <c r="X256" s="36" t="n">
        <v>0.3066332916145182</v>
      </c>
      <c r="Y256" s="31" t="n">
        <v>43617167</v>
      </c>
      <c r="Z256" s="31" t="n">
        <v>2276816117400</v>
      </c>
      <c r="AA256" s="31" t="n">
        <v>177811365600</v>
      </c>
      <c r="AB256" s="31" t="n">
        <v>75919365325</v>
      </c>
      <c r="AC256" s="36" t="n">
        <v>0.07809649810589486</v>
      </c>
      <c r="AD256" s="29" t="inlineStr">
        <is>
          <t>yfinance_download</t>
        </is>
      </c>
      <c r="AE256" s="29" t="inlineStr">
        <is>
          <t>000990.KS</t>
        </is>
      </c>
    </row>
    <row r="257" ht="24" customHeight="1">
      <c r="A257" s="24" t="inlineStr">
        <is>
          <t>2024-06-24</t>
        </is>
      </c>
      <c r="B257" s="30" t="n">
        <v>52800</v>
      </c>
      <c r="C257" s="30" t="n">
        <v>53800</v>
      </c>
      <c r="D257" s="30" t="n">
        <v>51300</v>
      </c>
      <c r="E257" s="30" t="n">
        <v>53400</v>
      </c>
      <c r="F257" s="30" t="n">
        <v>51464.85546875</v>
      </c>
      <c r="G257" s="30" t="n">
        <v>1964277</v>
      </c>
      <c r="H257" s="35" t="n">
        <v>0.02298850574712641</v>
      </c>
      <c r="I257" s="35" t="n">
        <v>-0.3710247349823321</v>
      </c>
      <c r="J257" s="30" t="n">
        <v>44037.5</v>
      </c>
      <c r="K257" s="30" t="n">
        <v>43281.66666666666</v>
      </c>
      <c r="L257" s="30" t="n">
        <v>46345</v>
      </c>
      <c r="M257" s="35" t="n">
        <v>1.033601686175017</v>
      </c>
      <c r="N257" s="35" t="n">
        <v>0.6744412531475811</v>
      </c>
      <c r="O257" s="35" t="n">
        <v>0.2505854800936769</v>
      </c>
      <c r="P257" s="35" t="n">
        <v>0.2054176072234764</v>
      </c>
      <c r="Q257" s="35" t="n">
        <v>-0.101010101010101</v>
      </c>
      <c r="R257" s="35" t="n">
        <v>0.2126028952597219</v>
      </c>
      <c r="S257" s="35" t="n">
        <v>0.233778736185452</v>
      </c>
      <c r="T257" s="35" t="n">
        <v>0.1522278562951775</v>
      </c>
      <c r="U257" s="30" t="n">
        <v>67200</v>
      </c>
      <c r="V257" s="30" t="n">
        <v>39950</v>
      </c>
      <c r="W257" s="35" t="n">
        <v>-0.2053571428571429</v>
      </c>
      <c r="X257" s="35" t="n">
        <v>0.3366708385481851</v>
      </c>
      <c r="Y257" s="30" t="n">
        <v>43617167</v>
      </c>
      <c r="Z257" s="30" t="n">
        <v>2329156717800</v>
      </c>
      <c r="AA257" s="30" t="n">
        <v>104892391800</v>
      </c>
      <c r="AB257" s="30" t="n">
        <v>80431998030</v>
      </c>
      <c r="AC257" s="35" t="n">
        <v>0.04503449295549158</v>
      </c>
      <c r="AD257" s="24" t="inlineStr">
        <is>
          <t>yfinance_download</t>
        </is>
      </c>
      <c r="AE257" s="24" t="inlineStr">
        <is>
          <t>000990.KS</t>
        </is>
      </c>
    </row>
    <row r="258" ht="24" customHeight="1">
      <c r="A258" s="29" t="inlineStr">
        <is>
          <t>2024-06-25</t>
        </is>
      </c>
      <c r="B258" s="31" t="n">
        <v>51700</v>
      </c>
      <c r="C258" s="31" t="n">
        <v>53000</v>
      </c>
      <c r="D258" s="31" t="n">
        <v>50200</v>
      </c>
      <c r="E258" s="31" t="n">
        <v>51400</v>
      </c>
      <c r="F258" s="31" t="n">
        <v>49537.33203125</v>
      </c>
      <c r="G258" s="31" t="n">
        <v>1339215</v>
      </c>
      <c r="H258" s="36" t="n">
        <v>-0.03745318352059923</v>
      </c>
      <c r="I258" s="36" t="n">
        <v>-0.3945818610129564</v>
      </c>
      <c r="J258" s="31" t="n">
        <v>44550</v>
      </c>
      <c r="K258" s="31" t="n">
        <v>43410</v>
      </c>
      <c r="L258" s="31" t="n">
        <v>46274.16666666666</v>
      </c>
      <c r="M258" s="36" t="n">
        <v>1.034340304702466</v>
      </c>
      <c r="N258" s="36" t="n">
        <v>0.6788537211003682</v>
      </c>
      <c r="O258" s="36" t="n">
        <v>0.2490886998784934</v>
      </c>
      <c r="P258" s="36" t="n">
        <v>0.1762013729977117</v>
      </c>
      <c r="Q258" s="36" t="n">
        <v>-0.1419031719532554</v>
      </c>
      <c r="R258" s="36" t="n">
        <v>0.1537598204264872</v>
      </c>
      <c r="S258" s="36" t="n">
        <v>0.1840589725869615</v>
      </c>
      <c r="T258" s="36" t="n">
        <v>0.1107709485133894</v>
      </c>
      <c r="U258" s="31" t="n">
        <v>67200</v>
      </c>
      <c r="V258" s="31" t="n">
        <v>39950</v>
      </c>
      <c r="W258" s="36" t="n">
        <v>-0.2351190476190477</v>
      </c>
      <c r="X258" s="36" t="n">
        <v>0.2866082603254068</v>
      </c>
      <c r="Y258" s="31" t="n">
        <v>43617167</v>
      </c>
      <c r="Z258" s="31" t="n">
        <v>2241922383800</v>
      </c>
      <c r="AA258" s="31" t="n">
        <v>68835651000</v>
      </c>
      <c r="AB258" s="31" t="n">
        <v>82453801070</v>
      </c>
      <c r="AC258" s="36" t="n">
        <v>0.03070385107771901</v>
      </c>
      <c r="AD258" s="29" t="inlineStr">
        <is>
          <t>yfinance_download</t>
        </is>
      </c>
      <c r="AE258" s="29" t="inlineStr">
        <is>
          <t>000990.KS</t>
        </is>
      </c>
    </row>
    <row r="259" ht="24" customHeight="1">
      <c r="A259" s="24" t="inlineStr">
        <is>
          <t>2024-06-26</t>
        </is>
      </c>
      <c r="B259" s="30" t="n">
        <v>51800</v>
      </c>
      <c r="C259" s="30" t="n">
        <v>52300</v>
      </c>
      <c r="D259" s="30" t="n">
        <v>49900</v>
      </c>
      <c r="E259" s="30" t="n">
        <v>50200</v>
      </c>
      <c r="F259" s="30" t="n">
        <v>48380.8203125</v>
      </c>
      <c r="G259" s="30" t="n">
        <v>936375</v>
      </c>
      <c r="H259" s="35" t="n">
        <v>-0.02334630350194555</v>
      </c>
      <c r="I259" s="35" t="n">
        <v>-0.408716136631331</v>
      </c>
      <c r="J259" s="30" t="n">
        <v>45017.5</v>
      </c>
      <c r="K259" s="30" t="n">
        <v>43511.66666666666</v>
      </c>
      <c r="L259" s="30" t="n">
        <v>46213.33333333334</v>
      </c>
      <c r="M259" s="35" t="n">
        <v>1.040075508388816</v>
      </c>
      <c r="N259" s="35" t="n">
        <v>0.680969796545726</v>
      </c>
      <c r="O259" s="35" t="n">
        <v>0.2288861689106487</v>
      </c>
      <c r="P259" s="35" t="n">
        <v>0.1383219954648527</v>
      </c>
      <c r="Q259" s="35" t="n">
        <v>-0.1269565217391304</v>
      </c>
      <c r="R259" s="35" t="n">
        <v>0.1151218970400401</v>
      </c>
      <c r="S259" s="35" t="n">
        <v>0.1537135634121118</v>
      </c>
      <c r="T259" s="35" t="n">
        <v>0.08626658972879397</v>
      </c>
      <c r="U259" s="30" t="n">
        <v>67200</v>
      </c>
      <c r="V259" s="30" t="n">
        <v>39950</v>
      </c>
      <c r="W259" s="35" t="n">
        <v>-0.2529761904761905</v>
      </c>
      <c r="X259" s="35" t="n">
        <v>0.2565707133917396</v>
      </c>
      <c r="Y259" s="30" t="n">
        <v>43617167</v>
      </c>
      <c r="Z259" s="30" t="n">
        <v>2189581783400</v>
      </c>
      <c r="AA259" s="30" t="n">
        <v>47006025000</v>
      </c>
      <c r="AB259" s="30" t="n">
        <v>84271097647.5</v>
      </c>
      <c r="AC259" s="35" t="n">
        <v>0.02146803803190611</v>
      </c>
      <c r="AD259" s="24" t="inlineStr">
        <is>
          <t>yfinance_download</t>
        </is>
      </c>
      <c r="AE259" s="24" t="inlineStr">
        <is>
          <t>000990.KS</t>
        </is>
      </c>
    </row>
    <row r="260" ht="24" customHeight="1">
      <c r="A260" s="29" t="inlineStr">
        <is>
          <t>2024-06-27</t>
        </is>
      </c>
      <c r="B260" s="31" t="n">
        <v>49850</v>
      </c>
      <c r="C260" s="31" t="n">
        <v>50000</v>
      </c>
      <c r="D260" s="31" t="n">
        <v>48250</v>
      </c>
      <c r="E260" s="31" t="n">
        <v>48350</v>
      </c>
      <c r="F260" s="31" t="n">
        <v>46597.86328125</v>
      </c>
      <c r="G260" s="31" t="n">
        <v>818088</v>
      </c>
      <c r="H260" s="36" t="n">
        <v>-0.03685258964143423</v>
      </c>
      <c r="I260" s="36" t="n">
        <v>-0.4305064782096584</v>
      </c>
      <c r="J260" s="31" t="n">
        <v>45412.5</v>
      </c>
      <c r="K260" s="31" t="n">
        <v>43585.83333333334</v>
      </c>
      <c r="L260" s="31" t="n">
        <v>46127.91666666666</v>
      </c>
      <c r="M260" s="36" t="n">
        <v>1.05203623920419</v>
      </c>
      <c r="N260" s="36" t="n">
        <v>0.6857010300814155</v>
      </c>
      <c r="O260" s="36" t="n">
        <v>0.1953028430160693</v>
      </c>
      <c r="P260" s="36" t="n">
        <v>0.101366742596811</v>
      </c>
      <c r="Q260" s="36" t="n">
        <v>-0.1749146757679181</v>
      </c>
      <c r="R260" s="36" t="n">
        <v>0.06468483347096066</v>
      </c>
      <c r="S260" s="36" t="n">
        <v>0.1093053935720705</v>
      </c>
      <c r="T260" s="36" t="n">
        <v>0.04817220229976438</v>
      </c>
      <c r="U260" s="31" t="n">
        <v>67200</v>
      </c>
      <c r="V260" s="31" t="n">
        <v>39950</v>
      </c>
      <c r="W260" s="36" t="n">
        <v>-0.2805059523809523</v>
      </c>
      <c r="X260" s="36" t="n">
        <v>0.2102628285356696</v>
      </c>
      <c r="Y260" s="31" t="n">
        <v>43617167</v>
      </c>
      <c r="Z260" s="31" t="n">
        <v>2108890024450</v>
      </c>
      <c r="AA260" s="31" t="n">
        <v>39554554800</v>
      </c>
      <c r="AB260" s="31" t="n">
        <v>85653947462.5</v>
      </c>
      <c r="AC260" s="36" t="n">
        <v>0.01875610123876225</v>
      </c>
      <c r="AD260" s="29" t="inlineStr">
        <is>
          <t>yfinance_download</t>
        </is>
      </c>
      <c r="AE260" s="29" t="inlineStr">
        <is>
          <t>000990.KS</t>
        </is>
      </c>
    </row>
    <row r="261" ht="24" customHeight="1">
      <c r="A261" s="24" t="inlineStr">
        <is>
          <t>2024-06-28</t>
        </is>
      </c>
      <c r="B261" s="30" t="n">
        <v>48500</v>
      </c>
      <c r="C261" s="30" t="n">
        <v>49600</v>
      </c>
      <c r="D261" s="30" t="n">
        <v>47300</v>
      </c>
      <c r="E261" s="30" t="n">
        <v>48900</v>
      </c>
      <c r="F261" s="30" t="n">
        <v>47127.9296875</v>
      </c>
      <c r="G261" s="30" t="n">
        <v>862740</v>
      </c>
      <c r="H261" s="35" t="n">
        <v>0.01137538779731129</v>
      </c>
      <c r="I261" s="35" t="n">
        <v>-0.4240282685512368</v>
      </c>
      <c r="J261" s="30" t="n">
        <v>45860</v>
      </c>
      <c r="K261" s="30" t="n">
        <v>43680</v>
      </c>
      <c r="L261" s="30" t="n">
        <v>46078.75</v>
      </c>
      <c r="M261" s="35" t="n">
        <v>1.048454922444643</v>
      </c>
      <c r="N261" s="35" t="n">
        <v>0.6849843178608711</v>
      </c>
      <c r="O261" s="35" t="n">
        <v>0.2240300375469337</v>
      </c>
      <c r="P261" s="35" t="n">
        <v>0.130635838150289</v>
      </c>
      <c r="Q261" s="35" t="n">
        <v>-0.1076642335766423</v>
      </c>
      <c r="R261" s="35" t="n">
        <v>0.06628870475359783</v>
      </c>
      <c r="S261" s="35" t="n">
        <v>0.1195054945054945</v>
      </c>
      <c r="T261" s="35" t="n">
        <v>0.0612267042834278</v>
      </c>
      <c r="U261" s="30" t="n">
        <v>67200</v>
      </c>
      <c r="V261" s="30" t="n">
        <v>39950</v>
      </c>
      <c r="W261" s="35" t="n">
        <v>-0.2723214285714286</v>
      </c>
      <c r="X261" s="35" t="n">
        <v>0.2240300375469337</v>
      </c>
      <c r="Y261" s="30" t="n">
        <v>43617167</v>
      </c>
      <c r="Z261" s="30" t="n">
        <v>2132879466300</v>
      </c>
      <c r="AA261" s="30" t="n">
        <v>42187986000</v>
      </c>
      <c r="AB261" s="30" t="n">
        <v>87308801655</v>
      </c>
      <c r="AC261" s="35" t="n">
        <v>0.0197798265990086</v>
      </c>
      <c r="AD261" s="24" t="inlineStr">
        <is>
          <t>yfinance_download</t>
        </is>
      </c>
      <c r="AE261" s="24" t="inlineStr">
        <is>
          <t>000990.KS</t>
        </is>
      </c>
    </row>
    <row r="262" ht="24" customHeight="1">
      <c r="A262" s="29" t="inlineStr">
        <is>
          <t>2024-07-01</t>
        </is>
      </c>
      <c r="B262" s="31" t="n">
        <v>48500</v>
      </c>
      <c r="C262" s="31" t="n">
        <v>49700</v>
      </c>
      <c r="D262" s="31" t="n">
        <v>48100</v>
      </c>
      <c r="E262" s="31" t="n">
        <v>48400</v>
      </c>
      <c r="F262" s="31" t="n">
        <v>46646.046875</v>
      </c>
      <c r="G262" s="31" t="n">
        <v>500152</v>
      </c>
      <c r="H262" s="36" t="n">
        <v>-0.0102249488752556</v>
      </c>
      <c r="I262" s="36" t="n">
        <v>-0.4299175500588928</v>
      </c>
      <c r="J262" s="31" t="n">
        <v>46252.5</v>
      </c>
      <c r="K262" s="31" t="n">
        <v>43705</v>
      </c>
      <c r="L262" s="31" t="n">
        <v>46044.58333333334</v>
      </c>
      <c r="M262" s="36" t="n">
        <v>1.051331411395678</v>
      </c>
      <c r="N262" s="36" t="n">
        <v>0.6640275466871872</v>
      </c>
      <c r="O262" s="36" t="n">
        <v>0.1935881627620222</v>
      </c>
      <c r="P262" s="36" t="n">
        <v>0.03198294243070365</v>
      </c>
      <c r="Q262" s="36" t="n">
        <v>-0.07809523809523811</v>
      </c>
      <c r="R262" s="36" t="n">
        <v>0.04642992270688073</v>
      </c>
      <c r="S262" s="36" t="n">
        <v>0.1074247797734813</v>
      </c>
      <c r="T262" s="36" t="n">
        <v>0.05115513044422526</v>
      </c>
      <c r="U262" s="31" t="n">
        <v>63900</v>
      </c>
      <c r="V262" s="31" t="n">
        <v>39950</v>
      </c>
      <c r="W262" s="36" t="n">
        <v>-0.2425665101721439</v>
      </c>
      <c r="X262" s="36" t="n">
        <v>0.2115143929912391</v>
      </c>
      <c r="Y262" s="31" t="n">
        <v>43617167</v>
      </c>
      <c r="Z262" s="31" t="n">
        <v>2111070882800</v>
      </c>
      <c r="AA262" s="31" t="n">
        <v>24207356800</v>
      </c>
      <c r="AB262" s="31" t="n">
        <v>88057416507.5</v>
      </c>
      <c r="AC262" s="36" t="n">
        <v>0.01146686120169153</v>
      </c>
      <c r="AD262" s="29" t="inlineStr">
        <is>
          <t>yfinance_download</t>
        </is>
      </c>
      <c r="AE262" s="29" t="inlineStr">
        <is>
          <t>000990.KS</t>
        </is>
      </c>
    </row>
    <row r="263" ht="24" customHeight="1">
      <c r="A263" s="24" t="inlineStr">
        <is>
          <t>2024-07-02</t>
        </is>
      </c>
      <c r="B263" s="30" t="n">
        <v>48400</v>
      </c>
      <c r="C263" s="30" t="n">
        <v>48850</v>
      </c>
      <c r="D263" s="30" t="n">
        <v>46800</v>
      </c>
      <c r="E263" s="30" t="n">
        <v>47350</v>
      </c>
      <c r="F263" s="30" t="n">
        <v>45634.1015625</v>
      </c>
      <c r="G263" s="30" t="n">
        <v>591404</v>
      </c>
      <c r="H263" s="35" t="n">
        <v>-0.02169421487603307</v>
      </c>
      <c r="I263" s="35" t="n">
        <v>-0.4422850412249706</v>
      </c>
      <c r="J263" s="30" t="n">
        <v>46537.5</v>
      </c>
      <c r="K263" s="30" t="n">
        <v>43721.66666666666</v>
      </c>
      <c r="L263" s="30" t="n">
        <v>46005.83333333334</v>
      </c>
      <c r="M263" s="35" t="n">
        <v>1.055541284167573</v>
      </c>
      <c r="N263" s="35" t="n">
        <v>0.665177071700375</v>
      </c>
      <c r="O263" s="35" t="n">
        <v>0.1368547418967587</v>
      </c>
      <c r="P263" s="35" t="n">
        <v>0.02157497303128375</v>
      </c>
      <c r="Q263" s="35" t="n">
        <v>-0.08942307692307694</v>
      </c>
      <c r="R263" s="35" t="n">
        <v>0.0174590384098845</v>
      </c>
      <c r="S263" s="35" t="n">
        <v>0.08298707734532851</v>
      </c>
      <c r="T263" s="35" t="n">
        <v>0.02921730939917033</v>
      </c>
      <c r="U263" s="30" t="n">
        <v>63900</v>
      </c>
      <c r="V263" s="30" t="n">
        <v>39950</v>
      </c>
      <c r="W263" s="35" t="n">
        <v>-0.258998435054773</v>
      </c>
      <c r="X263" s="35" t="n">
        <v>0.1852315394242803</v>
      </c>
      <c r="Y263" s="30" t="n">
        <v>43617167</v>
      </c>
      <c r="Z263" s="30" t="n">
        <v>2065272857450</v>
      </c>
      <c r="AA263" s="30" t="n">
        <v>28002979400</v>
      </c>
      <c r="AB263" s="30" t="n">
        <v>88711603565</v>
      </c>
      <c r="AC263" s="35" t="n">
        <v>0.01355897323638649</v>
      </c>
      <c r="AD263" s="24" t="inlineStr">
        <is>
          <t>yfinance_download</t>
        </is>
      </c>
      <c r="AE263" s="24" t="inlineStr">
        <is>
          <t>000990.KS</t>
        </is>
      </c>
    </row>
    <row r="264" ht="24" customHeight="1">
      <c r="A264" s="29" t="inlineStr">
        <is>
          <t>2024-07-03</t>
        </is>
      </c>
      <c r="B264" s="31" t="n">
        <v>48200</v>
      </c>
      <c r="C264" s="31" t="n">
        <v>49500</v>
      </c>
      <c r="D264" s="31" t="n">
        <v>47550</v>
      </c>
      <c r="E264" s="31" t="n">
        <v>49000</v>
      </c>
      <c r="F264" s="31" t="n">
        <v>47224.3046875</v>
      </c>
      <c r="G264" s="31" t="n">
        <v>1053287</v>
      </c>
      <c r="H264" s="36" t="n">
        <v>0.03484688489968324</v>
      </c>
      <c r="I264" s="36" t="n">
        <v>-0.4228504122497055</v>
      </c>
      <c r="J264" s="31" t="n">
        <v>46850</v>
      </c>
      <c r="K264" s="31" t="n">
        <v>43785.83333333334</v>
      </c>
      <c r="L264" s="31" t="n">
        <v>45982.5</v>
      </c>
      <c r="M264" s="36" t="n">
        <v>1.057878540579835</v>
      </c>
      <c r="N264" s="36" t="n">
        <v>0.6662760722897652</v>
      </c>
      <c r="O264" s="36" t="n">
        <v>0.1461988304093567</v>
      </c>
      <c r="P264" s="36" t="n">
        <v>0.08527131782945729</v>
      </c>
      <c r="Q264" s="36" t="n">
        <v>-0.05405405405405406</v>
      </c>
      <c r="R264" s="36" t="n">
        <v>0.04589114194236932</v>
      </c>
      <c r="S264" s="36" t="n">
        <v>0.1190834173914699</v>
      </c>
      <c r="T264" s="36" t="n">
        <v>0.06562279127929105</v>
      </c>
      <c r="U264" s="31" t="n">
        <v>63900</v>
      </c>
      <c r="V264" s="31" t="n">
        <v>39950</v>
      </c>
      <c r="W264" s="36" t="n">
        <v>-0.2331768388106417</v>
      </c>
      <c r="X264" s="36" t="n">
        <v>0.2265331664580725</v>
      </c>
      <c r="Y264" s="31" t="n">
        <v>43617167</v>
      </c>
      <c r="Z264" s="31" t="n">
        <v>2137241183000</v>
      </c>
      <c r="AA264" s="31" t="n">
        <v>51611063000</v>
      </c>
      <c r="AB264" s="31" t="n">
        <v>90518544165</v>
      </c>
      <c r="AC264" s="36" t="n">
        <v>0.02414845054012793</v>
      </c>
      <c r="AD264" s="29" t="inlineStr">
        <is>
          <t>yfinance_download</t>
        </is>
      </c>
      <c r="AE264" s="29" t="inlineStr">
        <is>
          <t>000990.KS</t>
        </is>
      </c>
    </row>
    <row r="265" ht="24" customHeight="1">
      <c r="A265" s="24" t="inlineStr">
        <is>
          <t>2024-07-04</t>
        </is>
      </c>
      <c r="B265" s="30" t="n">
        <v>50100</v>
      </c>
      <c r="C265" s="30" t="n">
        <v>52500</v>
      </c>
      <c r="D265" s="30" t="n">
        <v>49750</v>
      </c>
      <c r="E265" s="30" t="n">
        <v>52000</v>
      </c>
      <c r="F265" s="30" t="n">
        <v>50115.58984375</v>
      </c>
      <c r="G265" s="30" t="n">
        <v>1568150</v>
      </c>
      <c r="H265" s="35" t="n">
        <v>0.06122448979591844</v>
      </c>
      <c r="I265" s="35" t="n">
        <v>-0.3875147232037691</v>
      </c>
      <c r="J265" s="30" t="n">
        <v>47292.5</v>
      </c>
      <c r="K265" s="30" t="n">
        <v>43896.66666666666</v>
      </c>
      <c r="L265" s="30" t="n">
        <v>45988.33333333334</v>
      </c>
      <c r="M265" s="35" t="n">
        <v>1.074158407299888</v>
      </c>
      <c r="N265" s="35" t="n">
        <v>0.6771784157639087</v>
      </c>
      <c r="O265" s="35" t="n">
        <v>0.2050984936268829</v>
      </c>
      <c r="P265" s="35" t="n">
        <v>0.1466372657111357</v>
      </c>
      <c r="Q265" s="35" t="n">
        <v>0.0136452241715399</v>
      </c>
      <c r="R265" s="35" t="n">
        <v>0.09954009620975834</v>
      </c>
      <c r="S265" s="35" t="n">
        <v>0.1846001974333662</v>
      </c>
      <c r="T265" s="35" t="n">
        <v>0.1307215598158953</v>
      </c>
      <c r="U265" s="30" t="n">
        <v>63900</v>
      </c>
      <c r="V265" s="30" t="n">
        <v>39950</v>
      </c>
      <c r="W265" s="35" t="n">
        <v>-0.1862284820031299</v>
      </c>
      <c r="X265" s="35" t="n">
        <v>0.3016270337922402</v>
      </c>
      <c r="Y265" s="30" t="n">
        <v>43617167</v>
      </c>
      <c r="Z265" s="30" t="n">
        <v>2268092684000</v>
      </c>
      <c r="AA265" s="30" t="n">
        <v>81543800000</v>
      </c>
      <c r="AB265" s="30" t="n">
        <v>93718181827.5</v>
      </c>
      <c r="AC265" s="35" t="n">
        <v>0.03595258720035623</v>
      </c>
      <c r="AD265" s="24" t="inlineStr">
        <is>
          <t>yfinance_download</t>
        </is>
      </c>
      <c r="AE265" s="24" t="inlineStr">
        <is>
          <t>000990.KS</t>
        </is>
      </c>
    </row>
    <row r="266" ht="24" customHeight="1">
      <c r="A266" s="29" t="inlineStr">
        <is>
          <t>2024-07-05</t>
        </is>
      </c>
      <c r="B266" s="31" t="n">
        <v>51600</v>
      </c>
      <c r="C266" s="31" t="n">
        <v>51800</v>
      </c>
      <c r="D266" s="31" t="n">
        <v>50100</v>
      </c>
      <c r="E266" s="31" t="n">
        <v>50900</v>
      </c>
      <c r="F266" s="31" t="n">
        <v>49055.44921875</v>
      </c>
      <c r="G266" s="31" t="n">
        <v>671978</v>
      </c>
      <c r="H266" s="36" t="n">
        <v>-0.02115384615384619</v>
      </c>
      <c r="I266" s="36" t="n">
        <v>-0.4004711425206124</v>
      </c>
      <c r="J266" s="31" t="n">
        <v>47665</v>
      </c>
      <c r="K266" s="31" t="n">
        <v>44012.5</v>
      </c>
      <c r="L266" s="31" t="n">
        <v>45980</v>
      </c>
      <c r="M266" s="36" t="n">
        <v>1.080303613090865</v>
      </c>
      <c r="N266" s="36" t="n">
        <v>0.6753861331936349</v>
      </c>
      <c r="O266" s="36" t="n">
        <v>0.1714614499424627</v>
      </c>
      <c r="P266" s="36" t="n">
        <v>0.1581342434584756</v>
      </c>
      <c r="Q266" s="36" t="n">
        <v>-0.01926782273603078</v>
      </c>
      <c r="R266" s="36" t="n">
        <v>0.06786950592678065</v>
      </c>
      <c r="S266" s="36" t="n">
        <v>0.1564896336268107</v>
      </c>
      <c r="T266" s="36" t="n">
        <v>0.1070030448020878</v>
      </c>
      <c r="U266" s="31" t="n">
        <v>63100</v>
      </c>
      <c r="V266" s="31" t="n">
        <v>39950</v>
      </c>
      <c r="W266" s="36" t="n">
        <v>-0.1933438985736925</v>
      </c>
      <c r="X266" s="36" t="n">
        <v>0.2740926157697121</v>
      </c>
      <c r="Y266" s="31" t="n">
        <v>43617167</v>
      </c>
      <c r="Z266" s="31" t="n">
        <v>2220113800300</v>
      </c>
      <c r="AA266" s="31" t="n">
        <v>34203680200</v>
      </c>
      <c r="AB266" s="31" t="n">
        <v>94979974872.5</v>
      </c>
      <c r="AC266" s="36" t="n">
        <v>0.01540627340606509</v>
      </c>
      <c r="AD266" s="29" t="inlineStr">
        <is>
          <t>yfinance_download</t>
        </is>
      </c>
      <c r="AE266" s="29" t="inlineStr">
        <is>
          <t>000990.KS</t>
        </is>
      </c>
    </row>
    <row r="267" ht="24" customHeight="1">
      <c r="A267" s="24" t="inlineStr">
        <is>
          <t>2024-07-08</t>
        </is>
      </c>
      <c r="B267" s="30" t="n">
        <v>50900</v>
      </c>
      <c r="C267" s="30" t="n">
        <v>51900</v>
      </c>
      <c r="D267" s="30" t="n">
        <v>50300</v>
      </c>
      <c r="E267" s="30" t="n">
        <v>50800</v>
      </c>
      <c r="F267" s="30" t="n">
        <v>48959.078125</v>
      </c>
      <c r="G267" s="30" t="n">
        <v>327593</v>
      </c>
      <c r="H267" s="35" t="n">
        <v>-0.001964636542239662</v>
      </c>
      <c r="I267" s="35" t="n">
        <v>-0.4016489988221437</v>
      </c>
      <c r="J267" s="30" t="n">
        <v>48067.5</v>
      </c>
      <c r="K267" s="30" t="n">
        <v>44118.33333333334</v>
      </c>
      <c r="L267" s="30" t="n">
        <v>45963.33333333334</v>
      </c>
      <c r="M267" s="35" t="n">
        <v>1.076938537713943</v>
      </c>
      <c r="N267" s="35" t="n">
        <v>0.6752558275833924</v>
      </c>
      <c r="O267" s="35" t="n">
        <v>0.1883040935672515</v>
      </c>
      <c r="P267" s="35" t="n">
        <v>0.1428571428571428</v>
      </c>
      <c r="Q267" s="35" t="n">
        <v>-0.03787878787878785</v>
      </c>
      <c r="R267" s="35" t="n">
        <v>0.05684714203983976</v>
      </c>
      <c r="S267" s="35" t="n">
        <v>0.1514487552415851</v>
      </c>
      <c r="T267" s="35" t="n">
        <v>0.1052288055696569</v>
      </c>
      <c r="U267" s="30" t="n">
        <v>63100</v>
      </c>
      <c r="V267" s="30" t="n">
        <v>39950</v>
      </c>
      <c r="W267" s="35" t="n">
        <v>-0.1949286846275753</v>
      </c>
      <c r="X267" s="35" t="n">
        <v>0.2715894868585733</v>
      </c>
      <c r="Y267" s="30" t="n">
        <v>43617167</v>
      </c>
      <c r="Z267" s="30" t="n">
        <v>2215752083600</v>
      </c>
      <c r="AA267" s="30" t="n">
        <v>16641724400</v>
      </c>
      <c r="AB267" s="30" t="n">
        <v>95364173617.5</v>
      </c>
      <c r="AC267" s="35" t="n">
        <v>0.007510643687610431</v>
      </c>
      <c r="AD267" s="24" t="inlineStr">
        <is>
          <t>yfinance_download</t>
        </is>
      </c>
      <c r="AE267" s="24" t="inlineStr">
        <is>
          <t>000990.KS</t>
        </is>
      </c>
    </row>
    <row r="268" ht="24" customHeight="1">
      <c r="A268" s="29" t="inlineStr">
        <is>
          <t>2024-07-09</t>
        </is>
      </c>
      <c r="B268" s="31" t="n">
        <v>51100</v>
      </c>
      <c r="C268" s="31" t="n">
        <v>52300</v>
      </c>
      <c r="D268" s="31" t="n">
        <v>49500</v>
      </c>
      <c r="E268" s="31" t="n">
        <v>52000</v>
      </c>
      <c r="F268" s="31" t="n">
        <v>50115.58984375</v>
      </c>
      <c r="G268" s="31" t="n">
        <v>812905</v>
      </c>
      <c r="H268" s="36" t="n">
        <v>0.02362204724409445</v>
      </c>
      <c r="I268" s="36" t="n">
        <v>-0.3875147232037691</v>
      </c>
      <c r="J268" s="31" t="n">
        <v>48532.5</v>
      </c>
      <c r="K268" s="31" t="n">
        <v>44246.66666666666</v>
      </c>
      <c r="L268" s="31" t="n">
        <v>45956.66666666666</v>
      </c>
      <c r="M268" s="36" t="n">
        <v>1.076921586045577</v>
      </c>
      <c r="N268" s="36" t="n">
        <v>0.6764242366538153</v>
      </c>
      <c r="O268" s="36" t="n">
        <v>0.2177985948477752</v>
      </c>
      <c r="P268" s="36" t="n">
        <v>0.1738148984198646</v>
      </c>
      <c r="Q268" s="36" t="n">
        <v>-0.01515151515151514</v>
      </c>
      <c r="R268" s="36" t="n">
        <v>0.07144696852624532</v>
      </c>
      <c r="S268" s="36" t="n">
        <v>0.1752297724875698</v>
      </c>
      <c r="T268" s="36" t="n">
        <v>0.1315006890549069</v>
      </c>
      <c r="U268" s="31" t="n">
        <v>63100</v>
      </c>
      <c r="V268" s="31" t="n">
        <v>39950</v>
      </c>
      <c r="W268" s="36" t="n">
        <v>-0.1759112519809826</v>
      </c>
      <c r="X268" s="36" t="n">
        <v>0.3016270337922402</v>
      </c>
      <c r="Y268" s="31" t="n">
        <v>43617167</v>
      </c>
      <c r="Z268" s="31" t="n">
        <v>2268092684000</v>
      </c>
      <c r="AA268" s="31" t="n">
        <v>42271060000</v>
      </c>
      <c r="AB268" s="31" t="n">
        <v>97009303347.5</v>
      </c>
      <c r="AC268" s="36" t="n">
        <v>0.01863727187967068</v>
      </c>
      <c r="AD268" s="29" t="inlineStr">
        <is>
          <t>yfinance_download</t>
        </is>
      </c>
      <c r="AE268" s="29" t="inlineStr">
        <is>
          <t>000990.KS</t>
        </is>
      </c>
    </row>
    <row r="269" ht="24" customHeight="1">
      <c r="A269" s="24" t="inlineStr">
        <is>
          <t>2024-07-10</t>
        </is>
      </c>
      <c r="B269" s="30" t="n">
        <v>51800</v>
      </c>
      <c r="C269" s="30" t="n">
        <v>51800</v>
      </c>
      <c r="D269" s="30" t="n">
        <v>50400</v>
      </c>
      <c r="E269" s="30" t="n">
        <v>50600</v>
      </c>
      <c r="F269" s="30" t="n">
        <v>48766.32421875</v>
      </c>
      <c r="G269" s="30" t="n">
        <v>408133</v>
      </c>
      <c r="H269" s="35" t="n">
        <v>-0.02692307692307694</v>
      </c>
      <c r="I269" s="35" t="n">
        <v>-0.4040047114252061</v>
      </c>
      <c r="J269" s="30" t="n">
        <v>48915</v>
      </c>
      <c r="K269" s="30" t="n">
        <v>44360</v>
      </c>
      <c r="L269" s="30" t="n">
        <v>45945.83333333334</v>
      </c>
      <c r="M269" s="35" t="n">
        <v>1.085612685576672</v>
      </c>
      <c r="N269" s="35" t="n">
        <v>0.6786396529593398</v>
      </c>
      <c r="O269" s="35" t="n">
        <v>0.1781140861466821</v>
      </c>
      <c r="P269" s="35" t="n">
        <v>0.1552511415525115</v>
      </c>
      <c r="Q269" s="35" t="n">
        <v>-0.02504816955684008</v>
      </c>
      <c r="R269" s="35" t="n">
        <v>0.03444751098844945</v>
      </c>
      <c r="S269" s="35" t="n">
        <v>0.1406672678088368</v>
      </c>
      <c r="T269" s="35" t="n">
        <v>0.101296816903963</v>
      </c>
      <c r="U269" s="30" t="n">
        <v>63100</v>
      </c>
      <c r="V269" s="30" t="n">
        <v>39950</v>
      </c>
      <c r="W269" s="35" t="n">
        <v>-0.1980982567353408</v>
      </c>
      <c r="X269" s="35" t="n">
        <v>0.2665832290362953</v>
      </c>
      <c r="Y269" s="30" t="n">
        <v>43617167</v>
      </c>
      <c r="Z269" s="30" t="n">
        <v>2207028650200</v>
      </c>
      <c r="AA269" s="30" t="n">
        <v>20651529800</v>
      </c>
      <c r="AB269" s="30" t="n">
        <v>97501517297.5</v>
      </c>
      <c r="AC269" s="35" t="n">
        <v>0.009357164347698236</v>
      </c>
      <c r="AD269" s="24" t="inlineStr">
        <is>
          <t>yfinance_download</t>
        </is>
      </c>
      <c r="AE269" s="24" t="inlineStr">
        <is>
          <t>000990.KS</t>
        </is>
      </c>
    </row>
    <row r="270" ht="24" customHeight="1">
      <c r="A270" s="29" t="inlineStr">
        <is>
          <t>2024-07-11</t>
        </is>
      </c>
      <c r="B270" s="31" t="n">
        <v>50800</v>
      </c>
      <c r="C270" s="31" t="n">
        <v>51300</v>
      </c>
      <c r="D270" s="31" t="n">
        <v>49950</v>
      </c>
      <c r="E270" s="31" t="n">
        <v>50700</v>
      </c>
      <c r="F270" s="31" t="n">
        <v>48862.69921875</v>
      </c>
      <c r="G270" s="31" t="n">
        <v>419064</v>
      </c>
      <c r="H270" s="36" t="n">
        <v>0.001976284584980226</v>
      </c>
      <c r="I270" s="36" t="n">
        <v>-0.4028268551236749</v>
      </c>
      <c r="J270" s="31" t="n">
        <v>49420</v>
      </c>
      <c r="K270" s="31" t="n">
        <v>44505</v>
      </c>
      <c r="L270" s="31" t="n">
        <v>45940.83333333334</v>
      </c>
      <c r="M270" s="36" t="n">
        <v>1.058931707127596</v>
      </c>
      <c r="N270" s="36" t="n">
        <v>0.6723323938538371</v>
      </c>
      <c r="O270" s="36" t="n">
        <v>0.2487684729064039</v>
      </c>
      <c r="P270" s="36" t="n">
        <v>0.2071428571428571</v>
      </c>
      <c r="Q270" s="36" t="n">
        <v>-0.01169590643274854</v>
      </c>
      <c r="R270" s="36" t="n">
        <v>0.02590044516390133</v>
      </c>
      <c r="S270" s="36" t="n">
        <v>0.1391978429389955</v>
      </c>
      <c r="T270" s="36" t="n">
        <v>0.1035933900487946</v>
      </c>
      <c r="U270" s="31" t="n">
        <v>62800</v>
      </c>
      <c r="V270" s="31" t="n">
        <v>39950</v>
      </c>
      <c r="W270" s="36" t="n">
        <v>-0.1926751592356688</v>
      </c>
      <c r="X270" s="36" t="n">
        <v>0.2690863579474343</v>
      </c>
      <c r="Y270" s="31" t="n">
        <v>43617167</v>
      </c>
      <c r="Z270" s="31" t="n">
        <v>2211390366900</v>
      </c>
      <c r="AA270" s="31" t="n">
        <v>21246544800</v>
      </c>
      <c r="AB270" s="31" t="n">
        <v>95141347767.5</v>
      </c>
      <c r="AC270" s="36" t="n">
        <v>0.009607776681140249</v>
      </c>
      <c r="AD270" s="29" t="inlineStr">
        <is>
          <t>yfinance_download</t>
        </is>
      </c>
      <c r="AE270" s="29" t="inlineStr">
        <is>
          <t>000990.KS</t>
        </is>
      </c>
    </row>
    <row r="271" ht="24" customHeight="1">
      <c r="A271" s="24" t="inlineStr">
        <is>
          <t>2024-07-12</t>
        </is>
      </c>
      <c r="B271" s="30" t="n">
        <v>49850</v>
      </c>
      <c r="C271" s="30" t="n">
        <v>50500</v>
      </c>
      <c r="D271" s="30" t="n">
        <v>48450</v>
      </c>
      <c r="E271" s="30" t="n">
        <v>50300</v>
      </c>
      <c r="F271" s="30" t="n">
        <v>48477.1953125</v>
      </c>
      <c r="G271" s="30" t="n">
        <v>457890</v>
      </c>
      <c r="H271" s="35" t="n">
        <v>-0.007889546351084853</v>
      </c>
      <c r="I271" s="35" t="n">
        <v>-0.4075382803297998</v>
      </c>
      <c r="J271" s="30" t="n">
        <v>49925</v>
      </c>
      <c r="K271" s="30" t="n">
        <v>44660</v>
      </c>
      <c r="L271" s="30" t="n">
        <v>45939.16666666666</v>
      </c>
      <c r="M271" s="35" t="n">
        <v>1.058390331836894</v>
      </c>
      <c r="N271" s="35" t="n">
        <v>0.6703127129711957</v>
      </c>
      <c r="O271" s="35" t="n">
        <v>0.2512437810945274</v>
      </c>
      <c r="P271" s="35" t="n">
        <v>0.2268292682926829</v>
      </c>
      <c r="Q271" s="35" t="n">
        <v>-0.003960396039603964</v>
      </c>
      <c r="R271" s="35" t="n">
        <v>0.007511266900350533</v>
      </c>
      <c r="S271" s="35" t="n">
        <v>0.1262875055978505</v>
      </c>
      <c r="T271" s="35" t="n">
        <v>0.09492626117873271</v>
      </c>
      <c r="U271" s="30" t="n">
        <v>62800</v>
      </c>
      <c r="V271" s="30" t="n">
        <v>39950</v>
      </c>
      <c r="W271" s="35" t="n">
        <v>-0.1990445859872612</v>
      </c>
      <c r="X271" s="35" t="n">
        <v>0.2590738423028787</v>
      </c>
      <c r="Y271" s="30" t="n">
        <v>43617167</v>
      </c>
      <c r="Z271" s="30" t="n">
        <v>2193943500100</v>
      </c>
      <c r="AA271" s="30" t="n">
        <v>23031867000</v>
      </c>
      <c r="AB271" s="30" t="n">
        <v>95555719347.5</v>
      </c>
      <c r="AC271" s="35" t="n">
        <v>0.01049793078032785</v>
      </c>
      <c r="AD271" s="24" t="inlineStr">
        <is>
          <t>yfinance_download</t>
        </is>
      </c>
      <c r="AE271" s="24" t="inlineStr">
        <is>
          <t>000990.KS</t>
        </is>
      </c>
    </row>
    <row r="272" ht="24" customHeight="1">
      <c r="A272" s="29" t="inlineStr">
        <is>
          <t>2024-07-15</t>
        </is>
      </c>
      <c r="B272" s="31" t="n">
        <v>50100</v>
      </c>
      <c r="C272" s="31" t="n">
        <v>52500</v>
      </c>
      <c r="D272" s="31" t="n">
        <v>48950</v>
      </c>
      <c r="E272" s="31" t="n">
        <v>52200</v>
      </c>
      <c r="F272" s="31" t="n">
        <v>50308.33984375</v>
      </c>
      <c r="G272" s="31" t="n">
        <v>582363</v>
      </c>
      <c r="H272" s="36" t="n">
        <v>0.0377733598409542</v>
      </c>
      <c r="I272" s="36" t="n">
        <v>-0.3851590106007067</v>
      </c>
      <c r="J272" s="31" t="n">
        <v>50352.5</v>
      </c>
      <c r="K272" s="31" t="n">
        <v>44850</v>
      </c>
      <c r="L272" s="31" t="n">
        <v>45959.16666666666</v>
      </c>
      <c r="M272" s="36" t="n">
        <v>1.027966434767544</v>
      </c>
      <c r="N272" s="36" t="n">
        <v>0.6735307012853616</v>
      </c>
      <c r="O272" s="36" t="n">
        <v>0.1958762886597938</v>
      </c>
      <c r="P272" s="36" t="n">
        <v>0.2794117647058822</v>
      </c>
      <c r="Q272" s="36" t="n">
        <v>0.04819277108433728</v>
      </c>
      <c r="R272" s="36" t="n">
        <v>0.03669132615063808</v>
      </c>
      <c r="S272" s="36" t="n">
        <v>0.1638795986622072</v>
      </c>
      <c r="T272" s="36" t="n">
        <v>0.1357908288154341</v>
      </c>
      <c r="U272" s="31" t="n">
        <v>62800</v>
      </c>
      <c r="V272" s="31" t="n">
        <v>39950</v>
      </c>
      <c r="W272" s="36" t="n">
        <v>-0.1687898089171974</v>
      </c>
      <c r="X272" s="36" t="n">
        <v>0.3066332916145182</v>
      </c>
      <c r="Y272" s="31" t="n">
        <v>43617167</v>
      </c>
      <c r="Z272" s="31" t="n">
        <v>2276816117400</v>
      </c>
      <c r="AA272" s="31" t="n">
        <v>30399348600</v>
      </c>
      <c r="AB272" s="31" t="n">
        <v>93970733510</v>
      </c>
      <c r="AC272" s="36" t="n">
        <v>0.01335169246549186</v>
      </c>
      <c r="AD272" s="29" t="inlineStr">
        <is>
          <t>yfinance_download</t>
        </is>
      </c>
      <c r="AE272" s="29" t="inlineStr">
        <is>
          <t>000990.KS</t>
        </is>
      </c>
    </row>
    <row r="273" ht="24" customHeight="1">
      <c r="A273" s="24" t="inlineStr">
        <is>
          <t>2024-07-16</t>
        </is>
      </c>
      <c r="B273" s="30" t="n">
        <v>51700</v>
      </c>
      <c r="C273" s="30" t="n">
        <v>53000</v>
      </c>
      <c r="D273" s="30" t="n">
        <v>51300</v>
      </c>
      <c r="E273" s="30" t="n">
        <v>52600</v>
      </c>
      <c r="F273" s="30" t="n">
        <v>50693.84765625</v>
      </c>
      <c r="G273" s="30" t="n">
        <v>521156</v>
      </c>
      <c r="H273" s="35" t="n">
        <v>0.00766283524904221</v>
      </c>
      <c r="I273" s="35" t="n">
        <v>-0.3804475853945819</v>
      </c>
      <c r="J273" s="30" t="n">
        <v>50712.5</v>
      </c>
      <c r="K273" s="30" t="n">
        <v>45031.66666666666</v>
      </c>
      <c r="L273" s="30" t="n">
        <v>45976.66666666666</v>
      </c>
      <c r="M273" s="35" t="n">
        <v>1.022136135401564</v>
      </c>
      <c r="N273" s="35" t="n">
        <v>0.6726128740009387</v>
      </c>
      <c r="O273" s="35" t="n">
        <v>0.158590308370044</v>
      </c>
      <c r="P273" s="35" t="n">
        <v>0.2613908872901678</v>
      </c>
      <c r="Q273" s="35" t="n">
        <v>0.04158415841584162</v>
      </c>
      <c r="R273" s="35" t="n">
        <v>0.03721962040916926</v>
      </c>
      <c r="S273" s="35" t="n">
        <v>0.1680669158740147</v>
      </c>
      <c r="T273" s="35" t="n">
        <v>0.1440585804393533</v>
      </c>
      <c r="U273" s="30" t="n">
        <v>61900</v>
      </c>
      <c r="V273" s="30" t="n">
        <v>39950</v>
      </c>
      <c r="W273" s="35" t="n">
        <v>-0.1502423263327949</v>
      </c>
      <c r="X273" s="35" t="n">
        <v>0.3166458072590739</v>
      </c>
      <c r="Y273" s="30" t="n">
        <v>43617167</v>
      </c>
      <c r="Z273" s="30" t="n">
        <v>2294262984200</v>
      </c>
      <c r="AA273" s="30" t="n">
        <v>27412805600</v>
      </c>
      <c r="AB273" s="30" t="n">
        <v>91270734880</v>
      </c>
      <c r="AC273" s="35" t="n">
        <v>0.0119484147147842</v>
      </c>
      <c r="AD273" s="24" t="inlineStr">
        <is>
          <t>yfinance_download</t>
        </is>
      </c>
      <c r="AE273" s="24" t="inlineStr">
        <is>
          <t>000990.KS</t>
        </is>
      </c>
    </row>
    <row r="274" ht="24" customHeight="1">
      <c r="A274" s="29" t="inlineStr">
        <is>
          <t>2024-07-17</t>
        </is>
      </c>
      <c r="B274" s="31" t="n">
        <v>52500</v>
      </c>
      <c r="C274" s="31" t="n">
        <v>55500</v>
      </c>
      <c r="D274" s="31" t="n">
        <v>52300</v>
      </c>
      <c r="E274" s="31" t="n">
        <v>53500</v>
      </c>
      <c r="F274" s="31" t="n">
        <v>51561.23046875</v>
      </c>
      <c r="G274" s="31" t="n">
        <v>1758849</v>
      </c>
      <c r="H274" s="36" t="n">
        <v>0.0171102661596958</v>
      </c>
      <c r="I274" s="36" t="n">
        <v>-0.3698468786808009</v>
      </c>
      <c r="J274" s="31" t="n">
        <v>51095</v>
      </c>
      <c r="K274" s="31" t="n">
        <v>45224.16666666666</v>
      </c>
      <c r="L274" s="31" t="n">
        <v>45991.66666666666</v>
      </c>
      <c r="M274" s="36" t="n">
        <v>1.022524591663439</v>
      </c>
      <c r="N274" s="36" t="n">
        <v>0.6730902745875851</v>
      </c>
      <c r="O274" s="36" t="n">
        <v>0.1668484187568158</v>
      </c>
      <c r="P274" s="36" t="n">
        <v>0.2753277711561382</v>
      </c>
      <c r="Q274" s="36" t="n">
        <v>0.03481624758220514</v>
      </c>
      <c r="R274" s="36" t="n">
        <v>0.04706918485174683</v>
      </c>
      <c r="S274" s="36" t="n">
        <v>0.18299581713317</v>
      </c>
      <c r="T274" s="36" t="n">
        <v>0.1632542127196956</v>
      </c>
      <c r="U274" s="31" t="n">
        <v>61900</v>
      </c>
      <c r="V274" s="31" t="n">
        <v>39950</v>
      </c>
      <c r="W274" s="36" t="n">
        <v>-0.135702746365105</v>
      </c>
      <c r="X274" s="36" t="n">
        <v>0.3391739674593242</v>
      </c>
      <c r="Y274" s="31" t="n">
        <v>43617167</v>
      </c>
      <c r="Z274" s="31" t="n">
        <v>2333518434500</v>
      </c>
      <c r="AA274" s="31" t="n">
        <v>94098421500</v>
      </c>
      <c r="AB274" s="31" t="n">
        <v>93633060245</v>
      </c>
      <c r="AC274" s="36" t="n">
        <v>0.04032469600788149</v>
      </c>
      <c r="AD274" s="29" t="inlineStr">
        <is>
          <t>yfinance_download</t>
        </is>
      </c>
      <c r="AE274" s="29" t="inlineStr">
        <is>
          <t>000990.KS</t>
        </is>
      </c>
    </row>
    <row r="275" ht="24" customHeight="1">
      <c r="A275" s="24" t="inlineStr">
        <is>
          <t>2024-07-18</t>
        </is>
      </c>
      <c r="B275" s="30" t="n">
        <v>52400</v>
      </c>
      <c r="C275" s="30" t="n">
        <v>53900</v>
      </c>
      <c r="D275" s="30" t="n">
        <v>51600</v>
      </c>
      <c r="E275" s="30" t="n">
        <v>53900</v>
      </c>
      <c r="F275" s="30" t="n">
        <v>51946.734375</v>
      </c>
      <c r="G275" s="30" t="n">
        <v>585052</v>
      </c>
      <c r="H275" s="35" t="n">
        <v>0.007476635514018781</v>
      </c>
      <c r="I275" s="35" t="n">
        <v>-0.3651354534746761</v>
      </c>
      <c r="J275" s="30" t="n">
        <v>50935</v>
      </c>
      <c r="K275" s="30" t="n">
        <v>45437.5</v>
      </c>
      <c r="L275" s="30" t="n">
        <v>46009.16666666666</v>
      </c>
      <c r="M275" s="35" t="n">
        <v>0.5200177328319729</v>
      </c>
      <c r="N275" s="35" t="n">
        <v>0.6710624265619973</v>
      </c>
      <c r="O275" s="35" t="n">
        <v>-0.05604203152364273</v>
      </c>
      <c r="P275" s="35" t="n">
        <v>0.3114355231143553</v>
      </c>
      <c r="Q275" s="35" t="n">
        <v>0.04054054054054057</v>
      </c>
      <c r="R275" s="35" t="n">
        <v>0.05821144596053784</v>
      </c>
      <c r="S275" s="35" t="n">
        <v>0.1862448418156808</v>
      </c>
      <c r="T275" s="35" t="n">
        <v>0.1715056782162976</v>
      </c>
      <c r="U275" s="30" t="n">
        <v>61900</v>
      </c>
      <c r="V275" s="30" t="n">
        <v>39950</v>
      </c>
      <c r="W275" s="35" t="n">
        <v>-0.1292407108239095</v>
      </c>
      <c r="X275" s="35" t="n">
        <v>0.3491864831038798</v>
      </c>
      <c r="Y275" s="30" t="n">
        <v>43617167</v>
      </c>
      <c r="Z275" s="30" t="n">
        <v>2350965301300</v>
      </c>
      <c r="AA275" s="30" t="n">
        <v>31534302800</v>
      </c>
      <c r="AB275" s="30" t="n">
        <v>50357222905</v>
      </c>
      <c r="AC275" s="35" t="n">
        <v>0.01341334250342302</v>
      </c>
      <c r="AD275" s="24" t="inlineStr">
        <is>
          <t>yfinance_download</t>
        </is>
      </c>
      <c r="AE275" s="24" t="inlineStr">
        <is>
          <t>000990.KS</t>
        </is>
      </c>
    </row>
    <row r="276" ht="24" customHeight="1">
      <c r="A276" s="29" t="inlineStr">
        <is>
          <t>2024-07-19</t>
        </is>
      </c>
      <c r="B276" s="31" t="n">
        <v>53500</v>
      </c>
      <c r="C276" s="31" t="n">
        <v>55400</v>
      </c>
      <c r="D276" s="31" t="n">
        <v>53000</v>
      </c>
      <c r="E276" s="31" t="n">
        <v>55000</v>
      </c>
      <c r="F276" s="31" t="n">
        <v>53006.875</v>
      </c>
      <c r="G276" s="31" t="n">
        <v>875528</v>
      </c>
      <c r="H276" s="36" t="n">
        <v>0.02040816326530615</v>
      </c>
      <c r="I276" s="36" t="n">
        <v>-0.3521790341578327</v>
      </c>
      <c r="J276" s="31" t="n">
        <v>51075</v>
      </c>
      <c r="K276" s="31" t="n">
        <v>45671.66666666666</v>
      </c>
      <c r="L276" s="31" t="n">
        <v>46036.66666666666</v>
      </c>
      <c r="M276" s="36" t="n">
        <v>0.4212443760219381</v>
      </c>
      <c r="N276" s="36" t="n">
        <v>0.6714967368946405</v>
      </c>
      <c r="O276" s="36" t="n">
        <v>0.05363984674329503</v>
      </c>
      <c r="P276" s="36" t="n">
        <v>0.343101343101343</v>
      </c>
      <c r="Q276" s="36" t="n">
        <v>0.06382978723404253</v>
      </c>
      <c r="R276" s="36" t="n">
        <v>0.07684777288301525</v>
      </c>
      <c r="S276" s="36" t="n">
        <v>0.2042477101047331</v>
      </c>
      <c r="T276" s="36" t="n">
        <v>0.1946998769097097</v>
      </c>
      <c r="U276" s="31" t="n">
        <v>61900</v>
      </c>
      <c r="V276" s="31" t="n">
        <v>39950</v>
      </c>
      <c r="W276" s="36" t="n">
        <v>-0.1114701130856219</v>
      </c>
      <c r="X276" s="36" t="n">
        <v>0.3767209011264081</v>
      </c>
      <c r="Y276" s="31" t="n">
        <v>43617167</v>
      </c>
      <c r="Z276" s="31" t="n">
        <v>2398944185000</v>
      </c>
      <c r="AA276" s="31" t="n">
        <v>48154040000</v>
      </c>
      <c r="AB276" s="31" t="n">
        <v>43874356625</v>
      </c>
      <c r="AC276" s="36" t="n">
        <v>0.02007301391215986</v>
      </c>
      <c r="AD276" s="29" t="inlineStr">
        <is>
          <t>yfinance_download</t>
        </is>
      </c>
      <c r="AE276" s="29" t="inlineStr">
        <is>
          <t>000990.KS</t>
        </is>
      </c>
    </row>
    <row r="277" ht="24" customHeight="1">
      <c r="A277" s="24" t="inlineStr">
        <is>
          <t>2024-07-22</t>
        </is>
      </c>
      <c r="B277" s="30" t="n">
        <v>54400</v>
      </c>
      <c r="C277" s="30" t="n">
        <v>55700</v>
      </c>
      <c r="D277" s="30" t="n">
        <v>52500</v>
      </c>
      <c r="E277" s="30" t="n">
        <v>53700</v>
      </c>
      <c r="F277" s="30" t="n">
        <v>51753.984375</v>
      </c>
      <c r="G277" s="30" t="n">
        <v>709808</v>
      </c>
      <c r="H277" s="35" t="n">
        <v>-0.02363636363636368</v>
      </c>
      <c r="I277" s="35" t="n">
        <v>-0.3674911660777385</v>
      </c>
      <c r="J277" s="30" t="n">
        <v>51090</v>
      </c>
      <c r="K277" s="30" t="n">
        <v>45891.66666666666</v>
      </c>
      <c r="L277" s="30" t="n">
        <v>46060</v>
      </c>
      <c r="M277" s="35" t="n">
        <v>0.424325383478497</v>
      </c>
      <c r="N277" s="35" t="n">
        <v>0.6733404228323876</v>
      </c>
      <c r="O277" s="35" t="n">
        <v>0.00561797752808979</v>
      </c>
      <c r="P277" s="35" t="n">
        <v>0.325925925925926</v>
      </c>
      <c r="Q277" s="35" t="n">
        <v>0.05500982318271119</v>
      </c>
      <c r="R277" s="35" t="n">
        <v>0.05108631826189081</v>
      </c>
      <c r="S277" s="35" t="n">
        <v>0.1701470855275105</v>
      </c>
      <c r="T277" s="35" t="n">
        <v>0.1658706035605733</v>
      </c>
      <c r="U277" s="30" t="n">
        <v>61900</v>
      </c>
      <c r="V277" s="30" t="n">
        <v>39950</v>
      </c>
      <c r="W277" s="35" t="n">
        <v>-0.1324717285945073</v>
      </c>
      <c r="X277" s="35" t="n">
        <v>0.344180225281602</v>
      </c>
      <c r="Y277" s="30" t="n">
        <v>43617167</v>
      </c>
      <c r="Z277" s="30" t="n">
        <v>2342241867900</v>
      </c>
      <c r="AA277" s="30" t="n">
        <v>38116689600</v>
      </c>
      <c r="AB277" s="30" t="n">
        <v>40535571515</v>
      </c>
      <c r="AC277" s="35" t="n">
        <v>0.0162735924595928</v>
      </c>
      <c r="AD277" s="24" t="inlineStr">
        <is>
          <t>yfinance_download</t>
        </is>
      </c>
      <c r="AE277" s="24" t="inlineStr">
        <is>
          <t>000990.KS</t>
        </is>
      </c>
    </row>
    <row r="278" ht="24" customHeight="1">
      <c r="A278" s="29" t="inlineStr">
        <is>
          <t>2024-07-23</t>
        </is>
      </c>
      <c r="B278" s="31" t="n">
        <v>54300</v>
      </c>
      <c r="C278" s="31" t="n">
        <v>55300</v>
      </c>
      <c r="D278" s="31" t="n">
        <v>52700</v>
      </c>
      <c r="E278" s="31" t="n">
        <v>52700</v>
      </c>
      <c r="F278" s="31" t="n">
        <v>50790.22265625</v>
      </c>
      <c r="G278" s="31" t="n">
        <v>478539</v>
      </c>
      <c r="H278" s="36" t="n">
        <v>-0.01862197392923648</v>
      </c>
      <c r="I278" s="36" t="n">
        <v>-0.3792697290930507</v>
      </c>
      <c r="J278" s="31" t="n">
        <v>51155</v>
      </c>
      <c r="K278" s="31" t="n">
        <v>46089.16666666666</v>
      </c>
      <c r="L278" s="31" t="n">
        <v>46077.5</v>
      </c>
      <c r="M278" s="36" t="n">
        <v>0.4068209858217275</v>
      </c>
      <c r="N278" s="36" t="n">
        <v>0.6751184347806122</v>
      </c>
      <c r="O278" s="36" t="n">
        <v>0.02529182879377423</v>
      </c>
      <c r="P278" s="36" t="n">
        <v>0.2900856793145654</v>
      </c>
      <c r="Q278" s="36" t="n">
        <v>0.04150197628458496</v>
      </c>
      <c r="R278" s="36" t="n">
        <v>0.03020232626331731</v>
      </c>
      <c r="S278" s="36" t="n">
        <v>0.1434357314625636</v>
      </c>
      <c r="T278" s="36" t="n">
        <v>0.1437252455102815</v>
      </c>
      <c r="U278" s="31" t="n">
        <v>61900</v>
      </c>
      <c r="V278" s="31" t="n">
        <v>39950</v>
      </c>
      <c r="W278" s="36" t="n">
        <v>-0.148626817447496</v>
      </c>
      <c r="X278" s="36" t="n">
        <v>0.3191489361702127</v>
      </c>
      <c r="Y278" s="31" t="n">
        <v>43617167</v>
      </c>
      <c r="Z278" s="31" t="n">
        <v>2298624700900</v>
      </c>
      <c r="AA278" s="31" t="n">
        <v>25219005300</v>
      </c>
      <c r="AB278" s="31" t="n">
        <v>38354739230</v>
      </c>
      <c r="AC278" s="36" t="n">
        <v>0.01097134529622247</v>
      </c>
      <c r="AD278" s="29" t="inlineStr">
        <is>
          <t>yfinance_download</t>
        </is>
      </c>
      <c r="AE278" s="29" t="inlineStr">
        <is>
          <t>000990.KS</t>
        </is>
      </c>
    </row>
    <row r="279" ht="24" customHeight="1">
      <c r="A279" s="24" t="inlineStr">
        <is>
          <t>2024-07-24</t>
        </is>
      </c>
      <c r="B279" s="30" t="n">
        <v>52200</v>
      </c>
      <c r="C279" s="30" t="n">
        <v>53100</v>
      </c>
      <c r="D279" s="30" t="n">
        <v>51200</v>
      </c>
      <c r="E279" s="30" t="n">
        <v>52400</v>
      </c>
      <c r="F279" s="30" t="n">
        <v>50501.09375</v>
      </c>
      <c r="G279" s="30" t="n">
        <v>408235</v>
      </c>
      <c r="H279" s="35" t="n">
        <v>-0.005692599620493399</v>
      </c>
      <c r="I279" s="35" t="n">
        <v>-0.3828032979976443</v>
      </c>
      <c r="J279" s="30" t="n">
        <v>51265</v>
      </c>
      <c r="K279" s="30" t="n">
        <v>46295</v>
      </c>
      <c r="L279" s="30" t="n">
        <v>46094.16666666666</v>
      </c>
      <c r="M279" s="35" t="n">
        <v>0.3971996458659491</v>
      </c>
      <c r="N279" s="35" t="n">
        <v>0.6735495281200168</v>
      </c>
      <c r="O279" s="35" t="n">
        <v>0.04382470119521908</v>
      </c>
      <c r="P279" s="35" t="n">
        <v>0.3083645443196006</v>
      </c>
      <c r="Q279" s="35" t="n">
        <v>0.03968253968253976</v>
      </c>
      <c r="R279" s="35" t="n">
        <v>0.02213986150395009</v>
      </c>
      <c r="S279" s="35" t="n">
        <v>0.1318716924073875</v>
      </c>
      <c r="T279" s="35" t="n">
        <v>0.1368032831341639</v>
      </c>
      <c r="U279" s="30" t="n">
        <v>61900</v>
      </c>
      <c r="V279" s="30" t="n">
        <v>39950</v>
      </c>
      <c r="W279" s="35" t="n">
        <v>-0.1534733441033925</v>
      </c>
      <c r="X279" s="35" t="n">
        <v>0.3116395494367961</v>
      </c>
      <c r="Y279" s="30" t="n">
        <v>43617167</v>
      </c>
      <c r="Z279" s="30" t="n">
        <v>2285539550800</v>
      </c>
      <c r="AA279" s="30" t="n">
        <v>21391514000</v>
      </c>
      <c r="AB279" s="30" t="n">
        <v>37074013680</v>
      </c>
      <c r="AC279" s="35" t="n">
        <v>0.009359502876470634</v>
      </c>
      <c r="AD279" s="24" t="inlineStr">
        <is>
          <t>yfinance_download</t>
        </is>
      </c>
      <c r="AE279" s="24" t="inlineStr">
        <is>
          <t>000990.KS</t>
        </is>
      </c>
    </row>
    <row r="280" ht="24" customHeight="1">
      <c r="A280" s="29" t="inlineStr">
        <is>
          <t>2024-07-25</t>
        </is>
      </c>
      <c r="B280" s="31" t="n">
        <v>51800</v>
      </c>
      <c r="C280" s="31" t="n">
        <v>52000</v>
      </c>
      <c r="D280" s="31" t="n">
        <v>49400</v>
      </c>
      <c r="E280" s="31" t="n">
        <v>50800</v>
      </c>
      <c r="F280" s="31" t="n">
        <v>48959.078125</v>
      </c>
      <c r="G280" s="31" t="n">
        <v>460406</v>
      </c>
      <c r="H280" s="36" t="n">
        <v>-0.03053435114503822</v>
      </c>
      <c r="I280" s="36" t="n">
        <v>-0.4016489988221437</v>
      </c>
      <c r="J280" s="31" t="n">
        <v>51387.5</v>
      </c>
      <c r="K280" s="31" t="n">
        <v>46448.33333333334</v>
      </c>
      <c r="L280" s="31" t="n">
        <v>46096.66666666666</v>
      </c>
      <c r="M280" s="36" t="n">
        <v>0.3894675101716785</v>
      </c>
      <c r="N280" s="36" t="n">
        <v>0.6738340649085115</v>
      </c>
      <c r="O280" s="36" t="n">
        <v>0.05067218200620482</v>
      </c>
      <c r="P280" s="36" t="n">
        <v>0.2211538461538463</v>
      </c>
      <c r="Q280" s="36" t="n">
        <v>0.005940594059405946</v>
      </c>
      <c r="R280" s="36" t="n">
        <v>-0.01143274142544393</v>
      </c>
      <c r="S280" s="36" t="n">
        <v>0.09368832753238365</v>
      </c>
      <c r="T280" s="36" t="n">
        <v>0.1020319618193652</v>
      </c>
      <c r="U280" s="31" t="n">
        <v>61900</v>
      </c>
      <c r="V280" s="31" t="n">
        <v>39950</v>
      </c>
      <c r="W280" s="36" t="n">
        <v>-0.1793214862681745</v>
      </c>
      <c r="X280" s="36" t="n">
        <v>0.2715894868585733</v>
      </c>
      <c r="Y280" s="31" t="n">
        <v>43617167</v>
      </c>
      <c r="Z280" s="31" t="n">
        <v>2215752083600</v>
      </c>
      <c r="AA280" s="31" t="n">
        <v>23388624800</v>
      </c>
      <c r="AB280" s="31" t="n">
        <v>36265717180</v>
      </c>
      <c r="AC280" s="36" t="n">
        <v>0.010555614490047</v>
      </c>
      <c r="AD280" s="29" t="inlineStr">
        <is>
          <t>yfinance_download</t>
        </is>
      </c>
      <c r="AE280" s="29" t="inlineStr">
        <is>
          <t>000990.KS</t>
        </is>
      </c>
    </row>
    <row r="281" ht="24" customHeight="1">
      <c r="A281" s="24" t="inlineStr">
        <is>
          <t>2024-07-26</t>
        </is>
      </c>
      <c r="B281" s="30" t="n">
        <v>50600</v>
      </c>
      <c r="C281" s="30" t="n">
        <v>53100</v>
      </c>
      <c r="D281" s="30" t="n">
        <v>50600</v>
      </c>
      <c r="E281" s="30" t="n">
        <v>52700</v>
      </c>
      <c r="F281" s="30" t="n">
        <v>50790.22265625</v>
      </c>
      <c r="G281" s="30" t="n">
        <v>350185</v>
      </c>
      <c r="H281" s="35" t="n">
        <v>0.03740157480314954</v>
      </c>
      <c r="I281" s="35" t="n">
        <v>-0.3792697290930507</v>
      </c>
      <c r="J281" s="30" t="n">
        <v>51577.5</v>
      </c>
      <c r="K281" s="30" t="n">
        <v>46634.16666666666</v>
      </c>
      <c r="L281" s="30" t="n">
        <v>46113.33333333334</v>
      </c>
      <c r="M281" s="35" t="n">
        <v>0.4076390965804079</v>
      </c>
      <c r="N281" s="35" t="n">
        <v>0.6771593777887471</v>
      </c>
      <c r="O281" s="35" t="n">
        <v>0.07770961145194266</v>
      </c>
      <c r="P281" s="35" t="n">
        <v>0.2683513838748495</v>
      </c>
      <c r="Q281" s="35" t="n">
        <v>0.03944773175542404</v>
      </c>
      <c r="R281" s="35" t="n">
        <v>0.02176336580873439</v>
      </c>
      <c r="S281" s="35" t="n">
        <v>0.1300727292221369</v>
      </c>
      <c r="T281" s="35" t="n">
        <v>0.1428364898077201</v>
      </c>
      <c r="U281" s="30" t="n">
        <v>61900</v>
      </c>
      <c r="V281" s="30" t="n">
        <v>39950</v>
      </c>
      <c r="W281" s="35" t="n">
        <v>-0.148626817447496</v>
      </c>
      <c r="X281" s="35" t="n">
        <v>0.3191489361702127</v>
      </c>
      <c r="Y281" s="30" t="n">
        <v>43617167</v>
      </c>
      <c r="Z281" s="30" t="n">
        <v>2298624700900</v>
      </c>
      <c r="AA281" s="30" t="n">
        <v>18454749500</v>
      </c>
      <c r="AB281" s="30" t="n">
        <v>35079055355</v>
      </c>
      <c r="AC281" s="35" t="n">
        <v>0.008028604883943975</v>
      </c>
      <c r="AD281" s="24" t="inlineStr">
        <is>
          <t>yfinance_download</t>
        </is>
      </c>
      <c r="AE281" s="24" t="inlineStr">
        <is>
          <t>000990.KS</t>
        </is>
      </c>
    </row>
    <row r="282" ht="24" customHeight="1">
      <c r="A282" s="29" t="inlineStr">
        <is>
          <t>2024-07-29</t>
        </is>
      </c>
      <c r="B282" s="31" t="n">
        <v>52800</v>
      </c>
      <c r="C282" s="31" t="n">
        <v>53200</v>
      </c>
      <c r="D282" s="31" t="n">
        <v>51200</v>
      </c>
      <c r="E282" s="31" t="n">
        <v>51300</v>
      </c>
      <c r="F282" s="31" t="n">
        <v>49440.95703125</v>
      </c>
      <c r="G282" s="31" t="n">
        <v>364724</v>
      </c>
      <c r="H282" s="36" t="n">
        <v>-0.02656546489563572</v>
      </c>
      <c r="I282" s="36" t="n">
        <v>-0.3957597173144877</v>
      </c>
      <c r="J282" s="31" t="n">
        <v>51722.5</v>
      </c>
      <c r="K282" s="31" t="n">
        <v>46799.16666666666</v>
      </c>
      <c r="L282" s="31" t="n">
        <v>46125.41666666666</v>
      </c>
      <c r="M282" s="36" t="n">
        <v>0.419195823355954</v>
      </c>
      <c r="N282" s="36" t="n">
        <v>0.6800050245445645</v>
      </c>
      <c r="O282" s="36" t="n">
        <v>0.05991735537190079</v>
      </c>
      <c r="P282" s="36" t="n">
        <v>0.2391304347826086</v>
      </c>
      <c r="Q282" s="36" t="n">
        <v>0.02908726178535614</v>
      </c>
      <c r="R282" s="36" t="n">
        <v>-0.008168592005413533</v>
      </c>
      <c r="S282" s="36" t="n">
        <v>0.09617336491034401</v>
      </c>
      <c r="T282" s="36" t="n">
        <v>0.1121850751122393</v>
      </c>
      <c r="U282" s="31" t="n">
        <v>61900</v>
      </c>
      <c r="V282" s="31" t="n">
        <v>39950</v>
      </c>
      <c r="W282" s="36" t="n">
        <v>-0.1712439418416801</v>
      </c>
      <c r="X282" s="36" t="n">
        <v>0.2841051314142677</v>
      </c>
      <c r="Y282" s="31" t="n">
        <v>43617167</v>
      </c>
      <c r="Z282" s="31" t="n">
        <v>2237560667100</v>
      </c>
      <c r="AA282" s="31" t="n">
        <v>18710341200</v>
      </c>
      <c r="AB282" s="31" t="n">
        <v>34804204575</v>
      </c>
      <c r="AC282" s="36" t="n">
        <v>0.00836193694102141</v>
      </c>
      <c r="AD282" s="29" t="inlineStr">
        <is>
          <t>yfinance_download</t>
        </is>
      </c>
      <c r="AE282" s="29" t="inlineStr">
        <is>
          <t>000990.KS</t>
        </is>
      </c>
    </row>
    <row r="283" ht="24" customHeight="1">
      <c r="A283" s="24" t="inlineStr">
        <is>
          <t>2024-07-30</t>
        </is>
      </c>
      <c r="B283" s="30" t="n">
        <v>51000</v>
      </c>
      <c r="C283" s="30" t="n">
        <v>51400</v>
      </c>
      <c r="D283" s="30" t="n">
        <v>49150</v>
      </c>
      <c r="E283" s="30" t="n">
        <v>51300</v>
      </c>
      <c r="F283" s="30" t="n">
        <v>49440.95703125</v>
      </c>
      <c r="G283" s="30" t="n">
        <v>399821</v>
      </c>
      <c r="H283" s="35" t="n">
        <v>0</v>
      </c>
      <c r="I283" s="35" t="n">
        <v>-0.3957597173144877</v>
      </c>
      <c r="J283" s="30" t="n">
        <v>51920</v>
      </c>
      <c r="K283" s="30" t="n">
        <v>46943.33333333334</v>
      </c>
      <c r="L283" s="30" t="n">
        <v>46135.41666666666</v>
      </c>
      <c r="M283" s="35" t="n">
        <v>0.4090300661226053</v>
      </c>
      <c r="N283" s="35" t="n">
        <v>0.677928529929996</v>
      </c>
      <c r="O283" s="35" t="n">
        <v>0.0834213305174234</v>
      </c>
      <c r="P283" s="35" t="n">
        <v>0.2028135990621336</v>
      </c>
      <c r="Q283" s="35" t="n">
        <v>0.0239520958083832</v>
      </c>
      <c r="R283" s="35" t="n">
        <v>-0.0119414483821263</v>
      </c>
      <c r="S283" s="35" t="n">
        <v>0.09280693034154641</v>
      </c>
      <c r="T283" s="35" t="n">
        <v>0.1119440054188305</v>
      </c>
      <c r="U283" s="30" t="n">
        <v>61900</v>
      </c>
      <c r="V283" s="30" t="n">
        <v>39950</v>
      </c>
      <c r="W283" s="35" t="n">
        <v>-0.1712439418416801</v>
      </c>
      <c r="X283" s="35" t="n">
        <v>0.2841051314142677</v>
      </c>
      <c r="Y283" s="30" t="n">
        <v>43617167</v>
      </c>
      <c r="Z283" s="30" t="n">
        <v>2237560667100</v>
      </c>
      <c r="AA283" s="30" t="n">
        <v>20510817300</v>
      </c>
      <c r="AB283" s="30" t="n">
        <v>34429596470</v>
      </c>
      <c r="AC283" s="35" t="n">
        <v>0.009166597179500448</v>
      </c>
      <c r="AD283" s="24" t="inlineStr">
        <is>
          <t>yfinance_download</t>
        </is>
      </c>
      <c r="AE283" s="24" t="inlineStr">
        <is>
          <t>000990.KS</t>
        </is>
      </c>
    </row>
    <row r="284" ht="24" customHeight="1">
      <c r="A284" s="29" t="inlineStr">
        <is>
          <t>2024-07-31</t>
        </is>
      </c>
      <c r="B284" s="31" t="n">
        <v>50900</v>
      </c>
      <c r="C284" s="31" t="n">
        <v>54700</v>
      </c>
      <c r="D284" s="31" t="n">
        <v>50700</v>
      </c>
      <c r="E284" s="31" t="n">
        <v>54300</v>
      </c>
      <c r="F284" s="31" t="n">
        <v>52332.2421875</v>
      </c>
      <c r="G284" s="31" t="n">
        <v>636946</v>
      </c>
      <c r="H284" s="36" t="n">
        <v>0.0584795321637428</v>
      </c>
      <c r="I284" s="36" t="n">
        <v>-0.3604240282685512</v>
      </c>
      <c r="J284" s="31" t="n">
        <v>52185</v>
      </c>
      <c r="K284" s="31" t="n">
        <v>47131.66666666666</v>
      </c>
      <c r="L284" s="31" t="n">
        <v>46161.25</v>
      </c>
      <c r="M284" s="36" t="n">
        <v>0.4398588943678787</v>
      </c>
      <c r="N284" s="36" t="n">
        <v>0.6870561550370055</v>
      </c>
      <c r="O284" s="36" t="n">
        <v>0.1081632653061224</v>
      </c>
      <c r="P284" s="36" t="n">
        <v>0.2627906976744185</v>
      </c>
      <c r="Q284" s="36" t="n">
        <v>0.060546875</v>
      </c>
      <c r="R284" s="36" t="n">
        <v>0.04052888761138251</v>
      </c>
      <c r="S284" s="36" t="n">
        <v>0.1520916581208671</v>
      </c>
      <c r="T284" s="36" t="n">
        <v>0.1763113000622816</v>
      </c>
      <c r="U284" s="31" t="n">
        <v>61900</v>
      </c>
      <c r="V284" s="31" t="n">
        <v>39950</v>
      </c>
      <c r="W284" s="36" t="n">
        <v>-0.122778675282714</v>
      </c>
      <c r="X284" s="36" t="n">
        <v>0.3591989987484356</v>
      </c>
      <c r="Y284" s="31" t="n">
        <v>43617167</v>
      </c>
      <c r="Z284" s="31" t="n">
        <v>2368412168100</v>
      </c>
      <c r="AA284" s="31" t="n">
        <v>34586167800</v>
      </c>
      <c r="AB284" s="31" t="n">
        <v>33578351710</v>
      </c>
      <c r="AC284" s="36" t="n">
        <v>0.01460310340650964</v>
      </c>
      <c r="AD284" s="29" t="inlineStr">
        <is>
          <t>yfinance_download</t>
        </is>
      </c>
      <c r="AE284" s="29" t="inlineStr">
        <is>
          <t>000990.KS</t>
        </is>
      </c>
    </row>
    <row r="285" ht="24" customHeight="1">
      <c r="A285" s="24" t="inlineStr">
        <is>
          <t>2024-08-01</t>
        </is>
      </c>
      <c r="B285" s="30" t="n">
        <v>56000</v>
      </c>
      <c r="C285" s="30" t="n">
        <v>56500</v>
      </c>
      <c r="D285" s="30" t="n">
        <v>54000</v>
      </c>
      <c r="E285" s="30" t="n">
        <v>54500</v>
      </c>
      <c r="F285" s="30" t="n">
        <v>52524.9921875</v>
      </c>
      <c r="G285" s="30" t="n">
        <v>817975</v>
      </c>
      <c r="H285" s="35" t="n">
        <v>0.003683241252302016</v>
      </c>
      <c r="I285" s="35" t="n">
        <v>-0.3580683156654888</v>
      </c>
      <c r="J285" s="30" t="n">
        <v>52310</v>
      </c>
      <c r="K285" s="30" t="n">
        <v>47326.66666666666</v>
      </c>
      <c r="L285" s="30" t="n">
        <v>46203.75</v>
      </c>
      <c r="M285" s="35" t="n">
        <v>0.3874927171679226</v>
      </c>
      <c r="N285" s="35" t="n">
        <v>0.6867813009522258</v>
      </c>
      <c r="O285" s="35" t="n">
        <v>0.04807692307692313</v>
      </c>
      <c r="P285" s="35" t="n">
        <v>0.2733644859813085</v>
      </c>
      <c r="Q285" s="35" t="n">
        <v>0.1032388663967612</v>
      </c>
      <c r="R285" s="35" t="n">
        <v>0.0418658000382337</v>
      </c>
      <c r="S285" s="35" t="n">
        <v>0.1515706437526412</v>
      </c>
      <c r="T285" s="35" t="n">
        <v>0.1795579363146931</v>
      </c>
      <c r="U285" s="30" t="n">
        <v>61900</v>
      </c>
      <c r="V285" s="30" t="n">
        <v>39950</v>
      </c>
      <c r="W285" s="35" t="n">
        <v>-0.1195476575121163</v>
      </c>
      <c r="X285" s="35" t="n">
        <v>0.3642052565707135</v>
      </c>
      <c r="Y285" s="30" t="n">
        <v>43617167</v>
      </c>
      <c r="Z285" s="30" t="n">
        <v>2377135601500</v>
      </c>
      <c r="AA285" s="30" t="n">
        <v>44579637500</v>
      </c>
      <c r="AB285" s="30" t="n">
        <v>31730143585</v>
      </c>
      <c r="AC285" s="35" t="n">
        <v>0.01875351051571048</v>
      </c>
      <c r="AD285" s="24" t="inlineStr">
        <is>
          <t>yfinance_download</t>
        </is>
      </c>
      <c r="AE285" s="24" t="inlineStr">
        <is>
          <t>000990.KS</t>
        </is>
      </c>
    </row>
    <row r="286" ht="24" customHeight="1">
      <c r="A286" s="29" t="inlineStr">
        <is>
          <t>2024-08-02</t>
        </is>
      </c>
      <c r="B286" s="31" t="n">
        <v>52500</v>
      </c>
      <c r="C286" s="31" t="n">
        <v>52900</v>
      </c>
      <c r="D286" s="31" t="n">
        <v>48700</v>
      </c>
      <c r="E286" s="31" t="n">
        <v>48700</v>
      </c>
      <c r="F286" s="31" t="n">
        <v>46935.17578125</v>
      </c>
      <c r="G286" s="31" t="n">
        <v>914988</v>
      </c>
      <c r="H286" s="36" t="n">
        <v>-0.1064220183486239</v>
      </c>
      <c r="I286" s="36" t="n">
        <v>-0.4263839811542992</v>
      </c>
      <c r="J286" s="31" t="n">
        <v>52200</v>
      </c>
      <c r="K286" s="31" t="n">
        <v>47397.5</v>
      </c>
      <c r="L286" s="31" t="n">
        <v>46195.41666666666</v>
      </c>
      <c r="M286" s="36" t="n">
        <v>0.5436522845751423</v>
      </c>
      <c r="N286" s="36" t="n">
        <v>0.7198981976493942</v>
      </c>
      <c r="O286" s="36" t="n">
        <v>-0.04322200392927311</v>
      </c>
      <c r="P286" s="36" t="n">
        <v>0.0956130483689539</v>
      </c>
      <c r="Q286" s="36" t="n">
        <v>-0.02012072434607648</v>
      </c>
      <c r="R286" s="36" t="n">
        <v>-0.06704980842911878</v>
      </c>
      <c r="S286" s="36" t="n">
        <v>0.02748035233925838</v>
      </c>
      <c r="T286" s="36" t="n">
        <v>0.05421713914619963</v>
      </c>
      <c r="U286" s="31" t="n">
        <v>61900</v>
      </c>
      <c r="V286" s="31" t="n">
        <v>39950</v>
      </c>
      <c r="W286" s="36" t="n">
        <v>-0.2132471728594507</v>
      </c>
      <c r="X286" s="36" t="n">
        <v>0.2190237797246559</v>
      </c>
      <c r="Y286" s="31" t="n">
        <v>43617167</v>
      </c>
      <c r="Z286" s="31" t="n">
        <v>2124156032900</v>
      </c>
      <c r="AA286" s="31" t="n">
        <v>44559915600</v>
      </c>
      <c r="AB286" s="31" t="n">
        <v>32247955355</v>
      </c>
      <c r="AC286" s="36" t="n">
        <v>0.0209777035725406</v>
      </c>
      <c r="AD286" s="29" t="inlineStr">
        <is>
          <t>yfinance_download</t>
        </is>
      </c>
      <c r="AE286" s="29" t="inlineStr">
        <is>
          <t>000990.KS</t>
        </is>
      </c>
    </row>
    <row r="287" ht="24" customHeight="1">
      <c r="A287" s="24" t="inlineStr">
        <is>
          <t>2024-08-05</t>
        </is>
      </c>
      <c r="B287" s="30" t="n">
        <v>47200</v>
      </c>
      <c r="C287" s="30" t="n">
        <v>47850</v>
      </c>
      <c r="D287" s="30" t="n">
        <v>40050</v>
      </c>
      <c r="E287" s="30" t="n">
        <v>42250</v>
      </c>
      <c r="F287" s="30" t="n">
        <v>40718.91796875</v>
      </c>
      <c r="G287" s="30" t="n">
        <v>996549</v>
      </c>
      <c r="H287" s="35" t="n">
        <v>-0.1324435318275154</v>
      </c>
      <c r="I287" s="35" t="n">
        <v>-0.5023557126030624</v>
      </c>
      <c r="J287" s="30" t="n">
        <v>51772.5</v>
      </c>
      <c r="K287" s="30" t="n">
        <v>47379.16666666666</v>
      </c>
      <c r="L287" s="30" t="n">
        <v>46131.25</v>
      </c>
      <c r="M287" s="35" t="n">
        <v>0.7149951530710721</v>
      </c>
      <c r="N287" s="35" t="n">
        <v>0.7694214136814029</v>
      </c>
      <c r="O287" s="35" t="n">
        <v>-0.1683070866141733</v>
      </c>
      <c r="P287" s="35" t="n">
        <v>-0.0253748558246828</v>
      </c>
      <c r="Q287" s="35" t="n">
        <v>-0.1541541541541541</v>
      </c>
      <c r="R287" s="35" t="n">
        <v>-0.1839296924042687</v>
      </c>
      <c r="S287" s="35" t="n">
        <v>-0.1082578489139038</v>
      </c>
      <c r="T287" s="35" t="n">
        <v>-0.08413494106489638</v>
      </c>
      <c r="U287" s="30" t="n">
        <v>61900</v>
      </c>
      <c r="V287" s="30" t="n">
        <v>39950</v>
      </c>
      <c r="W287" s="35" t="n">
        <v>-0.3174474959612278</v>
      </c>
      <c r="X287" s="35" t="n">
        <v>0.05757196495619521</v>
      </c>
      <c r="Y287" s="30" t="n">
        <v>43617167</v>
      </c>
      <c r="Z287" s="30" t="n">
        <v>1842825305750</v>
      </c>
      <c r="AA287" s="30" t="n">
        <v>42104195250</v>
      </c>
      <c r="AB287" s="30" t="n">
        <v>33521078897.5</v>
      </c>
      <c r="AC287" s="35" t="n">
        <v>0.02284763244710506</v>
      </c>
      <c r="AD287" s="24" t="inlineStr">
        <is>
          <t>yfinance_download</t>
        </is>
      </c>
      <c r="AE287" s="24" t="inlineStr">
        <is>
          <t>000990.KS</t>
        </is>
      </c>
    </row>
    <row r="288" ht="24" customHeight="1">
      <c r="A288" s="29" t="inlineStr">
        <is>
          <t>2024-08-06</t>
        </is>
      </c>
      <c r="B288" s="31" t="n">
        <v>43500</v>
      </c>
      <c r="C288" s="31" t="n">
        <v>44500</v>
      </c>
      <c r="D288" s="31" t="n">
        <v>42700</v>
      </c>
      <c r="E288" s="31" t="n">
        <v>43200</v>
      </c>
      <c r="F288" s="31" t="n">
        <v>41634.48828125</v>
      </c>
      <c r="G288" s="31" t="n">
        <v>781551</v>
      </c>
      <c r="H288" s="36" t="n">
        <v>0.02248520710059165</v>
      </c>
      <c r="I288" s="36" t="n">
        <v>-0.4911660777385159</v>
      </c>
      <c r="J288" s="31" t="n">
        <v>51332.5</v>
      </c>
      <c r="K288" s="31" t="n">
        <v>47380.83333333334</v>
      </c>
      <c r="L288" s="31" t="n">
        <v>46073.75</v>
      </c>
      <c r="M288" s="36" t="n">
        <v>0.7143360736336148</v>
      </c>
      <c r="N288" s="36" t="n">
        <v>0.7705882382791039</v>
      </c>
      <c r="O288" s="36" t="n">
        <v>-0.1692307692307692</v>
      </c>
      <c r="P288" s="36" t="n">
        <v>0.002320185614849146</v>
      </c>
      <c r="Q288" s="36" t="n">
        <v>-0.1377245508982036</v>
      </c>
      <c r="R288" s="36" t="n">
        <v>-0.1584278965567623</v>
      </c>
      <c r="S288" s="36" t="n">
        <v>-0.08823891517315374</v>
      </c>
      <c r="T288" s="36" t="n">
        <v>-0.06237282617542528</v>
      </c>
      <c r="U288" s="31" t="n">
        <v>61900</v>
      </c>
      <c r="V288" s="31" t="n">
        <v>39950</v>
      </c>
      <c r="W288" s="36" t="n">
        <v>-0.3021001615508885</v>
      </c>
      <c r="X288" s="36" t="n">
        <v>0.081351689612015</v>
      </c>
      <c r="Y288" s="31" t="n">
        <v>43617167</v>
      </c>
      <c r="Z288" s="31" t="n">
        <v>1884261614400</v>
      </c>
      <c r="AA288" s="31" t="n">
        <v>33763003200</v>
      </c>
      <c r="AB288" s="31" t="n">
        <v>33095676057.5</v>
      </c>
      <c r="AC288" s="36" t="n">
        <v>0.01791842647643759</v>
      </c>
      <c r="AD288" s="29" t="inlineStr">
        <is>
          <t>yfinance_download</t>
        </is>
      </c>
      <c r="AE288" s="29" t="inlineStr">
        <is>
          <t>000990.KS</t>
        </is>
      </c>
    </row>
    <row r="289" ht="24" customHeight="1">
      <c r="A289" s="24" t="inlineStr">
        <is>
          <t>2024-08-07</t>
        </is>
      </c>
      <c r="B289" s="30" t="n">
        <v>43050</v>
      </c>
      <c r="C289" s="30" t="n">
        <v>43500</v>
      </c>
      <c r="D289" s="30" t="n">
        <v>41150</v>
      </c>
      <c r="E289" s="30" t="n">
        <v>41300</v>
      </c>
      <c r="F289" s="30" t="n">
        <v>39803.34375</v>
      </c>
      <c r="G289" s="30" t="n">
        <v>862917</v>
      </c>
      <c r="H289" s="35" t="n">
        <v>-0.04398148148148151</v>
      </c>
      <c r="I289" s="35" t="n">
        <v>-0.5135453474676089</v>
      </c>
      <c r="J289" s="30" t="n">
        <v>50867.5</v>
      </c>
      <c r="K289" s="30" t="n">
        <v>47354.16666666666</v>
      </c>
      <c r="L289" s="30" t="n">
        <v>46004.58333333334</v>
      </c>
      <c r="M289" s="35" t="n">
        <v>0.7227782984374108</v>
      </c>
      <c r="N289" s="35" t="n">
        <v>0.7760491416629105</v>
      </c>
      <c r="O289" s="35" t="n">
        <v>-0.1837944664031621</v>
      </c>
      <c r="P289" s="35" t="n">
        <v>-0.03729603729603725</v>
      </c>
      <c r="Q289" s="35" t="n">
        <v>-0.1673387096774194</v>
      </c>
      <c r="R289" s="35" t="n">
        <v>-0.1880866958273947</v>
      </c>
      <c r="S289" s="35" t="n">
        <v>-0.1278486581610206</v>
      </c>
      <c r="T289" s="35" t="n">
        <v>-0.1022633614404362</v>
      </c>
      <c r="U289" s="30" t="n">
        <v>61900</v>
      </c>
      <c r="V289" s="30" t="n">
        <v>39950</v>
      </c>
      <c r="W289" s="35" t="n">
        <v>-0.3327948303715671</v>
      </c>
      <c r="X289" s="35" t="n">
        <v>0.03379224030037542</v>
      </c>
      <c r="Y289" s="30" t="n">
        <v>43617167</v>
      </c>
      <c r="Z289" s="30" t="n">
        <v>1801388997100</v>
      </c>
      <c r="AA289" s="30" t="n">
        <v>35638472100</v>
      </c>
      <c r="AB289" s="30" t="n">
        <v>33845023172.5</v>
      </c>
      <c r="AC289" s="35" t="n">
        <v>0.01978388463423129</v>
      </c>
      <c r="AD289" s="24" t="inlineStr">
        <is>
          <t>yfinance_download</t>
        </is>
      </c>
      <c r="AE289" s="24" t="inlineStr">
        <is>
          <t>000990.KS</t>
        </is>
      </c>
    </row>
    <row r="290" ht="24" customHeight="1">
      <c r="A290" s="29" t="inlineStr">
        <is>
          <t>2024-08-08</t>
        </is>
      </c>
      <c r="B290" s="31" t="n">
        <v>41100</v>
      </c>
      <c r="C290" s="31" t="n">
        <v>41800</v>
      </c>
      <c r="D290" s="31" t="n">
        <v>40300</v>
      </c>
      <c r="E290" s="31" t="n">
        <v>40750</v>
      </c>
      <c r="F290" s="31" t="n">
        <v>39273.2734375</v>
      </c>
      <c r="G290" s="31" t="n">
        <v>601171</v>
      </c>
      <c r="H290" s="36" t="n">
        <v>-0.01331719128329301</v>
      </c>
      <c r="I290" s="36" t="n">
        <v>-0.5200235571260305</v>
      </c>
      <c r="J290" s="31" t="n">
        <v>50370</v>
      </c>
      <c r="K290" s="31" t="n">
        <v>47320</v>
      </c>
      <c r="L290" s="31" t="n">
        <v>45937.5</v>
      </c>
      <c r="M290" s="36" t="n">
        <v>0.7217171544213021</v>
      </c>
      <c r="N290" s="36" t="n">
        <v>0.7765463594154886</v>
      </c>
      <c r="O290" s="36" t="n">
        <v>-0.1962524654832347</v>
      </c>
      <c r="P290" s="36" t="n">
        <v>-0.04789719626168221</v>
      </c>
      <c r="Q290" s="36" t="n">
        <v>-0.1649590163934426</v>
      </c>
      <c r="R290" s="36" t="n">
        <v>-0.1909866984316061</v>
      </c>
      <c r="S290" s="36" t="n">
        <v>-0.1388419273034658</v>
      </c>
      <c r="T290" s="36" t="n">
        <v>-0.1129251700680272</v>
      </c>
      <c r="U290" s="31" t="n">
        <v>61900</v>
      </c>
      <c r="V290" s="31" t="n">
        <v>39950</v>
      </c>
      <c r="W290" s="36" t="n">
        <v>-0.3416801292407108</v>
      </c>
      <c r="X290" s="36" t="n">
        <v>0.02002503128911148</v>
      </c>
      <c r="Y290" s="31" t="n">
        <v>43617167</v>
      </c>
      <c r="Z290" s="31" t="n">
        <v>1777399555250</v>
      </c>
      <c r="AA290" s="31" t="n">
        <v>24497718250</v>
      </c>
      <c r="AB290" s="31" t="n">
        <v>34007581845</v>
      </c>
      <c r="AC290" s="36" t="n">
        <v>0.01378289882971996</v>
      </c>
      <c r="AD290" s="29" t="inlineStr">
        <is>
          <t>yfinance_download</t>
        </is>
      </c>
      <c r="AE290" s="29" t="inlineStr">
        <is>
          <t>000990.KS</t>
        </is>
      </c>
    </row>
    <row r="291" ht="24" customHeight="1">
      <c r="A291" s="24" t="inlineStr">
        <is>
          <t>2024-08-09</t>
        </is>
      </c>
      <c r="B291" s="30" t="n">
        <v>42400</v>
      </c>
      <c r="C291" s="30" t="n">
        <v>43000</v>
      </c>
      <c r="D291" s="30" t="n">
        <v>41600</v>
      </c>
      <c r="E291" s="30" t="n">
        <v>41950</v>
      </c>
      <c r="F291" s="30" t="n">
        <v>40429.7890625</v>
      </c>
      <c r="G291" s="30" t="n">
        <v>496335</v>
      </c>
      <c r="H291" s="35" t="n">
        <v>0.02944785276073625</v>
      </c>
      <c r="I291" s="35" t="n">
        <v>-0.5058892815076561</v>
      </c>
      <c r="J291" s="30" t="n">
        <v>49952.5</v>
      </c>
      <c r="K291" s="30" t="n">
        <v>47300</v>
      </c>
      <c r="L291" s="30" t="n">
        <v>45880</v>
      </c>
      <c r="M291" s="35" t="n">
        <v>0.7350946343506904</v>
      </c>
      <c r="N291" s="35" t="n">
        <v>0.7786873110711189</v>
      </c>
      <c r="O291" s="35" t="n">
        <v>-0.1660039761431411</v>
      </c>
      <c r="P291" s="35" t="n">
        <v>-0.02780996523754342</v>
      </c>
      <c r="Q291" s="35" t="n">
        <v>-0.1412487205731832</v>
      </c>
      <c r="R291" s="35" t="n">
        <v>-0.1602021920824783</v>
      </c>
      <c r="S291" s="35" t="n">
        <v>-0.1131078224101479</v>
      </c>
      <c r="T291" s="35" t="n">
        <v>-0.08565823888404533</v>
      </c>
      <c r="U291" s="30" t="n">
        <v>61900</v>
      </c>
      <c r="V291" s="30" t="n">
        <v>39950</v>
      </c>
      <c r="W291" s="35" t="n">
        <v>-0.3222940226171244</v>
      </c>
      <c r="X291" s="35" t="n">
        <v>0.05006257822277838</v>
      </c>
      <c r="Y291" s="30" t="n">
        <v>43617167</v>
      </c>
      <c r="Z291" s="30" t="n">
        <v>1829740155650</v>
      </c>
      <c r="AA291" s="30" t="n">
        <v>20821253250</v>
      </c>
      <c r="AB291" s="30" t="n">
        <v>33897051157.5</v>
      </c>
      <c r="AC291" s="35" t="n">
        <v>0.01137934978674796</v>
      </c>
      <c r="AD291" s="24" t="inlineStr">
        <is>
          <t>yfinance_download</t>
        </is>
      </c>
      <c r="AE291" s="24" t="inlineStr">
        <is>
          <t>000990.KS</t>
        </is>
      </c>
    </row>
    <row r="292" ht="24" customHeight="1">
      <c r="A292" s="29" t="inlineStr">
        <is>
          <t>2024-08-12</t>
        </is>
      </c>
      <c r="B292" s="31" t="n">
        <v>41750</v>
      </c>
      <c r="C292" s="31" t="n">
        <v>44400</v>
      </c>
      <c r="D292" s="31" t="n">
        <v>41750</v>
      </c>
      <c r="E292" s="31" t="n">
        <v>43800</v>
      </c>
      <c r="F292" s="31" t="n">
        <v>42212.74609375</v>
      </c>
      <c r="G292" s="31" t="n">
        <v>508714</v>
      </c>
      <c r="H292" s="36" t="n">
        <v>0.0441001191895114</v>
      </c>
      <c r="I292" s="36" t="n">
        <v>-0.4840989399293286</v>
      </c>
      <c r="J292" s="31" t="n">
        <v>49532.5</v>
      </c>
      <c r="K292" s="31" t="n">
        <v>47325.83333333334</v>
      </c>
      <c r="L292" s="31" t="n">
        <v>45830.41666666666</v>
      </c>
      <c r="M292" s="36" t="n">
        <v>0.7406378509963032</v>
      </c>
      <c r="N292" s="36" t="n">
        <v>0.7823894883878786</v>
      </c>
      <c r="O292" s="36" t="n">
        <v>-0.1609195402298851</v>
      </c>
      <c r="P292" s="36" t="n">
        <v>0.0366863905325443</v>
      </c>
      <c r="Q292" s="36" t="n">
        <v>-0.1195979899497488</v>
      </c>
      <c r="R292" s="36" t="n">
        <v>-0.1157320950890829</v>
      </c>
      <c r="S292" s="36" t="n">
        <v>-0.07450124139388292</v>
      </c>
      <c r="T292" s="36" t="n">
        <v>-0.04430281927031721</v>
      </c>
      <c r="U292" s="31" t="n">
        <v>61900</v>
      </c>
      <c r="V292" s="31" t="n">
        <v>39950</v>
      </c>
      <c r="W292" s="36" t="n">
        <v>-0.2924071082390953</v>
      </c>
      <c r="X292" s="36" t="n">
        <v>0.09637046307884867</v>
      </c>
      <c r="Y292" s="31" t="n">
        <v>43617167</v>
      </c>
      <c r="Z292" s="31" t="n">
        <v>1910431914600</v>
      </c>
      <c r="AA292" s="31" t="n">
        <v>22281673200</v>
      </c>
      <c r="AB292" s="31" t="n">
        <v>33491167387.5</v>
      </c>
      <c r="AC292" s="36" t="n">
        <v>0.01166316005805696</v>
      </c>
      <c r="AD292" s="29" t="inlineStr">
        <is>
          <t>yfinance_download</t>
        </is>
      </c>
      <c r="AE292" s="29" t="inlineStr">
        <is>
          <t>000990.KS</t>
        </is>
      </c>
    </row>
    <row r="293" ht="24" customHeight="1">
      <c r="A293" s="24" t="inlineStr">
        <is>
          <t>2024-08-13</t>
        </is>
      </c>
      <c r="B293" s="30" t="n">
        <v>44000</v>
      </c>
      <c r="C293" s="30" t="n">
        <v>44100</v>
      </c>
      <c r="D293" s="30" t="n">
        <v>42550</v>
      </c>
      <c r="E293" s="30" t="n">
        <v>43150</v>
      </c>
      <c r="F293" s="30" t="n">
        <v>41586.30078125</v>
      </c>
      <c r="G293" s="30" t="n">
        <v>287730</v>
      </c>
      <c r="H293" s="35" t="n">
        <v>-0.01484018264840181</v>
      </c>
      <c r="I293" s="35" t="n">
        <v>-0.4917550058892816</v>
      </c>
      <c r="J293" s="30" t="n">
        <v>49060</v>
      </c>
      <c r="K293" s="30" t="n">
        <v>47346.66666666666</v>
      </c>
      <c r="L293" s="30" t="n">
        <v>45778.33333333334</v>
      </c>
      <c r="M293" s="35" t="n">
        <v>0.7387729855834575</v>
      </c>
      <c r="N293" s="35" t="n">
        <v>0.7828637475509901</v>
      </c>
      <c r="O293" s="35" t="n">
        <v>-0.1796577946768061</v>
      </c>
      <c r="P293" s="35" t="n">
        <v>0.02983293556085909</v>
      </c>
      <c r="Q293" s="35" t="n">
        <v>-0.1265182186234818</v>
      </c>
      <c r="R293" s="35" t="n">
        <v>-0.1204647370566653</v>
      </c>
      <c r="S293" s="35" t="n">
        <v>-0.08863700366094052</v>
      </c>
      <c r="T293" s="35" t="n">
        <v>-0.0574143517675757</v>
      </c>
      <c r="U293" s="30" t="n">
        <v>61900</v>
      </c>
      <c r="V293" s="30" t="n">
        <v>39950</v>
      </c>
      <c r="W293" s="35" t="n">
        <v>-0.3029079159935379</v>
      </c>
      <c r="X293" s="35" t="n">
        <v>0.08010012515644549</v>
      </c>
      <c r="Y293" s="30" t="n">
        <v>43617167</v>
      </c>
      <c r="Z293" s="30" t="n">
        <v>1882080756050</v>
      </c>
      <c r="AA293" s="30" t="n">
        <v>12415549500</v>
      </c>
      <c r="AB293" s="30" t="n">
        <v>32741304582.5</v>
      </c>
      <c r="AC293" s="35" t="n">
        <v>0.006596714545903451</v>
      </c>
      <c r="AD293" s="24" t="inlineStr">
        <is>
          <t>yfinance_download</t>
        </is>
      </c>
      <c r="AE293" s="24" t="inlineStr">
        <is>
          <t>000990.KS</t>
        </is>
      </c>
    </row>
    <row r="294" ht="24" customHeight="1">
      <c r="A294" s="29" t="inlineStr">
        <is>
          <t>2024-08-14</t>
        </is>
      </c>
      <c r="B294" s="31" t="n">
        <v>44000</v>
      </c>
      <c r="C294" s="31" t="n">
        <v>44100</v>
      </c>
      <c r="D294" s="31" t="n">
        <v>42000</v>
      </c>
      <c r="E294" s="31" t="n">
        <v>42550</v>
      </c>
      <c r="F294" s="31" t="n">
        <v>41008.046875</v>
      </c>
      <c r="G294" s="31" t="n">
        <v>515995</v>
      </c>
      <c r="H294" s="36" t="n">
        <v>-0.01390498261877171</v>
      </c>
      <c r="I294" s="36" t="n">
        <v>-0.4988221436984688</v>
      </c>
      <c r="J294" s="31" t="n">
        <v>48512.5</v>
      </c>
      <c r="K294" s="31" t="n">
        <v>47358.33333333334</v>
      </c>
      <c r="L294" s="31" t="n">
        <v>45720.41666666666</v>
      </c>
      <c r="M294" s="36" t="n">
        <v>0.7325375388699137</v>
      </c>
      <c r="N294" s="36" t="n">
        <v>0.7834933060978937</v>
      </c>
      <c r="O294" s="36" t="n">
        <v>-0.2046728971962617</v>
      </c>
      <c r="P294" s="36" t="n">
        <v>0.01672640382317803</v>
      </c>
      <c r="Q294" s="36" t="n">
        <v>-0.1404040404040404</v>
      </c>
      <c r="R294" s="36" t="n">
        <v>-0.1229064674053079</v>
      </c>
      <c r="S294" s="36" t="n">
        <v>-0.1015308815766321</v>
      </c>
      <c r="T294" s="36" t="n">
        <v>-0.06934356460006008</v>
      </c>
      <c r="U294" s="31" t="n">
        <v>61900</v>
      </c>
      <c r="V294" s="31" t="n">
        <v>39950</v>
      </c>
      <c r="W294" s="36" t="n">
        <v>-0.3126009693053312</v>
      </c>
      <c r="X294" s="36" t="n">
        <v>0.06508135168961204</v>
      </c>
      <c r="Y294" s="31" t="n">
        <v>43617167</v>
      </c>
      <c r="Z294" s="31" t="n">
        <v>1855910455850</v>
      </c>
      <c r="AA294" s="31" t="n">
        <v>21955587250</v>
      </c>
      <c r="AB294" s="31" t="n">
        <v>29134162870</v>
      </c>
      <c r="AC294" s="36" t="n">
        <v>0.01183008974425139</v>
      </c>
      <c r="AD294" s="29" t="inlineStr">
        <is>
          <t>yfinance_download</t>
        </is>
      </c>
      <c r="AE294" s="29" t="inlineStr">
        <is>
          <t>000990.KS</t>
        </is>
      </c>
    </row>
    <row r="295" ht="24" customHeight="1">
      <c r="A295" s="24" t="inlineStr">
        <is>
          <t>2024-08-16</t>
        </is>
      </c>
      <c r="B295" s="30" t="n">
        <v>43500</v>
      </c>
      <c r="C295" s="30" t="n">
        <v>43700</v>
      </c>
      <c r="D295" s="30" t="n">
        <v>42450</v>
      </c>
      <c r="E295" s="30" t="n">
        <v>43600</v>
      </c>
      <c r="F295" s="30" t="n">
        <v>42019.99609375</v>
      </c>
      <c r="G295" s="30" t="n">
        <v>543252</v>
      </c>
      <c r="H295" s="35" t="n">
        <v>0.02467685076380732</v>
      </c>
      <c r="I295" s="35" t="n">
        <v>-0.4864546525323911</v>
      </c>
      <c r="J295" s="30" t="n">
        <v>47997.5</v>
      </c>
      <c r="K295" s="30" t="n">
        <v>47353.33333333334</v>
      </c>
      <c r="L295" s="30" t="n">
        <v>45672.5</v>
      </c>
      <c r="M295" s="35" t="n">
        <v>0.7405812323772749</v>
      </c>
      <c r="N295" s="35" t="n">
        <v>0.7787606466769091</v>
      </c>
      <c r="O295" s="35" t="n">
        <v>-0.1910946196660482</v>
      </c>
      <c r="P295" s="35" t="n">
        <v>-0.006833712984054663</v>
      </c>
      <c r="Q295" s="35" t="n">
        <v>-0.1165146909827761</v>
      </c>
      <c r="R295" s="35" t="n">
        <v>-0.09161935517474873</v>
      </c>
      <c r="S295" s="35" t="n">
        <v>-0.07926228354216536</v>
      </c>
      <c r="T295" s="35" t="n">
        <v>-0.0453774152936669</v>
      </c>
      <c r="U295" s="30" t="n">
        <v>61900</v>
      </c>
      <c r="V295" s="30" t="n">
        <v>39950</v>
      </c>
      <c r="W295" s="35" t="n">
        <v>-0.2956381260096931</v>
      </c>
      <c r="X295" s="35" t="n">
        <v>0.09136420525657063</v>
      </c>
      <c r="Y295" s="30" t="n">
        <v>43617167</v>
      </c>
      <c r="Z295" s="30" t="n">
        <v>1901708481200</v>
      </c>
      <c r="AA295" s="30" t="n">
        <v>23685787200</v>
      </c>
      <c r="AB295" s="30" t="n">
        <v>28741737090</v>
      </c>
      <c r="AC295" s="35" t="n">
        <v>0.01245500424179314</v>
      </c>
      <c r="AD295" s="24" t="inlineStr">
        <is>
          <t>yfinance_download</t>
        </is>
      </c>
      <c r="AE295" s="24" t="inlineStr">
        <is>
          <t>000990.KS</t>
        </is>
      </c>
    </row>
    <row r="296" ht="24" customHeight="1">
      <c r="A296" s="29" t="inlineStr">
        <is>
          <t>2024-08-19</t>
        </is>
      </c>
      <c r="B296" s="31" t="n">
        <v>43700</v>
      </c>
      <c r="C296" s="31" t="n">
        <v>43750</v>
      </c>
      <c r="D296" s="31" t="n">
        <v>42400</v>
      </c>
      <c r="E296" s="31" t="n">
        <v>42650</v>
      </c>
      <c r="F296" s="31" t="n">
        <v>41104.421875</v>
      </c>
      <c r="G296" s="31" t="n">
        <v>280644</v>
      </c>
      <c r="H296" s="36" t="n">
        <v>-0.02178899082568808</v>
      </c>
      <c r="I296" s="36" t="n">
        <v>-0.4976442873969376</v>
      </c>
      <c r="J296" s="31" t="n">
        <v>47380</v>
      </c>
      <c r="K296" s="31" t="n">
        <v>47319.16666666666</v>
      </c>
      <c r="L296" s="31" t="n">
        <v>45616.66666666666</v>
      </c>
      <c r="M296" s="36" t="n">
        <v>0.7331161536901687</v>
      </c>
      <c r="N296" s="36" t="n">
        <v>0.779302609498275</v>
      </c>
      <c r="O296" s="36" t="n">
        <v>-0.2245454545454545</v>
      </c>
      <c r="P296" s="36" t="n">
        <v>-0.04586129753914991</v>
      </c>
      <c r="Q296" s="36" t="n">
        <v>-0.1357649442755826</v>
      </c>
      <c r="R296" s="36" t="n">
        <v>-0.09983115238497253</v>
      </c>
      <c r="S296" s="36" t="n">
        <v>-0.09867389887818534</v>
      </c>
      <c r="T296" s="36" t="n">
        <v>-0.06503470953598822</v>
      </c>
      <c r="U296" s="31" t="n">
        <v>61900</v>
      </c>
      <c r="V296" s="31" t="n">
        <v>39950</v>
      </c>
      <c r="W296" s="36" t="n">
        <v>-0.3109854604200323</v>
      </c>
      <c r="X296" s="36" t="n">
        <v>0.06758448060075084</v>
      </c>
      <c r="Y296" s="31" t="n">
        <v>43617167</v>
      </c>
      <c r="Z296" s="31" t="n">
        <v>1860272172550</v>
      </c>
      <c r="AA296" s="31" t="n">
        <v>11969466600</v>
      </c>
      <c r="AB296" s="31" t="n">
        <v>26932508420</v>
      </c>
      <c r="AC296" s="36" t="n">
        <v>0.006434255576479784</v>
      </c>
      <c r="AD296" s="29" t="inlineStr">
        <is>
          <t>yfinance_download</t>
        </is>
      </c>
      <c r="AE296" s="29" t="inlineStr">
        <is>
          <t>000990.KS</t>
        </is>
      </c>
    </row>
    <row r="297" ht="24" customHeight="1">
      <c r="A297" s="24" t="inlineStr">
        <is>
          <t>2024-08-20</t>
        </is>
      </c>
      <c r="B297" s="30" t="n">
        <v>43100</v>
      </c>
      <c r="C297" s="30" t="n">
        <v>43850</v>
      </c>
      <c r="D297" s="30" t="n">
        <v>42350</v>
      </c>
      <c r="E297" s="30" t="n">
        <v>42400</v>
      </c>
      <c r="F297" s="30" t="n">
        <v>40863.48046875</v>
      </c>
      <c r="G297" s="30" t="n">
        <v>479142</v>
      </c>
      <c r="H297" s="35" t="n">
        <v>-0.005861664712778381</v>
      </c>
      <c r="I297" s="35" t="n">
        <v>-0.5005889281507656</v>
      </c>
      <c r="J297" s="30" t="n">
        <v>46815</v>
      </c>
      <c r="K297" s="30" t="n">
        <v>47314.16666666666</v>
      </c>
      <c r="L297" s="30" t="n">
        <v>45563.75</v>
      </c>
      <c r="M297" s="35" t="n">
        <v>0.7319512569446344</v>
      </c>
      <c r="N297" s="35" t="n">
        <v>0.7737464197146339</v>
      </c>
      <c r="O297" s="35" t="n">
        <v>-0.2104283054003724</v>
      </c>
      <c r="P297" s="35" t="n">
        <v>-0.007025761124121788</v>
      </c>
      <c r="Q297" s="35" t="n">
        <v>-0.1302564102564102</v>
      </c>
      <c r="R297" s="35" t="n">
        <v>-0.0943073801132116</v>
      </c>
      <c r="S297" s="35" t="n">
        <v>-0.1038624795251598</v>
      </c>
      <c r="T297" s="35" t="n">
        <v>-0.06943568077693341</v>
      </c>
      <c r="U297" s="30" t="n">
        <v>61900</v>
      </c>
      <c r="V297" s="30" t="n">
        <v>39950</v>
      </c>
      <c r="W297" s="35" t="n">
        <v>-0.3150242326332795</v>
      </c>
      <c r="X297" s="35" t="n">
        <v>0.06132665832290374</v>
      </c>
      <c r="Y297" s="30" t="n">
        <v>43617167</v>
      </c>
      <c r="Z297" s="30" t="n">
        <v>1849367880800</v>
      </c>
      <c r="AA297" s="30" t="n">
        <v>20315620800</v>
      </c>
      <c r="AB297" s="30" t="n">
        <v>26042454980</v>
      </c>
      <c r="AC297" s="35" t="n">
        <v>0.01098517012808283</v>
      </c>
      <c r="AD297" s="24" t="inlineStr">
        <is>
          <t>yfinance_download</t>
        </is>
      </c>
      <c r="AE297" s="24" t="inlineStr">
        <is>
          <t>000990.KS</t>
        </is>
      </c>
    </row>
    <row r="298" ht="24" customHeight="1">
      <c r="A298" s="29" t="inlineStr">
        <is>
          <t>2024-08-21</t>
        </is>
      </c>
      <c r="B298" s="31" t="n">
        <v>42350</v>
      </c>
      <c r="C298" s="31" t="n">
        <v>42850</v>
      </c>
      <c r="D298" s="31" t="n">
        <v>42000</v>
      </c>
      <c r="E298" s="31" t="n">
        <v>42500</v>
      </c>
      <c r="F298" s="31" t="n">
        <v>40959.85546875</v>
      </c>
      <c r="G298" s="31" t="n">
        <v>266358</v>
      </c>
      <c r="H298" s="36" t="n">
        <v>0.002358490566037652</v>
      </c>
      <c r="I298" s="36" t="n">
        <v>-0.4994110718492344</v>
      </c>
      <c r="J298" s="31" t="n">
        <v>46305</v>
      </c>
      <c r="K298" s="31" t="n">
        <v>47336.66666666666</v>
      </c>
      <c r="L298" s="31" t="n">
        <v>45517.91666666666</v>
      </c>
      <c r="M298" s="36" t="n">
        <v>0.7327221243189731</v>
      </c>
      <c r="N298" s="36" t="n">
        <v>0.7698323906112426</v>
      </c>
      <c r="O298" s="36" t="n">
        <v>-0.1935483870967742</v>
      </c>
      <c r="P298" s="36" t="n">
        <v>0.03280680437424066</v>
      </c>
      <c r="Q298" s="36" t="n">
        <v>-0.1145833333333334</v>
      </c>
      <c r="R298" s="36" t="n">
        <v>-0.08217255156030667</v>
      </c>
      <c r="S298" s="36" t="n">
        <v>-0.102175903105415</v>
      </c>
      <c r="T298" s="36" t="n">
        <v>-0.06630173100335945</v>
      </c>
      <c r="U298" s="31" t="n">
        <v>61900</v>
      </c>
      <c r="V298" s="31" t="n">
        <v>39950</v>
      </c>
      <c r="W298" s="36" t="n">
        <v>-0.3134087237479806</v>
      </c>
      <c r="X298" s="36" t="n">
        <v>0.06382978723404253</v>
      </c>
      <c r="Y298" s="31" t="n">
        <v>43617167</v>
      </c>
      <c r="Z298" s="31" t="n">
        <v>1853729597500</v>
      </c>
      <c r="AA298" s="31" t="n">
        <v>11320215000</v>
      </c>
      <c r="AB298" s="31" t="n">
        <v>25347515465</v>
      </c>
      <c r="AC298" s="36" t="n">
        <v>0.006106723987828004</v>
      </c>
      <c r="AD298" s="29" t="inlineStr">
        <is>
          <t>yfinance_download</t>
        </is>
      </c>
      <c r="AE298" s="29" t="inlineStr">
        <is>
          <t>000990.KS</t>
        </is>
      </c>
    </row>
    <row r="299" ht="24" customHeight="1">
      <c r="A299" s="24" t="inlineStr">
        <is>
          <t>2024-08-22</t>
        </is>
      </c>
      <c r="B299" s="30" t="n">
        <v>42850</v>
      </c>
      <c r="C299" s="30" t="n">
        <v>42850</v>
      </c>
      <c r="D299" s="30" t="n">
        <v>41700</v>
      </c>
      <c r="E299" s="30" t="n">
        <v>41850</v>
      </c>
      <c r="F299" s="30" t="n">
        <v>40333.4140625</v>
      </c>
      <c r="G299" s="30" t="n">
        <v>236878</v>
      </c>
      <c r="H299" s="35" t="n">
        <v>-0.01529411764705879</v>
      </c>
      <c r="I299" s="35" t="n">
        <v>-0.5070671378091873</v>
      </c>
      <c r="J299" s="30" t="n">
        <v>45777.5</v>
      </c>
      <c r="K299" s="30" t="n">
        <v>47353.33333333334</v>
      </c>
      <c r="L299" s="30" t="n">
        <v>45470.83333333334</v>
      </c>
      <c r="M299" s="35" t="n">
        <v>0.7328294098028288</v>
      </c>
      <c r="N299" s="35" t="n">
        <v>0.7704037784983122</v>
      </c>
      <c r="O299" s="35" t="n">
        <v>-0.2013358778625954</v>
      </c>
      <c r="P299" s="35" t="n">
        <v>0.02447980416156681</v>
      </c>
      <c r="Q299" s="35" t="n">
        <v>-0.1189473684210526</v>
      </c>
      <c r="R299" s="35" t="n">
        <v>-0.0857954235159194</v>
      </c>
      <c r="S299" s="35" t="n">
        <v>-0.1162184992256793</v>
      </c>
      <c r="T299" s="35" t="n">
        <v>-0.07962979932190972</v>
      </c>
      <c r="U299" s="30" t="n">
        <v>61900</v>
      </c>
      <c r="V299" s="30" t="n">
        <v>39950</v>
      </c>
      <c r="W299" s="35" t="n">
        <v>-0.3239095315024233</v>
      </c>
      <c r="X299" s="35" t="n">
        <v>0.04755944931163958</v>
      </c>
      <c r="Y299" s="30" t="n">
        <v>43617167</v>
      </c>
      <c r="Z299" s="30" t="n">
        <v>1825378438950</v>
      </c>
      <c r="AA299" s="30" t="n">
        <v>9913344300</v>
      </c>
      <c r="AB299" s="30" t="n">
        <v>24773606980</v>
      </c>
      <c r="AC299" s="35" t="n">
        <v>0.005430843319099565</v>
      </c>
      <c r="AD299" s="24" t="inlineStr">
        <is>
          <t>yfinance_download</t>
        </is>
      </c>
      <c r="AE299" s="24" t="inlineStr">
        <is>
          <t>000990.KS</t>
        </is>
      </c>
    </row>
    <row r="300" ht="24" customHeight="1">
      <c r="A300" s="29" t="inlineStr">
        <is>
          <t>2024-08-23</t>
        </is>
      </c>
      <c r="B300" s="31" t="n">
        <v>41350</v>
      </c>
      <c r="C300" s="31" t="n">
        <v>41550</v>
      </c>
      <c r="D300" s="31" t="n">
        <v>40750</v>
      </c>
      <c r="E300" s="31" t="n">
        <v>41100</v>
      </c>
      <c r="F300" s="31" t="n">
        <v>39610.59375</v>
      </c>
      <c r="G300" s="31" t="n">
        <v>246417</v>
      </c>
      <c r="H300" s="36" t="n">
        <v>-0.01792114695340496</v>
      </c>
      <c r="I300" s="36" t="n">
        <v>-0.5159010600706714</v>
      </c>
      <c r="J300" s="31" t="n">
        <v>45292.5</v>
      </c>
      <c r="K300" s="31" t="n">
        <v>47364.16666666666</v>
      </c>
      <c r="L300" s="31" t="n">
        <v>45420</v>
      </c>
      <c r="M300" s="36" t="n">
        <v>0.7295285626818081</v>
      </c>
      <c r="N300" s="36" t="n">
        <v>0.771093113396505</v>
      </c>
      <c r="O300" s="36" t="n">
        <v>-0.1909448818897638</v>
      </c>
      <c r="P300" s="36" t="n">
        <v>0.01606922126081578</v>
      </c>
      <c r="Q300" s="36" t="n">
        <v>-0.1292372881355932</v>
      </c>
      <c r="R300" s="36" t="n">
        <v>-0.0925649942043385</v>
      </c>
      <c r="S300" s="36" t="n">
        <v>-0.1322553970125094</v>
      </c>
      <c r="T300" s="36" t="n">
        <v>-0.09511228533685601</v>
      </c>
      <c r="U300" s="31" t="n">
        <v>61900</v>
      </c>
      <c r="V300" s="31" t="n">
        <v>39950</v>
      </c>
      <c r="W300" s="36" t="n">
        <v>-0.3360258481421647</v>
      </c>
      <c r="X300" s="36" t="n">
        <v>0.0287859824780976</v>
      </c>
      <c r="Y300" s="31" t="n">
        <v>43617167</v>
      </c>
      <c r="Z300" s="31" t="n">
        <v>1792665563700</v>
      </c>
      <c r="AA300" s="31" t="n">
        <v>10127738700</v>
      </c>
      <c r="AB300" s="31" t="n">
        <v>24110562675</v>
      </c>
      <c r="AC300" s="36" t="n">
        <v>0.005649541612824143</v>
      </c>
      <c r="AD300" s="29" t="inlineStr">
        <is>
          <t>yfinance_download</t>
        </is>
      </c>
      <c r="AE300" s="29" t="inlineStr">
        <is>
          <t>000990.KS</t>
        </is>
      </c>
    </row>
    <row r="301" ht="24" customHeight="1">
      <c r="A301" s="24" t="inlineStr">
        <is>
          <t>2024-08-26</t>
        </is>
      </c>
      <c r="B301" s="30" t="n">
        <v>41500</v>
      </c>
      <c r="C301" s="30" t="n">
        <v>41500</v>
      </c>
      <c r="D301" s="30" t="n">
        <v>40200</v>
      </c>
      <c r="E301" s="30" t="n">
        <v>40350</v>
      </c>
      <c r="F301" s="30" t="n">
        <v>38887.7734375</v>
      </c>
      <c r="G301" s="30" t="n">
        <v>262373</v>
      </c>
      <c r="H301" s="35" t="n">
        <v>-0.01824817518248179</v>
      </c>
      <c r="I301" s="35" t="n">
        <v>-0.5247349823321554</v>
      </c>
      <c r="J301" s="30" t="n">
        <v>44675</v>
      </c>
      <c r="K301" s="30" t="n">
        <v>47370.83333333334</v>
      </c>
      <c r="L301" s="30" t="n">
        <v>45369.58333333334</v>
      </c>
      <c r="M301" s="35" t="n">
        <v>0.7085330309785823</v>
      </c>
      <c r="N301" s="35" t="n">
        <v>0.771635331543913</v>
      </c>
      <c r="O301" s="35" t="n">
        <v>-0.2343453510436433</v>
      </c>
      <c r="P301" s="35" t="n">
        <v>0.01001251564455563</v>
      </c>
      <c r="Q301" s="35" t="n">
        <v>-0.1303879310344828</v>
      </c>
      <c r="R301" s="35" t="n">
        <v>-0.09681029658645779</v>
      </c>
      <c r="S301" s="35" t="n">
        <v>-0.1482100448588267</v>
      </c>
      <c r="T301" s="35" t="n">
        <v>-0.1106376335099691</v>
      </c>
      <c r="U301" s="30" t="n">
        <v>61900</v>
      </c>
      <c r="V301" s="30" t="n">
        <v>39950</v>
      </c>
      <c r="W301" s="35" t="n">
        <v>-0.3481421647819063</v>
      </c>
      <c r="X301" s="35" t="n">
        <v>0.01001251564455563</v>
      </c>
      <c r="Y301" s="30" t="n">
        <v>43617167</v>
      </c>
      <c r="Z301" s="30" t="n">
        <v>1759952688450</v>
      </c>
      <c r="AA301" s="30" t="n">
        <v>10586750550</v>
      </c>
      <c r="AB301" s="30" t="n">
        <v>23717162727.5</v>
      </c>
      <c r="AC301" s="35" t="n">
        <v>0.006015360878435777</v>
      </c>
      <c r="AD301" s="24" t="inlineStr">
        <is>
          <t>yfinance_download</t>
        </is>
      </c>
      <c r="AE301" s="24" t="inlineStr">
        <is>
          <t>000990.KS</t>
        </is>
      </c>
    </row>
    <row r="302" ht="24" customHeight="1">
      <c r="A302" s="29" t="inlineStr">
        <is>
          <t>2024-08-27</t>
        </is>
      </c>
      <c r="B302" s="31" t="n">
        <v>40050</v>
      </c>
      <c r="C302" s="31" t="n">
        <v>40850</v>
      </c>
      <c r="D302" s="31" t="n">
        <v>40050</v>
      </c>
      <c r="E302" s="31" t="n">
        <v>40450</v>
      </c>
      <c r="F302" s="31" t="n">
        <v>38984.14453125</v>
      </c>
      <c r="G302" s="31" t="n">
        <v>204926</v>
      </c>
      <c r="H302" s="36" t="n">
        <v>0.002478314745972821</v>
      </c>
      <c r="I302" s="36" t="n">
        <v>-0.5235571260306242</v>
      </c>
      <c r="J302" s="31" t="n">
        <v>44132.5</v>
      </c>
      <c r="K302" s="31" t="n">
        <v>47369.16666666666</v>
      </c>
      <c r="L302" s="31" t="n">
        <v>45307.08333333334</v>
      </c>
      <c r="M302" s="36" t="n">
        <v>0.70826016909852</v>
      </c>
      <c r="N302" s="36" t="n">
        <v>0.7711094385242808</v>
      </c>
      <c r="O302" s="36" t="n">
        <v>-0.2115009746588694</v>
      </c>
      <c r="P302" s="36" t="n">
        <v>-0.002466091245376112</v>
      </c>
      <c r="Q302" s="36" t="n">
        <v>-0.1564129301355579</v>
      </c>
      <c r="R302" s="36" t="n">
        <v>-0.08344190789101003</v>
      </c>
      <c r="S302" s="36" t="n">
        <v>-0.1460689970620832</v>
      </c>
      <c r="T302" s="36" t="n">
        <v>-0.1072036197430498</v>
      </c>
      <c r="U302" s="31" t="n">
        <v>61900</v>
      </c>
      <c r="V302" s="31" t="n">
        <v>39950</v>
      </c>
      <c r="W302" s="36" t="n">
        <v>-0.3465266558966075</v>
      </c>
      <c r="X302" s="36" t="n">
        <v>0.01251564455569465</v>
      </c>
      <c r="Y302" s="31" t="n">
        <v>43617167</v>
      </c>
      <c r="Z302" s="31" t="n">
        <v>1764314405150</v>
      </c>
      <c r="AA302" s="31" t="n">
        <v>8289256700</v>
      </c>
      <c r="AB302" s="31" t="n">
        <v>23196108502.5</v>
      </c>
      <c r="AC302" s="36" t="n">
        <v>0.004698287717769474</v>
      </c>
      <c r="AD302" s="29" t="inlineStr">
        <is>
          <t>yfinance_download</t>
        </is>
      </c>
      <c r="AE302" s="29" t="inlineStr">
        <is>
          <t>000990.KS</t>
        </is>
      </c>
    </row>
    <row r="303" ht="24" customHeight="1">
      <c r="A303" s="24" t="inlineStr">
        <is>
          <t>2024-08-28</t>
        </is>
      </c>
      <c r="B303" s="30" t="n">
        <v>40500</v>
      </c>
      <c r="C303" s="30" t="n">
        <v>41750</v>
      </c>
      <c r="D303" s="30" t="n">
        <v>40250</v>
      </c>
      <c r="E303" s="30" t="n">
        <v>41650</v>
      </c>
      <c r="F303" s="30" t="n">
        <v>40140.66015625</v>
      </c>
      <c r="G303" s="30" t="n">
        <v>329110</v>
      </c>
      <c r="H303" s="35" t="n">
        <v>0.02966625463535233</v>
      </c>
      <c r="I303" s="35" t="n">
        <v>-0.5094228504122498</v>
      </c>
      <c r="J303" s="30" t="n">
        <v>43650</v>
      </c>
      <c r="K303" s="30" t="n">
        <v>47369.16666666666</v>
      </c>
      <c r="L303" s="30" t="n">
        <v>45265.83333333334</v>
      </c>
      <c r="M303" s="35" t="n">
        <v>0.7219645577316729</v>
      </c>
      <c r="N303" s="35" t="n">
        <v>0.7714933860510491</v>
      </c>
      <c r="O303" s="35" t="n">
        <v>-0.1881091617933723</v>
      </c>
      <c r="P303" s="35" t="n">
        <v>0</v>
      </c>
      <c r="Q303" s="35" t="n">
        <v>-0.1062231759656652</v>
      </c>
      <c r="R303" s="35" t="n">
        <v>-0.04581901489117979</v>
      </c>
      <c r="S303" s="35" t="n">
        <v>-0.1207360624879052</v>
      </c>
      <c r="T303" s="35" t="n">
        <v>-0.07987996833520505</v>
      </c>
      <c r="U303" s="30" t="n">
        <v>61900</v>
      </c>
      <c r="V303" s="30" t="n">
        <v>39950</v>
      </c>
      <c r="W303" s="35" t="n">
        <v>-0.3271405492730211</v>
      </c>
      <c r="X303" s="35" t="n">
        <v>0.04255319148936176</v>
      </c>
      <c r="Y303" s="30" t="n">
        <v>43617167</v>
      </c>
      <c r="Z303" s="30" t="n">
        <v>1816655005550</v>
      </c>
      <c r="AA303" s="30" t="n">
        <v>13707431500</v>
      </c>
      <c r="AB303" s="30" t="n">
        <v>22855939212.5</v>
      </c>
      <c r="AC303" s="35" t="n">
        <v>0.007545423571411688</v>
      </c>
      <c r="AD303" s="24" t="inlineStr">
        <is>
          <t>yfinance_download</t>
        </is>
      </c>
      <c r="AE303" s="24" t="inlineStr">
        <is>
          <t>000990.KS</t>
        </is>
      </c>
    </row>
    <row r="304" ht="24" customHeight="1">
      <c r="A304" s="29" t="inlineStr">
        <is>
          <t>2024-08-29</t>
        </is>
      </c>
      <c r="B304" s="31" t="n">
        <v>40600</v>
      </c>
      <c r="C304" s="31" t="n">
        <v>41100</v>
      </c>
      <c r="D304" s="31" t="n">
        <v>40450</v>
      </c>
      <c r="E304" s="31" t="n">
        <v>40850</v>
      </c>
      <c r="F304" s="31" t="n">
        <v>39369.65234375</v>
      </c>
      <c r="G304" s="31" t="n">
        <v>219702</v>
      </c>
      <c r="H304" s="36" t="n">
        <v>-0.01920768307322929</v>
      </c>
      <c r="I304" s="36" t="n">
        <v>-0.5188457008244994</v>
      </c>
      <c r="J304" s="31" t="n">
        <v>42977.5</v>
      </c>
      <c r="K304" s="31" t="n">
        <v>47337.5</v>
      </c>
      <c r="L304" s="31" t="n">
        <v>45224.58333333334</v>
      </c>
      <c r="M304" s="36" t="n">
        <v>0.6764124965464127</v>
      </c>
      <c r="N304" s="36" t="n">
        <v>0.7707685219741413</v>
      </c>
      <c r="O304" s="36" t="n">
        <v>-0.2476979742173112</v>
      </c>
      <c r="P304" s="36" t="n">
        <v>-0.0444444444444444</v>
      </c>
      <c r="Q304" s="36" t="n">
        <v>-0.1080786026200873</v>
      </c>
      <c r="R304" s="36" t="n">
        <v>-0.04950264673375604</v>
      </c>
      <c r="S304" s="36" t="n">
        <v>-0.1370477950884605</v>
      </c>
      <c r="T304" s="36" t="n">
        <v>-0.09673020757515738</v>
      </c>
      <c r="U304" s="31" t="n">
        <v>61900</v>
      </c>
      <c r="V304" s="31" t="n">
        <v>39950</v>
      </c>
      <c r="W304" s="36" t="n">
        <v>-0.340064620355412</v>
      </c>
      <c r="X304" s="36" t="n">
        <v>0.02252816020025028</v>
      </c>
      <c r="Y304" s="31" t="n">
        <v>43617167</v>
      </c>
      <c r="Z304" s="31" t="n">
        <v>1781761271950</v>
      </c>
      <c r="AA304" s="31" t="n">
        <v>8974826700</v>
      </c>
      <c r="AB304" s="31" t="n">
        <v>21575372157.5</v>
      </c>
      <c r="AC304" s="36" t="n">
        <v>0.005037053415229834</v>
      </c>
      <c r="AD304" s="29" t="inlineStr">
        <is>
          <t>yfinance_download</t>
        </is>
      </c>
      <c r="AE304" s="29" t="inlineStr">
        <is>
          <t>000990.KS</t>
        </is>
      </c>
    </row>
    <row r="305" ht="24" customHeight="1">
      <c r="A305" s="24" t="inlineStr">
        <is>
          <t>2024-08-30</t>
        </is>
      </c>
      <c r="B305" s="30" t="n">
        <v>41300</v>
      </c>
      <c r="C305" s="30" t="n">
        <v>41350</v>
      </c>
      <c r="D305" s="30" t="n">
        <v>40600</v>
      </c>
      <c r="E305" s="30" t="n">
        <v>40750</v>
      </c>
      <c r="F305" s="30" t="n">
        <v>39273.2734375</v>
      </c>
      <c r="G305" s="30" t="n">
        <v>227334</v>
      </c>
      <c r="H305" s="35" t="n">
        <v>-0.002447980416156681</v>
      </c>
      <c r="I305" s="35" t="n">
        <v>-0.5200235571260305</v>
      </c>
      <c r="J305" s="30" t="n">
        <v>42290</v>
      </c>
      <c r="K305" s="30" t="n">
        <v>47297.5</v>
      </c>
      <c r="L305" s="30" t="n">
        <v>45185.41666666666</v>
      </c>
      <c r="M305" s="35" t="n">
        <v>0.6747287836729136</v>
      </c>
      <c r="N305" s="35" t="n">
        <v>0.7705591487801743</v>
      </c>
      <c r="O305" s="35" t="n">
        <v>-0.2522935779816514</v>
      </c>
      <c r="P305" s="35" t="n">
        <v>-0.05561993047508695</v>
      </c>
      <c r="Q305" s="35" t="n">
        <v>-0.1034103410341034</v>
      </c>
      <c r="R305" s="35" t="n">
        <v>-0.03641522818633247</v>
      </c>
      <c r="S305" s="35" t="n">
        <v>-0.1384322638617264</v>
      </c>
      <c r="T305" s="35" t="n">
        <v>-0.09816035778505228</v>
      </c>
      <c r="U305" s="30" t="n">
        <v>61900</v>
      </c>
      <c r="V305" s="30" t="n">
        <v>39950</v>
      </c>
      <c r="W305" s="35" t="n">
        <v>-0.3416801292407108</v>
      </c>
      <c r="X305" s="35" t="n">
        <v>0.02002503128911148</v>
      </c>
      <c r="Y305" s="30" t="n">
        <v>43617167</v>
      </c>
      <c r="Z305" s="30" t="n">
        <v>1777399555250</v>
      </c>
      <c r="AA305" s="30" t="n">
        <v>9263860500</v>
      </c>
      <c r="AB305" s="30" t="n">
        <v>19809583307.5</v>
      </c>
      <c r="AC305" s="35" t="n">
        <v>0.005212030391611633</v>
      </c>
      <c r="AD305" s="24" t="inlineStr">
        <is>
          <t>yfinance_download</t>
        </is>
      </c>
      <c r="AE305" s="24" t="inlineStr">
        <is>
          <t>000990.KS</t>
        </is>
      </c>
    </row>
    <row r="306" ht="24" customHeight="1">
      <c r="A306" s="29" t="inlineStr">
        <is>
          <t>2024-09-02</t>
        </is>
      </c>
      <c r="B306" s="31" t="n">
        <v>41200</v>
      </c>
      <c r="C306" s="31" t="n">
        <v>41200</v>
      </c>
      <c r="D306" s="31" t="n">
        <v>40400</v>
      </c>
      <c r="E306" s="31" t="n">
        <v>40500</v>
      </c>
      <c r="F306" s="31" t="n">
        <v>39032.3359375</v>
      </c>
      <c r="G306" s="31" t="n">
        <v>195939</v>
      </c>
      <c r="H306" s="36" t="n">
        <v>-0.006134969325153339</v>
      </c>
      <c r="I306" s="36" t="n">
        <v>-0.5229681978798586</v>
      </c>
      <c r="J306" s="31" t="n">
        <v>41880</v>
      </c>
      <c r="K306" s="31" t="n">
        <v>47248.33333333334</v>
      </c>
      <c r="L306" s="31" t="n">
        <v>45138.33333333334</v>
      </c>
      <c r="M306" s="36" t="n">
        <v>0.5786621668137863</v>
      </c>
      <c r="N306" s="36" t="n">
        <v>0.7705328831207393</v>
      </c>
      <c r="O306" s="36" t="n">
        <v>-0.1683778234086243</v>
      </c>
      <c r="P306" s="36" t="n">
        <v>-0.06789413118527043</v>
      </c>
      <c r="Q306" s="36" t="n">
        <v>-0.1224268689057422</v>
      </c>
      <c r="R306" s="36" t="n">
        <v>-0.03295128939828085</v>
      </c>
      <c r="S306" s="36" t="n">
        <v>-0.1428269074746905</v>
      </c>
      <c r="T306" s="36" t="n">
        <v>-0.1027581877930805</v>
      </c>
      <c r="U306" s="31" t="n">
        <v>61900</v>
      </c>
      <c r="V306" s="31" t="n">
        <v>39950</v>
      </c>
      <c r="W306" s="36" t="n">
        <v>-0.345718901453958</v>
      </c>
      <c r="X306" s="36" t="n">
        <v>0.01376720901126416</v>
      </c>
      <c r="Y306" s="31" t="n">
        <v>43617167</v>
      </c>
      <c r="Z306" s="31" t="n">
        <v>1766495263500</v>
      </c>
      <c r="AA306" s="31" t="n">
        <v>7935529500</v>
      </c>
      <c r="AB306" s="31" t="n">
        <v>17978364002.5</v>
      </c>
      <c r="AC306" s="36" t="n">
        <v>0.00449224499151905</v>
      </c>
      <c r="AD306" s="29" t="inlineStr">
        <is>
          <t>yfinance_download</t>
        </is>
      </c>
      <c r="AE306" s="29" t="inlineStr">
        <is>
          <t>000990.KS</t>
        </is>
      </c>
    </row>
    <row r="307" ht="24" customHeight="1">
      <c r="A307" s="24" t="inlineStr">
        <is>
          <t>2024-09-03</t>
        </is>
      </c>
      <c r="B307" s="30" t="n">
        <v>40500</v>
      </c>
      <c r="C307" s="30" t="n">
        <v>40700</v>
      </c>
      <c r="D307" s="30" t="n">
        <v>40100</v>
      </c>
      <c r="E307" s="30" t="n">
        <v>40300</v>
      </c>
      <c r="F307" s="30" t="n">
        <v>38839.58203125</v>
      </c>
      <c r="G307" s="30" t="n">
        <v>179698</v>
      </c>
      <c r="H307" s="35" t="n">
        <v>-0.004938271604938316</v>
      </c>
      <c r="I307" s="35" t="n">
        <v>-0.525323910482921</v>
      </c>
      <c r="J307" s="30" t="n">
        <v>41782.5</v>
      </c>
      <c r="K307" s="30" t="n">
        <v>47207.5</v>
      </c>
      <c r="L307" s="30" t="n">
        <v>45098.33333333334</v>
      </c>
      <c r="M307" s="35" t="n">
        <v>0.3471576897080345</v>
      </c>
      <c r="N307" s="35" t="n">
        <v>0.7698789352001284</v>
      </c>
      <c r="O307" s="35" t="n">
        <v>-0.0461538461538461</v>
      </c>
      <c r="P307" s="35" t="n">
        <v>-0.05730994152046787</v>
      </c>
      <c r="Q307" s="35" t="n">
        <v>-0.106430155210643</v>
      </c>
      <c r="R307" s="35" t="n">
        <v>-0.03548136181415662</v>
      </c>
      <c r="S307" s="35" t="n">
        <v>-0.1463220886511677</v>
      </c>
      <c r="T307" s="35" t="n">
        <v>-0.1063971321926162</v>
      </c>
      <c r="U307" s="30" t="n">
        <v>61900</v>
      </c>
      <c r="V307" s="30" t="n">
        <v>39950</v>
      </c>
      <c r="W307" s="35" t="n">
        <v>-0.3489499192245558</v>
      </c>
      <c r="X307" s="35" t="n">
        <v>0.008760951188986343</v>
      </c>
      <c r="Y307" s="30" t="n">
        <v>43617167</v>
      </c>
      <c r="Z307" s="30" t="n">
        <v>1757771830100</v>
      </c>
      <c r="AA307" s="30" t="n">
        <v>7241829400</v>
      </c>
      <c r="AB307" s="30" t="n">
        <v>16235245710</v>
      </c>
      <c r="AC307" s="35" t="n">
        <v>0.004119891601396303</v>
      </c>
      <c r="AD307" s="24" t="inlineStr">
        <is>
          <t>yfinance_download</t>
        </is>
      </c>
      <c r="AE307" s="24" t="inlineStr">
        <is>
          <t>000990.KS</t>
        </is>
      </c>
    </row>
    <row r="308" ht="24" customHeight="1">
      <c r="A308" s="29" t="inlineStr">
        <is>
          <t>2024-09-04</t>
        </is>
      </c>
      <c r="B308" s="31" t="n">
        <v>38650</v>
      </c>
      <c r="C308" s="31" t="n">
        <v>39150</v>
      </c>
      <c r="D308" s="31" t="n">
        <v>37850</v>
      </c>
      <c r="E308" s="31" t="n">
        <v>38050</v>
      </c>
      <c r="F308" s="31" t="n">
        <v>36671.12109375</v>
      </c>
      <c r="G308" s="31" t="n">
        <v>478282</v>
      </c>
      <c r="H308" s="36" t="n">
        <v>-0.05583126550868489</v>
      </c>
      <c r="I308" s="36" t="n">
        <v>-0.5518256772673733</v>
      </c>
      <c r="J308" s="31" t="n">
        <v>41525</v>
      </c>
      <c r="K308" s="31" t="n">
        <v>47130</v>
      </c>
      <c r="L308" s="31" t="n">
        <v>45037.08333333334</v>
      </c>
      <c r="M308" s="36" t="n">
        <v>0.3829565531454818</v>
      </c>
      <c r="N308" s="36" t="n">
        <v>0.7783743986658223</v>
      </c>
      <c r="O308" s="36" t="n">
        <v>-0.1192129629629629</v>
      </c>
      <c r="P308" s="36" t="n">
        <v>-0.1088992974238876</v>
      </c>
      <c r="Q308" s="36" t="n">
        <v>-0.1618942731277533</v>
      </c>
      <c r="R308" s="36" t="n">
        <v>-0.0836845273931367</v>
      </c>
      <c r="S308" s="36" t="n">
        <v>-0.1926586038616592</v>
      </c>
      <c r="T308" s="36" t="n">
        <v>-0.1551406711136194</v>
      </c>
      <c r="U308" s="31" t="n">
        <v>61900</v>
      </c>
      <c r="V308" s="31" t="n">
        <v>38050</v>
      </c>
      <c r="W308" s="36" t="n">
        <v>-0.3852988691437803</v>
      </c>
      <c r="X308" s="36" t="n">
        <v>0</v>
      </c>
      <c r="Y308" s="31" t="n">
        <v>43617167</v>
      </c>
      <c r="Z308" s="31" t="n">
        <v>1659633204350</v>
      </c>
      <c r="AA308" s="31" t="n">
        <v>18198630100</v>
      </c>
      <c r="AB308" s="31" t="n">
        <v>15457027055</v>
      </c>
      <c r="AC308" s="36" t="n">
        <v>0.01096545312078613</v>
      </c>
      <c r="AD308" s="29" t="inlineStr">
        <is>
          <t>yfinance_download</t>
        </is>
      </c>
      <c r="AE308" s="29" t="inlineStr">
        <is>
          <t>000990.KS</t>
        </is>
      </c>
    </row>
    <row r="309" ht="24" customHeight="1">
      <c r="A309" s="24" t="inlineStr">
        <is>
          <t>2024-09-05</t>
        </is>
      </c>
      <c r="B309" s="30" t="n">
        <v>38200</v>
      </c>
      <c r="C309" s="30" t="n">
        <v>38900</v>
      </c>
      <c r="D309" s="30" t="n">
        <v>37400</v>
      </c>
      <c r="E309" s="30" t="n">
        <v>37400</v>
      </c>
      <c r="F309" s="30" t="n">
        <v>36044.671875</v>
      </c>
      <c r="G309" s="30" t="n">
        <v>253822</v>
      </c>
      <c r="H309" s="35" t="n">
        <v>-0.01708278580814715</v>
      </c>
      <c r="I309" s="35" t="n">
        <v>-0.5594817432273262</v>
      </c>
      <c r="J309" s="30" t="n">
        <v>41330</v>
      </c>
      <c r="K309" s="30" t="n">
        <v>47037.5</v>
      </c>
      <c r="L309" s="30" t="n">
        <v>44972.91666666666</v>
      </c>
      <c r="M309" s="35" t="n">
        <v>0.3587575488699966</v>
      </c>
      <c r="N309" s="35" t="n">
        <v>0.7789576509186239</v>
      </c>
      <c r="O309" s="35" t="n">
        <v>-0.09443099273607747</v>
      </c>
      <c r="P309" s="35" t="n">
        <v>-0.1292200232828871</v>
      </c>
      <c r="Q309" s="35" t="n">
        <v>-0.1707317073170732</v>
      </c>
      <c r="R309" s="35" t="n">
        <v>-0.09508831357367531</v>
      </c>
      <c r="S309" s="35" t="n">
        <v>-0.204889715652405</v>
      </c>
      <c r="T309" s="35" t="n">
        <v>-0.1683883818965117</v>
      </c>
      <c r="U309" s="30" t="n">
        <v>61900</v>
      </c>
      <c r="V309" s="30" t="n">
        <v>37400</v>
      </c>
      <c r="W309" s="35" t="n">
        <v>-0.3957996768982229</v>
      </c>
      <c r="X309" s="35" t="n">
        <v>0</v>
      </c>
      <c r="Y309" s="30" t="n">
        <v>43617167</v>
      </c>
      <c r="Z309" s="30" t="n">
        <v>1631282045800</v>
      </c>
      <c r="AA309" s="30" t="n">
        <v>9492942800</v>
      </c>
      <c r="AB309" s="30" t="n">
        <v>14149750590</v>
      </c>
      <c r="AC309" s="35" t="n">
        <v>0.005819314216349723</v>
      </c>
      <c r="AD309" s="24" t="inlineStr">
        <is>
          <t>yfinance_download</t>
        </is>
      </c>
      <c r="AE309" s="24" t="inlineStr">
        <is>
          <t>000990.KS</t>
        </is>
      </c>
    </row>
    <row r="310" ht="24" customHeight="1">
      <c r="A310" s="29" t="inlineStr">
        <is>
          <t>2024-09-06</t>
        </is>
      </c>
      <c r="B310" s="31" t="n">
        <v>37350</v>
      </c>
      <c r="C310" s="31" t="n">
        <v>37900</v>
      </c>
      <c r="D310" s="31" t="n">
        <v>36500</v>
      </c>
      <c r="E310" s="31" t="n">
        <v>36500</v>
      </c>
      <c r="F310" s="31" t="n">
        <v>35177.2890625</v>
      </c>
      <c r="G310" s="31" t="n">
        <v>231226</v>
      </c>
      <c r="H310" s="36" t="n">
        <v>-0.02406417112299464</v>
      </c>
      <c r="I310" s="36" t="n">
        <v>-0.5700824499411072</v>
      </c>
      <c r="J310" s="31" t="n">
        <v>41117.5</v>
      </c>
      <c r="K310" s="31" t="n">
        <v>46969.16666666666</v>
      </c>
      <c r="L310" s="31" t="n">
        <v>44907.08333333334</v>
      </c>
      <c r="M310" s="36" t="n">
        <v>0.3641668759070003</v>
      </c>
      <c r="N310" s="36" t="n">
        <v>0.7724642662752453</v>
      </c>
      <c r="O310" s="36" t="n">
        <v>-0.1042944785276073</v>
      </c>
      <c r="P310" s="36" t="n">
        <v>-0.1009852216748769</v>
      </c>
      <c r="Q310" s="36" t="n">
        <v>-0.1779279279279279</v>
      </c>
      <c r="R310" s="36" t="n">
        <v>-0.1123001155225877</v>
      </c>
      <c r="S310" s="36" t="n">
        <v>-0.2228944520341358</v>
      </c>
      <c r="T310" s="36" t="n">
        <v>-0.1872106293550573</v>
      </c>
      <c r="U310" s="31" t="n">
        <v>61900</v>
      </c>
      <c r="V310" s="31" t="n">
        <v>36500</v>
      </c>
      <c r="W310" s="36" t="n">
        <v>-0.4103392568659128</v>
      </c>
      <c r="X310" s="36" t="n">
        <v>0</v>
      </c>
      <c r="Y310" s="31" t="n">
        <v>43617167</v>
      </c>
      <c r="Z310" s="31" t="n">
        <v>1592026595500</v>
      </c>
      <c r="AA310" s="31" t="n">
        <v>8439749000</v>
      </c>
      <c r="AB310" s="31" t="n">
        <v>13346852127.5</v>
      </c>
      <c r="AC310" s="36" t="n">
        <v>0.005301261313005496</v>
      </c>
      <c r="AD310" s="29" t="inlineStr">
        <is>
          <t>yfinance_download</t>
        </is>
      </c>
      <c r="AE310" s="29" t="inlineStr">
        <is>
          <t>000990.KS</t>
        </is>
      </c>
    </row>
    <row r="311" ht="24" customHeight="1">
      <c r="A311" s="24" t="inlineStr">
        <is>
          <t>2024-09-09</t>
        </is>
      </c>
      <c r="B311" s="30" t="n">
        <v>35200</v>
      </c>
      <c r="C311" s="30" t="n">
        <v>36900</v>
      </c>
      <c r="D311" s="30" t="n">
        <v>35200</v>
      </c>
      <c r="E311" s="30" t="n">
        <v>36650</v>
      </c>
      <c r="F311" s="30" t="n">
        <v>35321.8515625</v>
      </c>
      <c r="G311" s="30" t="n">
        <v>116073</v>
      </c>
      <c r="H311" s="35" t="n">
        <v>0.004109589041095818</v>
      </c>
      <c r="I311" s="35" t="n">
        <v>-0.5683156654888104</v>
      </c>
      <c r="J311" s="30" t="n">
        <v>40852.5</v>
      </c>
      <c r="K311" s="30" t="n">
        <v>46910</v>
      </c>
      <c r="L311" s="30" t="n">
        <v>44850</v>
      </c>
      <c r="M311" s="35" t="n">
        <v>0.3426236910294831</v>
      </c>
      <c r="N311" s="35" t="n">
        <v>0.7722844469317959</v>
      </c>
      <c r="O311" s="35" t="n">
        <v>-0.1263408820023838</v>
      </c>
      <c r="P311" s="35" t="n">
        <v>-0.0883084577114428</v>
      </c>
      <c r="Q311" s="35" t="n">
        <v>-0.1574712643678161</v>
      </c>
      <c r="R311" s="35" t="n">
        <v>-0.1028700813903678</v>
      </c>
      <c r="S311" s="35" t="n">
        <v>-0.2187166915369857</v>
      </c>
      <c r="T311" s="35" t="n">
        <v>-0.1828316610925307</v>
      </c>
      <c r="U311" s="30" t="n">
        <v>61900</v>
      </c>
      <c r="V311" s="30" t="n">
        <v>36500</v>
      </c>
      <c r="W311" s="35" t="n">
        <v>-0.4079159935379645</v>
      </c>
      <c r="X311" s="35" t="n">
        <v>0.004109589041095818</v>
      </c>
      <c r="Y311" s="30" t="n">
        <v>43617167</v>
      </c>
      <c r="Z311" s="30" t="n">
        <v>1598569170550</v>
      </c>
      <c r="AA311" s="30" t="n">
        <v>4254075450</v>
      </c>
      <c r="AB311" s="30" t="n">
        <v>12518493237.5</v>
      </c>
      <c r="AC311" s="35" t="n">
        <v>0.002661176962731211</v>
      </c>
      <c r="AD311" s="24" t="inlineStr">
        <is>
          <t>yfinance_download</t>
        </is>
      </c>
      <c r="AE311" s="24" t="inlineStr">
        <is>
          <t>000990.KS</t>
        </is>
      </c>
    </row>
    <row r="312" ht="24" customHeight="1">
      <c r="A312" s="29" t="inlineStr">
        <is>
          <t>2024-09-10</t>
        </is>
      </c>
      <c r="B312" s="31" t="n">
        <v>36750</v>
      </c>
      <c r="C312" s="31" t="n">
        <v>37200</v>
      </c>
      <c r="D312" s="31" t="n">
        <v>36200</v>
      </c>
      <c r="E312" s="31" t="n">
        <v>36700</v>
      </c>
      <c r="F312" s="31" t="n">
        <v>35370.0390625</v>
      </c>
      <c r="G312" s="31" t="n">
        <v>147218</v>
      </c>
      <c r="H312" s="36" t="n">
        <v>0.001364256480218318</v>
      </c>
      <c r="I312" s="36" t="n">
        <v>-0.5677267373380448</v>
      </c>
      <c r="J312" s="31" t="n">
        <v>40497.5</v>
      </c>
      <c r="K312" s="31" t="n">
        <v>46794.16666666666</v>
      </c>
      <c r="L312" s="31" t="n">
        <v>44789.58333333334</v>
      </c>
      <c r="M312" s="36" t="n">
        <v>0.2881518254526321</v>
      </c>
      <c r="N312" s="36" t="n">
        <v>0.7511044507999557</v>
      </c>
      <c r="O312" s="36" t="n">
        <v>-0.1621004566210046</v>
      </c>
      <c r="P312" s="36" t="n">
        <v>-0.1592210767468499</v>
      </c>
      <c r="Q312" s="36" t="n">
        <v>-0.1649601820250285</v>
      </c>
      <c r="R312" s="36" t="n">
        <v>-0.09377122044570652</v>
      </c>
      <c r="S312" s="36" t="n">
        <v>-0.2157142093921963</v>
      </c>
      <c r="T312" s="36" t="n">
        <v>-0.1806130517698498</v>
      </c>
      <c r="U312" s="31" t="n">
        <v>61900</v>
      </c>
      <c r="V312" s="31" t="n">
        <v>36500</v>
      </c>
      <c r="W312" s="36" t="n">
        <v>-0.407108239095315</v>
      </c>
      <c r="X312" s="36" t="n">
        <v>0.005479452054794498</v>
      </c>
      <c r="Y312" s="31" t="n">
        <v>43617167</v>
      </c>
      <c r="Z312" s="31" t="n">
        <v>1600750028900</v>
      </c>
      <c r="AA312" s="31" t="n">
        <v>5402900600</v>
      </c>
      <c r="AB312" s="31" t="n">
        <v>11674554607.5</v>
      </c>
      <c r="AC312" s="36" t="n">
        <v>0.003375230674656151</v>
      </c>
      <c r="AD312" s="29" t="inlineStr">
        <is>
          <t>yfinance_download</t>
        </is>
      </c>
      <c r="AE312" s="29" t="inlineStr">
        <is>
          <t>000990.KS</t>
        </is>
      </c>
    </row>
    <row r="313" ht="24" customHeight="1">
      <c r="A313" s="24" t="inlineStr">
        <is>
          <t>2024-09-11</t>
        </is>
      </c>
      <c r="B313" s="30" t="n">
        <v>36500</v>
      </c>
      <c r="C313" s="30" t="n">
        <v>36850</v>
      </c>
      <c r="D313" s="30" t="n">
        <v>35500</v>
      </c>
      <c r="E313" s="30" t="n">
        <v>35700</v>
      </c>
      <c r="F313" s="30" t="n">
        <v>34406.28125</v>
      </c>
      <c r="G313" s="30" t="n">
        <v>221593</v>
      </c>
      <c r="H313" s="35" t="n">
        <v>-0.02724795640326971</v>
      </c>
      <c r="I313" s="35" t="n">
        <v>-0.5795053003533569</v>
      </c>
      <c r="J313" s="30" t="n">
        <v>40125</v>
      </c>
      <c r="K313" s="30" t="n">
        <v>46632.5</v>
      </c>
      <c r="L313" s="30" t="n">
        <v>44718.33333333334</v>
      </c>
      <c r="M313" s="35" t="n">
        <v>0.2949747593539533</v>
      </c>
      <c r="N313" s="35" t="n">
        <v>0.747720710819082</v>
      </c>
      <c r="O313" s="35" t="n">
        <v>-0.1726535341830823</v>
      </c>
      <c r="P313" s="35" t="n">
        <v>-0.2136563876651982</v>
      </c>
      <c r="Q313" s="35" t="n">
        <v>-0.1932203389830508</v>
      </c>
      <c r="R313" s="35" t="n">
        <v>-0.1102803738317757</v>
      </c>
      <c r="S313" s="35" t="n">
        <v>-0.2344395003484694</v>
      </c>
      <c r="T313" s="35" t="n">
        <v>-0.2016697104096009</v>
      </c>
      <c r="U313" s="30" t="n">
        <v>61900</v>
      </c>
      <c r="V313" s="30" t="n">
        <v>35700</v>
      </c>
      <c r="W313" s="35" t="n">
        <v>-0.4232633279483037</v>
      </c>
      <c r="X313" s="35" t="n">
        <v>0</v>
      </c>
      <c r="Y313" s="30" t="n">
        <v>43617167</v>
      </c>
      <c r="Z313" s="30" t="n">
        <v>1557132861900</v>
      </c>
      <c r="AA313" s="30" t="n">
        <v>7910870100</v>
      </c>
      <c r="AB313" s="30" t="n">
        <v>11449320637.5</v>
      </c>
      <c r="AC313" s="35" t="n">
        <v>0.005080407904529884</v>
      </c>
      <c r="AD313" s="24" t="inlineStr">
        <is>
          <t>yfinance_download</t>
        </is>
      </c>
      <c r="AE313" s="24" t="inlineStr">
        <is>
          <t>000990.KS</t>
        </is>
      </c>
    </row>
    <row r="314" ht="24" customHeight="1">
      <c r="A314" s="29" t="inlineStr">
        <is>
          <t>2024-09-12</t>
        </is>
      </c>
      <c r="B314" s="31" t="n">
        <v>36350</v>
      </c>
      <c r="C314" s="31" t="n">
        <v>37300</v>
      </c>
      <c r="D314" s="31" t="n">
        <v>36250</v>
      </c>
      <c r="E314" s="31" t="n">
        <v>36650</v>
      </c>
      <c r="F314" s="31" t="n">
        <v>35321.8515625</v>
      </c>
      <c r="G314" s="31" t="n">
        <v>343739</v>
      </c>
      <c r="H314" s="36" t="n">
        <v>0.02661064425770299</v>
      </c>
      <c r="I314" s="36" t="n">
        <v>-0.5683156654888104</v>
      </c>
      <c r="J314" s="31" t="n">
        <v>39830</v>
      </c>
      <c r="K314" s="31" t="n">
        <v>46479.16666666666</v>
      </c>
      <c r="L314" s="31" t="n">
        <v>44651.66666666666</v>
      </c>
      <c r="M314" s="36" t="n">
        <v>0.320480228786563</v>
      </c>
      <c r="N314" s="36" t="n">
        <v>0.7497285992065178</v>
      </c>
      <c r="O314" s="36" t="n">
        <v>-0.1386603995299648</v>
      </c>
      <c r="P314" s="36" t="n">
        <v>-0.2006543075245365</v>
      </c>
      <c r="Q314" s="36" t="n">
        <v>-0.1791713325867861</v>
      </c>
      <c r="R314" s="36" t="n">
        <v>-0.07983931709766512</v>
      </c>
      <c r="S314" s="36" t="n">
        <v>-0.2114746750336172</v>
      </c>
      <c r="T314" s="36" t="n">
        <v>-0.1792019708110932</v>
      </c>
      <c r="U314" s="31" t="n">
        <v>61900</v>
      </c>
      <c r="V314" s="31" t="n">
        <v>35700</v>
      </c>
      <c r="W314" s="36" t="n">
        <v>-0.4079159935379645</v>
      </c>
      <c r="X314" s="36" t="n">
        <v>0.02661064425770299</v>
      </c>
      <c r="Y314" s="31" t="n">
        <v>43617167</v>
      </c>
      <c r="Z314" s="31" t="n">
        <v>1598569170550</v>
      </c>
      <c r="AA314" s="31" t="n">
        <v>12598034350</v>
      </c>
      <c r="AB314" s="31" t="n">
        <v>10981442992.5</v>
      </c>
      <c r="AC314" s="36" t="n">
        <v>0.007880819036229473</v>
      </c>
      <c r="AD314" s="29" t="inlineStr">
        <is>
          <t>yfinance_download</t>
        </is>
      </c>
      <c r="AE314" s="29" t="inlineStr">
        <is>
          <t>000990.KS</t>
        </is>
      </c>
    </row>
    <row r="315" ht="24" customHeight="1">
      <c r="A315" s="24" t="inlineStr">
        <is>
          <t>2024-09-13</t>
        </is>
      </c>
      <c r="B315" s="30" t="n">
        <v>36600</v>
      </c>
      <c r="C315" s="30" t="n">
        <v>37600</v>
      </c>
      <c r="D315" s="30" t="n">
        <v>36200</v>
      </c>
      <c r="E315" s="30" t="n">
        <v>37600</v>
      </c>
      <c r="F315" s="30" t="n">
        <v>36237.4296875</v>
      </c>
      <c r="G315" s="30" t="n">
        <v>182023</v>
      </c>
      <c r="H315" s="35" t="n">
        <v>0.02592087312414737</v>
      </c>
      <c r="I315" s="35" t="n">
        <v>-0.5571260306242638</v>
      </c>
      <c r="J315" s="30" t="n">
        <v>39530</v>
      </c>
      <c r="K315" s="30" t="n">
        <v>46154.16666666666</v>
      </c>
      <c r="L315" s="30" t="n">
        <v>44585.83333333334</v>
      </c>
      <c r="M315" s="35" t="n">
        <v>0.3221495293673752</v>
      </c>
      <c r="N315" s="35" t="n">
        <v>0.5471492399355778</v>
      </c>
      <c r="O315" s="35" t="n">
        <v>-0.1376146788990825</v>
      </c>
      <c r="P315" s="35" t="n">
        <v>-0.3415061295971979</v>
      </c>
      <c r="Q315" s="35" t="n">
        <v>-0.1736263736263737</v>
      </c>
      <c r="R315" s="35" t="n">
        <v>-0.04882367821907407</v>
      </c>
      <c r="S315" s="35" t="n">
        <v>-0.1853389907014534</v>
      </c>
      <c r="T315" s="35" t="n">
        <v>-0.156682802833486</v>
      </c>
      <c r="U315" s="30" t="n">
        <v>61900</v>
      </c>
      <c r="V315" s="30" t="n">
        <v>35700</v>
      </c>
      <c r="W315" s="35" t="n">
        <v>-0.3925686591276252</v>
      </c>
      <c r="X315" s="35" t="n">
        <v>0.0532212885154062</v>
      </c>
      <c r="Y315" s="30" t="n">
        <v>43617167</v>
      </c>
      <c r="Z315" s="30" t="n">
        <v>1640005479200</v>
      </c>
      <c r="AA315" s="30" t="n">
        <v>6844064800</v>
      </c>
      <c r="AB315" s="30" t="n">
        <v>10139356872.5</v>
      </c>
      <c r="AC315" s="35" t="n">
        <v>0.004173196301355381</v>
      </c>
      <c r="AD315" s="24" t="inlineStr">
        <is>
          <t>yfinance_download</t>
        </is>
      </c>
      <c r="AE315" s="24" t="inlineStr">
        <is>
          <t>000990.KS</t>
        </is>
      </c>
    </row>
    <row r="316" ht="24" customHeight="1">
      <c r="A316" s="29" t="inlineStr">
        <is>
          <t>2024-09-19</t>
        </is>
      </c>
      <c r="B316" s="31" t="n">
        <v>37450</v>
      </c>
      <c r="C316" s="31" t="n">
        <v>37600</v>
      </c>
      <c r="D316" s="31" t="n">
        <v>36400</v>
      </c>
      <c r="E316" s="31" t="n">
        <v>37000</v>
      </c>
      <c r="F316" s="31" t="n">
        <v>35659.16796875</v>
      </c>
      <c r="G316" s="31" t="n">
        <v>194231</v>
      </c>
      <c r="H316" s="36" t="n">
        <v>-0.01595744680851063</v>
      </c>
      <c r="I316" s="36" t="n">
        <v>-0.5641931684334511</v>
      </c>
      <c r="J316" s="31" t="n">
        <v>39247.5</v>
      </c>
      <c r="K316" s="31" t="n">
        <v>45900.83333333334</v>
      </c>
      <c r="L316" s="31" t="n">
        <v>44515.41666666666</v>
      </c>
      <c r="M316" s="36" t="n">
        <v>0.3192939821588425</v>
      </c>
      <c r="N316" s="36" t="n">
        <v>0.5219572870984888</v>
      </c>
      <c r="O316" s="36" t="n">
        <v>-0.1324736225087925</v>
      </c>
      <c r="P316" s="36" t="n">
        <v>-0.2911877394636015</v>
      </c>
      <c r="Q316" s="36" t="n">
        <v>-0.1859185918591859</v>
      </c>
      <c r="R316" s="36" t="n">
        <v>-0.05726479393591943</v>
      </c>
      <c r="S316" s="36" t="n">
        <v>-0.1939144169495833</v>
      </c>
      <c r="T316" s="36" t="n">
        <v>-0.1688272789389443</v>
      </c>
      <c r="U316" s="31" t="n">
        <v>61900</v>
      </c>
      <c r="V316" s="31" t="n">
        <v>35700</v>
      </c>
      <c r="W316" s="36" t="n">
        <v>-0.4022617124394184</v>
      </c>
      <c r="X316" s="36" t="n">
        <v>0.03641456582633062</v>
      </c>
      <c r="Y316" s="31" t="n">
        <v>43617167</v>
      </c>
      <c r="Z316" s="31" t="n">
        <v>1613835179000</v>
      </c>
      <c r="AA316" s="31" t="n">
        <v>7186547000</v>
      </c>
      <c r="AB316" s="31" t="n">
        <v>9900210892.5</v>
      </c>
      <c r="AC316" s="36" t="n">
        <v>0.004453086097957715</v>
      </c>
      <c r="AD316" s="29" t="inlineStr">
        <is>
          <t>yfinance_download</t>
        </is>
      </c>
      <c r="AE316" s="29" t="inlineStr">
        <is>
          <t>000990.KS</t>
        </is>
      </c>
    </row>
    <row r="317" ht="24" customHeight="1">
      <c r="A317" s="24" t="inlineStr">
        <is>
          <t>2024-09-20</t>
        </is>
      </c>
      <c r="B317" s="30" t="n">
        <v>37700</v>
      </c>
      <c r="C317" s="30" t="n">
        <v>37700</v>
      </c>
      <c r="D317" s="30" t="n">
        <v>36150</v>
      </c>
      <c r="E317" s="30" t="n">
        <v>36150</v>
      </c>
      <c r="F317" s="30" t="n">
        <v>34839.97265625</v>
      </c>
      <c r="G317" s="30" t="n">
        <v>300953</v>
      </c>
      <c r="H317" s="35" t="n">
        <v>-0.02297297297297296</v>
      </c>
      <c r="I317" s="35" t="n">
        <v>-0.5742049469964665</v>
      </c>
      <c r="J317" s="30" t="n">
        <v>38935</v>
      </c>
      <c r="K317" s="30" t="n">
        <v>45613.33333333334</v>
      </c>
      <c r="L317" s="30" t="n">
        <v>44447.5</v>
      </c>
      <c r="M317" s="35" t="n">
        <v>0.3243034578865304</v>
      </c>
      <c r="N317" s="35" t="n">
        <v>0.5198613900564167</v>
      </c>
      <c r="O317" s="35" t="n">
        <v>-0.1474056603773585</v>
      </c>
      <c r="P317" s="35" t="n">
        <v>-0.3230337078651685</v>
      </c>
      <c r="Q317" s="35" t="n">
        <v>-0.1839729119638827</v>
      </c>
      <c r="R317" s="35" t="n">
        <v>-0.07152947219725181</v>
      </c>
      <c r="S317" s="35" t="n">
        <v>-0.2074685764396376</v>
      </c>
      <c r="T317" s="35" t="n">
        <v>-0.1866809156870465</v>
      </c>
      <c r="U317" s="30" t="n">
        <v>61900</v>
      </c>
      <c r="V317" s="30" t="n">
        <v>35700</v>
      </c>
      <c r="W317" s="35" t="n">
        <v>-0.4159935379644588</v>
      </c>
      <c r="X317" s="35" t="n">
        <v>0.01260504201680668</v>
      </c>
      <c r="Y317" s="30" t="n">
        <v>43617167</v>
      </c>
      <c r="Z317" s="30" t="n">
        <v>1576760587050</v>
      </c>
      <c r="AA317" s="30" t="n">
        <v>10879450950</v>
      </c>
      <c r="AB317" s="30" t="n">
        <v>9428402400</v>
      </c>
      <c r="AC317" s="35" t="n">
        <v>0.006899874996466414</v>
      </c>
      <c r="AD317" s="24" t="inlineStr">
        <is>
          <t>yfinance_download</t>
        </is>
      </c>
      <c r="AE317" s="24" t="inlineStr">
        <is>
          <t>000990.KS</t>
        </is>
      </c>
    </row>
    <row r="318" ht="24" customHeight="1">
      <c r="A318" s="29" t="inlineStr">
        <is>
          <t>2024-09-23</t>
        </is>
      </c>
      <c r="B318" s="31" t="n">
        <v>36350</v>
      </c>
      <c r="C318" s="31" t="n">
        <v>38050</v>
      </c>
      <c r="D318" s="31" t="n">
        <v>36150</v>
      </c>
      <c r="E318" s="31" t="n">
        <v>37950</v>
      </c>
      <c r="F318" s="31" t="n">
        <v>36574.7421875</v>
      </c>
      <c r="G318" s="31" t="n">
        <v>305829</v>
      </c>
      <c r="H318" s="36" t="n">
        <v>0.049792531120332</v>
      </c>
      <c r="I318" s="36" t="n">
        <v>-0.5530035335689045</v>
      </c>
      <c r="J318" s="31" t="n">
        <v>38707.5</v>
      </c>
      <c r="K318" s="31" t="n">
        <v>45389.16666666666</v>
      </c>
      <c r="L318" s="31" t="n">
        <v>44399.58333333334</v>
      </c>
      <c r="M318" s="36" t="n">
        <v>0.3824023568831189</v>
      </c>
      <c r="N318" s="36" t="n">
        <v>0.5279552276489581</v>
      </c>
      <c r="O318" s="36" t="n">
        <v>-0.1070588235294118</v>
      </c>
      <c r="P318" s="36" t="n">
        <v>-0.2616731517509727</v>
      </c>
      <c r="Q318" s="36" t="n">
        <v>-0.131578947368421</v>
      </c>
      <c r="R318" s="36" t="n">
        <v>-0.01956985080410778</v>
      </c>
      <c r="S318" s="36" t="n">
        <v>-0.1638974057686305</v>
      </c>
      <c r="T318" s="36" t="n">
        <v>-0.1452622490826678</v>
      </c>
      <c r="U318" s="31" t="n">
        <v>61900</v>
      </c>
      <c r="V318" s="31" t="n">
        <v>35700</v>
      </c>
      <c r="W318" s="36" t="n">
        <v>-0.3869143780290791</v>
      </c>
      <c r="X318" s="36" t="n">
        <v>0.06302521008403361</v>
      </c>
      <c r="Y318" s="31" t="n">
        <v>43617167</v>
      </c>
      <c r="Z318" s="31" t="n">
        <v>1655271487650</v>
      </c>
      <c r="AA318" s="31" t="n">
        <v>11606210550</v>
      </c>
      <c r="AB318" s="31" t="n">
        <v>9442702177.5</v>
      </c>
      <c r="AC318" s="36" t="n">
        <v>0.007011665842488119</v>
      </c>
      <c r="AD318" s="29" t="inlineStr">
        <is>
          <t>yfinance_download</t>
        </is>
      </c>
      <c r="AE318" s="29" t="inlineStr">
        <is>
          <t>000990.KS</t>
        </is>
      </c>
    </row>
    <row r="319" ht="24" customHeight="1">
      <c r="A319" s="24" t="inlineStr">
        <is>
          <t>2024-09-24</t>
        </is>
      </c>
      <c r="B319" s="30" t="n">
        <v>38000</v>
      </c>
      <c r="C319" s="30" t="n">
        <v>42250</v>
      </c>
      <c r="D319" s="30" t="n">
        <v>37500</v>
      </c>
      <c r="E319" s="30" t="n">
        <v>40200</v>
      </c>
      <c r="F319" s="30" t="n">
        <v>38743.20703125</v>
      </c>
      <c r="G319" s="30" t="n">
        <v>1740189</v>
      </c>
      <c r="H319" s="35" t="n">
        <v>0.05928853754940722</v>
      </c>
      <c r="I319" s="35" t="n">
        <v>-0.5265017667844523</v>
      </c>
      <c r="J319" s="30" t="n">
        <v>38625</v>
      </c>
      <c r="K319" s="30" t="n">
        <v>45222.5</v>
      </c>
      <c r="L319" s="30" t="n">
        <v>44367.08333333334</v>
      </c>
      <c r="M319" s="35" t="n">
        <v>0.4434937560786363</v>
      </c>
      <c r="N319" s="35" t="n">
        <v>0.5423104871009383</v>
      </c>
      <c r="O319" s="35" t="n">
        <v>-0.03942652329749108</v>
      </c>
      <c r="P319" s="35" t="n">
        <v>-0.1992031872509961</v>
      </c>
      <c r="Q319" s="35" t="n">
        <v>-0.08843537414965985</v>
      </c>
      <c r="R319" s="35" t="n">
        <v>0.04077669902912628</v>
      </c>
      <c r="S319" s="35" t="n">
        <v>-0.1110619713638122</v>
      </c>
      <c r="T319" s="35" t="n">
        <v>-0.09392285947727763</v>
      </c>
      <c r="U319" s="30" t="n">
        <v>61900</v>
      </c>
      <c r="V319" s="30" t="n">
        <v>35700</v>
      </c>
      <c r="W319" s="35" t="n">
        <v>-0.3505654281098546</v>
      </c>
      <c r="X319" s="35" t="n">
        <v>0.1260504201680672</v>
      </c>
      <c r="Y319" s="30" t="n">
        <v>43617167</v>
      </c>
      <c r="Z319" s="30" t="n">
        <v>1753410113400</v>
      </c>
      <c r="AA319" s="30" t="n">
        <v>69955597800</v>
      </c>
      <c r="AB319" s="30" t="n">
        <v>12444814852.5</v>
      </c>
      <c r="AC319" s="35" t="n">
        <v>0.03989688280304862</v>
      </c>
      <c r="AD319" s="24" t="inlineStr">
        <is>
          <t>yfinance_download</t>
        </is>
      </c>
      <c r="AE319" s="24" t="inlineStr">
        <is>
          <t>000990.KS</t>
        </is>
      </c>
    </row>
    <row r="320" ht="24" customHeight="1">
      <c r="A320" s="29" t="inlineStr">
        <is>
          <t>2024-09-25</t>
        </is>
      </c>
      <c r="B320" s="31" t="n">
        <v>40500</v>
      </c>
      <c r="C320" s="31" t="n">
        <v>41250</v>
      </c>
      <c r="D320" s="31" t="n">
        <v>40150</v>
      </c>
      <c r="E320" s="31" t="n">
        <v>40200</v>
      </c>
      <c r="F320" s="31" t="n">
        <v>38743.20703125</v>
      </c>
      <c r="G320" s="31" t="n">
        <v>577871</v>
      </c>
      <c r="H320" s="36" t="n">
        <v>0</v>
      </c>
      <c r="I320" s="36" t="n">
        <v>-0.5265017667844523</v>
      </c>
      <c r="J320" s="31" t="n">
        <v>38580</v>
      </c>
      <c r="K320" s="31" t="n">
        <v>45086.66666666666</v>
      </c>
      <c r="L320" s="31" t="n">
        <v>44336.25</v>
      </c>
      <c r="M320" s="36" t="n">
        <v>0.439311079199283</v>
      </c>
      <c r="N320" s="36" t="n">
        <v>0.5377553605181332</v>
      </c>
      <c r="O320" s="36" t="n">
        <v>-0.02189781021897808</v>
      </c>
      <c r="P320" s="36" t="n">
        <v>-0.1685625646328852</v>
      </c>
      <c r="Q320" s="36" t="n">
        <v>-0.08428246013667429</v>
      </c>
      <c r="R320" s="36" t="n">
        <v>0.04199066874028001</v>
      </c>
      <c r="S320" s="36" t="n">
        <v>-0.1083838533195327</v>
      </c>
      <c r="T320" s="36" t="n">
        <v>-0.09329273450054976</v>
      </c>
      <c r="U320" s="31" t="n">
        <v>61900</v>
      </c>
      <c r="V320" s="31" t="n">
        <v>35700</v>
      </c>
      <c r="W320" s="36" t="n">
        <v>-0.3505654281098546</v>
      </c>
      <c r="X320" s="36" t="n">
        <v>0.1260504201680672</v>
      </c>
      <c r="Y320" s="31" t="n">
        <v>43617167</v>
      </c>
      <c r="Z320" s="31" t="n">
        <v>1753410113400</v>
      </c>
      <c r="AA320" s="31" t="n">
        <v>23230414200</v>
      </c>
      <c r="AB320" s="31" t="n">
        <v>13099948627.5</v>
      </c>
      <c r="AC320" s="36" t="n">
        <v>0.01324870549249565</v>
      </c>
      <c r="AD320" s="29" t="inlineStr">
        <is>
          <t>yfinance_download</t>
        </is>
      </c>
      <c r="AE320" s="29" t="inlineStr">
        <is>
          <t>000990.KS</t>
        </is>
      </c>
    </row>
    <row r="321" ht="24" customHeight="1">
      <c r="A321" s="24" t="inlineStr">
        <is>
          <t>2024-09-26</t>
        </is>
      </c>
      <c r="B321" s="30" t="n">
        <v>41150</v>
      </c>
      <c r="C321" s="30" t="n">
        <v>41650</v>
      </c>
      <c r="D321" s="30" t="n">
        <v>40650</v>
      </c>
      <c r="E321" s="30" t="n">
        <v>40900</v>
      </c>
      <c r="F321" s="30" t="n">
        <v>39417.8359375</v>
      </c>
      <c r="G321" s="30" t="n">
        <v>357045</v>
      </c>
      <c r="H321" s="35" t="n">
        <v>0.01741293532338317</v>
      </c>
      <c r="I321" s="35" t="n">
        <v>-0.5182567726737338</v>
      </c>
      <c r="J321" s="30" t="n">
        <v>38607.5</v>
      </c>
      <c r="K321" s="30" t="n">
        <v>44953.33333333334</v>
      </c>
      <c r="L321" s="30" t="n">
        <v>44316.66666666666</v>
      </c>
      <c r="M321" s="35" t="n">
        <v>0.4387034202994176</v>
      </c>
      <c r="N321" s="35" t="n">
        <v>0.5385620606751755</v>
      </c>
      <c r="O321" s="35" t="n">
        <v>0.01363073110285007</v>
      </c>
      <c r="P321" s="35" t="n">
        <v>-0.16359918200409</v>
      </c>
      <c r="Q321" s="35" t="n">
        <v>-0.05433526011560696</v>
      </c>
      <c r="R321" s="35" t="n">
        <v>0.05937965421226443</v>
      </c>
      <c r="S321" s="35" t="n">
        <v>-0.09016758119531376</v>
      </c>
      <c r="T321" s="35" t="n">
        <v>-0.07709665287702139</v>
      </c>
      <c r="U321" s="30" t="n">
        <v>61900</v>
      </c>
      <c r="V321" s="30" t="n">
        <v>35700</v>
      </c>
      <c r="W321" s="35" t="n">
        <v>-0.3392568659127625</v>
      </c>
      <c r="X321" s="35" t="n">
        <v>0.1456582633053221</v>
      </c>
      <c r="Y321" s="30" t="n">
        <v>43617167</v>
      </c>
      <c r="Z321" s="30" t="n">
        <v>1783942130300</v>
      </c>
      <c r="AA321" s="30" t="n">
        <v>14603140500</v>
      </c>
      <c r="AB321" s="30" t="n">
        <v>13300768125</v>
      </c>
      <c r="AC321" s="35" t="n">
        <v>0.008185882407264094</v>
      </c>
      <c r="AD321" s="24" t="inlineStr">
        <is>
          <t>yfinance_download</t>
        </is>
      </c>
      <c r="AE321" s="24" t="inlineStr">
        <is>
          <t>000990.KS</t>
        </is>
      </c>
    </row>
    <row r="322" ht="24" customHeight="1">
      <c r="A322" s="29" t="inlineStr">
        <is>
          <t>2024-09-27</t>
        </is>
      </c>
      <c r="B322" s="31" t="n">
        <v>40350</v>
      </c>
      <c r="C322" s="31" t="n">
        <v>40950</v>
      </c>
      <c r="D322" s="31" t="n">
        <v>40350</v>
      </c>
      <c r="E322" s="31" t="n">
        <v>40600</v>
      </c>
      <c r="F322" s="31" t="n">
        <v>39128.7109375</v>
      </c>
      <c r="G322" s="31" t="n">
        <v>192292</v>
      </c>
      <c r="H322" s="36" t="n">
        <v>-0.007334963325183352</v>
      </c>
      <c r="I322" s="36" t="n">
        <v>-0.5217903415783274</v>
      </c>
      <c r="J322" s="31" t="n">
        <v>38615</v>
      </c>
      <c r="K322" s="31" t="n">
        <v>44823.33333333334</v>
      </c>
      <c r="L322" s="31" t="n">
        <v>44264.16666666666</v>
      </c>
      <c r="M322" s="36" t="n">
        <v>0.439657966457709</v>
      </c>
      <c r="N322" s="36" t="n">
        <v>0.5384150452310925</v>
      </c>
      <c r="O322" s="36" t="n">
        <v>0.003708281829418958</v>
      </c>
      <c r="P322" s="36" t="n">
        <v>-0.1611570247933884</v>
      </c>
      <c r="Q322" s="36" t="n">
        <v>-0.1343283582089553</v>
      </c>
      <c r="R322" s="36" t="n">
        <v>0.05140489447106056</v>
      </c>
      <c r="S322" s="36" t="n">
        <v>-0.09422175950026035</v>
      </c>
      <c r="T322" s="36" t="n">
        <v>-0.0827795244460342</v>
      </c>
      <c r="U322" s="31" t="n">
        <v>61900</v>
      </c>
      <c r="V322" s="31" t="n">
        <v>35700</v>
      </c>
      <c r="W322" s="36" t="n">
        <v>-0.3441033925686591</v>
      </c>
      <c r="X322" s="36" t="n">
        <v>0.1372549019607843</v>
      </c>
      <c r="Y322" s="31" t="n">
        <v>43617167</v>
      </c>
      <c r="Z322" s="31" t="n">
        <v>1770856980200</v>
      </c>
      <c r="AA322" s="31" t="n">
        <v>7807055200</v>
      </c>
      <c r="AB322" s="31" t="n">
        <v>13276658050</v>
      </c>
      <c r="AC322" s="36" t="n">
        <v>0.004408631124529478</v>
      </c>
      <c r="AD322" s="29" t="inlineStr">
        <is>
          <t>yfinance_download</t>
        </is>
      </c>
      <c r="AE322" s="29" t="inlineStr">
        <is>
          <t>000990.KS</t>
        </is>
      </c>
    </row>
    <row r="323" ht="24" customHeight="1">
      <c r="A323" s="24" t="inlineStr">
        <is>
          <t>2024-09-30</t>
        </is>
      </c>
      <c r="B323" s="30" t="n">
        <v>40050</v>
      </c>
      <c r="C323" s="30" t="n">
        <v>40900</v>
      </c>
      <c r="D323" s="30" t="n">
        <v>39600</v>
      </c>
      <c r="E323" s="30" t="n">
        <v>40300</v>
      </c>
      <c r="F323" s="30" t="n">
        <v>38839.58203125</v>
      </c>
      <c r="G323" s="30" t="n">
        <v>222645</v>
      </c>
      <c r="H323" s="35" t="n">
        <v>-0.007389162561576401</v>
      </c>
      <c r="I323" s="35" t="n">
        <v>-0.525323910482921</v>
      </c>
      <c r="J323" s="30" t="n">
        <v>38547.5</v>
      </c>
      <c r="K323" s="30" t="n">
        <v>44705.83333333334</v>
      </c>
      <c r="L323" s="30" t="n">
        <v>44213.75</v>
      </c>
      <c r="M323" s="35" t="n">
        <v>0.4265886809081622</v>
      </c>
      <c r="N323" s="35" t="n">
        <v>0.5370153146579973</v>
      </c>
      <c r="O323" s="35" t="n">
        <v>-0.03241296518607439</v>
      </c>
      <c r="P323" s="35" t="n">
        <v>-0.1488912354804647</v>
      </c>
      <c r="Q323" s="35" t="n">
        <v>-0.1305285868392665</v>
      </c>
      <c r="R323" s="35" t="n">
        <v>0.04546338932485905</v>
      </c>
      <c r="S323" s="35" t="n">
        <v>-0.09855164314873155</v>
      </c>
      <c r="T323" s="35" t="n">
        <v>-0.08851884312007008</v>
      </c>
      <c r="U323" s="30" t="n">
        <v>61900</v>
      </c>
      <c r="V323" s="30" t="n">
        <v>35700</v>
      </c>
      <c r="W323" s="35" t="n">
        <v>-0.3489499192245558</v>
      </c>
      <c r="X323" s="35" t="n">
        <v>0.1288515406162465</v>
      </c>
      <c r="Y323" s="30" t="n">
        <v>43617167</v>
      </c>
      <c r="Z323" s="30" t="n">
        <v>1757771830100</v>
      </c>
      <c r="AA323" s="30" t="n">
        <v>8972593500</v>
      </c>
      <c r="AB323" s="30" t="n">
        <v>13039916150</v>
      </c>
      <c r="AC323" s="35" t="n">
        <v>0.005104526848339325</v>
      </c>
      <c r="AD323" s="24" t="inlineStr">
        <is>
          <t>yfinance_download</t>
        </is>
      </c>
      <c r="AE323" s="24" t="inlineStr">
        <is>
          <t>000990.KS</t>
        </is>
      </c>
    </row>
    <row r="324" ht="24" customHeight="1">
      <c r="A324" s="29" t="inlineStr">
        <is>
          <t>2024-10-02</t>
        </is>
      </c>
      <c r="B324" s="31" t="n">
        <v>39650</v>
      </c>
      <c r="C324" s="31" t="n">
        <v>41400</v>
      </c>
      <c r="D324" s="31" t="n">
        <v>39450</v>
      </c>
      <c r="E324" s="31" t="n">
        <v>40450</v>
      </c>
      <c r="F324" s="31" t="n">
        <v>38984.14453125</v>
      </c>
      <c r="G324" s="31" t="n">
        <v>227110</v>
      </c>
      <c r="H324" s="36" t="n">
        <v>0.003722084367245637</v>
      </c>
      <c r="I324" s="36" t="n">
        <v>-0.5235571260306242</v>
      </c>
      <c r="J324" s="31" t="n">
        <v>38527.5</v>
      </c>
      <c r="K324" s="31" t="n">
        <v>44563.33333333334</v>
      </c>
      <c r="L324" s="31" t="n">
        <v>44174.58333333334</v>
      </c>
      <c r="M324" s="36" t="n">
        <v>0.4215611484201836</v>
      </c>
      <c r="N324" s="36" t="n">
        <v>0.531629321651729</v>
      </c>
      <c r="O324" s="36" t="n">
        <v>-0.009791921664626724</v>
      </c>
      <c r="P324" s="36" t="n">
        <v>-0.1744897959183673</v>
      </c>
      <c r="Q324" s="36" t="n">
        <v>-0.1040974529346622</v>
      </c>
      <c r="R324" s="36" t="n">
        <v>0.049899422490429</v>
      </c>
      <c r="S324" s="36" t="n">
        <v>-0.09230308923629293</v>
      </c>
      <c r="T324" s="36" t="n">
        <v>-0.08431507559965667</v>
      </c>
      <c r="U324" s="31" t="n">
        <v>61900</v>
      </c>
      <c r="V324" s="31" t="n">
        <v>35700</v>
      </c>
      <c r="W324" s="36" t="n">
        <v>-0.3465266558966075</v>
      </c>
      <c r="X324" s="36" t="n">
        <v>0.1330532212885154</v>
      </c>
      <c r="Y324" s="31" t="n">
        <v>43617167</v>
      </c>
      <c r="Z324" s="31" t="n">
        <v>1764314405150</v>
      </c>
      <c r="AA324" s="31" t="n">
        <v>9186599500</v>
      </c>
      <c r="AB324" s="31" t="n">
        <v>13050504790</v>
      </c>
      <c r="AC324" s="36" t="n">
        <v>0.005206894799013425</v>
      </c>
      <c r="AD324" s="29" t="inlineStr">
        <is>
          <t>yfinance_download</t>
        </is>
      </c>
      <c r="AE324" s="29" t="inlineStr">
        <is>
          <t>000990.KS</t>
        </is>
      </c>
    </row>
    <row r="325" ht="24" customHeight="1">
      <c r="A325" s="24" t="inlineStr">
        <is>
          <t>2024-10-04</t>
        </is>
      </c>
      <c r="B325" s="30" t="n">
        <v>40500</v>
      </c>
      <c r="C325" s="30" t="n">
        <v>41200</v>
      </c>
      <c r="D325" s="30" t="n">
        <v>40500</v>
      </c>
      <c r="E325" s="30" t="n">
        <v>40750</v>
      </c>
      <c r="F325" s="30" t="n">
        <v>39273.2734375</v>
      </c>
      <c r="G325" s="30" t="n">
        <v>123310</v>
      </c>
      <c r="H325" s="35" t="n">
        <v>0.007416563658838138</v>
      </c>
      <c r="I325" s="35" t="n">
        <v>-0.5200235571260305</v>
      </c>
      <c r="J325" s="30" t="n">
        <v>38527.5</v>
      </c>
      <c r="K325" s="30" t="n">
        <v>44375.83333333334</v>
      </c>
      <c r="L325" s="30" t="n">
        <v>44136.25</v>
      </c>
      <c r="M325" s="35" t="n">
        <v>0.4223043299478326</v>
      </c>
      <c r="N325" s="35" t="n">
        <v>0.5152113867800256</v>
      </c>
      <c r="O325" s="35" t="n">
        <v>0</v>
      </c>
      <c r="P325" s="35" t="n">
        <v>-0.2163461538461539</v>
      </c>
      <c r="Q325" s="35" t="n">
        <v>-0.101433296582139</v>
      </c>
      <c r="R325" s="35" t="n">
        <v>0.05768606839270651</v>
      </c>
      <c r="S325" s="35" t="n">
        <v>-0.08170738577679293</v>
      </c>
      <c r="T325" s="35" t="n">
        <v>-0.07672264861650002</v>
      </c>
      <c r="U325" s="30" t="n">
        <v>61900</v>
      </c>
      <c r="V325" s="30" t="n">
        <v>35700</v>
      </c>
      <c r="W325" s="35" t="n">
        <v>-0.3416801292407108</v>
      </c>
      <c r="X325" s="35" t="n">
        <v>0.1414565826330532</v>
      </c>
      <c r="Y325" s="30" t="n">
        <v>43617167</v>
      </c>
      <c r="Z325" s="30" t="n">
        <v>1777399555250</v>
      </c>
      <c r="AA325" s="30" t="n">
        <v>5024882500</v>
      </c>
      <c r="AB325" s="30" t="n">
        <v>12838555890</v>
      </c>
      <c r="AC325" s="35" t="n">
        <v>0.002827097871808135</v>
      </c>
      <c r="AD325" s="24" t="inlineStr">
        <is>
          <t>yfinance_download</t>
        </is>
      </c>
      <c r="AE325" s="24" t="inlineStr">
        <is>
          <t>000990.KS</t>
        </is>
      </c>
    </row>
    <row r="326" ht="24" customHeight="1">
      <c r="A326" s="29" t="inlineStr">
        <is>
          <t>2024-10-07</t>
        </is>
      </c>
      <c r="B326" s="31" t="n">
        <v>41150</v>
      </c>
      <c r="C326" s="31" t="n">
        <v>41650</v>
      </c>
      <c r="D326" s="31" t="n">
        <v>40700</v>
      </c>
      <c r="E326" s="31" t="n">
        <v>41350</v>
      </c>
      <c r="F326" s="31" t="n">
        <v>39851.53515625</v>
      </c>
      <c r="G326" s="31" t="n">
        <v>146210</v>
      </c>
      <c r="H326" s="36" t="n">
        <v>0.01472392638036801</v>
      </c>
      <c r="I326" s="36" t="n">
        <v>-0.5129564193168433</v>
      </c>
      <c r="J326" s="31" t="n">
        <v>38570</v>
      </c>
      <c r="K326" s="31" t="n">
        <v>44216.66666666666</v>
      </c>
      <c r="L326" s="31" t="n">
        <v>44114.58333333334</v>
      </c>
      <c r="M326" s="36" t="n">
        <v>0.424551139862115</v>
      </c>
      <c r="N326" s="36" t="n">
        <v>0.5152130397462071</v>
      </c>
      <c r="O326" s="36" t="n">
        <v>0.0209876543209877</v>
      </c>
      <c r="P326" s="36" t="n">
        <v>-0.18762278978389</v>
      </c>
      <c r="Q326" s="36" t="n">
        <v>-0.0591581342434585</v>
      </c>
      <c r="R326" s="36" t="n">
        <v>0.07207674358309557</v>
      </c>
      <c r="S326" s="36" t="n">
        <v>-0.06483226535996978</v>
      </c>
      <c r="T326" s="36" t="n">
        <v>-0.06266824085005906</v>
      </c>
      <c r="U326" s="31" t="n">
        <v>61900</v>
      </c>
      <c r="V326" s="31" t="n">
        <v>35700</v>
      </c>
      <c r="W326" s="36" t="n">
        <v>-0.3319870759289176</v>
      </c>
      <c r="X326" s="36" t="n">
        <v>0.158263305322129</v>
      </c>
      <c r="Y326" s="31" t="n">
        <v>43617167</v>
      </c>
      <c r="Z326" s="31" t="n">
        <v>1803569855450</v>
      </c>
      <c r="AA326" s="31" t="n">
        <v>6045783500</v>
      </c>
      <c r="AB326" s="31" t="n">
        <v>12744068590</v>
      </c>
      <c r="AC326" s="36" t="n">
        <v>0.003352120507964215</v>
      </c>
      <c r="AD326" s="29" t="inlineStr">
        <is>
          <t>yfinance_download</t>
        </is>
      </c>
      <c r="AE326" s="29" t="inlineStr">
        <is>
          <t>000990.KS</t>
        </is>
      </c>
    </row>
    <row r="327" ht="24" customHeight="1">
      <c r="A327" s="24" t="inlineStr">
        <is>
          <t>2024-10-08</t>
        </is>
      </c>
      <c r="B327" s="30" t="n">
        <v>41200</v>
      </c>
      <c r="C327" s="30" t="n">
        <v>41700</v>
      </c>
      <c r="D327" s="30" t="n">
        <v>40050</v>
      </c>
      <c r="E327" s="30" t="n">
        <v>40150</v>
      </c>
      <c r="F327" s="30" t="n">
        <v>38695.015625</v>
      </c>
      <c r="G327" s="30" t="n">
        <v>204894</v>
      </c>
      <c r="H327" s="35" t="n">
        <v>-0.02902055622732769</v>
      </c>
      <c r="I327" s="35" t="n">
        <v>-0.5270906949352179</v>
      </c>
      <c r="J327" s="30" t="n">
        <v>38562.5</v>
      </c>
      <c r="K327" s="30" t="n">
        <v>44039.16666666666</v>
      </c>
      <c r="L327" s="30" t="n">
        <v>44078.75</v>
      </c>
      <c r="M327" s="35" t="n">
        <v>0.4377048105826391</v>
      </c>
      <c r="N327" s="35" t="n">
        <v>0.5179747211810823</v>
      </c>
      <c r="O327" s="35" t="n">
        <v>-0.003722084367245637</v>
      </c>
      <c r="P327" s="35" t="n">
        <v>-0.2096456692913385</v>
      </c>
      <c r="Q327" s="35" t="n">
        <v>-0.0967379077615298</v>
      </c>
      <c r="R327" s="35" t="n">
        <v>0.04116693679092376</v>
      </c>
      <c r="S327" s="35" t="n">
        <v>-0.08831154086324666</v>
      </c>
      <c r="T327" s="35" t="n">
        <v>-0.08913024983693962</v>
      </c>
      <c r="U327" s="30" t="n">
        <v>61900</v>
      </c>
      <c r="V327" s="30" t="n">
        <v>35700</v>
      </c>
      <c r="W327" s="35" t="n">
        <v>-0.351373182552504</v>
      </c>
      <c r="X327" s="35" t="n">
        <v>0.1246498599439776</v>
      </c>
      <c r="Y327" s="30" t="n">
        <v>43617167</v>
      </c>
      <c r="Z327" s="30" t="n">
        <v>1751229255050</v>
      </c>
      <c r="AA327" s="30" t="n">
        <v>8226494100</v>
      </c>
      <c r="AB327" s="30" t="n">
        <v>12793301825</v>
      </c>
      <c r="AC327" s="35" t="n">
        <v>0.004697554061684015</v>
      </c>
      <c r="AD327" s="24" t="inlineStr">
        <is>
          <t>yfinance_download</t>
        </is>
      </c>
      <c r="AE327" s="24" t="inlineStr">
        <is>
          <t>000990.KS</t>
        </is>
      </c>
    </row>
    <row r="328" ht="24" customHeight="1">
      <c r="A328" s="29" t="inlineStr">
        <is>
          <t>2024-10-10</t>
        </is>
      </c>
      <c r="B328" s="31" t="n">
        <v>40650</v>
      </c>
      <c r="C328" s="31" t="n">
        <v>40800</v>
      </c>
      <c r="D328" s="31" t="n">
        <v>39800</v>
      </c>
      <c r="E328" s="31" t="n">
        <v>39800</v>
      </c>
      <c r="F328" s="31" t="n">
        <v>38357.703125</v>
      </c>
      <c r="G328" s="31" t="n">
        <v>243209</v>
      </c>
      <c r="H328" s="36" t="n">
        <v>-0.008717310087173136</v>
      </c>
      <c r="I328" s="36" t="n">
        <v>-0.5312131919905771</v>
      </c>
      <c r="J328" s="31" t="n">
        <v>38650</v>
      </c>
      <c r="K328" s="31" t="n">
        <v>43835.83333333334</v>
      </c>
      <c r="L328" s="31" t="n">
        <v>44041.25</v>
      </c>
      <c r="M328" s="36" t="n">
        <v>0.386732621528441</v>
      </c>
      <c r="N328" s="36" t="n">
        <v>0.5150077174300904</v>
      </c>
      <c r="O328" s="36" t="n">
        <v>0.04599211563731931</v>
      </c>
      <c r="P328" s="36" t="n">
        <v>-0.2346153846153847</v>
      </c>
      <c r="Q328" s="36" t="n">
        <v>-0.1015801354401806</v>
      </c>
      <c r="R328" s="36" t="n">
        <v>0.02975420439844756</v>
      </c>
      <c r="S328" s="36" t="n">
        <v>-0.09206699237686067</v>
      </c>
      <c r="T328" s="36" t="n">
        <v>-0.09630176255215284</v>
      </c>
      <c r="U328" s="31" t="n">
        <v>61900</v>
      </c>
      <c r="V328" s="31" t="n">
        <v>35700</v>
      </c>
      <c r="W328" s="36" t="n">
        <v>-0.3570274636510501</v>
      </c>
      <c r="X328" s="36" t="n">
        <v>0.1148459383753502</v>
      </c>
      <c r="Y328" s="31" t="n">
        <v>43617167</v>
      </c>
      <c r="Z328" s="31" t="n">
        <v>1735963246600</v>
      </c>
      <c r="AA328" s="31" t="n">
        <v>9679718200</v>
      </c>
      <c r="AB328" s="31" t="n">
        <v>12367356230</v>
      </c>
      <c r="AC328" s="36" t="n">
        <v>0.005575992590256951</v>
      </c>
      <c r="AD328" s="29" t="inlineStr">
        <is>
          <t>yfinance_download</t>
        </is>
      </c>
      <c r="AE328" s="29" t="inlineStr">
        <is>
          <t>000990.KS</t>
        </is>
      </c>
    </row>
    <row r="329" ht="24" customHeight="1">
      <c r="A329" s="24" t="inlineStr">
        <is>
          <t>2024-10-11</t>
        </is>
      </c>
      <c r="B329" s="30" t="n">
        <v>39850</v>
      </c>
      <c r="C329" s="30" t="n">
        <v>40950</v>
      </c>
      <c r="D329" s="30" t="n">
        <v>39800</v>
      </c>
      <c r="E329" s="30" t="n">
        <v>40500</v>
      </c>
      <c r="F329" s="30" t="n">
        <v>39032.3359375</v>
      </c>
      <c r="G329" s="30" t="n">
        <v>292325</v>
      </c>
      <c r="H329" s="35" t="n">
        <v>0.01758793969849237</v>
      </c>
      <c r="I329" s="35" t="n">
        <v>-0.5229681978798586</v>
      </c>
      <c r="J329" s="30" t="n">
        <v>38805</v>
      </c>
      <c r="K329" s="30" t="n">
        <v>43667.5</v>
      </c>
      <c r="L329" s="30" t="n">
        <v>44013.75</v>
      </c>
      <c r="M329" s="35" t="n">
        <v>0.3829773064704269</v>
      </c>
      <c r="N329" s="35" t="n">
        <v>0.5145915042415015</v>
      </c>
      <c r="O329" s="35" t="n">
        <v>0.08288770053475947</v>
      </c>
      <c r="P329" s="35" t="n">
        <v>-0.1996047430830039</v>
      </c>
      <c r="Q329" s="35" t="n">
        <v>-0.07534246575342463</v>
      </c>
      <c r="R329" s="35" t="n">
        <v>0.04367993815229987</v>
      </c>
      <c r="S329" s="35" t="n">
        <v>-0.07253678364916705</v>
      </c>
      <c r="T329" s="35" t="n">
        <v>-0.07983300673085114</v>
      </c>
      <c r="U329" s="30" t="n">
        <v>61900</v>
      </c>
      <c r="V329" s="30" t="n">
        <v>35700</v>
      </c>
      <c r="W329" s="35" t="n">
        <v>-0.345718901453958</v>
      </c>
      <c r="X329" s="35" t="n">
        <v>0.134453781512605</v>
      </c>
      <c r="Y329" s="30" t="n">
        <v>43617167</v>
      </c>
      <c r="Z329" s="30" t="n">
        <v>1766495263500</v>
      </c>
      <c r="AA329" s="30" t="n">
        <v>11839162500</v>
      </c>
      <c r="AB329" s="30" t="n">
        <v>12484667215</v>
      </c>
      <c r="AC329" s="35" t="n">
        <v>0.006702062974424726</v>
      </c>
      <c r="AD329" s="24" t="inlineStr">
        <is>
          <t>yfinance_download</t>
        </is>
      </c>
      <c r="AE329" s="24" t="inlineStr">
        <is>
          <t>000990.KS</t>
        </is>
      </c>
    </row>
    <row r="330" ht="24" customHeight="1">
      <c r="A330" s="29" t="inlineStr">
        <is>
          <t>2024-10-14</t>
        </is>
      </c>
      <c r="B330" s="31" t="n">
        <v>40900</v>
      </c>
      <c r="C330" s="31" t="n">
        <v>41850</v>
      </c>
      <c r="D330" s="31" t="n">
        <v>40650</v>
      </c>
      <c r="E330" s="31" t="n">
        <v>40500</v>
      </c>
      <c r="F330" s="31" t="n">
        <v>39032.3359375</v>
      </c>
      <c r="G330" s="31" t="n">
        <v>269135</v>
      </c>
      <c r="H330" s="36" t="n">
        <v>0</v>
      </c>
      <c r="I330" s="36" t="n">
        <v>-0.5229681978798586</v>
      </c>
      <c r="J330" s="31" t="n">
        <v>39005</v>
      </c>
      <c r="K330" s="31" t="n">
        <v>43497.5</v>
      </c>
      <c r="L330" s="31" t="n">
        <v>44001.25</v>
      </c>
      <c r="M330" s="36" t="n">
        <v>0.3686276669605524</v>
      </c>
      <c r="N330" s="36" t="n">
        <v>0.5145230280734979</v>
      </c>
      <c r="O330" s="36" t="n">
        <v>0.1095890410958904</v>
      </c>
      <c r="P330" s="36" t="n">
        <v>-0.2011834319526628</v>
      </c>
      <c r="Q330" s="36" t="n">
        <v>-0.0357142857142857</v>
      </c>
      <c r="R330" s="36" t="n">
        <v>0.03832841943340592</v>
      </c>
      <c r="S330" s="36" t="n">
        <v>-0.06891200643715156</v>
      </c>
      <c r="T330" s="36" t="n">
        <v>-0.07957160307945799</v>
      </c>
      <c r="U330" s="31" t="n">
        <v>61900</v>
      </c>
      <c r="V330" s="31" t="n">
        <v>35700</v>
      </c>
      <c r="W330" s="36" t="n">
        <v>-0.345718901453958</v>
      </c>
      <c r="X330" s="36" t="n">
        <v>0.134453781512605</v>
      </c>
      <c r="Y330" s="31" t="n">
        <v>43617167</v>
      </c>
      <c r="Z330" s="31" t="n">
        <v>1766495263500</v>
      </c>
      <c r="AA330" s="31" t="n">
        <v>10899967500</v>
      </c>
      <c r="AB330" s="31" t="n">
        <v>12607678140</v>
      </c>
      <c r="AC330" s="36" t="n">
        <v>0.00617039157999418</v>
      </c>
      <c r="AD330" s="29" t="inlineStr">
        <is>
          <t>yfinance_download</t>
        </is>
      </c>
      <c r="AE330" s="29" t="inlineStr">
        <is>
          <t>000990.KS</t>
        </is>
      </c>
    </row>
    <row r="331" ht="24" customHeight="1">
      <c r="A331" s="24" t="inlineStr">
        <is>
          <t>2024-10-15</t>
        </is>
      </c>
      <c r="B331" s="30" t="n">
        <v>41950</v>
      </c>
      <c r="C331" s="30" t="n">
        <v>41950</v>
      </c>
      <c r="D331" s="30" t="n">
        <v>40800</v>
      </c>
      <c r="E331" s="30" t="n">
        <v>40850</v>
      </c>
      <c r="F331" s="30" t="n">
        <v>39369.65234375</v>
      </c>
      <c r="G331" s="30" t="n">
        <v>162499</v>
      </c>
      <c r="H331" s="35" t="n">
        <v>0.008641975308641969</v>
      </c>
      <c r="I331" s="35" t="n">
        <v>-0.5188457008244994</v>
      </c>
      <c r="J331" s="30" t="n">
        <v>39215</v>
      </c>
      <c r="K331" s="30" t="n">
        <v>43340</v>
      </c>
      <c r="L331" s="30" t="n">
        <v>44000</v>
      </c>
      <c r="M331" s="35" t="n">
        <v>0.3687576138869055</v>
      </c>
      <c r="N331" s="35" t="n">
        <v>0.5149950276996959</v>
      </c>
      <c r="O331" s="35" t="n">
        <v>0.1145975443383356</v>
      </c>
      <c r="P331" s="35" t="n">
        <v>-0.1878727634194831</v>
      </c>
      <c r="Q331" s="35" t="n">
        <v>-0.003658536585365857</v>
      </c>
      <c r="R331" s="35" t="n">
        <v>0.04169322963151845</v>
      </c>
      <c r="S331" s="35" t="n">
        <v>-0.05745269958467925</v>
      </c>
      <c r="T331" s="35" t="n">
        <v>-0.07159090909090904</v>
      </c>
      <c r="U331" s="30" t="n">
        <v>61900</v>
      </c>
      <c r="V331" s="30" t="n">
        <v>35700</v>
      </c>
      <c r="W331" s="35" t="n">
        <v>-0.340064620355412</v>
      </c>
      <c r="X331" s="35" t="n">
        <v>0.1442577030812324</v>
      </c>
      <c r="Y331" s="30" t="n">
        <v>43617167</v>
      </c>
      <c r="Z331" s="30" t="n">
        <v>1781761271950</v>
      </c>
      <c r="AA331" s="30" t="n">
        <v>6638084150</v>
      </c>
      <c r="AB331" s="30" t="n">
        <v>12726878575</v>
      </c>
      <c r="AC331" s="35" t="n">
        <v>0.003725574382215149</v>
      </c>
      <c r="AD331" s="24" t="inlineStr">
        <is>
          <t>yfinance_download</t>
        </is>
      </c>
      <c r="AE331" s="24" t="inlineStr">
        <is>
          <t>000990.KS</t>
        </is>
      </c>
    </row>
    <row r="332" ht="24" customHeight="1">
      <c r="A332" s="29" t="inlineStr">
        <is>
          <t>2024-10-16</t>
        </is>
      </c>
      <c r="B332" s="31" t="n">
        <v>40500</v>
      </c>
      <c r="C332" s="31" t="n">
        <v>41050</v>
      </c>
      <c r="D332" s="31" t="n">
        <v>40000</v>
      </c>
      <c r="E332" s="31" t="n">
        <v>40300</v>
      </c>
      <c r="F332" s="31" t="n">
        <v>38839.58203125</v>
      </c>
      <c r="G332" s="31" t="n">
        <v>177932</v>
      </c>
      <c r="H332" s="36" t="n">
        <v>-0.01346389228886169</v>
      </c>
      <c r="I332" s="36" t="n">
        <v>-0.525323910482921</v>
      </c>
      <c r="J332" s="31" t="n">
        <v>39395</v>
      </c>
      <c r="K332" s="31" t="n">
        <v>43141.66666666666</v>
      </c>
      <c r="L332" s="31" t="n">
        <v>43995.83333333334</v>
      </c>
      <c r="M332" s="36" t="n">
        <v>0.3747731120249621</v>
      </c>
      <c r="N332" s="36" t="n">
        <v>0.5083619751391594</v>
      </c>
      <c r="O332" s="36" t="n">
        <v>0.09809264305177101</v>
      </c>
      <c r="P332" s="36" t="n">
        <v>-0.2279693486590039</v>
      </c>
      <c r="Q332" s="36" t="n">
        <v>-0.01225490196078427</v>
      </c>
      <c r="R332" s="36" t="n">
        <v>0.02297245843381135</v>
      </c>
      <c r="S332" s="36" t="n">
        <v>-0.06586826347305386</v>
      </c>
      <c r="T332" s="36" t="n">
        <v>-0.08400416706127478</v>
      </c>
      <c r="U332" s="31" t="n">
        <v>61900</v>
      </c>
      <c r="V332" s="31" t="n">
        <v>35700</v>
      </c>
      <c r="W332" s="36" t="n">
        <v>-0.3489499192245558</v>
      </c>
      <c r="X332" s="36" t="n">
        <v>0.1288515406162465</v>
      </c>
      <c r="Y332" s="31" t="n">
        <v>43617167</v>
      </c>
      <c r="Z332" s="31" t="n">
        <v>1757771830100</v>
      </c>
      <c r="AA332" s="31" t="n">
        <v>7170659600</v>
      </c>
      <c r="AB332" s="31" t="n">
        <v>12815266525</v>
      </c>
      <c r="AC332" s="36" t="n">
        <v>0.004079402956180075</v>
      </c>
      <c r="AD332" s="29" t="inlineStr">
        <is>
          <t>yfinance_download</t>
        </is>
      </c>
      <c r="AE332" s="29" t="inlineStr">
        <is>
          <t>000990.KS</t>
        </is>
      </c>
    </row>
    <row r="333" ht="24" customHeight="1">
      <c r="A333" s="24" t="inlineStr">
        <is>
          <t>2024-10-17</t>
        </is>
      </c>
      <c r="B333" s="30" t="n">
        <v>40950</v>
      </c>
      <c r="C333" s="30" t="n">
        <v>41000</v>
      </c>
      <c r="D333" s="30" t="n">
        <v>40150</v>
      </c>
      <c r="E333" s="30" t="n">
        <v>40200</v>
      </c>
      <c r="F333" s="30" t="n">
        <v>38743.20703125</v>
      </c>
      <c r="G333" s="30" t="n">
        <v>106100</v>
      </c>
      <c r="H333" s="35" t="n">
        <v>-0.002481389578163795</v>
      </c>
      <c r="I333" s="35" t="n">
        <v>-0.5265017667844523</v>
      </c>
      <c r="J333" s="30" t="n">
        <v>39620</v>
      </c>
      <c r="K333" s="30" t="n">
        <v>42935</v>
      </c>
      <c r="L333" s="30" t="n">
        <v>43983.33333333334</v>
      </c>
      <c r="M333" s="35" t="n">
        <v>0.3564128255419535</v>
      </c>
      <c r="N333" s="35" t="n">
        <v>0.5078114100189318</v>
      </c>
      <c r="O333" s="35" t="n">
        <v>0.1260504201680672</v>
      </c>
      <c r="P333" s="35" t="n">
        <v>-0.2357414448669202</v>
      </c>
      <c r="Q333" s="35" t="n">
        <v>-0.03597122302158273</v>
      </c>
      <c r="R333" s="35" t="n">
        <v>0.01463907117617369</v>
      </c>
      <c r="S333" s="35" t="n">
        <v>-0.06370094328636311</v>
      </c>
      <c r="T333" s="35" t="n">
        <v>-0.08601743084501712</v>
      </c>
      <c r="U333" s="30" t="n">
        <v>61900</v>
      </c>
      <c r="V333" s="30" t="n">
        <v>35700</v>
      </c>
      <c r="W333" s="35" t="n">
        <v>-0.3505654281098546</v>
      </c>
      <c r="X333" s="35" t="n">
        <v>0.1260504201680672</v>
      </c>
      <c r="Y333" s="30" t="n">
        <v>43617167</v>
      </c>
      <c r="Z333" s="30" t="n">
        <v>1753410113400</v>
      </c>
      <c r="AA333" s="30" t="n">
        <v>4265220000</v>
      </c>
      <c r="AB333" s="30" t="n">
        <v>12632984020</v>
      </c>
      <c r="AC333" s="35" t="n">
        <v>0.002432528458347604</v>
      </c>
      <c r="AD333" s="24" t="inlineStr">
        <is>
          <t>yfinance_download</t>
        </is>
      </c>
      <c r="AE333" s="24" t="inlineStr">
        <is>
          <t>000990.KS</t>
        </is>
      </c>
    </row>
    <row r="334" ht="24" customHeight="1">
      <c r="A334" s="29" t="inlineStr">
        <is>
          <t>2024-10-18</t>
        </is>
      </c>
      <c r="B334" s="31" t="n">
        <v>40150</v>
      </c>
      <c r="C334" s="31" t="n">
        <v>40500</v>
      </c>
      <c r="D334" s="31" t="n">
        <v>38550</v>
      </c>
      <c r="E334" s="31" t="n">
        <v>38650</v>
      </c>
      <c r="F334" s="31" t="n">
        <v>37249.375</v>
      </c>
      <c r="G334" s="31" t="n">
        <v>204572</v>
      </c>
      <c r="H334" s="36" t="n">
        <v>-0.03855721393034828</v>
      </c>
      <c r="I334" s="36" t="n">
        <v>-0.5447585394581861</v>
      </c>
      <c r="J334" s="31" t="n">
        <v>39720</v>
      </c>
      <c r="K334" s="31" t="n">
        <v>42687.5</v>
      </c>
      <c r="L334" s="31" t="n">
        <v>43955.83333333334</v>
      </c>
      <c r="M334" s="36" t="n">
        <v>0.3811014192062386</v>
      </c>
      <c r="N334" s="36" t="n">
        <v>0.5107571005909893</v>
      </c>
      <c r="O334" s="36" t="n">
        <v>0.05457025920873115</v>
      </c>
      <c r="P334" s="36" t="n">
        <v>-0.2775700934579439</v>
      </c>
      <c r="Q334" s="36" t="n">
        <v>-0.07866507747318241</v>
      </c>
      <c r="R334" s="36" t="n">
        <v>-0.0269385699899295</v>
      </c>
      <c r="S334" s="36" t="n">
        <v>-0.09458272327964856</v>
      </c>
      <c r="T334" s="36" t="n">
        <v>-0.1207082867272072</v>
      </c>
      <c r="U334" s="31" t="n">
        <v>61900</v>
      </c>
      <c r="V334" s="31" t="n">
        <v>35700</v>
      </c>
      <c r="W334" s="36" t="n">
        <v>-0.375605815831987</v>
      </c>
      <c r="X334" s="36" t="n">
        <v>0.08263305322128844</v>
      </c>
      <c r="Y334" s="31" t="n">
        <v>43617167</v>
      </c>
      <c r="Z334" s="31" t="n">
        <v>1685803504550</v>
      </c>
      <c r="AA334" s="31" t="n">
        <v>7906707800</v>
      </c>
      <c r="AB334" s="31" t="n">
        <v>12398417692.5</v>
      </c>
      <c r="AC334" s="36" t="n">
        <v>0.004690171647324092</v>
      </c>
      <c r="AD334" s="29" t="inlineStr">
        <is>
          <t>yfinance_download</t>
        </is>
      </c>
      <c r="AE334" s="29" t="inlineStr">
        <is>
          <t>000990.KS</t>
        </is>
      </c>
    </row>
    <row r="335" ht="24" customHeight="1">
      <c r="A335" s="24" t="inlineStr">
        <is>
          <t>2024-10-21</t>
        </is>
      </c>
      <c r="B335" s="30" t="n">
        <v>38550</v>
      </c>
      <c r="C335" s="30" t="n">
        <v>39000</v>
      </c>
      <c r="D335" s="30" t="n">
        <v>37700</v>
      </c>
      <c r="E335" s="30" t="n">
        <v>37850</v>
      </c>
      <c r="F335" s="30" t="n">
        <v>36478.3671875</v>
      </c>
      <c r="G335" s="30" t="n">
        <v>294927</v>
      </c>
      <c r="H335" s="35" t="n">
        <v>-0.02069857697283317</v>
      </c>
      <c r="I335" s="35" t="n">
        <v>-0.5541813898704357</v>
      </c>
      <c r="J335" s="30" t="n">
        <v>39732.5</v>
      </c>
      <c r="K335" s="30" t="n">
        <v>42420</v>
      </c>
      <c r="L335" s="30" t="n">
        <v>43928.75</v>
      </c>
      <c r="M335" s="35" t="n">
        <v>0.3797263202453547</v>
      </c>
      <c r="N335" s="35" t="n">
        <v>0.5111100091359995</v>
      </c>
      <c r="O335" s="35" t="n">
        <v>0.006648936170212671</v>
      </c>
      <c r="P335" s="35" t="n">
        <v>-0.2977736549165121</v>
      </c>
      <c r="Q335" s="35" t="n">
        <v>-0.07907542579075422</v>
      </c>
      <c r="R335" s="35" t="n">
        <v>-0.04737934939910649</v>
      </c>
      <c r="S335" s="35" t="n">
        <v>-0.1077322017916077</v>
      </c>
      <c r="T335" s="35" t="n">
        <v>-0.138377486270381</v>
      </c>
      <c r="U335" s="30" t="n">
        <v>61900</v>
      </c>
      <c r="V335" s="30" t="n">
        <v>35700</v>
      </c>
      <c r="W335" s="35" t="n">
        <v>-0.3885298869143781</v>
      </c>
      <c r="X335" s="35" t="n">
        <v>0.06022408963585435</v>
      </c>
      <c r="Y335" s="30" t="n">
        <v>43617167</v>
      </c>
      <c r="Z335" s="30" t="n">
        <v>1650909770950</v>
      </c>
      <c r="AA335" s="30" t="n">
        <v>11162986950</v>
      </c>
      <c r="AB335" s="30" t="n">
        <v>12614363800</v>
      </c>
      <c r="AC335" s="35" t="n">
        <v>0.006761718384873552</v>
      </c>
      <c r="AD335" s="24" t="inlineStr">
        <is>
          <t>yfinance_download</t>
        </is>
      </c>
      <c r="AE335" s="24" t="inlineStr">
        <is>
          <t>000990.KS</t>
        </is>
      </c>
    </row>
    <row r="336" ht="24" customHeight="1">
      <c r="A336" s="29" t="inlineStr">
        <is>
          <t>2024-10-22</t>
        </is>
      </c>
      <c r="B336" s="31" t="n">
        <v>37700</v>
      </c>
      <c r="C336" s="31" t="n">
        <v>38050</v>
      </c>
      <c r="D336" s="31" t="n">
        <v>36350</v>
      </c>
      <c r="E336" s="31" t="n">
        <v>36800</v>
      </c>
      <c r="F336" s="31" t="n">
        <v>35466.41796875</v>
      </c>
      <c r="G336" s="31" t="n">
        <v>314394</v>
      </c>
      <c r="H336" s="36" t="n">
        <v>-0.02774108322324964</v>
      </c>
      <c r="I336" s="36" t="n">
        <v>-0.5665488810365136</v>
      </c>
      <c r="J336" s="31" t="n">
        <v>39722.5</v>
      </c>
      <c r="K336" s="31" t="n">
        <v>42116.66666666666</v>
      </c>
      <c r="L336" s="31" t="n">
        <v>43894.16666666666</v>
      </c>
      <c r="M336" s="36" t="n">
        <v>0.3887376990209602</v>
      </c>
      <c r="N336" s="36" t="n">
        <v>0.5102715077986211</v>
      </c>
      <c r="O336" s="36" t="n">
        <v>-0.00540540540540535</v>
      </c>
      <c r="P336" s="36" t="n">
        <v>-0.3309090909090909</v>
      </c>
      <c r="Q336" s="36" t="n">
        <v>-0.1013431013431013</v>
      </c>
      <c r="R336" s="36" t="n">
        <v>-0.07357291207753791</v>
      </c>
      <c r="S336" s="36" t="n">
        <v>-0.1262366442421844</v>
      </c>
      <c r="T336" s="36" t="n">
        <v>-0.1616198052132971</v>
      </c>
      <c r="U336" s="31" t="n">
        <v>61900</v>
      </c>
      <c r="V336" s="31" t="n">
        <v>35700</v>
      </c>
      <c r="W336" s="36" t="n">
        <v>-0.4054927302100162</v>
      </c>
      <c r="X336" s="36" t="n">
        <v>0.03081232492997188</v>
      </c>
      <c r="Y336" s="31" t="n">
        <v>43617167</v>
      </c>
      <c r="Z336" s="31" t="n">
        <v>1605111745600</v>
      </c>
      <c r="AA336" s="31" t="n">
        <v>11569699200</v>
      </c>
      <c r="AB336" s="31" t="n">
        <v>12833521410</v>
      </c>
      <c r="AC336" s="36" t="n">
        <v>0.007208033479111562</v>
      </c>
      <c r="AD336" s="29" t="inlineStr">
        <is>
          <t>yfinance_download</t>
        </is>
      </c>
      <c r="AE336" s="29" t="inlineStr">
        <is>
          <t>000990.KS</t>
        </is>
      </c>
    </row>
    <row r="337" ht="24" customHeight="1">
      <c r="A337" s="24" t="inlineStr">
        <is>
          <t>2024-10-23</t>
        </is>
      </c>
      <c r="B337" s="30" t="n">
        <v>36500</v>
      </c>
      <c r="C337" s="30" t="n">
        <v>37150</v>
      </c>
      <c r="D337" s="30" t="n">
        <v>35800</v>
      </c>
      <c r="E337" s="30" t="n">
        <v>36900</v>
      </c>
      <c r="F337" s="30" t="n">
        <v>35562.79296875</v>
      </c>
      <c r="G337" s="30" t="n">
        <v>288303</v>
      </c>
      <c r="H337" s="35" t="n">
        <v>0.002717391304347894</v>
      </c>
      <c r="I337" s="35" t="n">
        <v>-0.5653710247349824</v>
      </c>
      <c r="J337" s="30" t="n">
        <v>39760</v>
      </c>
      <c r="K337" s="30" t="n">
        <v>41836.66666666666</v>
      </c>
      <c r="L337" s="30" t="n">
        <v>43864.16666666666</v>
      </c>
      <c r="M337" s="35" t="n">
        <v>0.379170662034238</v>
      </c>
      <c r="N337" s="35" t="n">
        <v>0.5092714245907478</v>
      </c>
      <c r="O337" s="35" t="n">
        <v>0.02074688796680491</v>
      </c>
      <c r="P337" s="35" t="n">
        <v>-0.3128491620111732</v>
      </c>
      <c r="Q337" s="35" t="n">
        <v>-0.08888888888888891</v>
      </c>
      <c r="R337" s="35" t="n">
        <v>-0.07193158953722334</v>
      </c>
      <c r="S337" s="35" t="n">
        <v>-0.1179985658513265</v>
      </c>
      <c r="T337" s="35" t="n">
        <v>-0.1587666470353553</v>
      </c>
      <c r="U337" s="30" t="n">
        <v>61900</v>
      </c>
      <c r="V337" s="30" t="n">
        <v>35700</v>
      </c>
      <c r="W337" s="35" t="n">
        <v>-0.4038772213247173</v>
      </c>
      <c r="X337" s="35" t="n">
        <v>0.03361344537815136</v>
      </c>
      <c r="Y337" s="30" t="n">
        <v>43617167</v>
      </c>
      <c r="Z337" s="30" t="n">
        <v>1609473462300</v>
      </c>
      <c r="AA337" s="30" t="n">
        <v>10638380700</v>
      </c>
      <c r="AB337" s="30" t="n">
        <v>12821467897.5</v>
      </c>
      <c r="AC337" s="35" t="n">
        <v>0.006609851575183689</v>
      </c>
      <c r="AD337" s="24" t="inlineStr">
        <is>
          <t>yfinance_download</t>
        </is>
      </c>
      <c r="AE337" s="24" t="inlineStr">
        <is>
          <t>000990.KS</t>
        </is>
      </c>
    </row>
    <row r="338" ht="24" customHeight="1">
      <c r="A338" s="29" t="inlineStr">
        <is>
          <t>2024-10-24</t>
        </is>
      </c>
      <c r="B338" s="31" t="n">
        <v>36500</v>
      </c>
      <c r="C338" s="31" t="n">
        <v>37100</v>
      </c>
      <c r="D338" s="31" t="n">
        <v>36050</v>
      </c>
      <c r="E338" s="31" t="n">
        <v>36050</v>
      </c>
      <c r="F338" s="31" t="n">
        <v>34743.59765625</v>
      </c>
      <c r="G338" s="31" t="n">
        <v>200197</v>
      </c>
      <c r="H338" s="36" t="n">
        <v>-0.02303523035230348</v>
      </c>
      <c r="I338" s="36" t="n">
        <v>-0.5753828032979976</v>
      </c>
      <c r="J338" s="31" t="n">
        <v>39665</v>
      </c>
      <c r="K338" s="31" t="n">
        <v>41559.16666666666</v>
      </c>
      <c r="L338" s="31" t="n">
        <v>43824.16666666666</v>
      </c>
      <c r="M338" s="36" t="n">
        <v>0.3419199133583617</v>
      </c>
      <c r="N338" s="36" t="n">
        <v>0.5098293226668894</v>
      </c>
      <c r="O338" s="36" t="n">
        <v>-0.05006587615283264</v>
      </c>
      <c r="P338" s="36" t="n">
        <v>-0.3159392789373814</v>
      </c>
      <c r="Q338" s="36" t="n">
        <v>-0.1175030599755202</v>
      </c>
      <c r="R338" s="36" t="n">
        <v>-0.09113828312113958</v>
      </c>
      <c r="S338" s="36" t="n">
        <v>-0.1325620099857632</v>
      </c>
      <c r="T338" s="36" t="n">
        <v>-0.1773945121603376</v>
      </c>
      <c r="U338" s="31" t="n">
        <v>61900</v>
      </c>
      <c r="V338" s="31" t="n">
        <v>35700</v>
      </c>
      <c r="W338" s="36" t="n">
        <v>-0.4176090468497576</v>
      </c>
      <c r="X338" s="36" t="n">
        <v>0.009803921568627416</v>
      </c>
      <c r="Y338" s="31" t="n">
        <v>43617167</v>
      </c>
      <c r="Z338" s="31" t="n">
        <v>1572398870350</v>
      </c>
      <c r="AA338" s="31" t="n">
        <v>7217101850</v>
      </c>
      <c r="AB338" s="31" t="n">
        <v>12602012462.5</v>
      </c>
      <c r="AC338" s="36" t="n">
        <v>0.004589867104390343</v>
      </c>
      <c r="AD338" s="29" t="inlineStr">
        <is>
          <t>yfinance_download</t>
        </is>
      </c>
      <c r="AE338" s="29" t="inlineStr">
        <is>
          <t>000990.KS</t>
        </is>
      </c>
    </row>
    <row r="339" ht="24" customHeight="1">
      <c r="A339" s="24" t="inlineStr">
        <is>
          <t>2024-10-25</t>
        </is>
      </c>
      <c r="B339" s="30" t="n">
        <v>36200</v>
      </c>
      <c r="C339" s="30" t="n">
        <v>36600</v>
      </c>
      <c r="D339" s="30" t="n">
        <v>35250</v>
      </c>
      <c r="E339" s="30" t="n">
        <v>35600</v>
      </c>
      <c r="F339" s="30" t="n">
        <v>34309.90625</v>
      </c>
      <c r="G339" s="30" t="n">
        <v>216022</v>
      </c>
      <c r="H339" s="35" t="n">
        <v>-0.01248266296809986</v>
      </c>
      <c r="I339" s="35" t="n">
        <v>-0.5806831566548881</v>
      </c>
      <c r="J339" s="30" t="n">
        <v>39435</v>
      </c>
      <c r="K339" s="30" t="n">
        <v>41279.16666666666</v>
      </c>
      <c r="L339" s="30" t="n">
        <v>43787.08333333334</v>
      </c>
      <c r="M339" s="35" t="n">
        <v>0.2539113683503431</v>
      </c>
      <c r="N339" s="35" t="n">
        <v>0.5100139840618511</v>
      </c>
      <c r="O339" s="35" t="n">
        <v>-0.1144278606965174</v>
      </c>
      <c r="P339" s="35" t="n">
        <v>-0.3206106870229007</v>
      </c>
      <c r="Q339" s="35" t="n">
        <v>-0.1111111111111112</v>
      </c>
      <c r="R339" s="35" t="n">
        <v>-0.09724863699759101</v>
      </c>
      <c r="S339" s="35" t="n">
        <v>-0.1375794892500252</v>
      </c>
      <c r="T339" s="35" t="n">
        <v>-0.1869748498891416</v>
      </c>
      <c r="U339" s="30" t="n">
        <v>61900</v>
      </c>
      <c r="V339" s="30" t="n">
        <v>35600</v>
      </c>
      <c r="W339" s="35" t="n">
        <v>-0.4248788368336026</v>
      </c>
      <c r="X339" s="35" t="n">
        <v>0</v>
      </c>
      <c r="Y339" s="30" t="n">
        <v>43617167</v>
      </c>
      <c r="Z339" s="30" t="n">
        <v>1552771145200</v>
      </c>
      <c r="AA339" s="30" t="n">
        <v>7690383200</v>
      </c>
      <c r="AB339" s="30" t="n">
        <v>9488751732.5</v>
      </c>
      <c r="AC339" s="35" t="n">
        <v>0.004952682965402131</v>
      </c>
      <c r="AD339" s="24" t="inlineStr">
        <is>
          <t>yfinance_download</t>
        </is>
      </c>
      <c r="AE339" s="24" t="inlineStr">
        <is>
          <t>000990.KS</t>
        </is>
      </c>
    </row>
    <row r="340" ht="24" customHeight="1">
      <c r="A340" s="29" t="inlineStr">
        <is>
          <t>2024-10-28</t>
        </is>
      </c>
      <c r="B340" s="31" t="n">
        <v>35500</v>
      </c>
      <c r="C340" s="31" t="n">
        <v>37100</v>
      </c>
      <c r="D340" s="31" t="n">
        <v>35500</v>
      </c>
      <c r="E340" s="31" t="n">
        <v>37050</v>
      </c>
      <c r="F340" s="31" t="n">
        <v>35707.359375</v>
      </c>
      <c r="G340" s="31" t="n">
        <v>133134</v>
      </c>
      <c r="H340" s="36" t="n">
        <v>0.04073033707865159</v>
      </c>
      <c r="I340" s="36" t="n">
        <v>-0.5636042402826855</v>
      </c>
      <c r="J340" s="31" t="n">
        <v>39277.5</v>
      </c>
      <c r="K340" s="31" t="n">
        <v>41050</v>
      </c>
      <c r="L340" s="31" t="n">
        <v>43749.16666666666</v>
      </c>
      <c r="M340" s="36" t="n">
        <v>0.3029623222113272</v>
      </c>
      <c r="N340" s="36" t="n">
        <v>0.5161844577644785</v>
      </c>
      <c r="O340" s="36" t="n">
        <v>-0.07835820895522383</v>
      </c>
      <c r="P340" s="36" t="n">
        <v>-0.2706692913385826</v>
      </c>
      <c r="Q340" s="36" t="n">
        <v>-0.109375</v>
      </c>
      <c r="R340" s="36" t="n">
        <v>-0.05671185793393163</v>
      </c>
      <c r="S340" s="36" t="n">
        <v>-0.09744214372716198</v>
      </c>
      <c r="T340" s="36" t="n">
        <v>-0.1531267262233565</v>
      </c>
      <c r="U340" s="31" t="n">
        <v>61900</v>
      </c>
      <c r="V340" s="31" t="n">
        <v>35600</v>
      </c>
      <c r="W340" s="36" t="n">
        <v>-0.401453957996769</v>
      </c>
      <c r="X340" s="36" t="n">
        <v>0.04073033707865159</v>
      </c>
      <c r="Y340" s="31" t="n">
        <v>43617167</v>
      </c>
      <c r="Z340" s="31" t="n">
        <v>1616016037350</v>
      </c>
      <c r="AA340" s="31" t="n">
        <v>4932614700</v>
      </c>
      <c r="AB340" s="31" t="n">
        <v>8573861757.5</v>
      </c>
      <c r="AC340" s="36" t="n">
        <v>0.003052330290043826</v>
      </c>
      <c r="AD340" s="29" t="inlineStr">
        <is>
          <t>yfinance_download</t>
        </is>
      </c>
      <c r="AE340" s="29" t="inlineStr">
        <is>
          <t>000990.KS</t>
        </is>
      </c>
    </row>
    <row r="341" ht="24" customHeight="1">
      <c r="A341" s="24" t="inlineStr">
        <is>
          <t>2024-10-29</t>
        </is>
      </c>
      <c r="B341" s="30" t="n">
        <v>37000</v>
      </c>
      <c r="C341" s="30" t="n">
        <v>37550</v>
      </c>
      <c r="D341" s="30" t="n">
        <v>36450</v>
      </c>
      <c r="E341" s="30" t="n">
        <v>37550</v>
      </c>
      <c r="F341" s="30" t="n">
        <v>36189.23828125</v>
      </c>
      <c r="G341" s="30" t="n">
        <v>119825</v>
      </c>
      <c r="H341" s="35" t="n">
        <v>0.0134952766531713</v>
      </c>
      <c r="I341" s="35" t="n">
        <v>-0.5577149587750294</v>
      </c>
      <c r="J341" s="30" t="n">
        <v>39110</v>
      </c>
      <c r="K341" s="30" t="n">
        <v>40797.5</v>
      </c>
      <c r="L341" s="30" t="n">
        <v>43715.83333333334</v>
      </c>
      <c r="M341" s="35" t="n">
        <v>0.2996078322086714</v>
      </c>
      <c r="N341" s="35" t="n">
        <v>0.5101440305758441</v>
      </c>
      <c r="O341" s="35" t="n">
        <v>-0.08190709046454769</v>
      </c>
      <c r="P341" s="35" t="n">
        <v>-0.2874762808349146</v>
      </c>
      <c r="Q341" s="35" t="n">
        <v>-0.09626955475330923</v>
      </c>
      <c r="R341" s="35" t="n">
        <v>-0.03988749680388648</v>
      </c>
      <c r="S341" s="35" t="n">
        <v>-0.07960046571481094</v>
      </c>
      <c r="T341" s="35" t="n">
        <v>-0.141043481576088</v>
      </c>
      <c r="U341" s="30" t="n">
        <v>61900</v>
      </c>
      <c r="V341" s="30" t="n">
        <v>35600</v>
      </c>
      <c r="W341" s="35" t="n">
        <v>-0.3933764135702746</v>
      </c>
      <c r="X341" s="35" t="n">
        <v>0.0547752808988764</v>
      </c>
      <c r="Y341" s="30" t="n">
        <v>43617167</v>
      </c>
      <c r="Z341" s="30" t="n">
        <v>1637824620850</v>
      </c>
      <c r="AA341" s="30" t="n">
        <v>4499428750</v>
      </c>
      <c r="AB341" s="30" t="n">
        <v>8068676170</v>
      </c>
      <c r="AC341" s="35" t="n">
        <v>0.002747198138751194</v>
      </c>
      <c r="AD341" s="24" t="inlineStr">
        <is>
          <t>yfinance_download</t>
        </is>
      </c>
      <c r="AE341" s="24" t="inlineStr">
        <is>
          <t>000990.KS</t>
        </is>
      </c>
    </row>
    <row r="342" ht="24" customHeight="1">
      <c r="A342" s="29" t="inlineStr">
        <is>
          <t>2024-10-30</t>
        </is>
      </c>
      <c r="B342" s="31" t="n">
        <v>37500</v>
      </c>
      <c r="C342" s="31" t="n">
        <v>38250</v>
      </c>
      <c r="D342" s="31" t="n">
        <v>37100</v>
      </c>
      <c r="E342" s="31" t="n">
        <v>37250</v>
      </c>
      <c r="F342" s="31" t="n">
        <v>35900.109375</v>
      </c>
      <c r="G342" s="31" t="n">
        <v>121893</v>
      </c>
      <c r="H342" s="36" t="n">
        <v>-0.007989347536617841</v>
      </c>
      <c r="I342" s="36" t="n">
        <v>-0.5612485276796231</v>
      </c>
      <c r="J342" s="31" t="n">
        <v>38942.5</v>
      </c>
      <c r="K342" s="31" t="n">
        <v>40563.33333333334</v>
      </c>
      <c r="L342" s="31" t="n">
        <v>43681.25</v>
      </c>
      <c r="M342" s="36" t="n">
        <v>0.2997106954031932</v>
      </c>
      <c r="N342" s="36" t="n">
        <v>0.5082236625743832</v>
      </c>
      <c r="O342" s="36" t="n">
        <v>-0.08251231527093594</v>
      </c>
      <c r="P342" s="36" t="n">
        <v>-0.2738791423001949</v>
      </c>
      <c r="Q342" s="36" t="n">
        <v>-0.1002415458937198</v>
      </c>
      <c r="R342" s="36" t="n">
        <v>-0.04346151377030238</v>
      </c>
      <c r="S342" s="36" t="n">
        <v>-0.08168296491083904</v>
      </c>
      <c r="T342" s="36" t="n">
        <v>-0.1472313635713264</v>
      </c>
      <c r="U342" s="31" t="n">
        <v>61900</v>
      </c>
      <c r="V342" s="31" t="n">
        <v>35600</v>
      </c>
      <c r="W342" s="36" t="n">
        <v>-0.3982229402261712</v>
      </c>
      <c r="X342" s="36" t="n">
        <v>0.0463483146067416</v>
      </c>
      <c r="Y342" s="31" t="n">
        <v>43617167</v>
      </c>
      <c r="Z342" s="31" t="n">
        <v>1624739470750</v>
      </c>
      <c r="AA342" s="31" t="n">
        <v>4540514250</v>
      </c>
      <c r="AB342" s="31" t="n">
        <v>7905349122.5</v>
      </c>
      <c r="AC342" s="36" t="n">
        <v>0.002794610663273935</v>
      </c>
      <c r="AD342" s="29" t="inlineStr">
        <is>
          <t>yfinance_download</t>
        </is>
      </c>
      <c r="AE342" s="29" t="inlineStr">
        <is>
          <t>000990.KS</t>
        </is>
      </c>
    </row>
    <row r="343" ht="24" customHeight="1">
      <c r="A343" s="24" t="inlineStr">
        <is>
          <t>2024-10-31</t>
        </is>
      </c>
      <c r="B343" s="30" t="n">
        <v>37000</v>
      </c>
      <c r="C343" s="30" t="n">
        <v>39000</v>
      </c>
      <c r="D343" s="30" t="n">
        <v>36750</v>
      </c>
      <c r="E343" s="30" t="n">
        <v>39000</v>
      </c>
      <c r="F343" s="30" t="n">
        <v>37586.69140625</v>
      </c>
      <c r="G343" s="30" t="n">
        <v>217349</v>
      </c>
      <c r="H343" s="35" t="n">
        <v>0.04697986577181212</v>
      </c>
      <c r="I343" s="35" t="n">
        <v>-0.5406360424028269</v>
      </c>
      <c r="J343" s="30" t="n">
        <v>38877.5</v>
      </c>
      <c r="K343" s="30" t="n">
        <v>40358.33333333334</v>
      </c>
      <c r="L343" s="30" t="n">
        <v>43650.83333333334</v>
      </c>
      <c r="M343" s="35" t="n">
        <v>0.3498104261254141</v>
      </c>
      <c r="N343" s="35" t="n">
        <v>0.5191212511035571</v>
      </c>
      <c r="O343" s="35" t="n">
        <v>-0.032258064516129</v>
      </c>
      <c r="P343" s="35" t="n">
        <v>-0.2397660818713451</v>
      </c>
      <c r="Q343" s="35" t="n">
        <v>-0.08558030480656509</v>
      </c>
      <c r="R343" s="35" t="n">
        <v>0.003150922770239761</v>
      </c>
      <c r="S343" s="35" t="n">
        <v>-0.03365682428246963</v>
      </c>
      <c r="T343" s="35" t="n">
        <v>-0.1065462667761211</v>
      </c>
      <c r="U343" s="30" t="n">
        <v>61900</v>
      </c>
      <c r="V343" s="30" t="n">
        <v>35600</v>
      </c>
      <c r="W343" s="35" t="n">
        <v>-0.369951534733441</v>
      </c>
      <c r="X343" s="35" t="n">
        <v>0.09550561797752799</v>
      </c>
      <c r="Y343" s="30" t="n">
        <v>43617167</v>
      </c>
      <c r="Z343" s="30" t="n">
        <v>1701069513000</v>
      </c>
      <c r="AA343" s="30" t="n">
        <v>8476611000</v>
      </c>
      <c r="AB343" s="30" t="n">
        <v>7880549997.5</v>
      </c>
      <c r="AC343" s="35" t="n">
        <v>0.00498310676619598</v>
      </c>
      <c r="AD343" s="24" t="inlineStr">
        <is>
          <t>yfinance_download</t>
        </is>
      </c>
      <c r="AE343" s="24" t="inlineStr">
        <is>
          <t>000990.KS</t>
        </is>
      </c>
    </row>
    <row r="344" ht="24" customHeight="1">
      <c r="A344" s="29" t="inlineStr">
        <is>
          <t>2024-11-01</t>
        </is>
      </c>
      <c r="B344" s="31" t="n">
        <v>38100</v>
      </c>
      <c r="C344" s="31" t="n">
        <v>38450</v>
      </c>
      <c r="D344" s="31" t="n">
        <v>37250</v>
      </c>
      <c r="E344" s="31" t="n">
        <v>37250</v>
      </c>
      <c r="F344" s="31" t="n">
        <v>35900.109375</v>
      </c>
      <c r="G344" s="31" t="n">
        <v>125991</v>
      </c>
      <c r="H344" s="36" t="n">
        <v>-0.04487179487179482</v>
      </c>
      <c r="I344" s="36" t="n">
        <v>-0.5612485276796231</v>
      </c>
      <c r="J344" s="31" t="n">
        <v>38717.5</v>
      </c>
      <c r="K344" s="31" t="n">
        <v>40074.16666666666</v>
      </c>
      <c r="L344" s="31" t="n">
        <v>43602.91666666666</v>
      </c>
      <c r="M344" s="36" t="n">
        <v>0.3814538025600515</v>
      </c>
      <c r="N344" s="36" t="n">
        <v>0.5090917900194206</v>
      </c>
      <c r="O344" s="36" t="n">
        <v>-0.0791100123609394</v>
      </c>
      <c r="P344" s="36" t="n">
        <v>-0.3139963167587477</v>
      </c>
      <c r="Q344" s="36" t="n">
        <v>-0.1337209302325582</v>
      </c>
      <c r="R344" s="36" t="n">
        <v>-0.03790275715115898</v>
      </c>
      <c r="S344" s="36" t="n">
        <v>-0.07047349705753914</v>
      </c>
      <c r="T344" s="36" t="n">
        <v>-0.145699351151968</v>
      </c>
      <c r="U344" s="31" t="n">
        <v>61900</v>
      </c>
      <c r="V344" s="31" t="n">
        <v>35600</v>
      </c>
      <c r="W344" s="36" t="n">
        <v>-0.3982229402261712</v>
      </c>
      <c r="X344" s="36" t="n">
        <v>0.0463483146067416</v>
      </c>
      <c r="Y344" s="31" t="n">
        <v>43617167</v>
      </c>
      <c r="Z344" s="31" t="n">
        <v>1624739470750</v>
      </c>
      <c r="AA344" s="31" t="n">
        <v>4693164750</v>
      </c>
      <c r="AB344" s="31" t="n">
        <v>7655878260</v>
      </c>
      <c r="AC344" s="36" t="n">
        <v>0.002888564495717936</v>
      </c>
      <c r="AD344" s="29" t="inlineStr">
        <is>
          <t>yfinance_download</t>
        </is>
      </c>
      <c r="AE344" s="29" t="inlineStr">
        <is>
          <t>000990.KS</t>
        </is>
      </c>
    </row>
    <row r="345" ht="24" customHeight="1">
      <c r="A345" s="24" t="inlineStr">
        <is>
          <t>2024-11-04</t>
        </is>
      </c>
      <c r="B345" s="30" t="n">
        <v>37350</v>
      </c>
      <c r="C345" s="30" t="n">
        <v>37850</v>
      </c>
      <c r="D345" s="30" t="n">
        <v>36900</v>
      </c>
      <c r="E345" s="30" t="n">
        <v>37350</v>
      </c>
      <c r="F345" s="30" t="n">
        <v>35996.48828125</v>
      </c>
      <c r="G345" s="30" t="n">
        <v>144791</v>
      </c>
      <c r="H345" s="35" t="n">
        <v>0.002684563758389213</v>
      </c>
      <c r="I345" s="35" t="n">
        <v>-0.5600706713780919</v>
      </c>
      <c r="J345" s="30" t="n">
        <v>38547.5</v>
      </c>
      <c r="K345" s="30" t="n">
        <v>39788.33333333334</v>
      </c>
      <c r="L345" s="30" t="n">
        <v>43557.5</v>
      </c>
      <c r="M345" s="35" t="n">
        <v>0.3799689499617382</v>
      </c>
      <c r="N345" s="35" t="n">
        <v>0.5090169605076986</v>
      </c>
      <c r="O345" s="35" t="n">
        <v>-0.08343558282208585</v>
      </c>
      <c r="P345" s="35" t="n">
        <v>-0.3146788990825689</v>
      </c>
      <c r="Q345" s="35" t="n">
        <v>-0.1273364485981309</v>
      </c>
      <c r="R345" s="35" t="n">
        <v>-0.03106556845450414</v>
      </c>
      <c r="S345" s="35" t="n">
        <v>-0.06128262053365729</v>
      </c>
      <c r="T345" s="35" t="n">
        <v>-0.1425127704758078</v>
      </c>
      <c r="U345" s="30" t="n">
        <v>61900</v>
      </c>
      <c r="V345" s="30" t="n">
        <v>35600</v>
      </c>
      <c r="W345" s="35" t="n">
        <v>-0.3966074313408724</v>
      </c>
      <c r="X345" s="35" t="n">
        <v>0.04915730337078661</v>
      </c>
      <c r="Y345" s="30" t="n">
        <v>43617167</v>
      </c>
      <c r="Z345" s="30" t="n">
        <v>1629101187450</v>
      </c>
      <c r="AA345" s="30" t="n">
        <v>5407943850</v>
      </c>
      <c r="AB345" s="30" t="n">
        <v>7675031327.5</v>
      </c>
      <c r="AC345" s="35" t="n">
        <v>0.003319587445924675</v>
      </c>
      <c r="AD345" s="24" t="inlineStr">
        <is>
          <t>yfinance_download</t>
        </is>
      </c>
      <c r="AE345" s="24" t="inlineStr">
        <is>
          <t>000990.KS</t>
        </is>
      </c>
    </row>
    <row r="346" ht="24" customHeight="1">
      <c r="A346" s="29" t="inlineStr">
        <is>
          <t>2024-11-05</t>
        </is>
      </c>
      <c r="B346" s="31" t="n">
        <v>37600</v>
      </c>
      <c r="C346" s="31" t="n">
        <v>38250</v>
      </c>
      <c r="D346" s="31" t="n">
        <v>37100</v>
      </c>
      <c r="E346" s="31" t="n">
        <v>37800</v>
      </c>
      <c r="F346" s="31" t="n">
        <v>36430.1796875</v>
      </c>
      <c r="G346" s="31" t="n">
        <v>132880</v>
      </c>
      <c r="H346" s="36" t="n">
        <v>0.01204819277108427</v>
      </c>
      <c r="I346" s="36" t="n">
        <v>-0.5547703180212014</v>
      </c>
      <c r="J346" s="31" t="n">
        <v>38370</v>
      </c>
      <c r="K346" s="31" t="n">
        <v>39606.66666666666</v>
      </c>
      <c r="L346" s="31" t="n">
        <v>43502.08333333334</v>
      </c>
      <c r="M346" s="36" t="n">
        <v>0.3783283270851435</v>
      </c>
      <c r="N346" s="36" t="n">
        <v>0.4649398041515088</v>
      </c>
      <c r="O346" s="36" t="n">
        <v>-0.08585247883917779</v>
      </c>
      <c r="P346" s="36" t="n">
        <v>-0.2238193018480493</v>
      </c>
      <c r="Q346" s="36" t="n">
        <v>-0.1496062992125984</v>
      </c>
      <c r="R346" s="36" t="n">
        <v>-0.01485535574667707</v>
      </c>
      <c r="S346" s="36" t="n">
        <v>-0.04561521629355325</v>
      </c>
      <c r="T346" s="36" t="n">
        <v>-0.1310760978880322</v>
      </c>
      <c r="U346" s="31" t="n">
        <v>61900</v>
      </c>
      <c r="V346" s="31" t="n">
        <v>35600</v>
      </c>
      <c r="W346" s="36" t="n">
        <v>-0.3893376413570274</v>
      </c>
      <c r="X346" s="36" t="n">
        <v>0.0617977528089888</v>
      </c>
      <c r="Y346" s="31" t="n">
        <v>43617167</v>
      </c>
      <c r="Z346" s="31" t="n">
        <v>1648728912600</v>
      </c>
      <c r="AA346" s="31" t="n">
        <v>5022864000</v>
      </c>
      <c r="AB346" s="31" t="n">
        <v>7623885352.5</v>
      </c>
      <c r="AC346" s="36" t="n">
        <v>0.003046506894865501</v>
      </c>
      <c r="AD346" s="29" t="inlineStr">
        <is>
          <t>yfinance_download</t>
        </is>
      </c>
      <c r="AE346" s="29" t="inlineStr">
        <is>
          <t>000990.KS</t>
        </is>
      </c>
    </row>
    <row r="347" ht="24" customHeight="1">
      <c r="A347" s="24" t="inlineStr">
        <is>
          <t>2024-11-06</t>
        </is>
      </c>
      <c r="B347" s="30" t="n">
        <v>37800</v>
      </c>
      <c r="C347" s="30" t="n">
        <v>38000</v>
      </c>
      <c r="D347" s="30" t="n">
        <v>36250</v>
      </c>
      <c r="E347" s="30" t="n">
        <v>36600</v>
      </c>
      <c r="F347" s="30" t="n">
        <v>35273.66796875</v>
      </c>
      <c r="G347" s="30" t="n">
        <v>189505</v>
      </c>
      <c r="H347" s="35" t="n">
        <v>-0.03174603174603174</v>
      </c>
      <c r="I347" s="35" t="n">
        <v>-0.568904593639576</v>
      </c>
      <c r="J347" s="30" t="n">
        <v>38192.5</v>
      </c>
      <c r="K347" s="30" t="n">
        <v>39512.5</v>
      </c>
      <c r="L347" s="30" t="n">
        <v>43445.83333333334</v>
      </c>
      <c r="M347" s="35" t="n">
        <v>0.3808145726824604</v>
      </c>
      <c r="N347" s="35" t="n">
        <v>0.3848133301100054</v>
      </c>
      <c r="O347" s="35" t="n">
        <v>-0.08841843088418433</v>
      </c>
      <c r="P347" s="35" t="n">
        <v>-0.1337278106508876</v>
      </c>
      <c r="Q347" s="35" t="n">
        <v>-0.1557093425605537</v>
      </c>
      <c r="R347" s="35" t="n">
        <v>-0.04169666819401718</v>
      </c>
      <c r="S347" s="35" t="n">
        <v>-0.07371085099652008</v>
      </c>
      <c r="T347" s="35" t="n">
        <v>-0.1575716888846265</v>
      </c>
      <c r="U347" s="30" t="n">
        <v>61900</v>
      </c>
      <c r="V347" s="30" t="n">
        <v>35600</v>
      </c>
      <c r="W347" s="35" t="n">
        <v>-0.4087237479806138</v>
      </c>
      <c r="X347" s="35" t="n">
        <v>0.0280898876404494</v>
      </c>
      <c r="Y347" s="30" t="n">
        <v>43617167</v>
      </c>
      <c r="Z347" s="30" t="n">
        <v>1596388312200</v>
      </c>
      <c r="AA347" s="30" t="n">
        <v>6935883000</v>
      </c>
      <c r="AB347" s="30" t="n">
        <v>7559354797.5</v>
      </c>
      <c r="AC347" s="35" t="n">
        <v>0.004344734264836595</v>
      </c>
      <c r="AD347" s="24" t="inlineStr">
        <is>
          <t>yfinance_download</t>
        </is>
      </c>
      <c r="AE347" s="24" t="inlineStr">
        <is>
          <t>000990.KS</t>
        </is>
      </c>
    </row>
    <row r="348" ht="24" customHeight="1">
      <c r="A348" s="29" t="inlineStr">
        <is>
          <t>2024-11-07</t>
        </is>
      </c>
      <c r="B348" s="31" t="n">
        <v>36450</v>
      </c>
      <c r="C348" s="31" t="n">
        <v>36950</v>
      </c>
      <c r="D348" s="31" t="n">
        <v>35900</v>
      </c>
      <c r="E348" s="31" t="n">
        <v>36600</v>
      </c>
      <c r="F348" s="31" t="n">
        <v>35273.66796875</v>
      </c>
      <c r="G348" s="31" t="n">
        <v>183544</v>
      </c>
      <c r="H348" s="36" t="n">
        <v>0</v>
      </c>
      <c r="I348" s="36" t="n">
        <v>-0.568904593639576</v>
      </c>
      <c r="J348" s="31" t="n">
        <v>38032.5</v>
      </c>
      <c r="K348" s="31" t="n">
        <v>39402.5</v>
      </c>
      <c r="L348" s="31" t="n">
        <v>43391.66666666666</v>
      </c>
      <c r="M348" s="36" t="n">
        <v>0.3807442385345368</v>
      </c>
      <c r="N348" s="36" t="n">
        <v>0.3814212132237865</v>
      </c>
      <c r="O348" s="36" t="n">
        <v>-0.08040201005025127</v>
      </c>
      <c r="P348" s="36" t="n">
        <v>-0.1527777777777778</v>
      </c>
      <c r="Q348" s="36" t="n">
        <v>-0.1508120649651972</v>
      </c>
      <c r="R348" s="36" t="n">
        <v>-0.0376651548018142</v>
      </c>
      <c r="S348" s="36" t="n">
        <v>-0.07112492862128039</v>
      </c>
      <c r="T348" s="36" t="n">
        <v>-0.1565200691376992</v>
      </c>
      <c r="U348" s="31" t="n">
        <v>61900</v>
      </c>
      <c r="V348" s="31" t="n">
        <v>35600</v>
      </c>
      <c r="W348" s="36" t="n">
        <v>-0.4087237479806138</v>
      </c>
      <c r="X348" s="36" t="n">
        <v>0.0280898876404494</v>
      </c>
      <c r="Y348" s="31" t="n">
        <v>43617167</v>
      </c>
      <c r="Z348" s="31" t="n">
        <v>1596388312200</v>
      </c>
      <c r="AA348" s="31" t="n">
        <v>6717710400</v>
      </c>
      <c r="AB348" s="31" t="n">
        <v>7411254407.5</v>
      </c>
      <c r="AC348" s="36" t="n">
        <v>0.00420806789216732</v>
      </c>
      <c r="AD348" s="29" t="inlineStr">
        <is>
          <t>yfinance_download</t>
        </is>
      </c>
      <c r="AE348" s="29" t="inlineStr">
        <is>
          <t>000990.KS</t>
        </is>
      </c>
    </row>
    <row r="349" ht="24" customHeight="1">
      <c r="A349" s="24" t="inlineStr">
        <is>
          <t>2024-11-08</t>
        </is>
      </c>
      <c r="B349" s="30" t="n">
        <v>36200</v>
      </c>
      <c r="C349" s="30" t="n">
        <v>36700</v>
      </c>
      <c r="D349" s="30" t="n">
        <v>35750</v>
      </c>
      <c r="E349" s="30" t="n">
        <v>36000</v>
      </c>
      <c r="F349" s="30" t="n">
        <v>34695.41015625</v>
      </c>
      <c r="G349" s="30" t="n">
        <v>159420</v>
      </c>
      <c r="H349" s="35" t="n">
        <v>-0.01639344262295084</v>
      </c>
      <c r="I349" s="35" t="n">
        <v>-0.5759717314487632</v>
      </c>
      <c r="J349" s="30" t="n">
        <v>37807.5</v>
      </c>
      <c r="K349" s="30" t="n">
        <v>39314.16666666666</v>
      </c>
      <c r="L349" s="30" t="n">
        <v>43334.16666666666</v>
      </c>
      <c r="M349" s="35" t="n">
        <v>0.3743506268483193</v>
      </c>
      <c r="N349" s="35" t="n">
        <v>0.3726894451137842</v>
      </c>
      <c r="O349" s="35" t="n">
        <v>-0.1111111111111112</v>
      </c>
      <c r="P349" s="35" t="n">
        <v>-0.1283292978208233</v>
      </c>
      <c r="Q349" s="35" t="n">
        <v>-0.1608391608391608</v>
      </c>
      <c r="R349" s="35" t="n">
        <v>-0.04780797460821262</v>
      </c>
      <c r="S349" s="35" t="n">
        <v>-0.08429955274816114</v>
      </c>
      <c r="T349" s="35" t="n">
        <v>-0.1692467452548989</v>
      </c>
      <c r="U349" s="30" t="n">
        <v>61900</v>
      </c>
      <c r="V349" s="30" t="n">
        <v>35600</v>
      </c>
      <c r="W349" s="35" t="n">
        <v>-0.4184168012924071</v>
      </c>
      <c r="X349" s="35" t="n">
        <v>0.0112359550561798</v>
      </c>
      <c r="Y349" s="30" t="n">
        <v>43617167</v>
      </c>
      <c r="Z349" s="30" t="n">
        <v>1570218012000</v>
      </c>
      <c r="AA349" s="30" t="n">
        <v>5739120000</v>
      </c>
      <c r="AB349" s="30" t="n">
        <v>7106252282.5</v>
      </c>
      <c r="AC349" s="35" t="n">
        <v>0.003654982910742461</v>
      </c>
      <c r="AD349" s="24" t="inlineStr">
        <is>
          <t>yfinance_download</t>
        </is>
      </c>
      <c r="AE349" s="24" t="inlineStr">
        <is>
          <t>000990.KS</t>
        </is>
      </c>
    </row>
    <row r="350" ht="24" customHeight="1">
      <c r="A350" s="29" t="inlineStr">
        <is>
          <t>2024-11-11</t>
        </is>
      </c>
      <c r="B350" s="31" t="n">
        <v>36000</v>
      </c>
      <c r="C350" s="31" t="n">
        <v>36000</v>
      </c>
      <c r="D350" s="31" t="n">
        <v>33700</v>
      </c>
      <c r="E350" s="31" t="n">
        <v>34000</v>
      </c>
      <c r="F350" s="31" t="n">
        <v>32767.88671875</v>
      </c>
      <c r="G350" s="31" t="n">
        <v>402981</v>
      </c>
      <c r="H350" s="36" t="n">
        <v>-0.05555555555555558</v>
      </c>
      <c r="I350" s="36" t="n">
        <v>-0.5995288574793876</v>
      </c>
      <c r="J350" s="31" t="n">
        <v>37482.5</v>
      </c>
      <c r="K350" s="31" t="n">
        <v>39201.66666666666</v>
      </c>
      <c r="L350" s="31" t="n">
        <v>43260.83333333334</v>
      </c>
      <c r="M350" s="36" t="n">
        <v>0.4132343571515431</v>
      </c>
      <c r="N350" s="36" t="n">
        <v>0.3879019320921677</v>
      </c>
      <c r="O350" s="36" t="n">
        <v>-0.1604938271604939</v>
      </c>
      <c r="P350" s="36" t="n">
        <v>-0.1656441717791411</v>
      </c>
      <c r="Q350" s="36" t="n">
        <v>-0.205607476635514</v>
      </c>
      <c r="R350" s="36" t="n">
        <v>-0.0929100246781831</v>
      </c>
      <c r="S350" s="36" t="n">
        <v>-0.1326899366523532</v>
      </c>
      <c r="T350" s="36" t="n">
        <v>-0.2140696935257065</v>
      </c>
      <c r="U350" s="31" t="n">
        <v>61900</v>
      </c>
      <c r="V350" s="31" t="n">
        <v>34000</v>
      </c>
      <c r="W350" s="36" t="n">
        <v>-0.4507269789983845</v>
      </c>
      <c r="X350" s="36" t="n">
        <v>0</v>
      </c>
      <c r="Y350" s="31" t="n">
        <v>43617167</v>
      </c>
      <c r="Z350" s="31" t="n">
        <v>1482983678000</v>
      </c>
      <c r="AA350" s="31" t="n">
        <v>13701354000</v>
      </c>
      <c r="AB350" s="31" t="n">
        <v>7246321607.5</v>
      </c>
      <c r="AC350" s="36" t="n">
        <v>0.009239045717939452</v>
      </c>
      <c r="AD350" s="29" t="inlineStr">
        <is>
          <t>yfinance_download</t>
        </is>
      </c>
      <c r="AE350" s="29" t="inlineStr">
        <is>
          <t>000990.KS</t>
        </is>
      </c>
    </row>
    <row r="351" ht="24" customHeight="1">
      <c r="A351" s="24" t="inlineStr">
        <is>
          <t>2024-11-12</t>
        </is>
      </c>
      <c r="B351" s="30" t="n">
        <v>33700</v>
      </c>
      <c r="C351" s="30" t="n">
        <v>34000</v>
      </c>
      <c r="D351" s="30" t="n">
        <v>32250</v>
      </c>
      <c r="E351" s="30" t="n">
        <v>32550</v>
      </c>
      <c r="F351" s="30" t="n">
        <v>31370.43359375</v>
      </c>
      <c r="G351" s="30" t="n">
        <v>388563</v>
      </c>
      <c r="H351" s="35" t="n">
        <v>-0.04264705882352937</v>
      </c>
      <c r="I351" s="35" t="n">
        <v>-0.61660777385159</v>
      </c>
      <c r="J351" s="30" t="n">
        <v>37067.5</v>
      </c>
      <c r="K351" s="30" t="n">
        <v>39045</v>
      </c>
      <c r="L351" s="30" t="n">
        <v>43172.5</v>
      </c>
      <c r="M351" s="35" t="n">
        <v>0.4251366033644076</v>
      </c>
      <c r="N351" s="35" t="n">
        <v>0.3904954734017679</v>
      </c>
      <c r="O351" s="35" t="n">
        <v>-0.2031823745410036</v>
      </c>
      <c r="P351" s="35" t="n">
        <v>-0.2240762812872468</v>
      </c>
      <c r="Q351" s="35" t="n">
        <v>-0.2456546929316339</v>
      </c>
      <c r="R351" s="35" t="n">
        <v>-0.1218722600660956</v>
      </c>
      <c r="S351" s="35" t="n">
        <v>-0.1663465232424126</v>
      </c>
      <c r="T351" s="35" t="n">
        <v>-0.2460478313741387</v>
      </c>
      <c r="U351" s="30" t="n">
        <v>61900</v>
      </c>
      <c r="V351" s="30" t="n">
        <v>32550</v>
      </c>
      <c r="W351" s="35" t="n">
        <v>-0.4741518578352181</v>
      </c>
      <c r="X351" s="35" t="n">
        <v>0</v>
      </c>
      <c r="Y351" s="30" t="n">
        <v>43617167</v>
      </c>
      <c r="Z351" s="30" t="n">
        <v>1419738785850</v>
      </c>
      <c r="AA351" s="30" t="n">
        <v>12647725650</v>
      </c>
      <c r="AB351" s="30" t="n">
        <v>7546803682.5</v>
      </c>
      <c r="AC351" s="35" t="n">
        <v>0.008908487797935157</v>
      </c>
      <c r="AD351" s="24" t="inlineStr">
        <is>
          <t>yfinance_download</t>
        </is>
      </c>
      <c r="AE351" s="24" t="inlineStr">
        <is>
          <t>000990.KS</t>
        </is>
      </c>
    </row>
    <row r="352" ht="24" customHeight="1">
      <c r="A352" s="29" t="inlineStr">
        <is>
          <t>2024-11-13</t>
        </is>
      </c>
      <c r="B352" s="31" t="n">
        <v>32050</v>
      </c>
      <c r="C352" s="31" t="n">
        <v>33150</v>
      </c>
      <c r="D352" s="31" t="n">
        <v>31400</v>
      </c>
      <c r="E352" s="31" t="n">
        <v>31600</v>
      </c>
      <c r="F352" s="31" t="n">
        <v>30454.857421875</v>
      </c>
      <c r="G352" s="31" t="n">
        <v>318894</v>
      </c>
      <c r="H352" s="36" t="n">
        <v>-0.02918586789554534</v>
      </c>
      <c r="I352" s="36" t="n">
        <v>-0.6277974087161367</v>
      </c>
      <c r="J352" s="31" t="n">
        <v>36632.5</v>
      </c>
      <c r="K352" s="31" t="n">
        <v>38841.66666666666</v>
      </c>
      <c r="L352" s="31" t="n">
        <v>43083.75</v>
      </c>
      <c r="M352" s="36" t="n">
        <v>0.4300044829974121</v>
      </c>
      <c r="N352" s="36" t="n">
        <v>0.380762923811358</v>
      </c>
      <c r="O352" s="36" t="n">
        <v>-0.2158808933002482</v>
      </c>
      <c r="P352" s="36" t="n">
        <v>-0.2785388127853882</v>
      </c>
      <c r="Q352" s="36" t="n">
        <v>-0.2520710059171598</v>
      </c>
      <c r="R352" s="36" t="n">
        <v>-0.1373780113287382</v>
      </c>
      <c r="S352" s="36" t="n">
        <v>-0.1864406779661016</v>
      </c>
      <c r="T352" s="36" t="n">
        <v>-0.2665448109786173</v>
      </c>
      <c r="U352" s="31" t="n">
        <v>61900</v>
      </c>
      <c r="V352" s="31" t="n">
        <v>31600</v>
      </c>
      <c r="W352" s="36" t="n">
        <v>-0.4894991922455574</v>
      </c>
      <c r="X352" s="36" t="n">
        <v>0</v>
      </c>
      <c r="Y352" s="31" t="n">
        <v>43617167</v>
      </c>
      <c r="Z352" s="31" t="n">
        <v>1378302477200</v>
      </c>
      <c r="AA352" s="31" t="n">
        <v>10077050400</v>
      </c>
      <c r="AB352" s="31" t="n">
        <v>7692123222.5</v>
      </c>
      <c r="AC352" s="36" t="n">
        <v>0.007311203866129132</v>
      </c>
      <c r="AD352" s="29" t="inlineStr">
        <is>
          <t>yfinance_download</t>
        </is>
      </c>
      <c r="AE352" s="29" t="inlineStr">
        <is>
          <t>000990.KS</t>
        </is>
      </c>
    </row>
    <row r="353" ht="24" customHeight="1">
      <c r="A353" s="24" t="inlineStr">
        <is>
          <t>2024-11-14</t>
        </is>
      </c>
      <c r="B353" s="30" t="n">
        <v>31600</v>
      </c>
      <c r="C353" s="30" t="n">
        <v>32550</v>
      </c>
      <c r="D353" s="30" t="n">
        <v>31600</v>
      </c>
      <c r="E353" s="30" t="n">
        <v>32350</v>
      </c>
      <c r="F353" s="30" t="n">
        <v>31177.6796875</v>
      </c>
      <c r="G353" s="30" t="n">
        <v>236887</v>
      </c>
      <c r="H353" s="35" t="n">
        <v>0.02373417721518978</v>
      </c>
      <c r="I353" s="35" t="n">
        <v>-0.6189634864546525</v>
      </c>
      <c r="J353" s="30" t="n">
        <v>36240</v>
      </c>
      <c r="K353" s="30" t="n">
        <v>38661.66666666666</v>
      </c>
      <c r="L353" s="30" t="n">
        <v>43004.16666666666</v>
      </c>
      <c r="M353" s="35" t="n">
        <v>0.4472128054883417</v>
      </c>
      <c r="N353" s="35" t="n">
        <v>0.384752919993506</v>
      </c>
      <c r="O353" s="35" t="n">
        <v>-0.195273631840796</v>
      </c>
      <c r="P353" s="35" t="n">
        <v>-0.2502896871378911</v>
      </c>
      <c r="Q353" s="35" t="n">
        <v>-0.2279236276849642</v>
      </c>
      <c r="R353" s="35" t="n">
        <v>-0.1073399558498896</v>
      </c>
      <c r="S353" s="35" t="n">
        <v>-0.1632538690347889</v>
      </c>
      <c r="T353" s="35" t="n">
        <v>-0.2477473113070439</v>
      </c>
      <c r="U353" s="30" t="n">
        <v>61900</v>
      </c>
      <c r="V353" s="30" t="n">
        <v>31600</v>
      </c>
      <c r="W353" s="35" t="n">
        <v>-0.4773828756058158</v>
      </c>
      <c r="X353" s="35" t="n">
        <v>0.02373417721518978</v>
      </c>
      <c r="Y353" s="30" t="n">
        <v>43617167</v>
      </c>
      <c r="Z353" s="30" t="n">
        <v>1411015352450</v>
      </c>
      <c r="AA353" s="30" t="n">
        <v>7663294450</v>
      </c>
      <c r="AB353" s="30" t="n">
        <v>7862026945</v>
      </c>
      <c r="AC353" s="35" t="n">
        <v>0.0054310496598736</v>
      </c>
      <c r="AD353" s="24" t="inlineStr">
        <is>
          <t>yfinance_download</t>
        </is>
      </c>
      <c r="AE353" s="24" t="inlineStr">
        <is>
          <t>000990.KS</t>
        </is>
      </c>
    </row>
    <row r="354" ht="24" customHeight="1">
      <c r="A354" s="29" t="inlineStr">
        <is>
          <t>2024-11-15</t>
        </is>
      </c>
      <c r="B354" s="31" t="n">
        <v>31950</v>
      </c>
      <c r="C354" s="31" t="n">
        <v>32250</v>
      </c>
      <c r="D354" s="31" t="n">
        <v>31100</v>
      </c>
      <c r="E354" s="31" t="n">
        <v>31850</v>
      </c>
      <c r="F354" s="31" t="n">
        <v>30695.798828125</v>
      </c>
      <c r="G354" s="31" t="n">
        <v>282770</v>
      </c>
      <c r="H354" s="36" t="n">
        <v>-0.01545595054095827</v>
      </c>
      <c r="I354" s="36" t="n">
        <v>-0.6248527679623086</v>
      </c>
      <c r="J354" s="31" t="n">
        <v>35900</v>
      </c>
      <c r="K354" s="31" t="n">
        <v>38483.33333333334</v>
      </c>
      <c r="L354" s="31" t="n">
        <v>42920.83333333334</v>
      </c>
      <c r="M354" s="36" t="n">
        <v>0.4352984800457046</v>
      </c>
      <c r="N354" s="36" t="n">
        <v>0.384927924035764</v>
      </c>
      <c r="O354" s="36" t="n">
        <v>-0.1759379042690815</v>
      </c>
      <c r="P354" s="36" t="n">
        <v>-0.2514688601645123</v>
      </c>
      <c r="Q354" s="36" t="n">
        <v>-0.2389486260454002</v>
      </c>
      <c r="R354" s="36" t="n">
        <v>-0.1128133704735376</v>
      </c>
      <c r="S354" s="36" t="n">
        <v>-0.1723689909051538</v>
      </c>
      <c r="T354" s="36" t="n">
        <v>-0.2579361227065334</v>
      </c>
      <c r="U354" s="31" t="n">
        <v>61900</v>
      </c>
      <c r="V354" s="31" t="n">
        <v>31600</v>
      </c>
      <c r="W354" s="36" t="n">
        <v>-0.4854604200323102</v>
      </c>
      <c r="X354" s="36" t="n">
        <v>0.007911392405063333</v>
      </c>
      <c r="Y354" s="31" t="n">
        <v>43617167</v>
      </c>
      <c r="Z354" s="31" t="n">
        <v>1389206768950</v>
      </c>
      <c r="AA354" s="31" t="n">
        <v>9006224500</v>
      </c>
      <c r="AB354" s="31" t="n">
        <v>7917002780</v>
      </c>
      <c r="AC354" s="36" t="n">
        <v>0.006482997852657419</v>
      </c>
      <c r="AD354" s="29" t="inlineStr">
        <is>
          <t>yfinance_download</t>
        </is>
      </c>
      <c r="AE354" s="29" t="inlineStr">
        <is>
          <t>000990.KS</t>
        </is>
      </c>
    </row>
    <row r="355" ht="24" customHeight="1">
      <c r="A355" s="24" t="inlineStr">
        <is>
          <t>2024-11-18</t>
        </is>
      </c>
      <c r="B355" s="30" t="n">
        <v>31700</v>
      </c>
      <c r="C355" s="30" t="n">
        <v>32300</v>
      </c>
      <c r="D355" s="30" t="n">
        <v>31500</v>
      </c>
      <c r="E355" s="30" t="n">
        <v>31950</v>
      </c>
      <c r="F355" s="30" t="n">
        <v>30792.173828125</v>
      </c>
      <c r="G355" s="30" t="n">
        <v>792412</v>
      </c>
      <c r="H355" s="35" t="n">
        <v>0.003139717425431732</v>
      </c>
      <c r="I355" s="35" t="n">
        <v>-0.6236749116607774</v>
      </c>
      <c r="J355" s="30" t="n">
        <v>35605</v>
      </c>
      <c r="K355" s="30" t="n">
        <v>38289.16666666666</v>
      </c>
      <c r="L355" s="30" t="n">
        <v>42821.25</v>
      </c>
      <c r="M355" s="35" t="n">
        <v>0.435222392185165</v>
      </c>
      <c r="N355" s="35" t="n">
        <v>0.3804534686619697</v>
      </c>
      <c r="O355" s="35" t="n">
        <v>-0.1558784676354029</v>
      </c>
      <c r="P355" s="35" t="n">
        <v>-0.2672018348623854</v>
      </c>
      <c r="Q355" s="35" t="n">
        <v>-0.2722095671981777</v>
      </c>
      <c r="R355" s="35" t="n">
        <v>-0.1026541216121332</v>
      </c>
      <c r="S355" s="35" t="n">
        <v>-0.1655603194985527</v>
      </c>
      <c r="T355" s="35" t="n">
        <v>-0.2538751204133461</v>
      </c>
      <c r="U355" s="30" t="n">
        <v>61900</v>
      </c>
      <c r="V355" s="30" t="n">
        <v>31600</v>
      </c>
      <c r="W355" s="35" t="n">
        <v>-0.4838449111470113</v>
      </c>
      <c r="X355" s="35" t="n">
        <v>0.01107594936708867</v>
      </c>
      <c r="Y355" s="30" t="n">
        <v>43617167</v>
      </c>
      <c r="Z355" s="30" t="n">
        <v>1393568485650</v>
      </c>
      <c r="AA355" s="30" t="n">
        <v>25317563400</v>
      </c>
      <c r="AB355" s="30" t="n">
        <v>8624731602.5</v>
      </c>
      <c r="AC355" s="35" t="n">
        <v>0.01816743393719266</v>
      </c>
      <c r="AD355" s="24" t="inlineStr">
        <is>
          <t>yfinance_download</t>
        </is>
      </c>
      <c r="AE355" s="24" t="inlineStr">
        <is>
          <t>000990.KS</t>
        </is>
      </c>
    </row>
    <row r="356" ht="24" customHeight="1">
      <c r="A356" s="29" t="inlineStr">
        <is>
          <t>2024-11-19</t>
        </is>
      </c>
      <c r="B356" s="31" t="n">
        <v>31850</v>
      </c>
      <c r="C356" s="31" t="n">
        <v>34150</v>
      </c>
      <c r="D356" s="31" t="n">
        <v>31850</v>
      </c>
      <c r="E356" s="31" t="n">
        <v>34000</v>
      </c>
      <c r="F356" s="31" t="n">
        <v>32767.88671875</v>
      </c>
      <c r="G356" s="31" t="n">
        <v>309257</v>
      </c>
      <c r="H356" s="36" t="n">
        <v>0.06416275430359941</v>
      </c>
      <c r="I356" s="36" t="n">
        <v>-0.5995288574793876</v>
      </c>
      <c r="J356" s="31" t="n">
        <v>35465</v>
      </c>
      <c r="K356" s="31" t="n">
        <v>38145</v>
      </c>
      <c r="L356" s="31" t="n">
        <v>42732.08333333334</v>
      </c>
      <c r="M356" s="36" t="n">
        <v>0.4979034315054137</v>
      </c>
      <c r="N356" s="36" t="n">
        <v>0.4041809752392675</v>
      </c>
      <c r="O356" s="36" t="n">
        <v>-0.07608695652173914</v>
      </c>
      <c r="P356" s="36" t="n">
        <v>-0.2028135990621337</v>
      </c>
      <c r="Q356" s="36" t="n">
        <v>-0.2393736017897091</v>
      </c>
      <c r="R356" s="36" t="n">
        <v>-0.04130833215846608</v>
      </c>
      <c r="S356" s="36" t="n">
        <v>-0.1086643072486564</v>
      </c>
      <c r="T356" s="36" t="n">
        <v>-0.2043449008843863</v>
      </c>
      <c r="U356" s="31" t="n">
        <v>61900</v>
      </c>
      <c r="V356" s="31" t="n">
        <v>31600</v>
      </c>
      <c r="W356" s="36" t="n">
        <v>-0.4507269789983845</v>
      </c>
      <c r="X356" s="36" t="n">
        <v>0.07594936708860756</v>
      </c>
      <c r="Y356" s="31" t="n">
        <v>43617167</v>
      </c>
      <c r="Z356" s="31" t="n">
        <v>1482983678000</v>
      </c>
      <c r="AA356" s="31" t="n">
        <v>10514738000</v>
      </c>
      <c r="AB356" s="31" t="n">
        <v>8571983542.5</v>
      </c>
      <c r="AC356" s="36" t="n">
        <v>0.007090258750642837</v>
      </c>
      <c r="AD356" s="29" t="inlineStr">
        <is>
          <t>yfinance_download</t>
        </is>
      </c>
      <c r="AE356" s="29" t="inlineStr">
        <is>
          <t>000990.KS</t>
        </is>
      </c>
    </row>
    <row r="357" ht="24" customHeight="1">
      <c r="A357" s="24" t="inlineStr">
        <is>
          <t>2024-11-20</t>
        </is>
      </c>
      <c r="B357" s="30" t="n">
        <v>34050</v>
      </c>
      <c r="C357" s="30" t="n">
        <v>34100</v>
      </c>
      <c r="D357" s="30" t="n">
        <v>33250</v>
      </c>
      <c r="E357" s="30" t="n">
        <v>33650</v>
      </c>
      <c r="F357" s="30" t="n">
        <v>32430.568359375</v>
      </c>
      <c r="G357" s="30" t="n">
        <v>112126</v>
      </c>
      <c r="H357" s="35" t="n">
        <v>-0.01029411764705879</v>
      </c>
      <c r="I357" s="35" t="n">
        <v>-0.6036513545347468</v>
      </c>
      <c r="J357" s="30" t="n">
        <v>35302.5</v>
      </c>
      <c r="K357" s="30" t="n">
        <v>37999.16666666666</v>
      </c>
      <c r="L357" s="30" t="n">
        <v>42656.66666666666</v>
      </c>
      <c r="M357" s="35" t="n">
        <v>0.4978963407371901</v>
      </c>
      <c r="N357" s="35" t="n">
        <v>0.404395809665238</v>
      </c>
      <c r="O357" s="35" t="n">
        <v>-0.08807588075880757</v>
      </c>
      <c r="P357" s="35" t="n">
        <v>-0.2063679245283019</v>
      </c>
      <c r="Q357" s="35" t="n">
        <v>-0.211943793911007</v>
      </c>
      <c r="R357" s="35" t="n">
        <v>-0.04680971602577721</v>
      </c>
      <c r="S357" s="35" t="n">
        <v>-0.1144542643479023</v>
      </c>
      <c r="T357" s="35" t="n">
        <v>-0.2111432366961006</v>
      </c>
      <c r="U357" s="30" t="n">
        <v>61900</v>
      </c>
      <c r="V357" s="30" t="n">
        <v>31600</v>
      </c>
      <c r="W357" s="35" t="n">
        <v>-0.4563812600969306</v>
      </c>
      <c r="X357" s="35" t="n">
        <v>0.06487341772151889</v>
      </c>
      <c r="Y357" s="30" t="n">
        <v>43617167</v>
      </c>
      <c r="Z357" s="30" t="n">
        <v>1467717669550</v>
      </c>
      <c r="AA357" s="30" t="n">
        <v>3773039900</v>
      </c>
      <c r="AB357" s="30" t="n">
        <v>8228716502.5</v>
      </c>
      <c r="AC357" s="35" t="n">
        <v>0.002570685069940466</v>
      </c>
      <c r="AD357" s="24" t="inlineStr">
        <is>
          <t>yfinance_download</t>
        </is>
      </c>
      <c r="AE357" s="24" t="inlineStr">
        <is>
          <t>000990.KS</t>
        </is>
      </c>
    </row>
    <row r="358" ht="24" customHeight="1">
      <c r="A358" s="29" t="inlineStr">
        <is>
          <t>2024-11-21</t>
        </is>
      </c>
      <c r="B358" s="31" t="n">
        <v>33200</v>
      </c>
      <c r="C358" s="31" t="n">
        <v>33800</v>
      </c>
      <c r="D358" s="31" t="n">
        <v>33200</v>
      </c>
      <c r="E358" s="31" t="n">
        <v>33600</v>
      </c>
      <c r="F358" s="31" t="n">
        <v>32382.3828125</v>
      </c>
      <c r="G358" s="31" t="n">
        <v>115265</v>
      </c>
      <c r="H358" s="36" t="n">
        <v>-0.001485884101040114</v>
      </c>
      <c r="I358" s="36" t="n">
        <v>-0.6042402826855124</v>
      </c>
      <c r="J358" s="31" t="n">
        <v>35180</v>
      </c>
      <c r="K358" s="31" t="n">
        <v>37850.83333333334</v>
      </c>
      <c r="L358" s="31" t="n">
        <v>42593.75</v>
      </c>
      <c r="M358" s="36" t="n">
        <v>0.4928970820027542</v>
      </c>
      <c r="N358" s="36" t="n">
        <v>0.4042335487965279</v>
      </c>
      <c r="O358" s="36" t="n">
        <v>-0.06796116504854366</v>
      </c>
      <c r="P358" s="36" t="n">
        <v>-0.2094117647058824</v>
      </c>
      <c r="Q358" s="36" t="n">
        <v>-0.1834750911300121</v>
      </c>
      <c r="R358" s="36" t="n">
        <v>-0.04491188175099492</v>
      </c>
      <c r="S358" s="36" t="n">
        <v>-0.1123048810021796</v>
      </c>
      <c r="T358" s="36" t="n">
        <v>-0.2111518708730741</v>
      </c>
      <c r="U358" s="31" t="n">
        <v>61900</v>
      </c>
      <c r="V358" s="31" t="n">
        <v>31600</v>
      </c>
      <c r="W358" s="36" t="n">
        <v>-0.4571890145395799</v>
      </c>
      <c r="X358" s="36" t="n">
        <v>0.06329113924050622</v>
      </c>
      <c r="Y358" s="31" t="n">
        <v>43617167</v>
      </c>
      <c r="Z358" s="31" t="n">
        <v>1465536811200</v>
      </c>
      <c r="AA358" s="31" t="n">
        <v>3872904000</v>
      </c>
      <c r="AB358" s="31" t="n">
        <v>8061506610</v>
      </c>
      <c r="AC358" s="36" t="n">
        <v>0.002642652146573389</v>
      </c>
      <c r="AD358" s="29" t="inlineStr">
        <is>
          <t>yfinance_download</t>
        </is>
      </c>
      <c r="AE358" s="29" t="inlineStr">
        <is>
          <t>000990.KS</t>
        </is>
      </c>
    </row>
    <row r="359" ht="24" customHeight="1">
      <c r="A359" s="24" t="inlineStr">
        <is>
          <t>2024-11-22</t>
        </is>
      </c>
      <c r="B359" s="30" t="n">
        <v>33400</v>
      </c>
      <c r="C359" s="30" t="n">
        <v>34000</v>
      </c>
      <c r="D359" s="30" t="n">
        <v>33150</v>
      </c>
      <c r="E359" s="30" t="n">
        <v>33150</v>
      </c>
      <c r="F359" s="30" t="n">
        <v>31948.6875</v>
      </c>
      <c r="G359" s="30" t="n">
        <v>96241</v>
      </c>
      <c r="H359" s="35" t="n">
        <v>-0.0133928571428571</v>
      </c>
      <c r="I359" s="35" t="n">
        <v>-0.6095406360424028</v>
      </c>
      <c r="J359" s="30" t="n">
        <v>35057.5</v>
      </c>
      <c r="K359" s="30" t="n">
        <v>37705.83333333334</v>
      </c>
      <c r="L359" s="30" t="n">
        <v>42529.58333333334</v>
      </c>
      <c r="M359" s="35" t="n">
        <v>0.4931384742118928</v>
      </c>
      <c r="N359" s="35" t="n">
        <v>0.4040171685910499</v>
      </c>
      <c r="O359" s="35" t="n">
        <v>-0.0688202247191011</v>
      </c>
      <c r="P359" s="35" t="n">
        <v>-0.2078853046594982</v>
      </c>
      <c r="Q359" s="35" t="n">
        <v>-0.1884944920440637</v>
      </c>
      <c r="R359" s="35" t="n">
        <v>-0.05441061113884338</v>
      </c>
      <c r="S359" s="35" t="n">
        <v>-0.1208256901010012</v>
      </c>
      <c r="T359" s="35" t="n">
        <v>-0.2205425635097139</v>
      </c>
      <c r="U359" s="30" t="n">
        <v>61900</v>
      </c>
      <c r="V359" s="30" t="n">
        <v>31600</v>
      </c>
      <c r="W359" s="35" t="n">
        <v>-0.4644588045234249</v>
      </c>
      <c r="X359" s="35" t="n">
        <v>0.04905063291139244</v>
      </c>
      <c r="Y359" s="30" t="n">
        <v>43617167</v>
      </c>
      <c r="Z359" s="30" t="n">
        <v>1445909086050</v>
      </c>
      <c r="AA359" s="30" t="n">
        <v>3190389150</v>
      </c>
      <c r="AB359" s="30" t="n">
        <v>7836506907.5</v>
      </c>
      <c r="AC359" s="35" t="n">
        <v>0.002206493603768443</v>
      </c>
      <c r="AD359" s="24" t="inlineStr">
        <is>
          <t>yfinance_download</t>
        </is>
      </c>
      <c r="AE359" s="24" t="inlineStr">
        <is>
          <t>000990.KS</t>
        </is>
      </c>
    </row>
    <row r="360" ht="24" customHeight="1">
      <c r="A360" s="29" t="inlineStr">
        <is>
          <t>2024-11-25</t>
        </is>
      </c>
      <c r="B360" s="31" t="n">
        <v>33150</v>
      </c>
      <c r="C360" s="31" t="n">
        <v>33600</v>
      </c>
      <c r="D360" s="31" t="n">
        <v>32650</v>
      </c>
      <c r="E360" s="31" t="n">
        <v>33600</v>
      </c>
      <c r="F360" s="31" t="n">
        <v>32382.3828125</v>
      </c>
      <c r="G360" s="31" t="n">
        <v>182169</v>
      </c>
      <c r="H360" s="36" t="n">
        <v>0.01357466063348411</v>
      </c>
      <c r="I360" s="36" t="n">
        <v>-0.6042402826855124</v>
      </c>
      <c r="J360" s="31" t="n">
        <v>34885</v>
      </c>
      <c r="K360" s="31" t="n">
        <v>37580.83333333334</v>
      </c>
      <c r="L360" s="31" t="n">
        <v>42472.5</v>
      </c>
      <c r="M360" s="36" t="n">
        <v>0.4700030698130606</v>
      </c>
      <c r="N360" s="36" t="n">
        <v>0.4043911595052802</v>
      </c>
      <c r="O360" s="36" t="n">
        <v>-0.09311740890688258</v>
      </c>
      <c r="P360" s="36" t="n">
        <v>-0.1824817518248175</v>
      </c>
      <c r="Q360" s="36" t="n">
        <v>-0.169344870210136</v>
      </c>
      <c r="R360" s="36" t="n">
        <v>-0.03683531603841195</v>
      </c>
      <c r="S360" s="36" t="n">
        <v>-0.1059272235403685</v>
      </c>
      <c r="T360" s="36" t="n">
        <v>-0.2088998763906057</v>
      </c>
      <c r="U360" s="31" t="n">
        <v>61900</v>
      </c>
      <c r="V360" s="31" t="n">
        <v>31600</v>
      </c>
      <c r="W360" s="36" t="n">
        <v>-0.4571890145395799</v>
      </c>
      <c r="X360" s="36" t="n">
        <v>0.06329113924050622</v>
      </c>
      <c r="Y360" s="31" t="n">
        <v>43617167</v>
      </c>
      <c r="Z360" s="31" t="n">
        <v>1465536811200</v>
      </c>
      <c r="AA360" s="31" t="n">
        <v>6120878400</v>
      </c>
      <c r="AB360" s="31" t="n">
        <v>7895920092.5</v>
      </c>
      <c r="AC360" s="36" t="n">
        <v>0.004176543607245285</v>
      </c>
      <c r="AD360" s="29" t="inlineStr">
        <is>
          <t>yfinance_download</t>
        </is>
      </c>
      <c r="AE360" s="29" t="inlineStr">
        <is>
          <t>000990.KS</t>
        </is>
      </c>
    </row>
    <row r="361" ht="24" customHeight="1">
      <c r="A361" s="24" t="inlineStr">
        <is>
          <t>2024-11-26</t>
        </is>
      </c>
      <c r="B361" s="30" t="n">
        <v>33500</v>
      </c>
      <c r="C361" s="30" t="n">
        <v>33700</v>
      </c>
      <c r="D361" s="30" t="n">
        <v>32900</v>
      </c>
      <c r="E361" s="30" t="n">
        <v>33700</v>
      </c>
      <c r="F361" s="30" t="n">
        <v>32478.755859375</v>
      </c>
      <c r="G361" s="30" t="n">
        <v>104985</v>
      </c>
      <c r="H361" s="35" t="n">
        <v>0.002976190476190466</v>
      </c>
      <c r="I361" s="35" t="n">
        <v>-0.6030624263839812</v>
      </c>
      <c r="J361" s="30" t="n">
        <v>34692.5</v>
      </c>
      <c r="K361" s="30" t="n">
        <v>37470</v>
      </c>
      <c r="L361" s="30" t="n">
        <v>42420.41666666666</v>
      </c>
      <c r="M361" s="35" t="n">
        <v>0.4661405378255041</v>
      </c>
      <c r="N361" s="35" t="n">
        <v>0.4033185624867608</v>
      </c>
      <c r="O361" s="35" t="n">
        <v>-0.1025299600532623</v>
      </c>
      <c r="P361" s="35" t="n">
        <v>-0.1648079306071871</v>
      </c>
      <c r="Q361" s="35" t="n">
        <v>-0.1564455569461827</v>
      </c>
      <c r="R361" s="35" t="n">
        <v>-0.02860848886646972</v>
      </c>
      <c r="S361" s="35" t="n">
        <v>-0.1006138243928476</v>
      </c>
      <c r="T361" s="35" t="n">
        <v>-0.2055712166900765</v>
      </c>
      <c r="U361" s="30" t="n">
        <v>61900</v>
      </c>
      <c r="V361" s="30" t="n">
        <v>31600</v>
      </c>
      <c r="W361" s="35" t="n">
        <v>-0.4555735056542811</v>
      </c>
      <c r="X361" s="35" t="n">
        <v>0.06645569620253156</v>
      </c>
      <c r="Y361" s="30" t="n">
        <v>43617167</v>
      </c>
      <c r="Z361" s="30" t="n">
        <v>1469898527900</v>
      </c>
      <c r="AA361" s="30" t="n">
        <v>3537994500</v>
      </c>
      <c r="AB361" s="30" t="n">
        <v>7847848380</v>
      </c>
      <c r="AC361" s="35" t="n">
        <v>0.002406965129119918</v>
      </c>
      <c r="AD361" s="24" t="inlineStr">
        <is>
          <t>yfinance_download</t>
        </is>
      </c>
      <c r="AE361" s="24" t="inlineStr">
        <is>
          <t>000990.KS</t>
        </is>
      </c>
    </row>
    <row r="362" ht="24" customHeight="1">
      <c r="A362" s="29" t="inlineStr">
        <is>
          <t>2024-11-27</t>
        </is>
      </c>
      <c r="B362" s="31" t="n">
        <v>33900</v>
      </c>
      <c r="C362" s="31" t="n">
        <v>33900</v>
      </c>
      <c r="D362" s="31" t="n">
        <v>32500</v>
      </c>
      <c r="E362" s="31" t="n">
        <v>32500</v>
      </c>
      <c r="F362" s="31" t="n">
        <v>31322.244140625</v>
      </c>
      <c r="G362" s="31" t="n">
        <v>169112</v>
      </c>
      <c r="H362" s="36" t="n">
        <v>-0.03560830860534125</v>
      </c>
      <c r="I362" s="36" t="n">
        <v>-0.6171967020023557</v>
      </c>
      <c r="J362" s="31" t="n">
        <v>34455</v>
      </c>
      <c r="K362" s="31" t="n">
        <v>37337.5</v>
      </c>
      <c r="L362" s="31" t="n">
        <v>42353.33333333334</v>
      </c>
      <c r="M362" s="36" t="n">
        <v>0.4786426545834622</v>
      </c>
      <c r="N362" s="36" t="n">
        <v>0.4087540057611788</v>
      </c>
      <c r="O362" s="36" t="n">
        <v>-0.12751677852349</v>
      </c>
      <c r="P362" s="36" t="n">
        <v>-0.1965389369592089</v>
      </c>
      <c r="Q362" s="36" t="n">
        <v>-0.1985203452527744</v>
      </c>
      <c r="R362" s="36" t="n">
        <v>-0.05674067624437673</v>
      </c>
      <c r="S362" s="36" t="n">
        <v>-0.1295614328757951</v>
      </c>
      <c r="T362" s="36" t="n">
        <v>-0.232645994018574</v>
      </c>
      <c r="U362" s="31" t="n">
        <v>61900</v>
      </c>
      <c r="V362" s="31" t="n">
        <v>31600</v>
      </c>
      <c r="W362" s="36" t="n">
        <v>-0.4749596122778675</v>
      </c>
      <c r="X362" s="36" t="n">
        <v>0.02848101265822778</v>
      </c>
      <c r="Y362" s="31" t="n">
        <v>43617167</v>
      </c>
      <c r="Z362" s="31" t="n">
        <v>1417557927500</v>
      </c>
      <c r="AA362" s="31" t="n">
        <v>5496140000</v>
      </c>
      <c r="AB362" s="31" t="n">
        <v>7895629667.5</v>
      </c>
      <c r="AC362" s="36" t="n">
        <v>0.003877188997625637</v>
      </c>
      <c r="AD362" s="29" t="inlineStr">
        <is>
          <t>yfinance_download</t>
        </is>
      </c>
      <c r="AE362" s="29" t="inlineStr">
        <is>
          <t>000990.KS</t>
        </is>
      </c>
    </row>
    <row r="363" ht="24" customHeight="1">
      <c r="A363" s="24" t="inlineStr">
        <is>
          <t>2024-11-28</t>
        </is>
      </c>
      <c r="B363" s="30" t="n">
        <v>32200</v>
      </c>
      <c r="C363" s="30" t="n">
        <v>32750</v>
      </c>
      <c r="D363" s="30" t="n">
        <v>32150</v>
      </c>
      <c r="E363" s="30" t="n">
        <v>32300</v>
      </c>
      <c r="F363" s="30" t="n">
        <v>31129.4921875</v>
      </c>
      <c r="G363" s="30" t="n">
        <v>103489</v>
      </c>
      <c r="H363" s="35" t="n">
        <v>-0.006153846153846176</v>
      </c>
      <c r="I363" s="35" t="n">
        <v>-0.6195524146054181</v>
      </c>
      <c r="J363" s="30" t="n">
        <v>34120</v>
      </c>
      <c r="K363" s="30" t="n">
        <v>37181.66666666666</v>
      </c>
      <c r="L363" s="30" t="n">
        <v>42275.41666666666</v>
      </c>
      <c r="M363" s="35" t="n">
        <v>0.4352952307792738</v>
      </c>
      <c r="N363" s="35" t="n">
        <v>0.4029599433416368</v>
      </c>
      <c r="O363" s="35" t="n">
        <v>-0.1717948717948717</v>
      </c>
      <c r="P363" s="35" t="n">
        <v>-0.2244897959183674</v>
      </c>
      <c r="Q363" s="35" t="n">
        <v>-0.2244897959183674</v>
      </c>
      <c r="R363" s="35" t="n">
        <v>-0.05334114888628372</v>
      </c>
      <c r="S363" s="35" t="n">
        <v>-0.1312923035546192</v>
      </c>
      <c r="T363" s="35" t="n">
        <v>-0.2359625866096332</v>
      </c>
      <c r="U363" s="30" t="n">
        <v>61900</v>
      </c>
      <c r="V363" s="30" t="n">
        <v>31600</v>
      </c>
      <c r="W363" s="35" t="n">
        <v>-0.4781906300484653</v>
      </c>
      <c r="X363" s="35" t="n">
        <v>0.02215189873417711</v>
      </c>
      <c r="Y363" s="30" t="n">
        <v>43617167</v>
      </c>
      <c r="Z363" s="30" t="n">
        <v>1408834494100</v>
      </c>
      <c r="AA363" s="30" t="n">
        <v>3342694700</v>
      </c>
      <c r="AB363" s="30" t="n">
        <v>7638933852.5</v>
      </c>
      <c r="AC363" s="35" t="n">
        <v>0.002372666707124743</v>
      </c>
      <c r="AD363" s="24" t="inlineStr">
        <is>
          <t>yfinance_download</t>
        </is>
      </c>
      <c r="AE363" s="24" t="inlineStr">
        <is>
          <t>000990.KS</t>
        </is>
      </c>
    </row>
    <row r="364" ht="24" customHeight="1">
      <c r="A364" s="29" t="inlineStr">
        <is>
          <t>2024-11-29</t>
        </is>
      </c>
      <c r="B364" s="31" t="n">
        <v>32200</v>
      </c>
      <c r="C364" s="31" t="n">
        <v>32300</v>
      </c>
      <c r="D364" s="31" t="n">
        <v>31250</v>
      </c>
      <c r="E364" s="31" t="n">
        <v>31400</v>
      </c>
      <c r="F364" s="31" t="n">
        <v>30262.107421875</v>
      </c>
      <c r="G364" s="31" t="n">
        <v>153239</v>
      </c>
      <c r="H364" s="36" t="n">
        <v>-0.02786377708978327</v>
      </c>
      <c r="I364" s="36" t="n">
        <v>-0.6301531213191991</v>
      </c>
      <c r="J364" s="31" t="n">
        <v>33827.5</v>
      </c>
      <c r="K364" s="31" t="n">
        <v>37024.16666666666</v>
      </c>
      <c r="L364" s="31" t="n">
        <v>42180.83333333334</v>
      </c>
      <c r="M364" s="36" t="n">
        <v>0.4206583713587757</v>
      </c>
      <c r="N364" s="36" t="n">
        <v>0.4047497878776269</v>
      </c>
      <c r="O364" s="36" t="n">
        <v>-0.1570469798657718</v>
      </c>
      <c r="P364" s="36" t="n">
        <v>-0.2313341493268054</v>
      </c>
      <c r="Q364" s="36" t="n">
        <v>-0.2654970760233918</v>
      </c>
      <c r="R364" s="36" t="n">
        <v>-0.07176114108343801</v>
      </c>
      <c r="S364" s="36" t="n">
        <v>-0.1519052870872628</v>
      </c>
      <c r="T364" s="36" t="n">
        <v>-0.2555860679218445</v>
      </c>
      <c r="U364" s="31" t="n">
        <v>61900</v>
      </c>
      <c r="V364" s="31" t="n">
        <v>31400</v>
      </c>
      <c r="W364" s="36" t="n">
        <v>-0.4927302100161551</v>
      </c>
      <c r="X364" s="36" t="n">
        <v>0</v>
      </c>
      <c r="Y364" s="31" t="n">
        <v>43617167</v>
      </c>
      <c r="Z364" s="31" t="n">
        <v>1369579043800</v>
      </c>
      <c r="AA364" s="31" t="n">
        <v>4811704600</v>
      </c>
      <c r="AB364" s="31" t="n">
        <v>7644860845</v>
      </c>
      <c r="AC364" s="36" t="n">
        <v>0.00351327265248566</v>
      </c>
      <c r="AD364" s="29" t="inlineStr">
        <is>
          <t>yfinance_download</t>
        </is>
      </c>
      <c r="AE364" s="29" t="inlineStr">
        <is>
          <t>000990.KS</t>
        </is>
      </c>
    </row>
    <row r="365" ht="24" customHeight="1">
      <c r="A365" s="24" t="inlineStr">
        <is>
          <t>2024-12-02</t>
        </is>
      </c>
      <c r="B365" s="30" t="n">
        <v>31350</v>
      </c>
      <c r="C365" s="30" t="n">
        <v>31700</v>
      </c>
      <c r="D365" s="30" t="n">
        <v>30150</v>
      </c>
      <c r="E365" s="30" t="n">
        <v>30250</v>
      </c>
      <c r="F365" s="30" t="n">
        <v>29153.78125</v>
      </c>
      <c r="G365" s="30" t="n">
        <v>218442</v>
      </c>
      <c r="H365" s="35" t="n">
        <v>-0.0366242038216561</v>
      </c>
      <c r="I365" s="35" t="n">
        <v>-0.643698468786808</v>
      </c>
      <c r="J365" s="30" t="n">
        <v>33472.5</v>
      </c>
      <c r="K365" s="30" t="n">
        <v>36849.16666666666</v>
      </c>
      <c r="L365" s="30" t="n">
        <v>42073.33333333334</v>
      </c>
      <c r="M365" s="35" t="n">
        <v>0.4302339272978649</v>
      </c>
      <c r="N365" s="35" t="n">
        <v>0.4101930748002343</v>
      </c>
      <c r="O365" s="35" t="n">
        <v>-0.1900937081659974</v>
      </c>
      <c r="P365" s="35" t="n">
        <v>-0.2576687116564417</v>
      </c>
      <c r="Q365" s="35" t="n">
        <v>-0.2989571263035922</v>
      </c>
      <c r="R365" s="35" t="n">
        <v>-0.096273059974606</v>
      </c>
      <c r="S365" s="35" t="n">
        <v>-0.1790859132951897</v>
      </c>
      <c r="T365" s="35" t="n">
        <v>-0.2810172714308351</v>
      </c>
      <c r="U365" s="30" t="n">
        <v>61900</v>
      </c>
      <c r="V365" s="30" t="n">
        <v>30250</v>
      </c>
      <c r="W365" s="35" t="n">
        <v>-0.5113085621970921</v>
      </c>
      <c r="X365" s="35" t="n">
        <v>0</v>
      </c>
      <c r="Y365" s="30" t="n">
        <v>43617167</v>
      </c>
      <c r="Z365" s="30" t="n">
        <v>1319419301750</v>
      </c>
      <c r="AA365" s="30" t="n">
        <v>6607870500</v>
      </c>
      <c r="AB365" s="30" t="n">
        <v>7704857177.5</v>
      </c>
      <c r="AC365" s="35" t="n">
        <v>0.005008165706864914</v>
      </c>
      <c r="AD365" s="24" t="inlineStr">
        <is>
          <t>yfinance_download</t>
        </is>
      </c>
      <c r="AE365" s="24" t="inlineStr">
        <is>
          <t>000990.KS</t>
        </is>
      </c>
    </row>
    <row r="366" ht="24" customHeight="1">
      <c r="A366" s="29" t="inlineStr">
        <is>
          <t>2024-12-03</t>
        </is>
      </c>
      <c r="B366" s="31" t="n">
        <v>29950</v>
      </c>
      <c r="C366" s="31" t="n">
        <v>32850</v>
      </c>
      <c r="D366" s="31" t="n">
        <v>29950</v>
      </c>
      <c r="E366" s="31" t="n">
        <v>32850</v>
      </c>
      <c r="F366" s="31" t="n">
        <v>31659.560546875</v>
      </c>
      <c r="G366" s="31" t="n">
        <v>310697</v>
      </c>
      <c r="H366" s="36" t="n">
        <v>0.08595041322314056</v>
      </c>
      <c r="I366" s="36" t="n">
        <v>-0.6130742049469965</v>
      </c>
      <c r="J366" s="31" t="n">
        <v>33225</v>
      </c>
      <c r="K366" s="31" t="n">
        <v>36721.66666666666</v>
      </c>
      <c r="L366" s="31" t="n">
        <v>41985</v>
      </c>
      <c r="M366" s="36" t="n">
        <v>0.545353551131574</v>
      </c>
      <c r="N366" s="36" t="n">
        <v>0.4502071776745184</v>
      </c>
      <c r="O366" s="36" t="n">
        <v>-0.1309523809523809</v>
      </c>
      <c r="P366" s="36" t="n">
        <v>-0.1888888888888889</v>
      </c>
      <c r="Q366" s="36" t="n">
        <v>-0.2439585730724971</v>
      </c>
      <c r="R366" s="36" t="n">
        <v>-0.01128668171557567</v>
      </c>
      <c r="S366" s="36" t="n">
        <v>-0.1054327599509826</v>
      </c>
      <c r="T366" s="36" t="n">
        <v>-0.217577706323687</v>
      </c>
      <c r="U366" s="31" t="n">
        <v>61900</v>
      </c>
      <c r="V366" s="31" t="n">
        <v>30250</v>
      </c>
      <c r="W366" s="36" t="n">
        <v>-0.4693053311793215</v>
      </c>
      <c r="X366" s="36" t="n">
        <v>0.08595041322314056</v>
      </c>
      <c r="Y366" s="31" t="n">
        <v>43617167</v>
      </c>
      <c r="Z366" s="31" t="n">
        <v>1432823935950</v>
      </c>
      <c r="AA366" s="31" t="n">
        <v>10206396450</v>
      </c>
      <c r="AB366" s="31" t="n">
        <v>7964033800</v>
      </c>
      <c r="AC366" s="36" t="n">
        <v>0.00712327327448846</v>
      </c>
      <c r="AD366" s="29" t="inlineStr">
        <is>
          <t>yfinance_download</t>
        </is>
      </c>
      <c r="AE366" s="29" t="inlineStr">
        <is>
          <t>000990.KS</t>
        </is>
      </c>
    </row>
    <row r="367" ht="24" customHeight="1">
      <c r="A367" s="24" t="inlineStr">
        <is>
          <t>2024-12-04</t>
        </is>
      </c>
      <c r="B367" s="30" t="n">
        <v>31700</v>
      </c>
      <c r="C367" s="30" t="n">
        <v>32800</v>
      </c>
      <c r="D367" s="30" t="n">
        <v>31200</v>
      </c>
      <c r="E367" s="30" t="n">
        <v>32800</v>
      </c>
      <c r="F367" s="30" t="n">
        <v>31611.373046875</v>
      </c>
      <c r="G367" s="30" t="n">
        <v>224000</v>
      </c>
      <c r="H367" s="35" t="n">
        <v>-0.001522070015220756</v>
      </c>
      <c r="I367" s="35" t="n">
        <v>-0.613663133097762</v>
      </c>
      <c r="J367" s="30" t="n">
        <v>33035</v>
      </c>
      <c r="K367" s="30" t="n">
        <v>36596.66666666666</v>
      </c>
      <c r="L367" s="30" t="n">
        <v>41902.08333333334</v>
      </c>
      <c r="M367" s="35" t="n">
        <v>0.5372472378128353</v>
      </c>
      <c r="N367" s="35" t="n">
        <v>0.4502017658182123</v>
      </c>
      <c r="O367" s="35" t="n">
        <v>-0.1038251366120219</v>
      </c>
      <c r="P367" s="35" t="n">
        <v>-0.1861042183622829</v>
      </c>
      <c r="Q367" s="35" t="n">
        <v>-0.2327485380116959</v>
      </c>
      <c r="R367" s="35" t="n">
        <v>-0.00711366732253671</v>
      </c>
      <c r="S367" s="35" t="n">
        <v>-0.1037435103379177</v>
      </c>
      <c r="T367" s="35" t="n">
        <v>-0.2172226917913788</v>
      </c>
      <c r="U367" s="30" t="n">
        <v>61900</v>
      </c>
      <c r="V367" s="30" t="n">
        <v>30250</v>
      </c>
      <c r="W367" s="35" t="n">
        <v>-0.470113085621971</v>
      </c>
      <c r="X367" s="35" t="n">
        <v>0.08429752066115692</v>
      </c>
      <c r="Y367" s="30" t="n">
        <v>43617167</v>
      </c>
      <c r="Z367" s="30" t="n">
        <v>1430643077600</v>
      </c>
      <c r="AA367" s="30" t="n">
        <v>7347200000</v>
      </c>
      <c r="AB367" s="30" t="n">
        <v>7984599650</v>
      </c>
      <c r="AC367" s="35" t="n">
        <v>0.005135592598207949</v>
      </c>
      <c r="AD367" s="24" t="inlineStr">
        <is>
          <t>yfinance_download</t>
        </is>
      </c>
      <c r="AE367" s="24" t="inlineStr">
        <is>
          <t>000990.KS</t>
        </is>
      </c>
    </row>
    <row r="368" ht="24" customHeight="1">
      <c r="A368" s="29" t="inlineStr">
        <is>
          <t>2024-12-05</t>
        </is>
      </c>
      <c r="B368" s="31" t="n">
        <v>32850</v>
      </c>
      <c r="C368" s="31" t="n">
        <v>32850</v>
      </c>
      <c r="D368" s="31" t="n">
        <v>31650</v>
      </c>
      <c r="E368" s="31" t="n">
        <v>31750</v>
      </c>
      <c r="F368" s="31" t="n">
        <v>30599.421875</v>
      </c>
      <c r="G368" s="31" t="n">
        <v>170043</v>
      </c>
      <c r="H368" s="36" t="n">
        <v>-0.03201219512195119</v>
      </c>
      <c r="I368" s="36" t="n">
        <v>-0.6260306242638398</v>
      </c>
      <c r="J368" s="31" t="n">
        <v>32792.5</v>
      </c>
      <c r="K368" s="31" t="n">
        <v>36491.66666666666</v>
      </c>
      <c r="L368" s="31" t="n">
        <v>41810.83333333334</v>
      </c>
      <c r="M368" s="36" t="n">
        <v>0.5453059071815383</v>
      </c>
      <c r="N368" s="36" t="n">
        <v>0.4408195850182982</v>
      </c>
      <c r="O368" s="36" t="n">
        <v>-0.1325136612021858</v>
      </c>
      <c r="P368" s="36" t="n">
        <v>-0.1655716162943496</v>
      </c>
      <c r="Q368" s="36" t="n">
        <v>-0.2564402810304449</v>
      </c>
      <c r="R368" s="36" t="n">
        <v>-0.03179080582450255</v>
      </c>
      <c r="S368" s="36" t="n">
        <v>-0.1299383420872344</v>
      </c>
      <c r="T368" s="36" t="n">
        <v>-0.2406274290953302</v>
      </c>
      <c r="U368" s="31" t="n">
        <v>61900</v>
      </c>
      <c r="V368" s="31" t="n">
        <v>30250</v>
      </c>
      <c r="W368" s="36" t="n">
        <v>-0.4870759289176091</v>
      </c>
      <c r="X368" s="36" t="n">
        <v>0.04958677685950419</v>
      </c>
      <c r="Y368" s="31" t="n">
        <v>43617167</v>
      </c>
      <c r="Z368" s="31" t="n">
        <v>1384845052250</v>
      </c>
      <c r="AA368" s="31" t="n">
        <v>5398865250</v>
      </c>
      <c r="AB368" s="31" t="n">
        <v>7918657392.5</v>
      </c>
      <c r="AC368" s="36" t="n">
        <v>0.003898533804361939</v>
      </c>
      <c r="AD368" s="29" t="inlineStr">
        <is>
          <t>yfinance_download</t>
        </is>
      </c>
      <c r="AE368" s="29" t="inlineStr">
        <is>
          <t>000990.KS</t>
        </is>
      </c>
    </row>
    <row r="369" ht="24" customHeight="1">
      <c r="A369" s="24" t="inlineStr">
        <is>
          <t>2024-12-06</t>
        </is>
      </c>
      <c r="B369" s="30" t="n">
        <v>31600</v>
      </c>
      <c r="C369" s="30" t="n">
        <v>32200</v>
      </c>
      <c r="D369" s="30" t="n">
        <v>31050</v>
      </c>
      <c r="E369" s="30" t="n">
        <v>31950</v>
      </c>
      <c r="F369" s="30" t="n">
        <v>30792.173828125</v>
      </c>
      <c r="G369" s="30" t="n">
        <v>177645</v>
      </c>
      <c r="H369" s="35" t="n">
        <v>0.006299212598425141</v>
      </c>
      <c r="I369" s="35" t="n">
        <v>-0.6236749116607774</v>
      </c>
      <c r="J369" s="30" t="n">
        <v>32590</v>
      </c>
      <c r="K369" s="30" t="n">
        <v>36400.83333333334</v>
      </c>
      <c r="L369" s="30" t="n">
        <v>41719.16666666666</v>
      </c>
      <c r="M369" s="35" t="n">
        <v>0.54581259008616</v>
      </c>
      <c r="N369" s="35" t="n">
        <v>0.4401509970362382</v>
      </c>
      <c r="O369" s="35" t="n">
        <v>-0.1125</v>
      </c>
      <c r="P369" s="35" t="n">
        <v>-0.1457219251336899</v>
      </c>
      <c r="Q369" s="35" t="n">
        <v>-0.2561117578579744</v>
      </c>
      <c r="R369" s="35" t="n">
        <v>-0.01963792574409329</v>
      </c>
      <c r="S369" s="35" t="n">
        <v>-0.1222728417389712</v>
      </c>
      <c r="T369" s="35" t="n">
        <v>-0.234164952160278</v>
      </c>
      <c r="U369" s="30" t="n">
        <v>61900</v>
      </c>
      <c r="V369" s="30" t="n">
        <v>30250</v>
      </c>
      <c r="W369" s="35" t="n">
        <v>-0.4838449111470113</v>
      </c>
      <c r="X369" s="35" t="n">
        <v>0.0561983471074381</v>
      </c>
      <c r="Y369" s="30" t="n">
        <v>43617167</v>
      </c>
      <c r="Z369" s="30" t="n">
        <v>1393568485650</v>
      </c>
      <c r="AA369" s="30" t="n">
        <v>5675757750</v>
      </c>
      <c r="AB369" s="30" t="n">
        <v>7915489280</v>
      </c>
      <c r="AC369" s="35" t="n">
        <v>0.004072822978163621</v>
      </c>
      <c r="AD369" s="24" t="inlineStr">
        <is>
          <t>yfinance_download</t>
        </is>
      </c>
      <c r="AE369" s="24" t="inlineStr">
        <is>
          <t>000990.KS</t>
        </is>
      </c>
    </row>
    <row r="370" ht="24" customHeight="1">
      <c r="A370" s="29" t="inlineStr">
        <is>
          <t>2024-12-09</t>
        </is>
      </c>
      <c r="B370" s="31" t="n">
        <v>31000</v>
      </c>
      <c r="C370" s="31" t="n">
        <v>31200</v>
      </c>
      <c r="D370" s="31" t="n">
        <v>29100</v>
      </c>
      <c r="E370" s="31" t="n">
        <v>29200</v>
      </c>
      <c r="F370" s="31" t="n">
        <v>28141.830078125</v>
      </c>
      <c r="G370" s="31" t="n">
        <v>331875</v>
      </c>
      <c r="H370" s="36" t="n">
        <v>-0.08607198748043821</v>
      </c>
      <c r="I370" s="36" t="n">
        <v>-0.6560659599528857</v>
      </c>
      <c r="J370" s="31" t="n">
        <v>32350</v>
      </c>
      <c r="K370" s="31" t="n">
        <v>36279.16666666666</v>
      </c>
      <c r="L370" s="31" t="n">
        <v>41624.16666666666</v>
      </c>
      <c r="M370" s="36" t="n">
        <v>0.5918166494416371</v>
      </c>
      <c r="N370" s="36" t="n">
        <v>0.4705716135999174</v>
      </c>
      <c r="O370" s="36" t="n">
        <v>-0.1411764705882353</v>
      </c>
      <c r="P370" s="36" t="n">
        <v>-0.2</v>
      </c>
      <c r="Q370" s="36" t="n">
        <v>-0.2807881773399015</v>
      </c>
      <c r="R370" s="36" t="n">
        <v>-0.09737248840803714</v>
      </c>
      <c r="S370" s="36" t="n">
        <v>-0.1951303548868726</v>
      </c>
      <c r="T370" s="36" t="n">
        <v>-0.298484454143226</v>
      </c>
      <c r="U370" s="31" t="n">
        <v>61900</v>
      </c>
      <c r="V370" s="31" t="n">
        <v>29200</v>
      </c>
      <c r="W370" s="36" t="n">
        <v>-0.5282714054927302</v>
      </c>
      <c r="X370" s="36" t="n">
        <v>0</v>
      </c>
      <c r="Y370" s="31" t="n">
        <v>43617167</v>
      </c>
      <c r="Z370" s="31" t="n">
        <v>1273621276400</v>
      </c>
      <c r="AA370" s="31" t="n">
        <v>9690750000</v>
      </c>
      <c r="AB370" s="31" t="n">
        <v>7714959080</v>
      </c>
      <c r="AC370" s="36" t="n">
        <v>0.007608816042545817</v>
      </c>
      <c r="AD370" s="29" t="inlineStr">
        <is>
          <t>yfinance_download</t>
        </is>
      </c>
      <c r="AE370" s="29" t="inlineStr">
        <is>
          <t>000990.KS</t>
        </is>
      </c>
    </row>
    <row r="371" ht="24" customHeight="1">
      <c r="A371" s="24" t="inlineStr">
        <is>
          <t>2024-12-10</t>
        </is>
      </c>
      <c r="B371" s="30" t="n">
        <v>29200</v>
      </c>
      <c r="C371" s="30" t="n">
        <v>31700</v>
      </c>
      <c r="D371" s="30" t="n">
        <v>29200</v>
      </c>
      <c r="E371" s="30" t="n">
        <v>31700</v>
      </c>
      <c r="F371" s="30" t="n">
        <v>30551.234375</v>
      </c>
      <c r="G371" s="30" t="n">
        <v>362905</v>
      </c>
      <c r="H371" s="35" t="n">
        <v>0.08561643835616439</v>
      </c>
      <c r="I371" s="35" t="n">
        <v>-0.6266195524146054</v>
      </c>
      <c r="J371" s="30" t="n">
        <v>32307.5</v>
      </c>
      <c r="K371" s="30" t="n">
        <v>36196.66666666666</v>
      </c>
      <c r="L371" s="30" t="n">
        <v>41553.33333333334</v>
      </c>
      <c r="M371" s="35" t="n">
        <v>0.6602981839289265</v>
      </c>
      <c r="N371" s="35" t="n">
        <v>0.5044659727624748</v>
      </c>
      <c r="O371" s="35" t="n">
        <v>-0.02611367127496156</v>
      </c>
      <c r="P371" s="35" t="n">
        <v>-0.1350613915416098</v>
      </c>
      <c r="Q371" s="35" t="n">
        <v>-0.2114427860696517</v>
      </c>
      <c r="R371" s="35" t="n">
        <v>-0.01880368335525806</v>
      </c>
      <c r="S371" s="35" t="n">
        <v>-0.1242287503453356</v>
      </c>
      <c r="T371" s="35" t="n">
        <v>-0.2371249799454517</v>
      </c>
      <c r="U371" s="30" t="n">
        <v>61900</v>
      </c>
      <c r="V371" s="30" t="n">
        <v>29200</v>
      </c>
      <c r="W371" s="35" t="n">
        <v>-0.4878836833602584</v>
      </c>
      <c r="X371" s="35" t="n">
        <v>0.08561643835616439</v>
      </c>
      <c r="Y371" s="30" t="n">
        <v>43617167</v>
      </c>
      <c r="Z371" s="30" t="n">
        <v>1382664193900</v>
      </c>
      <c r="AA371" s="30" t="n">
        <v>11504088500</v>
      </c>
      <c r="AB371" s="30" t="n">
        <v>7657777222.5</v>
      </c>
      <c r="AC371" s="35" t="n">
        <v>0.008320233177913642</v>
      </c>
      <c r="AD371" s="24" t="inlineStr">
        <is>
          <t>yfinance_download</t>
        </is>
      </c>
      <c r="AE371" s="24" t="inlineStr">
        <is>
          <t>000990.KS</t>
        </is>
      </c>
    </row>
    <row r="372" ht="24" customHeight="1">
      <c r="A372" s="29" t="inlineStr">
        <is>
          <t>2024-12-11</t>
        </is>
      </c>
      <c r="B372" s="31" t="n">
        <v>35700</v>
      </c>
      <c r="C372" s="31" t="n">
        <v>35750</v>
      </c>
      <c r="D372" s="31" t="n">
        <v>32750</v>
      </c>
      <c r="E372" s="31" t="n">
        <v>33100</v>
      </c>
      <c r="F372" s="31" t="n">
        <v>31900.501953125</v>
      </c>
      <c r="G372" s="31" t="n">
        <v>1086555</v>
      </c>
      <c r="H372" s="36" t="n">
        <v>0.04416403785488954</v>
      </c>
      <c r="I372" s="36" t="n">
        <v>-0.6101295641931684</v>
      </c>
      <c r="J372" s="31" t="n">
        <v>32382.5</v>
      </c>
      <c r="K372" s="31" t="n">
        <v>36136.66666666666</v>
      </c>
      <c r="L372" s="31" t="n">
        <v>41465.41666666666</v>
      </c>
      <c r="M372" s="36" t="n">
        <v>0.6693215282762917</v>
      </c>
      <c r="N372" s="36" t="n">
        <v>0.513207020914988</v>
      </c>
      <c r="O372" s="36" t="n">
        <v>0.04746835443037978</v>
      </c>
      <c r="P372" s="36" t="n">
        <v>-0.09809264305177112</v>
      </c>
      <c r="Q372" s="36" t="n">
        <v>-0.2416953035509737</v>
      </c>
      <c r="R372" s="36" t="n">
        <v>0.02215702925963092</v>
      </c>
      <c r="S372" s="36" t="n">
        <v>-0.08403283829904984</v>
      </c>
      <c r="T372" s="36" t="n">
        <v>-0.2017444255755297</v>
      </c>
      <c r="U372" s="31" t="n">
        <v>61900</v>
      </c>
      <c r="V372" s="31" t="n">
        <v>29200</v>
      </c>
      <c r="W372" s="36" t="n">
        <v>-0.4652665589660743</v>
      </c>
      <c r="X372" s="36" t="n">
        <v>0.1335616438356164</v>
      </c>
      <c r="Y372" s="31" t="n">
        <v>43617167</v>
      </c>
      <c r="Z372" s="31" t="n">
        <v>1443728227700</v>
      </c>
      <c r="AA372" s="31" t="n">
        <v>35964970500</v>
      </c>
      <c r="AB372" s="31" t="n">
        <v>8952173227.5</v>
      </c>
      <c r="AC372" s="36" t="n">
        <v>0.02491117774797249</v>
      </c>
      <c r="AD372" s="29" t="inlineStr">
        <is>
          <t>yfinance_download</t>
        </is>
      </c>
      <c r="AE372" s="29" t="inlineStr">
        <is>
          <t>000990.KS</t>
        </is>
      </c>
    </row>
    <row r="373" ht="24" customHeight="1">
      <c r="A373" s="24" t="inlineStr">
        <is>
          <t>2024-12-12</t>
        </is>
      </c>
      <c r="B373" s="30" t="n">
        <v>33650</v>
      </c>
      <c r="C373" s="30" t="n">
        <v>34200</v>
      </c>
      <c r="D373" s="30" t="n">
        <v>32600</v>
      </c>
      <c r="E373" s="30" t="n">
        <v>33550</v>
      </c>
      <c r="F373" s="30" t="n">
        <v>32334.193359375</v>
      </c>
      <c r="G373" s="30" t="n">
        <v>401949</v>
      </c>
      <c r="H373" s="35" t="n">
        <v>0.01359516616314194</v>
      </c>
      <c r="I373" s="35" t="n">
        <v>-0.6048292108362781</v>
      </c>
      <c r="J373" s="30" t="n">
        <v>32442.5</v>
      </c>
      <c r="K373" s="30" t="n">
        <v>36100.83333333334</v>
      </c>
      <c r="L373" s="30" t="n">
        <v>41366.66666666666</v>
      </c>
      <c r="M373" s="35" t="n">
        <v>0.6661473080312884</v>
      </c>
      <c r="N373" s="35" t="n">
        <v>0.5111781053276174</v>
      </c>
      <c r="O373" s="35" t="n">
        <v>0.03709428129829995</v>
      </c>
      <c r="P373" s="35" t="n">
        <v>-0.06022408963585435</v>
      </c>
      <c r="Q373" s="35" t="n">
        <v>-0.2610132158590308</v>
      </c>
      <c r="R373" s="35" t="n">
        <v>0.03413731987362256</v>
      </c>
      <c r="S373" s="35" t="n">
        <v>-0.07065857205512349</v>
      </c>
      <c r="T373" s="35" t="n">
        <v>-0.1889605157131345</v>
      </c>
      <c r="U373" s="30" t="n">
        <v>61200</v>
      </c>
      <c r="V373" s="30" t="n">
        <v>29200</v>
      </c>
      <c r="W373" s="35" t="n">
        <v>-0.451797385620915</v>
      </c>
      <c r="X373" s="35" t="n">
        <v>0.148972602739726</v>
      </c>
      <c r="Y373" s="30" t="n">
        <v>43617167</v>
      </c>
      <c r="Z373" s="30" t="n">
        <v>1463355952850</v>
      </c>
      <c r="AA373" s="30" t="n">
        <v>13485388950</v>
      </c>
      <c r="AB373" s="30" t="n">
        <v>9243277952.5</v>
      </c>
      <c r="AC373" s="35" t="n">
        <v>0.009215385309183423</v>
      </c>
      <c r="AD373" s="24" t="inlineStr">
        <is>
          <t>yfinance_download</t>
        </is>
      </c>
      <c r="AE373" s="24" t="inlineStr">
        <is>
          <t>000990.KS</t>
        </is>
      </c>
    </row>
    <row r="374" ht="24" customHeight="1">
      <c r="A374" s="29" t="inlineStr">
        <is>
          <t>2024-12-13</t>
        </is>
      </c>
      <c r="B374" s="31" t="n">
        <v>33150</v>
      </c>
      <c r="C374" s="31" t="n">
        <v>34300</v>
      </c>
      <c r="D374" s="31" t="n">
        <v>33000</v>
      </c>
      <c r="E374" s="31" t="n">
        <v>34150</v>
      </c>
      <c r="F374" s="31" t="n">
        <v>32912.44921875</v>
      </c>
      <c r="G374" s="31" t="n">
        <v>317037</v>
      </c>
      <c r="H374" s="36" t="n">
        <v>0.01788375558867372</v>
      </c>
      <c r="I374" s="36" t="n">
        <v>-0.5977620730270907</v>
      </c>
      <c r="J374" s="31" t="n">
        <v>32557.5</v>
      </c>
      <c r="K374" s="31" t="n">
        <v>36059.16666666666</v>
      </c>
      <c r="L374" s="31" t="n">
        <v>41269.16666666666</v>
      </c>
      <c r="M374" s="36" t="n">
        <v>0.6646392622983071</v>
      </c>
      <c r="N374" s="36" t="n">
        <v>0.5095092792490316</v>
      </c>
      <c r="O374" s="36" t="n">
        <v>0.07221350078492939</v>
      </c>
      <c r="P374" s="36" t="n">
        <v>-0.068212824010914</v>
      </c>
      <c r="Q374" s="36" t="n">
        <v>-0.2551799345692476</v>
      </c>
      <c r="R374" s="36" t="n">
        <v>0.04891346080012293</v>
      </c>
      <c r="S374" s="36" t="n">
        <v>-0.05294539067735893</v>
      </c>
      <c r="T374" s="36" t="n">
        <v>-0.1725057044201683</v>
      </c>
      <c r="U374" s="31" t="n">
        <v>61200</v>
      </c>
      <c r="V374" s="31" t="n">
        <v>29200</v>
      </c>
      <c r="W374" s="36" t="n">
        <v>-0.4419934640522876</v>
      </c>
      <c r="X374" s="36" t="n">
        <v>0.1695205479452055</v>
      </c>
      <c r="Y374" s="31" t="n">
        <v>43617167</v>
      </c>
      <c r="Z374" s="31" t="n">
        <v>1489526253050</v>
      </c>
      <c r="AA374" s="31" t="n">
        <v>10826813550</v>
      </c>
      <c r="AB374" s="31" t="n">
        <v>9334307405</v>
      </c>
      <c r="AC374" s="36" t="n">
        <v>0.007268628886419881</v>
      </c>
      <c r="AD374" s="29" t="inlineStr">
        <is>
          <t>yfinance_download</t>
        </is>
      </c>
      <c r="AE374" s="29" t="inlineStr">
        <is>
          <t>000990.KS</t>
        </is>
      </c>
    </row>
    <row r="375" ht="24" customHeight="1">
      <c r="A375" s="24" t="inlineStr">
        <is>
          <t>2024-12-16</t>
        </is>
      </c>
      <c r="B375" s="30" t="n">
        <v>34450</v>
      </c>
      <c r="C375" s="30" t="n">
        <v>34550</v>
      </c>
      <c r="D375" s="30" t="n">
        <v>33650</v>
      </c>
      <c r="E375" s="30" t="n">
        <v>34050</v>
      </c>
      <c r="F375" s="30" t="n">
        <v>32816.07421875</v>
      </c>
      <c r="G375" s="30" t="n">
        <v>202229</v>
      </c>
      <c r="H375" s="35" t="n">
        <v>-0.002928257686676372</v>
      </c>
      <c r="I375" s="35" t="n">
        <v>-0.5989399293286219</v>
      </c>
      <c r="J375" s="30" t="n">
        <v>32662.5</v>
      </c>
      <c r="K375" s="30" t="n">
        <v>36000</v>
      </c>
      <c r="L375" s="30" t="n">
        <v>41077.08333333334</v>
      </c>
      <c r="M375" s="35" t="n">
        <v>0.6651306083153076</v>
      </c>
      <c r="N375" s="35" t="n">
        <v>0.5064988610228032</v>
      </c>
      <c r="O375" s="35" t="n">
        <v>0.06572769953051649</v>
      </c>
      <c r="P375" s="35" t="n">
        <v>-0.09441489361702127</v>
      </c>
      <c r="Q375" s="35" t="n">
        <v>-0.4036777583187391</v>
      </c>
      <c r="R375" s="35" t="n">
        <v>0.04247990815154989</v>
      </c>
      <c r="S375" s="35" t="n">
        <v>-0.0541666666666667</v>
      </c>
      <c r="T375" s="35" t="n">
        <v>-0.1710706496931582</v>
      </c>
      <c r="U375" s="30" t="n">
        <v>61200</v>
      </c>
      <c r="V375" s="30" t="n">
        <v>29200</v>
      </c>
      <c r="W375" s="35" t="n">
        <v>-0.4436274509803921</v>
      </c>
      <c r="X375" s="35" t="n">
        <v>0.1660958904109588</v>
      </c>
      <c r="Y375" s="30" t="n">
        <v>43617167</v>
      </c>
      <c r="Z375" s="30" t="n">
        <v>1485164536350</v>
      </c>
      <c r="AA375" s="30" t="n">
        <v>6885897450</v>
      </c>
      <c r="AB375" s="30" t="n">
        <v>8412724107.5</v>
      </c>
      <c r="AC375" s="35" t="n">
        <v>0.004636454265816943</v>
      </c>
      <c r="AD375" s="24" t="inlineStr">
        <is>
          <t>yfinance_download</t>
        </is>
      </c>
      <c r="AE375" s="24" t="inlineStr">
        <is>
          <t>000990.KS</t>
        </is>
      </c>
    </row>
    <row r="376" ht="24" customHeight="1">
      <c r="A376" s="29" t="inlineStr">
        <is>
          <t>2024-12-17</t>
        </is>
      </c>
      <c r="B376" s="31" t="n">
        <v>34700</v>
      </c>
      <c r="C376" s="31" t="n">
        <v>35300</v>
      </c>
      <c r="D376" s="31" t="n">
        <v>33950</v>
      </c>
      <c r="E376" s="31" t="n">
        <v>35200</v>
      </c>
      <c r="F376" s="31" t="n">
        <v>33924.3984375</v>
      </c>
      <c r="G376" s="31" t="n">
        <v>368691</v>
      </c>
      <c r="H376" s="36" t="n">
        <v>0.03377386196769461</v>
      </c>
      <c r="I376" s="36" t="n">
        <v>-0.5853945818610129</v>
      </c>
      <c r="J376" s="31" t="n">
        <v>32722.5</v>
      </c>
      <c r="K376" s="31" t="n">
        <v>35970</v>
      </c>
      <c r="L376" s="31" t="n">
        <v>40935.41666666666</v>
      </c>
      <c r="M376" s="36" t="n">
        <v>0.6368263513934248</v>
      </c>
      <c r="N376" s="36" t="n">
        <v>0.5105293718290196</v>
      </c>
      <c r="O376" s="36" t="n">
        <v>0.03529411764705892</v>
      </c>
      <c r="P376" s="36" t="n">
        <v>-0.0486486486486486</v>
      </c>
      <c r="Q376" s="36" t="n">
        <v>-0.3256704980842912</v>
      </c>
      <c r="R376" s="36" t="n">
        <v>0.0757124302849721</v>
      </c>
      <c r="S376" s="36" t="n">
        <v>-0.0214067278287462</v>
      </c>
      <c r="T376" s="36" t="n">
        <v>-0.1401089113949818</v>
      </c>
      <c r="U376" s="31" t="n">
        <v>61200</v>
      </c>
      <c r="V376" s="31" t="n">
        <v>29200</v>
      </c>
      <c r="W376" s="36" t="n">
        <v>-0.4248366013071896</v>
      </c>
      <c r="X376" s="36" t="n">
        <v>0.2054794520547945</v>
      </c>
      <c r="Y376" s="31" t="n">
        <v>43617167</v>
      </c>
      <c r="Z376" s="31" t="n">
        <v>1535324278400</v>
      </c>
      <c r="AA376" s="31" t="n">
        <v>12977923200</v>
      </c>
      <c r="AB376" s="31" t="n">
        <v>8535883367.5</v>
      </c>
      <c r="AC376" s="36" t="n">
        <v>0.008452887368865566</v>
      </c>
      <c r="AD376" s="29" t="inlineStr">
        <is>
          <t>yfinance_download</t>
        </is>
      </c>
      <c r="AE376" s="29" t="inlineStr">
        <is>
          <t>000990.KS</t>
        </is>
      </c>
    </row>
    <row r="377" ht="24" customHeight="1">
      <c r="A377" s="24" t="inlineStr">
        <is>
          <t>2024-12-18</t>
        </is>
      </c>
      <c r="B377" s="30" t="n">
        <v>35350</v>
      </c>
      <c r="C377" s="30" t="n">
        <v>35350</v>
      </c>
      <c r="D377" s="30" t="n">
        <v>34300</v>
      </c>
      <c r="E377" s="30" t="n">
        <v>34750</v>
      </c>
      <c r="F377" s="30" t="n">
        <v>33490.70703125</v>
      </c>
      <c r="G377" s="30" t="n">
        <v>183938</v>
      </c>
      <c r="H377" s="35" t="n">
        <v>-0.01278409090909094</v>
      </c>
      <c r="I377" s="35" t="n">
        <v>-0.5906949352179034</v>
      </c>
      <c r="J377" s="30" t="n">
        <v>32777.5</v>
      </c>
      <c r="K377" s="30" t="n">
        <v>35946.66666666666</v>
      </c>
      <c r="L377" s="30" t="n">
        <v>40780</v>
      </c>
      <c r="M377" s="35" t="n">
        <v>0.6375504386310127</v>
      </c>
      <c r="N377" s="35" t="n">
        <v>0.5090237342195937</v>
      </c>
      <c r="O377" s="35" t="n">
        <v>0.03268945022288272</v>
      </c>
      <c r="P377" s="35" t="n">
        <v>-0.0387275242047026</v>
      </c>
      <c r="Q377" s="35" t="n">
        <v>-0.349250936329588</v>
      </c>
      <c r="R377" s="35" t="n">
        <v>0.06017847608878046</v>
      </c>
      <c r="S377" s="35" t="n">
        <v>-0.03329005934718099</v>
      </c>
      <c r="T377" s="35" t="n">
        <v>-0.1478666012751348</v>
      </c>
      <c r="U377" s="30" t="n">
        <v>61200</v>
      </c>
      <c r="V377" s="30" t="n">
        <v>29200</v>
      </c>
      <c r="W377" s="35" t="n">
        <v>-0.4321895424836601</v>
      </c>
      <c r="X377" s="35" t="n">
        <v>0.1900684931506849</v>
      </c>
      <c r="Y377" s="30" t="n">
        <v>43617167</v>
      </c>
      <c r="Z377" s="30" t="n">
        <v>1515696553250</v>
      </c>
      <c r="AA377" s="30" t="n">
        <v>6391845500</v>
      </c>
      <c r="AB377" s="30" t="n">
        <v>8666823647.5</v>
      </c>
      <c r="AC377" s="35" t="n">
        <v>0.004217101032719525</v>
      </c>
      <c r="AD377" s="24" t="inlineStr">
        <is>
          <t>yfinance_download</t>
        </is>
      </c>
      <c r="AE377" s="24" t="inlineStr">
        <is>
          <t>000990.KS</t>
        </is>
      </c>
    </row>
    <row r="378" ht="24" customHeight="1">
      <c r="A378" s="29" t="inlineStr">
        <is>
          <t>2024-12-19</t>
        </is>
      </c>
      <c r="B378" s="31" t="n">
        <v>33750</v>
      </c>
      <c r="C378" s="31" t="n">
        <v>34200</v>
      </c>
      <c r="D378" s="31" t="n">
        <v>33500</v>
      </c>
      <c r="E378" s="31" t="n">
        <v>34150</v>
      </c>
      <c r="F378" s="31" t="n">
        <v>32912.44921875</v>
      </c>
      <c r="G378" s="31" t="n">
        <v>194728</v>
      </c>
      <c r="H378" s="36" t="n">
        <v>-0.01726618705035976</v>
      </c>
      <c r="I378" s="36" t="n">
        <v>-0.5977620730270907</v>
      </c>
      <c r="J378" s="31" t="n">
        <v>32805</v>
      </c>
      <c r="K378" s="31" t="n">
        <v>35883.33333333334</v>
      </c>
      <c r="L378" s="31" t="n">
        <v>40636.25</v>
      </c>
      <c r="M378" s="36" t="n">
        <v>0.6412658947400802</v>
      </c>
      <c r="N378" s="36" t="n">
        <v>0.4993787463687264</v>
      </c>
      <c r="O378" s="36" t="n">
        <v>0.01636904761904767</v>
      </c>
      <c r="P378" s="36" t="n">
        <v>-0.1001317523056654</v>
      </c>
      <c r="Q378" s="36" t="n">
        <v>-0.335603112840467</v>
      </c>
      <c r="R378" s="36" t="n">
        <v>0.04099984758420971</v>
      </c>
      <c r="S378" s="36" t="n">
        <v>-0.04830469112865776</v>
      </c>
      <c r="T378" s="36" t="n">
        <v>-0.1596173367375189</v>
      </c>
      <c r="U378" s="31" t="n">
        <v>61200</v>
      </c>
      <c r="V378" s="31" t="n">
        <v>29200</v>
      </c>
      <c r="W378" s="36" t="n">
        <v>-0.4419934640522876</v>
      </c>
      <c r="X378" s="36" t="n">
        <v>0.1695205479452055</v>
      </c>
      <c r="Y378" s="31" t="n">
        <v>43617167</v>
      </c>
      <c r="Z378" s="31" t="n">
        <v>1489526253050</v>
      </c>
      <c r="AA378" s="31" t="n">
        <v>6649961200</v>
      </c>
      <c r="AB378" s="31" t="n">
        <v>8805676507.5</v>
      </c>
      <c r="AC378" s="36" t="n">
        <v>0.004464480694034988</v>
      </c>
      <c r="AD378" s="29" t="inlineStr">
        <is>
          <t>yfinance_download</t>
        </is>
      </c>
      <c r="AE378" s="29" t="inlineStr">
        <is>
          <t>000990.KS</t>
        </is>
      </c>
    </row>
    <row r="379" ht="24" customHeight="1">
      <c r="A379" s="24" t="inlineStr">
        <is>
          <t>2024-12-20</t>
        </is>
      </c>
      <c r="B379" s="30" t="n">
        <v>34300</v>
      </c>
      <c r="C379" s="30" t="n">
        <v>34300</v>
      </c>
      <c r="D379" s="30" t="n">
        <v>33000</v>
      </c>
      <c r="E379" s="30" t="n">
        <v>33200</v>
      </c>
      <c r="F379" s="30" t="n">
        <v>31996.876953125</v>
      </c>
      <c r="G379" s="30" t="n">
        <v>145634</v>
      </c>
      <c r="H379" s="35" t="n">
        <v>-0.02781844802342603</v>
      </c>
      <c r="I379" s="35" t="n">
        <v>-0.6089517078916372</v>
      </c>
      <c r="J379" s="30" t="n">
        <v>32807.5</v>
      </c>
      <c r="K379" s="30" t="n">
        <v>35766.66666666666</v>
      </c>
      <c r="L379" s="30" t="n">
        <v>40494.58333333334</v>
      </c>
      <c r="M379" s="35" t="n">
        <v>0.6477449904401711</v>
      </c>
      <c r="N379" s="35" t="n">
        <v>0.4859859825341717</v>
      </c>
      <c r="O379" s="35" t="n">
        <v>0.001508295625942679</v>
      </c>
      <c r="P379" s="35" t="n">
        <v>-0.1741293532338308</v>
      </c>
      <c r="Q379" s="35" t="n">
        <v>-0.3386454183266933</v>
      </c>
      <c r="R379" s="35" t="n">
        <v>0.01196372780614197</v>
      </c>
      <c r="S379" s="35" t="n">
        <v>-0.0717614165890027</v>
      </c>
      <c r="T379" s="35" t="n">
        <v>-0.1801372611563276</v>
      </c>
      <c r="U379" s="30" t="n">
        <v>61200</v>
      </c>
      <c r="V379" s="30" t="n">
        <v>29200</v>
      </c>
      <c r="W379" s="35" t="n">
        <v>-0.4575163398692811</v>
      </c>
      <c r="X379" s="35" t="n">
        <v>0.1369863013698631</v>
      </c>
      <c r="Y379" s="30" t="n">
        <v>43617167</v>
      </c>
      <c r="Z379" s="30" t="n">
        <v>1448089944400</v>
      </c>
      <c r="AA379" s="30" t="n">
        <v>4835048800</v>
      </c>
      <c r="AB379" s="30" t="n">
        <v>8887909490</v>
      </c>
      <c r="AC379" s="35" t="n">
        <v>0.003338914698425966</v>
      </c>
      <c r="AD379" s="24" t="inlineStr">
        <is>
          <t>yfinance_download</t>
        </is>
      </c>
      <c r="AE379" s="24" t="inlineStr">
        <is>
          <t>000990.KS</t>
        </is>
      </c>
    </row>
    <row r="380" ht="24" customHeight="1">
      <c r="A380" s="29" t="inlineStr">
        <is>
          <t>2024-12-23</t>
        </is>
      </c>
      <c r="B380" s="31" t="n">
        <v>33200</v>
      </c>
      <c r="C380" s="31" t="n">
        <v>33750</v>
      </c>
      <c r="D380" s="31" t="n">
        <v>33150</v>
      </c>
      <c r="E380" s="31" t="n">
        <v>33600</v>
      </c>
      <c r="F380" s="31" t="n">
        <v>32382.3828125</v>
      </c>
      <c r="G380" s="31" t="n">
        <v>93493</v>
      </c>
      <c r="H380" s="36" t="n">
        <v>0.01204819277108427</v>
      </c>
      <c r="I380" s="36" t="n">
        <v>-0.6042402826855124</v>
      </c>
      <c r="J380" s="31" t="n">
        <v>32807.5</v>
      </c>
      <c r="K380" s="31" t="n">
        <v>35656.66666666666</v>
      </c>
      <c r="L380" s="31" t="n">
        <v>40371.66666666666</v>
      </c>
      <c r="M380" s="36" t="n">
        <v>0.6473701071619554</v>
      </c>
      <c r="N380" s="36" t="n">
        <v>0.486901023187056</v>
      </c>
      <c r="O380" s="36" t="n">
        <v>0</v>
      </c>
      <c r="P380" s="36" t="n">
        <v>-0.164179104477612</v>
      </c>
      <c r="Q380" s="36" t="n">
        <v>-0.3050672182006204</v>
      </c>
      <c r="R380" s="36" t="n">
        <v>0.02415606187609542</v>
      </c>
      <c r="S380" s="36" t="n">
        <v>-0.05767972328690285</v>
      </c>
      <c r="T380" s="36" t="n">
        <v>-0.1677331461833794</v>
      </c>
      <c r="U380" s="31" t="n">
        <v>61200</v>
      </c>
      <c r="V380" s="31" t="n">
        <v>29200</v>
      </c>
      <c r="W380" s="36" t="n">
        <v>-0.4509803921568627</v>
      </c>
      <c r="X380" s="36" t="n">
        <v>0.1506849315068493</v>
      </c>
      <c r="Y380" s="31" t="n">
        <v>43617167</v>
      </c>
      <c r="Z380" s="31" t="n">
        <v>1465536811200</v>
      </c>
      <c r="AA380" s="31" t="n">
        <v>3141364800</v>
      </c>
      <c r="AB380" s="31" t="n">
        <v>8738933810</v>
      </c>
      <c r="AC380" s="36" t="n">
        <v>0.002143490887429713</v>
      </c>
      <c r="AD380" s="29" t="inlineStr">
        <is>
          <t>yfinance_download</t>
        </is>
      </c>
      <c r="AE380" s="29" t="inlineStr">
        <is>
          <t>000990.KS</t>
        </is>
      </c>
    </row>
    <row r="381" ht="24" customHeight="1">
      <c r="A381" s="24" t="inlineStr">
        <is>
          <t>2024-12-24</t>
        </is>
      </c>
      <c r="B381" s="30" t="n">
        <v>33750</v>
      </c>
      <c r="C381" s="30" t="n">
        <v>34700</v>
      </c>
      <c r="D381" s="30" t="n">
        <v>33500</v>
      </c>
      <c r="E381" s="30" t="n">
        <v>33950</v>
      </c>
      <c r="F381" s="30" t="n">
        <v>32719.697265625</v>
      </c>
      <c r="G381" s="30" t="n">
        <v>146284</v>
      </c>
      <c r="H381" s="35" t="n">
        <v>0.01041666666666674</v>
      </c>
      <c r="I381" s="35" t="n">
        <v>-0.6001177856301532</v>
      </c>
      <c r="J381" s="30" t="n">
        <v>32820</v>
      </c>
      <c r="K381" s="30" t="n">
        <v>35540.83333333334</v>
      </c>
      <c r="L381" s="30" t="n">
        <v>40247.08333333334</v>
      </c>
      <c r="M381" s="35" t="n">
        <v>0.648242645201359</v>
      </c>
      <c r="N381" s="35" t="n">
        <v>0.4858874231389274</v>
      </c>
      <c r="O381" s="35" t="n">
        <v>0.007418397626112849</v>
      </c>
      <c r="P381" s="35" t="n">
        <v>-0.1699266503667481</v>
      </c>
      <c r="Q381" s="35" t="n">
        <v>-0.3057259713701431</v>
      </c>
      <c r="R381" s="35" t="n">
        <v>0.03443022547227303</v>
      </c>
      <c r="S381" s="35" t="n">
        <v>-0.04476072123613695</v>
      </c>
      <c r="T381" s="35" t="n">
        <v>-0.1564606130879049</v>
      </c>
      <c r="U381" s="30" t="n">
        <v>61200</v>
      </c>
      <c r="V381" s="30" t="n">
        <v>29200</v>
      </c>
      <c r="W381" s="35" t="n">
        <v>-0.4452614379084967</v>
      </c>
      <c r="X381" s="35" t="n">
        <v>0.1626712328767124</v>
      </c>
      <c r="Y381" s="30" t="n">
        <v>43617167</v>
      </c>
      <c r="Z381" s="30" t="n">
        <v>1480802819650</v>
      </c>
      <c r="AA381" s="30" t="n">
        <v>4966341800</v>
      </c>
      <c r="AB381" s="30" t="n">
        <v>8810351175</v>
      </c>
      <c r="AC381" s="35" t="n">
        <v>0.003353817087661837</v>
      </c>
      <c r="AD381" s="24" t="inlineStr">
        <is>
          <t>yfinance_download</t>
        </is>
      </c>
      <c r="AE381" s="24" t="inlineStr">
        <is>
          <t>000990.KS</t>
        </is>
      </c>
    </row>
    <row r="382" ht="24" customHeight="1">
      <c r="A382" s="29" t="inlineStr">
        <is>
          <t>2024-12-26</t>
        </is>
      </c>
      <c r="B382" s="31" t="n">
        <v>33950</v>
      </c>
      <c r="C382" s="31" t="n">
        <v>34050</v>
      </c>
      <c r="D382" s="31" t="n">
        <v>32850</v>
      </c>
      <c r="E382" s="31" t="n">
        <v>33050</v>
      </c>
      <c r="F382" s="31" t="n">
        <v>31852.3125</v>
      </c>
      <c r="G382" s="31" t="n">
        <v>164899</v>
      </c>
      <c r="H382" s="36" t="n">
        <v>-0.0265095729013255</v>
      </c>
      <c r="I382" s="36" t="n">
        <v>-0.610718492343934</v>
      </c>
      <c r="J382" s="31" t="n">
        <v>32847.5</v>
      </c>
      <c r="K382" s="31" t="n">
        <v>35415</v>
      </c>
      <c r="L382" s="31" t="n">
        <v>40119.16666666666</v>
      </c>
      <c r="M382" s="36" t="n">
        <v>0.642174951451931</v>
      </c>
      <c r="N382" s="36" t="n">
        <v>0.4882617155320991</v>
      </c>
      <c r="O382" s="36" t="n">
        <v>0.01692307692307682</v>
      </c>
      <c r="P382" s="36" t="n">
        <v>-0.1859605911330049</v>
      </c>
      <c r="Q382" s="36" t="n">
        <v>-0.3171487603305785</v>
      </c>
      <c r="R382" s="36" t="n">
        <v>0.006164852728518078</v>
      </c>
      <c r="S382" s="36" t="n">
        <v>-0.0667796131582663</v>
      </c>
      <c r="T382" s="36" t="n">
        <v>-0.1762042249132791</v>
      </c>
      <c r="U382" s="31" t="n">
        <v>61200</v>
      </c>
      <c r="V382" s="31" t="n">
        <v>29200</v>
      </c>
      <c r="W382" s="36" t="n">
        <v>-0.4599673202614379</v>
      </c>
      <c r="X382" s="36" t="n">
        <v>0.1318493150684932</v>
      </c>
      <c r="Y382" s="31" t="n">
        <v>43617167</v>
      </c>
      <c r="Z382" s="31" t="n">
        <v>1441547369350</v>
      </c>
      <c r="AA382" s="31" t="n">
        <v>5449911950</v>
      </c>
      <c r="AB382" s="31" t="n">
        <v>8808039772.5</v>
      </c>
      <c r="AC382" s="36" t="n">
        <v>0.00378059858862452</v>
      </c>
      <c r="AD382" s="29" t="inlineStr">
        <is>
          <t>yfinance_download</t>
        </is>
      </c>
      <c r="AE382" s="29" t="inlineStr">
        <is>
          <t>000990.KS</t>
        </is>
      </c>
    </row>
    <row r="383" ht="24" customHeight="1">
      <c r="A383" s="24" t="inlineStr">
        <is>
          <t>2024-12-27</t>
        </is>
      </c>
      <c r="B383" s="30" t="n">
        <v>33000</v>
      </c>
      <c r="C383" s="30" t="n">
        <v>33250</v>
      </c>
      <c r="D383" s="30" t="n">
        <v>31700</v>
      </c>
      <c r="E383" s="30" t="n">
        <v>31700</v>
      </c>
      <c r="F383" s="30" t="n">
        <v>30551.234375</v>
      </c>
      <c r="G383" s="30" t="n">
        <v>163691</v>
      </c>
      <c r="H383" s="35" t="n">
        <v>-0.0408472012102874</v>
      </c>
      <c r="I383" s="35" t="n">
        <v>-0.6266195524146054</v>
      </c>
      <c r="J383" s="30" t="n">
        <v>32817.5</v>
      </c>
      <c r="K383" s="30" t="n">
        <v>35271.66666666666</v>
      </c>
      <c r="L383" s="30" t="n">
        <v>39988.75</v>
      </c>
      <c r="M383" s="35" t="n">
        <v>0.6593171019953024</v>
      </c>
      <c r="N383" s="35" t="n">
        <v>0.4943345557856398</v>
      </c>
      <c r="O383" s="35" t="n">
        <v>-0.01857585139318885</v>
      </c>
      <c r="P383" s="35" t="n">
        <v>-0.2133995037220844</v>
      </c>
      <c r="Q383" s="35" t="n">
        <v>-0.3305174234424498</v>
      </c>
      <c r="R383" s="35" t="n">
        <v>-0.03405195398796379</v>
      </c>
      <c r="S383" s="35" t="n">
        <v>-0.1012616358739309</v>
      </c>
      <c r="T383" s="35" t="n">
        <v>-0.2072770466693757</v>
      </c>
      <c r="U383" s="30" t="n">
        <v>60800</v>
      </c>
      <c r="V383" s="30" t="n">
        <v>29200</v>
      </c>
      <c r="W383" s="35" t="n">
        <v>-0.4786184210526315</v>
      </c>
      <c r="X383" s="35" t="n">
        <v>0.08561643835616439</v>
      </c>
      <c r="Y383" s="30" t="n">
        <v>43617167</v>
      </c>
      <c r="Z383" s="30" t="n">
        <v>1382664193900</v>
      </c>
      <c r="AA383" s="30" t="n">
        <v>5189004700</v>
      </c>
      <c r="AB383" s="30" t="n">
        <v>8900355272.5</v>
      </c>
      <c r="AC383" s="35" t="n">
        <v>0.00375290307139847</v>
      </c>
      <c r="AD383" s="24" t="inlineStr">
        <is>
          <t>yfinance_download</t>
        </is>
      </c>
      <c r="AE383" s="24" t="inlineStr">
        <is>
          <t>000990.KS</t>
        </is>
      </c>
    </row>
    <row r="384" ht="24" customHeight="1">
      <c r="A384" s="29" t="inlineStr">
        <is>
          <t>2024-12-30</t>
        </is>
      </c>
      <c r="B384" s="31" t="n">
        <v>31600</v>
      </c>
      <c r="C384" s="31" t="n">
        <v>33600</v>
      </c>
      <c r="D384" s="31" t="n">
        <v>31400</v>
      </c>
      <c r="E384" s="31" t="n">
        <v>33150</v>
      </c>
      <c r="F384" s="31" t="n">
        <v>31948.6875</v>
      </c>
      <c r="G384" s="31" t="n">
        <v>129702</v>
      </c>
      <c r="H384" s="36" t="n">
        <v>0.04574132492113558</v>
      </c>
      <c r="I384" s="36" t="n">
        <v>-0.6095406360424028</v>
      </c>
      <c r="J384" s="31" t="n">
        <v>32905</v>
      </c>
      <c r="K384" s="31" t="n">
        <v>35150</v>
      </c>
      <c r="L384" s="31" t="n">
        <v>39856.66666666666</v>
      </c>
      <c r="M384" s="36" t="n">
        <v>0.6699276330879157</v>
      </c>
      <c r="N384" s="36" t="n">
        <v>0.5043623719196851</v>
      </c>
      <c r="O384" s="36" t="n">
        <v>0.05573248407643305</v>
      </c>
      <c r="P384" s="36" t="n">
        <v>-0.1804697156983931</v>
      </c>
      <c r="Q384" s="36" t="n">
        <v>-0.323469387755102</v>
      </c>
      <c r="R384" s="36" t="n">
        <v>0.007445676948792057</v>
      </c>
      <c r="S384" s="36" t="n">
        <v>-0.05689900426742533</v>
      </c>
      <c r="T384" s="36" t="n">
        <v>-0.1682696328510496</v>
      </c>
      <c r="U384" s="31" t="n">
        <v>60600</v>
      </c>
      <c r="V384" s="31" t="n">
        <v>29200</v>
      </c>
      <c r="W384" s="36" t="n">
        <v>-0.4529702970297029</v>
      </c>
      <c r="X384" s="36" t="n">
        <v>0.1352739726027397</v>
      </c>
      <c r="Y384" s="31" t="n">
        <v>43617167</v>
      </c>
      <c r="Z384" s="31" t="n">
        <v>1445909086050</v>
      </c>
      <c r="AA384" s="31" t="n">
        <v>4299621300</v>
      </c>
      <c r="AB384" s="31" t="n">
        <v>8874751107.5</v>
      </c>
      <c r="AC384" s="36" t="n">
        <v>0.002973645674878426</v>
      </c>
      <c r="AD384" s="29" t="inlineStr">
        <is>
          <t>yfinance_download</t>
        </is>
      </c>
      <c r="AE384" s="29" t="inlineStr">
        <is>
          <t>000990.KS</t>
        </is>
      </c>
    </row>
    <row r="385" ht="24" customHeight="1">
      <c r="A385" s="24" t="inlineStr">
        <is>
          <t>2025-01-02</t>
        </is>
      </c>
      <c r="B385" s="30" t="n">
        <v>33150</v>
      </c>
      <c r="C385" s="30" t="n">
        <v>33200</v>
      </c>
      <c r="D385" s="30" t="n">
        <v>32200</v>
      </c>
      <c r="E385" s="30" t="n">
        <v>32900</v>
      </c>
      <c r="F385" s="30" t="n">
        <v>31707.748046875</v>
      </c>
      <c r="G385" s="30" t="n">
        <v>115196</v>
      </c>
      <c r="H385" s="35" t="n">
        <v>-0.007541478129713397</v>
      </c>
      <c r="I385" s="35" t="n">
        <v>-0.6124852767962309</v>
      </c>
      <c r="J385" s="30" t="n">
        <v>33037.5</v>
      </c>
      <c r="K385" s="30" t="n">
        <v>35019.16666666666</v>
      </c>
      <c r="L385" s="30" t="n">
        <v>39697.5</v>
      </c>
      <c r="M385" s="35" t="n">
        <v>0.6545711860908865</v>
      </c>
      <c r="N385" s="35" t="n">
        <v>0.5039973084505036</v>
      </c>
      <c r="O385" s="35" t="n">
        <v>0.08760330578512399</v>
      </c>
      <c r="P385" s="35" t="n">
        <v>-0.1926380368098159</v>
      </c>
      <c r="Q385" s="35" t="n">
        <v>-0.3673076923076923</v>
      </c>
      <c r="R385" s="35" t="n">
        <v>-0.004161937192584175</v>
      </c>
      <c r="S385" s="35" t="n">
        <v>-0.06051448016562355</v>
      </c>
      <c r="T385" s="35" t="n">
        <v>-0.1712324453680962</v>
      </c>
      <c r="U385" s="30" t="n">
        <v>59900</v>
      </c>
      <c r="V385" s="30" t="n">
        <v>29200</v>
      </c>
      <c r="W385" s="35" t="n">
        <v>-0.4507512520868113</v>
      </c>
      <c r="X385" s="35" t="n">
        <v>0.1267123287671232</v>
      </c>
      <c r="Y385" s="30" t="n">
        <v>43617167</v>
      </c>
      <c r="Z385" s="30" t="n">
        <v>1435004794300</v>
      </c>
      <c r="AA385" s="30" t="n">
        <v>3789948400</v>
      </c>
      <c r="AB385" s="30" t="n">
        <v>8733855002.5</v>
      </c>
      <c r="AC385" s="35" t="n">
        <v>0.00264107020063912</v>
      </c>
      <c r="AD385" s="24" t="inlineStr">
        <is>
          <t>yfinance_download</t>
        </is>
      </c>
      <c r="AE385" s="24" t="inlineStr">
        <is>
          <t>000990.KS</t>
        </is>
      </c>
    </row>
    <row r="386" ht="24" customHeight="1">
      <c r="A386" s="29" t="inlineStr">
        <is>
          <t>2025-01-03</t>
        </is>
      </c>
      <c r="B386" s="31" t="n">
        <v>33050</v>
      </c>
      <c r="C386" s="31" t="n">
        <v>33550</v>
      </c>
      <c r="D386" s="31" t="n">
        <v>32850</v>
      </c>
      <c r="E386" s="31" t="n">
        <v>33050</v>
      </c>
      <c r="F386" s="31" t="n">
        <v>31852.3125</v>
      </c>
      <c r="G386" s="31" t="n">
        <v>149737</v>
      </c>
      <c r="H386" s="36" t="n">
        <v>0.004559270516717229</v>
      </c>
      <c r="I386" s="36" t="n">
        <v>-0.610718492343934</v>
      </c>
      <c r="J386" s="31" t="n">
        <v>33047.5</v>
      </c>
      <c r="K386" s="31" t="n">
        <v>34880.83333333334</v>
      </c>
      <c r="L386" s="31" t="n">
        <v>39548.75</v>
      </c>
      <c r="M386" s="36" t="n">
        <v>0.5806721054941669</v>
      </c>
      <c r="N386" s="36" t="n">
        <v>0.5028939767851301</v>
      </c>
      <c r="O386" s="36" t="n">
        <v>0.0060882800608828</v>
      </c>
      <c r="P386" s="36" t="n">
        <v>-0.2007255139056832</v>
      </c>
      <c r="Q386" s="36" t="n">
        <v>-0.3506876227897839</v>
      </c>
      <c r="R386" s="36" t="n">
        <v>7.564868749532216e-05</v>
      </c>
      <c r="S386" s="36" t="n">
        <v>-0.05248823374823808</v>
      </c>
      <c r="T386" s="36" t="n">
        <v>-0.1643225133537722</v>
      </c>
      <c r="U386" s="31" t="n">
        <v>59900</v>
      </c>
      <c r="V386" s="31" t="n">
        <v>29200</v>
      </c>
      <c r="W386" s="36" t="n">
        <v>-0.4482470784641068</v>
      </c>
      <c r="X386" s="36" t="n">
        <v>0.1318493150684932</v>
      </c>
      <c r="Y386" s="31" t="n">
        <v>43617167</v>
      </c>
      <c r="Z386" s="31" t="n">
        <v>1441547369350</v>
      </c>
      <c r="AA386" s="31" t="n">
        <v>4948807850</v>
      </c>
      <c r="AB386" s="31" t="n">
        <v>8470975572.5</v>
      </c>
      <c r="AC386" s="36" t="n">
        <v>0.00343298316463332</v>
      </c>
      <c r="AD386" s="29" t="inlineStr">
        <is>
          <t>yfinance_download</t>
        </is>
      </c>
      <c r="AE386" s="29" t="inlineStr">
        <is>
          <t>000990.KS</t>
        </is>
      </c>
    </row>
    <row r="387" ht="24" customHeight="1">
      <c r="A387" s="24" t="inlineStr">
        <is>
          <t>2025-01-06</t>
        </is>
      </c>
      <c r="B387" s="30" t="n">
        <v>33400</v>
      </c>
      <c r="C387" s="30" t="n">
        <v>34200</v>
      </c>
      <c r="D387" s="30" t="n">
        <v>33300</v>
      </c>
      <c r="E387" s="30" t="n">
        <v>34150</v>
      </c>
      <c r="F387" s="30" t="n">
        <v>32912.44921875</v>
      </c>
      <c r="G387" s="30" t="n">
        <v>188796</v>
      </c>
      <c r="H387" s="35" t="n">
        <v>0.03328290468986395</v>
      </c>
      <c r="I387" s="35" t="n">
        <v>-0.5977620730270907</v>
      </c>
      <c r="J387" s="30" t="n">
        <v>33115</v>
      </c>
      <c r="K387" s="30" t="n">
        <v>34780.83333333334</v>
      </c>
      <c r="L387" s="30" t="n">
        <v>39410</v>
      </c>
      <c r="M387" s="35" t="n">
        <v>0.5917521650286802</v>
      </c>
      <c r="N387" s="35" t="n">
        <v>0.5054535622752093</v>
      </c>
      <c r="O387" s="35" t="n">
        <v>0.04115853658536595</v>
      </c>
      <c r="P387" s="35" t="n">
        <v>-0.1494396014943961</v>
      </c>
      <c r="Q387" s="35" t="n">
        <v>-0.327755905511811</v>
      </c>
      <c r="R387" s="35" t="n">
        <v>0.03125471840555649</v>
      </c>
      <c r="S387" s="35" t="n">
        <v>-0.01813738409564658</v>
      </c>
      <c r="T387" s="35" t="n">
        <v>-0.1334686627759452</v>
      </c>
      <c r="U387" s="30" t="n">
        <v>59900</v>
      </c>
      <c r="V387" s="30" t="n">
        <v>29200</v>
      </c>
      <c r="W387" s="35" t="n">
        <v>-0.4298831385642737</v>
      </c>
      <c r="X387" s="35" t="n">
        <v>0.1695205479452055</v>
      </c>
      <c r="Y387" s="30" t="n">
        <v>43617167</v>
      </c>
      <c r="Z387" s="30" t="n">
        <v>1489526253050</v>
      </c>
      <c r="AA387" s="30" t="n">
        <v>6447383400</v>
      </c>
      <c r="AB387" s="30" t="n">
        <v>8425984742.5</v>
      </c>
      <c r="AC387" s="35" t="n">
        <v>0.00432847919719316</v>
      </c>
      <c r="AD387" s="24" t="inlineStr">
        <is>
          <t>yfinance_download</t>
        </is>
      </c>
      <c r="AE387" s="24" t="inlineStr">
        <is>
          <t>000990.KS</t>
        </is>
      </c>
    </row>
    <row r="388" ht="24" customHeight="1">
      <c r="A388" s="29" t="inlineStr">
        <is>
          <t>2025-01-07</t>
        </is>
      </c>
      <c r="B388" s="31" t="n">
        <v>34700</v>
      </c>
      <c r="C388" s="31" t="n">
        <v>34800</v>
      </c>
      <c r="D388" s="31" t="n">
        <v>33700</v>
      </c>
      <c r="E388" s="31" t="n">
        <v>33900</v>
      </c>
      <c r="F388" s="31" t="n">
        <v>32671.5078125</v>
      </c>
      <c r="G388" s="31" t="n">
        <v>208649</v>
      </c>
      <c r="H388" s="36" t="n">
        <v>-0.007320644216691097</v>
      </c>
      <c r="I388" s="36" t="n">
        <v>-0.6007067137809188</v>
      </c>
      <c r="J388" s="31" t="n">
        <v>33222.5</v>
      </c>
      <c r="K388" s="31" t="n">
        <v>34682.5</v>
      </c>
      <c r="L388" s="31" t="n">
        <v>39259.16666666666</v>
      </c>
      <c r="M388" s="36" t="n">
        <v>0.5789040537561196</v>
      </c>
      <c r="N388" s="36" t="n">
        <v>0.5053847327065767</v>
      </c>
      <c r="O388" s="36" t="n">
        <v>0.06771653543307088</v>
      </c>
      <c r="P388" s="36" t="n">
        <v>-0.1482412060301508</v>
      </c>
      <c r="Q388" s="36" t="n">
        <v>-0.3480769230769231</v>
      </c>
      <c r="R388" s="36" t="n">
        <v>0.02039280608021676</v>
      </c>
      <c r="S388" s="36" t="n">
        <v>-0.02256181071145391</v>
      </c>
      <c r="T388" s="36" t="n">
        <v>-0.136507397423107</v>
      </c>
      <c r="U388" s="31" t="n">
        <v>59900</v>
      </c>
      <c r="V388" s="31" t="n">
        <v>29200</v>
      </c>
      <c r="W388" s="36" t="n">
        <v>-0.4340567612687813</v>
      </c>
      <c r="X388" s="36" t="n">
        <v>0.1609589041095891</v>
      </c>
      <c r="Y388" s="31" t="n">
        <v>43617167</v>
      </c>
      <c r="Z388" s="31" t="n">
        <v>1478621961300</v>
      </c>
      <c r="AA388" s="31" t="n">
        <v>7073201100</v>
      </c>
      <c r="AB388" s="31" t="n">
        <v>8509701535</v>
      </c>
      <c r="AC388" s="36" t="n">
        <v>0.00478364401796201</v>
      </c>
      <c r="AD388" s="29" t="inlineStr">
        <is>
          <t>yfinance_download</t>
        </is>
      </c>
      <c r="AE388" s="29" t="inlineStr">
        <is>
          <t>000990.KS</t>
        </is>
      </c>
    </row>
    <row r="389" ht="24" customHeight="1">
      <c r="A389" s="24" t="inlineStr">
        <is>
          <t>2025-01-08</t>
        </is>
      </c>
      <c r="B389" s="30" t="n">
        <v>33600</v>
      </c>
      <c r="C389" s="30" t="n">
        <v>34750</v>
      </c>
      <c r="D389" s="30" t="n">
        <v>33550</v>
      </c>
      <c r="E389" s="30" t="n">
        <v>34400</v>
      </c>
      <c r="F389" s="30" t="n">
        <v>33153.390625</v>
      </c>
      <c r="G389" s="30" t="n">
        <v>178688</v>
      </c>
      <c r="H389" s="35" t="n">
        <v>0.01474926253687325</v>
      </c>
      <c r="I389" s="35" t="n">
        <v>-0.5948174322732627</v>
      </c>
      <c r="J389" s="30" t="n">
        <v>33345</v>
      </c>
      <c r="K389" s="30" t="n">
        <v>34580.83333333334</v>
      </c>
      <c r="L389" s="30" t="n">
        <v>39124.16666666666</v>
      </c>
      <c r="M389" s="35" t="n">
        <v>0.5801414332533665</v>
      </c>
      <c r="N389" s="35" t="n">
        <v>0.5049438792231322</v>
      </c>
      <c r="O389" s="35" t="n">
        <v>0.07668231611893583</v>
      </c>
      <c r="P389" s="35" t="n">
        <v>-0.1506172839506172</v>
      </c>
      <c r="Q389" s="35" t="n">
        <v>-0.3201581027667985</v>
      </c>
      <c r="R389" s="35" t="n">
        <v>0.03163892637576837</v>
      </c>
      <c r="S389" s="35" t="n">
        <v>-0.005229293683880809</v>
      </c>
      <c r="T389" s="35" t="n">
        <v>-0.1207480457517731</v>
      </c>
      <c r="U389" s="30" t="n">
        <v>59900</v>
      </c>
      <c r="V389" s="30" t="n">
        <v>29200</v>
      </c>
      <c r="W389" s="35" t="n">
        <v>-0.4257095158597662</v>
      </c>
      <c r="X389" s="35" t="n">
        <v>0.178082191780822</v>
      </c>
      <c r="Y389" s="30" t="n">
        <v>43617167</v>
      </c>
      <c r="Z389" s="30" t="n">
        <v>1500430544800</v>
      </c>
      <c r="AA389" s="30" t="n">
        <v>6146867200</v>
      </c>
      <c r="AB389" s="30" t="n">
        <v>8533257007.5</v>
      </c>
      <c r="AC389" s="35" t="n">
        <v>0.004096735581199026</v>
      </c>
      <c r="AD389" s="24" t="inlineStr">
        <is>
          <t>yfinance_download</t>
        </is>
      </c>
      <c r="AE389" s="24" t="inlineStr">
        <is>
          <t>000990.KS</t>
        </is>
      </c>
    </row>
    <row r="390" ht="24" customHeight="1">
      <c r="A390" s="29" t="inlineStr">
        <is>
          <t>2025-01-09</t>
        </is>
      </c>
      <c r="B390" s="31" t="n">
        <v>34550</v>
      </c>
      <c r="C390" s="31" t="n">
        <v>34550</v>
      </c>
      <c r="D390" s="31" t="n">
        <v>33750</v>
      </c>
      <c r="E390" s="31" t="n">
        <v>34000</v>
      </c>
      <c r="F390" s="31" t="n">
        <v>32767.88671875</v>
      </c>
      <c r="G390" s="31" t="n">
        <v>140815</v>
      </c>
      <c r="H390" s="36" t="n">
        <v>-0.01162790697674421</v>
      </c>
      <c r="I390" s="36" t="n">
        <v>-0.5995288574793876</v>
      </c>
      <c r="J390" s="31" t="n">
        <v>33585</v>
      </c>
      <c r="K390" s="31" t="n">
        <v>34472.5</v>
      </c>
      <c r="L390" s="31" t="n">
        <v>38985</v>
      </c>
      <c r="M390" s="36" t="n">
        <v>0.4773456875845936</v>
      </c>
      <c r="N390" s="36" t="n">
        <v>0.5052874208254818</v>
      </c>
      <c r="O390" s="36" t="n">
        <v>0.1643835616438356</v>
      </c>
      <c r="P390" s="36" t="n">
        <v>-0.1604938271604939</v>
      </c>
      <c r="Q390" s="36" t="n">
        <v>-0.3293885601577909</v>
      </c>
      <c r="R390" s="36" t="n">
        <v>0.01235670686318291</v>
      </c>
      <c r="S390" s="36" t="n">
        <v>-0.01370657770686778</v>
      </c>
      <c r="T390" s="36" t="n">
        <v>-0.1278696934718482</v>
      </c>
      <c r="U390" s="31" t="n">
        <v>58600</v>
      </c>
      <c r="V390" s="31" t="n">
        <v>29200</v>
      </c>
      <c r="W390" s="36" t="n">
        <v>-0.4197952218430034</v>
      </c>
      <c r="X390" s="36" t="n">
        <v>0.1643835616438356</v>
      </c>
      <c r="Y390" s="31" t="n">
        <v>43617167</v>
      </c>
      <c r="Z390" s="31" t="n">
        <v>1482983678000</v>
      </c>
      <c r="AA390" s="31" t="n">
        <v>4787710000</v>
      </c>
      <c r="AB390" s="31" t="n">
        <v>8288105007.5</v>
      </c>
      <c r="AC390" s="36" t="n">
        <v>0.003228430677306483</v>
      </c>
      <c r="AD390" s="29" t="inlineStr">
        <is>
          <t>yfinance_download</t>
        </is>
      </c>
      <c r="AE390" s="29" t="inlineStr">
        <is>
          <t>000990.KS</t>
        </is>
      </c>
    </row>
    <row r="391" ht="24" customHeight="1">
      <c r="A391" s="24" t="inlineStr">
        <is>
          <t>2025-01-10</t>
        </is>
      </c>
      <c r="B391" s="30" t="n">
        <v>34000</v>
      </c>
      <c r="C391" s="30" t="n">
        <v>34800</v>
      </c>
      <c r="D391" s="30" t="n">
        <v>33600</v>
      </c>
      <c r="E391" s="30" t="n">
        <v>34750</v>
      </c>
      <c r="F391" s="30" t="n">
        <v>33490.70703125</v>
      </c>
      <c r="G391" s="30" t="n">
        <v>179465</v>
      </c>
      <c r="H391" s="35" t="n">
        <v>0.02205882352941169</v>
      </c>
      <c r="I391" s="35" t="n">
        <v>-0.5906949352179034</v>
      </c>
      <c r="J391" s="30" t="n">
        <v>33737.5</v>
      </c>
      <c r="K391" s="30" t="n">
        <v>34370.83333333334</v>
      </c>
      <c r="L391" s="30" t="n">
        <v>38855.41666666666</v>
      </c>
      <c r="M391" s="35" t="n">
        <v>0.3847079111715372</v>
      </c>
      <c r="N391" s="35" t="n">
        <v>0.5072858180307394</v>
      </c>
      <c r="O391" s="35" t="n">
        <v>0.09621451104100953</v>
      </c>
      <c r="P391" s="35" t="n">
        <v>-0.1493268053855569</v>
      </c>
      <c r="Q391" s="35" t="n">
        <v>-0.3091451292246521</v>
      </c>
      <c r="R391" s="35" t="n">
        <v>0.03001111522786215</v>
      </c>
      <c r="S391" s="35" t="n">
        <v>0.01103164019881198</v>
      </c>
      <c r="T391" s="35" t="n">
        <v>-0.1056587991807234</v>
      </c>
      <c r="U391" s="30" t="n">
        <v>58600</v>
      </c>
      <c r="V391" s="30" t="n">
        <v>29200</v>
      </c>
      <c r="W391" s="35" t="n">
        <v>-0.4069965870307167</v>
      </c>
      <c r="X391" s="35" t="n">
        <v>0.1900684931506849</v>
      </c>
      <c r="Y391" s="30" t="n">
        <v>43617167</v>
      </c>
      <c r="Z391" s="30" t="n">
        <v>1515696553250</v>
      </c>
      <c r="AA391" s="30" t="n">
        <v>6236408750</v>
      </c>
      <c r="AB391" s="30" t="n">
        <v>8024721020</v>
      </c>
      <c r="AC391" s="35" t="n">
        <v>0.00411454966802406</v>
      </c>
      <c r="AD391" s="24" t="inlineStr">
        <is>
          <t>yfinance_download</t>
        </is>
      </c>
      <c r="AE391" s="24" t="inlineStr">
        <is>
          <t>000990.KS</t>
        </is>
      </c>
    </row>
    <row r="392" ht="24" customHeight="1">
      <c r="A392" s="29" t="inlineStr">
        <is>
          <t>2025-01-13</t>
        </is>
      </c>
      <c r="B392" s="31" t="n">
        <v>34400</v>
      </c>
      <c r="C392" s="31" t="n">
        <v>34500</v>
      </c>
      <c r="D392" s="31" t="n">
        <v>33450</v>
      </c>
      <c r="E392" s="31" t="n">
        <v>33600</v>
      </c>
      <c r="F392" s="31" t="n">
        <v>32382.3828125</v>
      </c>
      <c r="G392" s="31" t="n">
        <v>144741</v>
      </c>
      <c r="H392" s="36" t="n">
        <v>-0.03309352517985609</v>
      </c>
      <c r="I392" s="36" t="n">
        <v>-0.6042402826855124</v>
      </c>
      <c r="J392" s="31" t="n">
        <v>33762.5</v>
      </c>
      <c r="K392" s="31" t="n">
        <v>34259.16666666666</v>
      </c>
      <c r="L392" s="31" t="n">
        <v>38700.41666666666</v>
      </c>
      <c r="M392" s="36" t="n">
        <v>0.377759356487471</v>
      </c>
      <c r="N392" s="36" t="n">
        <v>0.5107319806935305</v>
      </c>
      <c r="O392" s="36" t="n">
        <v>0.01510574018126887</v>
      </c>
      <c r="P392" s="36" t="n">
        <v>-0.1662531017369727</v>
      </c>
      <c r="Q392" s="36" t="n">
        <v>-0.3563218390804598</v>
      </c>
      <c r="R392" s="36" t="n">
        <v>-0.004813032210292501</v>
      </c>
      <c r="S392" s="36" t="n">
        <v>-0.01924059254214194</v>
      </c>
      <c r="T392" s="36" t="n">
        <v>-0.1317922933646278</v>
      </c>
      <c r="U392" s="31" t="n">
        <v>57100</v>
      </c>
      <c r="V392" s="31" t="n">
        <v>29200</v>
      </c>
      <c r="W392" s="36" t="n">
        <v>-0.4115586690017513</v>
      </c>
      <c r="X392" s="36" t="n">
        <v>0.1506849315068493</v>
      </c>
      <c r="Y392" s="31" t="n">
        <v>43617167</v>
      </c>
      <c r="Z392" s="31" t="n">
        <v>1465536811200</v>
      </c>
      <c r="AA392" s="31" t="n">
        <v>4863297600</v>
      </c>
      <c r="AB392" s="31" t="n">
        <v>6469637375</v>
      </c>
      <c r="AC392" s="36" t="n">
        <v>0.003318441108291146</v>
      </c>
      <c r="AD392" s="29" t="inlineStr">
        <is>
          <t>yfinance_download</t>
        </is>
      </c>
      <c r="AE392" s="29" t="inlineStr">
        <is>
          <t>000990.KS</t>
        </is>
      </c>
    </row>
    <row r="393" ht="24" customHeight="1">
      <c r="A393" s="24" t="inlineStr">
        <is>
          <t>2025-01-14</t>
        </is>
      </c>
      <c r="B393" s="30" t="n">
        <v>33600</v>
      </c>
      <c r="C393" s="30" t="n">
        <v>34000</v>
      </c>
      <c r="D393" s="30" t="n">
        <v>32850</v>
      </c>
      <c r="E393" s="30" t="n">
        <v>33000</v>
      </c>
      <c r="F393" s="30" t="n">
        <v>31804.125</v>
      </c>
      <c r="G393" s="30" t="n">
        <v>122589</v>
      </c>
      <c r="H393" s="35" t="n">
        <v>-0.0178571428571429</v>
      </c>
      <c r="I393" s="35" t="n">
        <v>-0.6113074204946997</v>
      </c>
      <c r="J393" s="30" t="n">
        <v>33735</v>
      </c>
      <c r="K393" s="30" t="n">
        <v>34139.16666666666</v>
      </c>
      <c r="L393" s="30" t="n">
        <v>38537.08333333334</v>
      </c>
      <c r="M393" s="35" t="n">
        <v>0.3803601527267717</v>
      </c>
      <c r="N393" s="35" t="n">
        <v>0.5116981212732102</v>
      </c>
      <c r="O393" s="35" t="n">
        <v>-0.01639344262295084</v>
      </c>
      <c r="P393" s="35" t="n">
        <v>-0.1791044776119403</v>
      </c>
      <c r="Q393" s="35" t="n">
        <v>-0.3726235741444867</v>
      </c>
      <c r="R393" s="35" t="n">
        <v>-0.02178746109381946</v>
      </c>
      <c r="S393" s="35" t="n">
        <v>-0.03336832084360575</v>
      </c>
      <c r="T393" s="35" t="n">
        <v>-0.1436819513671896</v>
      </c>
      <c r="U393" s="30" t="n">
        <v>57100</v>
      </c>
      <c r="V393" s="30" t="n">
        <v>29200</v>
      </c>
      <c r="W393" s="35" t="n">
        <v>-0.4220665499124343</v>
      </c>
      <c r="X393" s="35" t="n">
        <v>0.1301369863013699</v>
      </c>
      <c r="Y393" s="30" t="n">
        <v>43617167</v>
      </c>
      <c r="Z393" s="30" t="n">
        <v>1439366511000</v>
      </c>
      <c r="AA393" s="30" t="n">
        <v>4045437000</v>
      </c>
      <c r="AB393" s="30" t="n">
        <v>5997639777.5</v>
      </c>
      <c r="AC393" s="35" t="n">
        <v>0.002810567683132653</v>
      </c>
      <c r="AD393" s="24" t="inlineStr">
        <is>
          <t>yfinance_download</t>
        </is>
      </c>
      <c r="AE393" s="24" t="inlineStr">
        <is>
          <t>000990.KS</t>
        </is>
      </c>
    </row>
    <row r="394" ht="24" customHeight="1">
      <c r="A394" s="29" t="inlineStr">
        <is>
          <t>2025-01-15</t>
        </is>
      </c>
      <c r="B394" s="31" t="n">
        <v>33300</v>
      </c>
      <c r="C394" s="31" t="n">
        <v>34050</v>
      </c>
      <c r="D394" s="31" t="n">
        <v>33100</v>
      </c>
      <c r="E394" s="31" t="n">
        <v>33750</v>
      </c>
      <c r="F394" s="31" t="n">
        <v>32526.9453125</v>
      </c>
      <c r="G394" s="31" t="n">
        <v>152793</v>
      </c>
      <c r="H394" s="36" t="n">
        <v>0.02272727272727271</v>
      </c>
      <c r="I394" s="36" t="n">
        <v>-0.6024734982332156</v>
      </c>
      <c r="J394" s="31" t="n">
        <v>33715</v>
      </c>
      <c r="K394" s="31" t="n">
        <v>34057.5</v>
      </c>
      <c r="L394" s="31" t="n">
        <v>38372.5</v>
      </c>
      <c r="M394" s="36" t="n">
        <v>0.3838467599138868</v>
      </c>
      <c r="N394" s="36" t="n">
        <v>0.5088001931082027</v>
      </c>
      <c r="O394" s="36" t="n">
        <v>-0.01171303074670571</v>
      </c>
      <c r="P394" s="36" t="n">
        <v>-0.1267787839586029</v>
      </c>
      <c r="Q394" s="36" t="n">
        <v>-0.3691588785046729</v>
      </c>
      <c r="R394" s="36" t="n">
        <v>0.001038113599288071</v>
      </c>
      <c r="S394" s="36" t="n">
        <v>-0.0090288482713059</v>
      </c>
      <c r="T394" s="36" t="n">
        <v>-0.1204638738680044</v>
      </c>
      <c r="U394" s="31" t="n">
        <v>57100</v>
      </c>
      <c r="V394" s="31" t="n">
        <v>29200</v>
      </c>
      <c r="W394" s="36" t="n">
        <v>-0.4089316987740805</v>
      </c>
      <c r="X394" s="36" t="n">
        <v>0.1558219178082192</v>
      </c>
      <c r="Y394" s="31" t="n">
        <v>43617167</v>
      </c>
      <c r="Z394" s="31" t="n">
        <v>1472079386250</v>
      </c>
      <c r="AA394" s="31" t="n">
        <v>5156763750</v>
      </c>
      <c r="AB394" s="31" t="n">
        <v>5714137287.5</v>
      </c>
      <c r="AC394" s="36" t="n">
        <v>0.003503047320794585</v>
      </c>
      <c r="AD394" s="29" t="inlineStr">
        <is>
          <t>yfinance_download</t>
        </is>
      </c>
      <c r="AE394" s="29" t="inlineStr">
        <is>
          <t>000990.KS</t>
        </is>
      </c>
    </row>
    <row r="395" ht="24" customHeight="1">
      <c r="A395" s="24" t="inlineStr">
        <is>
          <t>2025-01-16</t>
        </is>
      </c>
      <c r="B395" s="30" t="n">
        <v>34200</v>
      </c>
      <c r="C395" s="30" t="n">
        <v>34350</v>
      </c>
      <c r="D395" s="30" t="n">
        <v>33450</v>
      </c>
      <c r="E395" s="30" t="n">
        <v>33500</v>
      </c>
      <c r="F395" s="30" t="n">
        <v>32286.005859375</v>
      </c>
      <c r="G395" s="30" t="n">
        <v>132200</v>
      </c>
      <c r="H395" s="35" t="n">
        <v>-0.007407407407407418</v>
      </c>
      <c r="I395" s="35" t="n">
        <v>-0.6054181389870437</v>
      </c>
      <c r="J395" s="30" t="n">
        <v>33687.5</v>
      </c>
      <c r="K395" s="30" t="n">
        <v>33985</v>
      </c>
      <c r="L395" s="30" t="n">
        <v>38202.5</v>
      </c>
      <c r="M395" s="35" t="n">
        <v>0.3845802858504778</v>
      </c>
      <c r="N395" s="35" t="n">
        <v>0.507413836452338</v>
      </c>
      <c r="O395" s="35" t="n">
        <v>-0.01615271659324524</v>
      </c>
      <c r="P395" s="35" t="n">
        <v>-0.1149273447820344</v>
      </c>
      <c r="Q395" s="35" t="n">
        <v>-0.37847866419295</v>
      </c>
      <c r="R395" s="35" t="n">
        <v>-0.005565862708719838</v>
      </c>
      <c r="S395" s="35" t="n">
        <v>-0.01427100191260855</v>
      </c>
      <c r="T395" s="35" t="n">
        <v>-0.1230940383482756</v>
      </c>
      <c r="U395" s="30" t="n">
        <v>57100</v>
      </c>
      <c r="V395" s="30" t="n">
        <v>29200</v>
      </c>
      <c r="W395" s="35" t="n">
        <v>-0.4133099824868651</v>
      </c>
      <c r="X395" s="35" t="n">
        <v>0.1472602739726028</v>
      </c>
      <c r="Y395" s="30" t="n">
        <v>43617167</v>
      </c>
      <c r="Z395" s="30" t="n">
        <v>1461175094500</v>
      </c>
      <c r="AA395" s="30" t="n">
        <v>4428700000</v>
      </c>
      <c r="AB395" s="30" t="n">
        <v>5591277415</v>
      </c>
      <c r="AC395" s="35" t="n">
        <v>0.003030916703049513</v>
      </c>
      <c r="AD395" s="24" t="inlineStr">
        <is>
          <t>yfinance_download</t>
        </is>
      </c>
      <c r="AE395" s="24" t="inlineStr">
        <is>
          <t>000990.KS</t>
        </is>
      </c>
    </row>
    <row r="396" ht="24" customHeight="1">
      <c r="A396" s="29" t="inlineStr">
        <is>
          <t>2025-01-17</t>
        </is>
      </c>
      <c r="B396" s="31" t="n">
        <v>33600</v>
      </c>
      <c r="C396" s="31" t="n">
        <v>33850</v>
      </c>
      <c r="D396" s="31" t="n">
        <v>33400</v>
      </c>
      <c r="E396" s="31" t="n">
        <v>33650</v>
      </c>
      <c r="F396" s="31" t="n">
        <v>32430.568359375</v>
      </c>
      <c r="G396" s="31" t="n">
        <v>83083</v>
      </c>
      <c r="H396" s="36" t="n">
        <v>0.004477611940298498</v>
      </c>
      <c r="I396" s="36" t="n">
        <v>-0.6036513545347468</v>
      </c>
      <c r="J396" s="31" t="n">
        <v>33610</v>
      </c>
      <c r="K396" s="31" t="n">
        <v>33932.5</v>
      </c>
      <c r="L396" s="31" t="n">
        <v>38024.58333333334</v>
      </c>
      <c r="M396" s="36" t="n">
        <v>0.3633915545970805</v>
      </c>
      <c r="N396" s="36" t="n">
        <v>0.5045945892582632</v>
      </c>
      <c r="O396" s="36" t="n">
        <v>-0.04403409090909094</v>
      </c>
      <c r="P396" s="36" t="n">
        <v>-0.08559782608695654</v>
      </c>
      <c r="Q396" s="36" t="n">
        <v>-0.3881818181818182</v>
      </c>
      <c r="R396" s="36" t="n">
        <v>0.001190121987503678</v>
      </c>
      <c r="S396" s="36" t="n">
        <v>-0.008325351801370395</v>
      </c>
      <c r="T396" s="36" t="n">
        <v>-0.1150461872253696</v>
      </c>
      <c r="U396" s="31" t="n">
        <v>57100</v>
      </c>
      <c r="V396" s="31" t="n">
        <v>29200</v>
      </c>
      <c r="W396" s="36" t="n">
        <v>-0.4106830122591943</v>
      </c>
      <c r="X396" s="36" t="n">
        <v>0.1523972602739727</v>
      </c>
      <c r="Y396" s="31" t="n">
        <v>43617167</v>
      </c>
      <c r="Z396" s="31" t="n">
        <v>1467717669550</v>
      </c>
      <c r="AA396" s="31" t="n">
        <v>2795742950</v>
      </c>
      <c r="AB396" s="31" t="n">
        <v>5082168402.5</v>
      </c>
      <c r="AC396" s="36" t="n">
        <v>0.001904823392129067</v>
      </c>
      <c r="AD396" s="29" t="inlineStr">
        <is>
          <t>yfinance_download</t>
        </is>
      </c>
      <c r="AE396" s="29" t="inlineStr">
        <is>
          <t>000990.KS</t>
        </is>
      </c>
    </row>
    <row r="397" ht="24" customHeight="1">
      <c r="A397" s="24" t="inlineStr">
        <is>
          <t>2025-01-20</t>
        </is>
      </c>
      <c r="B397" s="30" t="n">
        <v>33850</v>
      </c>
      <c r="C397" s="30" t="n">
        <v>34250</v>
      </c>
      <c r="D397" s="30" t="n">
        <v>33650</v>
      </c>
      <c r="E397" s="30" t="n">
        <v>34100</v>
      </c>
      <c r="F397" s="30" t="n">
        <v>32864.26171875</v>
      </c>
      <c r="G397" s="30" t="n">
        <v>124705</v>
      </c>
      <c r="H397" s="35" t="n">
        <v>0.01337295690936102</v>
      </c>
      <c r="I397" s="35" t="n">
        <v>-0.5983510011778563</v>
      </c>
      <c r="J397" s="30" t="n">
        <v>33577.5</v>
      </c>
      <c r="K397" s="30" t="n">
        <v>33885.83333333334</v>
      </c>
      <c r="L397" s="30" t="n">
        <v>37861.25</v>
      </c>
      <c r="M397" s="35" t="n">
        <v>0.3649549473778965</v>
      </c>
      <c r="N397" s="35" t="n">
        <v>0.5054014740189317</v>
      </c>
      <c r="O397" s="35" t="n">
        <v>-0.01870503597122297</v>
      </c>
      <c r="P397" s="35" t="n">
        <v>-0.07588075880758804</v>
      </c>
      <c r="Q397" s="35" t="n">
        <v>-0.3649906890130353</v>
      </c>
      <c r="R397" s="35" t="n">
        <v>0.01556101556101552</v>
      </c>
      <c r="S397" s="35" t="n">
        <v>0.006320241989031805</v>
      </c>
      <c r="T397" s="35" t="n">
        <v>-0.09934299580705863</v>
      </c>
      <c r="U397" s="30" t="n">
        <v>57100</v>
      </c>
      <c r="V397" s="30" t="n">
        <v>29200</v>
      </c>
      <c r="W397" s="35" t="n">
        <v>-0.4028021015761821</v>
      </c>
      <c r="X397" s="35" t="n">
        <v>0.1678082191780821</v>
      </c>
      <c r="Y397" s="30" t="n">
        <v>43617167</v>
      </c>
      <c r="Z397" s="30" t="n">
        <v>1487345394700</v>
      </c>
      <c r="AA397" s="30" t="n">
        <v>4252440500</v>
      </c>
      <c r="AB397" s="30" t="n">
        <v>4975198152.5</v>
      </c>
      <c r="AC397" s="35" t="n">
        <v>0.002859080691783581</v>
      </c>
      <c r="AD397" s="24" t="inlineStr">
        <is>
          <t>yfinance_download</t>
        </is>
      </c>
      <c r="AE397" s="24" t="inlineStr">
        <is>
          <t>000990.KS</t>
        </is>
      </c>
    </row>
    <row r="398" ht="24" customHeight="1">
      <c r="A398" s="29" t="inlineStr">
        <is>
          <t>2025-01-21</t>
        </is>
      </c>
      <c r="B398" s="31" t="n">
        <v>34200</v>
      </c>
      <c r="C398" s="31" t="n">
        <v>34650</v>
      </c>
      <c r="D398" s="31" t="n">
        <v>33500</v>
      </c>
      <c r="E398" s="31" t="n">
        <v>34150</v>
      </c>
      <c r="F398" s="31" t="n">
        <v>32912.44921875</v>
      </c>
      <c r="G398" s="31" t="n">
        <v>137499</v>
      </c>
      <c r="H398" s="36" t="n">
        <v>0.001466275659824046</v>
      </c>
      <c r="I398" s="36" t="n">
        <v>-0.5977620730270907</v>
      </c>
      <c r="J398" s="31" t="n">
        <v>33577.5</v>
      </c>
      <c r="K398" s="31" t="n">
        <v>33854.16666666666</v>
      </c>
      <c r="L398" s="31" t="n">
        <v>37706.66666666666</v>
      </c>
      <c r="M398" s="36" t="n">
        <v>0.3596917152166054</v>
      </c>
      <c r="N398" s="36" t="n">
        <v>0.5032913366230128</v>
      </c>
      <c r="O398" s="36" t="n">
        <v>0</v>
      </c>
      <c r="P398" s="36" t="n">
        <v>-0.05270457697642161</v>
      </c>
      <c r="Q398" s="36" t="n">
        <v>-0.3519924098671727</v>
      </c>
      <c r="R398" s="36" t="n">
        <v>0.01705010795919892</v>
      </c>
      <c r="S398" s="36" t="n">
        <v>0.008738461538461584</v>
      </c>
      <c r="T398" s="36" t="n">
        <v>-0.09432461103253176</v>
      </c>
      <c r="U398" s="31" t="n">
        <v>57100</v>
      </c>
      <c r="V398" s="31" t="n">
        <v>29200</v>
      </c>
      <c r="W398" s="36" t="n">
        <v>-0.4019264448336253</v>
      </c>
      <c r="X398" s="36" t="n">
        <v>0.1695205479452055</v>
      </c>
      <c r="Y398" s="31" t="n">
        <v>43617167</v>
      </c>
      <c r="Z398" s="31" t="n">
        <v>1489526253050</v>
      </c>
      <c r="AA398" s="31" t="n">
        <v>4695590850</v>
      </c>
      <c r="AB398" s="31" t="n">
        <v>4877479635</v>
      </c>
      <c r="AC398" s="36" t="n">
        <v>0.003152405565450869</v>
      </c>
      <c r="AD398" s="29" t="inlineStr">
        <is>
          <t>yfinance_download</t>
        </is>
      </c>
      <c r="AE398" s="29" t="inlineStr">
        <is>
          <t>000990.KS</t>
        </is>
      </c>
    </row>
    <row r="399" ht="24" customHeight="1">
      <c r="A399" s="24" t="inlineStr">
        <is>
          <t>2025-01-22</t>
        </is>
      </c>
      <c r="B399" s="30" t="n">
        <v>34150</v>
      </c>
      <c r="C399" s="30" t="n">
        <v>34550</v>
      </c>
      <c r="D399" s="30" t="n">
        <v>33650</v>
      </c>
      <c r="E399" s="30" t="n">
        <v>34450</v>
      </c>
      <c r="F399" s="30" t="n">
        <v>33201.578125</v>
      </c>
      <c r="G399" s="30" t="n">
        <v>158150</v>
      </c>
      <c r="H399" s="35" t="n">
        <v>0.008784773060029227</v>
      </c>
      <c r="I399" s="35" t="n">
        <v>-0.5942285041224971</v>
      </c>
      <c r="J399" s="30" t="n">
        <v>33640</v>
      </c>
      <c r="K399" s="30" t="n">
        <v>33835</v>
      </c>
      <c r="L399" s="30" t="n">
        <v>37557.08333333334</v>
      </c>
      <c r="M399" s="35" t="n">
        <v>0.344981878543246</v>
      </c>
      <c r="N399" s="35" t="n">
        <v>0.5029997042756044</v>
      </c>
      <c r="O399" s="35" t="n">
        <v>0.03765060240963858</v>
      </c>
      <c r="P399" s="35" t="n">
        <v>-0.03230337078651691</v>
      </c>
      <c r="Q399" s="35" t="n">
        <v>-0.3425572519083969</v>
      </c>
      <c r="R399" s="35" t="n">
        <v>0.02407847800237817</v>
      </c>
      <c r="S399" s="35" t="n">
        <v>0.01817644451012268</v>
      </c>
      <c r="T399" s="35" t="n">
        <v>-0.08272962268546769</v>
      </c>
      <c r="U399" s="30" t="n">
        <v>57100</v>
      </c>
      <c r="V399" s="30" t="n">
        <v>29200</v>
      </c>
      <c r="W399" s="35" t="n">
        <v>-0.3966725043782837</v>
      </c>
      <c r="X399" s="35" t="n">
        <v>0.1797945205479452</v>
      </c>
      <c r="Y399" s="30" t="n">
        <v>43617167</v>
      </c>
      <c r="Z399" s="30" t="n">
        <v>1502611403150</v>
      </c>
      <c r="AA399" s="30" t="n">
        <v>5448267500</v>
      </c>
      <c r="AB399" s="30" t="n">
        <v>4908140570</v>
      </c>
      <c r="AC399" s="35" t="n">
        <v>0.003625865934850835</v>
      </c>
      <c r="AD399" s="24" t="inlineStr">
        <is>
          <t>yfinance_download</t>
        </is>
      </c>
      <c r="AE399" s="24" t="inlineStr">
        <is>
          <t>000990.KS</t>
        </is>
      </c>
    </row>
    <row r="400" ht="24" customHeight="1">
      <c r="A400" s="29" t="inlineStr">
        <is>
          <t>2025-01-23</t>
        </is>
      </c>
      <c r="B400" s="31" t="n">
        <v>34550</v>
      </c>
      <c r="C400" s="31" t="n">
        <v>34550</v>
      </c>
      <c r="D400" s="31" t="n">
        <v>33350</v>
      </c>
      <c r="E400" s="31" t="n">
        <v>33550</v>
      </c>
      <c r="F400" s="31" t="n">
        <v>32334.193359375</v>
      </c>
      <c r="G400" s="31" t="n">
        <v>178142</v>
      </c>
      <c r="H400" s="36" t="n">
        <v>-0.02612481857764881</v>
      </c>
      <c r="I400" s="36" t="n">
        <v>-0.6048292108362781</v>
      </c>
      <c r="J400" s="31" t="n">
        <v>33637.5</v>
      </c>
      <c r="K400" s="31" t="n">
        <v>33776.66666666666</v>
      </c>
      <c r="L400" s="31" t="n">
        <v>37413.33333333334</v>
      </c>
      <c r="M400" s="36" t="n">
        <v>0.3567537120680721</v>
      </c>
      <c r="N400" s="36" t="n">
        <v>0.4984854217866244</v>
      </c>
      <c r="O400" s="36" t="n">
        <v>-0.001488095238095233</v>
      </c>
      <c r="P400" s="36" t="n">
        <v>-0.09446693657219973</v>
      </c>
      <c r="Q400" s="36" t="n">
        <v>-0.3395669291338582</v>
      </c>
      <c r="R400" s="36" t="n">
        <v>-0.002601263470828674</v>
      </c>
      <c r="S400" s="36" t="n">
        <v>-0.006710747064048062</v>
      </c>
      <c r="T400" s="36" t="n">
        <v>-0.1032608695652174</v>
      </c>
      <c r="U400" s="31" t="n">
        <v>57100</v>
      </c>
      <c r="V400" s="31" t="n">
        <v>29200</v>
      </c>
      <c r="W400" s="36" t="n">
        <v>-0.4124343257443083</v>
      </c>
      <c r="X400" s="36" t="n">
        <v>0.148972602739726</v>
      </c>
      <c r="Y400" s="31" t="n">
        <v>43617167</v>
      </c>
      <c r="Z400" s="31" t="n">
        <v>1463355952850</v>
      </c>
      <c r="AA400" s="31" t="n">
        <v>5976664100</v>
      </c>
      <c r="AB400" s="31" t="n">
        <v>5049905535</v>
      </c>
      <c r="AC400" s="36" t="n">
        <v>0.004084217574240895</v>
      </c>
      <c r="AD400" s="29" t="inlineStr">
        <is>
          <t>yfinance_download</t>
        </is>
      </c>
      <c r="AE400" s="29" t="inlineStr">
        <is>
          <t>000990.KS</t>
        </is>
      </c>
    </row>
    <row r="401" ht="24" customHeight="1">
      <c r="A401" s="24" t="inlineStr">
        <is>
          <t>2025-01-24</t>
        </is>
      </c>
      <c r="B401" s="30" t="n">
        <v>33400</v>
      </c>
      <c r="C401" s="30" t="n">
        <v>34400</v>
      </c>
      <c r="D401" s="30" t="n">
        <v>33400</v>
      </c>
      <c r="E401" s="30" t="n">
        <v>33950</v>
      </c>
      <c r="F401" s="30" t="n">
        <v>32719.697265625</v>
      </c>
      <c r="G401" s="30" t="n">
        <v>155932</v>
      </c>
      <c r="H401" s="35" t="n">
        <v>0.01192250372578241</v>
      </c>
      <c r="I401" s="35" t="n">
        <v>-0.6001177856301532</v>
      </c>
      <c r="J401" s="30" t="n">
        <v>33637.5</v>
      </c>
      <c r="K401" s="30" t="n">
        <v>33716.66666666666</v>
      </c>
      <c r="L401" s="30" t="n">
        <v>37257.08333333334</v>
      </c>
      <c r="M401" s="35" t="n">
        <v>0.3573671263820682</v>
      </c>
      <c r="N401" s="35" t="n">
        <v>0.4982981692097195</v>
      </c>
      <c r="O401" s="35" t="n">
        <v>0</v>
      </c>
      <c r="P401" s="35" t="n">
        <v>-0.0958721704394141</v>
      </c>
      <c r="Q401" s="35" t="n">
        <v>-0.355787476280835</v>
      </c>
      <c r="R401" s="35" t="n">
        <v>0.009290226681531122</v>
      </c>
      <c r="S401" s="35" t="n">
        <v>0.006920415224913601</v>
      </c>
      <c r="T401" s="35" t="n">
        <v>-0.08876388158851234</v>
      </c>
      <c r="U401" s="30" t="n">
        <v>57100</v>
      </c>
      <c r="V401" s="30" t="n">
        <v>29200</v>
      </c>
      <c r="W401" s="35" t="n">
        <v>-0.4054290718038529</v>
      </c>
      <c r="X401" s="35" t="n">
        <v>0.1626712328767124</v>
      </c>
      <c r="Y401" s="30" t="n">
        <v>43617167</v>
      </c>
      <c r="Z401" s="30" t="n">
        <v>1480802819650</v>
      </c>
      <c r="AA401" s="30" t="n">
        <v>5293891400</v>
      </c>
      <c r="AB401" s="30" t="n">
        <v>5066283015</v>
      </c>
      <c r="AC401" s="35" t="n">
        <v>0.003575014397427508</v>
      </c>
      <c r="AD401" s="24" t="inlineStr">
        <is>
          <t>yfinance_download</t>
        </is>
      </c>
      <c r="AE401" s="24" t="inlineStr">
        <is>
          <t>000990.KS</t>
        </is>
      </c>
    </row>
    <row r="402" ht="24" customHeight="1">
      <c r="A402" s="29" t="inlineStr">
        <is>
          <t>2025-01-31</t>
        </is>
      </c>
      <c r="B402" s="31" t="n">
        <v>33100</v>
      </c>
      <c r="C402" s="31" t="n">
        <v>33750</v>
      </c>
      <c r="D402" s="31" t="n">
        <v>32350</v>
      </c>
      <c r="E402" s="31" t="n">
        <v>32350</v>
      </c>
      <c r="F402" s="31" t="n">
        <v>31177.6796875</v>
      </c>
      <c r="G402" s="31" t="n">
        <v>236271</v>
      </c>
      <c r="H402" s="36" t="n">
        <v>-0.04712812960235646</v>
      </c>
      <c r="I402" s="36" t="n">
        <v>-0.6189634864546525</v>
      </c>
      <c r="J402" s="31" t="n">
        <v>33602.5</v>
      </c>
      <c r="K402" s="31" t="n">
        <v>33635</v>
      </c>
      <c r="L402" s="31" t="n">
        <v>37099.16666666666</v>
      </c>
      <c r="M402" s="36" t="n">
        <v>0.3843155733471599</v>
      </c>
      <c r="N402" s="36" t="n">
        <v>0.5069574012715757</v>
      </c>
      <c r="O402" s="36" t="n">
        <v>-0.02118003025718607</v>
      </c>
      <c r="P402" s="36" t="n">
        <v>-0.1315436241610738</v>
      </c>
      <c r="Q402" s="36" t="n">
        <v>-0.3693957115009746</v>
      </c>
      <c r="R402" s="36" t="n">
        <v>-0.03727401235027161</v>
      </c>
      <c r="S402" s="36" t="n">
        <v>-0.03820425152371043</v>
      </c>
      <c r="T402" s="36" t="n">
        <v>-0.1280127585974528</v>
      </c>
      <c r="U402" s="31" t="n">
        <v>57100</v>
      </c>
      <c r="V402" s="31" t="n">
        <v>29200</v>
      </c>
      <c r="W402" s="36" t="n">
        <v>-0.4334500875656743</v>
      </c>
      <c r="X402" s="36" t="n">
        <v>0.1078767123287672</v>
      </c>
      <c r="Y402" s="31" t="n">
        <v>43617167</v>
      </c>
      <c r="Z402" s="31" t="n">
        <v>1411015352450</v>
      </c>
      <c r="AA402" s="31" t="n">
        <v>7643366850</v>
      </c>
      <c r="AB402" s="31" t="n">
        <v>5175955760</v>
      </c>
      <c r="AC402" s="36" t="n">
        <v>0.005416926780228527</v>
      </c>
      <c r="AD402" s="29" t="inlineStr">
        <is>
          <t>yfinance_download</t>
        </is>
      </c>
      <c r="AE402" s="29" t="inlineStr">
        <is>
          <t>000990.KS</t>
        </is>
      </c>
    </row>
    <row r="403" ht="24" customHeight="1">
      <c r="A403" s="24" t="inlineStr">
        <is>
          <t>2025-02-03</t>
        </is>
      </c>
      <c r="B403" s="30" t="n">
        <v>31700</v>
      </c>
      <c r="C403" s="30" t="n">
        <v>31900</v>
      </c>
      <c r="D403" s="30" t="n">
        <v>30350</v>
      </c>
      <c r="E403" s="30" t="n">
        <v>30450</v>
      </c>
      <c r="F403" s="30" t="n">
        <v>29346.533203125</v>
      </c>
      <c r="G403" s="30" t="n">
        <v>226507</v>
      </c>
      <c r="H403" s="35" t="n">
        <v>-0.0587326120556414</v>
      </c>
      <c r="I403" s="35" t="n">
        <v>-0.6413427561837456</v>
      </c>
      <c r="J403" s="30" t="n">
        <v>33540</v>
      </c>
      <c r="K403" s="30" t="n">
        <v>33492.5</v>
      </c>
      <c r="L403" s="30" t="n">
        <v>36925.41666666666</v>
      </c>
      <c r="M403" s="35" t="n">
        <v>0.4131990114494257</v>
      </c>
      <c r="N403" s="35" t="n">
        <v>0.5097519156584381</v>
      </c>
      <c r="O403" s="35" t="n">
        <v>-0.0394321766561514</v>
      </c>
      <c r="P403" s="35" t="n">
        <v>-0.2192307692307692</v>
      </c>
      <c r="Q403" s="35" t="n">
        <v>-0.4064327485380117</v>
      </c>
      <c r="R403" s="35" t="n">
        <v>-0.09212880143112701</v>
      </c>
      <c r="S403" s="35" t="n">
        <v>-0.09084123311189074</v>
      </c>
      <c r="T403" s="35" t="n">
        <v>-0.1753647555319845</v>
      </c>
      <c r="U403" s="30" t="n">
        <v>57100</v>
      </c>
      <c r="V403" s="30" t="n">
        <v>29200</v>
      </c>
      <c r="W403" s="35" t="n">
        <v>-0.4667250437828371</v>
      </c>
      <c r="X403" s="35" t="n">
        <v>0.04280821917808209</v>
      </c>
      <c r="Y403" s="30" t="n">
        <v>43617167</v>
      </c>
      <c r="Z403" s="30" t="n">
        <v>1328142735150</v>
      </c>
      <c r="AA403" s="30" t="n">
        <v>6897138150</v>
      </c>
      <c r="AB403" s="30" t="n">
        <v>5261362432.5</v>
      </c>
      <c r="AC403" s="35" t="n">
        <v>0.005193069967153071</v>
      </c>
      <c r="AD403" s="24" t="inlineStr">
        <is>
          <t>yfinance_download</t>
        </is>
      </c>
      <c r="AE403" s="24" t="inlineStr">
        <is>
          <t>000990.KS</t>
        </is>
      </c>
    </row>
    <row r="404" ht="24" customHeight="1">
      <c r="A404" s="29" t="inlineStr">
        <is>
          <t>2025-02-04</t>
        </is>
      </c>
      <c r="B404" s="31" t="n">
        <v>30600</v>
      </c>
      <c r="C404" s="31" t="n">
        <v>31600</v>
      </c>
      <c r="D404" s="31" t="n">
        <v>30600</v>
      </c>
      <c r="E404" s="31" t="n">
        <v>31350</v>
      </c>
      <c r="F404" s="31" t="n">
        <v>30213.91796875</v>
      </c>
      <c r="G404" s="31" t="n">
        <v>160735</v>
      </c>
      <c r="H404" s="36" t="n">
        <v>0.02955665024630538</v>
      </c>
      <c r="I404" s="36" t="n">
        <v>-0.6307420494699647</v>
      </c>
      <c r="J404" s="31" t="n">
        <v>33450</v>
      </c>
      <c r="K404" s="31" t="n">
        <v>33394.16666666666</v>
      </c>
      <c r="L404" s="31" t="n">
        <v>36734.16666666666</v>
      </c>
      <c r="M404" s="36" t="n">
        <v>0.3920115478539073</v>
      </c>
      <c r="N404" s="36" t="n">
        <v>0.5068332010770484</v>
      </c>
      <c r="O404" s="36" t="n">
        <v>-0.05429864253393668</v>
      </c>
      <c r="P404" s="36" t="n">
        <v>-0.1583892617449665</v>
      </c>
      <c r="Q404" s="36" t="n">
        <v>-0.4226519337016574</v>
      </c>
      <c r="R404" s="36" t="n">
        <v>-0.06278026905829592</v>
      </c>
      <c r="S404" s="36" t="n">
        <v>-0.06121328575349982</v>
      </c>
      <c r="T404" s="36" t="n">
        <v>-0.1465710850479798</v>
      </c>
      <c r="U404" s="31" t="n">
        <v>57100</v>
      </c>
      <c r="V404" s="31" t="n">
        <v>29200</v>
      </c>
      <c r="W404" s="36" t="n">
        <v>-0.4509632224168126</v>
      </c>
      <c r="X404" s="36" t="n">
        <v>0.07363013698630128</v>
      </c>
      <c r="Y404" s="31" t="n">
        <v>43617167</v>
      </c>
      <c r="Z404" s="31" t="n">
        <v>1367398185450</v>
      </c>
      <c r="AA404" s="31" t="n">
        <v>5039042250</v>
      </c>
      <c r="AB404" s="31" t="n">
        <v>5298333480</v>
      </c>
      <c r="AC404" s="36" t="n">
        <v>0.003685131590504262</v>
      </c>
      <c r="AD404" s="29" t="inlineStr">
        <is>
          <t>yfinance_download</t>
        </is>
      </c>
      <c r="AE404" s="29" t="inlineStr">
        <is>
          <t>000990.KS</t>
        </is>
      </c>
    </row>
    <row r="405" ht="24" customHeight="1">
      <c r="A405" s="24" t="inlineStr">
        <is>
          <t>2025-02-05</t>
        </is>
      </c>
      <c r="B405" s="30" t="n">
        <v>31300</v>
      </c>
      <c r="C405" s="30" t="n">
        <v>32600</v>
      </c>
      <c r="D405" s="30" t="n">
        <v>31300</v>
      </c>
      <c r="E405" s="30" t="n">
        <v>32300</v>
      </c>
      <c r="F405" s="30" t="n">
        <v>31129.4921875</v>
      </c>
      <c r="G405" s="30" t="n">
        <v>146924</v>
      </c>
      <c r="H405" s="35" t="n">
        <v>0.03030303030303028</v>
      </c>
      <c r="I405" s="35" t="n">
        <v>-0.6195524146054181</v>
      </c>
      <c r="J405" s="30" t="n">
        <v>33420</v>
      </c>
      <c r="K405" s="30" t="n">
        <v>33310</v>
      </c>
      <c r="L405" s="30" t="n">
        <v>36549.16666666666</v>
      </c>
      <c r="M405" s="35" t="n">
        <v>0.4082298220420618</v>
      </c>
      <c r="N405" s="35" t="n">
        <v>0.5111518436320279</v>
      </c>
      <c r="O405" s="35" t="n">
        <v>-0.01823708206686925</v>
      </c>
      <c r="P405" s="35" t="n">
        <v>-0.1352074966532798</v>
      </c>
      <c r="Q405" s="35" t="n">
        <v>-0.4073394495412844</v>
      </c>
      <c r="R405" s="35" t="n">
        <v>-0.03351286654697783</v>
      </c>
      <c r="S405" s="35" t="n">
        <v>-0.03032122485740019</v>
      </c>
      <c r="T405" s="35" t="n">
        <v>-0.1162589206320253</v>
      </c>
      <c r="U405" s="30" t="n">
        <v>57100</v>
      </c>
      <c r="V405" s="30" t="n">
        <v>29200</v>
      </c>
      <c r="W405" s="35" t="n">
        <v>-0.4343257443082311</v>
      </c>
      <c r="X405" s="35" t="n">
        <v>0.1061643835616439</v>
      </c>
      <c r="Y405" s="30" t="n">
        <v>43617167</v>
      </c>
      <c r="Z405" s="30" t="n">
        <v>1408834494100</v>
      </c>
      <c r="AA405" s="30" t="n">
        <v>4745645200</v>
      </c>
      <c r="AB405" s="30" t="n">
        <v>5346118320</v>
      </c>
      <c r="AC405" s="35" t="n">
        <v>0.003368490209371003</v>
      </c>
      <c r="AD405" s="24" t="inlineStr">
        <is>
          <t>yfinance_download</t>
        </is>
      </c>
      <c r="AE405" s="24" t="inlineStr">
        <is>
          <t>000990.KS</t>
        </is>
      </c>
    </row>
    <row r="406" ht="24" customHeight="1">
      <c r="A406" s="29" t="inlineStr">
        <is>
          <t>2025-02-06</t>
        </is>
      </c>
      <c r="B406" s="31" t="n">
        <v>32400</v>
      </c>
      <c r="C406" s="31" t="n">
        <v>33400</v>
      </c>
      <c r="D406" s="31" t="n">
        <v>31350</v>
      </c>
      <c r="E406" s="31" t="n">
        <v>33300</v>
      </c>
      <c r="F406" s="31" t="n">
        <v>32093.25390625</v>
      </c>
      <c r="G406" s="31" t="n">
        <v>345614</v>
      </c>
      <c r="H406" s="36" t="n">
        <v>0.03095975232198134</v>
      </c>
      <c r="I406" s="36" t="n">
        <v>-0.607773851590106</v>
      </c>
      <c r="J406" s="31" t="n">
        <v>33432.5</v>
      </c>
      <c r="K406" s="31" t="n">
        <v>33235</v>
      </c>
      <c r="L406" s="31" t="n">
        <v>36420.83333333334</v>
      </c>
      <c r="M406" s="36" t="n">
        <v>0.4231403553552242</v>
      </c>
      <c r="N406" s="36" t="n">
        <v>0.5148138540815842</v>
      </c>
      <c r="O406" s="36" t="n">
        <v>0.007564296520423675</v>
      </c>
      <c r="P406" s="36" t="n">
        <v>-0.1190476190476191</v>
      </c>
      <c r="Q406" s="36" t="n">
        <v>-0.3162217659137577</v>
      </c>
      <c r="R406" s="36" t="n">
        <v>-0.003963209451880667</v>
      </c>
      <c r="S406" s="36" t="n">
        <v>0.00195576952008425</v>
      </c>
      <c r="T406" s="36" t="n">
        <v>-0.08568813636883654</v>
      </c>
      <c r="U406" s="31" t="n">
        <v>57100</v>
      </c>
      <c r="V406" s="31" t="n">
        <v>29200</v>
      </c>
      <c r="W406" s="36" t="n">
        <v>-0.4168126094570929</v>
      </c>
      <c r="X406" s="36" t="n">
        <v>0.1404109589041096</v>
      </c>
      <c r="Y406" s="31" t="n">
        <v>43617167</v>
      </c>
      <c r="Z406" s="31" t="n">
        <v>1452451661100</v>
      </c>
      <c r="AA406" s="31" t="n">
        <v>11508946200</v>
      </c>
      <c r="AB406" s="31" t="n">
        <v>5674125237.5</v>
      </c>
      <c r="AC406" s="36" t="n">
        <v>0.007923806697486794</v>
      </c>
      <c r="AD406" s="29" t="inlineStr">
        <is>
          <t>yfinance_download</t>
        </is>
      </c>
      <c r="AE406" s="29" t="inlineStr">
        <is>
          <t>000990.KS</t>
        </is>
      </c>
    </row>
    <row r="407" ht="24" customHeight="1">
      <c r="A407" s="24" t="inlineStr">
        <is>
          <t>2025-02-07</t>
        </is>
      </c>
      <c r="B407" s="30" t="n">
        <v>33600</v>
      </c>
      <c r="C407" s="30" t="n">
        <v>39400</v>
      </c>
      <c r="D407" s="30" t="n">
        <v>33150</v>
      </c>
      <c r="E407" s="30" t="n">
        <v>38900</v>
      </c>
      <c r="F407" s="30" t="n">
        <v>37490.31640625</v>
      </c>
      <c r="G407" s="30" t="n">
        <v>2119531</v>
      </c>
      <c r="H407" s="35" t="n">
        <v>0.1681681681681682</v>
      </c>
      <c r="I407" s="35" t="n">
        <v>-0.5418138987043581</v>
      </c>
      <c r="J407" s="30" t="n">
        <v>33670</v>
      </c>
      <c r="K407" s="30" t="n">
        <v>33273.33333333334</v>
      </c>
      <c r="L407" s="30" t="n">
        <v>36392.91666666666</v>
      </c>
      <c r="M407" s="35" t="n">
        <v>0.7244366050545995</v>
      </c>
      <c r="N407" s="35" t="n">
        <v>0.6175751790717827</v>
      </c>
      <c r="O407" s="35" t="n">
        <v>0.1390922401171304</v>
      </c>
      <c r="P407" s="35" t="n">
        <v>0.06284153005464477</v>
      </c>
      <c r="Q407" s="35" t="n">
        <v>-0.07928994082840235</v>
      </c>
      <c r="R407" s="35" t="n">
        <v>0.1553311553311554</v>
      </c>
      <c r="S407" s="35" t="n">
        <v>0.1691043878982168</v>
      </c>
      <c r="T407" s="35" t="n">
        <v>0.06888932141098891</v>
      </c>
      <c r="U407" s="30" t="n">
        <v>57100</v>
      </c>
      <c r="V407" s="30" t="n">
        <v>29200</v>
      </c>
      <c r="W407" s="35" t="n">
        <v>-0.318739054290718</v>
      </c>
      <c r="X407" s="35" t="n">
        <v>0.3321917808219179</v>
      </c>
      <c r="Y407" s="30" t="n">
        <v>43617167</v>
      </c>
      <c r="Z407" s="30" t="n">
        <v>1696707796300</v>
      </c>
      <c r="AA407" s="30" t="n">
        <v>82449755900</v>
      </c>
      <c r="AB407" s="30" t="n">
        <v>9474243862.5</v>
      </c>
      <c r="AC407" s="35" t="n">
        <v>0.04859396301460844</v>
      </c>
      <c r="AD407" s="24" t="inlineStr">
        <is>
          <t>yfinance_download</t>
        </is>
      </c>
      <c r="AE407" s="24" t="inlineStr">
        <is>
          <t>000990.KS</t>
        </is>
      </c>
    </row>
    <row r="408" ht="24" customHeight="1">
      <c r="A408" s="29" t="inlineStr">
        <is>
          <t>2025-02-10</t>
        </is>
      </c>
      <c r="B408" s="31" t="n">
        <v>39750</v>
      </c>
      <c r="C408" s="31" t="n">
        <v>43150</v>
      </c>
      <c r="D408" s="31" t="n">
        <v>38950</v>
      </c>
      <c r="E408" s="31" t="n">
        <v>42650</v>
      </c>
      <c r="F408" s="31" t="n">
        <v>41104.421875</v>
      </c>
      <c r="G408" s="31" t="n">
        <v>2093893</v>
      </c>
      <c r="H408" s="36" t="n">
        <v>0.09640102827763486</v>
      </c>
      <c r="I408" s="36" t="n">
        <v>-0.4976442873969376</v>
      </c>
      <c r="J408" s="31" t="n">
        <v>34107.5</v>
      </c>
      <c r="K408" s="31" t="n">
        <v>33374.16666666666</v>
      </c>
      <c r="L408" s="31" t="n">
        <v>36388.33333333334</v>
      </c>
      <c r="M408" s="36" t="n">
        <v>0.7872021317354675</v>
      </c>
      <c r="N408" s="36" t="n">
        <v>0.6473021534592625</v>
      </c>
      <c r="O408" s="36" t="n">
        <v>0.2581120943952802</v>
      </c>
      <c r="P408" s="36" t="n">
        <v>0.1653005464480874</v>
      </c>
      <c r="Q408" s="36" t="n">
        <v>-0.01273148148148151</v>
      </c>
      <c r="R408" s="36" t="n">
        <v>0.2504581103862786</v>
      </c>
      <c r="S408" s="36" t="n">
        <v>0.2779345302005045</v>
      </c>
      <c r="T408" s="36" t="n">
        <v>0.1720789630376036</v>
      </c>
      <c r="U408" s="31" t="n">
        <v>57100</v>
      </c>
      <c r="V408" s="31" t="n">
        <v>29200</v>
      </c>
      <c r="W408" s="36" t="n">
        <v>-0.2530647985989493</v>
      </c>
      <c r="X408" s="36" t="n">
        <v>0.4606164383561644</v>
      </c>
      <c r="Y408" s="31" t="n">
        <v>43617167</v>
      </c>
      <c r="Z408" s="31" t="n">
        <v>1860272172550</v>
      </c>
      <c r="AA408" s="31" t="n">
        <v>89304536450</v>
      </c>
      <c r="AB408" s="31" t="n">
        <v>13585810630</v>
      </c>
      <c r="AC408" s="36" t="n">
        <v>0.04800616692964034</v>
      </c>
      <c r="AD408" s="29" t="inlineStr">
        <is>
          <t>yfinance_download</t>
        </is>
      </c>
      <c r="AE408" s="29" t="inlineStr">
        <is>
          <t>000990.KS</t>
        </is>
      </c>
    </row>
    <row r="409" ht="24" customHeight="1">
      <c r="A409" s="24" t="inlineStr">
        <is>
          <t>2025-02-11</t>
        </is>
      </c>
      <c r="B409" s="30" t="n">
        <v>42650</v>
      </c>
      <c r="C409" s="30" t="n">
        <v>44250</v>
      </c>
      <c r="D409" s="30" t="n">
        <v>41750</v>
      </c>
      <c r="E409" s="30" t="n">
        <v>42800</v>
      </c>
      <c r="F409" s="30" t="n">
        <v>41248.98828125</v>
      </c>
      <c r="G409" s="30" t="n">
        <v>921662</v>
      </c>
      <c r="H409" s="35" t="n">
        <v>0.003516998827667095</v>
      </c>
      <c r="I409" s="35" t="n">
        <v>-0.4958775029446407</v>
      </c>
      <c r="J409" s="30" t="n">
        <v>34527.5</v>
      </c>
      <c r="K409" s="30" t="n">
        <v>33487.5</v>
      </c>
      <c r="L409" s="30" t="n">
        <v>36400.83333333334</v>
      </c>
      <c r="M409" s="35" t="n">
        <v>0.7878140858466146</v>
      </c>
      <c r="N409" s="35" t="n">
        <v>0.6459939259074418</v>
      </c>
      <c r="O409" s="35" t="n">
        <v>0.2441860465116279</v>
      </c>
      <c r="P409" s="35" t="n">
        <v>0.1888888888888889</v>
      </c>
      <c r="Q409" s="35" t="n">
        <v>0.03631961259079897</v>
      </c>
      <c r="R409" s="35" t="n">
        <v>0.2395916298602563</v>
      </c>
      <c r="S409" s="35" t="n">
        <v>0.2780888391190743</v>
      </c>
      <c r="T409" s="35" t="n">
        <v>0.175797257388796</v>
      </c>
      <c r="U409" s="30" t="n">
        <v>57100</v>
      </c>
      <c r="V409" s="30" t="n">
        <v>29200</v>
      </c>
      <c r="W409" s="35" t="n">
        <v>-0.2504378283712785</v>
      </c>
      <c r="X409" s="35" t="n">
        <v>0.4657534246575343</v>
      </c>
      <c r="Y409" s="30" t="n">
        <v>43617167</v>
      </c>
      <c r="Z409" s="30" t="n">
        <v>1866814747600</v>
      </c>
      <c r="AA409" s="30" t="n">
        <v>39447133600</v>
      </c>
      <c r="AB409" s="30" t="n">
        <v>15250823950</v>
      </c>
      <c r="AC409" s="35" t="n">
        <v>0.02113071671986399</v>
      </c>
      <c r="AD409" s="24" t="inlineStr">
        <is>
          <t>yfinance_download</t>
        </is>
      </c>
      <c r="AE409" s="24" t="inlineStr">
        <is>
          <t>000990.KS</t>
        </is>
      </c>
    </row>
    <row r="410" ht="24" customHeight="1">
      <c r="A410" s="29" t="inlineStr">
        <is>
          <t>2025-02-12</t>
        </is>
      </c>
      <c r="B410" s="31" t="n">
        <v>43200</v>
      </c>
      <c r="C410" s="31" t="n">
        <v>43750</v>
      </c>
      <c r="D410" s="31" t="n">
        <v>42350</v>
      </c>
      <c r="E410" s="31" t="n">
        <v>42800</v>
      </c>
      <c r="F410" s="31" t="n">
        <v>41248.98828125</v>
      </c>
      <c r="G410" s="31" t="n">
        <v>638136</v>
      </c>
      <c r="H410" s="36" t="n">
        <v>0</v>
      </c>
      <c r="I410" s="36" t="n">
        <v>-0.4958775029446407</v>
      </c>
      <c r="J410" s="31" t="n">
        <v>34967.5</v>
      </c>
      <c r="K410" s="31" t="n">
        <v>33634.16666666666</v>
      </c>
      <c r="L410" s="31" t="n">
        <v>36417.91666666666</v>
      </c>
      <c r="M410" s="36" t="n">
        <v>0.7842447538663373</v>
      </c>
      <c r="N410" s="36" t="n">
        <v>0.6341620606172995</v>
      </c>
      <c r="O410" s="36" t="n">
        <v>0.2588235294117647</v>
      </c>
      <c r="P410" s="36" t="n">
        <v>0.2588235294117647</v>
      </c>
      <c r="Q410" s="36" t="n">
        <v>0.0503067484662576</v>
      </c>
      <c r="R410" s="36" t="n">
        <v>0.2239937084435548</v>
      </c>
      <c r="S410" s="36" t="n">
        <v>0.2725155471866407</v>
      </c>
      <c r="T410" s="36" t="n">
        <v>0.17524570094848</v>
      </c>
      <c r="U410" s="31" t="n">
        <v>57100</v>
      </c>
      <c r="V410" s="31" t="n">
        <v>29200</v>
      </c>
      <c r="W410" s="36" t="n">
        <v>-0.2504378283712785</v>
      </c>
      <c r="X410" s="36" t="n">
        <v>0.4657534246575343</v>
      </c>
      <c r="Y410" s="31" t="n">
        <v>43617167</v>
      </c>
      <c r="Z410" s="31" t="n">
        <v>1866814747600</v>
      </c>
      <c r="AA410" s="31" t="n">
        <v>27312220800</v>
      </c>
      <c r="AB410" s="31" t="n">
        <v>16377049490</v>
      </c>
      <c r="AC410" s="36" t="n">
        <v>0.01463038624218762</v>
      </c>
      <c r="AD410" s="29" t="inlineStr">
        <is>
          <t>yfinance_download</t>
        </is>
      </c>
      <c r="AE410" s="29" t="inlineStr">
        <is>
          <t>000990.KS</t>
        </is>
      </c>
    </row>
    <row r="411" ht="24" customHeight="1">
      <c r="A411" s="24" t="inlineStr">
        <is>
          <t>2025-02-13</t>
        </is>
      </c>
      <c r="B411" s="30" t="n">
        <v>42600</v>
      </c>
      <c r="C411" s="30" t="n">
        <v>43750</v>
      </c>
      <c r="D411" s="30" t="n">
        <v>41100</v>
      </c>
      <c r="E411" s="30" t="n">
        <v>41400</v>
      </c>
      <c r="F411" s="30" t="n">
        <v>39899.71875</v>
      </c>
      <c r="G411" s="30" t="n">
        <v>571637</v>
      </c>
      <c r="H411" s="35" t="n">
        <v>-0.03271028037383172</v>
      </c>
      <c r="I411" s="35" t="n">
        <v>-0.5123674911660777</v>
      </c>
      <c r="J411" s="30" t="n">
        <v>35300</v>
      </c>
      <c r="K411" s="30" t="n">
        <v>33781.66666666666</v>
      </c>
      <c r="L411" s="30" t="n">
        <v>36413.33333333334</v>
      </c>
      <c r="M411" s="35" t="n">
        <v>0.7994955725483084</v>
      </c>
      <c r="N411" s="35" t="n">
        <v>0.6313205294656422</v>
      </c>
      <c r="O411" s="35" t="n">
        <v>0.1913669064748202</v>
      </c>
      <c r="P411" s="35" t="n">
        <v>0.271889400921659</v>
      </c>
      <c r="Q411" s="35" t="n">
        <v>-0.01311084624553038</v>
      </c>
      <c r="R411" s="35" t="n">
        <v>0.1728045325779037</v>
      </c>
      <c r="S411" s="35" t="n">
        <v>0.2255167990527407</v>
      </c>
      <c r="T411" s="35" t="n">
        <v>0.1369461735627975</v>
      </c>
      <c r="U411" s="30" t="n">
        <v>57100</v>
      </c>
      <c r="V411" s="30" t="n">
        <v>29200</v>
      </c>
      <c r="W411" s="35" t="n">
        <v>-0.2749562171628721</v>
      </c>
      <c r="X411" s="35" t="n">
        <v>0.4178082191780821</v>
      </c>
      <c r="Y411" s="30" t="n">
        <v>43617167</v>
      </c>
      <c r="Z411" s="30" t="n">
        <v>1805750713800</v>
      </c>
      <c r="AA411" s="30" t="n">
        <v>23665771800</v>
      </c>
      <c r="AB411" s="30" t="n">
        <v>17248517642.5</v>
      </c>
      <c r="AC411" s="35" t="n">
        <v>0.01310578011634731</v>
      </c>
      <c r="AD411" s="24" t="inlineStr">
        <is>
          <t>yfinance_download</t>
        </is>
      </c>
      <c r="AE411" s="24" t="inlineStr">
        <is>
          <t>000990.KS</t>
        </is>
      </c>
    </row>
    <row r="412" ht="24" customHeight="1">
      <c r="A412" s="29" t="inlineStr">
        <is>
          <t>2025-02-14</t>
        </is>
      </c>
      <c r="B412" s="31" t="n">
        <v>41500</v>
      </c>
      <c r="C412" s="31" t="n">
        <v>43450</v>
      </c>
      <c r="D412" s="31" t="n">
        <v>41500</v>
      </c>
      <c r="E412" s="31" t="n">
        <v>42500</v>
      </c>
      <c r="F412" s="31" t="n">
        <v>40959.85546875</v>
      </c>
      <c r="G412" s="31" t="n">
        <v>483839</v>
      </c>
      <c r="H412" s="36" t="n">
        <v>0.02657004830917864</v>
      </c>
      <c r="I412" s="36" t="n">
        <v>-0.4994110718492344</v>
      </c>
      <c r="J412" s="31" t="n">
        <v>35745</v>
      </c>
      <c r="K412" s="31" t="n">
        <v>33963.33333333334</v>
      </c>
      <c r="L412" s="31" t="n">
        <v>36402.5</v>
      </c>
      <c r="M412" s="36" t="n">
        <v>0.784827551551731</v>
      </c>
      <c r="N412" s="36" t="n">
        <v>0.6288489051371393</v>
      </c>
      <c r="O412" s="36" t="n">
        <v>0.2648809523809523</v>
      </c>
      <c r="P412" s="36" t="n">
        <v>0.3449367088607596</v>
      </c>
      <c r="Q412" s="36" t="n">
        <v>-0.02968036529680362</v>
      </c>
      <c r="R412" s="36" t="n">
        <v>0.1889774793677437</v>
      </c>
      <c r="S412" s="36" t="n">
        <v>0.2513494945529491</v>
      </c>
      <c r="T412" s="36" t="n">
        <v>0.1675022319895612</v>
      </c>
      <c r="U412" s="31" t="n">
        <v>57100</v>
      </c>
      <c r="V412" s="31" t="n">
        <v>29200</v>
      </c>
      <c r="W412" s="36" t="n">
        <v>-0.2556917688266199</v>
      </c>
      <c r="X412" s="36" t="n">
        <v>0.4554794520547945</v>
      </c>
      <c r="Y412" s="31" t="n">
        <v>43617167</v>
      </c>
      <c r="Z412" s="31" t="n">
        <v>1853729597500</v>
      </c>
      <c r="AA412" s="31" t="n">
        <v>20563157500</v>
      </c>
      <c r="AB412" s="31" t="n">
        <v>18033510637.5</v>
      </c>
      <c r="AC412" s="36" t="n">
        <v>0.0110928570853765</v>
      </c>
      <c r="AD412" s="29" t="inlineStr">
        <is>
          <t>yfinance_download</t>
        </is>
      </c>
      <c r="AE412" s="29" t="inlineStr">
        <is>
          <t>000990.KS</t>
        </is>
      </c>
    </row>
    <row r="413" ht="24" customHeight="1">
      <c r="A413" s="24" t="inlineStr">
        <is>
          <t>2025-02-17</t>
        </is>
      </c>
      <c r="B413" s="30" t="n">
        <v>43450</v>
      </c>
      <c r="C413" s="30" t="n">
        <v>44900</v>
      </c>
      <c r="D413" s="30" t="n">
        <v>42550</v>
      </c>
      <c r="E413" s="30" t="n">
        <v>44300</v>
      </c>
      <c r="F413" s="30" t="n">
        <v>42694.62890625</v>
      </c>
      <c r="G413" s="30" t="n">
        <v>729228</v>
      </c>
      <c r="H413" s="35" t="n">
        <v>0.04235294117647048</v>
      </c>
      <c r="I413" s="35" t="n">
        <v>-0.4782096584216725</v>
      </c>
      <c r="J413" s="30" t="n">
        <v>36310</v>
      </c>
      <c r="K413" s="30" t="n">
        <v>34162.5</v>
      </c>
      <c r="L413" s="30" t="n">
        <v>36412.08333333334</v>
      </c>
      <c r="M413" s="35" t="n">
        <v>0.7826157226647773</v>
      </c>
      <c r="N413" s="35" t="n">
        <v>0.6322782814195024</v>
      </c>
      <c r="O413" s="35" t="n">
        <v>0.3424242424242425</v>
      </c>
      <c r="P413" s="35" t="n">
        <v>0.3693972179289027</v>
      </c>
      <c r="Q413" s="35" t="n">
        <v>0.02665121668597914</v>
      </c>
      <c r="R413" s="35" t="n">
        <v>0.2200495731203524</v>
      </c>
      <c r="S413" s="35" t="n">
        <v>0.296743505305525</v>
      </c>
      <c r="T413" s="35" t="n">
        <v>0.2166290951950474</v>
      </c>
      <c r="U413" s="30" t="n">
        <v>57100</v>
      </c>
      <c r="V413" s="30" t="n">
        <v>29200</v>
      </c>
      <c r="W413" s="35" t="n">
        <v>-0.2241681260945709</v>
      </c>
      <c r="X413" s="35" t="n">
        <v>0.5171232876712328</v>
      </c>
      <c r="Y413" s="30" t="n">
        <v>43617167</v>
      </c>
      <c r="Z413" s="30" t="n">
        <v>1932240498100</v>
      </c>
      <c r="AA413" s="30" t="n">
        <v>32304800400</v>
      </c>
      <c r="AB413" s="30" t="n">
        <v>19446478807.5</v>
      </c>
      <c r="AC413" s="35" t="n">
        <v>0.01671882999645529</v>
      </c>
      <c r="AD413" s="24" t="inlineStr">
        <is>
          <t>yfinance_download</t>
        </is>
      </c>
      <c r="AE413" s="24" t="inlineStr">
        <is>
          <t>000990.KS</t>
        </is>
      </c>
    </row>
    <row r="414" ht="24" customHeight="1">
      <c r="A414" s="29" t="inlineStr">
        <is>
          <t>2025-02-18</t>
        </is>
      </c>
      <c r="B414" s="31" t="n">
        <v>44750</v>
      </c>
      <c r="C414" s="31" t="n">
        <v>45950</v>
      </c>
      <c r="D414" s="31" t="n">
        <v>43800</v>
      </c>
      <c r="E414" s="31" t="n">
        <v>45450</v>
      </c>
      <c r="F414" s="31" t="n">
        <v>43802.953125</v>
      </c>
      <c r="G414" s="31" t="n">
        <v>544830</v>
      </c>
      <c r="H414" s="36" t="n">
        <v>0.02595936794582387</v>
      </c>
      <c r="I414" s="36" t="n">
        <v>-0.4646643109540636</v>
      </c>
      <c r="J414" s="31" t="n">
        <v>36895</v>
      </c>
      <c r="K414" s="31" t="n">
        <v>34389.16666666666</v>
      </c>
      <c r="L414" s="31" t="n">
        <v>36436.25</v>
      </c>
      <c r="M414" s="36" t="n">
        <v>0.783072340780782</v>
      </c>
      <c r="N414" s="36" t="n">
        <v>0.6319704831804376</v>
      </c>
      <c r="O414" s="36" t="n">
        <v>0.3466666666666667</v>
      </c>
      <c r="P414" s="36" t="n">
        <v>0.4270015698587126</v>
      </c>
      <c r="Q414" s="36" t="n">
        <v>0.06815511163337251</v>
      </c>
      <c r="R414" s="36" t="n">
        <v>0.2318742377015857</v>
      </c>
      <c r="S414" s="36" t="n">
        <v>0.3216371434802627</v>
      </c>
      <c r="T414" s="36" t="n">
        <v>0.2473841298157742</v>
      </c>
      <c r="U414" s="31" t="n">
        <v>57100</v>
      </c>
      <c r="V414" s="31" t="n">
        <v>29200</v>
      </c>
      <c r="W414" s="36" t="n">
        <v>-0.2040280210157618</v>
      </c>
      <c r="X414" s="36" t="n">
        <v>0.5565068493150684</v>
      </c>
      <c r="Y414" s="31" t="n">
        <v>43617167</v>
      </c>
      <c r="Z414" s="31" t="n">
        <v>1982400240150</v>
      </c>
      <c r="AA414" s="31" t="n">
        <v>24762523500</v>
      </c>
      <c r="AB414" s="31" t="n">
        <v>20426766795</v>
      </c>
      <c r="AC414" s="36" t="n">
        <v>0.01249118265750731</v>
      </c>
      <c r="AD414" s="29" t="inlineStr">
        <is>
          <t>yfinance_download</t>
        </is>
      </c>
      <c r="AE414" s="29" t="inlineStr">
        <is>
          <t>000990.KS</t>
        </is>
      </c>
    </row>
    <row r="415" ht="24" customHeight="1">
      <c r="A415" s="24" t="inlineStr">
        <is>
          <t>2025-02-19</t>
        </is>
      </c>
      <c r="B415" s="30" t="n">
        <v>45650</v>
      </c>
      <c r="C415" s="30" t="n">
        <v>46400</v>
      </c>
      <c r="D415" s="30" t="n">
        <v>44100</v>
      </c>
      <c r="E415" s="30" t="n">
        <v>44400</v>
      </c>
      <c r="F415" s="30" t="n">
        <v>42791.00390625</v>
      </c>
      <c r="G415" s="30" t="n">
        <v>488034</v>
      </c>
      <c r="H415" s="35" t="n">
        <v>-0.02310231023102305</v>
      </c>
      <c r="I415" s="35" t="n">
        <v>-0.4770318021201413</v>
      </c>
      <c r="J415" s="30" t="n">
        <v>37440</v>
      </c>
      <c r="K415" s="30" t="n">
        <v>34596.66666666666</v>
      </c>
      <c r="L415" s="30" t="n">
        <v>36442.91666666666</v>
      </c>
      <c r="M415" s="35" t="n">
        <v>0.7912564557519038</v>
      </c>
      <c r="N415" s="35" t="n">
        <v>0.6348829607755395</v>
      </c>
      <c r="O415" s="35" t="n">
        <v>0.3253731343283581</v>
      </c>
      <c r="P415" s="35" t="n">
        <v>0.3896713615023475</v>
      </c>
      <c r="Q415" s="35" t="n">
        <v>0.0183486238532109</v>
      </c>
      <c r="R415" s="35" t="n">
        <v>0.1858974358974359</v>
      </c>
      <c r="S415" s="35" t="n">
        <v>0.2833606320454765</v>
      </c>
      <c r="T415" s="35" t="n">
        <v>0.2183437567885849</v>
      </c>
      <c r="U415" s="30" t="n">
        <v>57100</v>
      </c>
      <c r="V415" s="30" t="n">
        <v>29200</v>
      </c>
      <c r="W415" s="35" t="n">
        <v>-0.2224168126094571</v>
      </c>
      <c r="X415" s="35" t="n">
        <v>0.5205479452054795</v>
      </c>
      <c r="Y415" s="30" t="n">
        <v>43617167</v>
      </c>
      <c r="Z415" s="30" t="n">
        <v>1936602214800</v>
      </c>
      <c r="AA415" s="30" t="n">
        <v>21668709600</v>
      </c>
      <c r="AB415" s="30" t="n">
        <v>21288767275</v>
      </c>
      <c r="AC415" s="35" t="n">
        <v>0.01118903481282955</v>
      </c>
      <c r="AD415" s="24" t="inlineStr">
        <is>
          <t>yfinance_download</t>
        </is>
      </c>
      <c r="AE415" s="24" t="inlineStr">
        <is>
          <t>000990.KS</t>
        </is>
      </c>
    </row>
    <row r="416" ht="24" customHeight="1">
      <c r="A416" s="29" t="inlineStr">
        <is>
          <t>2025-02-20</t>
        </is>
      </c>
      <c r="B416" s="31" t="n">
        <v>45250</v>
      </c>
      <c r="C416" s="31" t="n">
        <v>47000</v>
      </c>
      <c r="D416" s="31" t="n">
        <v>44700</v>
      </c>
      <c r="E416" s="31" t="n">
        <v>45700</v>
      </c>
      <c r="F416" s="31" t="n">
        <v>44043.89453125</v>
      </c>
      <c r="G416" s="31" t="n">
        <v>723598</v>
      </c>
      <c r="H416" s="36" t="n">
        <v>0.02927927927927931</v>
      </c>
      <c r="I416" s="36" t="n">
        <v>-0.4617196702002355</v>
      </c>
      <c r="J416" s="31" t="n">
        <v>38042.5</v>
      </c>
      <c r="K416" s="31" t="n">
        <v>34791.66666666666</v>
      </c>
      <c r="L416" s="31" t="n">
        <v>36468.33333333334</v>
      </c>
      <c r="M416" s="36" t="n">
        <v>0.7916545020533199</v>
      </c>
      <c r="N416" s="36" t="n">
        <v>0.6252460982219854</v>
      </c>
      <c r="O416" s="36" t="n">
        <v>0.3580980683506687</v>
      </c>
      <c r="P416" s="36" t="n">
        <v>0.3441176470588236</v>
      </c>
      <c r="Q416" s="36" t="n">
        <v>0.07151230949589693</v>
      </c>
      <c r="R416" s="36" t="n">
        <v>0.2012880331208518</v>
      </c>
      <c r="S416" s="36" t="n">
        <v>0.3135329341317366</v>
      </c>
      <c r="T416" s="36" t="n">
        <v>0.2531419953384213</v>
      </c>
      <c r="U416" s="31" t="n">
        <v>57100</v>
      </c>
      <c r="V416" s="31" t="n">
        <v>29200</v>
      </c>
      <c r="W416" s="36" t="n">
        <v>-0.1996497373029772</v>
      </c>
      <c r="X416" s="36" t="n">
        <v>0.5650684931506849</v>
      </c>
      <c r="Y416" s="31" t="n">
        <v>43617167</v>
      </c>
      <c r="Z416" s="31" t="n">
        <v>1993304531900</v>
      </c>
      <c r="AA416" s="31" t="n">
        <v>33068428600</v>
      </c>
      <c r="AB416" s="31" t="n">
        <v>22802401557.5</v>
      </c>
      <c r="AC416" s="36" t="n">
        <v>0.01658975237891998</v>
      </c>
      <c r="AD416" s="29" t="inlineStr">
        <is>
          <t>yfinance_download</t>
        </is>
      </c>
      <c r="AE416" s="29" t="inlineStr">
        <is>
          <t>000990.KS</t>
        </is>
      </c>
    </row>
    <row r="417" ht="24" customHeight="1">
      <c r="A417" s="24" t="inlineStr">
        <is>
          <t>2025-02-21</t>
        </is>
      </c>
      <c r="B417" s="30" t="n">
        <v>45750</v>
      </c>
      <c r="C417" s="30" t="n">
        <v>46950</v>
      </c>
      <c r="D417" s="30" t="n">
        <v>44700</v>
      </c>
      <c r="E417" s="30" t="n">
        <v>46450</v>
      </c>
      <c r="F417" s="30" t="n">
        <v>44766.71484375</v>
      </c>
      <c r="G417" s="30" t="n">
        <v>511491</v>
      </c>
      <c r="H417" s="35" t="n">
        <v>0.01641137855579866</v>
      </c>
      <c r="I417" s="35" t="n">
        <v>-0.4528857479387515</v>
      </c>
      <c r="J417" s="30" t="n">
        <v>38660</v>
      </c>
      <c r="K417" s="30" t="n">
        <v>35005</v>
      </c>
      <c r="L417" s="30" t="n">
        <v>36502.08333333334</v>
      </c>
      <c r="M417" s="35" t="n">
        <v>0.7915667079785994</v>
      </c>
      <c r="N417" s="35" t="n">
        <v>0.6247274314452089</v>
      </c>
      <c r="O417" s="35" t="n">
        <v>0.3621700879765395</v>
      </c>
      <c r="P417" s="35" t="n">
        <v>0.3803863298662704</v>
      </c>
      <c r="Q417" s="35" t="n">
        <v>0.09551886792452824</v>
      </c>
      <c r="R417" s="35" t="n">
        <v>0.2015002586652872</v>
      </c>
      <c r="S417" s="35" t="n">
        <v>0.3269532923868019</v>
      </c>
      <c r="T417" s="35" t="n">
        <v>0.272530106729068</v>
      </c>
      <c r="U417" s="30" t="n">
        <v>57100</v>
      </c>
      <c r="V417" s="30" t="n">
        <v>29200</v>
      </c>
      <c r="W417" s="35" t="n">
        <v>-0.1865148861646234</v>
      </c>
      <c r="X417" s="35" t="n">
        <v>0.5907534246575343</v>
      </c>
      <c r="Y417" s="30" t="n">
        <v>43617167</v>
      </c>
      <c r="Z417" s="30" t="n">
        <v>2026017407150</v>
      </c>
      <c r="AA417" s="30" t="n">
        <v>23758756950</v>
      </c>
      <c r="AB417" s="30" t="n">
        <v>23777717380</v>
      </c>
      <c r="AC417" s="35" t="n">
        <v>0.01172682765022313</v>
      </c>
      <c r="AD417" s="24" t="inlineStr">
        <is>
          <t>yfinance_download</t>
        </is>
      </c>
      <c r="AE417" s="24" t="inlineStr">
        <is>
          <t>000990.KS</t>
        </is>
      </c>
    </row>
    <row r="418" ht="24" customHeight="1">
      <c r="A418" s="29" t="inlineStr">
        <is>
          <t>2025-02-24</t>
        </is>
      </c>
      <c r="B418" s="31" t="n">
        <v>45700</v>
      </c>
      <c r="C418" s="31" t="n">
        <v>46000</v>
      </c>
      <c r="D418" s="31" t="n">
        <v>44300</v>
      </c>
      <c r="E418" s="31" t="n">
        <v>45850</v>
      </c>
      <c r="F418" s="31" t="n">
        <v>44188.4609375</v>
      </c>
      <c r="G418" s="31" t="n">
        <v>333653</v>
      </c>
      <c r="H418" s="36" t="n">
        <v>-0.01291711517761029</v>
      </c>
      <c r="I418" s="36" t="n">
        <v>-0.4599528857479388</v>
      </c>
      <c r="J418" s="31" t="n">
        <v>39245</v>
      </c>
      <c r="K418" s="31" t="n">
        <v>35209.16666666666</v>
      </c>
      <c r="L418" s="31" t="n">
        <v>36530</v>
      </c>
      <c r="M418" s="36" t="n">
        <v>0.796865127526043</v>
      </c>
      <c r="N418" s="36" t="n">
        <v>0.6257605012701853</v>
      </c>
      <c r="O418" s="36" t="n">
        <v>0.3426061493411421</v>
      </c>
      <c r="P418" s="36" t="n">
        <v>0.3645833333333333</v>
      </c>
      <c r="Q418" s="36" t="n">
        <v>0.07882352941176474</v>
      </c>
      <c r="R418" s="36" t="n">
        <v>0.1683016944833737</v>
      </c>
      <c r="S418" s="36" t="n">
        <v>0.3022176989893732</v>
      </c>
      <c r="T418" s="36" t="n">
        <v>0.2551327675882835</v>
      </c>
      <c r="U418" s="31" t="n">
        <v>57100</v>
      </c>
      <c r="V418" s="31" t="n">
        <v>29200</v>
      </c>
      <c r="W418" s="36" t="n">
        <v>-0.1970227670753065</v>
      </c>
      <c r="X418" s="36" t="n">
        <v>0.5702054794520548</v>
      </c>
      <c r="Y418" s="31" t="n">
        <v>43617167</v>
      </c>
      <c r="Z418" s="31" t="n">
        <v>1999847106950</v>
      </c>
      <c r="AA418" s="31" t="n">
        <v>15297990050</v>
      </c>
      <c r="AB418" s="31" t="n">
        <v>24307837340</v>
      </c>
      <c r="AC418" s="36" t="n">
        <v>0.007649579808794093</v>
      </c>
      <c r="AD418" s="29" t="inlineStr">
        <is>
          <t>yfinance_download</t>
        </is>
      </c>
      <c r="AE418" s="29" t="inlineStr">
        <is>
          <t>000990.KS</t>
        </is>
      </c>
    </row>
    <row r="419" ht="24" customHeight="1">
      <c r="A419" s="24" t="inlineStr">
        <is>
          <t>2025-02-25</t>
        </is>
      </c>
      <c r="B419" s="30" t="n">
        <v>45000</v>
      </c>
      <c r="C419" s="30" t="n">
        <v>47450</v>
      </c>
      <c r="D419" s="30" t="n">
        <v>45000</v>
      </c>
      <c r="E419" s="30" t="n">
        <v>46600</v>
      </c>
      <c r="F419" s="30" t="n">
        <v>44911.28125</v>
      </c>
      <c r="G419" s="30" t="n">
        <v>374860</v>
      </c>
      <c r="H419" s="35" t="n">
        <v>0.01635768811341332</v>
      </c>
      <c r="I419" s="35" t="n">
        <v>-0.4511189634864546</v>
      </c>
      <c r="J419" s="30" t="n">
        <v>39852.5</v>
      </c>
      <c r="K419" s="30" t="n">
        <v>35433.33333333334</v>
      </c>
      <c r="L419" s="30" t="n">
        <v>36569.58333333334</v>
      </c>
      <c r="M419" s="35" t="n">
        <v>0.796412292923772</v>
      </c>
      <c r="N419" s="35" t="n">
        <v>0.6248057588607918</v>
      </c>
      <c r="O419" s="35" t="n">
        <v>0.3526850507982584</v>
      </c>
      <c r="P419" s="35" t="n">
        <v>0.4057315233785821</v>
      </c>
      <c r="Q419" s="35" t="n">
        <v>0.113500597371565</v>
      </c>
      <c r="R419" s="35" t="n">
        <v>0.1693118374004141</v>
      </c>
      <c r="S419" s="35" t="n">
        <v>0.315145813734713</v>
      </c>
      <c r="T419" s="35" t="n">
        <v>0.2742830448801941</v>
      </c>
      <c r="U419" s="30" t="n">
        <v>57100</v>
      </c>
      <c r="V419" s="30" t="n">
        <v>29200</v>
      </c>
      <c r="W419" s="35" t="n">
        <v>-0.1838879159369528</v>
      </c>
      <c r="X419" s="35" t="n">
        <v>0.595890410958904</v>
      </c>
      <c r="Y419" s="30" t="n">
        <v>43617167</v>
      </c>
      <c r="Z419" s="30" t="n">
        <v>2032559982200</v>
      </c>
      <c r="AA419" s="30" t="n">
        <v>17468476000</v>
      </c>
      <c r="AB419" s="30" t="n">
        <v>24908847765</v>
      </c>
      <c r="AC419" s="35" t="n">
        <v>0.00859432250609032</v>
      </c>
      <c r="AD419" s="24" t="inlineStr">
        <is>
          <t>yfinance_download</t>
        </is>
      </c>
      <c r="AE419" s="24" t="inlineStr">
        <is>
          <t>000990.KS</t>
        </is>
      </c>
    </row>
    <row r="420" ht="24" customHeight="1">
      <c r="A420" s="29" t="inlineStr">
        <is>
          <t>2025-02-26</t>
        </is>
      </c>
      <c r="B420" s="31" t="n">
        <v>46600</v>
      </c>
      <c r="C420" s="31" t="n">
        <v>49000</v>
      </c>
      <c r="D420" s="31" t="n">
        <v>45650</v>
      </c>
      <c r="E420" s="31" t="n">
        <v>48750</v>
      </c>
      <c r="F420" s="31" t="n">
        <v>46983.3671875</v>
      </c>
      <c r="G420" s="31" t="n">
        <v>531675</v>
      </c>
      <c r="H420" s="36" t="n">
        <v>0.04613733905579398</v>
      </c>
      <c r="I420" s="36" t="n">
        <v>-0.4257950530035336</v>
      </c>
      <c r="J420" s="31" t="n">
        <v>40612.5</v>
      </c>
      <c r="K420" s="31" t="n">
        <v>35685.83333333334</v>
      </c>
      <c r="L420" s="31" t="n">
        <v>36633.33333333334</v>
      </c>
      <c r="M420" s="36" t="n">
        <v>0.7865401984200115</v>
      </c>
      <c r="N420" s="36" t="n">
        <v>0.6299392305759088</v>
      </c>
      <c r="O420" s="36" t="n">
        <v>0.4530551415797317</v>
      </c>
      <c r="P420" s="36" t="n">
        <v>0.4508928571428572</v>
      </c>
      <c r="Q420" s="36" t="n">
        <v>0.1861313868613139</v>
      </c>
      <c r="R420" s="36" t="n">
        <v>0.2003693444136658</v>
      </c>
      <c r="S420" s="36" t="n">
        <v>0.3660883170258973</v>
      </c>
      <c r="T420" s="36" t="n">
        <v>0.3307552320291174</v>
      </c>
      <c r="U420" s="31" t="n">
        <v>57100</v>
      </c>
      <c r="V420" s="31" t="n">
        <v>29200</v>
      </c>
      <c r="W420" s="36" t="n">
        <v>-0.1462346760070052</v>
      </c>
      <c r="X420" s="36" t="n">
        <v>0.6695205479452055</v>
      </c>
      <c r="Y420" s="31" t="n">
        <v>43617167</v>
      </c>
      <c r="Z420" s="31" t="n">
        <v>2126336891250</v>
      </c>
      <c r="AA420" s="31" t="n">
        <v>25919156250</v>
      </c>
      <c r="AB420" s="31" t="n">
        <v>25905972372.5</v>
      </c>
      <c r="AC420" s="36" t="n">
        <v>0.01218958122612594</v>
      </c>
      <c r="AD420" s="29" t="inlineStr">
        <is>
          <t>yfinance_download</t>
        </is>
      </c>
      <c r="AE420" s="29" t="inlineStr">
        <is>
          <t>000990.KS</t>
        </is>
      </c>
    </row>
    <row r="421" ht="24" customHeight="1">
      <c r="A421" s="24" t="inlineStr">
        <is>
          <t>2025-02-27</t>
        </is>
      </c>
      <c r="B421" s="30" t="n">
        <v>48900</v>
      </c>
      <c r="C421" s="30" t="n">
        <v>49300</v>
      </c>
      <c r="D421" s="30" t="n">
        <v>47850</v>
      </c>
      <c r="E421" s="30" t="n">
        <v>48150</v>
      </c>
      <c r="F421" s="30" t="n">
        <v>46405.10546875</v>
      </c>
      <c r="G421" s="30" t="n">
        <v>288935</v>
      </c>
      <c r="H421" s="35" t="n">
        <v>-0.01230769230769235</v>
      </c>
      <c r="I421" s="35" t="n">
        <v>-0.4328621908127208</v>
      </c>
      <c r="J421" s="30" t="n">
        <v>41322.5</v>
      </c>
      <c r="K421" s="30" t="n">
        <v>35926.66666666666</v>
      </c>
      <c r="L421" s="30" t="n">
        <v>36698.33333333334</v>
      </c>
      <c r="M421" s="35" t="n">
        <v>0.7944887504729942</v>
      </c>
      <c r="N421" s="35" t="n">
        <v>0.6311308280696998</v>
      </c>
      <c r="O421" s="35" t="n">
        <v>0.4182621502209132</v>
      </c>
      <c r="P421" s="35" t="n">
        <v>0.4287833827893175</v>
      </c>
      <c r="Q421" s="35" t="n">
        <v>0.1933085501858736</v>
      </c>
      <c r="R421" s="35" t="n">
        <v>0.1652247564885958</v>
      </c>
      <c r="S421" s="35" t="n">
        <v>0.3402300983484878</v>
      </c>
      <c r="T421" s="35" t="n">
        <v>0.3120486852263953</v>
      </c>
      <c r="U421" s="30" t="n">
        <v>57100</v>
      </c>
      <c r="V421" s="30" t="n">
        <v>29200</v>
      </c>
      <c r="W421" s="35" t="n">
        <v>-0.1567425569176882</v>
      </c>
      <c r="X421" s="35" t="n">
        <v>0.648972602739726</v>
      </c>
      <c r="Y421" s="30" t="n">
        <v>43617167</v>
      </c>
      <c r="Z421" s="30" t="n">
        <v>2100166591050</v>
      </c>
      <c r="AA421" s="30" t="n">
        <v>13912220250</v>
      </c>
      <c r="AB421" s="30" t="n">
        <v>26336888815</v>
      </c>
      <c r="AC421" s="35" t="n">
        <v>0.00662434128287149</v>
      </c>
      <c r="AD421" s="24" t="inlineStr">
        <is>
          <t>yfinance_download</t>
        </is>
      </c>
      <c r="AE421" s="24" t="inlineStr">
        <is>
          <t>000990.KS</t>
        </is>
      </c>
    </row>
    <row r="422" ht="24" customHeight="1">
      <c r="A422" s="29" t="inlineStr">
        <is>
          <t>2025-02-28</t>
        </is>
      </c>
      <c r="B422" s="31" t="n">
        <v>46800</v>
      </c>
      <c r="C422" s="31" t="n">
        <v>46950</v>
      </c>
      <c r="D422" s="31" t="n">
        <v>43200</v>
      </c>
      <c r="E422" s="31" t="n">
        <v>43200</v>
      </c>
      <c r="F422" s="31" t="n">
        <v>41634.48828125</v>
      </c>
      <c r="G422" s="31" t="n">
        <v>690559</v>
      </c>
      <c r="H422" s="36" t="n">
        <v>-0.102803738317757</v>
      </c>
      <c r="I422" s="36" t="n">
        <v>-0.4911660777385159</v>
      </c>
      <c r="J422" s="31" t="n">
        <v>41865</v>
      </c>
      <c r="K422" s="31" t="n">
        <v>36105</v>
      </c>
      <c r="L422" s="31" t="n">
        <v>36721.25</v>
      </c>
      <c r="M422" s="36" t="n">
        <v>0.8761098388885893</v>
      </c>
      <c r="N422" s="36" t="n">
        <v>0.6645184734668667</v>
      </c>
      <c r="O422" s="36" t="n">
        <v>0.3353941267387945</v>
      </c>
      <c r="P422" s="36" t="n">
        <v>0.3292307692307692</v>
      </c>
      <c r="Q422" s="36" t="n">
        <v>0.0679851668726823</v>
      </c>
      <c r="R422" s="36" t="n">
        <v>0.03188821211035475</v>
      </c>
      <c r="S422" s="36" t="n">
        <v>0.1965101786456169</v>
      </c>
      <c r="T422" s="36" t="n">
        <v>0.176430540899343</v>
      </c>
      <c r="U422" s="31" t="n">
        <v>57100</v>
      </c>
      <c r="V422" s="31" t="n">
        <v>29200</v>
      </c>
      <c r="W422" s="36" t="n">
        <v>-0.2434325744308231</v>
      </c>
      <c r="X422" s="36" t="n">
        <v>0.4794520547945205</v>
      </c>
      <c r="Y422" s="31" t="n">
        <v>43617167</v>
      </c>
      <c r="Z422" s="31" t="n">
        <v>1884261614400</v>
      </c>
      <c r="AA422" s="31" t="n">
        <v>29832148800</v>
      </c>
      <c r="AB422" s="31" t="n">
        <v>27446327912.5</v>
      </c>
      <c r="AC422" s="36" t="n">
        <v>0.01583227539743698</v>
      </c>
      <c r="AD422" s="29" t="inlineStr">
        <is>
          <t>yfinance_download</t>
        </is>
      </c>
      <c r="AE422" s="29" t="inlineStr">
        <is>
          <t>000990.KS</t>
        </is>
      </c>
    </row>
    <row r="423" ht="24" customHeight="1">
      <c r="A423" s="24" t="inlineStr">
        <is>
          <t>2025-03-04</t>
        </is>
      </c>
      <c r="B423" s="30" t="n">
        <v>42500</v>
      </c>
      <c r="C423" s="30" t="n">
        <v>45500</v>
      </c>
      <c r="D423" s="30" t="n">
        <v>42400</v>
      </c>
      <c r="E423" s="30" t="n">
        <v>44750</v>
      </c>
      <c r="F423" s="30" t="n">
        <v>43128.3203125</v>
      </c>
      <c r="G423" s="30" t="n">
        <v>458060</v>
      </c>
      <c r="H423" s="35" t="n">
        <v>0.03587962962962954</v>
      </c>
      <c r="I423" s="35" t="n">
        <v>-0.4729093050647821</v>
      </c>
      <c r="J423" s="30" t="n">
        <v>42580</v>
      </c>
      <c r="K423" s="30" t="n">
        <v>36312.5</v>
      </c>
      <c r="L423" s="30" t="n">
        <v>36747.08333333334</v>
      </c>
      <c r="M423" s="35" t="n">
        <v>0.8323910465443314</v>
      </c>
      <c r="N423" s="35" t="n">
        <v>0.6669229975000448</v>
      </c>
      <c r="O423" s="35" t="n">
        <v>0.4696223316912973</v>
      </c>
      <c r="P423" s="35" t="n">
        <v>0.3854489164086687</v>
      </c>
      <c r="Q423" s="35" t="n">
        <v>0.07442977190876343</v>
      </c>
      <c r="R423" s="35" t="n">
        <v>0.05096289337717241</v>
      </c>
      <c r="S423" s="35" t="n">
        <v>0.2323580034423407</v>
      </c>
      <c r="T423" s="35" t="n">
        <v>0.217783724331863</v>
      </c>
      <c r="U423" s="30" t="n">
        <v>57100</v>
      </c>
      <c r="V423" s="30" t="n">
        <v>29200</v>
      </c>
      <c r="W423" s="35" t="n">
        <v>-0.2162872154115587</v>
      </c>
      <c r="X423" s="35" t="n">
        <v>0.5325342465753424</v>
      </c>
      <c r="Y423" s="30" t="n">
        <v>43617167</v>
      </c>
      <c r="Z423" s="30" t="n">
        <v>1951868223250</v>
      </c>
      <c r="AA423" s="30" t="n">
        <v>20498185000</v>
      </c>
      <c r="AB423" s="30" t="n">
        <v>28126380255</v>
      </c>
      <c r="AC423" s="35" t="n">
        <v>0.01050182832828184</v>
      </c>
      <c r="AD423" s="24" t="inlineStr">
        <is>
          <t>yfinance_download</t>
        </is>
      </c>
      <c r="AE423" s="24" t="inlineStr">
        <is>
          <t>000990.KS</t>
        </is>
      </c>
    </row>
    <row r="424" ht="24" customHeight="1">
      <c r="A424" s="29" t="inlineStr">
        <is>
          <t>2025-03-05</t>
        </is>
      </c>
      <c r="B424" s="31" t="n">
        <v>44400</v>
      </c>
      <c r="C424" s="31" t="n">
        <v>45250</v>
      </c>
      <c r="D424" s="31" t="n">
        <v>43900</v>
      </c>
      <c r="E424" s="31" t="n">
        <v>44500</v>
      </c>
      <c r="F424" s="31" t="n">
        <v>44099.5</v>
      </c>
      <c r="G424" s="31" t="n">
        <v>247696</v>
      </c>
      <c r="H424" s="36" t="n">
        <v>-0.005586592178770999</v>
      </c>
      <c r="I424" s="36" t="n">
        <v>-0.4758539458186102</v>
      </c>
      <c r="J424" s="31" t="n">
        <v>43237.5</v>
      </c>
      <c r="K424" s="31" t="n">
        <v>36530.83333333334</v>
      </c>
      <c r="L424" s="31" t="n">
        <v>36777.5</v>
      </c>
      <c r="M424" s="36" t="n">
        <v>0.836767988502044</v>
      </c>
      <c r="N424" s="36" t="n">
        <v>0.663603669802758</v>
      </c>
      <c r="O424" s="36" t="n">
        <v>0.4194577352472089</v>
      </c>
      <c r="P424" s="36" t="n">
        <v>0.4171974522292994</v>
      </c>
      <c r="Q424" s="36" t="n">
        <v>0.08935128518971847</v>
      </c>
      <c r="R424" s="36" t="n">
        <v>0.02919919051749065</v>
      </c>
      <c r="S424" s="36" t="n">
        <v>0.2181490521705407</v>
      </c>
      <c r="T424" s="36" t="n">
        <v>0.2099789273332879</v>
      </c>
      <c r="U424" s="31" t="n">
        <v>57100</v>
      </c>
      <c r="V424" s="31" t="n">
        <v>29200</v>
      </c>
      <c r="W424" s="36" t="n">
        <v>-0.2206654991243433</v>
      </c>
      <c r="X424" s="36" t="n">
        <v>0.523972602739726</v>
      </c>
      <c r="Y424" s="31" t="n">
        <v>43617167</v>
      </c>
      <c r="Z424" s="31" t="n">
        <v>1940963931500</v>
      </c>
      <c r="AA424" s="31" t="n">
        <v>11022472000</v>
      </c>
      <c r="AB424" s="31" t="n">
        <v>28425551742.5</v>
      </c>
      <c r="AC424" s="36" t="n">
        <v>0.005678864929489804</v>
      </c>
      <c r="AD424" s="29" t="inlineStr">
        <is>
          <t>yfinance_download</t>
        </is>
      </c>
      <c r="AE424" s="29" t="inlineStr">
        <is>
          <t>000990.KS</t>
        </is>
      </c>
    </row>
    <row r="425" ht="24" customHeight="1">
      <c r="A425" s="24" t="inlineStr">
        <is>
          <t>2025-03-06</t>
        </is>
      </c>
      <c r="B425" s="30" t="n">
        <v>44500</v>
      </c>
      <c r="C425" s="30" t="n">
        <v>45350</v>
      </c>
      <c r="D425" s="30" t="n">
        <v>40300</v>
      </c>
      <c r="E425" s="30" t="n">
        <v>40400</v>
      </c>
      <c r="F425" s="30" t="n">
        <v>40036.3984375</v>
      </c>
      <c r="G425" s="30" t="n">
        <v>616757</v>
      </c>
      <c r="H425" s="35" t="n">
        <v>-0.09213483146067414</v>
      </c>
      <c r="I425" s="35" t="n">
        <v>-0.5241460541813898</v>
      </c>
      <c r="J425" s="30" t="n">
        <v>43642.5</v>
      </c>
      <c r="K425" s="30" t="n">
        <v>36700</v>
      </c>
      <c r="L425" s="30" t="n">
        <v>36774.58333333334</v>
      </c>
      <c r="M425" s="35" t="n">
        <v>0.9231325465228883</v>
      </c>
      <c r="N425" s="35" t="n">
        <v>0.6883609654224812</v>
      </c>
      <c r="O425" s="35" t="n">
        <v>0.2507739938080495</v>
      </c>
      <c r="P425" s="35" t="n">
        <v>0.3355371900826447</v>
      </c>
      <c r="Q425" s="35" t="n">
        <v>-0.008588957055214674</v>
      </c>
      <c r="R425" s="35" t="n">
        <v>-0.07429684367302514</v>
      </c>
      <c r="S425" s="35" t="n">
        <v>0.1008174386920981</v>
      </c>
      <c r="T425" s="35" t="n">
        <v>0.09858484687114055</v>
      </c>
      <c r="U425" s="30" t="n">
        <v>57100</v>
      </c>
      <c r="V425" s="30" t="n">
        <v>29200</v>
      </c>
      <c r="W425" s="35" t="n">
        <v>-0.2924693520140105</v>
      </c>
      <c r="X425" s="35" t="n">
        <v>0.3835616438356164</v>
      </c>
      <c r="Y425" s="30" t="n">
        <v>43617167</v>
      </c>
      <c r="Z425" s="30" t="n">
        <v>1762133546800</v>
      </c>
      <c r="AA425" s="30" t="n">
        <v>24916982800</v>
      </c>
      <c r="AB425" s="30" t="n">
        <v>29434118622.5</v>
      </c>
      <c r="AC425" s="35" t="n">
        <v>0.01414023519684348</v>
      </c>
      <c r="AD425" s="24" t="inlineStr">
        <is>
          <t>yfinance_download</t>
        </is>
      </c>
      <c r="AE425" s="24" t="inlineStr">
        <is>
          <t>000990.KS</t>
        </is>
      </c>
    </row>
    <row r="426" ht="24" customHeight="1">
      <c r="A426" s="29" t="inlineStr">
        <is>
          <t>2025-03-07</t>
        </is>
      </c>
      <c r="B426" s="31" t="n">
        <v>40600</v>
      </c>
      <c r="C426" s="31" t="n">
        <v>42550</v>
      </c>
      <c r="D426" s="31" t="n">
        <v>40300</v>
      </c>
      <c r="E426" s="31" t="n">
        <v>41600</v>
      </c>
      <c r="F426" s="31" t="n">
        <v>41225.6015625</v>
      </c>
      <c r="G426" s="31" t="n">
        <v>353652</v>
      </c>
      <c r="H426" s="36" t="n">
        <v>0.02970297029702973</v>
      </c>
      <c r="I426" s="36" t="n">
        <v>-0.5100117785630154</v>
      </c>
      <c r="J426" s="31" t="n">
        <v>44057.5</v>
      </c>
      <c r="K426" s="31" t="n">
        <v>36845.83333333334</v>
      </c>
      <c r="L426" s="31" t="n">
        <v>36783.75</v>
      </c>
      <c r="M426" s="36" t="n">
        <v>0.9228157522267891</v>
      </c>
      <c r="N426" s="36" t="n">
        <v>0.6697687254891039</v>
      </c>
      <c r="O426" s="36" t="n">
        <v>0.2492492492492493</v>
      </c>
      <c r="P426" s="36" t="n">
        <v>0.2663622526636225</v>
      </c>
      <c r="Q426" s="36" t="n">
        <v>0.02716049382716057</v>
      </c>
      <c r="R426" s="36" t="n">
        <v>-0.05577937922033704</v>
      </c>
      <c r="S426" s="36" t="n">
        <v>0.1290286102001583</v>
      </c>
      <c r="T426" s="36" t="n">
        <v>0.1309341760967819</v>
      </c>
      <c r="U426" s="31" t="n">
        <v>57100</v>
      </c>
      <c r="V426" s="31" t="n">
        <v>29200</v>
      </c>
      <c r="W426" s="36" t="n">
        <v>-0.2714535901926445</v>
      </c>
      <c r="X426" s="36" t="n">
        <v>0.4246575342465753</v>
      </c>
      <c r="Y426" s="31" t="n">
        <v>43617167</v>
      </c>
      <c r="Z426" s="31" t="n">
        <v>1814474147200</v>
      </c>
      <c r="AA426" s="31" t="n">
        <v>14711923200</v>
      </c>
      <c r="AB426" s="31" t="n">
        <v>29594267472.5</v>
      </c>
      <c r="AC426" s="36" t="n">
        <v>0.008108091935452847</v>
      </c>
      <c r="AD426" s="29" t="inlineStr">
        <is>
          <t>yfinance_download</t>
        </is>
      </c>
      <c r="AE426" s="29" t="inlineStr">
        <is>
          <t>000990.KS</t>
        </is>
      </c>
    </row>
    <row r="427" ht="24" customHeight="1">
      <c r="A427" s="24" t="inlineStr">
        <is>
          <t>2025-03-10</t>
        </is>
      </c>
      <c r="B427" s="30" t="n">
        <v>41400</v>
      </c>
      <c r="C427" s="30" t="n">
        <v>47150</v>
      </c>
      <c r="D427" s="30" t="n">
        <v>41350</v>
      </c>
      <c r="E427" s="30" t="n">
        <v>45400</v>
      </c>
      <c r="F427" s="30" t="n">
        <v>44991.3984375</v>
      </c>
      <c r="G427" s="30" t="n">
        <v>718180</v>
      </c>
      <c r="H427" s="35" t="n">
        <v>0.09134615384615374</v>
      </c>
      <c r="I427" s="35" t="n">
        <v>-0.4652532391048292</v>
      </c>
      <c r="J427" s="30" t="n">
        <v>44382.5</v>
      </c>
      <c r="K427" s="30" t="n">
        <v>37055.83333333334</v>
      </c>
      <c r="L427" s="30" t="n">
        <v>36826.25</v>
      </c>
      <c r="M427" s="35" t="n">
        <v>0.7805480020601473</v>
      </c>
      <c r="N427" s="35" t="n">
        <v>0.6926710489534402</v>
      </c>
      <c r="O427" s="35" t="n">
        <v>0.1670951156812339</v>
      </c>
      <c r="P427" s="35" t="n">
        <v>0.3841463414634145</v>
      </c>
      <c r="Q427" s="35" t="n">
        <v>0.1265508684863523</v>
      </c>
      <c r="R427" s="35" t="n">
        <v>0.02292570269813554</v>
      </c>
      <c r="S427" s="35" t="n">
        <v>0.2251782220523084</v>
      </c>
      <c r="T427" s="35" t="n">
        <v>0.2328162655714334</v>
      </c>
      <c r="U427" s="30" t="n">
        <v>57100</v>
      </c>
      <c r="V427" s="30" t="n">
        <v>29200</v>
      </c>
      <c r="W427" s="35" t="n">
        <v>-0.2049036777583187</v>
      </c>
      <c r="X427" s="35" t="n">
        <v>0.5547945205479452</v>
      </c>
      <c r="Y427" s="30" t="n">
        <v>43617167</v>
      </c>
      <c r="Z427" s="30" t="n">
        <v>1980219381800</v>
      </c>
      <c r="AA427" s="30" t="n">
        <v>32605372000</v>
      </c>
      <c r="AB427" s="30" t="n">
        <v>27102048277.5</v>
      </c>
      <c r="AC427" s="35" t="n">
        <v>0.01646553523295083</v>
      </c>
      <c r="AD427" s="24" t="inlineStr">
        <is>
          <t>yfinance_download</t>
        </is>
      </c>
      <c r="AE427" s="24" t="inlineStr">
        <is>
          <t>000990.KS</t>
        </is>
      </c>
    </row>
    <row r="428" ht="24" customHeight="1">
      <c r="A428" s="29" t="inlineStr">
        <is>
          <t>2025-03-11</t>
        </is>
      </c>
      <c r="B428" s="31" t="n">
        <v>43550</v>
      </c>
      <c r="C428" s="31" t="n">
        <v>44750</v>
      </c>
      <c r="D428" s="31" t="n">
        <v>43550</v>
      </c>
      <c r="E428" s="31" t="n">
        <v>44000</v>
      </c>
      <c r="F428" s="31" t="n">
        <v>43604</v>
      </c>
      <c r="G428" s="31" t="n">
        <v>288067</v>
      </c>
      <c r="H428" s="36" t="n">
        <v>-0.03083700440528636</v>
      </c>
      <c r="I428" s="36" t="n">
        <v>-0.4817432273262662</v>
      </c>
      <c r="J428" s="31" t="n">
        <v>44450</v>
      </c>
      <c r="K428" s="31" t="n">
        <v>37260</v>
      </c>
      <c r="L428" s="31" t="n">
        <v>36875.83333333334</v>
      </c>
      <c r="M428" s="36" t="n">
        <v>0.7197033438950186</v>
      </c>
      <c r="N428" s="36" t="n">
        <v>0.6923971640352458</v>
      </c>
      <c r="O428" s="36" t="n">
        <v>0.03165298944900341</v>
      </c>
      <c r="P428" s="36" t="n">
        <v>0.3858267716535433</v>
      </c>
      <c r="Q428" s="36" t="n">
        <v>0.1563731931668857</v>
      </c>
      <c r="R428" s="36" t="n">
        <v>-0.01012373453318338</v>
      </c>
      <c r="S428" s="36" t="n">
        <v>0.1808910359634996</v>
      </c>
      <c r="T428" s="36" t="n">
        <v>0.1931933741610359</v>
      </c>
      <c r="U428" s="31" t="n">
        <v>57100</v>
      </c>
      <c r="V428" s="31" t="n">
        <v>29200</v>
      </c>
      <c r="W428" s="36" t="n">
        <v>-0.2294220665499125</v>
      </c>
      <c r="X428" s="36" t="n">
        <v>0.5068493150684932</v>
      </c>
      <c r="Y428" s="31" t="n">
        <v>43617167</v>
      </c>
      <c r="Z428" s="31" t="n">
        <v>1919155348000</v>
      </c>
      <c r="AA428" s="31" t="n">
        <v>12674948000</v>
      </c>
      <c r="AB428" s="31" t="n">
        <v>23270568855</v>
      </c>
      <c r="AC428" s="36" t="n">
        <v>0.006604440861553434</v>
      </c>
      <c r="AD428" s="29" t="inlineStr">
        <is>
          <t>yfinance_download</t>
        </is>
      </c>
      <c r="AE428" s="29" t="inlineStr">
        <is>
          <t>000990.KS</t>
        </is>
      </c>
    </row>
    <row r="429" ht="24" customHeight="1">
      <c r="A429" s="24" t="inlineStr">
        <is>
          <t>2025-03-12</t>
        </is>
      </c>
      <c r="B429" s="30" t="n">
        <v>44150</v>
      </c>
      <c r="C429" s="30" t="n">
        <v>46400</v>
      </c>
      <c r="D429" s="30" t="n">
        <v>43800</v>
      </c>
      <c r="E429" s="30" t="n">
        <v>45350</v>
      </c>
      <c r="F429" s="30" t="n">
        <v>44941.8515625</v>
      </c>
      <c r="G429" s="30" t="n">
        <v>284634</v>
      </c>
      <c r="H429" s="35" t="n">
        <v>0.03068181818181825</v>
      </c>
      <c r="I429" s="35" t="n">
        <v>-0.4658421672555948</v>
      </c>
      <c r="J429" s="30" t="n">
        <v>44577.5</v>
      </c>
      <c r="K429" s="30" t="n">
        <v>37483.33333333334</v>
      </c>
      <c r="L429" s="30" t="n">
        <v>36942.08333333334</v>
      </c>
      <c r="M429" s="35" t="n">
        <v>0.7266109519301732</v>
      </c>
      <c r="N429" s="35" t="n">
        <v>0.6941868617199709</v>
      </c>
      <c r="O429" s="35" t="n">
        <v>0.05957943925233655</v>
      </c>
      <c r="P429" s="35" t="n">
        <v>0.4194053208137716</v>
      </c>
      <c r="Q429" s="35" t="n">
        <v>0.2125668449197862</v>
      </c>
      <c r="R429" s="35" t="n">
        <v>0.01732937019796976</v>
      </c>
      <c r="S429" s="35" t="n">
        <v>0.2098710538016895</v>
      </c>
      <c r="T429" s="35" t="n">
        <v>0.2275972524559839</v>
      </c>
      <c r="U429" s="30" t="n">
        <v>57100</v>
      </c>
      <c r="V429" s="30" t="n">
        <v>29200</v>
      </c>
      <c r="W429" s="35" t="n">
        <v>-0.2057793345008757</v>
      </c>
      <c r="X429" s="35" t="n">
        <v>0.553082191780822</v>
      </c>
      <c r="Y429" s="30" t="n">
        <v>43617167</v>
      </c>
      <c r="Z429" s="30" t="n">
        <v>1978038523450</v>
      </c>
      <c r="AA429" s="30" t="n">
        <v>12908151900</v>
      </c>
      <c r="AB429" s="30" t="n">
        <v>21943619770</v>
      </c>
      <c r="AC429" s="35" t="n">
        <v>0.006525733319635363</v>
      </c>
      <c r="AD429" s="24" t="inlineStr">
        <is>
          <t>yfinance_download</t>
        </is>
      </c>
      <c r="AE429" s="24" t="inlineStr">
        <is>
          <t>000990.KS</t>
        </is>
      </c>
    </row>
    <row r="430" ht="24" customHeight="1">
      <c r="A430" s="29" t="inlineStr">
        <is>
          <t>2025-03-13</t>
        </is>
      </c>
      <c r="B430" s="31" t="n">
        <v>45650</v>
      </c>
      <c r="C430" s="31" t="n">
        <v>46600</v>
      </c>
      <c r="D430" s="31" t="n">
        <v>43850</v>
      </c>
      <c r="E430" s="31" t="n">
        <v>43850</v>
      </c>
      <c r="F430" s="31" t="n">
        <v>43455.3515625</v>
      </c>
      <c r="G430" s="31" t="n">
        <v>266581</v>
      </c>
      <c r="H430" s="36" t="n">
        <v>-0.03307607497243659</v>
      </c>
      <c r="I430" s="36" t="n">
        <v>-0.483510011778563</v>
      </c>
      <c r="J430" s="31" t="n">
        <v>44630</v>
      </c>
      <c r="K430" s="31" t="n">
        <v>37727.5</v>
      </c>
      <c r="L430" s="31" t="n">
        <v>37003.33333333334</v>
      </c>
      <c r="M430" s="36" t="n">
        <v>0.7383645854607068</v>
      </c>
      <c r="N430" s="36" t="n">
        <v>0.6720539645579203</v>
      </c>
      <c r="O430" s="36" t="n">
        <v>0.02453271028037385</v>
      </c>
      <c r="P430" s="36" t="n">
        <v>0.5017123287671232</v>
      </c>
      <c r="Q430" s="36" t="n">
        <v>0.2013698630136986</v>
      </c>
      <c r="R430" s="36" t="n">
        <v>-0.01747703338561502</v>
      </c>
      <c r="S430" s="36" t="n">
        <v>0.1622821549267774</v>
      </c>
      <c r="T430" s="36" t="n">
        <v>0.1850283758219979</v>
      </c>
      <c r="U430" s="31" t="n">
        <v>57100</v>
      </c>
      <c r="V430" s="31" t="n">
        <v>29200</v>
      </c>
      <c r="W430" s="36" t="n">
        <v>-0.2320490367775832</v>
      </c>
      <c r="X430" s="36" t="n">
        <v>0.5017123287671232</v>
      </c>
      <c r="Y430" s="31" t="n">
        <v>43617167</v>
      </c>
      <c r="Z430" s="31" t="n">
        <v>1912612772950</v>
      </c>
      <c r="AA430" s="31" t="n">
        <v>11689576850</v>
      </c>
      <c r="AB430" s="31" t="n">
        <v>21162487572.5</v>
      </c>
      <c r="AC430" s="36" t="n">
        <v>0.006111836653673541</v>
      </c>
      <c r="AD430" s="29" t="inlineStr">
        <is>
          <t>yfinance_download</t>
        </is>
      </c>
      <c r="AE430" s="29" t="inlineStr">
        <is>
          <t>000990.KS</t>
        </is>
      </c>
    </row>
    <row r="431" ht="24" customHeight="1">
      <c r="A431" s="24" t="inlineStr">
        <is>
          <t>2025-03-14</t>
        </is>
      </c>
      <c r="B431" s="30" t="n">
        <v>44500</v>
      </c>
      <c r="C431" s="30" t="n">
        <v>45250</v>
      </c>
      <c r="D431" s="30" t="n">
        <v>44000</v>
      </c>
      <c r="E431" s="30" t="n">
        <v>44700</v>
      </c>
      <c r="F431" s="30" t="n">
        <v>44297.69921875</v>
      </c>
      <c r="G431" s="30" t="n">
        <v>173878</v>
      </c>
      <c r="H431" s="35" t="n">
        <v>0.0193842645381983</v>
      </c>
      <c r="I431" s="35" t="n">
        <v>-0.4734982332155477</v>
      </c>
      <c r="J431" s="30" t="n">
        <v>44795</v>
      </c>
      <c r="K431" s="30" t="n">
        <v>37944.16666666666</v>
      </c>
      <c r="L431" s="30" t="n">
        <v>37070.41666666666</v>
      </c>
      <c r="M431" s="35" t="n">
        <v>0.7287330488022518</v>
      </c>
      <c r="N431" s="35" t="n">
        <v>0.6526683822605108</v>
      </c>
      <c r="O431" s="35" t="n">
        <v>0.07971014492753614</v>
      </c>
      <c r="P431" s="35" t="n">
        <v>0.4100946372239747</v>
      </c>
      <c r="Q431" s="35" t="n">
        <v>0.2196452933151432</v>
      </c>
      <c r="R431" s="35" t="n">
        <v>-0.002120772407634752</v>
      </c>
      <c r="S431" s="35" t="n">
        <v>0.1780466914106253</v>
      </c>
      <c r="T431" s="35" t="n">
        <v>0.2058132607987053</v>
      </c>
      <c r="U431" s="30" t="n">
        <v>57100</v>
      </c>
      <c r="V431" s="30" t="n">
        <v>29200</v>
      </c>
      <c r="W431" s="35" t="n">
        <v>-0.2171628721541156</v>
      </c>
      <c r="X431" s="35" t="n">
        <v>0.5308219178082192</v>
      </c>
      <c r="Y431" s="30" t="n">
        <v>43617167</v>
      </c>
      <c r="Z431" s="30" t="n">
        <v>1949687364900</v>
      </c>
      <c r="AA431" s="30" t="n">
        <v>7772346600</v>
      </c>
      <c r="AB431" s="30" t="n">
        <v>20367816312.5</v>
      </c>
      <c r="AC431" s="35" t="n">
        <v>0.003986457900853579</v>
      </c>
      <c r="AD431" s="24" t="inlineStr">
        <is>
          <t>yfinance_download</t>
        </is>
      </c>
      <c r="AE431" s="24" t="inlineStr">
        <is>
          <t>000990.KS</t>
        </is>
      </c>
    </row>
    <row r="432" ht="24" customHeight="1">
      <c r="A432" s="29" t="inlineStr">
        <is>
          <t>2025-03-17</t>
        </is>
      </c>
      <c r="B432" s="31" t="n">
        <v>45000</v>
      </c>
      <c r="C432" s="31" t="n">
        <v>48700</v>
      </c>
      <c r="D432" s="31" t="n">
        <v>45000</v>
      </c>
      <c r="E432" s="31" t="n">
        <v>47250</v>
      </c>
      <c r="F432" s="31" t="n">
        <v>46824.75</v>
      </c>
      <c r="G432" s="31" t="n">
        <v>569766</v>
      </c>
      <c r="H432" s="36" t="n">
        <v>0.05704697986577179</v>
      </c>
      <c r="I432" s="36" t="n">
        <v>-0.4434628975265018</v>
      </c>
      <c r="J432" s="31" t="n">
        <v>45032.5</v>
      </c>
      <c r="K432" s="31" t="n">
        <v>38180</v>
      </c>
      <c r="L432" s="31" t="n">
        <v>37158.33333333334</v>
      </c>
      <c r="M432" s="36" t="n">
        <v>0.7485336516483444</v>
      </c>
      <c r="N432" s="36" t="n">
        <v>0.6563623833070581</v>
      </c>
      <c r="O432" s="36" t="n">
        <v>0.111764705882353</v>
      </c>
      <c r="P432" s="36" t="n">
        <v>0.4274924471299093</v>
      </c>
      <c r="Q432" s="36" t="n">
        <v>0.2874659400544959</v>
      </c>
      <c r="R432" s="36" t="n">
        <v>0.0492422139565869</v>
      </c>
      <c r="S432" s="36" t="n">
        <v>0.2375589313776847</v>
      </c>
      <c r="T432" s="36" t="n">
        <v>0.2715855572998429</v>
      </c>
      <c r="U432" s="31" t="n">
        <v>57100</v>
      </c>
      <c r="V432" s="31" t="n">
        <v>29200</v>
      </c>
      <c r="W432" s="36" t="n">
        <v>-0.1725043782837128</v>
      </c>
      <c r="X432" s="36" t="n">
        <v>0.6181506849315068</v>
      </c>
      <c r="Y432" s="31" t="n">
        <v>43617167</v>
      </c>
      <c r="Z432" s="31" t="n">
        <v>2060911140750</v>
      </c>
      <c r="AA432" s="31" t="n">
        <v>26921443500</v>
      </c>
      <c r="AB432" s="31" t="n">
        <v>20685730612.5</v>
      </c>
      <c r="AC432" s="36" t="n">
        <v>0.01306288416210067</v>
      </c>
      <c r="AD432" s="29" t="inlineStr">
        <is>
          <t>yfinance_download</t>
        </is>
      </c>
      <c r="AE432" s="29" t="inlineStr">
        <is>
          <t>000990.KS</t>
        </is>
      </c>
    </row>
    <row r="433" ht="24" customHeight="1">
      <c r="A433" s="24" t="inlineStr">
        <is>
          <t>2025-03-18</t>
        </is>
      </c>
      <c r="B433" s="30" t="n">
        <v>48000</v>
      </c>
      <c r="C433" s="30" t="n">
        <v>48000</v>
      </c>
      <c r="D433" s="30" t="n">
        <v>45950</v>
      </c>
      <c r="E433" s="30" t="n">
        <v>46650</v>
      </c>
      <c r="F433" s="30" t="n">
        <v>46230.1484375</v>
      </c>
      <c r="G433" s="30" t="n">
        <v>270429</v>
      </c>
      <c r="H433" s="35" t="n">
        <v>-0.01269841269841265</v>
      </c>
      <c r="I433" s="35" t="n">
        <v>-0.450530035335689</v>
      </c>
      <c r="J433" s="30" t="n">
        <v>45150</v>
      </c>
      <c r="K433" s="30" t="n">
        <v>38398.33333333334</v>
      </c>
      <c r="L433" s="30" t="n">
        <v>37249.58333333334</v>
      </c>
      <c r="M433" s="35" t="n">
        <v>0.7388977897880035</v>
      </c>
      <c r="N433" s="35" t="n">
        <v>0.6574063110778113</v>
      </c>
      <c r="O433" s="35" t="n">
        <v>0.05304740406320541</v>
      </c>
      <c r="P433" s="35" t="n">
        <v>0.3904619970193741</v>
      </c>
      <c r="Q433" s="35" t="n">
        <v>0.3067226890756303</v>
      </c>
      <c r="R433" s="35" t="n">
        <v>0.03322259136212624</v>
      </c>
      <c r="S433" s="35" t="n">
        <v>0.2148964798819393</v>
      </c>
      <c r="T433" s="35" t="n">
        <v>0.2523630018232865</v>
      </c>
      <c r="U433" s="30" t="n">
        <v>57100</v>
      </c>
      <c r="V433" s="30" t="n">
        <v>29200</v>
      </c>
      <c r="W433" s="35" t="n">
        <v>-0.1830122591943958</v>
      </c>
      <c r="X433" s="35" t="n">
        <v>0.5976027397260273</v>
      </c>
      <c r="Y433" s="30" t="n">
        <v>43617167</v>
      </c>
      <c r="Z433" s="30" t="n">
        <v>2034740840550</v>
      </c>
      <c r="AA433" s="30" t="n">
        <v>12615512850</v>
      </c>
      <c r="AB433" s="30" t="n">
        <v>19701266235</v>
      </c>
      <c r="AC433" s="35" t="n">
        <v>0.006200058797949899</v>
      </c>
      <c r="AD433" s="24" t="inlineStr">
        <is>
          <t>yfinance_download</t>
        </is>
      </c>
      <c r="AE433" s="24" t="inlineStr">
        <is>
          <t>000990.KS</t>
        </is>
      </c>
    </row>
    <row r="434" ht="24" customHeight="1">
      <c r="A434" s="29" t="inlineStr">
        <is>
          <t>2025-03-19</t>
        </is>
      </c>
      <c r="B434" s="31" t="n">
        <v>47000</v>
      </c>
      <c r="C434" s="31" t="n">
        <v>48150</v>
      </c>
      <c r="D434" s="31" t="n">
        <v>46550</v>
      </c>
      <c r="E434" s="31" t="n">
        <v>46550</v>
      </c>
      <c r="F434" s="31" t="n">
        <v>46131.05078125</v>
      </c>
      <c r="G434" s="31" t="n">
        <v>323555</v>
      </c>
      <c r="H434" s="36" t="n">
        <v>-0.002143622722400873</v>
      </c>
      <c r="I434" s="36" t="n">
        <v>-0.4517078916372202</v>
      </c>
      <c r="J434" s="31" t="n">
        <v>45205</v>
      </c>
      <c r="K434" s="31" t="n">
        <v>38605</v>
      </c>
      <c r="L434" s="31" t="n">
        <v>37332.08333333334</v>
      </c>
      <c r="M434" s="36" t="n">
        <v>0.7343567856612421</v>
      </c>
      <c r="N434" s="36" t="n">
        <v>0.6571848595016967</v>
      </c>
      <c r="O434" s="36" t="n">
        <v>0.02420242024202413</v>
      </c>
      <c r="P434" s="36" t="n">
        <v>0.363103953147877</v>
      </c>
      <c r="Q434" s="36" t="n">
        <v>0.2701227830832196</v>
      </c>
      <c r="R434" s="36" t="n">
        <v>0.02975334586881972</v>
      </c>
      <c r="S434" s="36" t="n">
        <v>0.2058023572076155</v>
      </c>
      <c r="T434" s="36" t="n">
        <v>0.2469167494447357</v>
      </c>
      <c r="U434" s="31" t="n">
        <v>57100</v>
      </c>
      <c r="V434" s="31" t="n">
        <v>29200</v>
      </c>
      <c r="W434" s="36" t="n">
        <v>-0.1847635726795096</v>
      </c>
      <c r="X434" s="36" t="n">
        <v>0.5941780821917808</v>
      </c>
      <c r="Y434" s="31" t="n">
        <v>43617167</v>
      </c>
      <c r="Z434" s="31" t="n">
        <v>2030379123850</v>
      </c>
      <c r="AA434" s="31" t="n">
        <v>15061485250</v>
      </c>
      <c r="AB434" s="31" t="n">
        <v>19216214322.5</v>
      </c>
      <c r="AC434" s="36" t="n">
        <v>0.007418065460326665</v>
      </c>
      <c r="AD434" s="29" t="inlineStr">
        <is>
          <t>yfinance_download</t>
        </is>
      </c>
      <c r="AE434" s="29" t="inlineStr">
        <is>
          <t>000990.KS</t>
        </is>
      </c>
    </row>
    <row r="435" ht="24" customHeight="1">
      <c r="A435" s="24" t="inlineStr">
        <is>
          <t>2025-03-20</t>
        </is>
      </c>
      <c r="B435" s="30" t="n">
        <v>47400</v>
      </c>
      <c r="C435" s="30" t="n">
        <v>49500</v>
      </c>
      <c r="D435" s="30" t="n">
        <v>47100</v>
      </c>
      <c r="E435" s="30" t="n">
        <v>47750</v>
      </c>
      <c r="F435" s="30" t="n">
        <v>47320.25</v>
      </c>
      <c r="G435" s="30" t="n">
        <v>591911</v>
      </c>
      <c r="H435" s="35" t="n">
        <v>0.02577873254564977</v>
      </c>
      <c r="I435" s="35" t="n">
        <v>-0.4375736160188457</v>
      </c>
      <c r="J435" s="30" t="n">
        <v>45372.5</v>
      </c>
      <c r="K435" s="30" t="n">
        <v>38833.33333333334</v>
      </c>
      <c r="L435" s="30" t="n">
        <v>37416.66666666666</v>
      </c>
      <c r="M435" s="35" t="n">
        <v>0.7324873656569744</v>
      </c>
      <c r="N435" s="35" t="n">
        <v>0.6581514319042328</v>
      </c>
      <c r="O435" s="35" t="n">
        <v>0.07545045045045051</v>
      </c>
      <c r="P435" s="35" t="n">
        <v>0.4023494860499266</v>
      </c>
      <c r="Q435" s="35" t="n">
        <v>0.2699468085106382</v>
      </c>
      <c r="R435" s="35" t="n">
        <v>0.05239958124414579</v>
      </c>
      <c r="S435" s="35" t="n">
        <v>0.2296137339055793</v>
      </c>
      <c r="T435" s="35" t="n">
        <v>0.2761692650334076</v>
      </c>
      <c r="U435" s="30" t="n">
        <v>57100</v>
      </c>
      <c r="V435" s="30" t="n">
        <v>29200</v>
      </c>
      <c r="W435" s="35" t="n">
        <v>-0.1637478108581436</v>
      </c>
      <c r="X435" s="35" t="n">
        <v>0.6352739726027397</v>
      </c>
      <c r="Y435" s="30" t="n">
        <v>43617167</v>
      </c>
      <c r="Z435" s="30" t="n">
        <v>2082719724250</v>
      </c>
      <c r="AA435" s="30" t="n">
        <v>28263750250</v>
      </c>
      <c r="AB435" s="30" t="n">
        <v>19545966355</v>
      </c>
      <c r="AC435" s="35" t="n">
        <v>0.01357059709999047</v>
      </c>
      <c r="AD435" s="24" t="inlineStr">
        <is>
          <t>yfinance_download</t>
        </is>
      </c>
      <c r="AE435" s="24" t="inlineStr">
        <is>
          <t>000990.KS</t>
        </is>
      </c>
    </row>
    <row r="436" ht="24" customHeight="1">
      <c r="A436" s="29" t="inlineStr">
        <is>
          <t>2025-03-21</t>
        </is>
      </c>
      <c r="B436" s="31" t="n">
        <v>48000</v>
      </c>
      <c r="C436" s="31" t="n">
        <v>50400</v>
      </c>
      <c r="D436" s="31" t="n">
        <v>47350</v>
      </c>
      <c r="E436" s="31" t="n">
        <v>49000</v>
      </c>
      <c r="F436" s="31" t="n">
        <v>48559</v>
      </c>
      <c r="G436" s="31" t="n">
        <v>785947</v>
      </c>
      <c r="H436" s="36" t="n">
        <v>0.02617801047120416</v>
      </c>
      <c r="I436" s="36" t="n">
        <v>-0.4228504122497055</v>
      </c>
      <c r="J436" s="31" t="n">
        <v>45537.5</v>
      </c>
      <c r="K436" s="31" t="n">
        <v>39063.33333333334</v>
      </c>
      <c r="L436" s="31" t="n">
        <v>37516.66666666666</v>
      </c>
      <c r="M436" s="36" t="n">
        <v>0.7311872905625166</v>
      </c>
      <c r="N436" s="36" t="n">
        <v>0.6569890621353462</v>
      </c>
      <c r="O436" s="36" t="n">
        <v>0.07221006564551424</v>
      </c>
      <c r="P436" s="36" t="n">
        <v>0.3920454545454546</v>
      </c>
      <c r="Q436" s="36" t="n">
        <v>0.3243243243243243</v>
      </c>
      <c r="R436" s="36" t="n">
        <v>0.07603623387318148</v>
      </c>
      <c r="S436" s="36" t="n">
        <v>0.2543732400375458</v>
      </c>
      <c r="T436" s="36" t="n">
        <v>0.3060861839182587</v>
      </c>
      <c r="U436" s="31" t="n">
        <v>57100</v>
      </c>
      <c r="V436" s="31" t="n">
        <v>29200</v>
      </c>
      <c r="W436" s="36" t="n">
        <v>-0.1418563922942206</v>
      </c>
      <c r="X436" s="36" t="n">
        <v>0.678082191780822</v>
      </c>
      <c r="Y436" s="31" t="n">
        <v>43617167</v>
      </c>
      <c r="Z436" s="31" t="n">
        <v>2137241183000</v>
      </c>
      <c r="AA436" s="31" t="n">
        <v>38511403000</v>
      </c>
      <c r="AB436" s="31" t="n">
        <v>19818115075</v>
      </c>
      <c r="AC436" s="36" t="n">
        <v>0.01801921248117742</v>
      </c>
      <c r="AD436" s="29" t="inlineStr">
        <is>
          <t>yfinance_download</t>
        </is>
      </c>
      <c r="AE436" s="29" t="inlineStr">
        <is>
          <t>000990.KS</t>
        </is>
      </c>
    </row>
    <row r="437" ht="24" customHeight="1">
      <c r="A437" s="24" t="inlineStr">
        <is>
          <t>2025-03-24</t>
        </is>
      </c>
      <c r="B437" s="30" t="n">
        <v>49250</v>
      </c>
      <c r="C437" s="30" t="n">
        <v>49250</v>
      </c>
      <c r="D437" s="30" t="n">
        <v>47100</v>
      </c>
      <c r="E437" s="30" t="n">
        <v>47800</v>
      </c>
      <c r="F437" s="30" t="n">
        <v>47369.80078125</v>
      </c>
      <c r="G437" s="30" t="n">
        <v>228198</v>
      </c>
      <c r="H437" s="35" t="n">
        <v>-0.02448979591836731</v>
      </c>
      <c r="I437" s="35" t="n">
        <v>-0.4369846878680801</v>
      </c>
      <c r="J437" s="30" t="n">
        <v>45605</v>
      </c>
      <c r="K437" s="30" t="n">
        <v>39280.83333333334</v>
      </c>
      <c r="L437" s="30" t="n">
        <v>37613.75</v>
      </c>
      <c r="M437" s="35" t="n">
        <v>0.7367576426109311</v>
      </c>
      <c r="N437" s="35" t="n">
        <v>0.6588806941203494</v>
      </c>
      <c r="O437" s="35" t="n">
        <v>0.02906350914962319</v>
      </c>
      <c r="P437" s="35" t="n">
        <v>0.3755395683453238</v>
      </c>
      <c r="Q437" s="35" t="n">
        <v>0.322268326417704</v>
      </c>
      <c r="R437" s="35" t="n">
        <v>0.04813068742462456</v>
      </c>
      <c r="S437" s="35" t="n">
        <v>0.2168784606572332</v>
      </c>
      <c r="T437" s="35" t="n">
        <v>0.270811870659001</v>
      </c>
      <c r="U437" s="30" t="n">
        <v>57100</v>
      </c>
      <c r="V437" s="30" t="n">
        <v>29200</v>
      </c>
      <c r="W437" s="35" t="n">
        <v>-0.1628721541155866</v>
      </c>
      <c r="X437" s="35" t="n">
        <v>0.6369863013698631</v>
      </c>
      <c r="Y437" s="30" t="n">
        <v>43617167</v>
      </c>
      <c r="Z437" s="30" t="n">
        <v>2084900582600</v>
      </c>
      <c r="AA437" s="30" t="n">
        <v>10907864400</v>
      </c>
      <c r="AB437" s="30" t="n">
        <v>19175570447.5</v>
      </c>
      <c r="AC437" s="35" t="n">
        <v>0.005231839105919006</v>
      </c>
      <c r="AD437" s="24" t="inlineStr">
        <is>
          <t>yfinance_download</t>
        </is>
      </c>
      <c r="AE437" s="24" t="inlineStr">
        <is>
          <t>000990.KS</t>
        </is>
      </c>
    </row>
    <row r="438" ht="24" customHeight="1">
      <c r="A438" s="29" t="inlineStr">
        <is>
          <t>2025-03-25</t>
        </is>
      </c>
      <c r="B438" s="31" t="n">
        <v>47900</v>
      </c>
      <c r="C438" s="31" t="n">
        <v>48250</v>
      </c>
      <c r="D438" s="31" t="n">
        <v>44800</v>
      </c>
      <c r="E438" s="31" t="n">
        <v>45100</v>
      </c>
      <c r="F438" s="31" t="n">
        <v>44694.1015625</v>
      </c>
      <c r="G438" s="31" t="n">
        <v>426290</v>
      </c>
      <c r="H438" s="36" t="n">
        <v>-0.05648535564853552</v>
      </c>
      <c r="I438" s="36" t="n">
        <v>-0.4687868080094229</v>
      </c>
      <c r="J438" s="31" t="n">
        <v>45567.5</v>
      </c>
      <c r="K438" s="31" t="n">
        <v>39463.33333333334</v>
      </c>
      <c r="L438" s="31" t="n">
        <v>37673.33333333334</v>
      </c>
      <c r="M438" s="36" t="n">
        <v>0.7645375766332149</v>
      </c>
      <c r="N438" s="36" t="n">
        <v>0.6696504692858218</v>
      </c>
      <c r="O438" s="36" t="n">
        <v>-0.01635768811341332</v>
      </c>
      <c r="P438" s="36" t="n">
        <v>0.3206442166910688</v>
      </c>
      <c r="Q438" s="36" t="n">
        <v>0.1884057971014492</v>
      </c>
      <c r="R438" s="36" t="n">
        <v>-0.0102595051297526</v>
      </c>
      <c r="S438" s="36" t="n">
        <v>0.142833009544725</v>
      </c>
      <c r="T438" s="36" t="n">
        <v>0.1971332507520791</v>
      </c>
      <c r="U438" s="31" t="n">
        <v>57100</v>
      </c>
      <c r="V438" s="31" t="n">
        <v>29200</v>
      </c>
      <c r="W438" s="36" t="n">
        <v>-0.2101576182136602</v>
      </c>
      <c r="X438" s="36" t="n">
        <v>0.5445205479452055</v>
      </c>
      <c r="Y438" s="31" t="n">
        <v>43617167</v>
      </c>
      <c r="Z438" s="31" t="n">
        <v>1967134231700</v>
      </c>
      <c r="AA438" s="31" t="n">
        <v>19225679000</v>
      </c>
      <c r="AB438" s="31" t="n">
        <v>19371954895</v>
      </c>
      <c r="AC438" s="36" t="n">
        <v>0.009773445395937797</v>
      </c>
      <c r="AD438" s="29" t="inlineStr">
        <is>
          <t>yfinance_download</t>
        </is>
      </c>
      <c r="AE438" s="29" t="inlineStr">
        <is>
          <t>000990.KS</t>
        </is>
      </c>
    </row>
    <row r="439" ht="24" customHeight="1">
      <c r="A439" s="24" t="inlineStr">
        <is>
          <t>2025-03-26</t>
        </is>
      </c>
      <c r="B439" s="30" t="n">
        <v>45250</v>
      </c>
      <c r="C439" s="30" t="n">
        <v>46100</v>
      </c>
      <c r="D439" s="30" t="n">
        <v>44400</v>
      </c>
      <c r="E439" s="30" t="n">
        <v>44700</v>
      </c>
      <c r="F439" s="30" t="n">
        <v>44297.69921875</v>
      </c>
      <c r="G439" s="30" t="n">
        <v>259868</v>
      </c>
      <c r="H439" s="35" t="n">
        <v>-0.008869179600886956</v>
      </c>
      <c r="I439" s="35" t="n">
        <v>-0.4734982332155477</v>
      </c>
      <c r="J439" s="30" t="n">
        <v>45472.5</v>
      </c>
      <c r="K439" s="30" t="n">
        <v>39655</v>
      </c>
      <c r="L439" s="30" t="n">
        <v>37710.83333333334</v>
      </c>
      <c r="M439" s="35" t="n">
        <v>0.7627506391237867</v>
      </c>
      <c r="N439" s="35" t="n">
        <v>0.6667426787892837</v>
      </c>
      <c r="O439" s="35" t="n">
        <v>-0.04077253218884125</v>
      </c>
      <c r="P439" s="35" t="n">
        <v>0.3463855421686748</v>
      </c>
      <c r="Q439" s="35" t="n">
        <v>0.1119402985074627</v>
      </c>
      <c r="R439" s="35" t="n">
        <v>-0.01698828962559784</v>
      </c>
      <c r="S439" s="35" t="n">
        <v>0.1272222922708359</v>
      </c>
      <c r="T439" s="35" t="n">
        <v>0.1853357788433916</v>
      </c>
      <c r="U439" s="30" t="n">
        <v>57100</v>
      </c>
      <c r="V439" s="30" t="n">
        <v>29200</v>
      </c>
      <c r="W439" s="35" t="n">
        <v>-0.2171628721541156</v>
      </c>
      <c r="X439" s="35" t="n">
        <v>0.5308219178082192</v>
      </c>
      <c r="Y439" s="30" t="n">
        <v>43617167</v>
      </c>
      <c r="Z439" s="30" t="n">
        <v>1949687364900</v>
      </c>
      <c r="AA439" s="30" t="n">
        <v>11616099600</v>
      </c>
      <c r="AB439" s="30" t="n">
        <v>19079336075</v>
      </c>
      <c r="AC439" s="35" t="n">
        <v>0.005957929362995997</v>
      </c>
      <c r="AD439" s="24" t="inlineStr">
        <is>
          <t>yfinance_download</t>
        </is>
      </c>
      <c r="AE439" s="24" t="inlineStr">
        <is>
          <t>000990.KS</t>
        </is>
      </c>
    </row>
    <row r="440" ht="24" customHeight="1">
      <c r="A440" s="29" t="inlineStr">
        <is>
          <t>2025-03-27</t>
        </is>
      </c>
      <c r="B440" s="31" t="n">
        <v>44150</v>
      </c>
      <c r="C440" s="31" t="n">
        <v>45850</v>
      </c>
      <c r="D440" s="31" t="n">
        <v>43700</v>
      </c>
      <c r="E440" s="31" t="n">
        <v>44600</v>
      </c>
      <c r="F440" s="31" t="n">
        <v>44198.6015625</v>
      </c>
      <c r="G440" s="31" t="n">
        <v>200751</v>
      </c>
      <c r="H440" s="36" t="n">
        <v>-0.002237136465324419</v>
      </c>
      <c r="I440" s="36" t="n">
        <v>-0.474676089517079</v>
      </c>
      <c r="J440" s="31" t="n">
        <v>45265</v>
      </c>
      <c r="K440" s="31" t="n">
        <v>39838.33333333334</v>
      </c>
      <c r="L440" s="31" t="n">
        <v>37747.5</v>
      </c>
      <c r="M440" s="36" t="n">
        <v>0.7421807993181856</v>
      </c>
      <c r="N440" s="36" t="n">
        <v>0.6668155085160875</v>
      </c>
      <c r="O440" s="36" t="n">
        <v>-0.08512820512820518</v>
      </c>
      <c r="P440" s="36" t="n">
        <v>0.3273809523809523</v>
      </c>
      <c r="Q440" s="36" t="n">
        <v>0.1094527363184079</v>
      </c>
      <c r="R440" s="36" t="n">
        <v>-0.01469126256489561</v>
      </c>
      <c r="S440" s="36" t="n">
        <v>0.1195247458478015</v>
      </c>
      <c r="T440" s="36" t="n">
        <v>0.1815352010066893</v>
      </c>
      <c r="U440" s="31" t="n">
        <v>57100</v>
      </c>
      <c r="V440" s="31" t="n">
        <v>29200</v>
      </c>
      <c r="W440" s="36" t="n">
        <v>-0.2189141856392294</v>
      </c>
      <c r="X440" s="36" t="n">
        <v>0.5273972602739727</v>
      </c>
      <c r="Y440" s="31" t="n">
        <v>43617167</v>
      </c>
      <c r="Z440" s="31" t="n">
        <v>1945325648200</v>
      </c>
      <c r="AA440" s="31" t="n">
        <v>8953494600</v>
      </c>
      <c r="AB440" s="31" t="n">
        <v>18231052992.5</v>
      </c>
      <c r="AC440" s="36" t="n">
        <v>0.004602568525369839</v>
      </c>
      <c r="AD440" s="29" t="inlineStr">
        <is>
          <t>yfinance_download</t>
        </is>
      </c>
      <c r="AE440" s="29" t="inlineStr">
        <is>
          <t>000990.KS</t>
        </is>
      </c>
    </row>
    <row r="441" ht="24" customHeight="1">
      <c r="A441" s="24" t="inlineStr">
        <is>
          <t>2025-03-28</t>
        </is>
      </c>
      <c r="B441" s="30" t="n">
        <v>44150</v>
      </c>
      <c r="C441" s="30" t="n">
        <v>44400</v>
      </c>
      <c r="D441" s="30" t="n">
        <v>43050</v>
      </c>
      <c r="E441" s="30" t="n">
        <v>44000</v>
      </c>
      <c r="F441" s="30" t="n">
        <v>43604</v>
      </c>
      <c r="G441" s="30" t="n">
        <v>168209</v>
      </c>
      <c r="H441" s="35" t="n">
        <v>-0.01345291479820632</v>
      </c>
      <c r="I441" s="35" t="n">
        <v>-0.4817432273262662</v>
      </c>
      <c r="J441" s="30" t="n">
        <v>45057.5</v>
      </c>
      <c r="K441" s="30" t="n">
        <v>40005.83333333334</v>
      </c>
      <c r="L441" s="30" t="n">
        <v>37773.33333333334</v>
      </c>
      <c r="M441" s="35" t="n">
        <v>0.7423745461380916</v>
      </c>
      <c r="N441" s="35" t="n">
        <v>0.6678698786738634</v>
      </c>
      <c r="O441" s="35" t="n">
        <v>-0.08618899273104885</v>
      </c>
      <c r="P441" s="35" t="n">
        <v>0.2960235640648012</v>
      </c>
      <c r="Q441" s="35" t="n">
        <v>0.07579462102689494</v>
      </c>
      <c r="R441" s="35" t="n">
        <v>-0.02347001054208508</v>
      </c>
      <c r="S441" s="35" t="n">
        <v>0.09983960672401926</v>
      </c>
      <c r="T441" s="35" t="n">
        <v>0.1648429226967878</v>
      </c>
      <c r="U441" s="30" t="n">
        <v>57100</v>
      </c>
      <c r="V441" s="30" t="n">
        <v>29200</v>
      </c>
      <c r="W441" s="35" t="n">
        <v>-0.2294220665499125</v>
      </c>
      <c r="X441" s="35" t="n">
        <v>0.5068493150684932</v>
      </c>
      <c r="Y441" s="30" t="n">
        <v>43617167</v>
      </c>
      <c r="Z441" s="30" t="n">
        <v>1919155348000</v>
      </c>
      <c r="AA441" s="30" t="n">
        <v>7401196000</v>
      </c>
      <c r="AB441" s="30" t="n">
        <v>17905501780</v>
      </c>
      <c r="AC441" s="35" t="n">
        <v>0.003856486139964111</v>
      </c>
      <c r="AD441" s="24" t="inlineStr">
        <is>
          <t>yfinance_download</t>
        </is>
      </c>
      <c r="AE441" s="24" t="inlineStr">
        <is>
          <t>000990.KS</t>
        </is>
      </c>
    </row>
    <row r="442" ht="24" customHeight="1">
      <c r="A442" s="29" t="inlineStr">
        <is>
          <t>2025-03-31</t>
        </is>
      </c>
      <c r="B442" s="31" t="n">
        <v>42950</v>
      </c>
      <c r="C442" s="31" t="n">
        <v>43500</v>
      </c>
      <c r="D442" s="31" t="n">
        <v>42550</v>
      </c>
      <c r="E442" s="31" t="n">
        <v>42750</v>
      </c>
      <c r="F442" s="31" t="n">
        <v>42365.25</v>
      </c>
      <c r="G442" s="31" t="n">
        <v>137750</v>
      </c>
      <c r="H442" s="36" t="n">
        <v>-0.02840909090909094</v>
      </c>
      <c r="I442" s="36" t="n">
        <v>-0.4964664310954063</v>
      </c>
      <c r="J442" s="31" t="n">
        <v>45035</v>
      </c>
      <c r="K442" s="31" t="n">
        <v>40167.5</v>
      </c>
      <c r="L442" s="31" t="n">
        <v>37791.25</v>
      </c>
      <c r="M442" s="36" t="n">
        <v>0.6517446387469719</v>
      </c>
      <c r="N442" s="36" t="n">
        <v>0.6682661223682737</v>
      </c>
      <c r="O442" s="36" t="n">
        <v>-0.01041666666666663</v>
      </c>
      <c r="P442" s="36" t="n">
        <v>0.2934947049924357</v>
      </c>
      <c r="Q442" s="36" t="n">
        <v>0.05295566502463056</v>
      </c>
      <c r="R442" s="36" t="n">
        <v>-0.05073831464416567</v>
      </c>
      <c r="S442" s="36" t="n">
        <v>0.06429327192381895</v>
      </c>
      <c r="T442" s="36" t="n">
        <v>0.1312142360996262</v>
      </c>
      <c r="U442" s="31" t="n">
        <v>57100</v>
      </c>
      <c r="V442" s="31" t="n">
        <v>29200</v>
      </c>
      <c r="W442" s="36" t="n">
        <v>-0.2513134851138353</v>
      </c>
      <c r="X442" s="36" t="n">
        <v>0.4640410958904109</v>
      </c>
      <c r="Y442" s="31" t="n">
        <v>43617167</v>
      </c>
      <c r="Z442" s="31" t="n">
        <v>1864633889250</v>
      </c>
      <c r="AA442" s="31" t="n">
        <v>5888812500</v>
      </c>
      <c r="AB442" s="31" t="n">
        <v>16708334965</v>
      </c>
      <c r="AC442" s="36" t="n">
        <v>0.003158160180371183</v>
      </c>
      <c r="AD442" s="29" t="inlineStr">
        <is>
          <t>yfinance_download</t>
        </is>
      </c>
      <c r="AE442" s="29" t="inlineStr">
        <is>
          <t>000990.KS</t>
        </is>
      </c>
    </row>
    <row r="443" ht="24" customHeight="1">
      <c r="A443" s="24" t="inlineStr">
        <is>
          <t>2025-04-01</t>
        </is>
      </c>
      <c r="B443" s="30" t="n">
        <v>43100</v>
      </c>
      <c r="C443" s="30" t="n">
        <v>44500</v>
      </c>
      <c r="D443" s="30" t="n">
        <v>43100</v>
      </c>
      <c r="E443" s="30" t="n">
        <v>44150</v>
      </c>
      <c r="F443" s="30" t="n">
        <v>43752.6484375</v>
      </c>
      <c r="G443" s="30" t="n">
        <v>115633</v>
      </c>
      <c r="H443" s="35" t="n">
        <v>0.03274853801169586</v>
      </c>
      <c r="I443" s="35" t="n">
        <v>-0.4799764428739693</v>
      </c>
      <c r="J443" s="30" t="n">
        <v>45005</v>
      </c>
      <c r="K443" s="30" t="n">
        <v>40375</v>
      </c>
      <c r="L443" s="30" t="n">
        <v>37823.33333333334</v>
      </c>
      <c r="M443" s="35" t="n">
        <v>0.6495673465436698</v>
      </c>
      <c r="N443" s="35" t="n">
        <v>0.6636330082489714</v>
      </c>
      <c r="O443" s="35" t="n">
        <v>-0.01340782122905027</v>
      </c>
      <c r="P443" s="35" t="n">
        <v>0.3927444794952681</v>
      </c>
      <c r="Q443" s="35" t="n">
        <v>0.09553349875930528</v>
      </c>
      <c r="R443" s="35" t="n">
        <v>-0.0189978891234307</v>
      </c>
      <c r="S443" s="35" t="n">
        <v>0.09349845201238383</v>
      </c>
      <c r="T443" s="35" t="n">
        <v>0.1672688816427248</v>
      </c>
      <c r="U443" s="30" t="n">
        <v>57100</v>
      </c>
      <c r="V443" s="30" t="n">
        <v>29200</v>
      </c>
      <c r="W443" s="35" t="n">
        <v>-0.2267950963222417</v>
      </c>
      <c r="X443" s="35" t="n">
        <v>0.5119863013698631</v>
      </c>
      <c r="Y443" s="30" t="n">
        <v>43617167</v>
      </c>
      <c r="Z443" s="30" t="n">
        <v>1925697923050</v>
      </c>
      <c r="AA443" s="30" t="n">
        <v>5105196950</v>
      </c>
      <c r="AB443" s="30" t="n">
        <v>15938685562.5</v>
      </c>
      <c r="AC443" s="35" t="n">
        <v>0.00265108919155616</v>
      </c>
      <c r="AD443" s="24" t="inlineStr">
        <is>
          <t>yfinance_download</t>
        </is>
      </c>
      <c r="AE443" s="24" t="inlineStr">
        <is>
          <t>000990.KS</t>
        </is>
      </c>
    </row>
    <row r="444" ht="24" customHeight="1">
      <c r="A444" s="29" t="inlineStr">
        <is>
          <t>2025-04-02</t>
        </is>
      </c>
      <c r="B444" s="31" t="n">
        <v>44700</v>
      </c>
      <c r="C444" s="31" t="n">
        <v>44950</v>
      </c>
      <c r="D444" s="31" t="n">
        <v>43500</v>
      </c>
      <c r="E444" s="31" t="n">
        <v>43500</v>
      </c>
      <c r="F444" s="31" t="n">
        <v>43108.5</v>
      </c>
      <c r="G444" s="31" t="n">
        <v>98101</v>
      </c>
      <c r="H444" s="36" t="n">
        <v>-0.01472253680634206</v>
      </c>
      <c r="I444" s="36" t="n">
        <v>-0.4876325088339223</v>
      </c>
      <c r="J444" s="31" t="n">
        <v>44955</v>
      </c>
      <c r="K444" s="31" t="n">
        <v>40547.5</v>
      </c>
      <c r="L444" s="31" t="n">
        <v>37848.75</v>
      </c>
      <c r="M444" s="36" t="n">
        <v>0.6514391224236085</v>
      </c>
      <c r="N444" s="36" t="n">
        <v>0.6598733794454639</v>
      </c>
      <c r="O444" s="36" t="n">
        <v>-0.02247191011235961</v>
      </c>
      <c r="P444" s="36" t="n">
        <v>0.3122171945701357</v>
      </c>
      <c r="Q444" s="36" t="n">
        <v>0.07540173053152044</v>
      </c>
      <c r="R444" s="36" t="n">
        <v>-0.03236569903236575</v>
      </c>
      <c r="S444" s="36" t="n">
        <v>0.07281583328195329</v>
      </c>
      <c r="T444" s="36" t="n">
        <v>0.149311403943327</v>
      </c>
      <c r="U444" s="31" t="n">
        <v>57100</v>
      </c>
      <c r="V444" s="31" t="n">
        <v>29200</v>
      </c>
      <c r="W444" s="36" t="n">
        <v>-0.2381786339754816</v>
      </c>
      <c r="X444" s="36" t="n">
        <v>0.4897260273972603</v>
      </c>
      <c r="Y444" s="31" t="n">
        <v>43617167</v>
      </c>
      <c r="Z444" s="31" t="n">
        <v>1897346764500</v>
      </c>
      <c r="AA444" s="31" t="n">
        <v>4267393500</v>
      </c>
      <c r="AB444" s="31" t="n">
        <v>15600931637.5</v>
      </c>
      <c r="AC444" s="36" t="n">
        <v>0.002249137363735705</v>
      </c>
      <c r="AD444" s="29" t="inlineStr">
        <is>
          <t>yfinance_download</t>
        </is>
      </c>
      <c r="AE444" s="29" t="inlineStr">
        <is>
          <t>000990.KS</t>
        </is>
      </c>
    </row>
    <row r="445" ht="24" customHeight="1">
      <c r="A445" s="24" t="inlineStr">
        <is>
          <t>2025-04-03</t>
        </is>
      </c>
      <c r="B445" s="30" t="n">
        <v>42500</v>
      </c>
      <c r="C445" s="30" t="n">
        <v>44300</v>
      </c>
      <c r="D445" s="30" t="n">
        <v>42300</v>
      </c>
      <c r="E445" s="30" t="n">
        <v>43600</v>
      </c>
      <c r="F445" s="30" t="n">
        <v>43207.6015625</v>
      </c>
      <c r="G445" s="30" t="n">
        <v>118561</v>
      </c>
      <c r="H445" s="35" t="n">
        <v>0.002298850574712574</v>
      </c>
      <c r="I445" s="35" t="n">
        <v>-0.4864546525323911</v>
      </c>
      <c r="J445" s="30" t="n">
        <v>45115</v>
      </c>
      <c r="K445" s="30" t="n">
        <v>40725.83333333334</v>
      </c>
      <c r="L445" s="30" t="n">
        <v>37872.5</v>
      </c>
      <c r="M445" s="35" t="n">
        <v>0.5538756505386687</v>
      </c>
      <c r="N445" s="35" t="n">
        <v>0.6593588466597119</v>
      </c>
      <c r="O445" s="35" t="n">
        <v>0.07920792079207928</v>
      </c>
      <c r="P445" s="35" t="n">
        <v>0.3252279635258359</v>
      </c>
      <c r="Q445" s="35" t="n">
        <v>0.06993865030674851</v>
      </c>
      <c r="R445" s="35" t="n">
        <v>-0.03358084894159374</v>
      </c>
      <c r="S445" s="35" t="n">
        <v>0.07057355077653416</v>
      </c>
      <c r="T445" s="35" t="n">
        <v>0.1512311043633243</v>
      </c>
      <c r="U445" s="30" t="n">
        <v>57100</v>
      </c>
      <c r="V445" s="30" t="n">
        <v>29200</v>
      </c>
      <c r="W445" s="35" t="n">
        <v>-0.2364273204903677</v>
      </c>
      <c r="X445" s="35" t="n">
        <v>0.4931506849315068</v>
      </c>
      <c r="Y445" s="30" t="n">
        <v>43617167</v>
      </c>
      <c r="Z445" s="30" t="n">
        <v>1901708481200</v>
      </c>
      <c r="AA445" s="30" t="n">
        <v>5169259600</v>
      </c>
      <c r="AB445" s="30" t="n">
        <v>14613545477.5</v>
      </c>
      <c r="AC445" s="35" t="n">
        <v>0.002718218723375592</v>
      </c>
      <c r="AD445" s="24" t="inlineStr">
        <is>
          <t>yfinance_download</t>
        </is>
      </c>
      <c r="AE445" s="24" t="inlineStr">
        <is>
          <t>000990.KS</t>
        </is>
      </c>
    </row>
    <row r="446" ht="24" customHeight="1">
      <c r="A446" s="29" t="inlineStr">
        <is>
          <t>2025-04-04</t>
        </is>
      </c>
      <c r="B446" s="31" t="n">
        <v>42000</v>
      </c>
      <c r="C446" s="31" t="n">
        <v>43150</v>
      </c>
      <c r="D446" s="31" t="n">
        <v>41000</v>
      </c>
      <c r="E446" s="31" t="n">
        <v>41500</v>
      </c>
      <c r="F446" s="31" t="n">
        <v>41126.5</v>
      </c>
      <c r="G446" s="31" t="n">
        <v>285714</v>
      </c>
      <c r="H446" s="36" t="n">
        <v>-0.04816513761467889</v>
      </c>
      <c r="I446" s="36" t="n">
        <v>-0.5111896348645466</v>
      </c>
      <c r="J446" s="31" t="n">
        <v>45110</v>
      </c>
      <c r="K446" s="31" t="n">
        <v>40866.66666666666</v>
      </c>
      <c r="L446" s="31" t="n">
        <v>37873.75</v>
      </c>
      <c r="M446" s="36" t="n">
        <v>0.5752274684751383</v>
      </c>
      <c r="N446" s="36" t="n">
        <v>0.6684828459218298</v>
      </c>
      <c r="O446" s="36" t="n">
        <v>-0.002403846153846145</v>
      </c>
      <c r="P446" s="36" t="n">
        <v>0.2556732223903178</v>
      </c>
      <c r="Q446" s="36" t="n">
        <v>0.00362756952841603</v>
      </c>
      <c r="R446" s="36" t="n">
        <v>-0.08002660164043451</v>
      </c>
      <c r="S446" s="36" t="n">
        <v>0.01549755301794464</v>
      </c>
      <c r="T446" s="36" t="n">
        <v>0.0957457341826462</v>
      </c>
      <c r="U446" s="31" t="n">
        <v>57100</v>
      </c>
      <c r="V446" s="31" t="n">
        <v>29200</v>
      </c>
      <c r="W446" s="36" t="n">
        <v>-0.2732049036777583</v>
      </c>
      <c r="X446" s="36" t="n">
        <v>0.4212328767123288</v>
      </c>
      <c r="Y446" s="31" t="n">
        <v>43617167</v>
      </c>
      <c r="Z446" s="31" t="n">
        <v>1810112430500</v>
      </c>
      <c r="AA446" s="31" t="n">
        <v>11857131000</v>
      </c>
      <c r="AB446" s="31" t="n">
        <v>14470805867.5</v>
      </c>
      <c r="AC446" s="36" t="n">
        <v>0.00655049421251958</v>
      </c>
      <c r="AD446" s="29" t="inlineStr">
        <is>
          <t>yfinance_download</t>
        </is>
      </c>
      <c r="AE446" s="29" t="inlineStr">
        <is>
          <t>000990.KS</t>
        </is>
      </c>
    </row>
    <row r="447" ht="24" customHeight="1">
      <c r="A447" s="24" t="inlineStr">
        <is>
          <t>2025-04-07</t>
        </is>
      </c>
      <c r="B447" s="30" t="n">
        <v>40000</v>
      </c>
      <c r="C447" s="30" t="n">
        <v>40100</v>
      </c>
      <c r="D447" s="30" t="n">
        <v>37600</v>
      </c>
      <c r="E447" s="30" t="n">
        <v>37800</v>
      </c>
      <c r="F447" s="30" t="n">
        <v>37459.80078125</v>
      </c>
      <c r="G447" s="30" t="n">
        <v>378358</v>
      </c>
      <c r="H447" s="35" t="n">
        <v>-0.08915662650602407</v>
      </c>
      <c r="I447" s="35" t="n">
        <v>-0.5547703180212014</v>
      </c>
      <c r="J447" s="30" t="n">
        <v>44730</v>
      </c>
      <c r="K447" s="30" t="n">
        <v>40927.5</v>
      </c>
      <c r="L447" s="30" t="n">
        <v>37854.16666666666</v>
      </c>
      <c r="M447" s="35" t="n">
        <v>0.5535367434586517</v>
      </c>
      <c r="N447" s="35" t="n">
        <v>0.6927429906469059</v>
      </c>
      <c r="O447" s="35" t="n">
        <v>-0.1674008810572687</v>
      </c>
      <c r="P447" s="35" t="n">
        <v>0.1068814055636895</v>
      </c>
      <c r="Q447" s="35" t="n">
        <v>-0.05853051058530512</v>
      </c>
      <c r="R447" s="35" t="n">
        <v>-0.1549295774647887</v>
      </c>
      <c r="S447" s="35" t="n">
        <v>-0.07641561297416166</v>
      </c>
      <c r="T447" s="35" t="n">
        <v>-0.001430930104567851</v>
      </c>
      <c r="U447" s="30" t="n">
        <v>57100</v>
      </c>
      <c r="V447" s="30" t="n">
        <v>29200</v>
      </c>
      <c r="W447" s="35" t="n">
        <v>-0.3380035026269702</v>
      </c>
      <c r="X447" s="35" t="n">
        <v>0.2945205479452055</v>
      </c>
      <c r="Y447" s="30" t="n">
        <v>43617167</v>
      </c>
      <c r="Z447" s="30" t="n">
        <v>1648728912600</v>
      </c>
      <c r="AA447" s="30" t="n">
        <v>14301932400</v>
      </c>
      <c r="AB447" s="30" t="n">
        <v>13555633887.5</v>
      </c>
      <c r="AC447" s="35" t="n">
        <v>0.008674520286931978</v>
      </c>
      <c r="AD447" s="24" t="inlineStr">
        <is>
          <t>yfinance_download</t>
        </is>
      </c>
      <c r="AE447" s="24" t="inlineStr">
        <is>
          <t>000990.KS</t>
        </is>
      </c>
    </row>
    <row r="448" ht="24" customHeight="1">
      <c r="A448" s="29" t="inlineStr">
        <is>
          <t>2025-04-08</t>
        </is>
      </c>
      <c r="B448" s="31" t="n">
        <v>39000</v>
      </c>
      <c r="C448" s="31" t="n">
        <v>39600</v>
      </c>
      <c r="D448" s="31" t="n">
        <v>38200</v>
      </c>
      <c r="E448" s="31" t="n">
        <v>38200</v>
      </c>
      <c r="F448" s="31" t="n">
        <v>37856.19921875</v>
      </c>
      <c r="G448" s="31" t="n">
        <v>167427</v>
      </c>
      <c r="H448" s="36" t="n">
        <v>0.01058201058201069</v>
      </c>
      <c r="I448" s="36" t="n">
        <v>-0.5500588928150766</v>
      </c>
      <c r="J448" s="31" t="n">
        <v>44440</v>
      </c>
      <c r="K448" s="31" t="n">
        <v>40999.16666666666</v>
      </c>
      <c r="L448" s="31" t="n">
        <v>37840.83333333334</v>
      </c>
      <c r="M448" s="36" t="n">
        <v>0.5509187847449658</v>
      </c>
      <c r="N448" s="36" t="n">
        <v>0.6926177121145921</v>
      </c>
      <c r="O448" s="36" t="n">
        <v>-0.1318181818181818</v>
      </c>
      <c r="P448" s="36" t="n">
        <v>0.126843657817109</v>
      </c>
      <c r="Q448" s="36" t="n">
        <v>-0.04020100502512558</v>
      </c>
      <c r="R448" s="36" t="n">
        <v>-0.1404140414041404</v>
      </c>
      <c r="S448" s="36" t="n">
        <v>-0.06827374540132924</v>
      </c>
      <c r="T448" s="36" t="n">
        <v>0.009491510493514488</v>
      </c>
      <c r="U448" s="31" t="n">
        <v>57100</v>
      </c>
      <c r="V448" s="31" t="n">
        <v>29200</v>
      </c>
      <c r="W448" s="36" t="n">
        <v>-0.3309982486865148</v>
      </c>
      <c r="X448" s="36" t="n">
        <v>0.3082191780821917</v>
      </c>
      <c r="Y448" s="31" t="n">
        <v>43617167</v>
      </c>
      <c r="Z448" s="31" t="n">
        <v>1666175779400</v>
      </c>
      <c r="AA448" s="31" t="n">
        <v>6395711400</v>
      </c>
      <c r="AB448" s="31" t="n">
        <v>13241672057.5</v>
      </c>
      <c r="AC448" s="36" t="n">
        <v>0.003838557419375724</v>
      </c>
      <c r="AD448" s="29" t="inlineStr">
        <is>
          <t>yfinance_download</t>
        </is>
      </c>
      <c r="AE448" s="29" t="inlineStr">
        <is>
          <t>000990.KS</t>
        </is>
      </c>
    </row>
    <row r="449" ht="24" customHeight="1">
      <c r="A449" s="24" t="inlineStr">
        <is>
          <t>2025-04-09</t>
        </is>
      </c>
      <c r="B449" s="30" t="n">
        <v>37450</v>
      </c>
      <c r="C449" s="30" t="n">
        <v>38350</v>
      </c>
      <c r="D449" s="30" t="n">
        <v>36450</v>
      </c>
      <c r="E449" s="30" t="n">
        <v>36750</v>
      </c>
      <c r="F449" s="30" t="n">
        <v>36419.25</v>
      </c>
      <c r="G449" s="30" t="n">
        <v>195585</v>
      </c>
      <c r="H449" s="35" t="n">
        <v>-0.0379581151832461</v>
      </c>
      <c r="I449" s="35" t="n">
        <v>-0.5671378091872792</v>
      </c>
      <c r="J449" s="30" t="n">
        <v>44010</v>
      </c>
      <c r="K449" s="30" t="n">
        <v>41038.33333333334</v>
      </c>
      <c r="L449" s="30" t="n">
        <v>37809.58333333334</v>
      </c>
      <c r="M449" s="35" t="n">
        <v>0.5433677789101764</v>
      </c>
      <c r="N449" s="35" t="n">
        <v>0.6971791232541215</v>
      </c>
      <c r="O449" s="35" t="n">
        <v>-0.1896361631753032</v>
      </c>
      <c r="P449" s="35" t="n">
        <v>0.0683139534883721</v>
      </c>
      <c r="Q449" s="35" t="n">
        <v>-0.09259259259259256</v>
      </c>
      <c r="R449" s="35" t="n">
        <v>-0.1649625085207908</v>
      </c>
      <c r="S449" s="35" t="n">
        <v>-0.104495796612923</v>
      </c>
      <c r="T449" s="35" t="n">
        <v>-0.02802420021379071</v>
      </c>
      <c r="U449" s="30" t="n">
        <v>57100</v>
      </c>
      <c r="V449" s="30" t="n">
        <v>29200</v>
      </c>
      <c r="W449" s="35" t="n">
        <v>-0.3563922942206655</v>
      </c>
      <c r="X449" s="35" t="n">
        <v>0.2585616438356164</v>
      </c>
      <c r="Y449" s="30" t="n">
        <v>43617167</v>
      </c>
      <c r="Z449" s="30" t="n">
        <v>1602930887250</v>
      </c>
      <c r="AA449" s="30" t="n">
        <v>7187748750</v>
      </c>
      <c r="AB449" s="30" t="n">
        <v>12955651900</v>
      </c>
      <c r="AC449" s="35" t="n">
        <v>0.004484128921073668</v>
      </c>
      <c r="AD449" s="24" t="inlineStr">
        <is>
          <t>yfinance_download</t>
        </is>
      </c>
      <c r="AE449" s="24" t="inlineStr">
        <is>
          <t>000990.KS</t>
        </is>
      </c>
    </row>
    <row r="450" ht="24" customHeight="1">
      <c r="A450" s="29" t="inlineStr">
        <is>
          <t>2025-04-10</t>
        </is>
      </c>
      <c r="B450" s="31" t="n">
        <v>39900</v>
      </c>
      <c r="C450" s="31" t="n">
        <v>39900</v>
      </c>
      <c r="D450" s="31" t="n">
        <v>39050</v>
      </c>
      <c r="E450" s="31" t="n">
        <v>39650</v>
      </c>
      <c r="F450" s="31" t="n">
        <v>39293.1484375</v>
      </c>
      <c r="G450" s="31" t="n">
        <v>168542</v>
      </c>
      <c r="H450" s="36" t="n">
        <v>0.07891156462585025</v>
      </c>
      <c r="I450" s="36" t="n">
        <v>-0.532979976442874</v>
      </c>
      <c r="J450" s="31" t="n">
        <v>43800</v>
      </c>
      <c r="K450" s="31" t="n">
        <v>41132.5</v>
      </c>
      <c r="L450" s="31" t="n">
        <v>37802.5</v>
      </c>
      <c r="M450" s="36" t="n">
        <v>0.6199983680054542</v>
      </c>
      <c r="N450" s="36" t="n">
        <v>0.7140865575776408</v>
      </c>
      <c r="O450" s="36" t="n">
        <v>-0.09578107183580387</v>
      </c>
      <c r="P450" s="36" t="n">
        <v>0.1661764705882354</v>
      </c>
      <c r="Q450" s="36" t="n">
        <v>-0.0209876543209877</v>
      </c>
      <c r="R450" s="36" t="n">
        <v>-0.09474885844748859</v>
      </c>
      <c r="S450" s="36" t="n">
        <v>-0.03604205919893033</v>
      </c>
      <c r="T450" s="36" t="n">
        <v>0.04887242907215139</v>
      </c>
      <c r="U450" s="31" t="n">
        <v>57100</v>
      </c>
      <c r="V450" s="31" t="n">
        <v>29200</v>
      </c>
      <c r="W450" s="36" t="n">
        <v>-0.3056042031523643</v>
      </c>
      <c r="X450" s="36" t="n">
        <v>0.3578767123287672</v>
      </c>
      <c r="Y450" s="31" t="n">
        <v>43617167</v>
      </c>
      <c r="Z450" s="31" t="n">
        <v>1729420671550</v>
      </c>
      <c r="AA450" s="31" t="n">
        <v>6682690300</v>
      </c>
      <c r="AB450" s="31" t="n">
        <v>12705307572.5</v>
      </c>
      <c r="AC450" s="36" t="n">
        <v>0.003864120748603411</v>
      </c>
      <c r="AD450" s="29" t="inlineStr">
        <is>
          <t>yfinance_download</t>
        </is>
      </c>
      <c r="AE450" s="29" t="inlineStr">
        <is>
          <t>000990.KS</t>
        </is>
      </c>
    </row>
    <row r="451" ht="24" customHeight="1">
      <c r="A451" s="24" t="inlineStr">
        <is>
          <t>2025-04-11</t>
        </is>
      </c>
      <c r="B451" s="30" t="n">
        <v>38900</v>
      </c>
      <c r="C451" s="30" t="n">
        <v>41750</v>
      </c>
      <c r="D451" s="30" t="n">
        <v>38600</v>
      </c>
      <c r="E451" s="30" t="n">
        <v>41600</v>
      </c>
      <c r="F451" s="30" t="n">
        <v>41225.6015625</v>
      </c>
      <c r="G451" s="30" t="n">
        <v>288987</v>
      </c>
      <c r="H451" s="35" t="n">
        <v>0.04918032786885251</v>
      </c>
      <c r="I451" s="35" t="n">
        <v>-0.5100117785630154</v>
      </c>
      <c r="J451" s="30" t="n">
        <v>43645</v>
      </c>
      <c r="K451" s="30" t="n">
        <v>41246.66666666666</v>
      </c>
      <c r="L451" s="30" t="n">
        <v>37808.75</v>
      </c>
      <c r="M451" s="35" t="n">
        <v>0.6436600927065916</v>
      </c>
      <c r="N451" s="35" t="n">
        <v>0.7192345153195316</v>
      </c>
      <c r="O451" s="35" t="n">
        <v>-0.06935123042505598</v>
      </c>
      <c r="P451" s="35" t="n">
        <v>0.1971223021582733</v>
      </c>
      <c r="Q451" s="35" t="n">
        <v>0.01835985312117505</v>
      </c>
      <c r="R451" s="35" t="n">
        <v>-0.04685530988658493</v>
      </c>
      <c r="S451" s="35" t="n">
        <v>0.008566348795862266</v>
      </c>
      <c r="T451" s="35" t="n">
        <v>0.1002744073792443</v>
      </c>
      <c r="U451" s="30" t="n">
        <v>57100</v>
      </c>
      <c r="V451" s="30" t="n">
        <v>29200</v>
      </c>
      <c r="W451" s="35" t="n">
        <v>-0.2714535901926445</v>
      </c>
      <c r="X451" s="35" t="n">
        <v>0.4246575342465753</v>
      </c>
      <c r="Y451" s="30" t="n">
        <v>43617167</v>
      </c>
      <c r="Z451" s="30" t="n">
        <v>1814474147200</v>
      </c>
      <c r="AA451" s="30" t="n">
        <v>12021859200</v>
      </c>
      <c r="AB451" s="30" t="n">
        <v>12917783202.5</v>
      </c>
      <c r="AC451" s="35" t="n">
        <v>0.006625533474010359</v>
      </c>
      <c r="AD451" s="24" t="inlineStr">
        <is>
          <t>yfinance_download</t>
        </is>
      </c>
      <c r="AE451" s="24" t="inlineStr">
        <is>
          <t>000990.KS</t>
        </is>
      </c>
    </row>
    <row r="452" ht="24" customHeight="1">
      <c r="A452" s="29" t="inlineStr">
        <is>
          <t>2025-04-14</t>
        </is>
      </c>
      <c r="B452" s="31" t="n">
        <v>42250</v>
      </c>
      <c r="C452" s="31" t="n">
        <v>42500</v>
      </c>
      <c r="D452" s="31" t="n">
        <v>41250</v>
      </c>
      <c r="E452" s="31" t="n">
        <v>41750</v>
      </c>
      <c r="F452" s="31" t="n">
        <v>41374.25</v>
      </c>
      <c r="G452" s="31" t="n">
        <v>118571</v>
      </c>
      <c r="H452" s="36" t="n">
        <v>0.003605769230769162</v>
      </c>
      <c r="I452" s="36" t="n">
        <v>-0.5082449941107186</v>
      </c>
      <c r="J452" s="31" t="n">
        <v>43370</v>
      </c>
      <c r="K452" s="31" t="n">
        <v>41382.5</v>
      </c>
      <c r="L452" s="31" t="n">
        <v>37820.83333333334</v>
      </c>
      <c r="M452" s="36" t="n">
        <v>0.6045163396663599</v>
      </c>
      <c r="N452" s="36" t="n">
        <v>0.7150713749450358</v>
      </c>
      <c r="O452" s="36" t="n">
        <v>-0.1164021164021164</v>
      </c>
      <c r="P452" s="36" t="n">
        <v>0.2425595238095237</v>
      </c>
      <c r="Q452" s="36" t="n">
        <v>0.03598014888337464</v>
      </c>
      <c r="R452" s="36" t="n">
        <v>-0.03735300899239102</v>
      </c>
      <c r="S452" s="36" t="n">
        <v>0.008880565456412803</v>
      </c>
      <c r="T452" s="36" t="n">
        <v>0.1038889500936433</v>
      </c>
      <c r="U452" s="31" t="n">
        <v>57100</v>
      </c>
      <c r="V452" s="31" t="n">
        <v>29200</v>
      </c>
      <c r="W452" s="36" t="n">
        <v>-0.2688266199649737</v>
      </c>
      <c r="X452" s="36" t="n">
        <v>0.4297945205479452</v>
      </c>
      <c r="Y452" s="31" t="n">
        <v>43617167</v>
      </c>
      <c r="Z452" s="31" t="n">
        <v>1821016722250</v>
      </c>
      <c r="AA452" s="31" t="n">
        <v>4950339250</v>
      </c>
      <c r="AB452" s="31" t="n">
        <v>11819227990</v>
      </c>
      <c r="AC452" s="36" t="n">
        <v>0.002718447990902298</v>
      </c>
      <c r="AD452" s="29" t="inlineStr">
        <is>
          <t>yfinance_download</t>
        </is>
      </c>
      <c r="AE452" s="29" t="inlineStr">
        <is>
          <t>000990.KS</t>
        </is>
      </c>
    </row>
    <row r="453" ht="24" customHeight="1">
      <c r="A453" s="24" t="inlineStr">
        <is>
          <t>2025-04-15</t>
        </is>
      </c>
      <c r="B453" s="30" t="n">
        <v>41750</v>
      </c>
      <c r="C453" s="30" t="n">
        <v>42650</v>
      </c>
      <c r="D453" s="30" t="n">
        <v>41700</v>
      </c>
      <c r="E453" s="30" t="n">
        <v>41800</v>
      </c>
      <c r="F453" s="30" t="n">
        <v>41423.80078125</v>
      </c>
      <c r="G453" s="30" t="n">
        <v>65369</v>
      </c>
      <c r="H453" s="35" t="n">
        <v>0.001197604790419193</v>
      </c>
      <c r="I453" s="35" t="n">
        <v>-0.5076560659599529</v>
      </c>
      <c r="J453" s="30" t="n">
        <v>43127.5</v>
      </c>
      <c r="K453" s="30" t="n">
        <v>41529.16666666666</v>
      </c>
      <c r="L453" s="30" t="n">
        <v>37834.16666666666</v>
      </c>
      <c r="M453" s="35" t="n">
        <v>0.604326491936364</v>
      </c>
      <c r="N453" s="35" t="n">
        <v>0.7135791151797164</v>
      </c>
      <c r="O453" s="35" t="n">
        <v>-0.1039657020364416</v>
      </c>
      <c r="P453" s="35" t="n">
        <v>0.2666666666666666</v>
      </c>
      <c r="Q453" s="35" t="n">
        <v>0.03980099502487566</v>
      </c>
      <c r="R453" s="35" t="n">
        <v>-0.03078082430004059</v>
      </c>
      <c r="S453" s="35" t="n">
        <v>0.006521521019363874</v>
      </c>
      <c r="T453" s="35" t="n">
        <v>0.1048214797030904</v>
      </c>
      <c r="U453" s="30" t="n">
        <v>57100</v>
      </c>
      <c r="V453" s="30" t="n">
        <v>29200</v>
      </c>
      <c r="W453" s="35" t="n">
        <v>-0.2679509632224168</v>
      </c>
      <c r="X453" s="35" t="n">
        <v>0.4315068493150684</v>
      </c>
      <c r="Y453" s="30" t="n">
        <v>43617167</v>
      </c>
      <c r="Z453" s="30" t="n">
        <v>1823197580600</v>
      </c>
      <c r="AA453" s="30" t="n">
        <v>2732424200</v>
      </c>
      <c r="AB453" s="30" t="n">
        <v>11325073557.5</v>
      </c>
      <c r="AC453" s="35" t="n">
        <v>0.001498698895322569</v>
      </c>
      <c r="AD453" s="24" t="inlineStr">
        <is>
          <t>yfinance_download</t>
        </is>
      </c>
      <c r="AE453" s="24" t="inlineStr">
        <is>
          <t>000990.KS</t>
        </is>
      </c>
    </row>
    <row r="454" ht="24" customHeight="1">
      <c r="A454" s="29" t="inlineStr">
        <is>
          <t>2025-04-16</t>
        </is>
      </c>
      <c r="B454" s="31" t="n">
        <v>41300</v>
      </c>
      <c r="C454" s="31" t="n">
        <v>41600</v>
      </c>
      <c r="D454" s="31" t="n">
        <v>40350</v>
      </c>
      <c r="E454" s="31" t="n">
        <v>40450</v>
      </c>
      <c r="F454" s="31" t="n">
        <v>40085.94921875</v>
      </c>
      <c r="G454" s="31" t="n">
        <v>102135</v>
      </c>
      <c r="H454" s="36" t="n">
        <v>-0.03229665071770338</v>
      </c>
      <c r="I454" s="36" t="n">
        <v>-0.5235571260306242</v>
      </c>
      <c r="J454" s="31" t="n">
        <v>42822.5</v>
      </c>
      <c r="K454" s="31" t="n">
        <v>41640.83333333334</v>
      </c>
      <c r="L454" s="31" t="n">
        <v>37849.16666666666</v>
      </c>
      <c r="M454" s="36" t="n">
        <v>0.6120110014973411</v>
      </c>
      <c r="N454" s="36" t="n">
        <v>0.7166200098414079</v>
      </c>
      <c r="O454" s="36" t="n">
        <v>-0.1310418904403867</v>
      </c>
      <c r="P454" s="36" t="n">
        <v>0.1985185185185185</v>
      </c>
      <c r="Q454" s="36" t="n">
        <v>0.04657179818887447</v>
      </c>
      <c r="R454" s="36" t="n">
        <v>-0.05540311751999538</v>
      </c>
      <c r="S454" s="36" t="n">
        <v>-0.02859773059296766</v>
      </c>
      <c r="T454" s="36" t="n">
        <v>0.06871573570532163</v>
      </c>
      <c r="U454" s="31" t="n">
        <v>57100</v>
      </c>
      <c r="V454" s="31" t="n">
        <v>29200</v>
      </c>
      <c r="W454" s="36" t="n">
        <v>-0.2915936952714536</v>
      </c>
      <c r="X454" s="36" t="n">
        <v>0.3852739726027397</v>
      </c>
      <c r="Y454" s="31" t="n">
        <v>43617167</v>
      </c>
      <c r="Z454" s="31" t="n">
        <v>1764314405150</v>
      </c>
      <c r="AA454" s="31" t="n">
        <v>4131360750</v>
      </c>
      <c r="AB454" s="31" t="n">
        <v>10778567332.5</v>
      </c>
      <c r="AC454" s="36" t="n">
        <v>0.002341623884008789</v>
      </c>
      <c r="AD454" s="29" t="inlineStr">
        <is>
          <t>yfinance_download</t>
        </is>
      </c>
      <c r="AE454" s="29" t="inlineStr">
        <is>
          <t>000990.KS</t>
        </is>
      </c>
    </row>
    <row r="455" ht="24" customHeight="1">
      <c r="A455" s="24" t="inlineStr">
        <is>
          <t>2025-04-17</t>
        </is>
      </c>
      <c r="B455" s="30" t="n">
        <v>39900</v>
      </c>
      <c r="C455" s="30" t="n">
        <v>41000</v>
      </c>
      <c r="D455" s="30" t="n">
        <v>39850</v>
      </c>
      <c r="E455" s="30" t="n">
        <v>40800</v>
      </c>
      <c r="F455" s="30" t="n">
        <v>40432.80078125</v>
      </c>
      <c r="G455" s="30" t="n">
        <v>115573</v>
      </c>
      <c r="H455" s="35" t="n">
        <v>0.008652657601977642</v>
      </c>
      <c r="I455" s="35" t="n">
        <v>-0.519434628975265</v>
      </c>
      <c r="J455" s="30" t="n">
        <v>42475</v>
      </c>
      <c r="K455" s="30" t="n">
        <v>41762.5</v>
      </c>
      <c r="L455" s="30" t="n">
        <v>37873.75</v>
      </c>
      <c r="M455" s="35" t="n">
        <v>0.60306334782064</v>
      </c>
      <c r="N455" s="35" t="n">
        <v>0.7162829285097292</v>
      </c>
      <c r="O455" s="35" t="n">
        <v>-0.1455497382198953</v>
      </c>
      <c r="P455" s="35" t="n">
        <v>0.2179104477611939</v>
      </c>
      <c r="Q455" s="35" t="n">
        <v>0.0779392338177014</v>
      </c>
      <c r="R455" s="35" t="n">
        <v>-0.03943496174220129</v>
      </c>
      <c r="S455" s="35" t="n">
        <v>-0.02304699191858728</v>
      </c>
      <c r="T455" s="35" t="n">
        <v>0.07726327601571015</v>
      </c>
      <c r="U455" s="30" t="n">
        <v>57100</v>
      </c>
      <c r="V455" s="30" t="n">
        <v>29200</v>
      </c>
      <c r="W455" s="35" t="n">
        <v>-0.2854640980735552</v>
      </c>
      <c r="X455" s="35" t="n">
        <v>0.3972602739726028</v>
      </c>
      <c r="Y455" s="30" t="n">
        <v>43617167</v>
      </c>
      <c r="Z455" s="30" t="n">
        <v>1779580413600</v>
      </c>
      <c r="AA455" s="30" t="n">
        <v>4715378400</v>
      </c>
      <c r="AB455" s="30" t="n">
        <v>9601148740</v>
      </c>
      <c r="AC455" s="35" t="n">
        <v>0.002649713586395925</v>
      </c>
      <c r="AD455" s="24" t="inlineStr">
        <is>
          <t>yfinance_download</t>
        </is>
      </c>
      <c r="AE455" s="24" t="inlineStr">
        <is>
          <t>000990.KS</t>
        </is>
      </c>
    </row>
    <row r="456" ht="24" customHeight="1">
      <c r="A456" s="29" t="inlineStr">
        <is>
          <t>2025-04-18</t>
        </is>
      </c>
      <c r="B456" s="31" t="n">
        <v>40550</v>
      </c>
      <c r="C456" s="31" t="n">
        <v>40950</v>
      </c>
      <c r="D456" s="31" t="n">
        <v>40050</v>
      </c>
      <c r="E456" s="31" t="n">
        <v>40900</v>
      </c>
      <c r="F456" s="31" t="n">
        <v>40531.8984375</v>
      </c>
      <c r="G456" s="31" t="n">
        <v>54315</v>
      </c>
      <c r="H456" s="36" t="n">
        <v>0.002450980392156854</v>
      </c>
      <c r="I456" s="36" t="n">
        <v>-0.5182567726737338</v>
      </c>
      <c r="J456" s="31" t="n">
        <v>42070</v>
      </c>
      <c r="K456" s="31" t="n">
        <v>41883.33333333334</v>
      </c>
      <c r="L456" s="31" t="n">
        <v>37907.91666666666</v>
      </c>
      <c r="M456" s="36" t="n">
        <v>0.591444044777239</v>
      </c>
      <c r="N456" s="36" t="n">
        <v>0.7162925472877638</v>
      </c>
      <c r="O456" s="36" t="n">
        <v>-0.1653061224489796</v>
      </c>
      <c r="P456" s="36" t="n">
        <v>0.2154531946508171</v>
      </c>
      <c r="Q456" s="36" t="n">
        <v>0.111413043478261</v>
      </c>
      <c r="R456" s="36" t="n">
        <v>-0.02781079153791299</v>
      </c>
      <c r="S456" s="36" t="n">
        <v>-0.02347791484281736</v>
      </c>
      <c r="T456" s="36" t="n">
        <v>0.07893030259730272</v>
      </c>
      <c r="U456" s="31" t="n">
        <v>57100</v>
      </c>
      <c r="V456" s="31" t="n">
        <v>29200</v>
      </c>
      <c r="W456" s="36" t="n">
        <v>-0.2837127845884413</v>
      </c>
      <c r="X456" s="36" t="n">
        <v>0.4006849315068493</v>
      </c>
      <c r="Y456" s="31" t="n">
        <v>43617167</v>
      </c>
      <c r="Z456" s="31" t="n">
        <v>1783942130300</v>
      </c>
      <c r="AA456" s="31" t="n">
        <v>2221483500</v>
      </c>
      <c r="AB456" s="31" t="n">
        <v>7786652765</v>
      </c>
      <c r="AC456" s="36" t="n">
        <v>0.001245266571302075</v>
      </c>
      <c r="AD456" s="29" t="inlineStr">
        <is>
          <t>yfinance_download</t>
        </is>
      </c>
      <c r="AE456" s="29" t="inlineStr">
        <is>
          <t>000990.KS</t>
        </is>
      </c>
    </row>
    <row r="457" ht="24" customHeight="1">
      <c r="A457" s="24" t="inlineStr">
        <is>
          <t>2025-04-21</t>
        </is>
      </c>
      <c r="B457" s="30" t="n">
        <v>40750</v>
      </c>
      <c r="C457" s="30" t="n">
        <v>41750</v>
      </c>
      <c r="D457" s="30" t="n">
        <v>40550</v>
      </c>
      <c r="E457" s="30" t="n">
        <v>41150</v>
      </c>
      <c r="F457" s="30" t="n">
        <v>40779.6484375</v>
      </c>
      <c r="G457" s="30" t="n">
        <v>94868</v>
      </c>
      <c r="H457" s="35" t="n">
        <v>0.006112469437652868</v>
      </c>
      <c r="I457" s="35" t="n">
        <v>-0.5153121319199058</v>
      </c>
      <c r="J457" s="30" t="n">
        <v>41737.5</v>
      </c>
      <c r="K457" s="30" t="n">
        <v>42000.83333333334</v>
      </c>
      <c r="L457" s="30" t="n">
        <v>37943.33333333334</v>
      </c>
      <c r="M457" s="35" t="n">
        <v>0.5903291932449682</v>
      </c>
      <c r="N457" s="35" t="n">
        <v>0.7160518002571409</v>
      </c>
      <c r="O457" s="35" t="n">
        <v>-0.1391213389121339</v>
      </c>
      <c r="P457" s="35" t="n">
        <v>0.2067448680351907</v>
      </c>
      <c r="Q457" s="35" t="n">
        <v>0.1151761517615175</v>
      </c>
      <c r="R457" s="35" t="n">
        <v>-0.01407607067984429</v>
      </c>
      <c r="S457" s="35" t="n">
        <v>-0.02025753457272683</v>
      </c>
      <c r="T457" s="35" t="n">
        <v>0.08451199156637079</v>
      </c>
      <c r="U457" s="30" t="n">
        <v>57100</v>
      </c>
      <c r="V457" s="30" t="n">
        <v>29200</v>
      </c>
      <c r="W457" s="35" t="n">
        <v>-0.2793345008756567</v>
      </c>
      <c r="X457" s="35" t="n">
        <v>0.4092465753424657</v>
      </c>
      <c r="Y457" s="30" t="n">
        <v>43617167</v>
      </c>
      <c r="Z457" s="30" t="n">
        <v>1794846422050</v>
      </c>
      <c r="AA457" s="30" t="n">
        <v>3903818200</v>
      </c>
      <c r="AB457" s="30" t="n">
        <v>7436450455</v>
      </c>
      <c r="AC457" s="35" t="n">
        <v>0.002175015172351749</v>
      </c>
      <c r="AD457" s="24" t="inlineStr">
        <is>
          <t>yfinance_download</t>
        </is>
      </c>
      <c r="AE457" s="24" t="inlineStr">
        <is>
          <t>000990.KS</t>
        </is>
      </c>
    </row>
    <row r="458" ht="24" customHeight="1">
      <c r="A458" s="29" t="inlineStr">
        <is>
          <t>2025-04-22</t>
        </is>
      </c>
      <c r="B458" s="31" t="n">
        <v>40500</v>
      </c>
      <c r="C458" s="31" t="n">
        <v>41200</v>
      </c>
      <c r="D458" s="31" t="n">
        <v>40050</v>
      </c>
      <c r="E458" s="31" t="n">
        <v>40200</v>
      </c>
      <c r="F458" s="31" t="n">
        <v>39838.19921875</v>
      </c>
      <c r="G458" s="31" t="n">
        <v>112401</v>
      </c>
      <c r="H458" s="36" t="n">
        <v>-0.02308626974483596</v>
      </c>
      <c r="I458" s="36" t="n">
        <v>-0.5265017667844523</v>
      </c>
      <c r="J458" s="31" t="n">
        <v>41492.5</v>
      </c>
      <c r="K458" s="31" t="n">
        <v>42101.66666666666</v>
      </c>
      <c r="L458" s="31" t="n">
        <v>37977.91666666666</v>
      </c>
      <c r="M458" s="36" t="n">
        <v>0.5643805444726073</v>
      </c>
      <c r="N458" s="36" t="n">
        <v>0.7182054945366367</v>
      </c>
      <c r="O458" s="36" t="n">
        <v>-0.1086474501108647</v>
      </c>
      <c r="P458" s="36" t="n">
        <v>0.1771595900439238</v>
      </c>
      <c r="Q458" s="36" t="n">
        <v>0.1151178918169209</v>
      </c>
      <c r="R458" s="36" t="n">
        <v>-0.031150207868892</v>
      </c>
      <c r="S458" s="36" t="n">
        <v>-0.04516844147104226</v>
      </c>
      <c r="T458" s="36" t="n">
        <v>0.05850987964496923</v>
      </c>
      <c r="U458" s="31" t="n">
        <v>57100</v>
      </c>
      <c r="V458" s="31" t="n">
        <v>29200</v>
      </c>
      <c r="W458" s="36" t="n">
        <v>-0.2959719789842382</v>
      </c>
      <c r="X458" s="36" t="n">
        <v>0.3767123287671232</v>
      </c>
      <c r="Y458" s="31" t="n">
        <v>43617167</v>
      </c>
      <c r="Z458" s="31" t="n">
        <v>1753410113400</v>
      </c>
      <c r="AA458" s="31" t="n">
        <v>4518520200</v>
      </c>
      <c r="AB458" s="31" t="n">
        <v>6701092515</v>
      </c>
      <c r="AC458" s="36" t="n">
        <v>0.002576989926924873</v>
      </c>
      <c r="AD458" s="29" t="inlineStr">
        <is>
          <t>yfinance_download</t>
        </is>
      </c>
      <c r="AE458" s="29" t="inlineStr">
        <is>
          <t>000990.KS</t>
        </is>
      </c>
    </row>
    <row r="459" ht="24" customHeight="1">
      <c r="A459" s="24" t="inlineStr">
        <is>
          <t>2025-04-23</t>
        </is>
      </c>
      <c r="B459" s="30" t="n">
        <v>41000</v>
      </c>
      <c r="C459" s="30" t="n">
        <v>41150</v>
      </c>
      <c r="D459" s="30" t="n">
        <v>40150</v>
      </c>
      <c r="E459" s="30" t="n">
        <v>40900</v>
      </c>
      <c r="F459" s="30" t="n">
        <v>40531.8984375</v>
      </c>
      <c r="G459" s="30" t="n">
        <v>124519</v>
      </c>
      <c r="H459" s="35" t="n">
        <v>0.01741293532338317</v>
      </c>
      <c r="I459" s="35" t="n">
        <v>-0.5182567726737338</v>
      </c>
      <c r="J459" s="30" t="n">
        <v>41302.5</v>
      </c>
      <c r="K459" s="30" t="n">
        <v>42209.16666666666</v>
      </c>
      <c r="L459" s="30" t="n">
        <v>38022.08333333334</v>
      </c>
      <c r="M459" s="35" t="n">
        <v>0.5697564896403833</v>
      </c>
      <c r="N459" s="35" t="n">
        <v>0.7186832452258315</v>
      </c>
      <c r="O459" s="35" t="n">
        <v>-0.08501118568232657</v>
      </c>
      <c r="P459" s="35" t="n">
        <v>0.1872278664731495</v>
      </c>
      <c r="Q459" s="35" t="n">
        <v>0.148876404494382</v>
      </c>
      <c r="R459" s="35" t="n">
        <v>-0.009745172810362579</v>
      </c>
      <c r="S459" s="35" t="n">
        <v>-0.03101616947345553</v>
      </c>
      <c r="T459" s="35" t="n">
        <v>0.07569066222480347</v>
      </c>
      <c r="U459" s="30" t="n">
        <v>57100</v>
      </c>
      <c r="V459" s="30" t="n">
        <v>29200</v>
      </c>
      <c r="W459" s="35" t="n">
        <v>-0.2837127845884413</v>
      </c>
      <c r="X459" s="35" t="n">
        <v>0.4006849315068493</v>
      </c>
      <c r="Y459" s="30" t="n">
        <v>43617167</v>
      </c>
      <c r="Z459" s="30" t="n">
        <v>1783942130300</v>
      </c>
      <c r="AA459" s="30" t="n">
        <v>5092827100</v>
      </c>
      <c r="AB459" s="30" t="n">
        <v>6374928890</v>
      </c>
      <c r="AC459" s="35" t="n">
        <v>0.002854816315786855</v>
      </c>
      <c r="AD459" s="24" t="inlineStr">
        <is>
          <t>yfinance_download</t>
        </is>
      </c>
      <c r="AE459" s="24" t="inlineStr">
        <is>
          <t>000990.KS</t>
        </is>
      </c>
    </row>
    <row r="460" ht="24" customHeight="1">
      <c r="A460" s="29" t="inlineStr">
        <is>
          <t>2025-04-24</t>
        </is>
      </c>
      <c r="B460" s="31" t="n">
        <v>41350</v>
      </c>
      <c r="C460" s="31" t="n">
        <v>41350</v>
      </c>
      <c r="D460" s="31" t="n">
        <v>40350</v>
      </c>
      <c r="E460" s="31" t="n">
        <v>40850</v>
      </c>
      <c r="F460" s="31" t="n">
        <v>40482.3515625</v>
      </c>
      <c r="G460" s="31" t="n">
        <v>68062</v>
      </c>
      <c r="H460" s="36" t="n">
        <v>-0.001222493887530596</v>
      </c>
      <c r="I460" s="36" t="n">
        <v>-0.5188457008244994</v>
      </c>
      <c r="J460" s="31" t="n">
        <v>41115</v>
      </c>
      <c r="K460" s="31" t="n">
        <v>42330.83333333334</v>
      </c>
      <c r="L460" s="31" t="n">
        <v>38053.75</v>
      </c>
      <c r="M460" s="36" t="n">
        <v>0.5698051757931266</v>
      </c>
      <c r="N460" s="36" t="n">
        <v>0.7160532573387733</v>
      </c>
      <c r="O460" s="36" t="n">
        <v>-0.0840807174887892</v>
      </c>
      <c r="P460" s="36" t="n">
        <v>0.2175856929955291</v>
      </c>
      <c r="Q460" s="36" t="n">
        <v>0.1025641025641026</v>
      </c>
      <c r="R460" s="36" t="n">
        <v>-0.006445336251976186</v>
      </c>
      <c r="S460" s="36" t="n">
        <v>-0.03498238084926286</v>
      </c>
      <c r="T460" s="36" t="n">
        <v>0.07348158854252218</v>
      </c>
      <c r="U460" s="31" t="n">
        <v>57100</v>
      </c>
      <c r="V460" s="31" t="n">
        <v>29200</v>
      </c>
      <c r="W460" s="36" t="n">
        <v>-0.2845884413309983</v>
      </c>
      <c r="X460" s="36" t="n">
        <v>0.398972602739726</v>
      </c>
      <c r="Y460" s="31" t="n">
        <v>43617167</v>
      </c>
      <c r="Z460" s="31" t="n">
        <v>1781761271950</v>
      </c>
      <c r="AA460" s="31" t="n">
        <v>2780332700</v>
      </c>
      <c r="AB460" s="31" t="n">
        <v>6066270795</v>
      </c>
      <c r="AC460" s="36" t="n">
        <v>0.001560440640264417</v>
      </c>
      <c r="AD460" s="29" t="inlineStr">
        <is>
          <t>yfinance_download</t>
        </is>
      </c>
      <c r="AE460" s="29" t="inlineStr">
        <is>
          <t>000990.KS</t>
        </is>
      </c>
    </row>
    <row r="461" ht="24" customHeight="1">
      <c r="A461" s="24" t="inlineStr">
        <is>
          <t>2025-04-25</t>
        </is>
      </c>
      <c r="B461" s="30" t="n">
        <v>41400</v>
      </c>
      <c r="C461" s="30" t="n">
        <v>42100</v>
      </c>
      <c r="D461" s="30" t="n">
        <v>40900</v>
      </c>
      <c r="E461" s="30" t="n">
        <v>42000</v>
      </c>
      <c r="F461" s="30" t="n">
        <v>41622</v>
      </c>
      <c r="G461" s="30" t="n">
        <v>116051</v>
      </c>
      <c r="H461" s="35" t="n">
        <v>0.02815177478580178</v>
      </c>
      <c r="I461" s="35" t="n">
        <v>-0.5053003533568905</v>
      </c>
      <c r="J461" s="30" t="n">
        <v>41015</v>
      </c>
      <c r="K461" s="30" t="n">
        <v>42465</v>
      </c>
      <c r="L461" s="30" t="n">
        <v>38090.83333333334</v>
      </c>
      <c r="M461" s="35" t="n">
        <v>0.5794799674051212</v>
      </c>
      <c r="N461" s="35" t="n">
        <v>0.7175647316083471</v>
      </c>
      <c r="O461" s="35" t="n">
        <v>-0.04545454545454541</v>
      </c>
      <c r="P461" s="35" t="n">
        <v>0.2371134020618557</v>
      </c>
      <c r="Q461" s="35" t="n">
        <v>0.118508655126498</v>
      </c>
      <c r="R461" s="35" t="n">
        <v>0.02401560404729985</v>
      </c>
      <c r="S461" s="35" t="n">
        <v>-0.01095019427764043</v>
      </c>
      <c r="T461" s="35" t="n">
        <v>0.102627491303682</v>
      </c>
      <c r="U461" s="30" t="n">
        <v>57100</v>
      </c>
      <c r="V461" s="30" t="n">
        <v>29200</v>
      </c>
      <c r="W461" s="35" t="n">
        <v>-0.2644483362521891</v>
      </c>
      <c r="X461" s="35" t="n">
        <v>0.4383561643835616</v>
      </c>
      <c r="Y461" s="30" t="n">
        <v>43617167</v>
      </c>
      <c r="Z461" s="30" t="n">
        <v>1831921014000</v>
      </c>
      <c r="AA461" s="30" t="n">
        <v>4874142000</v>
      </c>
      <c r="AB461" s="30" t="n">
        <v>5939918095</v>
      </c>
      <c r="AC461" s="35" t="n">
        <v>0.002660672574172458</v>
      </c>
      <c r="AD461" s="24" t="inlineStr">
        <is>
          <t>yfinance_download</t>
        </is>
      </c>
      <c r="AE461" s="24" t="inlineStr">
        <is>
          <t>000990.KS</t>
        </is>
      </c>
    </row>
    <row r="462" ht="24" customHeight="1">
      <c r="A462" s="29" t="inlineStr">
        <is>
          <t>2025-04-28</t>
        </is>
      </c>
      <c r="B462" s="31" t="n">
        <v>41550</v>
      </c>
      <c r="C462" s="31" t="n">
        <v>41550</v>
      </c>
      <c r="D462" s="31" t="n">
        <v>39000</v>
      </c>
      <c r="E462" s="31" t="n">
        <v>39100</v>
      </c>
      <c r="F462" s="31" t="n">
        <v>38748.1015625</v>
      </c>
      <c r="G462" s="31" t="n">
        <v>536755</v>
      </c>
      <c r="H462" s="36" t="n">
        <v>-0.06904761904761902</v>
      </c>
      <c r="I462" s="36" t="n">
        <v>-0.5394581861012957</v>
      </c>
      <c r="J462" s="31" t="n">
        <v>40832.5</v>
      </c>
      <c r="K462" s="31" t="n">
        <v>42577.5</v>
      </c>
      <c r="L462" s="31" t="n">
        <v>38106.25</v>
      </c>
      <c r="M462" s="36" t="n">
        <v>0.6208168038907822</v>
      </c>
      <c r="N462" s="36" t="n">
        <v>0.7256666765074568</v>
      </c>
      <c r="O462" s="36" t="n">
        <v>-0.08538011695906433</v>
      </c>
      <c r="P462" s="36" t="n">
        <v>0.2086553323029365</v>
      </c>
      <c r="Q462" s="36" t="n">
        <v>0.04966442953020134</v>
      </c>
      <c r="R462" s="36" t="n">
        <v>-0.04242943733545579</v>
      </c>
      <c r="S462" s="36" t="n">
        <v>-0.08167459338852678</v>
      </c>
      <c r="T462" s="36" t="n">
        <v>0.02607839921272759</v>
      </c>
      <c r="U462" s="31" t="n">
        <v>57100</v>
      </c>
      <c r="V462" s="31" t="n">
        <v>29200</v>
      </c>
      <c r="W462" s="36" t="n">
        <v>-0.3152364273204904</v>
      </c>
      <c r="X462" s="36" t="n">
        <v>0.3390410958904109</v>
      </c>
      <c r="Y462" s="31" t="n">
        <v>43617167</v>
      </c>
      <c r="Z462" s="31" t="n">
        <v>1705431229700</v>
      </c>
      <c r="AA462" s="31" t="n">
        <v>20987120500</v>
      </c>
      <c r="AB462" s="31" t="n">
        <v>6694833495</v>
      </c>
      <c r="AC462" s="36" t="n">
        <v>0.01230604912969244</v>
      </c>
      <c r="AD462" s="29" t="inlineStr">
        <is>
          <t>yfinance_download</t>
        </is>
      </c>
      <c r="AE462" s="29" t="inlineStr">
        <is>
          <t>000990.KS</t>
        </is>
      </c>
    </row>
    <row r="463" ht="24" customHeight="1">
      <c r="A463" s="24" t="inlineStr">
        <is>
          <t>2025-04-29</t>
        </is>
      </c>
      <c r="B463" s="30" t="n">
        <v>39500</v>
      </c>
      <c r="C463" s="30" t="n">
        <v>39600</v>
      </c>
      <c r="D463" s="30" t="n">
        <v>38500</v>
      </c>
      <c r="E463" s="30" t="n">
        <v>39050</v>
      </c>
      <c r="F463" s="30" t="n">
        <v>38698.55078125</v>
      </c>
      <c r="G463" s="30" t="n">
        <v>250640</v>
      </c>
      <c r="H463" s="35" t="n">
        <v>-0.001278772378516591</v>
      </c>
      <c r="I463" s="35" t="n">
        <v>-0.5400471142520613</v>
      </c>
      <c r="J463" s="30" t="n">
        <v>40577.5</v>
      </c>
      <c r="K463" s="30" t="n">
        <v>42720.83333333334</v>
      </c>
      <c r="L463" s="30" t="n">
        <v>38106.66666666666</v>
      </c>
      <c r="M463" s="35" t="n">
        <v>0.6058775198792601</v>
      </c>
      <c r="N463" s="35" t="n">
        <v>0.7138490578235195</v>
      </c>
      <c r="O463" s="35" t="n">
        <v>-0.1155152887882219</v>
      </c>
      <c r="P463" s="35" t="n">
        <v>0.2824302134646963</v>
      </c>
      <c r="Q463" s="35" t="n">
        <v>0.001282051282051277</v>
      </c>
      <c r="R463" s="35" t="n">
        <v>-0.0376440145400776</v>
      </c>
      <c r="S463" s="35" t="n">
        <v>-0.08592607041841416</v>
      </c>
      <c r="T463" s="35" t="n">
        <v>0.02475507347795669</v>
      </c>
      <c r="U463" s="30" t="n">
        <v>57100</v>
      </c>
      <c r="V463" s="30" t="n">
        <v>29200</v>
      </c>
      <c r="W463" s="35" t="n">
        <v>-0.3161120840630472</v>
      </c>
      <c r="X463" s="35" t="n">
        <v>0.3373287671232876</v>
      </c>
      <c r="Y463" s="30" t="n">
        <v>43617167</v>
      </c>
      <c r="Z463" s="30" t="n">
        <v>1703250371350</v>
      </c>
      <c r="AA463" s="30" t="n">
        <v>9787492000</v>
      </c>
      <c r="AB463" s="30" t="n">
        <v>6928948247.5</v>
      </c>
      <c r="AC463" s="35" t="n">
        <v>0.005746361289351965</v>
      </c>
      <c r="AD463" s="24" t="inlineStr">
        <is>
          <t>yfinance_download</t>
        </is>
      </c>
      <c r="AE463" s="24" t="inlineStr">
        <is>
          <t>000990.KS</t>
        </is>
      </c>
    </row>
    <row r="464" ht="24" customHeight="1">
      <c r="A464" s="29" t="inlineStr">
        <is>
          <t>2025-04-30</t>
        </is>
      </c>
      <c r="B464" s="31" t="n">
        <v>39050</v>
      </c>
      <c r="C464" s="31" t="n">
        <v>39150</v>
      </c>
      <c r="D464" s="31" t="n">
        <v>38050</v>
      </c>
      <c r="E464" s="31" t="n">
        <v>38350</v>
      </c>
      <c r="F464" s="31" t="n">
        <v>38004.8515625</v>
      </c>
      <c r="G464" s="31" t="n">
        <v>164577</v>
      </c>
      <c r="H464" s="36" t="n">
        <v>-0.01792573623559535</v>
      </c>
      <c r="I464" s="36" t="n">
        <v>-0.5482921083627798</v>
      </c>
      <c r="J464" s="31" t="n">
        <v>40320</v>
      </c>
      <c r="K464" s="31" t="n">
        <v>42837.5</v>
      </c>
      <c r="L464" s="31" t="n">
        <v>38115.83333333334</v>
      </c>
      <c r="M464" s="36" t="n">
        <v>0.6066361147799872</v>
      </c>
      <c r="N464" s="36" t="n">
        <v>0.7135431738726274</v>
      </c>
      <c r="O464" s="36" t="n">
        <v>-0.1183908045977011</v>
      </c>
      <c r="P464" s="36" t="n">
        <v>0.2232854864433811</v>
      </c>
      <c r="Q464" s="36" t="n">
        <v>0.02953020134228179</v>
      </c>
      <c r="R464" s="36" t="n">
        <v>-0.04885912698412698</v>
      </c>
      <c r="S464" s="36" t="n">
        <v>-0.1047563466588853</v>
      </c>
      <c r="T464" s="36" t="n">
        <v>0.006143553641312582</v>
      </c>
      <c r="U464" s="31" t="n">
        <v>57100</v>
      </c>
      <c r="V464" s="31" t="n">
        <v>29200</v>
      </c>
      <c r="W464" s="36" t="n">
        <v>-0.3283712784588442</v>
      </c>
      <c r="X464" s="36" t="n">
        <v>0.3133561643835616</v>
      </c>
      <c r="Y464" s="31" t="n">
        <v>43617167</v>
      </c>
      <c r="Z464" s="31" t="n">
        <v>1672718354450</v>
      </c>
      <c r="AA464" s="31" t="n">
        <v>6311527950</v>
      </c>
      <c r="AB464" s="31" t="n">
        <v>7031154970</v>
      </c>
      <c r="AC464" s="36" t="n">
        <v>0.003773216174264596</v>
      </c>
      <c r="AD464" s="29" t="inlineStr">
        <is>
          <t>yfinance_download</t>
        </is>
      </c>
      <c r="AE464" s="29" t="inlineStr">
        <is>
          <t>000990.KS</t>
        </is>
      </c>
    </row>
    <row r="465" ht="24" customHeight="1">
      <c r="A465" s="24" t="inlineStr">
        <is>
          <t>2025-05-02</t>
        </is>
      </c>
      <c r="B465" s="30" t="n">
        <v>38500</v>
      </c>
      <c r="C465" s="30" t="n">
        <v>38600</v>
      </c>
      <c r="D465" s="30" t="n">
        <v>38100</v>
      </c>
      <c r="E465" s="30" t="n">
        <v>38400</v>
      </c>
      <c r="F465" s="30" t="n">
        <v>38054.3984375</v>
      </c>
      <c r="G465" s="30" t="n">
        <v>89943</v>
      </c>
      <c r="H465" s="35" t="n">
        <v>0.001303780964797996</v>
      </c>
      <c r="I465" s="35" t="n">
        <v>-0.5477031802120141</v>
      </c>
      <c r="J465" s="30" t="n">
        <v>40060</v>
      </c>
      <c r="K465" s="30" t="n">
        <v>42939.16666666666</v>
      </c>
      <c r="L465" s="30" t="n">
        <v>38124.58333333334</v>
      </c>
      <c r="M465" s="35" t="n">
        <v>0.6064749880586457</v>
      </c>
      <c r="N465" s="35" t="n">
        <v>0.7115090157379979</v>
      </c>
      <c r="O465" s="35" t="n">
        <v>-0.1192660550458715</v>
      </c>
      <c r="P465" s="35" t="n">
        <v>0.1888544891640866</v>
      </c>
      <c r="Q465" s="35" t="n">
        <v>0.02811244979919669</v>
      </c>
      <c r="R465" s="35" t="n">
        <v>-0.04143784323514732</v>
      </c>
      <c r="S465" s="35" t="n">
        <v>-0.1057115686921419</v>
      </c>
      <c r="T465" s="35" t="n">
        <v>0.007224122668007205</v>
      </c>
      <c r="U465" s="30" t="n">
        <v>57100</v>
      </c>
      <c r="V465" s="30" t="n">
        <v>29200</v>
      </c>
      <c r="W465" s="35" t="n">
        <v>-0.3274956217162872</v>
      </c>
      <c r="X465" s="35" t="n">
        <v>0.3150684931506849</v>
      </c>
      <c r="Y465" s="30" t="n">
        <v>43617167</v>
      </c>
      <c r="Z465" s="30" t="n">
        <v>1674899212800</v>
      </c>
      <c r="AA465" s="30" t="n">
        <v>3453811200</v>
      </c>
      <c r="AB465" s="30" t="n">
        <v>6945382550</v>
      </c>
      <c r="AC465" s="35" t="n">
        <v>0.002062100915449186</v>
      </c>
      <c r="AD465" s="24" t="inlineStr">
        <is>
          <t>yfinance_download</t>
        </is>
      </c>
      <c r="AE465" s="24" t="inlineStr">
        <is>
          <t>000990.KS</t>
        </is>
      </c>
    </row>
    <row r="466" ht="24" customHeight="1">
      <c r="A466" s="29" t="inlineStr">
        <is>
          <t>2025-05-07</t>
        </is>
      </c>
      <c r="B466" s="31" t="n">
        <v>38400</v>
      </c>
      <c r="C466" s="31" t="n">
        <v>38900</v>
      </c>
      <c r="D466" s="31" t="n">
        <v>38350</v>
      </c>
      <c r="E466" s="31" t="n">
        <v>38600</v>
      </c>
      <c r="F466" s="31" t="n">
        <v>38252.6015625</v>
      </c>
      <c r="G466" s="31" t="n">
        <v>108298</v>
      </c>
      <c r="H466" s="36" t="n">
        <v>0.005208333333333259</v>
      </c>
      <c r="I466" s="36" t="n">
        <v>-0.5453474676089517</v>
      </c>
      <c r="J466" s="31" t="n">
        <v>39915</v>
      </c>
      <c r="K466" s="31" t="n">
        <v>43027.5</v>
      </c>
      <c r="L466" s="31" t="n">
        <v>38131.25</v>
      </c>
      <c r="M466" s="36" t="n">
        <v>0.5860740838110585</v>
      </c>
      <c r="N466" s="36" t="n">
        <v>0.7092734988279634</v>
      </c>
      <c r="O466" s="36" t="n">
        <v>-0.0698795180722892</v>
      </c>
      <c r="P466" s="36" t="n">
        <v>0.1591591591591592</v>
      </c>
      <c r="Q466" s="36" t="n">
        <v>0.02116402116402116</v>
      </c>
      <c r="R466" s="36" t="n">
        <v>-0.03294500814230239</v>
      </c>
      <c r="S466" s="36" t="n">
        <v>-0.102899308581721</v>
      </c>
      <c r="T466" s="36" t="n">
        <v>0.01229306671037533</v>
      </c>
      <c r="U466" s="31" t="n">
        <v>57100</v>
      </c>
      <c r="V466" s="31" t="n">
        <v>29200</v>
      </c>
      <c r="W466" s="36" t="n">
        <v>-0.3239929947460596</v>
      </c>
      <c r="X466" s="36" t="n">
        <v>0.321917808219178</v>
      </c>
      <c r="Y466" s="31" t="n">
        <v>43617167</v>
      </c>
      <c r="Z466" s="31" t="n">
        <v>1683622646200</v>
      </c>
      <c r="AA466" s="31" t="n">
        <v>4180302800</v>
      </c>
      <c r="AB466" s="31" t="n">
        <v>6561541140</v>
      </c>
      <c r="AC466" s="36" t="n">
        <v>0.00248292146071752</v>
      </c>
      <c r="AD466" s="29" t="inlineStr">
        <is>
          <t>yfinance_download</t>
        </is>
      </c>
      <c r="AE466" s="29" t="inlineStr">
        <is>
          <t>000990.KS</t>
        </is>
      </c>
    </row>
    <row r="467" ht="24" customHeight="1">
      <c r="A467" s="24" t="inlineStr">
        <is>
          <t>2025-05-08</t>
        </is>
      </c>
      <c r="B467" s="30" t="n">
        <v>39300</v>
      </c>
      <c r="C467" s="30" t="n">
        <v>39300</v>
      </c>
      <c r="D467" s="30" t="n">
        <v>38350</v>
      </c>
      <c r="E467" s="30" t="n">
        <v>38400</v>
      </c>
      <c r="F467" s="30" t="n">
        <v>38054.3984375</v>
      </c>
      <c r="G467" s="30" t="n">
        <v>113121</v>
      </c>
      <c r="H467" s="35" t="n">
        <v>-0.005181347150259086</v>
      </c>
      <c r="I467" s="35" t="n">
        <v>-0.5477031802120141</v>
      </c>
      <c r="J467" s="30" t="n">
        <v>39945</v>
      </c>
      <c r="K467" s="30" t="n">
        <v>43019.16666666666</v>
      </c>
      <c r="L467" s="30" t="n">
        <v>38146.25</v>
      </c>
      <c r="M467" s="35" t="n">
        <v>0.4902332450542664</v>
      </c>
      <c r="N467" s="35" t="n">
        <v>0.6207522801933399</v>
      </c>
      <c r="O467" s="35" t="n">
        <v>0.01587301587301582</v>
      </c>
      <c r="P467" s="35" t="n">
        <v>-0.01285347043701801</v>
      </c>
      <c r="Q467" s="35" t="n">
        <v>0.04918032786885251</v>
      </c>
      <c r="R467" s="35" t="n">
        <v>-0.0386781825009388</v>
      </c>
      <c r="S467" s="35" t="n">
        <v>-0.1073746198399937</v>
      </c>
      <c r="T467" s="35" t="n">
        <v>0.006652030016056631</v>
      </c>
      <c r="U467" s="30" t="n">
        <v>57100</v>
      </c>
      <c r="V467" s="30" t="n">
        <v>29200</v>
      </c>
      <c r="W467" s="35" t="n">
        <v>-0.3274956217162872</v>
      </c>
      <c r="X467" s="35" t="n">
        <v>0.3150684931506849</v>
      </c>
      <c r="Y467" s="30" t="n">
        <v>43617167</v>
      </c>
      <c r="Z467" s="30" t="n">
        <v>1674899212800</v>
      </c>
      <c r="AA467" s="30" t="n">
        <v>4343846400</v>
      </c>
      <c r="AB467" s="30" t="n">
        <v>6063636840</v>
      </c>
      <c r="AC467" s="35" t="n">
        <v>0.002593497188847685</v>
      </c>
      <c r="AD467" s="24" t="inlineStr">
        <is>
          <t>yfinance_download</t>
        </is>
      </c>
      <c r="AE467" s="24" t="inlineStr">
        <is>
          <t>000990.KS</t>
        </is>
      </c>
    </row>
    <row r="468" ht="24" customHeight="1">
      <c r="A468" s="29" t="inlineStr">
        <is>
          <t>2025-05-09</t>
        </is>
      </c>
      <c r="B468" s="31" t="n">
        <v>38650</v>
      </c>
      <c r="C468" s="31" t="n">
        <v>38750</v>
      </c>
      <c r="D468" s="31" t="n">
        <v>37800</v>
      </c>
      <c r="E468" s="31" t="n">
        <v>38100</v>
      </c>
      <c r="F468" s="31" t="n">
        <v>37757.1015625</v>
      </c>
      <c r="G468" s="31" t="n">
        <v>133284</v>
      </c>
      <c r="H468" s="36" t="n">
        <v>-0.0078125</v>
      </c>
      <c r="I468" s="36" t="n">
        <v>-0.5512367491166077</v>
      </c>
      <c r="J468" s="31" t="n">
        <v>39940</v>
      </c>
      <c r="K468" s="31" t="n">
        <v>42943.33333333334</v>
      </c>
      <c r="L468" s="31" t="n">
        <v>38158.75</v>
      </c>
      <c r="M468" s="36" t="n">
        <v>0.4899315914954857</v>
      </c>
      <c r="N468" s="36" t="n">
        <v>0.5878863511877918</v>
      </c>
      <c r="O468" s="36" t="n">
        <v>-0.002617801047120394</v>
      </c>
      <c r="P468" s="36" t="n">
        <v>-0.1066822977725674</v>
      </c>
      <c r="Q468" s="36" t="n">
        <v>0.04098360655737698</v>
      </c>
      <c r="R468" s="36" t="n">
        <v>-0.04606910365548322</v>
      </c>
      <c r="S468" s="36" t="n">
        <v>-0.1127842893735932</v>
      </c>
      <c r="T468" s="36" t="n">
        <v>-0.001539620663674746</v>
      </c>
      <c r="U468" s="31" t="n">
        <v>57100</v>
      </c>
      <c r="V468" s="31" t="n">
        <v>29200</v>
      </c>
      <c r="W468" s="36" t="n">
        <v>-0.3327495621716288</v>
      </c>
      <c r="X468" s="36" t="n">
        <v>0.3047945205479452</v>
      </c>
      <c r="Y468" s="31" t="n">
        <v>43617167</v>
      </c>
      <c r="Z468" s="31" t="n">
        <v>1661814062700</v>
      </c>
      <c r="AA468" s="31" t="n">
        <v>5078120400</v>
      </c>
      <c r="AB468" s="31" t="n">
        <v>5997757290</v>
      </c>
      <c r="AC468" s="36" t="n">
        <v>0.003055769302944412</v>
      </c>
      <c r="AD468" s="29" t="inlineStr">
        <is>
          <t>yfinance_download</t>
        </is>
      </c>
      <c r="AE468" s="29" t="inlineStr">
        <is>
          <t>000990.KS</t>
        </is>
      </c>
    </row>
    <row r="469" ht="24" customHeight="1">
      <c r="A469" s="24" t="inlineStr">
        <is>
          <t>2025-05-12</t>
        </is>
      </c>
      <c r="B469" s="30" t="n">
        <v>38300</v>
      </c>
      <c r="C469" s="30" t="n">
        <v>39250</v>
      </c>
      <c r="D469" s="30" t="n">
        <v>38300</v>
      </c>
      <c r="E469" s="30" t="n">
        <v>39250</v>
      </c>
      <c r="F469" s="30" t="n">
        <v>38896.75</v>
      </c>
      <c r="G469" s="30" t="n">
        <v>133901</v>
      </c>
      <c r="H469" s="35" t="n">
        <v>0.03018372703412076</v>
      </c>
      <c r="I469" s="35" t="n">
        <v>-0.5376914016489989</v>
      </c>
      <c r="J469" s="30" t="n">
        <v>40065</v>
      </c>
      <c r="K469" s="30" t="n">
        <v>42884.16666666666</v>
      </c>
      <c r="L469" s="30" t="n">
        <v>38185.83333333334</v>
      </c>
      <c r="M469" s="35" t="n">
        <v>0.4789059611631258</v>
      </c>
      <c r="N469" s="35" t="n">
        <v>0.5913294127855069</v>
      </c>
      <c r="O469" s="35" t="n">
        <v>0.06802721088435382</v>
      </c>
      <c r="P469" s="35" t="n">
        <v>-0.08294392523364491</v>
      </c>
      <c r="Q469" s="35" t="n">
        <v>0.09027777777777768</v>
      </c>
      <c r="R469" s="35" t="n">
        <v>-0.02034194434044678</v>
      </c>
      <c r="S469" s="35" t="n">
        <v>-0.08474378655680992</v>
      </c>
      <c r="T469" s="35" t="n">
        <v>0.02786810117190042</v>
      </c>
      <c r="U469" s="30" t="n">
        <v>57100</v>
      </c>
      <c r="V469" s="30" t="n">
        <v>29200</v>
      </c>
      <c r="W469" s="35" t="n">
        <v>-0.3126094570928196</v>
      </c>
      <c r="X469" s="35" t="n">
        <v>0.3441780821917808</v>
      </c>
      <c r="Y469" s="30" t="n">
        <v>43617167</v>
      </c>
      <c r="Z469" s="30" t="n">
        <v>1711973804750</v>
      </c>
      <c r="AA469" s="30" t="n">
        <v>5255614250</v>
      </c>
      <c r="AB469" s="30" t="n">
        <v>5901150565</v>
      </c>
      <c r="AC469" s="35" t="n">
        <v>0.003069915109342154</v>
      </c>
      <c r="AD469" s="24" t="inlineStr">
        <is>
          <t>yfinance_download</t>
        </is>
      </c>
      <c r="AE469" s="24" t="inlineStr">
        <is>
          <t>000990.KS</t>
        </is>
      </c>
    </row>
    <row r="470" ht="24" customHeight="1">
      <c r="A470" s="29" t="inlineStr">
        <is>
          <t>2025-05-13</t>
        </is>
      </c>
      <c r="B470" s="31" t="n">
        <v>40200</v>
      </c>
      <c r="C470" s="31" t="n">
        <v>40250</v>
      </c>
      <c r="D470" s="31" t="n">
        <v>39250</v>
      </c>
      <c r="E470" s="31" t="n">
        <v>39800</v>
      </c>
      <c r="F470" s="31" t="n">
        <v>39441.80078125</v>
      </c>
      <c r="G470" s="31" t="n">
        <v>149150</v>
      </c>
      <c r="H470" s="36" t="n">
        <v>0.01401273885350318</v>
      </c>
      <c r="I470" s="36" t="n">
        <v>-0.5312131919905771</v>
      </c>
      <c r="J470" s="31" t="n">
        <v>40072.5</v>
      </c>
      <c r="K470" s="31" t="n">
        <v>42834.16666666666</v>
      </c>
      <c r="L470" s="31" t="n">
        <v>38234.16666666666</v>
      </c>
      <c r="M470" s="36" t="n">
        <v>0.3911347733309574</v>
      </c>
      <c r="N470" s="36" t="n">
        <v>0.5921022238996564</v>
      </c>
      <c r="O470" s="36" t="n">
        <v>0.003783102143757988</v>
      </c>
      <c r="P470" s="36" t="n">
        <v>-0.07009345794392519</v>
      </c>
      <c r="Q470" s="36" t="n">
        <v>0.1705882352941177</v>
      </c>
      <c r="R470" s="36" t="n">
        <v>-0.00680017468338634</v>
      </c>
      <c r="S470" s="36" t="n">
        <v>-0.07083519775879843</v>
      </c>
      <c r="T470" s="36" t="n">
        <v>0.04095377171378134</v>
      </c>
      <c r="U470" s="31" t="n">
        <v>57100</v>
      </c>
      <c r="V470" s="31" t="n">
        <v>29200</v>
      </c>
      <c r="W470" s="36" t="n">
        <v>-0.3029772329246935</v>
      </c>
      <c r="X470" s="36" t="n">
        <v>0.3630136986301369</v>
      </c>
      <c r="Y470" s="31" t="n">
        <v>43617167</v>
      </c>
      <c r="Z470" s="31" t="n">
        <v>1735963246600</v>
      </c>
      <c r="AA470" s="31" t="n">
        <v>5936170000</v>
      </c>
      <c r="AB470" s="31" t="n">
        <v>5863824550</v>
      </c>
      <c r="AC470" s="36" t="n">
        <v>0.003419525160815695</v>
      </c>
      <c r="AD470" s="29" t="inlineStr">
        <is>
          <t>yfinance_download</t>
        </is>
      </c>
      <c r="AE470" s="29" t="inlineStr">
        <is>
          <t>000990.KS</t>
        </is>
      </c>
    </row>
    <row r="471" ht="24" customHeight="1">
      <c r="A471" s="24" t="inlineStr">
        <is>
          <t>2025-05-14</t>
        </is>
      </c>
      <c r="B471" s="30" t="n">
        <v>40200</v>
      </c>
      <c r="C471" s="30" t="n">
        <v>40400</v>
      </c>
      <c r="D471" s="30" t="n">
        <v>39750</v>
      </c>
      <c r="E471" s="30" t="n">
        <v>39800</v>
      </c>
      <c r="F471" s="30" t="n">
        <v>39441.80078125</v>
      </c>
      <c r="G471" s="30" t="n">
        <v>139609</v>
      </c>
      <c r="H471" s="35" t="n">
        <v>0</v>
      </c>
      <c r="I471" s="35" t="n">
        <v>-0.5312131919905771</v>
      </c>
      <c r="J471" s="30" t="n">
        <v>39982.5</v>
      </c>
      <c r="K471" s="30" t="n">
        <v>42807.5</v>
      </c>
      <c r="L471" s="30" t="n">
        <v>38294.58333333334</v>
      </c>
      <c r="M471" s="35" t="n">
        <v>0.3463096552226722</v>
      </c>
      <c r="N471" s="35" t="n">
        <v>0.5882885313341243</v>
      </c>
      <c r="O471" s="35" t="n">
        <v>-0.04326923076923073</v>
      </c>
      <c r="P471" s="35" t="n">
        <v>-0.03864734299516903</v>
      </c>
      <c r="Q471" s="35" t="n">
        <v>0.2227342549923195</v>
      </c>
      <c r="R471" s="35" t="n">
        <v>-0.004564496967423226</v>
      </c>
      <c r="S471" s="35" t="n">
        <v>-0.07025638030718917</v>
      </c>
      <c r="T471" s="35" t="n">
        <v>0.03931147790701472</v>
      </c>
      <c r="U471" s="30" t="n">
        <v>57100</v>
      </c>
      <c r="V471" s="30" t="n">
        <v>29200</v>
      </c>
      <c r="W471" s="35" t="n">
        <v>-0.3029772329246935</v>
      </c>
      <c r="X471" s="35" t="n">
        <v>0.3630136986301369</v>
      </c>
      <c r="Y471" s="30" t="n">
        <v>43617167</v>
      </c>
      <c r="Z471" s="30" t="n">
        <v>1735963246600</v>
      </c>
      <c r="AA471" s="30" t="n">
        <v>5556438200</v>
      </c>
      <c r="AB471" s="30" t="n">
        <v>5540553500</v>
      </c>
      <c r="AC471" s="35" t="n">
        <v>0.003200781013585775</v>
      </c>
      <c r="AD471" s="24" t="inlineStr">
        <is>
          <t>yfinance_download</t>
        </is>
      </c>
      <c r="AE471" s="24" t="inlineStr">
        <is>
          <t>000990.KS</t>
        </is>
      </c>
    </row>
    <row r="472" ht="24" customHeight="1">
      <c r="A472" s="29" t="inlineStr">
        <is>
          <t>2025-05-15</t>
        </is>
      </c>
      <c r="B472" s="31" t="n">
        <v>39850</v>
      </c>
      <c r="C472" s="31" t="n">
        <v>40050</v>
      </c>
      <c r="D472" s="31" t="n">
        <v>39250</v>
      </c>
      <c r="E472" s="31" t="n">
        <v>39400</v>
      </c>
      <c r="F472" s="31" t="n">
        <v>39045.3984375</v>
      </c>
      <c r="G472" s="31" t="n">
        <v>107230</v>
      </c>
      <c r="H472" s="36" t="n">
        <v>-0.01005025125628145</v>
      </c>
      <c r="I472" s="36" t="n">
        <v>-0.535924617196702</v>
      </c>
      <c r="J472" s="31" t="n">
        <v>39865</v>
      </c>
      <c r="K472" s="31" t="n">
        <v>42755.83333333334</v>
      </c>
      <c r="L472" s="31" t="n">
        <v>38359.58333333334</v>
      </c>
      <c r="M472" s="36" t="n">
        <v>0.3467815606643952</v>
      </c>
      <c r="N472" s="36" t="n">
        <v>0.5860143115767127</v>
      </c>
      <c r="O472" s="36" t="n">
        <v>-0.05628742514970064</v>
      </c>
      <c r="P472" s="36" t="n">
        <v>-0.07294117647058829</v>
      </c>
      <c r="Q472" s="36" t="n">
        <v>0.2468354430379747</v>
      </c>
      <c r="R472" s="36" t="n">
        <v>-0.01166436723943309</v>
      </c>
      <c r="S472" s="36" t="n">
        <v>-0.07848831543454116</v>
      </c>
      <c r="T472" s="36" t="n">
        <v>0.02712273117321828</v>
      </c>
      <c r="U472" s="31" t="n">
        <v>57100</v>
      </c>
      <c r="V472" s="31" t="n">
        <v>29200</v>
      </c>
      <c r="W472" s="36" t="n">
        <v>-0.3099824868651488</v>
      </c>
      <c r="X472" s="36" t="n">
        <v>0.3493150684931507</v>
      </c>
      <c r="Y472" s="31" t="n">
        <v>43617167</v>
      </c>
      <c r="Z472" s="31" t="n">
        <v>1718516379800</v>
      </c>
      <c r="AA472" s="31" t="n">
        <v>4224862000</v>
      </c>
      <c r="AB472" s="31" t="n">
        <v>5504279637.5</v>
      </c>
      <c r="AC472" s="36" t="n">
        <v>0.00245843568886535</v>
      </c>
      <c r="AD472" s="29" t="inlineStr">
        <is>
          <t>yfinance_download</t>
        </is>
      </c>
      <c r="AE472" s="29" t="inlineStr">
        <is>
          <t>000990.KS</t>
        </is>
      </c>
    </row>
    <row r="473" ht="24" customHeight="1">
      <c r="A473" s="24" t="inlineStr">
        <is>
          <t>2025-05-16</t>
        </is>
      </c>
      <c r="B473" s="30" t="n">
        <v>39650</v>
      </c>
      <c r="C473" s="30" t="n">
        <v>39700</v>
      </c>
      <c r="D473" s="30" t="n">
        <v>39150</v>
      </c>
      <c r="E473" s="30" t="n">
        <v>39600</v>
      </c>
      <c r="F473" s="30" t="n">
        <v>39243.6015625</v>
      </c>
      <c r="G473" s="30" t="n">
        <v>96217</v>
      </c>
      <c r="H473" s="35" t="n">
        <v>0.0050761421319796</v>
      </c>
      <c r="I473" s="35" t="n">
        <v>-0.5335689045936396</v>
      </c>
      <c r="J473" s="30" t="n">
        <v>39755</v>
      </c>
      <c r="K473" s="30" t="n">
        <v>42677.5</v>
      </c>
      <c r="L473" s="30" t="n">
        <v>38420</v>
      </c>
      <c r="M473" s="35" t="n">
        <v>0.347626166601436</v>
      </c>
      <c r="N473" s="35" t="n">
        <v>0.5792900158774756</v>
      </c>
      <c r="O473" s="35" t="n">
        <v>-0.05263157894736847</v>
      </c>
      <c r="P473" s="35" t="n">
        <v>-0.1060948081264108</v>
      </c>
      <c r="Q473" s="35" t="n">
        <v>0.2241112828438949</v>
      </c>
      <c r="R473" s="35" t="n">
        <v>-0.003898880643944169</v>
      </c>
      <c r="S473" s="35" t="n">
        <v>-0.0721105969187511</v>
      </c>
      <c r="T473" s="35" t="n">
        <v>0.03071317022384168</v>
      </c>
      <c r="U473" s="30" t="n">
        <v>57100</v>
      </c>
      <c r="V473" s="30" t="n">
        <v>29200</v>
      </c>
      <c r="W473" s="35" t="n">
        <v>-0.3064798598949212</v>
      </c>
      <c r="X473" s="35" t="n">
        <v>0.3561643835616439</v>
      </c>
      <c r="Y473" s="30" t="n">
        <v>43617167</v>
      </c>
      <c r="Z473" s="30" t="n">
        <v>1727239813200</v>
      </c>
      <c r="AA473" s="30" t="n">
        <v>3810193200</v>
      </c>
      <c r="AB473" s="30" t="n">
        <v>5558168087.5</v>
      </c>
      <c r="AC473" s="35" t="n">
        <v>0.002205943361704349</v>
      </c>
      <c r="AD473" s="24" t="inlineStr">
        <is>
          <t>yfinance_download</t>
        </is>
      </c>
      <c r="AE473" s="24" t="inlineStr">
        <is>
          <t>000990.KS</t>
        </is>
      </c>
    </row>
    <row r="474" ht="24" customHeight="1">
      <c r="A474" s="29" t="inlineStr">
        <is>
          <t>2025-05-19</t>
        </is>
      </c>
      <c r="B474" s="31" t="n">
        <v>39150</v>
      </c>
      <c r="C474" s="31" t="n">
        <v>39300</v>
      </c>
      <c r="D474" s="31" t="n">
        <v>38250</v>
      </c>
      <c r="E474" s="31" t="n">
        <v>38550</v>
      </c>
      <c r="F474" s="31" t="n">
        <v>38203.05078125</v>
      </c>
      <c r="G474" s="31" t="n">
        <v>148483</v>
      </c>
      <c r="H474" s="36" t="n">
        <v>-0.02651515151515149</v>
      </c>
      <c r="I474" s="36" t="n">
        <v>-0.5459363957597173</v>
      </c>
      <c r="J474" s="31" t="n">
        <v>39660</v>
      </c>
      <c r="K474" s="31" t="n">
        <v>42562.5</v>
      </c>
      <c r="L474" s="31" t="n">
        <v>38475.83333333334</v>
      </c>
      <c r="M474" s="36" t="n">
        <v>0.3415996998220202</v>
      </c>
      <c r="N474" s="36" t="n">
        <v>0.5787623968624803</v>
      </c>
      <c r="O474" s="36" t="n">
        <v>-0.04697156983930784</v>
      </c>
      <c r="P474" s="36" t="n">
        <v>-0.1518151815181518</v>
      </c>
      <c r="Q474" s="36" t="n">
        <v>0.2103610675039247</v>
      </c>
      <c r="R474" s="36" t="n">
        <v>-0.02798789712556737</v>
      </c>
      <c r="S474" s="36" t="n">
        <v>-0.09427312775330399</v>
      </c>
      <c r="T474" s="36" t="n">
        <v>0.001927616902384521</v>
      </c>
      <c r="U474" s="31" t="n">
        <v>57100</v>
      </c>
      <c r="V474" s="31" t="n">
        <v>29200</v>
      </c>
      <c r="W474" s="36" t="n">
        <v>-0.3248686514886164</v>
      </c>
      <c r="X474" s="36" t="n">
        <v>0.3202054794520548</v>
      </c>
      <c r="Y474" s="31" t="n">
        <v>43617167</v>
      </c>
      <c r="Z474" s="31" t="n">
        <v>1681441787850</v>
      </c>
      <c r="AA474" s="31" t="n">
        <v>5724019650</v>
      </c>
      <c r="AB474" s="31" t="n">
        <v>5637801032.5</v>
      </c>
      <c r="AC474" s="36" t="n">
        <v>0.003404233016784423</v>
      </c>
      <c r="AD474" s="29" t="inlineStr">
        <is>
          <t>yfinance_download</t>
        </is>
      </c>
      <c r="AE474" s="29" t="inlineStr">
        <is>
          <t>000990.KS</t>
        </is>
      </c>
    </row>
    <row r="475" ht="24" customHeight="1">
      <c r="A475" s="24" t="inlineStr">
        <is>
          <t>2025-05-20</t>
        </is>
      </c>
      <c r="B475" s="30" t="n">
        <v>38900</v>
      </c>
      <c r="C475" s="30" t="n">
        <v>39600</v>
      </c>
      <c r="D475" s="30" t="n">
        <v>38900</v>
      </c>
      <c r="E475" s="30" t="n">
        <v>39250</v>
      </c>
      <c r="F475" s="30" t="n">
        <v>38896.75</v>
      </c>
      <c r="G475" s="30" t="n">
        <v>69224</v>
      </c>
      <c r="H475" s="35" t="n">
        <v>0.01815823605706868</v>
      </c>
      <c r="I475" s="35" t="n">
        <v>-0.5376914016489989</v>
      </c>
      <c r="J475" s="30" t="n">
        <v>39582.5</v>
      </c>
      <c r="K475" s="30" t="n">
        <v>42476.66666666666</v>
      </c>
      <c r="L475" s="30" t="n">
        <v>38536.66666666666</v>
      </c>
      <c r="M475" s="35" t="n">
        <v>0.3472170806879846</v>
      </c>
      <c r="N475" s="35" t="n">
        <v>0.5785377517579194</v>
      </c>
      <c r="O475" s="35" t="n">
        <v>-0.03799019607843135</v>
      </c>
      <c r="P475" s="35" t="n">
        <v>-0.115990990990991</v>
      </c>
      <c r="Q475" s="35" t="n">
        <v>0.2284820031298904</v>
      </c>
      <c r="R475" s="35" t="n">
        <v>-0.008400176845828278</v>
      </c>
      <c r="S475" s="35" t="n">
        <v>-0.07596327395432778</v>
      </c>
      <c r="T475" s="35" t="n">
        <v>0.01851050947149901</v>
      </c>
      <c r="U475" s="30" t="n">
        <v>57100</v>
      </c>
      <c r="V475" s="30" t="n">
        <v>29200</v>
      </c>
      <c r="W475" s="35" t="n">
        <v>-0.3126094570928196</v>
      </c>
      <c r="X475" s="35" t="n">
        <v>0.3441780821917808</v>
      </c>
      <c r="Y475" s="30" t="n">
        <v>43617167</v>
      </c>
      <c r="Z475" s="30" t="n">
        <v>1711973804750</v>
      </c>
      <c r="AA475" s="30" t="n">
        <v>2717042000</v>
      </c>
      <c r="AB475" s="30" t="n">
        <v>5537884212.5</v>
      </c>
      <c r="AC475" s="35" t="n">
        <v>0.001587081526867621</v>
      </c>
      <c r="AD475" s="24" t="inlineStr">
        <is>
          <t>yfinance_download</t>
        </is>
      </c>
      <c r="AE475" s="24" t="inlineStr">
        <is>
          <t>000990.KS</t>
        </is>
      </c>
    </row>
    <row r="476" ht="24" customHeight="1">
      <c r="A476" s="29" t="inlineStr">
        <is>
          <t>2025-05-21</t>
        </is>
      </c>
      <c r="B476" s="31" t="n">
        <v>39400</v>
      </c>
      <c r="C476" s="31" t="n">
        <v>39450</v>
      </c>
      <c r="D476" s="31" t="n">
        <v>38850</v>
      </c>
      <c r="E476" s="31" t="n">
        <v>39150</v>
      </c>
      <c r="F476" s="31" t="n">
        <v>38797.6484375</v>
      </c>
      <c r="G476" s="31" t="n">
        <v>67908</v>
      </c>
      <c r="H476" s="36" t="n">
        <v>-0.002547770700636942</v>
      </c>
      <c r="I476" s="36" t="n">
        <v>-0.5388692579505301</v>
      </c>
      <c r="J476" s="31" t="n">
        <v>39495</v>
      </c>
      <c r="K476" s="31" t="n">
        <v>42367.5</v>
      </c>
      <c r="L476" s="31" t="n">
        <v>38579.58333333334</v>
      </c>
      <c r="M476" s="36" t="n">
        <v>0.3468772191923856</v>
      </c>
      <c r="N476" s="36" t="n">
        <v>0.5749972951164395</v>
      </c>
      <c r="O476" s="36" t="n">
        <v>-0.04278728606356963</v>
      </c>
      <c r="P476" s="36" t="n">
        <v>-0.1433260393873085</v>
      </c>
      <c r="Q476" s="36" t="n">
        <v>0.151470588235294</v>
      </c>
      <c r="R476" s="36" t="n">
        <v>-0.008735282947208489</v>
      </c>
      <c r="S476" s="36" t="n">
        <v>-0.07594264471587897</v>
      </c>
      <c r="T476" s="36" t="n">
        <v>0.01478545430981404</v>
      </c>
      <c r="U476" s="31" t="n">
        <v>57100</v>
      </c>
      <c r="V476" s="31" t="n">
        <v>29200</v>
      </c>
      <c r="W476" s="36" t="n">
        <v>-0.3143607705779334</v>
      </c>
      <c r="X476" s="36" t="n">
        <v>0.3407534246575343</v>
      </c>
      <c r="Y476" s="31" t="n">
        <v>43617167</v>
      </c>
      <c r="Z476" s="31" t="n">
        <v>1707612088050</v>
      </c>
      <c r="AA476" s="31" t="n">
        <v>2658598200</v>
      </c>
      <c r="AB476" s="31" t="n">
        <v>5559739947.5</v>
      </c>
      <c r="AC476" s="36" t="n">
        <v>0.001556909920353149</v>
      </c>
      <c r="AD476" s="29" t="inlineStr">
        <is>
          <t>yfinance_download</t>
        </is>
      </c>
      <c r="AE476" s="29" t="inlineStr">
        <is>
          <t>000990.KS</t>
        </is>
      </c>
    </row>
    <row r="477" ht="24" customHeight="1">
      <c r="A477" s="24" t="inlineStr">
        <is>
          <t>2025-05-22</t>
        </is>
      </c>
      <c r="B477" s="30" t="n">
        <v>39150</v>
      </c>
      <c r="C477" s="30" t="n">
        <v>39200</v>
      </c>
      <c r="D477" s="30" t="n">
        <v>38100</v>
      </c>
      <c r="E477" s="30" t="n">
        <v>38200</v>
      </c>
      <c r="F477" s="30" t="n">
        <v>37856.19921875</v>
      </c>
      <c r="G477" s="30" t="n">
        <v>71870</v>
      </c>
      <c r="H477" s="35" t="n">
        <v>-0.02426564495530015</v>
      </c>
      <c r="I477" s="35" t="n">
        <v>-0.5500588928150766</v>
      </c>
      <c r="J477" s="30" t="n">
        <v>39347.5</v>
      </c>
      <c r="K477" s="30" t="n">
        <v>42230</v>
      </c>
      <c r="L477" s="30" t="n">
        <v>38617.5</v>
      </c>
      <c r="M477" s="35" t="n">
        <v>0.3541929439037074</v>
      </c>
      <c r="N477" s="35" t="n">
        <v>0.5755008065078098</v>
      </c>
      <c r="O477" s="35" t="n">
        <v>-0.07168894289185901</v>
      </c>
      <c r="P477" s="35" t="n">
        <v>-0.1776103336921421</v>
      </c>
      <c r="Q477" s="35" t="n">
        <v>0.1352154531946508</v>
      </c>
      <c r="R477" s="35" t="n">
        <v>-0.02916322510960034</v>
      </c>
      <c r="S477" s="35" t="n">
        <v>-0.09542978924934875</v>
      </c>
      <c r="T477" s="35" t="n">
        <v>-0.01081116074318633</v>
      </c>
      <c r="U477" s="30" t="n">
        <v>57100</v>
      </c>
      <c r="V477" s="30" t="n">
        <v>29200</v>
      </c>
      <c r="W477" s="35" t="n">
        <v>-0.3309982486865148</v>
      </c>
      <c r="X477" s="35" t="n">
        <v>0.3082191780821917</v>
      </c>
      <c r="Y477" s="30" t="n">
        <v>43617167</v>
      </c>
      <c r="Z477" s="30" t="n">
        <v>1666175779400</v>
      </c>
      <c r="AA477" s="30" t="n">
        <v>2745434000</v>
      </c>
      <c r="AB477" s="30" t="n">
        <v>5501820737.5</v>
      </c>
      <c r="AC477" s="35" t="n">
        <v>0.001647745714433952</v>
      </c>
      <c r="AD477" s="24" t="inlineStr">
        <is>
          <t>yfinance_download</t>
        </is>
      </c>
      <c r="AE477" s="24" t="inlineStr">
        <is>
          <t>000990.KS</t>
        </is>
      </c>
    </row>
    <row r="478" ht="24" customHeight="1">
      <c r="A478" s="29" t="inlineStr">
        <is>
          <t>2025-05-23</t>
        </is>
      </c>
      <c r="B478" s="31" t="n">
        <v>38250</v>
      </c>
      <c r="C478" s="31" t="n">
        <v>38800</v>
      </c>
      <c r="D478" s="31" t="n">
        <v>37800</v>
      </c>
      <c r="E478" s="31" t="n">
        <v>38150</v>
      </c>
      <c r="F478" s="31" t="n">
        <v>37806.6484375</v>
      </c>
      <c r="G478" s="31" t="n">
        <v>81678</v>
      </c>
      <c r="H478" s="36" t="n">
        <v>-0.001308900523560252</v>
      </c>
      <c r="I478" s="36" t="n">
        <v>-0.5506478209658422</v>
      </c>
      <c r="J478" s="31" t="n">
        <v>39245</v>
      </c>
      <c r="K478" s="31" t="n">
        <v>42101.66666666666</v>
      </c>
      <c r="L478" s="31" t="n">
        <v>38655.41666666666</v>
      </c>
      <c r="M478" s="36" t="n">
        <v>0.346550415613065</v>
      </c>
      <c r="N478" s="36" t="n">
        <v>0.5751034409469596</v>
      </c>
      <c r="O478" s="36" t="n">
        <v>-0.05099502487562191</v>
      </c>
      <c r="P478" s="36" t="n">
        <v>-0.1679389312977099</v>
      </c>
      <c r="Q478" s="36" t="n">
        <v>0.1354166666666667</v>
      </c>
      <c r="R478" s="36" t="n">
        <v>-0.02790164352146773</v>
      </c>
      <c r="S478" s="36" t="n">
        <v>-0.09386010055025529</v>
      </c>
      <c r="T478" s="36" t="n">
        <v>-0.01307492481648753</v>
      </c>
      <c r="U478" s="31" t="n">
        <v>57100</v>
      </c>
      <c r="V478" s="31" t="n">
        <v>29200</v>
      </c>
      <c r="W478" s="36" t="n">
        <v>-0.3318739054290718</v>
      </c>
      <c r="X478" s="36" t="n">
        <v>0.3065068493150684</v>
      </c>
      <c r="Y478" s="31" t="n">
        <v>43617167</v>
      </c>
      <c r="Z478" s="31" t="n">
        <v>1663994921050</v>
      </c>
      <c r="AA478" s="31" t="n">
        <v>3116015700</v>
      </c>
      <c r="AB478" s="31" t="n">
        <v>5431695512.5</v>
      </c>
      <c r="AC478" s="36" t="n">
        <v>0.001872611304626914</v>
      </c>
      <c r="AD478" s="29" t="inlineStr">
        <is>
          <t>yfinance_download</t>
        </is>
      </c>
      <c r="AE478" s="29" t="inlineStr">
        <is>
          <t>000990.KS</t>
        </is>
      </c>
    </row>
    <row r="479" ht="24" customHeight="1">
      <c r="A479" s="24" t="inlineStr">
        <is>
          <t>2025-05-26</t>
        </is>
      </c>
      <c r="B479" s="30" t="n">
        <v>37600</v>
      </c>
      <c r="C479" s="30" t="n">
        <v>38400</v>
      </c>
      <c r="D479" s="30" t="n">
        <v>37550</v>
      </c>
      <c r="E479" s="30" t="n">
        <v>38250</v>
      </c>
      <c r="F479" s="30" t="n">
        <v>37905.75</v>
      </c>
      <c r="G479" s="30" t="n">
        <v>84070</v>
      </c>
      <c r="H479" s="35" t="n">
        <v>0.002621231979030192</v>
      </c>
      <c r="I479" s="35" t="n">
        <v>-0.549469964664311</v>
      </c>
      <c r="J479" s="30" t="n">
        <v>39112.5</v>
      </c>
      <c r="K479" s="30" t="n">
        <v>41962.5</v>
      </c>
      <c r="L479" s="30" t="n">
        <v>38697.91666666666</v>
      </c>
      <c r="M479" s="35" t="n">
        <v>0.3392446126301245</v>
      </c>
      <c r="N479" s="35" t="n">
        <v>0.5738769521373956</v>
      </c>
      <c r="O479" s="35" t="n">
        <v>-0.0647921760391198</v>
      </c>
      <c r="P479" s="35" t="n">
        <v>-0.1791845493562232</v>
      </c>
      <c r="Q479" s="35" t="n">
        <v>0.1538461538461537</v>
      </c>
      <c r="R479" s="35" t="n">
        <v>-0.02205177372962608</v>
      </c>
      <c r="S479" s="35" t="n">
        <v>-0.08847184986595169</v>
      </c>
      <c r="T479" s="35" t="n">
        <v>-0.01157469717362036</v>
      </c>
      <c r="U479" s="30" t="n">
        <v>57100</v>
      </c>
      <c r="V479" s="30" t="n">
        <v>29200</v>
      </c>
      <c r="W479" s="35" t="n">
        <v>-0.330122591943958</v>
      </c>
      <c r="X479" s="35" t="n">
        <v>0.3099315068493151</v>
      </c>
      <c r="Y479" s="30" t="n">
        <v>43617167</v>
      </c>
      <c r="Z479" s="30" t="n">
        <v>1668356637750</v>
      </c>
      <c r="AA479" s="30" t="n">
        <v>3215677500</v>
      </c>
      <c r="AB479" s="30" t="n">
        <v>5337838032.5</v>
      </c>
      <c r="AC479" s="35" t="n">
        <v>0.001927452097014921</v>
      </c>
      <c r="AD479" s="24" t="inlineStr">
        <is>
          <t>yfinance_download</t>
        </is>
      </c>
      <c r="AE479" s="24" t="inlineStr">
        <is>
          <t>000990.KS</t>
        </is>
      </c>
    </row>
    <row r="480" ht="24" customHeight="1">
      <c r="A480" s="29" t="inlineStr">
        <is>
          <t>2025-05-27</t>
        </is>
      </c>
      <c r="B480" s="31" t="n">
        <v>38050</v>
      </c>
      <c r="C480" s="31" t="n">
        <v>38600</v>
      </c>
      <c r="D480" s="31" t="n">
        <v>37900</v>
      </c>
      <c r="E480" s="31" t="n">
        <v>38500</v>
      </c>
      <c r="F480" s="31" t="n">
        <v>38153.5</v>
      </c>
      <c r="G480" s="31" t="n">
        <v>47260</v>
      </c>
      <c r="H480" s="36" t="n">
        <v>0.006535947712418277</v>
      </c>
      <c r="I480" s="36" t="n">
        <v>-0.5465253239104829</v>
      </c>
      <c r="J480" s="31" t="n">
        <v>38995</v>
      </c>
      <c r="K480" s="31" t="n">
        <v>41791.66666666666</v>
      </c>
      <c r="L480" s="31" t="n">
        <v>38738.75</v>
      </c>
      <c r="M480" s="36" t="n">
        <v>0.3409344076853352</v>
      </c>
      <c r="N480" s="36" t="n">
        <v>0.5651747406937954</v>
      </c>
      <c r="O480" s="36" t="n">
        <v>-0.05752753977968172</v>
      </c>
      <c r="P480" s="36" t="n">
        <v>-0.2102564102564103</v>
      </c>
      <c r="Q480" s="36" t="n">
        <v>0.1458333333333333</v>
      </c>
      <c r="R480" s="36" t="n">
        <v>-0.01269393511988715</v>
      </c>
      <c r="S480" s="36" t="n">
        <v>-0.0787637088733798</v>
      </c>
      <c r="T480" s="36" t="n">
        <v>-0.00616307960375595</v>
      </c>
      <c r="U480" s="31" t="n">
        <v>57100</v>
      </c>
      <c r="V480" s="31" t="n">
        <v>29200</v>
      </c>
      <c r="W480" s="36" t="n">
        <v>-0.3257443082311734</v>
      </c>
      <c r="X480" s="36" t="n">
        <v>0.3184931506849316</v>
      </c>
      <c r="Y480" s="31" t="n">
        <v>43617167</v>
      </c>
      <c r="Z480" s="31" t="n">
        <v>1679260929500</v>
      </c>
      <c r="AA480" s="31" t="n">
        <v>1819510000</v>
      </c>
      <c r="AB480" s="31" t="n">
        <v>5289796897.5</v>
      </c>
      <c r="AC480" s="36" t="n">
        <v>0.001083518331211195</v>
      </c>
      <c r="AD480" s="29" t="inlineStr">
        <is>
          <t>yfinance_download</t>
        </is>
      </c>
      <c r="AE480" s="29" t="inlineStr">
        <is>
          <t>000990.KS</t>
        </is>
      </c>
    </row>
    <row r="481" ht="24" customHeight="1">
      <c r="A481" s="24" t="inlineStr">
        <is>
          <t>2025-05-28</t>
        </is>
      </c>
      <c r="B481" s="30" t="n">
        <v>38950</v>
      </c>
      <c r="C481" s="30" t="n">
        <v>39500</v>
      </c>
      <c r="D481" s="30" t="n">
        <v>38700</v>
      </c>
      <c r="E481" s="30" t="n">
        <v>39100</v>
      </c>
      <c r="F481" s="30" t="n">
        <v>38748.1015625</v>
      </c>
      <c r="G481" s="30" t="n">
        <v>84010</v>
      </c>
      <c r="H481" s="35" t="n">
        <v>0.01558441558441559</v>
      </c>
      <c r="I481" s="35" t="n">
        <v>-0.5394581861012957</v>
      </c>
      <c r="J481" s="30" t="n">
        <v>38850</v>
      </c>
      <c r="K481" s="30" t="n">
        <v>41640.83333333334</v>
      </c>
      <c r="L481" s="30" t="n">
        <v>38783.75</v>
      </c>
      <c r="M481" s="35" t="n">
        <v>0.3285270260520287</v>
      </c>
      <c r="N481" s="35" t="n">
        <v>0.5661646660005552</v>
      </c>
      <c r="O481" s="35" t="n">
        <v>-0.06904761904761902</v>
      </c>
      <c r="P481" s="35" t="n">
        <v>-0.1879543094496365</v>
      </c>
      <c r="Q481" s="35" t="n">
        <v>0.1602373887240356</v>
      </c>
      <c r="R481" s="35" t="n">
        <v>0.006435006435006496</v>
      </c>
      <c r="S481" s="35" t="n">
        <v>-0.06101783105525427</v>
      </c>
      <c r="T481" s="35" t="n">
        <v>0.008154188287620379</v>
      </c>
      <c r="U481" s="30" t="n">
        <v>57100</v>
      </c>
      <c r="V481" s="30" t="n">
        <v>29200</v>
      </c>
      <c r="W481" s="35" t="n">
        <v>-0.3152364273204904</v>
      </c>
      <c r="X481" s="35" t="n">
        <v>0.3390410958904109</v>
      </c>
      <c r="Y481" s="30" t="n">
        <v>43617167</v>
      </c>
      <c r="Z481" s="30" t="n">
        <v>1705431229700</v>
      </c>
      <c r="AA481" s="30" t="n">
        <v>3284791000</v>
      </c>
      <c r="AB481" s="30" t="n">
        <v>5210329347.5</v>
      </c>
      <c r="AC481" s="35" t="n">
        <v>0.001926076491854686</v>
      </c>
      <c r="AD481" s="24" t="inlineStr">
        <is>
          <t>yfinance_download</t>
        </is>
      </c>
      <c r="AE481" s="24" t="inlineStr">
        <is>
          <t>000990.KS</t>
        </is>
      </c>
    </row>
    <row r="482" ht="24" customHeight="1">
      <c r="A482" s="29" t="inlineStr">
        <is>
          <t>2025-05-29</t>
        </is>
      </c>
      <c r="B482" s="31" t="n">
        <v>39800</v>
      </c>
      <c r="C482" s="31" t="n">
        <v>39800</v>
      </c>
      <c r="D482" s="31" t="n">
        <v>39100</v>
      </c>
      <c r="E482" s="31" t="n">
        <v>39500</v>
      </c>
      <c r="F482" s="31" t="n">
        <v>39144.5</v>
      </c>
      <c r="G482" s="31" t="n">
        <v>71163</v>
      </c>
      <c r="H482" s="36" t="n">
        <v>0.01023017902813295</v>
      </c>
      <c r="I482" s="36" t="n">
        <v>-0.5347467608951708</v>
      </c>
      <c r="J482" s="31" t="n">
        <v>38870</v>
      </c>
      <c r="K482" s="31" t="n">
        <v>41579.16666666666</v>
      </c>
      <c r="L482" s="31" t="n">
        <v>38842.08333333334</v>
      </c>
      <c r="M482" s="36" t="n">
        <v>0.2213326582153433</v>
      </c>
      <c r="N482" s="36" t="n">
        <v>0.5269455603410571</v>
      </c>
      <c r="O482" s="36" t="n">
        <v>0.01023017902813295</v>
      </c>
      <c r="P482" s="36" t="n">
        <v>-0.08564814814814814</v>
      </c>
      <c r="Q482" s="36" t="n">
        <v>0.2153846153846153</v>
      </c>
      <c r="R482" s="36" t="n">
        <v>0.0162078723951633</v>
      </c>
      <c r="S482" s="36" t="n">
        <v>-0.05000501052209638</v>
      </c>
      <c r="T482" s="36" t="n">
        <v>0.01693824352881856</v>
      </c>
      <c r="U482" s="31" t="n">
        <v>57100</v>
      </c>
      <c r="V482" s="31" t="n">
        <v>29200</v>
      </c>
      <c r="W482" s="36" t="n">
        <v>-0.308231173380035</v>
      </c>
      <c r="X482" s="36" t="n">
        <v>0.3527397260273972</v>
      </c>
      <c r="Y482" s="31" t="n">
        <v>43617167</v>
      </c>
      <c r="Z482" s="31" t="n">
        <v>1722878096500</v>
      </c>
      <c r="AA482" s="31" t="n">
        <v>2810938500</v>
      </c>
      <c r="AB482" s="31" t="n">
        <v>4301520247.5</v>
      </c>
      <c r="AC482" s="36" t="n">
        <v>0.001631536500295858</v>
      </c>
      <c r="AD482" s="29" t="inlineStr">
        <is>
          <t>yfinance_download</t>
        </is>
      </c>
      <c r="AE482" s="29" t="inlineStr">
        <is>
          <t>000990.KS</t>
        </is>
      </c>
    </row>
    <row r="483" ht="24" customHeight="1">
      <c r="A483" s="24" t="inlineStr">
        <is>
          <t>2025-05-30</t>
        </is>
      </c>
      <c r="B483" s="30" t="n">
        <v>39200</v>
      </c>
      <c r="C483" s="30" t="n">
        <v>39500</v>
      </c>
      <c r="D483" s="30" t="n">
        <v>38950</v>
      </c>
      <c r="E483" s="30" t="n">
        <v>39000</v>
      </c>
      <c r="F483" s="30" t="n">
        <v>38649</v>
      </c>
      <c r="G483" s="30" t="n">
        <v>71215</v>
      </c>
      <c r="H483" s="35" t="n">
        <v>-0.01265822784810122</v>
      </c>
      <c r="I483" s="35" t="n">
        <v>-0.5406360424028269</v>
      </c>
      <c r="J483" s="30" t="n">
        <v>38867.5</v>
      </c>
      <c r="K483" s="30" t="n">
        <v>41483.33333333334</v>
      </c>
      <c r="L483" s="30" t="n">
        <v>38897.91666666666</v>
      </c>
      <c r="M483" s="35" t="n">
        <v>0.2262460923353915</v>
      </c>
      <c r="N483" s="35" t="n">
        <v>0.5218214896941047</v>
      </c>
      <c r="O483" s="35" t="n">
        <v>-0.001280409731113985</v>
      </c>
      <c r="P483" s="35" t="n">
        <v>-0.1284916201117319</v>
      </c>
      <c r="Q483" s="35" t="n">
        <v>0.2074303405572755</v>
      </c>
      <c r="R483" s="35" t="n">
        <v>0.003409017816942139</v>
      </c>
      <c r="S483" s="35" t="n">
        <v>-0.05986339895540382</v>
      </c>
      <c r="T483" s="35" t="n">
        <v>0.002624390766429174</v>
      </c>
      <c r="U483" s="30" t="n">
        <v>57100</v>
      </c>
      <c r="V483" s="30" t="n">
        <v>29200</v>
      </c>
      <c r="W483" s="35" t="n">
        <v>-0.3169877408056042</v>
      </c>
      <c r="X483" s="35" t="n">
        <v>0.3356164383561644</v>
      </c>
      <c r="Y483" s="30" t="n">
        <v>43617167</v>
      </c>
      <c r="Z483" s="30" t="n">
        <v>1701069513000</v>
      </c>
      <c r="AA483" s="30" t="n">
        <v>2777385000</v>
      </c>
      <c r="AB483" s="30" t="n">
        <v>3951014897.5</v>
      </c>
      <c r="AC483" s="35" t="n">
        <v>0.001632728691434728</v>
      </c>
      <c r="AD483" s="24" t="inlineStr">
        <is>
          <t>yfinance_download</t>
        </is>
      </c>
      <c r="AE483" s="24" t="inlineStr">
        <is>
          <t>000990.KS</t>
        </is>
      </c>
    </row>
    <row r="484" ht="24" customHeight="1">
      <c r="A484" s="29" t="inlineStr">
        <is>
          <t>2025-06-02</t>
        </is>
      </c>
      <c r="B484" s="31" t="n">
        <v>39850</v>
      </c>
      <c r="C484" s="31" t="n">
        <v>44300</v>
      </c>
      <c r="D484" s="31" t="n">
        <v>39650</v>
      </c>
      <c r="E484" s="31" t="n">
        <v>42300</v>
      </c>
      <c r="F484" s="31" t="n">
        <v>41919.30078125</v>
      </c>
      <c r="G484" s="31" t="n">
        <v>822558</v>
      </c>
      <c r="H484" s="36" t="n">
        <v>0.08461538461538454</v>
      </c>
      <c r="I484" s="36" t="n">
        <v>-0.5017667844522968</v>
      </c>
      <c r="J484" s="31" t="n">
        <v>39065</v>
      </c>
      <c r="K484" s="31" t="n">
        <v>41446.66666666666</v>
      </c>
      <c r="L484" s="31" t="n">
        <v>38988.75</v>
      </c>
      <c r="M484" s="36" t="n">
        <v>0.3671856499101174</v>
      </c>
      <c r="N484" s="36" t="n">
        <v>0.5509245802215651</v>
      </c>
      <c r="O484" s="36" t="n">
        <v>0.1029986962190352</v>
      </c>
      <c r="P484" s="36" t="n">
        <v>-0.04943820224719098</v>
      </c>
      <c r="Q484" s="36" t="n">
        <v>0.3471337579617835</v>
      </c>
      <c r="R484" s="36" t="n">
        <v>0.08281070011519254</v>
      </c>
      <c r="S484" s="36" t="n">
        <v>0.02058870838024784</v>
      </c>
      <c r="T484" s="36" t="n">
        <v>0.08492834471482169</v>
      </c>
      <c r="U484" s="31" t="n">
        <v>57100</v>
      </c>
      <c r="V484" s="31" t="n">
        <v>29200</v>
      </c>
      <c r="W484" s="36" t="n">
        <v>-0.2591943957968477</v>
      </c>
      <c r="X484" s="36" t="n">
        <v>0.4486301369863013</v>
      </c>
      <c r="Y484" s="31" t="n">
        <v>43617167</v>
      </c>
      <c r="Z484" s="31" t="n">
        <v>1845006164100</v>
      </c>
      <c r="AA484" s="31" t="n">
        <v>34794203400</v>
      </c>
      <c r="AB484" s="31" t="n">
        <v>5375148670</v>
      </c>
      <c r="AC484" s="36" t="n">
        <v>0.0188585838231997</v>
      </c>
      <c r="AD484" s="29" t="inlineStr">
        <is>
          <t>yfinance_download</t>
        </is>
      </c>
      <c r="AE484" s="29" t="inlineStr">
        <is>
          <t>000990.KS</t>
        </is>
      </c>
    </row>
    <row r="485" ht="24" customHeight="1">
      <c r="A485" s="24" t="inlineStr">
        <is>
          <t>2025-06-04</t>
        </is>
      </c>
      <c r="B485" s="30" t="n">
        <v>42700</v>
      </c>
      <c r="C485" s="30" t="n">
        <v>43350</v>
      </c>
      <c r="D485" s="30" t="n">
        <v>42150</v>
      </c>
      <c r="E485" s="30" t="n">
        <v>42850</v>
      </c>
      <c r="F485" s="30" t="n">
        <v>42464.3515625</v>
      </c>
      <c r="G485" s="30" t="n">
        <v>246230</v>
      </c>
      <c r="H485" s="35" t="n">
        <v>0.01300236406619382</v>
      </c>
      <c r="I485" s="35" t="n">
        <v>-0.4952885747938751</v>
      </c>
      <c r="J485" s="30" t="n">
        <v>39287.5</v>
      </c>
      <c r="K485" s="30" t="n">
        <v>41487.5</v>
      </c>
      <c r="L485" s="30" t="n">
        <v>39093.75</v>
      </c>
      <c r="M485" s="35" t="n">
        <v>0.3679037711480069</v>
      </c>
      <c r="N485" s="35" t="n">
        <v>0.5171280762953726</v>
      </c>
      <c r="O485" s="35" t="n">
        <v>0.1158854166666667</v>
      </c>
      <c r="P485" s="35" t="n">
        <v>0.06064356435643559</v>
      </c>
      <c r="Q485" s="35" t="n">
        <v>0.4165289256198348</v>
      </c>
      <c r="R485" s="35" t="n">
        <v>0.09067769646834245</v>
      </c>
      <c r="S485" s="35" t="n">
        <v>0.0328412172341066</v>
      </c>
      <c r="T485" s="35" t="n">
        <v>0.09608313349320552</v>
      </c>
      <c r="U485" s="30" t="n">
        <v>57100</v>
      </c>
      <c r="V485" s="30" t="n">
        <v>29200</v>
      </c>
      <c r="W485" s="35" t="n">
        <v>-0.2495621716287215</v>
      </c>
      <c r="X485" s="35" t="n">
        <v>0.4674657534246576</v>
      </c>
      <c r="Y485" s="30" t="n">
        <v>43617167</v>
      </c>
      <c r="Z485" s="30" t="n">
        <v>1868995605950</v>
      </c>
      <c r="AA485" s="30" t="n">
        <v>10550955500</v>
      </c>
      <c r="AB485" s="30" t="n">
        <v>5730005885</v>
      </c>
      <c r="AC485" s="35" t="n">
        <v>0.005645254310074747</v>
      </c>
      <c r="AD485" s="24" t="inlineStr">
        <is>
          <t>yfinance_download</t>
        </is>
      </c>
      <c r="AE485" s="24" t="inlineStr">
        <is>
          <t>000990.KS</t>
        </is>
      </c>
    </row>
    <row r="486" ht="24" customHeight="1">
      <c r="A486" s="29" t="inlineStr">
        <is>
          <t>2025-06-05</t>
        </is>
      </c>
      <c r="B486" s="31" t="n">
        <v>43350</v>
      </c>
      <c r="C486" s="31" t="n">
        <v>44950</v>
      </c>
      <c r="D486" s="31" t="n">
        <v>42800</v>
      </c>
      <c r="E486" s="31" t="n">
        <v>44050</v>
      </c>
      <c r="F486" s="31" t="n">
        <v>43653.55078125</v>
      </c>
      <c r="G486" s="31" t="n">
        <v>274247</v>
      </c>
      <c r="H486" s="36" t="n">
        <v>0.02800466744457419</v>
      </c>
      <c r="I486" s="36" t="n">
        <v>-0.4811542991755006</v>
      </c>
      <c r="J486" s="31" t="n">
        <v>39560</v>
      </c>
      <c r="K486" s="31" t="n">
        <v>41528.33333333334</v>
      </c>
      <c r="L486" s="31" t="n">
        <v>39187.08333333334</v>
      </c>
      <c r="M486" s="36" t="n">
        <v>0.3762670252934134</v>
      </c>
      <c r="N486" s="36" t="n">
        <v>0.5167440561963987</v>
      </c>
      <c r="O486" s="36" t="n">
        <v>0.1411917098445596</v>
      </c>
      <c r="P486" s="36" t="n">
        <v>0.05889423076923084</v>
      </c>
      <c r="Q486" s="36" t="n">
        <v>0.3409436834094368</v>
      </c>
      <c r="R486" s="36" t="n">
        <v>0.1134984833164814</v>
      </c>
      <c r="S486" s="36" t="n">
        <v>0.06072159569771629</v>
      </c>
      <c r="T486" s="36" t="n">
        <v>0.1240948867079925</v>
      </c>
      <c r="U486" s="31" t="n">
        <v>57100</v>
      </c>
      <c r="V486" s="31" t="n">
        <v>29200</v>
      </c>
      <c r="W486" s="36" t="n">
        <v>-0.2285464098073555</v>
      </c>
      <c r="X486" s="36" t="n">
        <v>0.5085616438356164</v>
      </c>
      <c r="Y486" s="31" t="n">
        <v>43617167</v>
      </c>
      <c r="Z486" s="31" t="n">
        <v>1921336206350</v>
      </c>
      <c r="AA486" s="31" t="n">
        <v>12080580350</v>
      </c>
      <c r="AB486" s="31" t="n">
        <v>6125019762.5</v>
      </c>
      <c r="AC486" s="36" t="n">
        <v>0.006287593139646139</v>
      </c>
      <c r="AD486" s="29" t="inlineStr">
        <is>
          <t>yfinance_download</t>
        </is>
      </c>
      <c r="AE486" s="29" t="inlineStr">
        <is>
          <t>000990.KS</t>
        </is>
      </c>
    </row>
    <row r="487" ht="24" customHeight="1">
      <c r="A487" s="24" t="inlineStr">
        <is>
          <t>2025-06-09</t>
        </is>
      </c>
      <c r="B487" s="30" t="n">
        <v>45050</v>
      </c>
      <c r="C487" s="30" t="n">
        <v>45400</v>
      </c>
      <c r="D487" s="30" t="n">
        <v>43800</v>
      </c>
      <c r="E487" s="30" t="n">
        <v>44050</v>
      </c>
      <c r="F487" s="30" t="n">
        <v>43653.55078125</v>
      </c>
      <c r="G487" s="30" t="n">
        <v>209000</v>
      </c>
      <c r="H487" s="35" t="n">
        <v>0</v>
      </c>
      <c r="I487" s="35" t="n">
        <v>-0.4811542991755006</v>
      </c>
      <c r="J487" s="30" t="n">
        <v>39842.5</v>
      </c>
      <c r="K487" s="30" t="n">
        <v>41505.83333333334</v>
      </c>
      <c r="L487" s="30" t="n">
        <v>39280.83333333334</v>
      </c>
      <c r="M487" s="35" t="n">
        <v>0.3745087667451403</v>
      </c>
      <c r="N487" s="35" t="n">
        <v>0.4816017899203764</v>
      </c>
      <c r="O487" s="35" t="n">
        <v>0.1471354166666667</v>
      </c>
      <c r="P487" s="35" t="n">
        <v>-0.02973568281938321</v>
      </c>
      <c r="Q487" s="35" t="n">
        <v>0.3429878048780488</v>
      </c>
      <c r="R487" s="35" t="n">
        <v>0.1056033130451151</v>
      </c>
      <c r="S487" s="35" t="n">
        <v>0.06129660489489419</v>
      </c>
      <c r="T487" s="35" t="n">
        <v>0.1214120542249189</v>
      </c>
      <c r="U487" s="30" t="n">
        <v>57100</v>
      </c>
      <c r="V487" s="30" t="n">
        <v>29200</v>
      </c>
      <c r="W487" s="35" t="n">
        <v>-0.2285464098073555</v>
      </c>
      <c r="X487" s="35" t="n">
        <v>0.5085616438356164</v>
      </c>
      <c r="Y487" s="30" t="n">
        <v>43617167</v>
      </c>
      <c r="Z487" s="30" t="n">
        <v>1921336206350</v>
      </c>
      <c r="AA487" s="30" t="n">
        <v>9206450000</v>
      </c>
      <c r="AB487" s="30" t="n">
        <v>6368149942.5</v>
      </c>
      <c r="AC487" s="35" t="n">
        <v>0.004791691308149381</v>
      </c>
      <c r="AD487" s="24" t="inlineStr">
        <is>
          <t>yfinance_download</t>
        </is>
      </c>
      <c r="AE487" s="24" t="inlineStr">
        <is>
          <t>000990.KS</t>
        </is>
      </c>
    </row>
    <row r="488" ht="24" customHeight="1">
      <c r="A488" s="29" t="inlineStr">
        <is>
          <t>2025-06-10</t>
        </is>
      </c>
      <c r="B488" s="31" t="n">
        <v>44500</v>
      </c>
      <c r="C488" s="31" t="n">
        <v>44700</v>
      </c>
      <c r="D488" s="31" t="n">
        <v>43650</v>
      </c>
      <c r="E488" s="31" t="n">
        <v>44500</v>
      </c>
      <c r="F488" s="31" t="n">
        <v>44099.5</v>
      </c>
      <c r="G488" s="31" t="n">
        <v>147299</v>
      </c>
      <c r="H488" s="36" t="n">
        <v>0.01021566401816121</v>
      </c>
      <c r="I488" s="36" t="n">
        <v>-0.4758539458186102</v>
      </c>
      <c r="J488" s="31" t="n">
        <v>40162.5</v>
      </c>
      <c r="K488" s="31" t="n">
        <v>41514.16666666666</v>
      </c>
      <c r="L488" s="31" t="n">
        <v>39387.08333333334</v>
      </c>
      <c r="M488" s="36" t="n">
        <v>0.3704049315137875</v>
      </c>
      <c r="N488" s="36" t="n">
        <v>0.4777258040946838</v>
      </c>
      <c r="O488" s="36" t="n">
        <v>0.1679790026246719</v>
      </c>
      <c r="P488" s="36" t="n">
        <v>0.01136363636363646</v>
      </c>
      <c r="Q488" s="36" t="n">
        <v>0.4015748031496063</v>
      </c>
      <c r="R488" s="36" t="n">
        <v>0.1079987550575785</v>
      </c>
      <c r="S488" s="36" t="n">
        <v>0.07192323905494113</v>
      </c>
      <c r="T488" s="36" t="n">
        <v>0.1298120153603655</v>
      </c>
      <c r="U488" s="31" t="n">
        <v>57100</v>
      </c>
      <c r="V488" s="31" t="n">
        <v>29200</v>
      </c>
      <c r="W488" s="36" t="n">
        <v>-0.2206654991243433</v>
      </c>
      <c r="X488" s="36" t="n">
        <v>0.523972602739726</v>
      </c>
      <c r="Y488" s="31" t="n">
        <v>43617167</v>
      </c>
      <c r="Z488" s="31" t="n">
        <v>1940963931500</v>
      </c>
      <c r="AA488" s="31" t="n">
        <v>6554805500</v>
      </c>
      <c r="AB488" s="31" t="n">
        <v>6441984197.5</v>
      </c>
      <c r="AC488" s="36" t="n">
        <v>0.003377087741622467</v>
      </c>
      <c r="AD488" s="29" t="inlineStr">
        <is>
          <t>yfinance_download</t>
        </is>
      </c>
      <c r="AE488" s="29" t="inlineStr">
        <is>
          <t>000990.KS</t>
        </is>
      </c>
    </row>
    <row r="489" ht="24" customHeight="1">
      <c r="A489" s="24" t="inlineStr">
        <is>
          <t>2025-06-11</t>
        </is>
      </c>
      <c r="B489" s="30" t="n">
        <v>45300</v>
      </c>
      <c r="C489" s="30" t="n">
        <v>47650</v>
      </c>
      <c r="D489" s="30" t="n">
        <v>44450</v>
      </c>
      <c r="E489" s="30" t="n">
        <v>45850</v>
      </c>
      <c r="F489" s="30" t="n">
        <v>45437.3515625</v>
      </c>
      <c r="G489" s="30" t="n">
        <v>293722</v>
      </c>
      <c r="H489" s="35" t="n">
        <v>0.03033707865168545</v>
      </c>
      <c r="I489" s="35" t="n">
        <v>-0.4599528857479388</v>
      </c>
      <c r="J489" s="30" t="n">
        <v>40492.5</v>
      </c>
      <c r="K489" s="30" t="n">
        <v>41522.5</v>
      </c>
      <c r="L489" s="30" t="n">
        <v>39502.91666666666</v>
      </c>
      <c r="M489" s="35" t="n">
        <v>0.370526878599443</v>
      </c>
      <c r="N489" s="35" t="n">
        <v>0.4776337056094416</v>
      </c>
      <c r="O489" s="35" t="n">
        <v>0.1681528662420382</v>
      </c>
      <c r="P489" s="35" t="n">
        <v>0.01102535832414553</v>
      </c>
      <c r="Q489" s="35" t="n">
        <v>0.4350547730829422</v>
      </c>
      <c r="R489" s="35" t="n">
        <v>0.1323084521825029</v>
      </c>
      <c r="S489" s="35" t="n">
        <v>0.1042206032873743</v>
      </c>
      <c r="T489" s="35" t="n">
        <v>0.1606737899100279</v>
      </c>
      <c r="U489" s="30" t="n">
        <v>57100</v>
      </c>
      <c r="V489" s="30" t="n">
        <v>29200</v>
      </c>
      <c r="W489" s="35" t="n">
        <v>-0.1970227670753065</v>
      </c>
      <c r="X489" s="35" t="n">
        <v>0.5702054794520548</v>
      </c>
      <c r="Y489" s="30" t="n">
        <v>43617167</v>
      </c>
      <c r="Z489" s="30" t="n">
        <v>1999847106950</v>
      </c>
      <c r="AA489" s="30" t="n">
        <v>13467153700</v>
      </c>
      <c r="AB489" s="30" t="n">
        <v>6852561170</v>
      </c>
      <c r="AC489" s="35" t="n">
        <v>0.006734091647905514</v>
      </c>
      <c r="AD489" s="24" t="inlineStr">
        <is>
          <t>yfinance_download</t>
        </is>
      </c>
      <c r="AE489" s="24" t="inlineStr">
        <is>
          <t>000990.KS</t>
        </is>
      </c>
    </row>
    <row r="490" ht="24" customHeight="1">
      <c r="A490" s="29" t="inlineStr">
        <is>
          <t>2025-06-12</t>
        </is>
      </c>
      <c r="B490" s="31" t="n">
        <v>45700</v>
      </c>
      <c r="C490" s="31" t="n">
        <v>45750</v>
      </c>
      <c r="D490" s="31" t="n">
        <v>45000</v>
      </c>
      <c r="E490" s="31" t="n">
        <v>45150</v>
      </c>
      <c r="F490" s="31" t="n">
        <v>44743.6484375</v>
      </c>
      <c r="G490" s="31" t="n">
        <v>107017</v>
      </c>
      <c r="H490" s="36" t="n">
        <v>-0.01526717557251911</v>
      </c>
      <c r="I490" s="36" t="n">
        <v>-0.4681978798586572</v>
      </c>
      <c r="J490" s="31" t="n">
        <v>40760</v>
      </c>
      <c r="K490" s="31" t="n">
        <v>41544.16666666666</v>
      </c>
      <c r="L490" s="31" t="n">
        <v>39635.83333333334</v>
      </c>
      <c r="M490" s="36" t="n">
        <v>0.3787650924852335</v>
      </c>
      <c r="N490" s="36" t="n">
        <v>0.4736438529980546</v>
      </c>
      <c r="O490" s="36" t="n">
        <v>0.1344221105527639</v>
      </c>
      <c r="P490" s="36" t="n">
        <v>0.02964652223489161</v>
      </c>
      <c r="Q490" s="36" t="n">
        <v>0.5462328767123288</v>
      </c>
      <c r="R490" s="36" t="n">
        <v>0.1077036310107948</v>
      </c>
      <c r="S490" s="36" t="n">
        <v>0.08679517782279911</v>
      </c>
      <c r="T490" s="36" t="n">
        <v>0.1391207451170027</v>
      </c>
      <c r="U490" s="31" t="n">
        <v>57100</v>
      </c>
      <c r="V490" s="31" t="n">
        <v>29200</v>
      </c>
      <c r="W490" s="36" t="n">
        <v>-0.2092819614711033</v>
      </c>
      <c r="X490" s="36" t="n">
        <v>0.5462328767123288</v>
      </c>
      <c r="Y490" s="31" t="n">
        <v>43617167</v>
      </c>
      <c r="Z490" s="31" t="n">
        <v>1969315090050</v>
      </c>
      <c r="AA490" s="31" t="n">
        <v>4831817550</v>
      </c>
      <c r="AB490" s="31" t="n">
        <v>6797343547.5</v>
      </c>
      <c r="AC490" s="36" t="n">
        <v>0.002453552290546518</v>
      </c>
      <c r="AD490" s="29" t="inlineStr">
        <is>
          <t>yfinance_download</t>
        </is>
      </c>
      <c r="AE490" s="29" t="inlineStr">
        <is>
          <t>000990.KS</t>
        </is>
      </c>
    </row>
    <row r="491" ht="24" customHeight="1">
      <c r="A491" s="24" t="inlineStr">
        <is>
          <t>2025-06-13</t>
        </is>
      </c>
      <c r="B491" s="30" t="n">
        <v>45350</v>
      </c>
      <c r="C491" s="30" t="n">
        <v>45500</v>
      </c>
      <c r="D491" s="30" t="n">
        <v>43400</v>
      </c>
      <c r="E491" s="30" t="n">
        <v>44050</v>
      </c>
      <c r="F491" s="30" t="n">
        <v>43653.55078125</v>
      </c>
      <c r="G491" s="30" t="n">
        <v>220099</v>
      </c>
      <c r="H491" s="35" t="n">
        <v>-0.02436323366555926</v>
      </c>
      <c r="I491" s="35" t="n">
        <v>-0.4811542991755006</v>
      </c>
      <c r="J491" s="30" t="n">
        <v>40972.5</v>
      </c>
      <c r="K491" s="30" t="n">
        <v>41533.33333333334</v>
      </c>
      <c r="L491" s="30" t="n">
        <v>39738.75</v>
      </c>
      <c r="M491" s="35" t="n">
        <v>0.3939540733642504</v>
      </c>
      <c r="N491" s="35" t="n">
        <v>0.4748457335614583</v>
      </c>
      <c r="O491" s="35" t="n">
        <v>0.1067839195979901</v>
      </c>
      <c r="P491" s="35" t="n">
        <v>-0.0145413870246085</v>
      </c>
      <c r="Q491" s="35" t="n">
        <v>0.389589905362776</v>
      </c>
      <c r="R491" s="35" t="n">
        <v>0.07511135517725309</v>
      </c>
      <c r="S491" s="35" t="n">
        <v>0.06059390048154079</v>
      </c>
      <c r="T491" s="35" t="n">
        <v>0.1084898241640715</v>
      </c>
      <c r="U491" s="30" t="n">
        <v>57100</v>
      </c>
      <c r="V491" s="30" t="n">
        <v>29200</v>
      </c>
      <c r="W491" s="35" t="n">
        <v>-0.2285464098073555</v>
      </c>
      <c r="X491" s="35" t="n">
        <v>0.5085616438356164</v>
      </c>
      <c r="Y491" s="30" t="n">
        <v>43617167</v>
      </c>
      <c r="Z491" s="30" t="n">
        <v>1921336206350</v>
      </c>
      <c r="AA491" s="30" t="n">
        <v>9695360950</v>
      </c>
      <c r="AB491" s="30" t="n">
        <v>7004289685</v>
      </c>
      <c r="AC491" s="35" t="n">
        <v>0.00504615533604005</v>
      </c>
      <c r="AD491" s="24" t="inlineStr">
        <is>
          <t>yfinance_download</t>
        </is>
      </c>
      <c r="AE491" s="24" t="inlineStr">
        <is>
          <t>000990.KS</t>
        </is>
      </c>
    </row>
    <row r="492" ht="24" customHeight="1">
      <c r="A492" s="29" t="inlineStr">
        <is>
          <t>2025-06-16</t>
        </is>
      </c>
      <c r="B492" s="31" t="n">
        <v>43500</v>
      </c>
      <c r="C492" s="31" t="n">
        <v>44050</v>
      </c>
      <c r="D492" s="31" t="n">
        <v>42950</v>
      </c>
      <c r="E492" s="31" t="n">
        <v>43950</v>
      </c>
      <c r="F492" s="31" t="n">
        <v>43554.44921875</v>
      </c>
      <c r="G492" s="31" t="n">
        <v>124782</v>
      </c>
      <c r="H492" s="36" t="n">
        <v>-0.002270147559591429</v>
      </c>
      <c r="I492" s="36" t="n">
        <v>-0.4823321554770318</v>
      </c>
      <c r="J492" s="31" t="n">
        <v>41200</v>
      </c>
      <c r="K492" s="31" t="n">
        <v>41478.33333333334</v>
      </c>
      <c r="L492" s="31" t="n">
        <v>39829.16666666666</v>
      </c>
      <c r="M492" s="36" t="n">
        <v>0.3908708818097786</v>
      </c>
      <c r="N492" s="36" t="n">
        <v>0.4598364436850377</v>
      </c>
      <c r="O492" s="36" t="n">
        <v>0.1154822335025381</v>
      </c>
      <c r="P492" s="36" t="n">
        <v>-0.06984126984126982</v>
      </c>
      <c r="Q492" s="36" t="n">
        <v>0.3277945619335347</v>
      </c>
      <c r="R492" s="36" t="n">
        <v>0.06674757281553401</v>
      </c>
      <c r="S492" s="36" t="n">
        <v>0.05958934383413017</v>
      </c>
      <c r="T492" s="36" t="n">
        <v>0.1034627053039021</v>
      </c>
      <c r="U492" s="31" t="n">
        <v>57100</v>
      </c>
      <c r="V492" s="31" t="n">
        <v>29200</v>
      </c>
      <c r="W492" s="36" t="n">
        <v>-0.2302977232924693</v>
      </c>
      <c r="X492" s="36" t="n">
        <v>0.5051369863013699</v>
      </c>
      <c r="Y492" s="31" t="n">
        <v>43617167</v>
      </c>
      <c r="Z492" s="31" t="n">
        <v>1916974489650</v>
      </c>
      <c r="AA492" s="31" t="n">
        <v>5484168900</v>
      </c>
      <c r="AB492" s="31" t="n">
        <v>7067255030</v>
      </c>
      <c r="AC492" s="36" t="n">
        <v>0.002860846051739216</v>
      </c>
      <c r="AD492" s="29" t="inlineStr">
        <is>
          <t>yfinance_download</t>
        </is>
      </c>
      <c r="AE492" s="29" t="inlineStr">
        <is>
          <t>000990.KS</t>
        </is>
      </c>
    </row>
    <row r="493" ht="24" customHeight="1">
      <c r="A493" s="24" t="inlineStr">
        <is>
          <t>2025-06-17</t>
        </is>
      </c>
      <c r="B493" s="30" t="n">
        <v>44250</v>
      </c>
      <c r="C493" s="30" t="n">
        <v>45900</v>
      </c>
      <c r="D493" s="30" t="n">
        <v>43550</v>
      </c>
      <c r="E493" s="30" t="n">
        <v>44250</v>
      </c>
      <c r="F493" s="30" t="n">
        <v>43851.75</v>
      </c>
      <c r="G493" s="30" t="n">
        <v>234180</v>
      </c>
      <c r="H493" s="35" t="n">
        <v>0.006825938566553003</v>
      </c>
      <c r="I493" s="35" t="n">
        <v>-0.4787985865724381</v>
      </c>
      <c r="J493" s="30" t="n">
        <v>41432.5</v>
      </c>
      <c r="K493" s="30" t="n">
        <v>41438.33333333334</v>
      </c>
      <c r="L493" s="30" t="n">
        <v>39918.33333333334</v>
      </c>
      <c r="M493" s="35" t="n">
        <v>0.3908796716837716</v>
      </c>
      <c r="N493" s="35" t="n">
        <v>0.4594179270305847</v>
      </c>
      <c r="O493" s="35" t="n">
        <v>0.1174242424242424</v>
      </c>
      <c r="P493" s="35" t="n">
        <v>-0.05144694533762062</v>
      </c>
      <c r="Q493" s="35" t="n">
        <v>0.3189269746646797</v>
      </c>
      <c r="R493" s="35" t="n">
        <v>0.06800217220780791</v>
      </c>
      <c r="S493" s="35" t="n">
        <v>0.06785182801753598</v>
      </c>
      <c r="T493" s="35" t="n">
        <v>0.1085132144795624</v>
      </c>
      <c r="U493" s="30" t="n">
        <v>57100</v>
      </c>
      <c r="V493" s="30" t="n">
        <v>29200</v>
      </c>
      <c r="W493" s="35" t="n">
        <v>-0.2250437828371279</v>
      </c>
      <c r="X493" s="35" t="n">
        <v>0.5154109589041096</v>
      </c>
      <c r="Y493" s="30" t="n">
        <v>43617167</v>
      </c>
      <c r="Z493" s="30" t="n">
        <v>1930059639750</v>
      </c>
      <c r="AA493" s="30" t="n">
        <v>10362465000</v>
      </c>
      <c r="AB493" s="30" t="n">
        <v>7394868620</v>
      </c>
      <c r="AC493" s="35" t="n">
        <v>0.005368986940394363</v>
      </c>
      <c r="AD493" s="24" t="inlineStr">
        <is>
          <t>yfinance_download</t>
        </is>
      </c>
      <c r="AE493" s="24" t="inlineStr">
        <is>
          <t>000990.KS</t>
        </is>
      </c>
    </row>
    <row r="494" ht="24" customHeight="1">
      <c r="A494" s="29" t="inlineStr">
        <is>
          <t>2025-06-18</t>
        </is>
      </c>
      <c r="B494" s="31" t="n">
        <v>44200</v>
      </c>
      <c r="C494" s="31" t="n">
        <v>47950</v>
      </c>
      <c r="D494" s="31" t="n">
        <v>43950</v>
      </c>
      <c r="E494" s="31" t="n">
        <v>47250</v>
      </c>
      <c r="F494" s="31" t="n">
        <v>46824.75</v>
      </c>
      <c r="G494" s="31" t="n">
        <v>380027</v>
      </c>
      <c r="H494" s="36" t="n">
        <v>0.06779661016949157</v>
      </c>
      <c r="I494" s="36" t="n">
        <v>-0.4434628975265018</v>
      </c>
      <c r="J494" s="31" t="n">
        <v>41867.5</v>
      </c>
      <c r="K494" s="31" t="n">
        <v>41450</v>
      </c>
      <c r="L494" s="31" t="n">
        <v>40027.5</v>
      </c>
      <c r="M494" s="36" t="n">
        <v>0.4288345630149116</v>
      </c>
      <c r="N494" s="36" t="n">
        <v>0.4802165032668589</v>
      </c>
      <c r="O494" s="36" t="n">
        <v>0.2256809338521402</v>
      </c>
      <c r="P494" s="36" t="n">
        <v>0.01503759398496252</v>
      </c>
      <c r="Q494" s="36" t="n">
        <v>0.383601756954612</v>
      </c>
      <c r="R494" s="36" t="n">
        <v>0.1285603391652237</v>
      </c>
      <c r="S494" s="36" t="n">
        <v>0.1399276236429432</v>
      </c>
      <c r="T494" s="36" t="n">
        <v>0.1804384485666104</v>
      </c>
      <c r="U494" s="31" t="n">
        <v>57100</v>
      </c>
      <c r="V494" s="31" t="n">
        <v>29200</v>
      </c>
      <c r="W494" s="36" t="n">
        <v>-0.1725043782837128</v>
      </c>
      <c r="X494" s="36" t="n">
        <v>0.6181506849315068</v>
      </c>
      <c r="Y494" s="31" t="n">
        <v>43617167</v>
      </c>
      <c r="Z494" s="31" t="n">
        <v>2060911140750</v>
      </c>
      <c r="AA494" s="31" t="n">
        <v>17956275750</v>
      </c>
      <c r="AB494" s="31" t="n">
        <v>8006481425</v>
      </c>
      <c r="AC494" s="36" t="n">
        <v>0.00871278503713916</v>
      </c>
      <c r="AD494" s="29" t="inlineStr">
        <is>
          <t>yfinance_download</t>
        </is>
      </c>
      <c r="AE494" s="29" t="inlineStr">
        <is>
          <t>000990.KS</t>
        </is>
      </c>
    </row>
    <row r="495" ht="24" customHeight="1">
      <c r="A495" s="24" t="inlineStr">
        <is>
          <t>2025-06-19</t>
        </is>
      </c>
      <c r="B495" s="30" t="n">
        <v>47600</v>
      </c>
      <c r="C495" s="30" t="n">
        <v>47700</v>
      </c>
      <c r="D495" s="30" t="n">
        <v>45800</v>
      </c>
      <c r="E495" s="30" t="n">
        <v>46900</v>
      </c>
      <c r="F495" s="30" t="n">
        <v>46477.8984375</v>
      </c>
      <c r="G495" s="30" t="n">
        <v>180877</v>
      </c>
      <c r="H495" s="35" t="n">
        <v>-0.007407407407407418</v>
      </c>
      <c r="I495" s="35" t="n">
        <v>-0.447585394581861</v>
      </c>
      <c r="J495" s="30" t="n">
        <v>42250</v>
      </c>
      <c r="K495" s="30" t="n">
        <v>41435.83333333334</v>
      </c>
      <c r="L495" s="30" t="n">
        <v>40134.58333333334</v>
      </c>
      <c r="M495" s="35" t="n">
        <v>0.4324155552646774</v>
      </c>
      <c r="N495" s="35" t="n">
        <v>0.4776228403844854</v>
      </c>
      <c r="O495" s="35" t="n">
        <v>0.1949044585987261</v>
      </c>
      <c r="P495" s="35" t="n">
        <v>-0.01780104712041886</v>
      </c>
      <c r="Q495" s="35" t="n">
        <v>0.3773861967694567</v>
      </c>
      <c r="R495" s="35" t="n">
        <v>0.1100591715976331</v>
      </c>
      <c r="S495" s="35" t="n">
        <v>0.1318705629185688</v>
      </c>
      <c r="T495" s="35" t="n">
        <v>0.1685682547262854</v>
      </c>
      <c r="U495" s="30" t="n">
        <v>57100</v>
      </c>
      <c r="V495" s="30" t="n">
        <v>29200</v>
      </c>
      <c r="W495" s="35" t="n">
        <v>-0.1786339754816112</v>
      </c>
      <c r="X495" s="35" t="n">
        <v>0.6061643835616439</v>
      </c>
      <c r="Y495" s="30" t="n">
        <v>43617167</v>
      </c>
      <c r="Z495" s="30" t="n">
        <v>2045645132300</v>
      </c>
      <c r="AA495" s="30" t="n">
        <v>8483131300</v>
      </c>
      <c r="AB495" s="30" t="n">
        <v>8294785890</v>
      </c>
      <c r="AC495" s="35" t="n">
        <v>0.004146922242794907</v>
      </c>
      <c r="AD495" s="24" t="inlineStr">
        <is>
          <t>yfinance_download</t>
        </is>
      </c>
      <c r="AE495" s="24" t="inlineStr">
        <is>
          <t>000990.KS</t>
        </is>
      </c>
    </row>
    <row r="496" ht="24" customHeight="1">
      <c r="A496" s="29" t="inlineStr">
        <is>
          <t>2025-06-20</t>
        </is>
      </c>
      <c r="B496" s="31" t="n">
        <v>47450</v>
      </c>
      <c r="C496" s="31" t="n">
        <v>47600</v>
      </c>
      <c r="D496" s="31" t="n">
        <v>45950</v>
      </c>
      <c r="E496" s="31" t="n">
        <v>47050</v>
      </c>
      <c r="F496" s="31" t="n">
        <v>46626.55078125</v>
      </c>
      <c r="G496" s="31" t="n">
        <v>173077</v>
      </c>
      <c r="H496" s="36" t="n">
        <v>0.003198294243070388</v>
      </c>
      <c r="I496" s="36" t="n">
        <v>-0.4458186101295641</v>
      </c>
      <c r="J496" s="31" t="n">
        <v>42645</v>
      </c>
      <c r="K496" s="31" t="n">
        <v>41403.33333333334</v>
      </c>
      <c r="L496" s="31" t="n">
        <v>40233.33333333334</v>
      </c>
      <c r="M496" s="36" t="n">
        <v>0.430808311382798</v>
      </c>
      <c r="N496" s="36" t="n">
        <v>0.474585390660206</v>
      </c>
      <c r="O496" s="36" t="n">
        <v>0.2017879948914432</v>
      </c>
      <c r="P496" s="36" t="n">
        <v>-0.03979591836734697</v>
      </c>
      <c r="Q496" s="36" t="n">
        <v>0.3366477272727273</v>
      </c>
      <c r="R496" s="36" t="n">
        <v>0.1032946418102942</v>
      </c>
      <c r="S496" s="36" t="n">
        <v>0.1363819338217533</v>
      </c>
      <c r="T496" s="36" t="n">
        <v>0.1694283347141672</v>
      </c>
      <c r="U496" s="31" t="n">
        <v>57100</v>
      </c>
      <c r="V496" s="31" t="n">
        <v>29200</v>
      </c>
      <c r="W496" s="36" t="n">
        <v>-0.1760070052539404</v>
      </c>
      <c r="X496" s="36" t="n">
        <v>0.6113013698630136</v>
      </c>
      <c r="Y496" s="31" t="n">
        <v>43617167</v>
      </c>
      <c r="Z496" s="31" t="n">
        <v>2052187707350</v>
      </c>
      <c r="AA496" s="31" t="n">
        <v>8143272850</v>
      </c>
      <c r="AB496" s="31" t="n">
        <v>8569019622.5</v>
      </c>
      <c r="AC496" s="36" t="n">
        <v>0.003968093571964451</v>
      </c>
      <c r="AD496" s="29" t="inlineStr">
        <is>
          <t>yfinance_download</t>
        </is>
      </c>
      <c r="AE496" s="29" t="inlineStr">
        <is>
          <t>000990.KS</t>
        </is>
      </c>
    </row>
    <row r="497" ht="24" customHeight="1">
      <c r="A497" s="24" t="inlineStr">
        <is>
          <t>2025-06-23</t>
        </is>
      </c>
      <c r="B497" s="30" t="n">
        <v>46450</v>
      </c>
      <c r="C497" s="30" t="n">
        <v>46800</v>
      </c>
      <c r="D497" s="30" t="n">
        <v>45500</v>
      </c>
      <c r="E497" s="30" t="n">
        <v>46350</v>
      </c>
      <c r="F497" s="30" t="n">
        <v>45932.8515625</v>
      </c>
      <c r="G497" s="30" t="n">
        <v>188850</v>
      </c>
      <c r="H497" s="35" t="n">
        <v>-0.01487778958554731</v>
      </c>
      <c r="I497" s="35" t="n">
        <v>-0.4540636042402827</v>
      </c>
      <c r="J497" s="30" t="n">
        <v>43052.5</v>
      </c>
      <c r="K497" s="30" t="n">
        <v>41379.16666666666</v>
      </c>
      <c r="L497" s="30" t="n">
        <v>40330</v>
      </c>
      <c r="M497" s="35" t="n">
        <v>0.4222321597571597</v>
      </c>
      <c r="N497" s="35" t="n">
        <v>0.4728931942764498</v>
      </c>
      <c r="O497" s="35" t="n">
        <v>0.213350785340314</v>
      </c>
      <c r="P497" s="35" t="n">
        <v>-0.03033472803347281</v>
      </c>
      <c r="Q497" s="35" t="n">
        <v>0.3338129496402877</v>
      </c>
      <c r="R497" s="35" t="n">
        <v>0.07659253237326524</v>
      </c>
      <c r="S497" s="35" t="n">
        <v>0.1201288893364214</v>
      </c>
      <c r="T497" s="35" t="n">
        <v>0.1492685345896354</v>
      </c>
      <c r="U497" s="30" t="n">
        <v>57100</v>
      </c>
      <c r="V497" s="30" t="n">
        <v>29200</v>
      </c>
      <c r="W497" s="35" t="n">
        <v>-0.1882661996497373</v>
      </c>
      <c r="X497" s="35" t="n">
        <v>0.5873287671232876</v>
      </c>
      <c r="Y497" s="30" t="n">
        <v>43617167</v>
      </c>
      <c r="Z497" s="30" t="n">
        <v>2021655690450</v>
      </c>
      <c r="AA497" s="30" t="n">
        <v>8753197500</v>
      </c>
      <c r="AB497" s="30" t="n">
        <v>8869407797.5</v>
      </c>
      <c r="AC497" s="35" t="n">
        <v>0.004329717241837371</v>
      </c>
      <c r="AD497" s="24" t="inlineStr">
        <is>
          <t>yfinance_download</t>
        </is>
      </c>
      <c r="AE497" s="24" t="inlineStr">
        <is>
          <t>000990.KS</t>
        </is>
      </c>
    </row>
    <row r="498" ht="24" customHeight="1">
      <c r="A498" s="29" t="inlineStr">
        <is>
          <t>2025-06-24</t>
        </is>
      </c>
      <c r="B498" s="31" t="n">
        <v>47150</v>
      </c>
      <c r="C498" s="31" t="n">
        <v>48600</v>
      </c>
      <c r="D498" s="31" t="n">
        <v>46800</v>
      </c>
      <c r="E498" s="31" t="n">
        <v>47000</v>
      </c>
      <c r="F498" s="31" t="n">
        <v>46577</v>
      </c>
      <c r="G498" s="31" t="n">
        <v>222689</v>
      </c>
      <c r="H498" s="36" t="n">
        <v>0.0140237324703345</v>
      </c>
      <c r="I498" s="36" t="n">
        <v>-0.4464075382803298</v>
      </c>
      <c r="J498" s="31" t="n">
        <v>43495</v>
      </c>
      <c r="K498" s="31" t="n">
        <v>41410.83333333334</v>
      </c>
      <c r="L498" s="31" t="n">
        <v>40437.08333333334</v>
      </c>
      <c r="M498" s="36" t="n">
        <v>0.4202689830570966</v>
      </c>
      <c r="N498" s="36" t="n">
        <v>0.458838578313164</v>
      </c>
      <c r="O498" s="36" t="n">
        <v>0.2319790301441678</v>
      </c>
      <c r="P498" s="36" t="n">
        <v>0.04212860310421296</v>
      </c>
      <c r="Q498" s="36" t="n">
        <v>0.3762811127379209</v>
      </c>
      <c r="R498" s="36" t="n">
        <v>0.08058397516955962</v>
      </c>
      <c r="S498" s="36" t="n">
        <v>0.1349687078662991</v>
      </c>
      <c r="T498" s="36" t="n">
        <v>0.1622994569753422</v>
      </c>
      <c r="U498" s="31" t="n">
        <v>57100</v>
      </c>
      <c r="V498" s="31" t="n">
        <v>29200</v>
      </c>
      <c r="W498" s="36" t="n">
        <v>-0.1768826619964974</v>
      </c>
      <c r="X498" s="36" t="n">
        <v>0.6095890410958904</v>
      </c>
      <c r="Y498" s="31" t="n">
        <v>43617167</v>
      </c>
      <c r="Z498" s="31" t="n">
        <v>2050006849000</v>
      </c>
      <c r="AA498" s="31" t="n">
        <v>10466383000</v>
      </c>
      <c r="AB498" s="31" t="n">
        <v>9236926162.5</v>
      </c>
      <c r="AC498" s="36" t="n">
        <v>0.00510553562545683</v>
      </c>
      <c r="AD498" s="29" t="inlineStr">
        <is>
          <t>yfinance_download</t>
        </is>
      </c>
      <c r="AE498" s="29" t="inlineStr">
        <is>
          <t>000990.KS</t>
        </is>
      </c>
    </row>
    <row r="499" ht="24" customHeight="1">
      <c r="A499" s="24" t="inlineStr">
        <is>
          <t>2025-06-25</t>
        </is>
      </c>
      <c r="B499" s="30" t="n">
        <v>47650</v>
      </c>
      <c r="C499" s="30" t="n">
        <v>48200</v>
      </c>
      <c r="D499" s="30" t="n">
        <v>46700</v>
      </c>
      <c r="E499" s="30" t="n">
        <v>46950</v>
      </c>
      <c r="F499" s="30" t="n">
        <v>46527.44921875</v>
      </c>
      <c r="G499" s="30" t="n">
        <v>166719</v>
      </c>
      <c r="H499" s="35" t="n">
        <v>-0.001063829787234072</v>
      </c>
      <c r="I499" s="35" t="n">
        <v>-0.4469964664310954</v>
      </c>
      <c r="J499" s="30" t="n">
        <v>43930</v>
      </c>
      <c r="K499" s="30" t="n">
        <v>41448.33333333334</v>
      </c>
      <c r="L499" s="30" t="n">
        <v>40551.66666666666</v>
      </c>
      <c r="M499" s="35" t="n">
        <v>0.4214229784983233</v>
      </c>
      <c r="N499" s="35" t="n">
        <v>0.4583929962801303</v>
      </c>
      <c r="O499" s="35" t="n">
        <v>0.2274509803921569</v>
      </c>
      <c r="P499" s="35" t="n">
        <v>0.05033557046979875</v>
      </c>
      <c r="Q499" s="35" t="n">
        <v>0.4141566265060241</v>
      </c>
      <c r="R499" s="35" t="n">
        <v>0.06874573184611887</v>
      </c>
      <c r="S499" s="35" t="n">
        <v>0.1327355341992038</v>
      </c>
      <c r="T499" s="35" t="n">
        <v>0.1577822530927624</v>
      </c>
      <c r="U499" s="30" t="n">
        <v>57100</v>
      </c>
      <c r="V499" s="30" t="n">
        <v>29200</v>
      </c>
      <c r="W499" s="35" t="n">
        <v>-0.1777583187390543</v>
      </c>
      <c r="X499" s="35" t="n">
        <v>0.6078767123287672</v>
      </c>
      <c r="Y499" s="30" t="n">
        <v>43617167</v>
      </c>
      <c r="Z499" s="30" t="n">
        <v>2047825990650</v>
      </c>
      <c r="AA499" s="30" t="n">
        <v>7827457050</v>
      </c>
      <c r="AB499" s="30" t="n">
        <v>9467515140</v>
      </c>
      <c r="AC499" s="35" t="n">
        <v>0.00382232527848496</v>
      </c>
      <c r="AD499" s="24" t="inlineStr">
        <is>
          <t>yfinance_download</t>
        </is>
      </c>
      <c r="AE499" s="24" t="inlineStr">
        <is>
          <t>000990.KS</t>
        </is>
      </c>
    </row>
    <row r="500" ht="24" customHeight="1">
      <c r="A500" s="29" t="inlineStr">
        <is>
          <t>2025-06-26</t>
        </is>
      </c>
      <c r="B500" s="31" t="n">
        <v>47500</v>
      </c>
      <c r="C500" s="31" t="n">
        <v>47550</v>
      </c>
      <c r="D500" s="31" t="n">
        <v>45500</v>
      </c>
      <c r="E500" s="31" t="n">
        <v>46250</v>
      </c>
      <c r="F500" s="31" t="n">
        <v>45833.75</v>
      </c>
      <c r="G500" s="31" t="n">
        <v>242871</v>
      </c>
      <c r="H500" s="36" t="n">
        <v>-0.01490947816826416</v>
      </c>
      <c r="I500" s="36" t="n">
        <v>-0.4552414605418139</v>
      </c>
      <c r="J500" s="31" t="n">
        <v>44317.5</v>
      </c>
      <c r="K500" s="31" t="n">
        <v>41475.83333333334</v>
      </c>
      <c r="L500" s="31" t="n">
        <v>40657.08333333334</v>
      </c>
      <c r="M500" s="36" t="n">
        <v>0.4309491965674399</v>
      </c>
      <c r="N500" s="36" t="n">
        <v>0.4595364380094691</v>
      </c>
      <c r="O500" s="36" t="n">
        <v>0.2012987012987013</v>
      </c>
      <c r="P500" s="36" t="n">
        <v>0.0369955156950672</v>
      </c>
      <c r="Q500" s="36" t="n">
        <v>0.3764880952380953</v>
      </c>
      <c r="R500" s="36" t="n">
        <v>0.04360579906357542</v>
      </c>
      <c r="S500" s="36" t="n">
        <v>0.1151071909344799</v>
      </c>
      <c r="T500" s="36" t="n">
        <v>0.1375631552517498</v>
      </c>
      <c r="U500" s="31" t="n">
        <v>57100</v>
      </c>
      <c r="V500" s="31" t="n">
        <v>29200</v>
      </c>
      <c r="W500" s="36" t="n">
        <v>-0.1900175131348512</v>
      </c>
      <c r="X500" s="36" t="n">
        <v>0.5839041095890412</v>
      </c>
      <c r="Y500" s="31" t="n">
        <v>43617167</v>
      </c>
      <c r="Z500" s="31" t="n">
        <v>2017293973750</v>
      </c>
      <c r="AA500" s="31" t="n">
        <v>11232783750</v>
      </c>
      <c r="AB500" s="31" t="n">
        <v>9938178827.5</v>
      </c>
      <c r="AC500" s="36" t="n">
        <v>0.005568243347854298</v>
      </c>
      <c r="AD500" s="29" t="inlineStr">
        <is>
          <t>yfinance_download</t>
        </is>
      </c>
      <c r="AE500" s="29" t="inlineStr">
        <is>
          <t>000990.KS</t>
        </is>
      </c>
    </row>
    <row r="501" ht="24" customHeight="1">
      <c r="A501" s="24" t="inlineStr">
        <is>
          <t>2025-06-27</t>
        </is>
      </c>
      <c r="B501" s="30" t="n">
        <v>46300</v>
      </c>
      <c r="C501" s="30" t="n">
        <v>46450</v>
      </c>
      <c r="D501" s="30" t="n">
        <v>45750</v>
      </c>
      <c r="E501" s="30" t="n">
        <v>46100</v>
      </c>
      <c r="F501" s="30" t="n">
        <v>45685.1015625</v>
      </c>
      <c r="G501" s="30" t="n">
        <v>116594</v>
      </c>
      <c r="H501" s="35" t="n">
        <v>-0.00324324324324321</v>
      </c>
      <c r="I501" s="35" t="n">
        <v>-0.4570082449941107</v>
      </c>
      <c r="J501" s="30" t="n">
        <v>44667.5</v>
      </c>
      <c r="K501" s="30" t="n">
        <v>41510.83333333334</v>
      </c>
      <c r="L501" s="30" t="n">
        <v>40758.33333333334</v>
      </c>
      <c r="M501" s="35" t="n">
        <v>0.4326318690748225</v>
      </c>
      <c r="N501" s="35" t="n">
        <v>0.4586387959372402</v>
      </c>
      <c r="O501" s="35" t="n">
        <v>0.1790281329923273</v>
      </c>
      <c r="P501" s="35" t="n">
        <v>0.04772727272727262</v>
      </c>
      <c r="Q501" s="35" t="n">
        <v>0.357879234167894</v>
      </c>
      <c r="R501" s="35" t="n">
        <v>0.03207029719594789</v>
      </c>
      <c r="S501" s="35" t="n">
        <v>0.1105534699777166</v>
      </c>
      <c r="T501" s="35" t="n">
        <v>0.1310570435493763</v>
      </c>
      <c r="U501" s="30" t="n">
        <v>57100</v>
      </c>
      <c r="V501" s="30" t="n">
        <v>29200</v>
      </c>
      <c r="W501" s="35" t="n">
        <v>-0.1926444833625219</v>
      </c>
      <c r="X501" s="35" t="n">
        <v>0.5787671232876712</v>
      </c>
      <c r="Y501" s="30" t="n">
        <v>43617167</v>
      </c>
      <c r="Z501" s="30" t="n">
        <v>2010751398700</v>
      </c>
      <c r="AA501" s="30" t="n">
        <v>5374983400</v>
      </c>
      <c r="AB501" s="30" t="n">
        <v>10042688447.5</v>
      </c>
      <c r="AC501" s="35" t="n">
        <v>0.002673121800872578</v>
      </c>
      <c r="AD501" s="24" t="inlineStr">
        <is>
          <t>yfinance_download</t>
        </is>
      </c>
      <c r="AE501" s="24" t="inlineStr">
        <is>
          <t>000990.KS</t>
        </is>
      </c>
    </row>
    <row r="502" ht="24" customHeight="1">
      <c r="A502" s="29" t="inlineStr">
        <is>
          <t>2025-06-30</t>
        </is>
      </c>
      <c r="B502" s="31" t="n">
        <v>46450</v>
      </c>
      <c r="C502" s="31" t="n">
        <v>47950</v>
      </c>
      <c r="D502" s="31" t="n">
        <v>46200</v>
      </c>
      <c r="E502" s="31" t="n">
        <v>46800</v>
      </c>
      <c r="F502" s="31" t="n">
        <v>46378.80078125</v>
      </c>
      <c r="G502" s="31" t="n">
        <v>157144</v>
      </c>
      <c r="H502" s="36" t="n">
        <v>0.01518438177874182</v>
      </c>
      <c r="I502" s="36" t="n">
        <v>-0.4487632508833922</v>
      </c>
      <c r="J502" s="31" t="n">
        <v>45032.5</v>
      </c>
      <c r="K502" s="31" t="n">
        <v>41578.33333333334</v>
      </c>
      <c r="L502" s="31" t="n">
        <v>40872.91666666666</v>
      </c>
      <c r="M502" s="36" t="n">
        <v>0.433235015377487</v>
      </c>
      <c r="N502" s="36" t="n">
        <v>0.4553128523880057</v>
      </c>
      <c r="O502" s="36" t="n">
        <v>0.1848101265822786</v>
      </c>
      <c r="P502" s="36" t="n">
        <v>0.09473684210526323</v>
      </c>
      <c r="Q502" s="36" t="n">
        <v>0.4160363086232981</v>
      </c>
      <c r="R502" s="36" t="n">
        <v>0.03924943096652411</v>
      </c>
      <c r="S502" s="36" t="n">
        <v>0.1255862428348098</v>
      </c>
      <c r="T502" s="36" t="n">
        <v>0.1450124878943881</v>
      </c>
      <c r="U502" s="31" t="n">
        <v>57100</v>
      </c>
      <c r="V502" s="31" t="n">
        <v>29200</v>
      </c>
      <c r="W502" s="36" t="n">
        <v>-0.180385288966725</v>
      </c>
      <c r="X502" s="36" t="n">
        <v>0.6027397260273972</v>
      </c>
      <c r="Y502" s="31" t="n">
        <v>43617167</v>
      </c>
      <c r="Z502" s="31" t="n">
        <v>2041283415600</v>
      </c>
      <c r="AA502" s="31" t="n">
        <v>7354339200</v>
      </c>
      <c r="AB502" s="31" t="n">
        <v>10269858482.5</v>
      </c>
      <c r="AC502" s="36" t="n">
        <v>0.003602801621664241</v>
      </c>
      <c r="AD502" s="29" t="inlineStr">
        <is>
          <t>yfinance_download</t>
        </is>
      </c>
      <c r="AE502" s="29" t="inlineStr">
        <is>
          <t>000990.KS</t>
        </is>
      </c>
    </row>
    <row r="503" ht="24" customHeight="1">
      <c r="A503" s="24" t="inlineStr">
        <is>
          <t>2025-07-01</t>
        </is>
      </c>
      <c r="B503" s="30" t="n">
        <v>46950</v>
      </c>
      <c r="C503" s="30" t="n">
        <v>48300</v>
      </c>
      <c r="D503" s="30" t="n">
        <v>46350</v>
      </c>
      <c r="E503" s="30" t="n">
        <v>46700</v>
      </c>
      <c r="F503" s="30" t="n">
        <v>46279.69921875</v>
      </c>
      <c r="G503" s="30" t="n">
        <v>283577</v>
      </c>
      <c r="H503" s="35" t="n">
        <v>-0.002136752136752129</v>
      </c>
      <c r="I503" s="35" t="n">
        <v>-0.4499411071849234</v>
      </c>
      <c r="J503" s="30" t="n">
        <v>45417.5</v>
      </c>
      <c r="K503" s="30" t="n">
        <v>41620.83333333334</v>
      </c>
      <c r="L503" s="30" t="n">
        <v>40997.91666666666</v>
      </c>
      <c r="M503" s="35" t="n">
        <v>0.4278814708220655</v>
      </c>
      <c r="N503" s="35" t="n">
        <v>0.450812872958687</v>
      </c>
      <c r="O503" s="35" t="n">
        <v>0.1974358974358974</v>
      </c>
      <c r="P503" s="35" t="n">
        <v>0.05775764439411102</v>
      </c>
      <c r="Q503" s="35" t="n">
        <v>0.473186119873817</v>
      </c>
      <c r="R503" s="35" t="n">
        <v>0.02823801398139492</v>
      </c>
      <c r="S503" s="35" t="n">
        <v>0.1220342376614274</v>
      </c>
      <c r="T503" s="35" t="n">
        <v>0.1390822704405712</v>
      </c>
      <c r="U503" s="30" t="n">
        <v>57100</v>
      </c>
      <c r="V503" s="30" t="n">
        <v>29200</v>
      </c>
      <c r="W503" s="35" t="n">
        <v>-0.1821366024518388</v>
      </c>
      <c r="X503" s="35" t="n">
        <v>0.5993150684931507</v>
      </c>
      <c r="Y503" s="30" t="n">
        <v>43617167</v>
      </c>
      <c r="Z503" s="30" t="n">
        <v>2036921698900</v>
      </c>
      <c r="AA503" s="30" t="n">
        <v>13243045900</v>
      </c>
      <c r="AB503" s="30" t="n">
        <v>10793141527.5</v>
      </c>
      <c r="AC503" s="35" t="n">
        <v>0.006501499742062569</v>
      </c>
      <c r="AD503" s="24" t="inlineStr">
        <is>
          <t>yfinance_download</t>
        </is>
      </c>
      <c r="AE503" s="24" t="inlineStr">
        <is>
          <t>000990.KS</t>
        </is>
      </c>
    </row>
    <row r="504" ht="24" customHeight="1">
      <c r="A504" s="29" t="inlineStr">
        <is>
          <t>2025-07-02</t>
        </is>
      </c>
      <c r="B504" s="31" t="n">
        <v>46700</v>
      </c>
      <c r="C504" s="31" t="n">
        <v>46700</v>
      </c>
      <c r="D504" s="31" t="n">
        <v>45100</v>
      </c>
      <c r="E504" s="31" t="n">
        <v>45650</v>
      </c>
      <c r="F504" s="31" t="n">
        <v>45239.1484375</v>
      </c>
      <c r="G504" s="31" t="n">
        <v>160212</v>
      </c>
      <c r="H504" s="36" t="n">
        <v>-0.0224839400428265</v>
      </c>
      <c r="I504" s="36" t="n">
        <v>-0.4623085983510011</v>
      </c>
      <c r="J504" s="31" t="n">
        <v>45585</v>
      </c>
      <c r="K504" s="31" t="n">
        <v>41656.66666666666</v>
      </c>
      <c r="L504" s="31" t="n">
        <v>41102.08333333334</v>
      </c>
      <c r="M504" s="36" t="n">
        <v>0.3374568621231906</v>
      </c>
      <c r="N504" s="36" t="n">
        <v>0.4522717095207484</v>
      </c>
      <c r="O504" s="36" t="n">
        <v>0.07919621749408989</v>
      </c>
      <c r="P504" s="36" t="n">
        <v>0.0494252873563219</v>
      </c>
      <c r="Q504" s="36" t="n">
        <v>0.3770739064856712</v>
      </c>
      <c r="R504" s="36" t="n">
        <v>0.001425907645058677</v>
      </c>
      <c r="S504" s="36" t="n">
        <v>0.09586300712170925</v>
      </c>
      <c r="T504" s="36" t="n">
        <v>0.1106492979877338</v>
      </c>
      <c r="U504" s="31" t="n">
        <v>57100</v>
      </c>
      <c r="V504" s="31" t="n">
        <v>29200</v>
      </c>
      <c r="W504" s="36" t="n">
        <v>-0.2005253940455342</v>
      </c>
      <c r="X504" s="36" t="n">
        <v>0.5633561643835616</v>
      </c>
      <c r="Y504" s="31" t="n">
        <v>43617167</v>
      </c>
      <c r="Z504" s="31" t="n">
        <v>1991123673550</v>
      </c>
      <c r="AA504" s="31" t="n">
        <v>7313677800</v>
      </c>
      <c r="AB504" s="31" t="n">
        <v>9419115247.5</v>
      </c>
      <c r="AC504" s="36" t="n">
        <v>0.003673140898857553</v>
      </c>
      <c r="AD504" s="29" t="inlineStr">
        <is>
          <t>yfinance_download</t>
        </is>
      </c>
      <c r="AE504" s="29" t="inlineStr">
        <is>
          <t>000990.KS</t>
        </is>
      </c>
    </row>
    <row r="505" ht="24" customHeight="1">
      <c r="A505" s="24" t="inlineStr">
        <is>
          <t>2025-07-03</t>
        </is>
      </c>
      <c r="B505" s="30" t="n">
        <v>46000</v>
      </c>
      <c r="C505" s="30" t="n">
        <v>46700</v>
      </c>
      <c r="D505" s="30" t="n">
        <v>45350</v>
      </c>
      <c r="E505" s="30" t="n">
        <v>46250</v>
      </c>
      <c r="F505" s="30" t="n">
        <v>45833.75</v>
      </c>
      <c r="G505" s="30" t="n">
        <v>278831</v>
      </c>
      <c r="H505" s="35" t="n">
        <v>0.01314348302300106</v>
      </c>
      <c r="I505" s="35" t="n">
        <v>-0.4552414605418139</v>
      </c>
      <c r="J505" s="30" t="n">
        <v>45755</v>
      </c>
      <c r="K505" s="30" t="n">
        <v>41700.83333333334</v>
      </c>
      <c r="L505" s="30" t="n">
        <v>41213.33333333334</v>
      </c>
      <c r="M505" s="35" t="n">
        <v>0.3375070043327157</v>
      </c>
      <c r="N505" s="35" t="n">
        <v>0.4529295418303483</v>
      </c>
      <c r="O505" s="35" t="n">
        <v>0.07934655775962662</v>
      </c>
      <c r="P505" s="35" t="n">
        <v>0.06077981651376141</v>
      </c>
      <c r="Q505" s="35" t="n">
        <v>0.405775075987842</v>
      </c>
      <c r="R505" s="35" t="n">
        <v>0.01081848978253741</v>
      </c>
      <c r="S505" s="35" t="n">
        <v>0.1090905457524829</v>
      </c>
      <c r="T505" s="35" t="n">
        <v>0.1222096408929148</v>
      </c>
      <c r="U505" s="30" t="n">
        <v>57100</v>
      </c>
      <c r="V505" s="30" t="n">
        <v>29200</v>
      </c>
      <c r="W505" s="35" t="n">
        <v>-0.1900175131348512</v>
      </c>
      <c r="X505" s="35" t="n">
        <v>0.5839041095890412</v>
      </c>
      <c r="Y505" s="30" t="n">
        <v>43617167</v>
      </c>
      <c r="Z505" s="30" t="n">
        <v>2017293973750</v>
      </c>
      <c r="AA505" s="30" t="n">
        <v>12895933750</v>
      </c>
      <c r="AB505" s="30" t="n">
        <v>9536364160</v>
      </c>
      <c r="AC505" s="35" t="n">
        <v>0.006392689373888039</v>
      </c>
      <c r="AD505" s="24" t="inlineStr">
        <is>
          <t>yfinance_download</t>
        </is>
      </c>
      <c r="AE505" s="24" t="inlineStr">
        <is>
          <t>000990.KS</t>
        </is>
      </c>
    </row>
    <row r="506" ht="24" customHeight="1">
      <c r="A506" s="29" t="inlineStr">
        <is>
          <t>2025-07-04</t>
        </is>
      </c>
      <c r="B506" s="31" t="n">
        <v>46650</v>
      </c>
      <c r="C506" s="31" t="n">
        <v>47250</v>
      </c>
      <c r="D506" s="31" t="n">
        <v>45700</v>
      </c>
      <c r="E506" s="31" t="n">
        <v>46000</v>
      </c>
      <c r="F506" s="31" t="n">
        <v>45586</v>
      </c>
      <c r="G506" s="31" t="n">
        <v>166980</v>
      </c>
      <c r="H506" s="36" t="n">
        <v>-0.00540540540540535</v>
      </c>
      <c r="I506" s="36" t="n">
        <v>-0.458186101295642</v>
      </c>
      <c r="J506" s="31" t="n">
        <v>45852.5</v>
      </c>
      <c r="K506" s="31" t="n">
        <v>41775.83333333334</v>
      </c>
      <c r="L506" s="31" t="n">
        <v>41321.25</v>
      </c>
      <c r="M506" s="36" t="n">
        <v>0.3266998495996269</v>
      </c>
      <c r="N506" s="36" t="n">
        <v>0.4412774133373805</v>
      </c>
      <c r="O506" s="36" t="n">
        <v>0.04426787741203175</v>
      </c>
      <c r="P506" s="36" t="n">
        <v>0.1084337349397591</v>
      </c>
      <c r="Q506" s="36" t="n">
        <v>0.3918305597579426</v>
      </c>
      <c r="R506" s="36" t="n">
        <v>0.003216836595605566</v>
      </c>
      <c r="S506" s="36" t="n">
        <v>0.1011150784943446</v>
      </c>
      <c r="T506" s="36" t="n">
        <v>0.1132286656381403</v>
      </c>
      <c r="U506" s="31" t="n">
        <v>57100</v>
      </c>
      <c r="V506" s="31" t="n">
        <v>29200</v>
      </c>
      <c r="W506" s="36" t="n">
        <v>-0.1943957968476357</v>
      </c>
      <c r="X506" s="36" t="n">
        <v>0.5753424657534247</v>
      </c>
      <c r="Y506" s="31" t="n">
        <v>43617167</v>
      </c>
      <c r="Z506" s="31" t="n">
        <v>2006389682000</v>
      </c>
      <c r="AA506" s="31" t="n">
        <v>7681080000</v>
      </c>
      <c r="AB506" s="31" t="n">
        <v>9316389142.5</v>
      </c>
      <c r="AC506" s="36" t="n">
        <v>0.003828309160931979</v>
      </c>
      <c r="AD506" s="29" t="inlineStr">
        <is>
          <t>yfinance_download</t>
        </is>
      </c>
      <c r="AE506" s="29" t="inlineStr">
        <is>
          <t>000990.KS</t>
        </is>
      </c>
    </row>
    <row r="507" ht="24" customHeight="1">
      <c r="A507" s="24" t="inlineStr">
        <is>
          <t>2025-07-07</t>
        </is>
      </c>
      <c r="B507" s="30" t="n">
        <v>45850</v>
      </c>
      <c r="C507" s="30" t="n">
        <v>46600</v>
      </c>
      <c r="D507" s="30" t="n">
        <v>45300</v>
      </c>
      <c r="E507" s="30" t="n">
        <v>46150</v>
      </c>
      <c r="F507" s="30" t="n">
        <v>45734.6484375</v>
      </c>
      <c r="G507" s="30" t="n">
        <v>119692</v>
      </c>
      <c r="H507" s="35" t="n">
        <v>0.003260869565217428</v>
      </c>
      <c r="I507" s="35" t="n">
        <v>-0.4564193168433451</v>
      </c>
      <c r="J507" s="30" t="n">
        <v>45957.5</v>
      </c>
      <c r="K507" s="30" t="n">
        <v>41915</v>
      </c>
      <c r="L507" s="30" t="n">
        <v>41421.25</v>
      </c>
      <c r="M507" s="35" t="n">
        <v>0.3265918172049538</v>
      </c>
      <c r="N507" s="35" t="n">
        <v>0.3981920862970419</v>
      </c>
      <c r="O507" s="35" t="n">
        <v>0.0476730987514189</v>
      </c>
      <c r="P507" s="35" t="n">
        <v>0.2208994708994709</v>
      </c>
      <c r="Q507" s="35" t="n">
        <v>0.3513909224011713</v>
      </c>
      <c r="R507" s="35" t="n">
        <v>0.004188652559429906</v>
      </c>
      <c r="S507" s="35" t="n">
        <v>0.1010378146248361</v>
      </c>
      <c r="T507" s="35" t="n">
        <v>0.1141624166339741</v>
      </c>
      <c r="U507" s="30" t="n">
        <v>55000</v>
      </c>
      <c r="V507" s="30" t="n">
        <v>29200</v>
      </c>
      <c r="W507" s="35" t="n">
        <v>-0.1609090909090909</v>
      </c>
      <c r="X507" s="35" t="n">
        <v>0.5804794520547945</v>
      </c>
      <c r="Y507" s="30" t="n">
        <v>43617167</v>
      </c>
      <c r="Z507" s="30" t="n">
        <v>2012932257050</v>
      </c>
      <c r="AA507" s="30" t="n">
        <v>5523785800</v>
      </c>
      <c r="AB507" s="30" t="n">
        <v>9132255932.5</v>
      </c>
      <c r="AC507" s="35" t="n">
        <v>0.002744148880646008</v>
      </c>
      <c r="AD507" s="24" t="inlineStr">
        <is>
          <t>yfinance_download</t>
        </is>
      </c>
      <c r="AE507" s="24" t="inlineStr">
        <is>
          <t>000990.KS</t>
        </is>
      </c>
    </row>
    <row r="508" ht="24" customHeight="1">
      <c r="A508" s="29" t="inlineStr">
        <is>
          <t>2025-07-08</t>
        </is>
      </c>
      <c r="B508" s="31" t="n">
        <v>45600</v>
      </c>
      <c r="C508" s="31" t="n">
        <v>46550</v>
      </c>
      <c r="D508" s="31" t="n">
        <v>45600</v>
      </c>
      <c r="E508" s="31" t="n">
        <v>46400</v>
      </c>
      <c r="F508" s="31" t="n">
        <v>45982.3984375</v>
      </c>
      <c r="G508" s="31" t="n">
        <v>83141</v>
      </c>
      <c r="H508" s="36" t="n">
        <v>0.005417118093174356</v>
      </c>
      <c r="I508" s="36" t="n">
        <v>-0.4534746760895171</v>
      </c>
      <c r="J508" s="31" t="n">
        <v>46052.5</v>
      </c>
      <c r="K508" s="31" t="n">
        <v>42051.66666666666</v>
      </c>
      <c r="L508" s="31" t="n">
        <v>41525.41666666666</v>
      </c>
      <c r="M508" s="36" t="n">
        <v>0.325536146743283</v>
      </c>
      <c r="N508" s="36" t="n">
        <v>0.3979479159098094</v>
      </c>
      <c r="O508" s="36" t="n">
        <v>0.04269662921348316</v>
      </c>
      <c r="P508" s="36" t="n">
        <v>0.2146596858638743</v>
      </c>
      <c r="Q508" s="36" t="n">
        <v>0.3687315634218289</v>
      </c>
      <c r="R508" s="36" t="n">
        <v>0.007545735844959545</v>
      </c>
      <c r="S508" s="36" t="n">
        <v>0.1034045420316279</v>
      </c>
      <c r="T508" s="36" t="n">
        <v>0.1173879451340043</v>
      </c>
      <c r="U508" s="31" t="n">
        <v>55000</v>
      </c>
      <c r="V508" s="31" t="n">
        <v>29200</v>
      </c>
      <c r="W508" s="36" t="n">
        <v>-0.1563636363636364</v>
      </c>
      <c r="X508" s="36" t="n">
        <v>0.5890410958904109</v>
      </c>
      <c r="Y508" s="31" t="n">
        <v>43617167</v>
      </c>
      <c r="Z508" s="31" t="n">
        <v>2023836548800</v>
      </c>
      <c r="AA508" s="31" t="n">
        <v>3857742400</v>
      </c>
      <c r="AB508" s="31" t="n">
        <v>8997402777.5</v>
      </c>
      <c r="AC508" s="36" t="n">
        <v>0.00190615314378396</v>
      </c>
      <c r="AD508" s="29" t="inlineStr">
        <is>
          <t>yfinance_download</t>
        </is>
      </c>
      <c r="AE508" s="29" t="inlineStr">
        <is>
          <t>000990.KS</t>
        </is>
      </c>
    </row>
    <row r="509" ht="24" customHeight="1">
      <c r="A509" s="24" t="inlineStr">
        <is>
          <t>2025-07-09</t>
        </is>
      </c>
      <c r="B509" s="30" t="n">
        <v>46750</v>
      </c>
      <c r="C509" s="30" t="n">
        <v>46750</v>
      </c>
      <c r="D509" s="30" t="n">
        <v>45900</v>
      </c>
      <c r="E509" s="30" t="n">
        <v>46100</v>
      </c>
      <c r="F509" s="30" t="n">
        <v>45685.1015625</v>
      </c>
      <c r="G509" s="30" t="n">
        <v>106818</v>
      </c>
      <c r="H509" s="35" t="n">
        <v>-0.006465517241379337</v>
      </c>
      <c r="I509" s="35" t="n">
        <v>-0.4570082449941107</v>
      </c>
      <c r="J509" s="30" t="n">
        <v>46065</v>
      </c>
      <c r="K509" s="30" t="n">
        <v>42207.5</v>
      </c>
      <c r="L509" s="30" t="n">
        <v>41622.91666666666</v>
      </c>
      <c r="M509" s="35" t="n">
        <v>0.3092846815610995</v>
      </c>
      <c r="N509" s="35" t="n">
        <v>0.3890518133409323</v>
      </c>
      <c r="O509" s="35" t="n">
        <v>0.005452562704471031</v>
      </c>
      <c r="P509" s="35" t="n">
        <v>0.254421768707483</v>
      </c>
      <c r="Q509" s="35" t="n">
        <v>0.3401162790697674</v>
      </c>
      <c r="R509" s="35" t="n">
        <v>0.0007597959405187815</v>
      </c>
      <c r="S509" s="35" t="n">
        <v>0.09222294615885795</v>
      </c>
      <c r="T509" s="35" t="n">
        <v>0.1075629410881427</v>
      </c>
      <c r="U509" s="30" t="n">
        <v>55000</v>
      </c>
      <c r="V509" s="30" t="n">
        <v>29200</v>
      </c>
      <c r="W509" s="35" t="n">
        <v>-0.1618181818181819</v>
      </c>
      <c r="X509" s="35" t="n">
        <v>0.5787671232876712</v>
      </c>
      <c r="Y509" s="30" t="n">
        <v>43617167</v>
      </c>
      <c r="Z509" s="30" t="n">
        <v>2010751398700</v>
      </c>
      <c r="AA509" s="30" t="n">
        <v>4924309800</v>
      </c>
      <c r="AB509" s="30" t="n">
        <v>8570260582.5</v>
      </c>
      <c r="AC509" s="35" t="n">
        <v>0.002448989866765075</v>
      </c>
      <c r="AD509" s="24" t="inlineStr">
        <is>
          <t>yfinance_download</t>
        </is>
      </c>
      <c r="AE509" s="24" t="inlineStr">
        <is>
          <t>000990.KS</t>
        </is>
      </c>
    </row>
    <row r="510" ht="24" customHeight="1">
      <c r="A510" s="29" t="inlineStr">
        <is>
          <t>2025-07-10</t>
        </is>
      </c>
      <c r="B510" s="31" t="n">
        <v>47150</v>
      </c>
      <c r="C510" s="31" t="n">
        <v>48800</v>
      </c>
      <c r="D510" s="31" t="n">
        <v>46100</v>
      </c>
      <c r="E510" s="31" t="n">
        <v>46200</v>
      </c>
      <c r="F510" s="31" t="n">
        <v>45784.19921875</v>
      </c>
      <c r="G510" s="31" t="n">
        <v>351361</v>
      </c>
      <c r="H510" s="36" t="n">
        <v>0.002169197396963085</v>
      </c>
      <c r="I510" s="36" t="n">
        <v>-0.4558303886925795</v>
      </c>
      <c r="J510" s="31" t="n">
        <v>46117.5</v>
      </c>
      <c r="K510" s="31" t="n">
        <v>42316.66666666666</v>
      </c>
      <c r="L510" s="31" t="n">
        <v>41724.58333333334</v>
      </c>
      <c r="M510" s="36" t="n">
        <v>0.3036761605651685</v>
      </c>
      <c r="N510" s="36" t="n">
        <v>0.3564225419110029</v>
      </c>
      <c r="O510" s="36" t="n">
        <v>0.02325581395348841</v>
      </c>
      <c r="P510" s="36" t="n">
        <v>0.1651954602774275</v>
      </c>
      <c r="Q510" s="36" t="n">
        <v>0.3588235294117648</v>
      </c>
      <c r="R510" s="36" t="n">
        <v>0.001788908765652852</v>
      </c>
      <c r="S510" s="36" t="n">
        <v>0.09176841276092951</v>
      </c>
      <c r="T510" s="36" t="n">
        <v>0.1072609073387989</v>
      </c>
      <c r="U510" s="31" t="n">
        <v>55000</v>
      </c>
      <c r="V510" s="31" t="n">
        <v>29200</v>
      </c>
      <c r="W510" s="36" t="n">
        <v>-0.16</v>
      </c>
      <c r="X510" s="36" t="n">
        <v>0.5821917808219179</v>
      </c>
      <c r="Y510" s="31" t="n">
        <v>43617167</v>
      </c>
      <c r="Z510" s="31" t="n">
        <v>2015113115400</v>
      </c>
      <c r="AA510" s="31" t="n">
        <v>16232878200</v>
      </c>
      <c r="AB510" s="31" t="n">
        <v>9140313615</v>
      </c>
      <c r="AC510" s="36" t="n">
        <v>0.008055566745084567</v>
      </c>
      <c r="AD510" s="29" t="inlineStr">
        <is>
          <t>yfinance_download</t>
        </is>
      </c>
      <c r="AE510" s="29" t="inlineStr">
        <is>
          <t>000990.KS</t>
        </is>
      </c>
    </row>
    <row r="511" ht="24" customHeight="1">
      <c r="A511" s="24" t="inlineStr">
        <is>
          <t>2025-07-11</t>
        </is>
      </c>
      <c r="B511" s="30" t="n">
        <v>46500</v>
      </c>
      <c r="C511" s="30" t="n">
        <v>47100</v>
      </c>
      <c r="D511" s="30" t="n">
        <v>46000</v>
      </c>
      <c r="E511" s="30" t="n">
        <v>46050</v>
      </c>
      <c r="F511" s="30" t="n">
        <v>45635.55078125</v>
      </c>
      <c r="G511" s="30" t="n">
        <v>219042</v>
      </c>
      <c r="H511" s="35" t="n">
        <v>-0.003246753246753276</v>
      </c>
      <c r="I511" s="35" t="n">
        <v>-0.4575971731448764</v>
      </c>
      <c r="J511" s="30" t="n">
        <v>46217.5</v>
      </c>
      <c r="K511" s="30" t="n">
        <v>42390.83333333334</v>
      </c>
      <c r="L511" s="30" t="n">
        <v>41818.75</v>
      </c>
      <c r="M511" s="35" t="n">
        <v>0.2888798251937199</v>
      </c>
      <c r="N511" s="35" t="n">
        <v>0.3432317213620252</v>
      </c>
      <c r="O511" s="35" t="n">
        <v>0.04540295119182747</v>
      </c>
      <c r="P511" s="35" t="n">
        <v>0.1069711538461537</v>
      </c>
      <c r="Q511" s="35" t="n">
        <v>0.325179856115108</v>
      </c>
      <c r="R511" s="35" t="n">
        <v>-0.003624168334505296</v>
      </c>
      <c r="S511" s="35" t="n">
        <v>0.0863197625272758</v>
      </c>
      <c r="T511" s="35" t="n">
        <v>0.101180690479749</v>
      </c>
      <c r="U511" s="30" t="n">
        <v>55000</v>
      </c>
      <c r="V511" s="30" t="n">
        <v>29200</v>
      </c>
      <c r="W511" s="35" t="n">
        <v>-0.1627272727272727</v>
      </c>
      <c r="X511" s="35" t="n">
        <v>0.577054794520548</v>
      </c>
      <c r="Y511" s="30" t="n">
        <v>43617167</v>
      </c>
      <c r="Z511" s="30" t="n">
        <v>2008570540350</v>
      </c>
      <c r="AA511" s="30" t="n">
        <v>10086884100</v>
      </c>
      <c r="AB511" s="30" t="n">
        <v>9159889772.5</v>
      </c>
      <c r="AC511" s="35" t="n">
        <v>0.005021921758467256</v>
      </c>
      <c r="AD511" s="24" t="inlineStr">
        <is>
          <t>yfinance_download</t>
        </is>
      </c>
      <c r="AE511" s="24" t="inlineStr">
        <is>
          <t>000990.KS</t>
        </is>
      </c>
    </row>
    <row r="512" ht="24" customHeight="1">
      <c r="A512" s="29" t="inlineStr">
        <is>
          <t>2025-07-14</t>
        </is>
      </c>
      <c r="B512" s="31" t="n">
        <v>46450</v>
      </c>
      <c r="C512" s="31" t="n">
        <v>47600</v>
      </c>
      <c r="D512" s="31" t="n">
        <v>45550</v>
      </c>
      <c r="E512" s="31" t="n">
        <v>46800</v>
      </c>
      <c r="F512" s="31" t="n">
        <v>46378.80078125</v>
      </c>
      <c r="G512" s="31" t="n">
        <v>190570</v>
      </c>
      <c r="H512" s="36" t="n">
        <v>0.01628664495114007</v>
      </c>
      <c r="I512" s="36" t="n">
        <v>-0.4487632508833922</v>
      </c>
      <c r="J512" s="31" t="n">
        <v>46360</v>
      </c>
      <c r="K512" s="31" t="n">
        <v>42475</v>
      </c>
      <c r="L512" s="31" t="n">
        <v>41928.75</v>
      </c>
      <c r="M512" s="36" t="n">
        <v>0.2924100671401925</v>
      </c>
      <c r="N512" s="36" t="n">
        <v>0.3444789157086748</v>
      </c>
      <c r="O512" s="36" t="n">
        <v>0.06484641638225264</v>
      </c>
      <c r="P512" s="36" t="n">
        <v>0.1209580838323354</v>
      </c>
      <c r="Q512" s="36" t="n">
        <v>0.3928571428571428</v>
      </c>
      <c r="R512" s="36" t="n">
        <v>0.009490940465918918</v>
      </c>
      <c r="S512" s="36" t="n">
        <v>0.101824602707475</v>
      </c>
      <c r="T512" s="36" t="n">
        <v>0.1161792326267777</v>
      </c>
      <c r="U512" s="31" t="n">
        <v>55000</v>
      </c>
      <c r="V512" s="31" t="n">
        <v>29200</v>
      </c>
      <c r="W512" s="36" t="n">
        <v>-0.1490909090909091</v>
      </c>
      <c r="X512" s="36" t="n">
        <v>0.6027397260273972</v>
      </c>
      <c r="Y512" s="31" t="n">
        <v>43617167</v>
      </c>
      <c r="Z512" s="31" t="n">
        <v>2041283415600</v>
      </c>
      <c r="AA512" s="31" t="n">
        <v>8918676000</v>
      </c>
      <c r="AB512" s="31" t="n">
        <v>9331615127.5</v>
      </c>
      <c r="AC512" s="36" t="n">
        <v>0.004369151256430753</v>
      </c>
      <c r="AD512" s="29" t="inlineStr">
        <is>
          <t>yfinance_download</t>
        </is>
      </c>
      <c r="AE512" s="29" t="inlineStr">
        <is>
          <t>000990.KS</t>
        </is>
      </c>
    </row>
    <row r="513" ht="24" customHeight="1">
      <c r="A513" s="24" t="inlineStr">
        <is>
          <t>2025-07-15</t>
        </is>
      </c>
      <c r="B513" s="30" t="n">
        <v>47050</v>
      </c>
      <c r="C513" s="30" t="n">
        <v>48450</v>
      </c>
      <c r="D513" s="30" t="n">
        <v>46650</v>
      </c>
      <c r="E513" s="30" t="n">
        <v>48000</v>
      </c>
      <c r="F513" s="30" t="n">
        <v>47568</v>
      </c>
      <c r="G513" s="30" t="n">
        <v>289769</v>
      </c>
      <c r="H513" s="35" t="n">
        <v>0.02564102564102555</v>
      </c>
      <c r="I513" s="35" t="n">
        <v>-0.4346289752650176</v>
      </c>
      <c r="J513" s="30" t="n">
        <v>46547.5</v>
      </c>
      <c r="K513" s="30" t="n">
        <v>42578.33333333334</v>
      </c>
      <c r="L513" s="30" t="n">
        <v>42053.75</v>
      </c>
      <c r="M513" s="35" t="n">
        <v>0.3028568459375484</v>
      </c>
      <c r="N513" s="35" t="n">
        <v>0.3478212628839339</v>
      </c>
      <c r="O513" s="35" t="n">
        <v>0.0847457627118644</v>
      </c>
      <c r="P513" s="35" t="n">
        <v>0.1483253588516746</v>
      </c>
      <c r="Q513" s="35" t="n">
        <v>0.4545454545454546</v>
      </c>
      <c r="R513" s="35" t="n">
        <v>0.03120468338793714</v>
      </c>
      <c r="S513" s="35" t="n">
        <v>0.12733393353427</v>
      </c>
      <c r="T513" s="35" t="n">
        <v>0.1413964271913919</v>
      </c>
      <c r="U513" s="30" t="n">
        <v>55000</v>
      </c>
      <c r="V513" s="30" t="n">
        <v>29200</v>
      </c>
      <c r="W513" s="35" t="n">
        <v>-0.1272727272727273</v>
      </c>
      <c r="X513" s="35" t="n">
        <v>0.6438356164383561</v>
      </c>
      <c r="Y513" s="30" t="n">
        <v>43617167</v>
      </c>
      <c r="Z513" s="30" t="n">
        <v>2093624016000</v>
      </c>
      <c r="AA513" s="30" t="n">
        <v>13908912000</v>
      </c>
      <c r="AB513" s="30" t="n">
        <v>9508937477.5</v>
      </c>
      <c r="AC513" s="35" t="n">
        <v>0.006643462194598746</v>
      </c>
      <c r="AD513" s="24" t="inlineStr">
        <is>
          <t>yfinance_download</t>
        </is>
      </c>
      <c r="AE513" s="24" t="inlineStr">
        <is>
          <t>000990.KS</t>
        </is>
      </c>
    </row>
    <row r="514" ht="24" customHeight="1">
      <c r="A514" s="29" t="inlineStr">
        <is>
          <t>2025-07-16</t>
        </is>
      </c>
      <c r="B514" s="31" t="n">
        <v>48150</v>
      </c>
      <c r="C514" s="31" t="n">
        <v>48350</v>
      </c>
      <c r="D514" s="31" t="n">
        <v>46550</v>
      </c>
      <c r="E514" s="31" t="n">
        <v>46800</v>
      </c>
      <c r="F514" s="31" t="n">
        <v>46378.80078125</v>
      </c>
      <c r="G514" s="31" t="n">
        <v>260850</v>
      </c>
      <c r="H514" s="36" t="n">
        <v>-0.02500000000000002</v>
      </c>
      <c r="I514" s="36" t="n">
        <v>-0.4487632508833922</v>
      </c>
      <c r="J514" s="31" t="n">
        <v>46525</v>
      </c>
      <c r="K514" s="31" t="n">
        <v>42684.16666666666</v>
      </c>
      <c r="L514" s="31" t="n">
        <v>42162.5</v>
      </c>
      <c r="M514" s="36" t="n">
        <v>0.2092501188567473</v>
      </c>
      <c r="N514" s="36" t="n">
        <v>0.3450098074900874</v>
      </c>
      <c r="O514" s="36" t="n">
        <v>-0.00952380952380949</v>
      </c>
      <c r="P514" s="36" t="n">
        <v>0.1569839307787393</v>
      </c>
      <c r="Q514" s="36" t="n">
        <v>0.3866666666666667</v>
      </c>
      <c r="R514" s="36" t="n">
        <v>0.005910800644814529</v>
      </c>
      <c r="S514" s="36" t="n">
        <v>0.09642529431287961</v>
      </c>
      <c r="T514" s="36" t="n">
        <v>0.1099911058404981</v>
      </c>
      <c r="U514" s="31" t="n">
        <v>55000</v>
      </c>
      <c r="V514" s="31" t="n">
        <v>29200</v>
      </c>
      <c r="W514" s="36" t="n">
        <v>-0.1490909090909091</v>
      </c>
      <c r="X514" s="36" t="n">
        <v>0.6027397260273972</v>
      </c>
      <c r="Y514" s="31" t="n">
        <v>43617167</v>
      </c>
      <c r="Z514" s="31" t="n">
        <v>2041283415600</v>
      </c>
      <c r="AA514" s="31" t="n">
        <v>12207780000</v>
      </c>
      <c r="AB514" s="31" t="n">
        <v>9221512690</v>
      </c>
      <c r="AC514" s="36" t="n">
        <v>0.005980443434118497</v>
      </c>
      <c r="AD514" s="29" t="inlineStr">
        <is>
          <t>yfinance_download</t>
        </is>
      </c>
      <c r="AE514" s="29" t="inlineStr">
        <is>
          <t>000990.KS</t>
        </is>
      </c>
    </row>
    <row r="515" ht="24" customHeight="1">
      <c r="A515" s="24" t="inlineStr">
        <is>
          <t>2025-07-17</t>
        </is>
      </c>
      <c r="B515" s="30" t="n">
        <v>47250</v>
      </c>
      <c r="C515" s="30" t="n">
        <v>47300</v>
      </c>
      <c r="D515" s="30" t="n">
        <v>45200</v>
      </c>
      <c r="E515" s="30" t="n">
        <v>46650</v>
      </c>
      <c r="F515" s="30" t="n">
        <v>46230.1484375</v>
      </c>
      <c r="G515" s="30" t="n">
        <v>200418</v>
      </c>
      <c r="H515" s="35" t="n">
        <v>-0.003205128205128194</v>
      </c>
      <c r="I515" s="35" t="n">
        <v>-0.450530035335689</v>
      </c>
      <c r="J515" s="30" t="n">
        <v>46512.5</v>
      </c>
      <c r="K515" s="30" t="n">
        <v>42781.66666666666</v>
      </c>
      <c r="L515" s="30" t="n">
        <v>42272.08333333334</v>
      </c>
      <c r="M515" s="35" t="n">
        <v>0.2079098921076644</v>
      </c>
      <c r="N515" s="35" t="n">
        <v>0.3449863724967216</v>
      </c>
      <c r="O515" s="35" t="n">
        <v>-0.005330490405117239</v>
      </c>
      <c r="P515" s="35" t="n">
        <v>0.1433823529411764</v>
      </c>
      <c r="Q515" s="35" t="n">
        <v>0.3925373134328358</v>
      </c>
      <c r="R515" s="35" t="n">
        <v>0.002956194571351878</v>
      </c>
      <c r="S515" s="35" t="n">
        <v>0.09042035139662641</v>
      </c>
      <c r="T515" s="35" t="n">
        <v>0.1035651976777423</v>
      </c>
      <c r="U515" s="30" t="n">
        <v>55000</v>
      </c>
      <c r="V515" s="30" t="n">
        <v>29200</v>
      </c>
      <c r="W515" s="35" t="n">
        <v>-0.1518181818181819</v>
      </c>
      <c r="X515" s="35" t="n">
        <v>0.5976027397260273</v>
      </c>
      <c r="Y515" s="30" t="n">
        <v>43617167</v>
      </c>
      <c r="Z515" s="30" t="n">
        <v>2034740840550</v>
      </c>
      <c r="AA515" s="30" t="n">
        <v>9349499700</v>
      </c>
      <c r="AB515" s="30" t="n">
        <v>9264831110</v>
      </c>
      <c r="AC515" s="35" t="n">
        <v>0.004594933916730539</v>
      </c>
      <c r="AD515" s="24" t="inlineStr">
        <is>
          <t>yfinance_download</t>
        </is>
      </c>
      <c r="AE515" s="24" t="inlineStr">
        <is>
          <t>000990.KS</t>
        </is>
      </c>
    </row>
    <row r="516" ht="24" customHeight="1">
      <c r="A516" s="29" t="inlineStr">
        <is>
          <t>2025-07-18</t>
        </is>
      </c>
      <c r="B516" s="31" t="n">
        <v>46700</v>
      </c>
      <c r="C516" s="31" t="n">
        <v>47300</v>
      </c>
      <c r="D516" s="31" t="n">
        <v>46250</v>
      </c>
      <c r="E516" s="31" t="n">
        <v>47300</v>
      </c>
      <c r="F516" s="31" t="n">
        <v>46874.30078125</v>
      </c>
      <c r="G516" s="31" t="n">
        <v>153337</v>
      </c>
      <c r="H516" s="36" t="n">
        <v>0.01393354769560551</v>
      </c>
      <c r="I516" s="36" t="n">
        <v>-0.4428739693757362</v>
      </c>
      <c r="J516" s="31" t="n">
        <v>46525</v>
      </c>
      <c r="K516" s="31" t="n">
        <v>42888.33333333334</v>
      </c>
      <c r="L516" s="31" t="n">
        <v>42385.83333333334</v>
      </c>
      <c r="M516" s="36" t="n">
        <v>0.213640479848748</v>
      </c>
      <c r="N516" s="36" t="n">
        <v>0.3457860010065145</v>
      </c>
      <c r="O516" s="36" t="n">
        <v>0.005313496280552554</v>
      </c>
      <c r="P516" s="36" t="n">
        <v>0.156479217603912</v>
      </c>
      <c r="Q516" s="36" t="n">
        <v>0.4056463595839523</v>
      </c>
      <c r="R516" s="36" t="n">
        <v>0.01665771090811385</v>
      </c>
      <c r="S516" s="36" t="n">
        <v>0.1028640267360976</v>
      </c>
      <c r="T516" s="36" t="n">
        <v>0.1159388946778601</v>
      </c>
      <c r="U516" s="31" t="n">
        <v>55000</v>
      </c>
      <c r="V516" s="31" t="n">
        <v>29200</v>
      </c>
      <c r="W516" s="36" t="n">
        <v>-0.14</v>
      </c>
      <c r="X516" s="36" t="n">
        <v>0.6198630136986301</v>
      </c>
      <c r="Y516" s="31" t="n">
        <v>43617167</v>
      </c>
      <c r="Z516" s="31" t="n">
        <v>2063091999100</v>
      </c>
      <c r="AA516" s="31" t="n">
        <v>7252840100</v>
      </c>
      <c r="AB516" s="31" t="n">
        <v>9220309472.5</v>
      </c>
      <c r="AC516" s="36" t="n">
        <v>0.003515519474247376</v>
      </c>
      <c r="AD516" s="29" t="inlineStr">
        <is>
          <t>yfinance_download</t>
        </is>
      </c>
      <c r="AE516" s="29" t="inlineStr">
        <is>
          <t>000990.KS</t>
        </is>
      </c>
    </row>
    <row r="517" ht="24" customHeight="1">
      <c r="A517" s="24" t="inlineStr">
        <is>
          <t>2025-07-21</t>
        </is>
      </c>
      <c r="B517" s="30" t="n">
        <v>47000</v>
      </c>
      <c r="C517" s="30" t="n">
        <v>47300</v>
      </c>
      <c r="D517" s="30" t="n">
        <v>46500</v>
      </c>
      <c r="E517" s="30" t="n">
        <v>47050</v>
      </c>
      <c r="F517" s="30" t="n">
        <v>46626.55078125</v>
      </c>
      <c r="G517" s="30" t="n">
        <v>103069</v>
      </c>
      <c r="H517" s="35" t="n">
        <v>-0.005285412262156397</v>
      </c>
      <c r="I517" s="35" t="n">
        <v>-0.4458186101295641</v>
      </c>
      <c r="J517" s="30" t="n">
        <v>46560</v>
      </c>
      <c r="K517" s="30" t="n">
        <v>42986.66666666666</v>
      </c>
      <c r="L517" s="30" t="n">
        <v>42493.75</v>
      </c>
      <c r="M517" s="35" t="n">
        <v>0.2071874216721261</v>
      </c>
      <c r="N517" s="35" t="n">
        <v>0.3460883065011162</v>
      </c>
      <c r="O517" s="35" t="n">
        <v>0.01510248112189849</v>
      </c>
      <c r="P517" s="35" t="n">
        <v>0.143377885783718</v>
      </c>
      <c r="Q517" s="35" t="n">
        <v>0.3797653958944283</v>
      </c>
      <c r="R517" s="35" t="n">
        <v>0.01052405498281783</v>
      </c>
      <c r="S517" s="35" t="n">
        <v>0.09452543424317628</v>
      </c>
      <c r="T517" s="35" t="n">
        <v>0.1072216502426828</v>
      </c>
      <c r="U517" s="30" t="n">
        <v>55000</v>
      </c>
      <c r="V517" s="30" t="n">
        <v>29200</v>
      </c>
      <c r="W517" s="35" t="n">
        <v>-0.1445454545454545</v>
      </c>
      <c r="X517" s="35" t="n">
        <v>0.6113013698630136</v>
      </c>
      <c r="Y517" s="30" t="n">
        <v>43617167</v>
      </c>
      <c r="Z517" s="30" t="n">
        <v>2052187707350</v>
      </c>
      <c r="AA517" s="30" t="n">
        <v>4849396450</v>
      </c>
      <c r="AB517" s="30" t="n">
        <v>9025119420</v>
      </c>
      <c r="AC517" s="35" t="n">
        <v>0.002363037471003103</v>
      </c>
      <c r="AD517" s="24" t="inlineStr">
        <is>
          <t>yfinance_download</t>
        </is>
      </c>
      <c r="AE517" s="24" t="inlineStr">
        <is>
          <t>000990.KS</t>
        </is>
      </c>
    </row>
    <row r="518" ht="24" customHeight="1">
      <c r="A518" s="29" t="inlineStr">
        <is>
          <t>2025-07-22</t>
        </is>
      </c>
      <c r="B518" s="31" t="n">
        <v>47300</v>
      </c>
      <c r="C518" s="31" t="n">
        <v>47350</v>
      </c>
      <c r="D518" s="31" t="n">
        <v>45500</v>
      </c>
      <c r="E518" s="31" t="n">
        <v>45600</v>
      </c>
      <c r="F518" s="31" t="n">
        <v>45189.6015625</v>
      </c>
      <c r="G518" s="31" t="n">
        <v>161929</v>
      </c>
      <c r="H518" s="36" t="n">
        <v>-0.03081827842720508</v>
      </c>
      <c r="I518" s="36" t="n">
        <v>-0.4628975265017667</v>
      </c>
      <c r="J518" s="31" t="n">
        <v>46490</v>
      </c>
      <c r="K518" s="31" t="n">
        <v>43076.66666666666</v>
      </c>
      <c r="L518" s="31" t="n">
        <v>42589.16666666666</v>
      </c>
      <c r="M518" s="36" t="n">
        <v>0.2292810294116205</v>
      </c>
      <c r="N518" s="36" t="n">
        <v>0.3488781681941146</v>
      </c>
      <c r="O518" s="36" t="n">
        <v>-0.02978723404255323</v>
      </c>
      <c r="P518" s="36" t="n">
        <v>0.1343283582089552</v>
      </c>
      <c r="Q518" s="36" t="n">
        <v>0.335285505124451</v>
      </c>
      <c r="R518" s="36" t="n">
        <v>-0.01914390191439019</v>
      </c>
      <c r="S518" s="36" t="n">
        <v>0.05857772962934304</v>
      </c>
      <c r="T518" s="36" t="n">
        <v>0.07069481675700007</v>
      </c>
      <c r="U518" s="31" t="n">
        <v>55000</v>
      </c>
      <c r="V518" s="31" t="n">
        <v>29200</v>
      </c>
      <c r="W518" s="36" t="n">
        <v>-0.1709090909090909</v>
      </c>
      <c r="X518" s="36" t="n">
        <v>0.5616438356164384</v>
      </c>
      <c r="Y518" s="31" t="n">
        <v>43617167</v>
      </c>
      <c r="Z518" s="31" t="n">
        <v>1988942815200</v>
      </c>
      <c r="AA518" s="31" t="n">
        <v>7383962400</v>
      </c>
      <c r="AB518" s="31" t="n">
        <v>8870998390</v>
      </c>
      <c r="AC518" s="36" t="n">
        <v>0.003712506133192924</v>
      </c>
      <c r="AD518" s="29" t="inlineStr">
        <is>
          <t>yfinance_download</t>
        </is>
      </c>
      <c r="AE518" s="29" t="inlineStr">
        <is>
          <t>000990.KS</t>
        </is>
      </c>
    </row>
    <row r="519" ht="24" customHeight="1">
      <c r="A519" s="24" t="inlineStr">
        <is>
          <t>2025-07-23</t>
        </is>
      </c>
      <c r="B519" s="30" t="n">
        <v>45800</v>
      </c>
      <c r="C519" s="30" t="n">
        <v>46000</v>
      </c>
      <c r="D519" s="30" t="n">
        <v>44700</v>
      </c>
      <c r="E519" s="30" t="n">
        <v>45900</v>
      </c>
      <c r="F519" s="30" t="n">
        <v>45486.8984375</v>
      </c>
      <c r="G519" s="30" t="n">
        <v>148353</v>
      </c>
      <c r="H519" s="35" t="n">
        <v>0.006578947368421018</v>
      </c>
      <c r="I519" s="35" t="n">
        <v>-0.4593639575971732</v>
      </c>
      <c r="J519" s="30" t="n">
        <v>46437.5</v>
      </c>
      <c r="K519" s="30" t="n">
        <v>43160</v>
      </c>
      <c r="L519" s="30" t="n">
        <v>42684.58333333334</v>
      </c>
      <c r="M519" s="35" t="n">
        <v>0.2310329876080169</v>
      </c>
      <c r="N519" s="35" t="n">
        <v>0.347582774089152</v>
      </c>
      <c r="O519" s="35" t="n">
        <v>-0.02236421725239612</v>
      </c>
      <c r="P519" s="35" t="n">
        <v>0.1222493887530562</v>
      </c>
      <c r="Q519" s="35" t="n">
        <v>0.3323657474600872</v>
      </c>
      <c r="R519" s="35" t="n">
        <v>-0.01157469717362047</v>
      </c>
      <c r="S519" s="35" t="n">
        <v>0.06348470806302142</v>
      </c>
      <c r="T519" s="35" t="n">
        <v>0.0753296955380065</v>
      </c>
      <c r="U519" s="30" t="n">
        <v>55000</v>
      </c>
      <c r="V519" s="30" t="n">
        <v>29200</v>
      </c>
      <c r="W519" s="35" t="n">
        <v>-0.1654545454545454</v>
      </c>
      <c r="X519" s="35" t="n">
        <v>0.571917808219178</v>
      </c>
      <c r="Y519" s="30" t="n">
        <v>43617167</v>
      </c>
      <c r="Z519" s="30" t="n">
        <v>2002027965300</v>
      </c>
      <c r="AA519" s="30" t="n">
        <v>6809402700</v>
      </c>
      <c r="AB519" s="30" t="n">
        <v>8820095672.5</v>
      </c>
      <c r="AC519" s="35" t="n">
        <v>0.003401252538937249</v>
      </c>
      <c r="AD519" s="24" t="inlineStr">
        <is>
          <t>yfinance_download</t>
        </is>
      </c>
      <c r="AE519" s="24" t="inlineStr">
        <is>
          <t>000990.KS</t>
        </is>
      </c>
    </row>
    <row r="520" ht="24" customHeight="1">
      <c r="A520" s="29" t="inlineStr">
        <is>
          <t>2025-07-24</t>
        </is>
      </c>
      <c r="B520" s="31" t="n">
        <v>46000</v>
      </c>
      <c r="C520" s="31" t="n">
        <v>46350</v>
      </c>
      <c r="D520" s="31" t="n">
        <v>45300</v>
      </c>
      <c r="E520" s="31" t="n">
        <v>45700</v>
      </c>
      <c r="F520" s="31" t="n">
        <v>45288.69921875</v>
      </c>
      <c r="G520" s="31" t="n">
        <v>100212</v>
      </c>
      <c r="H520" s="36" t="n">
        <v>-0.004357298474945481</v>
      </c>
      <c r="I520" s="36" t="n">
        <v>-0.4617196702002355</v>
      </c>
      <c r="J520" s="31" t="n">
        <v>46410</v>
      </c>
      <c r="K520" s="31" t="n">
        <v>43240.83333333334</v>
      </c>
      <c r="L520" s="31" t="n">
        <v>42785.83333333334</v>
      </c>
      <c r="M520" s="36" t="n">
        <v>0.2255970017392879</v>
      </c>
      <c r="N520" s="36" t="n">
        <v>0.3477722881799045</v>
      </c>
      <c r="O520" s="36" t="n">
        <v>-0.01189189189189188</v>
      </c>
      <c r="P520" s="36" t="n">
        <v>0.1187270501835986</v>
      </c>
      <c r="Q520" s="36" t="n">
        <v>0.3621460506706409</v>
      </c>
      <c r="R520" s="36" t="n">
        <v>-0.01529842706313289</v>
      </c>
      <c r="S520" s="36" t="n">
        <v>0.05687139856231571</v>
      </c>
      <c r="T520" s="36" t="n">
        <v>0.06811055061059923</v>
      </c>
      <c r="U520" s="31" t="n">
        <v>55000</v>
      </c>
      <c r="V520" s="31" t="n">
        <v>29200</v>
      </c>
      <c r="W520" s="36" t="n">
        <v>-0.1690909090909091</v>
      </c>
      <c r="X520" s="36" t="n">
        <v>0.5650684931506849</v>
      </c>
      <c r="Y520" s="31" t="n">
        <v>43617167</v>
      </c>
      <c r="Z520" s="31" t="n">
        <v>1993304531900</v>
      </c>
      <c r="AA520" s="31" t="n">
        <v>4579688400</v>
      </c>
      <c r="AB520" s="31" t="n">
        <v>8487440905</v>
      </c>
      <c r="AC520" s="36" t="n">
        <v>0.002297535738623281</v>
      </c>
      <c r="AD520" s="29" t="inlineStr">
        <is>
          <t>yfinance_download</t>
        </is>
      </c>
      <c r="AE520" s="29" t="inlineStr">
        <is>
          <t>000990.KS</t>
        </is>
      </c>
    </row>
    <row r="521" ht="24" customHeight="1">
      <c r="A521" s="24" t="inlineStr">
        <is>
          <t>2025-07-25</t>
        </is>
      </c>
      <c r="B521" s="30" t="n">
        <v>45700</v>
      </c>
      <c r="C521" s="30" t="n">
        <v>45800</v>
      </c>
      <c r="D521" s="30" t="n">
        <v>45150</v>
      </c>
      <c r="E521" s="30" t="n">
        <v>45300</v>
      </c>
      <c r="F521" s="30" t="n">
        <v>44892.30078125</v>
      </c>
      <c r="G521" s="30" t="n">
        <v>105647</v>
      </c>
      <c r="H521" s="35" t="n">
        <v>-0.008752735229759279</v>
      </c>
      <c r="I521" s="35" t="n">
        <v>-0.4664310954063604</v>
      </c>
      <c r="J521" s="30" t="n">
        <v>46370</v>
      </c>
      <c r="K521" s="30" t="n">
        <v>43295.83333333334</v>
      </c>
      <c r="L521" s="30" t="n">
        <v>42880.41666666666</v>
      </c>
      <c r="M521" s="35" t="n">
        <v>0.2273260913296138</v>
      </c>
      <c r="N521" s="35" t="n">
        <v>0.344172106345388</v>
      </c>
      <c r="O521" s="35" t="n">
        <v>-0.01735357917570501</v>
      </c>
      <c r="P521" s="35" t="n">
        <v>0.07857142857142851</v>
      </c>
      <c r="Q521" s="35" t="n">
        <v>0.3343151693667157</v>
      </c>
      <c r="R521" s="35" t="n">
        <v>-0.0230752641794264</v>
      </c>
      <c r="S521" s="35" t="n">
        <v>0.0462900587046482</v>
      </c>
      <c r="T521" s="35" t="n">
        <v>0.05642630182775754</v>
      </c>
      <c r="U521" s="30" t="n">
        <v>55000</v>
      </c>
      <c r="V521" s="30" t="n">
        <v>29200</v>
      </c>
      <c r="W521" s="35" t="n">
        <v>-0.1763636363636364</v>
      </c>
      <c r="X521" s="35" t="n">
        <v>0.5513698630136987</v>
      </c>
      <c r="Y521" s="30" t="n">
        <v>43617167</v>
      </c>
      <c r="Z521" s="30" t="n">
        <v>1975857665100</v>
      </c>
      <c r="AA521" s="30" t="n">
        <v>4785809100</v>
      </c>
      <c r="AB521" s="30" t="n">
        <v>8457982190</v>
      </c>
      <c r="AC521" s="35" t="n">
        <v>0.002422142639387836</v>
      </c>
      <c r="AD521" s="24" t="inlineStr">
        <is>
          <t>yfinance_download</t>
        </is>
      </c>
      <c r="AE521" s="24" t="inlineStr">
        <is>
          <t>000990.KS</t>
        </is>
      </c>
    </row>
    <row r="522" ht="24" customHeight="1">
      <c r="A522" s="29" t="inlineStr">
        <is>
          <t>2025-07-28</t>
        </is>
      </c>
      <c r="B522" s="31" t="n">
        <v>45800</v>
      </c>
      <c r="C522" s="31" t="n">
        <v>46500</v>
      </c>
      <c r="D522" s="31" t="n">
        <v>45050</v>
      </c>
      <c r="E522" s="31" t="n">
        <v>46150</v>
      </c>
      <c r="F522" s="31" t="n">
        <v>45734.6484375</v>
      </c>
      <c r="G522" s="31" t="n">
        <v>124799</v>
      </c>
      <c r="H522" s="36" t="n">
        <v>0.01876379690949226</v>
      </c>
      <c r="I522" s="36" t="n">
        <v>-0.4564193168433451</v>
      </c>
      <c r="J522" s="31" t="n">
        <v>46337.5</v>
      </c>
      <c r="K522" s="31" t="n">
        <v>43413.33333333334</v>
      </c>
      <c r="L522" s="31" t="n">
        <v>42995.41666666666</v>
      </c>
      <c r="M522" s="36" t="n">
        <v>0.2309850808735315</v>
      </c>
      <c r="N522" s="36" t="n">
        <v>0.3129352667268214</v>
      </c>
      <c r="O522" s="36" t="n">
        <v>-0.01388888888888884</v>
      </c>
      <c r="P522" s="36" t="n">
        <v>0.1803069053708439</v>
      </c>
      <c r="Q522" s="36" t="n">
        <v>0.4265842349304483</v>
      </c>
      <c r="R522" s="36" t="n">
        <v>-0.004046398705152443</v>
      </c>
      <c r="S522" s="36" t="n">
        <v>0.06303746928746934</v>
      </c>
      <c r="T522" s="36" t="n">
        <v>0.07337022357034195</v>
      </c>
      <c r="U522" s="31" t="n">
        <v>55000</v>
      </c>
      <c r="V522" s="31" t="n">
        <v>29200</v>
      </c>
      <c r="W522" s="36" t="n">
        <v>-0.1609090909090909</v>
      </c>
      <c r="X522" s="36" t="n">
        <v>0.5804794520547945</v>
      </c>
      <c r="Y522" s="31" t="n">
        <v>43617167</v>
      </c>
      <c r="Z522" s="31" t="n">
        <v>2012932257050</v>
      </c>
      <c r="AA522" s="31" t="n">
        <v>5759473850</v>
      </c>
      <c r="AB522" s="31" t="n">
        <v>8378238922.5</v>
      </c>
      <c r="AC522" s="36" t="n">
        <v>0.002861235806534615</v>
      </c>
      <c r="AD522" s="29" t="inlineStr">
        <is>
          <t>yfinance_download</t>
        </is>
      </c>
      <c r="AE522" s="29" t="inlineStr">
        <is>
          <t>000990.KS</t>
        </is>
      </c>
    </row>
    <row r="523" ht="24" customHeight="1">
      <c r="A523" s="24" t="inlineStr">
        <is>
          <t>2025-07-29</t>
        </is>
      </c>
      <c r="B523" s="30" t="n">
        <v>46450</v>
      </c>
      <c r="C523" s="30" t="n">
        <v>46450</v>
      </c>
      <c r="D523" s="30" t="n">
        <v>45050</v>
      </c>
      <c r="E523" s="30" t="n">
        <v>45700</v>
      </c>
      <c r="F523" s="30" t="n">
        <v>45288.69921875</v>
      </c>
      <c r="G523" s="30" t="n">
        <v>98061</v>
      </c>
      <c r="H523" s="35" t="n">
        <v>-0.009750812567713929</v>
      </c>
      <c r="I523" s="35" t="n">
        <v>-0.4617196702002355</v>
      </c>
      <c r="J523" s="30" t="n">
        <v>46287.5</v>
      </c>
      <c r="K523" s="30" t="n">
        <v>43524.16666666666</v>
      </c>
      <c r="L523" s="30" t="n">
        <v>43122.5</v>
      </c>
      <c r="M523" s="35" t="n">
        <v>0.233228083893058</v>
      </c>
      <c r="N523" s="35" t="n">
        <v>0.3139048149662495</v>
      </c>
      <c r="O523" s="35" t="n">
        <v>-0.02141327623126343</v>
      </c>
      <c r="P523" s="35" t="n">
        <v>0.1702944942381561</v>
      </c>
      <c r="Q523" s="35" t="n">
        <v>0.5008210180623973</v>
      </c>
      <c r="R523" s="35" t="n">
        <v>-0.012692411558196</v>
      </c>
      <c r="S523" s="35" t="n">
        <v>0.04999138409695769</v>
      </c>
      <c r="T523" s="35" t="n">
        <v>0.05977158096121515</v>
      </c>
      <c r="U523" s="30" t="n">
        <v>55000</v>
      </c>
      <c r="V523" s="30" t="n">
        <v>29200</v>
      </c>
      <c r="W523" s="35" t="n">
        <v>-0.1690909090909091</v>
      </c>
      <c r="X523" s="35" t="n">
        <v>0.5650684931506849</v>
      </c>
      <c r="Y523" s="30" t="n">
        <v>43617167</v>
      </c>
      <c r="Z523" s="30" t="n">
        <v>1993304531900</v>
      </c>
      <c r="AA523" s="30" t="n">
        <v>4481387700</v>
      </c>
      <c r="AB523" s="30" t="n">
        <v>7940156012.5</v>
      </c>
      <c r="AC523" s="35" t="n">
        <v>0.002248220293628882</v>
      </c>
      <c r="AD523" s="24" t="inlineStr">
        <is>
          <t>yfinance_download</t>
        </is>
      </c>
      <c r="AE523" s="24" t="inlineStr">
        <is>
          <t>000990.KS</t>
        </is>
      </c>
    </row>
    <row r="524" ht="24" customHeight="1">
      <c r="A524" s="29" t="inlineStr">
        <is>
          <t>2025-07-30</t>
        </is>
      </c>
      <c r="B524" s="31" t="n">
        <v>45200</v>
      </c>
      <c r="C524" s="31" t="n">
        <v>46300</v>
      </c>
      <c r="D524" s="31" t="n">
        <v>45200</v>
      </c>
      <c r="E524" s="31" t="n">
        <v>46100</v>
      </c>
      <c r="F524" s="31" t="n">
        <v>45685.1015625</v>
      </c>
      <c r="G524" s="31" t="n">
        <v>149265</v>
      </c>
      <c r="H524" s="36" t="n">
        <v>0.00875273522975939</v>
      </c>
      <c r="I524" s="36" t="n">
        <v>-0.4570082449941107</v>
      </c>
      <c r="J524" s="31" t="n">
        <v>46310</v>
      </c>
      <c r="K524" s="31" t="n">
        <v>43653.33333333334</v>
      </c>
      <c r="L524" s="31" t="n">
        <v>43245.41666666666</v>
      </c>
      <c r="M524" s="36" t="n">
        <v>0.2210668099290623</v>
      </c>
      <c r="N524" s="36" t="n">
        <v>0.3111260199074513</v>
      </c>
      <c r="O524" s="36" t="n">
        <v>0.009857612267250904</v>
      </c>
      <c r="P524" s="36" t="n">
        <v>0.2020860495436767</v>
      </c>
      <c r="Q524" s="36" t="n">
        <v>0.470494417862839</v>
      </c>
      <c r="R524" s="36" t="n">
        <v>-0.004534657741308568</v>
      </c>
      <c r="S524" s="36" t="n">
        <v>0.05604764813683571</v>
      </c>
      <c r="T524" s="36" t="n">
        <v>0.0660089219474127</v>
      </c>
      <c r="U524" s="31" t="n">
        <v>55000</v>
      </c>
      <c r="V524" s="31" t="n">
        <v>29200</v>
      </c>
      <c r="W524" s="36" t="n">
        <v>-0.1618181818181819</v>
      </c>
      <c r="X524" s="36" t="n">
        <v>0.5787671232876712</v>
      </c>
      <c r="Y524" s="31" t="n">
        <v>43617167</v>
      </c>
      <c r="Z524" s="31" t="n">
        <v>2010751398700</v>
      </c>
      <c r="AA524" s="31" t="n">
        <v>6881116500</v>
      </c>
      <c r="AB524" s="31" t="n">
        <v>7918527947.5</v>
      </c>
      <c r="AC524" s="36" t="n">
        <v>0.00342216173737281</v>
      </c>
      <c r="AD524" s="29" t="inlineStr">
        <is>
          <t>yfinance_download</t>
        </is>
      </c>
      <c r="AE524" s="29" t="inlineStr">
        <is>
          <t>000990.KS</t>
        </is>
      </c>
    </row>
    <row r="525" ht="24" customHeight="1">
      <c r="A525" s="24" t="inlineStr">
        <is>
          <t>2025-07-31</t>
        </is>
      </c>
      <c r="B525" s="30" t="n">
        <v>46200</v>
      </c>
      <c r="C525" s="30" t="n">
        <v>46700</v>
      </c>
      <c r="D525" s="30" t="n">
        <v>45400</v>
      </c>
      <c r="E525" s="30" t="n">
        <v>45700</v>
      </c>
      <c r="F525" s="30" t="n">
        <v>45288.69921875</v>
      </c>
      <c r="G525" s="30" t="n">
        <v>159513</v>
      </c>
      <c r="H525" s="35" t="n">
        <v>-0.008676789587852451</v>
      </c>
      <c r="I525" s="35" t="n">
        <v>-0.4617196702002355</v>
      </c>
      <c r="J525" s="30" t="n">
        <v>46282.5</v>
      </c>
      <c r="K525" s="30" t="n">
        <v>43775</v>
      </c>
      <c r="L525" s="30" t="n">
        <v>43357.08333333334</v>
      </c>
      <c r="M525" s="35" t="n">
        <v>0.2181732110521449</v>
      </c>
      <c r="N525" s="35" t="n">
        <v>0.3120645626773982</v>
      </c>
      <c r="O525" s="35" t="n">
        <v>-0.01189189189189188</v>
      </c>
      <c r="P525" s="35" t="n">
        <v>0.1901041666666667</v>
      </c>
      <c r="Q525" s="35" t="n">
        <v>0.414860681114551</v>
      </c>
      <c r="R525" s="35" t="n">
        <v>-0.01258575055366495</v>
      </c>
      <c r="S525" s="35" t="n">
        <v>0.04397487150199875</v>
      </c>
      <c r="T525" s="35" t="n">
        <v>0.05403769088095944</v>
      </c>
      <c r="U525" s="30" t="n">
        <v>55000</v>
      </c>
      <c r="V525" s="30" t="n">
        <v>29200</v>
      </c>
      <c r="W525" s="35" t="n">
        <v>-0.1690909090909091</v>
      </c>
      <c r="X525" s="35" t="n">
        <v>0.5650684931506849</v>
      </c>
      <c r="Y525" s="30" t="n">
        <v>43617167</v>
      </c>
      <c r="Z525" s="30" t="n">
        <v>1993304531900</v>
      </c>
      <c r="AA525" s="30" t="n">
        <v>7289744100</v>
      </c>
      <c r="AB525" s="30" t="n">
        <v>7638218465</v>
      </c>
      <c r="AC525" s="35" t="n">
        <v>0.003657115098740824</v>
      </c>
      <c r="AD525" s="24" t="inlineStr">
        <is>
          <t>yfinance_download</t>
        </is>
      </c>
      <c r="AE525" s="24" t="inlineStr">
        <is>
          <t>000990.KS</t>
        </is>
      </c>
    </row>
    <row r="526" ht="24" customHeight="1">
      <c r="A526" s="29" t="inlineStr">
        <is>
          <t>2025-08-01</t>
        </is>
      </c>
      <c r="B526" s="31" t="n">
        <v>45350</v>
      </c>
      <c r="C526" s="31" t="n">
        <v>45450</v>
      </c>
      <c r="D526" s="31" t="n">
        <v>43500</v>
      </c>
      <c r="E526" s="31" t="n">
        <v>43700</v>
      </c>
      <c r="F526" s="31" t="n">
        <v>43306.69921875</v>
      </c>
      <c r="G526" s="31" t="n">
        <v>198704</v>
      </c>
      <c r="H526" s="36" t="n">
        <v>-0.0437636761487965</v>
      </c>
      <c r="I526" s="36" t="n">
        <v>-0.4852767962308598</v>
      </c>
      <c r="J526" s="31" t="n">
        <v>46167.5</v>
      </c>
      <c r="K526" s="31" t="n">
        <v>43860</v>
      </c>
      <c r="L526" s="31" t="n">
        <v>43443.75</v>
      </c>
      <c r="M526" s="36" t="n">
        <v>0.2666866371465689</v>
      </c>
      <c r="N526" s="36" t="n">
        <v>0.3264522073878897</v>
      </c>
      <c r="O526" s="36" t="n">
        <v>-0.05000000000000004</v>
      </c>
      <c r="P526" s="36" t="n">
        <v>0.1321243523316062</v>
      </c>
      <c r="Q526" s="36" t="n">
        <v>0.3123123123123124</v>
      </c>
      <c r="R526" s="36" t="n">
        <v>-0.05344668868792979</v>
      </c>
      <c r="S526" s="36" t="n">
        <v>-0.00364797081623347</v>
      </c>
      <c r="T526" s="36" t="n">
        <v>0.005898431880305033</v>
      </c>
      <c r="U526" s="31" t="n">
        <v>55000</v>
      </c>
      <c r="V526" s="31" t="n">
        <v>29200</v>
      </c>
      <c r="W526" s="36" t="n">
        <v>-0.2054545454545454</v>
      </c>
      <c r="X526" s="36" t="n">
        <v>0.4965753424657535</v>
      </c>
      <c r="Y526" s="31" t="n">
        <v>43617167</v>
      </c>
      <c r="Z526" s="31" t="n">
        <v>1906070197900</v>
      </c>
      <c r="AA526" s="31" t="n">
        <v>8683364800</v>
      </c>
      <c r="AB526" s="31" t="n">
        <v>7688332705</v>
      </c>
      <c r="AC526" s="36" t="n">
        <v>0.00455563746265318</v>
      </c>
      <c r="AD526" s="29" t="inlineStr">
        <is>
          <t>yfinance_download</t>
        </is>
      </c>
      <c r="AE526" s="29" t="inlineStr">
        <is>
          <t>000990.KS</t>
        </is>
      </c>
    </row>
    <row r="527" ht="24" customHeight="1">
      <c r="A527" s="24" t="inlineStr">
        <is>
          <t>2025-08-04</t>
        </is>
      </c>
      <c r="B527" s="30" t="n">
        <v>44150</v>
      </c>
      <c r="C527" s="30" t="n">
        <v>45550</v>
      </c>
      <c r="D527" s="30" t="n">
        <v>43550</v>
      </c>
      <c r="E527" s="30" t="n">
        <v>45500</v>
      </c>
      <c r="F527" s="30" t="n">
        <v>45090.5</v>
      </c>
      <c r="G527" s="30" t="n">
        <v>131251</v>
      </c>
      <c r="H527" s="35" t="n">
        <v>0.04118993135011451</v>
      </c>
      <c r="I527" s="35" t="n">
        <v>-0.464075382803298</v>
      </c>
      <c r="J527" s="30" t="n">
        <v>46135</v>
      </c>
      <c r="K527" s="30" t="n">
        <v>43978.33333333334</v>
      </c>
      <c r="L527" s="30" t="n">
        <v>43498.75</v>
      </c>
      <c r="M527" s="35" t="n">
        <v>0.3081718420771987</v>
      </c>
      <c r="N527" s="35" t="n">
        <v>0.3356321078195845</v>
      </c>
      <c r="O527" s="35" t="n">
        <v>-0.0140845070422535</v>
      </c>
      <c r="P527" s="35" t="n">
        <v>0.1848958333333333</v>
      </c>
      <c r="Q527" s="35" t="n">
        <v>0.1696658097686374</v>
      </c>
      <c r="R527" s="35" t="n">
        <v>-0.01376395361439253</v>
      </c>
      <c r="S527" s="35" t="n">
        <v>0.03460037139500516</v>
      </c>
      <c r="T527" s="35" t="n">
        <v>0.04600706916865427</v>
      </c>
      <c r="U527" s="30" t="n">
        <v>55000</v>
      </c>
      <c r="V527" s="30" t="n">
        <v>29200</v>
      </c>
      <c r="W527" s="35" t="n">
        <v>-0.1727272727272727</v>
      </c>
      <c r="X527" s="35" t="n">
        <v>0.5582191780821917</v>
      </c>
      <c r="Y527" s="30" t="n">
        <v>43617167</v>
      </c>
      <c r="Z527" s="30" t="n">
        <v>1984581098500</v>
      </c>
      <c r="AA527" s="30" t="n">
        <v>5971920500</v>
      </c>
      <c r="AB527" s="30" t="n">
        <v>7710739440</v>
      </c>
      <c r="AC527" s="35" t="n">
        <v>0.003009159214765141</v>
      </c>
      <c r="AD527" s="24" t="inlineStr">
        <is>
          <t>yfinance_download</t>
        </is>
      </c>
      <c r="AE527" s="24" t="inlineStr">
        <is>
          <t>000990.KS</t>
        </is>
      </c>
    </row>
    <row r="528" ht="24" customHeight="1">
      <c r="A528" s="29" t="inlineStr">
        <is>
          <t>2025-08-05</t>
        </is>
      </c>
      <c r="B528" s="31" t="n">
        <v>46100</v>
      </c>
      <c r="C528" s="31" t="n">
        <v>46800</v>
      </c>
      <c r="D528" s="31" t="n">
        <v>45625</v>
      </c>
      <c r="E528" s="31" t="n">
        <v>45950</v>
      </c>
      <c r="F528" s="31" t="n">
        <v>45536.44921875</v>
      </c>
      <c r="G528" s="31" t="n">
        <v>114635</v>
      </c>
      <c r="H528" s="36" t="n">
        <v>0.009890109890109855</v>
      </c>
      <c r="I528" s="36" t="n">
        <v>-0.4587750294464076</v>
      </c>
      <c r="J528" s="31" t="n">
        <v>46112.5</v>
      </c>
      <c r="K528" s="31" t="n">
        <v>44109.16666666666</v>
      </c>
      <c r="L528" s="31" t="n">
        <v>43526.25</v>
      </c>
      <c r="M528" s="36" t="n">
        <v>0.309721738944982</v>
      </c>
      <c r="N528" s="36" t="n">
        <v>0.3351460608517096</v>
      </c>
      <c r="O528" s="36" t="n">
        <v>-0.00969827586206895</v>
      </c>
      <c r="P528" s="36" t="n">
        <v>0.2060367454068242</v>
      </c>
      <c r="Q528" s="36" t="n">
        <v>0.0773739742086752</v>
      </c>
      <c r="R528" s="36" t="n">
        <v>-0.003523990241257824</v>
      </c>
      <c r="S528" s="36" t="n">
        <v>0.04173357767659791</v>
      </c>
      <c r="T528" s="36" t="n">
        <v>0.05568478791533837</v>
      </c>
      <c r="U528" s="31" t="n">
        <v>54500</v>
      </c>
      <c r="V528" s="31" t="n">
        <v>29200</v>
      </c>
      <c r="W528" s="36" t="n">
        <v>-0.1568807339449542</v>
      </c>
      <c r="X528" s="36" t="n">
        <v>0.5736301369863013</v>
      </c>
      <c r="Y528" s="31" t="n">
        <v>43617167</v>
      </c>
      <c r="Z528" s="31" t="n">
        <v>2004208823650</v>
      </c>
      <c r="AA528" s="31" t="n">
        <v>5267478250</v>
      </c>
      <c r="AB528" s="31" t="n">
        <v>7781226232.5</v>
      </c>
      <c r="AC528" s="36" t="n">
        <v>0.00262820829239093</v>
      </c>
      <c r="AD528" s="29" t="inlineStr">
        <is>
          <t>yfinance_download</t>
        </is>
      </c>
      <c r="AE528" s="29" t="inlineStr">
        <is>
          <t>000990.KS</t>
        </is>
      </c>
    </row>
    <row r="529" ht="24" customHeight="1">
      <c r="A529" s="24" t="inlineStr">
        <is>
          <t>2025-08-06</t>
        </is>
      </c>
      <c r="B529" s="30" t="n">
        <v>45600</v>
      </c>
      <c r="C529" s="30" t="n">
        <v>45750</v>
      </c>
      <c r="D529" s="30" t="n">
        <v>44550</v>
      </c>
      <c r="E529" s="30" t="n">
        <v>45000</v>
      </c>
      <c r="F529" s="30" t="n">
        <v>44595</v>
      </c>
      <c r="G529" s="30" t="n">
        <v>120666</v>
      </c>
      <c r="H529" s="35" t="n">
        <v>-0.02067464635473337</v>
      </c>
      <c r="I529" s="35" t="n">
        <v>-0.4699646643109541</v>
      </c>
      <c r="J529" s="30" t="n">
        <v>46057.5</v>
      </c>
      <c r="K529" s="30" t="n">
        <v>44205</v>
      </c>
      <c r="L529" s="30" t="n">
        <v>43544.58333333334</v>
      </c>
      <c r="M529" s="35" t="n">
        <v>0.3174794066698983</v>
      </c>
      <c r="N529" s="35" t="n">
        <v>0.3339538878205984</v>
      </c>
      <c r="O529" s="35" t="n">
        <v>-0.02386117136659438</v>
      </c>
      <c r="P529" s="35" t="n">
        <v>0.1464968152866242</v>
      </c>
      <c r="Q529" s="35" t="n">
        <v>0.05140186915887845</v>
      </c>
      <c r="R529" s="35" t="n">
        <v>-0.02296042989741087</v>
      </c>
      <c r="S529" s="35" t="n">
        <v>0.01798439090600601</v>
      </c>
      <c r="T529" s="35" t="n">
        <v>0.03342359841924458</v>
      </c>
      <c r="U529" s="30" t="n">
        <v>54500</v>
      </c>
      <c r="V529" s="30" t="n">
        <v>29200</v>
      </c>
      <c r="W529" s="35" t="n">
        <v>-0.1743119266055045</v>
      </c>
      <c r="X529" s="35" t="n">
        <v>0.5410958904109588</v>
      </c>
      <c r="Y529" s="30" t="n">
        <v>43617167</v>
      </c>
      <c r="Z529" s="30" t="n">
        <v>1962772515000</v>
      </c>
      <c r="AA529" s="30" t="n">
        <v>5429970000</v>
      </c>
      <c r="AB529" s="30" t="n">
        <v>7806509242.5</v>
      </c>
      <c r="AC529" s="35" t="n">
        <v>0.002766479537747144</v>
      </c>
      <c r="AD529" s="24" t="inlineStr">
        <is>
          <t>yfinance_download</t>
        </is>
      </c>
      <c r="AE529" s="24" t="inlineStr">
        <is>
          <t>000990.KS</t>
        </is>
      </c>
    </row>
    <row r="530" ht="24" customHeight="1">
      <c r="A530" s="29" t="inlineStr">
        <is>
          <t>2025-08-07</t>
        </is>
      </c>
      <c r="B530" s="31" t="n">
        <v>45350</v>
      </c>
      <c r="C530" s="31" t="n">
        <v>45650</v>
      </c>
      <c r="D530" s="31" t="n">
        <v>44800</v>
      </c>
      <c r="E530" s="31" t="n">
        <v>45450</v>
      </c>
      <c r="F530" s="31" t="n">
        <v>45040.94921875</v>
      </c>
      <c r="G530" s="31" t="n">
        <v>120124</v>
      </c>
      <c r="H530" s="36" t="n">
        <v>0.01000000000000001</v>
      </c>
      <c r="I530" s="36" t="n">
        <v>-0.4646643109540636</v>
      </c>
      <c r="J530" s="31" t="n">
        <v>46020</v>
      </c>
      <c r="K530" s="31" t="n">
        <v>44299.16666666666</v>
      </c>
      <c r="L530" s="31" t="n">
        <v>43566.66666666666</v>
      </c>
      <c r="M530" s="36" t="n">
        <v>0.319730384762012</v>
      </c>
      <c r="N530" s="36" t="n">
        <v>0.3334636520959064</v>
      </c>
      <c r="O530" s="36" t="n">
        <v>-0.01623376623376627</v>
      </c>
      <c r="P530" s="36" t="n">
        <v>0.1419597989949748</v>
      </c>
      <c r="Q530" s="36" t="n">
        <v>0.06191588785046731</v>
      </c>
      <c r="R530" s="36" t="n">
        <v>-0.01238591916558018</v>
      </c>
      <c r="S530" s="36" t="n">
        <v>0.02597866777027424</v>
      </c>
      <c r="T530" s="36" t="n">
        <v>0.04322876817138499</v>
      </c>
      <c r="U530" s="31" t="n">
        <v>54500</v>
      </c>
      <c r="V530" s="31" t="n">
        <v>29200</v>
      </c>
      <c r="W530" s="36" t="n">
        <v>-0.1660550458715596</v>
      </c>
      <c r="X530" s="36" t="n">
        <v>0.5565068493150684</v>
      </c>
      <c r="Y530" s="31" t="n">
        <v>43617167</v>
      </c>
      <c r="Z530" s="31" t="n">
        <v>1982400240150</v>
      </c>
      <c r="AA530" s="31" t="n">
        <v>5459635800</v>
      </c>
      <c r="AB530" s="31" t="n">
        <v>7267847122.5</v>
      </c>
      <c r="AC530" s="36" t="n">
        <v>0.002754053237799695</v>
      </c>
      <c r="AD530" s="29" t="inlineStr">
        <is>
          <t>yfinance_download</t>
        </is>
      </c>
      <c r="AE530" s="29" t="inlineStr">
        <is>
          <t>000990.KS</t>
        </is>
      </c>
    </row>
    <row r="531" ht="24" customHeight="1">
      <c r="A531" s="24" t="inlineStr">
        <is>
          <t>2025-08-08</t>
        </is>
      </c>
      <c r="B531" s="30" t="n">
        <v>45600</v>
      </c>
      <c r="C531" s="30" t="n">
        <v>46200</v>
      </c>
      <c r="D531" s="30" t="n">
        <v>45350</v>
      </c>
      <c r="E531" s="30" t="n">
        <v>45900</v>
      </c>
      <c r="F531" s="30" t="n">
        <v>45486.8984375</v>
      </c>
      <c r="G531" s="30" t="n">
        <v>113641</v>
      </c>
      <c r="H531" s="35" t="n">
        <v>0.00990099009900991</v>
      </c>
      <c r="I531" s="35" t="n">
        <v>-0.4593639575971732</v>
      </c>
      <c r="J531" s="30" t="n">
        <v>46012.5</v>
      </c>
      <c r="K531" s="30" t="n">
        <v>44400.83333333334</v>
      </c>
      <c r="L531" s="30" t="n">
        <v>43604.16666666666</v>
      </c>
      <c r="M531" s="35" t="n">
        <v>0.3217003855767865</v>
      </c>
      <c r="N531" s="35" t="n">
        <v>0.3337729702824914</v>
      </c>
      <c r="O531" s="35" t="n">
        <v>-0.003257328990228014</v>
      </c>
      <c r="P531" s="35" t="n">
        <v>0.1532663316582914</v>
      </c>
      <c r="Q531" s="35" t="n">
        <v>0.1086956521739131</v>
      </c>
      <c r="R531" s="35" t="n">
        <v>-0.00244498777506108</v>
      </c>
      <c r="S531" s="35" t="n">
        <v>0.03376438129914971</v>
      </c>
      <c r="T531" s="35" t="n">
        <v>0.05265169612995702</v>
      </c>
      <c r="U531" s="30" t="n">
        <v>54500</v>
      </c>
      <c r="V531" s="30" t="n">
        <v>29200</v>
      </c>
      <c r="W531" s="35" t="n">
        <v>-0.1577981651376147</v>
      </c>
      <c r="X531" s="35" t="n">
        <v>0.571917808219178</v>
      </c>
      <c r="Y531" s="30" t="n">
        <v>43617167</v>
      </c>
      <c r="Z531" s="30" t="n">
        <v>2002027965300</v>
      </c>
      <c r="AA531" s="30" t="n">
        <v>5216121900</v>
      </c>
      <c r="AB531" s="30" t="n">
        <v>7024309012.5</v>
      </c>
      <c r="AC531" s="35" t="n">
        <v>0.002605419100236382</v>
      </c>
      <c r="AD531" s="24" t="inlineStr">
        <is>
          <t>yfinance_download</t>
        </is>
      </c>
      <c r="AE531" s="24" t="inlineStr">
        <is>
          <t>000990.KS</t>
        </is>
      </c>
    </row>
    <row r="532" ht="24" customHeight="1">
      <c r="A532" s="29" t="inlineStr">
        <is>
          <t>2025-08-11</t>
        </is>
      </c>
      <c r="B532" s="31" t="n">
        <v>46450</v>
      </c>
      <c r="C532" s="31" t="n">
        <v>46750</v>
      </c>
      <c r="D532" s="31" t="n">
        <v>45200</v>
      </c>
      <c r="E532" s="31" t="n">
        <v>46200</v>
      </c>
      <c r="F532" s="31" t="n">
        <v>45784.19921875</v>
      </c>
      <c r="G532" s="31" t="n">
        <v>132906</v>
      </c>
      <c r="H532" s="36" t="n">
        <v>0.006535947712418277</v>
      </c>
      <c r="I532" s="36" t="n">
        <v>-0.4558303886925795</v>
      </c>
      <c r="J532" s="31" t="n">
        <v>45982.5</v>
      </c>
      <c r="K532" s="31" t="n">
        <v>44514.16666666666</v>
      </c>
      <c r="L532" s="31" t="n">
        <v>43635</v>
      </c>
      <c r="M532" s="36" t="n">
        <v>0.3169936896480504</v>
      </c>
      <c r="N532" s="36" t="n">
        <v>0.3328190030794591</v>
      </c>
      <c r="O532" s="36" t="n">
        <v>-0.01282051282051277</v>
      </c>
      <c r="P532" s="36" t="n">
        <v>0.1725888324873097</v>
      </c>
      <c r="Q532" s="36" t="n">
        <v>0.08705882352941186</v>
      </c>
      <c r="R532" s="36" t="n">
        <v>0.004730060349045884</v>
      </c>
      <c r="S532" s="36" t="n">
        <v>0.0378718385532697</v>
      </c>
      <c r="T532" s="36" t="n">
        <v>0.05878308697146784</v>
      </c>
      <c r="U532" s="31" t="n">
        <v>54500</v>
      </c>
      <c r="V532" s="31" t="n">
        <v>29200</v>
      </c>
      <c r="W532" s="36" t="n">
        <v>-0.1522935779816513</v>
      </c>
      <c r="X532" s="36" t="n">
        <v>0.5821917808219179</v>
      </c>
      <c r="Y532" s="31" t="n">
        <v>43617167</v>
      </c>
      <c r="Z532" s="31" t="n">
        <v>2015113115400</v>
      </c>
      <c r="AA532" s="31" t="n">
        <v>6140257200</v>
      </c>
      <c r="AB532" s="31" t="n">
        <v>6885388072.5</v>
      </c>
      <c r="AC532" s="36" t="n">
        <v>0.003047102990434936</v>
      </c>
      <c r="AD532" s="29" t="inlineStr">
        <is>
          <t>yfinance_download</t>
        </is>
      </c>
      <c r="AE532" s="29" t="inlineStr">
        <is>
          <t>000990.KS</t>
        </is>
      </c>
    </row>
    <row r="533" ht="24" customHeight="1">
      <c r="A533" s="24" t="inlineStr">
        <is>
          <t>2025-08-12</t>
        </is>
      </c>
      <c r="B533" s="30" t="n">
        <v>46100</v>
      </c>
      <c r="C533" s="30" t="n">
        <v>47550</v>
      </c>
      <c r="D533" s="30" t="n">
        <v>45900</v>
      </c>
      <c r="E533" s="30" t="n">
        <v>46900</v>
      </c>
      <c r="F533" s="30" t="n">
        <v>46477.8984375</v>
      </c>
      <c r="G533" s="30" t="n">
        <v>254936</v>
      </c>
      <c r="H533" s="35" t="n">
        <v>0.01515151515151514</v>
      </c>
      <c r="I533" s="35" t="n">
        <v>-0.447585394581861</v>
      </c>
      <c r="J533" s="30" t="n">
        <v>45927.5</v>
      </c>
      <c r="K533" s="30" t="n">
        <v>44635.83333333334</v>
      </c>
      <c r="L533" s="30" t="n">
        <v>43656.66666666666</v>
      </c>
      <c r="M533" s="35" t="n">
        <v>0.30758777250759</v>
      </c>
      <c r="N533" s="35" t="n">
        <v>0.3337435963394569</v>
      </c>
      <c r="O533" s="35" t="n">
        <v>-0.0229166666666667</v>
      </c>
      <c r="P533" s="35" t="n">
        <v>0.1843434343434343</v>
      </c>
      <c r="Q533" s="35" t="n">
        <v>0.05869074492099324</v>
      </c>
      <c r="R533" s="35" t="n">
        <v>0.02117467748081214</v>
      </c>
      <c r="S533" s="35" t="n">
        <v>0.05072531411608749</v>
      </c>
      <c r="T533" s="35" t="n">
        <v>0.0742918225547835</v>
      </c>
      <c r="U533" s="30" t="n">
        <v>54500</v>
      </c>
      <c r="V533" s="30" t="n">
        <v>29200</v>
      </c>
      <c r="W533" s="35" t="n">
        <v>-0.1394495412844037</v>
      </c>
      <c r="X533" s="35" t="n">
        <v>0.6061643835616439</v>
      </c>
      <c r="Y533" s="30" t="n">
        <v>43617167</v>
      </c>
      <c r="Z533" s="30" t="n">
        <v>2045645132300</v>
      </c>
      <c r="AA533" s="30" t="n">
        <v>11956498400</v>
      </c>
      <c r="AB533" s="30" t="n">
        <v>6787767392.5</v>
      </c>
      <c r="AC533" s="35" t="n">
        <v>0.00584485461882474</v>
      </c>
      <c r="AD533" s="24" t="inlineStr">
        <is>
          <t>yfinance_download</t>
        </is>
      </c>
      <c r="AE533" s="24" t="inlineStr">
        <is>
          <t>000990.KS</t>
        </is>
      </c>
    </row>
    <row r="534" ht="24" customHeight="1">
      <c r="A534" s="29" t="inlineStr">
        <is>
          <t>2025-08-13</t>
        </is>
      </c>
      <c r="B534" s="31" t="n">
        <v>47250</v>
      </c>
      <c r="C534" s="31" t="n">
        <v>47400</v>
      </c>
      <c r="D534" s="31" t="n">
        <v>46350</v>
      </c>
      <c r="E534" s="31" t="n">
        <v>47300</v>
      </c>
      <c r="F534" s="31" t="n">
        <v>46874.30078125</v>
      </c>
      <c r="G534" s="31" t="n">
        <v>187835</v>
      </c>
      <c r="H534" s="36" t="n">
        <v>0.008528784648187626</v>
      </c>
      <c r="I534" s="36" t="n">
        <v>-0.4428739693757362</v>
      </c>
      <c r="J534" s="31" t="n">
        <v>45952.5</v>
      </c>
      <c r="K534" s="31" t="n">
        <v>44781.66666666666</v>
      </c>
      <c r="L534" s="31" t="n">
        <v>43672.08333333334</v>
      </c>
      <c r="M534" s="36" t="n">
        <v>0.2956536157287221</v>
      </c>
      <c r="N534" s="36" t="n">
        <v>0.3281706650861081</v>
      </c>
      <c r="O534" s="36" t="n">
        <v>0.01068376068376065</v>
      </c>
      <c r="P534" s="36" t="n">
        <v>0.2269779507133594</v>
      </c>
      <c r="Q534" s="36" t="n">
        <v>0.04070407040704072</v>
      </c>
      <c r="R534" s="36" t="n">
        <v>0.02932375822860567</v>
      </c>
      <c r="S534" s="36" t="n">
        <v>0.05623581078566375</v>
      </c>
      <c r="T534" s="36" t="n">
        <v>0.08307175636609965</v>
      </c>
      <c r="U534" s="31" t="n">
        <v>54500</v>
      </c>
      <c r="V534" s="31" t="n">
        <v>29200</v>
      </c>
      <c r="W534" s="36" t="n">
        <v>-0.1321100917431193</v>
      </c>
      <c r="X534" s="36" t="n">
        <v>0.6198630136986301</v>
      </c>
      <c r="Y534" s="31" t="n">
        <v>43617167</v>
      </c>
      <c r="Z534" s="31" t="n">
        <v>2063091999100</v>
      </c>
      <c r="AA534" s="31" t="n">
        <v>8884595500</v>
      </c>
      <c r="AB534" s="31" t="n">
        <v>6621608167.5</v>
      </c>
      <c r="AC534" s="36" t="n">
        <v>0.004306446587876741</v>
      </c>
      <c r="AD534" s="29" t="inlineStr">
        <is>
          <t>yfinance_download</t>
        </is>
      </c>
      <c r="AE534" s="29" t="inlineStr">
        <is>
          <t>000990.KS</t>
        </is>
      </c>
    </row>
    <row r="535" ht="24" customHeight="1">
      <c r="A535" s="24" t="inlineStr">
        <is>
          <t>2025-08-14</t>
        </is>
      </c>
      <c r="B535" s="30" t="n">
        <v>47150</v>
      </c>
      <c r="C535" s="30" t="n">
        <v>47200</v>
      </c>
      <c r="D535" s="30" t="n">
        <v>46350</v>
      </c>
      <c r="E535" s="30" t="n">
        <v>46600</v>
      </c>
      <c r="F535" s="30" t="n">
        <v>46180.6015625</v>
      </c>
      <c r="G535" s="30" t="n">
        <v>117061</v>
      </c>
      <c r="H535" s="35" t="n">
        <v>-0.014799154334038</v>
      </c>
      <c r="I535" s="35" t="n">
        <v>-0.4511189634864546</v>
      </c>
      <c r="J535" s="30" t="n">
        <v>45950</v>
      </c>
      <c r="K535" s="30" t="n">
        <v>44904.16666666666</v>
      </c>
      <c r="L535" s="30" t="n">
        <v>43690.41666666666</v>
      </c>
      <c r="M535" s="35" t="n">
        <v>0.3005077057352323</v>
      </c>
      <c r="N535" s="35" t="n">
        <v>0.3288849506724072</v>
      </c>
      <c r="O535" s="35" t="n">
        <v>-0.001071811361200381</v>
      </c>
      <c r="P535" s="35" t="n">
        <v>0.1872611464968152</v>
      </c>
      <c r="Q535" s="35" t="n">
        <v>0.04954954954954949</v>
      </c>
      <c r="R535" s="35" t="n">
        <v>0.01414581066376486</v>
      </c>
      <c r="S535" s="35" t="n">
        <v>0.03776561195137806</v>
      </c>
      <c r="T535" s="35" t="n">
        <v>0.06659545857691906</v>
      </c>
      <c r="U535" s="30" t="n">
        <v>54500</v>
      </c>
      <c r="V535" s="30" t="n">
        <v>29200</v>
      </c>
      <c r="W535" s="35" t="n">
        <v>-0.1449541284403669</v>
      </c>
      <c r="X535" s="35" t="n">
        <v>0.595890410958904</v>
      </c>
      <c r="Y535" s="30" t="n">
        <v>43617167</v>
      </c>
      <c r="Z535" s="30" t="n">
        <v>2032559982200</v>
      </c>
      <c r="AA535" s="30" t="n">
        <v>5455042600</v>
      </c>
      <c r="AB535" s="30" t="n">
        <v>6426885312.5</v>
      </c>
      <c r="AC535" s="35" t="n">
        <v>0.002683828594369735</v>
      </c>
      <c r="AD535" s="24" t="inlineStr">
        <is>
          <t>yfinance_download</t>
        </is>
      </c>
      <c r="AE535" s="24" t="inlineStr">
        <is>
          <t>000990.KS</t>
        </is>
      </c>
    </row>
    <row r="536" ht="24" customHeight="1">
      <c r="A536" s="29" t="inlineStr">
        <is>
          <t>2025-08-18</t>
        </is>
      </c>
      <c r="B536" s="31" t="n">
        <v>46200</v>
      </c>
      <c r="C536" s="31" t="n">
        <v>46550</v>
      </c>
      <c r="D536" s="31" t="n">
        <v>45350</v>
      </c>
      <c r="E536" s="31" t="n">
        <v>45900</v>
      </c>
      <c r="F536" s="31" t="n">
        <v>45486.8984375</v>
      </c>
      <c r="G536" s="31" t="n">
        <v>155981</v>
      </c>
      <c r="H536" s="36" t="n">
        <v>-0.01502145922746778</v>
      </c>
      <c r="I536" s="36" t="n">
        <v>-0.4593639575971732</v>
      </c>
      <c r="J536" s="31" t="n">
        <v>45880</v>
      </c>
      <c r="K536" s="31" t="n">
        <v>45016.66666666666</v>
      </c>
      <c r="L536" s="31" t="n">
        <v>43692.08333333334</v>
      </c>
      <c r="M536" s="36" t="n">
        <v>0.3004277664386691</v>
      </c>
      <c r="N536" s="36" t="n">
        <v>0.3307833231671489</v>
      </c>
      <c r="O536" s="36" t="n">
        <v>-0.02959830866807611</v>
      </c>
      <c r="P536" s="36" t="n">
        <v>0.1724137931034482</v>
      </c>
      <c r="Q536" s="36" t="n">
        <v>0.004376367614879584</v>
      </c>
      <c r="R536" s="36" t="n">
        <v>0.00043591979075841</v>
      </c>
      <c r="S536" s="36" t="n">
        <v>0.01962236208811552</v>
      </c>
      <c r="T536" s="36" t="n">
        <v>0.05053356347927251</v>
      </c>
      <c r="U536" s="31" t="n">
        <v>54500</v>
      </c>
      <c r="V536" s="31" t="n">
        <v>29200</v>
      </c>
      <c r="W536" s="36" t="n">
        <v>-0.1577981651376147</v>
      </c>
      <c r="X536" s="36" t="n">
        <v>0.571917808219178</v>
      </c>
      <c r="Y536" s="31" t="n">
        <v>43617167</v>
      </c>
      <c r="Z536" s="31" t="n">
        <v>2002027965300</v>
      </c>
      <c r="AA536" s="31" t="n">
        <v>7159527900</v>
      </c>
      <c r="AB536" s="31" t="n">
        <v>6422219702.5</v>
      </c>
      <c r="AC536" s="36" t="n">
        <v>0.003576137808308366</v>
      </c>
      <c r="AD536" s="29" t="inlineStr">
        <is>
          <t>yfinance_download</t>
        </is>
      </c>
      <c r="AE536" s="29" t="inlineStr">
        <is>
          <t>000990.KS</t>
        </is>
      </c>
    </row>
    <row r="537" ht="24" customHeight="1">
      <c r="A537" s="24" t="inlineStr">
        <is>
          <t>2025-08-19</t>
        </is>
      </c>
      <c r="B537" s="30" t="n">
        <v>45700</v>
      </c>
      <c r="C537" s="30" t="n">
        <v>45900</v>
      </c>
      <c r="D537" s="30" t="n">
        <v>44250</v>
      </c>
      <c r="E537" s="30" t="n">
        <v>44450</v>
      </c>
      <c r="F537" s="30" t="n">
        <v>44049.94921875</v>
      </c>
      <c r="G537" s="30" t="n">
        <v>150091</v>
      </c>
      <c r="H537" s="35" t="n">
        <v>-0.03159041394335516</v>
      </c>
      <c r="I537" s="35" t="n">
        <v>-0.4764428739693758</v>
      </c>
      <c r="J537" s="30" t="n">
        <v>45750</v>
      </c>
      <c r="K537" s="30" t="n">
        <v>45120.83333333334</v>
      </c>
      <c r="L537" s="30" t="n">
        <v>43675.41666666666</v>
      </c>
      <c r="M537" s="35" t="n">
        <v>0.3189595228073266</v>
      </c>
      <c r="N537" s="35" t="n">
        <v>0.3336772011762229</v>
      </c>
      <c r="O537" s="35" t="n">
        <v>-0.05526036131774703</v>
      </c>
      <c r="P537" s="35" t="n">
        <v>0.1636125654450262</v>
      </c>
      <c r="Q537" s="35" t="n">
        <v>-0.04305705059203446</v>
      </c>
      <c r="R537" s="35" t="n">
        <v>-0.02841530054644814</v>
      </c>
      <c r="S537" s="35" t="n">
        <v>-0.01486748545572081</v>
      </c>
      <c r="T537" s="35" t="n">
        <v>0.01773499585006832</v>
      </c>
      <c r="U537" s="30" t="n">
        <v>49000</v>
      </c>
      <c r="V537" s="30" t="n">
        <v>29200</v>
      </c>
      <c r="W537" s="35" t="n">
        <v>-0.09285714285714286</v>
      </c>
      <c r="X537" s="35" t="n">
        <v>0.5222602739726028</v>
      </c>
      <c r="Y537" s="30" t="n">
        <v>43617167</v>
      </c>
      <c r="Z537" s="30" t="n">
        <v>1938783073150</v>
      </c>
      <c r="AA537" s="30" t="n">
        <v>6671544950</v>
      </c>
      <c r="AB537" s="30" t="n">
        <v>6513327127.5</v>
      </c>
      <c r="AC537" s="35" t="n">
        <v>0.003441099235078702</v>
      </c>
      <c r="AD537" s="24" t="inlineStr">
        <is>
          <t>yfinance_download</t>
        </is>
      </c>
      <c r="AE537" s="24" t="inlineStr">
        <is>
          <t>000990.KS</t>
        </is>
      </c>
    </row>
    <row r="538" ht="24" customHeight="1">
      <c r="A538" s="29" t="inlineStr">
        <is>
          <t>2025-08-20</t>
        </is>
      </c>
      <c r="B538" s="31" t="n">
        <v>43900</v>
      </c>
      <c r="C538" s="31" t="n">
        <v>43900</v>
      </c>
      <c r="D538" s="31" t="n">
        <v>42450</v>
      </c>
      <c r="E538" s="31" t="n">
        <v>43000</v>
      </c>
      <c r="F538" s="31" t="n">
        <v>42613</v>
      </c>
      <c r="G538" s="31" t="n">
        <v>124021</v>
      </c>
      <c r="H538" s="36" t="n">
        <v>-0.03262092238470193</v>
      </c>
      <c r="I538" s="36" t="n">
        <v>-0.4935217903415783</v>
      </c>
      <c r="J538" s="31" t="n">
        <v>45620</v>
      </c>
      <c r="K538" s="31" t="n">
        <v>45201.66666666666</v>
      </c>
      <c r="L538" s="31" t="n">
        <v>43651.66666666666</v>
      </c>
      <c r="M538" s="36" t="n">
        <v>0.3211281163795199</v>
      </c>
      <c r="N538" s="36" t="n">
        <v>0.3413822651712993</v>
      </c>
      <c r="O538" s="36" t="n">
        <v>-0.05701754385964908</v>
      </c>
      <c r="P538" s="36" t="n">
        <v>0.1271297509829621</v>
      </c>
      <c r="Q538" s="36" t="n">
        <v>-0.06215921483097053</v>
      </c>
      <c r="R538" s="36" t="n">
        <v>-0.05743095133713283</v>
      </c>
      <c r="S538" s="36" t="n">
        <v>-0.0487076435234689</v>
      </c>
      <c r="T538" s="36" t="n">
        <v>-0.01492879233324418</v>
      </c>
      <c r="U538" s="31" t="n">
        <v>49000</v>
      </c>
      <c r="V538" s="31" t="n">
        <v>29200</v>
      </c>
      <c r="W538" s="36" t="n">
        <v>-0.1224489795918368</v>
      </c>
      <c r="X538" s="36" t="n">
        <v>0.4726027397260273</v>
      </c>
      <c r="Y538" s="31" t="n">
        <v>43617167</v>
      </c>
      <c r="Z538" s="31" t="n">
        <v>1875538181000</v>
      </c>
      <c r="AA538" s="31" t="n">
        <v>5332903000</v>
      </c>
      <c r="AB538" s="31" t="n">
        <v>6410774157.5</v>
      </c>
      <c r="AC538" s="36" t="n">
        <v>0.002843398792956911</v>
      </c>
      <c r="AD538" s="29" t="inlineStr">
        <is>
          <t>yfinance_download</t>
        </is>
      </c>
      <c r="AE538" s="29" t="inlineStr">
        <is>
          <t>000990.KS</t>
        </is>
      </c>
    </row>
    <row r="539" ht="24" customHeight="1">
      <c r="A539" s="24" t="inlineStr">
        <is>
          <t>2025-08-21</t>
        </is>
      </c>
      <c r="B539" s="30" t="n">
        <v>42600</v>
      </c>
      <c r="C539" s="30" t="n">
        <v>43300</v>
      </c>
      <c r="D539" s="30" t="n">
        <v>42600</v>
      </c>
      <c r="E539" s="30" t="n">
        <v>43050</v>
      </c>
      <c r="F539" s="30" t="n">
        <v>42662.55078125</v>
      </c>
      <c r="G539" s="30" t="n">
        <v>72026</v>
      </c>
      <c r="H539" s="35" t="n">
        <v>0.001162790697674332</v>
      </c>
      <c r="I539" s="35" t="n">
        <v>-0.4929328621908127</v>
      </c>
      <c r="J539" s="30" t="n">
        <v>45477.5</v>
      </c>
      <c r="K539" s="30" t="n">
        <v>45281.66666666666</v>
      </c>
      <c r="L539" s="30" t="n">
        <v>43622.08333333334</v>
      </c>
      <c r="M539" s="35" t="n">
        <v>0.3196163872769797</v>
      </c>
      <c r="N539" s="35" t="n">
        <v>0.3413880297229167</v>
      </c>
      <c r="O539" s="35" t="n">
        <v>-0.06209150326797386</v>
      </c>
      <c r="P539" s="35" t="n">
        <v>0.1254901960784314</v>
      </c>
      <c r="Q539" s="35" t="n">
        <v>-0.07618025751072965</v>
      </c>
      <c r="R539" s="35" t="n">
        <v>-0.05337804408773572</v>
      </c>
      <c r="S539" s="35" t="n">
        <v>-0.04928411056719051</v>
      </c>
      <c r="T539" s="35" t="n">
        <v>-0.01311453487816761</v>
      </c>
      <c r="U539" s="30" t="n">
        <v>49000</v>
      </c>
      <c r="V539" s="30" t="n">
        <v>29200</v>
      </c>
      <c r="W539" s="35" t="n">
        <v>-0.1214285714285714</v>
      </c>
      <c r="X539" s="35" t="n">
        <v>0.4743150684931507</v>
      </c>
      <c r="Y539" s="30" t="n">
        <v>43617167</v>
      </c>
      <c r="Z539" s="30" t="n">
        <v>1877719039350</v>
      </c>
      <c r="AA539" s="30" t="n">
        <v>3100719300</v>
      </c>
      <c r="AB539" s="30" t="n">
        <v>6225339987.5</v>
      </c>
      <c r="AC539" s="35" t="n">
        <v>0.001651322287850561</v>
      </c>
      <c r="AD539" s="24" t="inlineStr">
        <is>
          <t>yfinance_download</t>
        </is>
      </c>
      <c r="AE539" s="24" t="inlineStr">
        <is>
          <t>000990.KS</t>
        </is>
      </c>
    </row>
    <row r="540" ht="24" customHeight="1">
      <c r="A540" s="29" t="inlineStr">
        <is>
          <t>2025-08-22</t>
        </is>
      </c>
      <c r="B540" s="31" t="n">
        <v>43200</v>
      </c>
      <c r="C540" s="31" t="n">
        <v>43400</v>
      </c>
      <c r="D540" s="31" t="n">
        <v>42900</v>
      </c>
      <c r="E540" s="31" t="n">
        <v>43150</v>
      </c>
      <c r="F540" s="31" t="n">
        <v>42761.6484375</v>
      </c>
      <c r="G540" s="31" t="n">
        <v>86381</v>
      </c>
      <c r="H540" s="36" t="n">
        <v>0.00232288037166084</v>
      </c>
      <c r="I540" s="36" t="n">
        <v>-0.4917550058892816</v>
      </c>
      <c r="J540" s="31" t="n">
        <v>45350</v>
      </c>
      <c r="K540" s="31" t="n">
        <v>45359.16666666666</v>
      </c>
      <c r="L540" s="31" t="n">
        <v>43575.41666666666</v>
      </c>
      <c r="M540" s="36" t="n">
        <v>0.3201211594511492</v>
      </c>
      <c r="N540" s="36" t="n">
        <v>0.3412684214873836</v>
      </c>
      <c r="O540" s="36" t="n">
        <v>-0.05579868708971558</v>
      </c>
      <c r="P540" s="36" t="n">
        <v>0.1207792207792209</v>
      </c>
      <c r="Q540" s="36" t="n">
        <v>-0.1148717948717949</v>
      </c>
      <c r="R540" s="36" t="n">
        <v>-0.04851157662624039</v>
      </c>
      <c r="S540" s="36" t="n">
        <v>-0.04870386360713563</v>
      </c>
      <c r="T540" s="36" t="n">
        <v>-0.009762767615532408</v>
      </c>
      <c r="U540" s="31" t="n">
        <v>49000</v>
      </c>
      <c r="V540" s="31" t="n">
        <v>29200</v>
      </c>
      <c r="W540" s="36" t="n">
        <v>-0.1193877551020408</v>
      </c>
      <c r="X540" s="36" t="n">
        <v>0.4777397260273972</v>
      </c>
      <c r="Y540" s="31" t="n">
        <v>43617167</v>
      </c>
      <c r="Z540" s="31" t="n">
        <v>1882080756050</v>
      </c>
      <c r="AA540" s="31" t="n">
        <v>3727340150</v>
      </c>
      <c r="AB540" s="31" t="n">
        <v>6182722575</v>
      </c>
      <c r="AC540" s="36" t="n">
        <v>0.001980435822436611</v>
      </c>
      <c r="AD540" s="29" t="inlineStr">
        <is>
          <t>yfinance_download</t>
        </is>
      </c>
      <c r="AE540" s="29" t="inlineStr">
        <is>
          <t>000990.KS</t>
        </is>
      </c>
    </row>
    <row r="541" ht="24" customHeight="1">
      <c r="A541" s="24" t="inlineStr">
        <is>
          <t>2025-08-25</t>
        </is>
      </c>
      <c r="B541" s="30" t="n">
        <v>43450</v>
      </c>
      <c r="C541" s="30" t="n">
        <v>44650</v>
      </c>
      <c r="D541" s="30" t="n">
        <v>43450</v>
      </c>
      <c r="E541" s="30" t="n">
        <v>44350</v>
      </c>
      <c r="F541" s="30" t="n">
        <v>43950.8515625</v>
      </c>
      <c r="G541" s="30" t="n">
        <v>123470</v>
      </c>
      <c r="H541" s="35" t="n">
        <v>0.02780996523754342</v>
      </c>
      <c r="I541" s="35" t="n">
        <v>-0.4776207302709069</v>
      </c>
      <c r="J541" s="30" t="n">
        <v>45302.5</v>
      </c>
      <c r="K541" s="30" t="n">
        <v>45446.66666666666</v>
      </c>
      <c r="L541" s="30" t="n">
        <v>43543.75</v>
      </c>
      <c r="M541" s="35" t="n">
        <v>0.3367857217369222</v>
      </c>
      <c r="N541" s="35" t="n">
        <v>0.3442346049595896</v>
      </c>
      <c r="O541" s="35" t="n">
        <v>-0.02097130242825607</v>
      </c>
      <c r="P541" s="35" t="n">
        <v>0.1342710997442456</v>
      </c>
      <c r="Q541" s="35" t="n">
        <v>-0.07892004153686394</v>
      </c>
      <c r="R541" s="35" t="n">
        <v>-0.02102532972793991</v>
      </c>
      <c r="S541" s="35" t="n">
        <v>-0.0241308493472201</v>
      </c>
      <c r="T541" s="35" t="n">
        <v>0.01851586048514431</v>
      </c>
      <c r="U541" s="30" t="n">
        <v>49000</v>
      </c>
      <c r="V541" s="30" t="n">
        <v>29200</v>
      </c>
      <c r="W541" s="35" t="n">
        <v>-0.0948979591836735</v>
      </c>
      <c r="X541" s="35" t="n">
        <v>0.5188356164383561</v>
      </c>
      <c r="Y541" s="30" t="n">
        <v>43617167</v>
      </c>
      <c r="Z541" s="30" t="n">
        <v>1934421356450</v>
      </c>
      <c r="AA541" s="30" t="n">
        <v>5475894500</v>
      </c>
      <c r="AB541" s="30" t="n">
        <v>6217226845</v>
      </c>
      <c r="AC541" s="35" t="n">
        <v>0.002830766152235426</v>
      </c>
      <c r="AD541" s="24" t="inlineStr">
        <is>
          <t>yfinance_download</t>
        </is>
      </c>
      <c r="AE541" s="24" t="inlineStr">
        <is>
          <t>000990.KS</t>
        </is>
      </c>
    </row>
    <row r="542" ht="24" customHeight="1">
      <c r="A542" s="29" t="inlineStr">
        <is>
          <t>2025-08-26</t>
        </is>
      </c>
      <c r="B542" s="31" t="n">
        <v>44150</v>
      </c>
      <c r="C542" s="31" t="n">
        <v>47450</v>
      </c>
      <c r="D542" s="31" t="n">
        <v>44100</v>
      </c>
      <c r="E542" s="31" t="n">
        <v>46650</v>
      </c>
      <c r="F542" s="31" t="n">
        <v>46230.1484375</v>
      </c>
      <c r="G542" s="31" t="n">
        <v>426540</v>
      </c>
      <c r="H542" s="36" t="n">
        <v>0.05186020293122895</v>
      </c>
      <c r="I542" s="36" t="n">
        <v>-0.450530035335689</v>
      </c>
      <c r="J542" s="31" t="n">
        <v>45327.5</v>
      </c>
      <c r="K542" s="31" t="n">
        <v>45565.83333333334</v>
      </c>
      <c r="L542" s="31" t="n">
        <v>43572.5</v>
      </c>
      <c r="M542" s="36" t="n">
        <v>0.3800537722709532</v>
      </c>
      <c r="N542" s="36" t="n">
        <v>0.3585889138692634</v>
      </c>
      <c r="O542" s="36" t="n">
        <v>0.01083423618634893</v>
      </c>
      <c r="P542" s="36" t="n">
        <v>0.1810126582278482</v>
      </c>
      <c r="Q542" s="36" t="n">
        <v>0.07986111111111116</v>
      </c>
      <c r="R542" s="36" t="n">
        <v>0.02917654845292583</v>
      </c>
      <c r="S542" s="36" t="n">
        <v>0.02379341246182265</v>
      </c>
      <c r="T542" s="36" t="n">
        <v>0.07062941075219453</v>
      </c>
      <c r="U542" s="31" t="n">
        <v>49000</v>
      </c>
      <c r="V542" s="31" t="n">
        <v>29200</v>
      </c>
      <c r="W542" s="36" t="n">
        <v>-0.04795918367346941</v>
      </c>
      <c r="X542" s="36" t="n">
        <v>0.5976027397260273</v>
      </c>
      <c r="Y542" s="31" t="n">
        <v>43617167</v>
      </c>
      <c r="Z542" s="31" t="n">
        <v>2034740840550</v>
      </c>
      <c r="AA542" s="31" t="n">
        <v>19898091000</v>
      </c>
      <c r="AB542" s="31" t="n">
        <v>6924157702.5</v>
      </c>
      <c r="AC542" s="36" t="n">
        <v>0.00977917708410544</v>
      </c>
      <c r="AD542" s="29" t="inlineStr">
        <is>
          <t>yfinance_download</t>
        </is>
      </c>
      <c r="AE542" s="29" t="inlineStr">
        <is>
          <t>000990.KS</t>
        </is>
      </c>
    </row>
    <row r="543" ht="24" customHeight="1">
      <c r="A543" s="24" t="inlineStr">
        <is>
          <t>2025-08-27</t>
        </is>
      </c>
      <c r="B543" s="30" t="n">
        <v>46550</v>
      </c>
      <c r="C543" s="30" t="n">
        <v>46550</v>
      </c>
      <c r="D543" s="30" t="n">
        <v>45800</v>
      </c>
      <c r="E543" s="30" t="n">
        <v>46150</v>
      </c>
      <c r="F543" s="30" t="n">
        <v>45734.6484375</v>
      </c>
      <c r="G543" s="30" t="n">
        <v>72578</v>
      </c>
      <c r="H543" s="35" t="n">
        <v>-0.01071811361200425</v>
      </c>
      <c r="I543" s="35" t="n">
        <v>-0.4564193168433451</v>
      </c>
      <c r="J543" s="30" t="n">
        <v>45350</v>
      </c>
      <c r="K543" s="30" t="n">
        <v>45685</v>
      </c>
      <c r="L543" s="30" t="n">
        <v>43584.16666666666</v>
      </c>
      <c r="M543" s="35" t="n">
        <v>0.3804256151916586</v>
      </c>
      <c r="N543" s="35" t="n">
        <v>0.358248416400653</v>
      </c>
      <c r="O543" s="35" t="n">
        <v>0.009846827133479286</v>
      </c>
      <c r="P543" s="35" t="n">
        <v>0.1833333333333333</v>
      </c>
      <c r="Q543" s="35" t="n">
        <v>0.03128491620111729</v>
      </c>
      <c r="R543" s="35" t="n">
        <v>0.01764057331863289</v>
      </c>
      <c r="S543" s="35" t="n">
        <v>0.01017839553463928</v>
      </c>
      <c r="T543" s="35" t="n">
        <v>0.05887076728934448</v>
      </c>
      <c r="U543" s="30" t="n">
        <v>49000</v>
      </c>
      <c r="V543" s="30" t="n">
        <v>29200</v>
      </c>
      <c r="W543" s="35" t="n">
        <v>-0.05816326530612248</v>
      </c>
      <c r="X543" s="35" t="n">
        <v>0.5804794520547945</v>
      </c>
      <c r="Y543" s="30" t="n">
        <v>43617167</v>
      </c>
      <c r="Z543" s="30" t="n">
        <v>2012932257050</v>
      </c>
      <c r="AA543" s="30" t="n">
        <v>3349474700</v>
      </c>
      <c r="AB543" s="30" t="n">
        <v>6867562052.5</v>
      </c>
      <c r="AC543" s="35" t="n">
        <v>0.001663977855324717</v>
      </c>
      <c r="AD543" s="24" t="inlineStr">
        <is>
          <t>yfinance_download</t>
        </is>
      </c>
      <c r="AE543" s="24" t="inlineStr">
        <is>
          <t>000990.KS</t>
        </is>
      </c>
    </row>
    <row r="544" ht="24" customHeight="1">
      <c r="A544" s="29" t="inlineStr">
        <is>
          <t>2025-08-28</t>
        </is>
      </c>
      <c r="B544" s="31" t="n">
        <v>45850</v>
      </c>
      <c r="C544" s="31" t="n">
        <v>46600</v>
      </c>
      <c r="D544" s="31" t="n">
        <v>45350</v>
      </c>
      <c r="E544" s="31" t="n">
        <v>45550</v>
      </c>
      <c r="F544" s="31" t="n">
        <v>45140.05078125</v>
      </c>
      <c r="G544" s="31" t="n">
        <v>106640</v>
      </c>
      <c r="H544" s="36" t="n">
        <v>-0.01300108342361861</v>
      </c>
      <c r="I544" s="36" t="n">
        <v>-0.4634864546525324</v>
      </c>
      <c r="J544" s="31" t="n">
        <v>45322.5</v>
      </c>
      <c r="K544" s="31" t="n">
        <v>45739.16666666666</v>
      </c>
      <c r="L544" s="31" t="n">
        <v>43592.91666666666</v>
      </c>
      <c r="M544" s="36" t="n">
        <v>0.3821979929998664</v>
      </c>
      <c r="N544" s="36" t="n">
        <v>0.3167850330075148</v>
      </c>
      <c r="O544" s="36" t="n">
        <v>-0.01193058568329719</v>
      </c>
      <c r="P544" s="36" t="n">
        <v>0.07683215130023635</v>
      </c>
      <c r="Q544" s="36" t="n">
        <v>0.02359550561797752</v>
      </c>
      <c r="R544" s="36" t="n">
        <v>0.0050195818853771</v>
      </c>
      <c r="S544" s="36" t="n">
        <v>-0.004135769854428095</v>
      </c>
      <c r="T544" s="36" t="n">
        <v>0.04489452606023536</v>
      </c>
      <c r="U544" s="31" t="n">
        <v>49000</v>
      </c>
      <c r="V544" s="31" t="n">
        <v>29200</v>
      </c>
      <c r="W544" s="36" t="n">
        <v>-0.07040816326530608</v>
      </c>
      <c r="X544" s="36" t="n">
        <v>0.5599315068493151</v>
      </c>
      <c r="Y544" s="31" t="n">
        <v>43617167</v>
      </c>
      <c r="Z544" s="31" t="n">
        <v>1986761956850</v>
      </c>
      <c r="AA544" s="31" t="n">
        <v>4857452000</v>
      </c>
      <c r="AB544" s="31" t="n">
        <v>6766378827.5</v>
      </c>
      <c r="AC544" s="36" t="n">
        <v>0.002444908904789713</v>
      </c>
      <c r="AD544" s="29" t="inlineStr">
        <is>
          <t>yfinance_download</t>
        </is>
      </c>
      <c r="AE544" s="29" t="inlineStr">
        <is>
          <t>000990.KS</t>
        </is>
      </c>
    </row>
    <row r="545" ht="24" customHeight="1">
      <c r="A545" s="24" t="inlineStr">
        <is>
          <t>2025-08-29</t>
        </is>
      </c>
      <c r="B545" s="30" t="n">
        <v>45600</v>
      </c>
      <c r="C545" s="30" t="n">
        <v>46350</v>
      </c>
      <c r="D545" s="30" t="n">
        <v>45600</v>
      </c>
      <c r="E545" s="30" t="n">
        <v>45950</v>
      </c>
      <c r="F545" s="30" t="n">
        <v>45536.44921875</v>
      </c>
      <c r="G545" s="30" t="n">
        <v>75769</v>
      </c>
      <c r="H545" s="35" t="n">
        <v>0.008781558726673966</v>
      </c>
      <c r="I545" s="35" t="n">
        <v>-0.4587750294464076</v>
      </c>
      <c r="J545" s="30" t="n">
        <v>45335</v>
      </c>
      <c r="K545" s="30" t="n">
        <v>45790.83333333334</v>
      </c>
      <c r="L545" s="30" t="n">
        <v>43639.16666666666</v>
      </c>
      <c r="M545" s="35" t="n">
        <v>0.3821625996445788</v>
      </c>
      <c r="N545" s="35" t="n">
        <v>0.3162440178894696</v>
      </c>
      <c r="O545" s="35" t="n">
        <v>0.00547045951859948</v>
      </c>
      <c r="P545" s="35" t="n">
        <v>0.07234539089848302</v>
      </c>
      <c r="Q545" s="35" t="n">
        <v>0.1373762376237624</v>
      </c>
      <c r="R545" s="35" t="n">
        <v>0.01356567773243622</v>
      </c>
      <c r="S545" s="35" t="n">
        <v>0.003475950426759411</v>
      </c>
      <c r="T545" s="35" t="n">
        <v>0.05295319571485857</v>
      </c>
      <c r="U545" s="30" t="n">
        <v>49000</v>
      </c>
      <c r="V545" s="30" t="n">
        <v>29200</v>
      </c>
      <c r="W545" s="35" t="n">
        <v>-0.06224489795918364</v>
      </c>
      <c r="X545" s="35" t="n">
        <v>0.5736301369863013</v>
      </c>
      <c r="Y545" s="30" t="n">
        <v>43617167</v>
      </c>
      <c r="Z545" s="30" t="n">
        <v>2004208823650</v>
      </c>
      <c r="AA545" s="30" t="n">
        <v>3481585550</v>
      </c>
      <c r="AB545" s="30" t="n">
        <v>6575970900</v>
      </c>
      <c r="AC545" s="35" t="n">
        <v>0.001737137123096509</v>
      </c>
      <c r="AD545" s="24" t="inlineStr">
        <is>
          <t>yfinance_download</t>
        </is>
      </c>
      <c r="AE545" s="24" t="inlineStr">
        <is>
          <t>000990.KS</t>
        </is>
      </c>
    </row>
    <row r="546" ht="24" customHeight="1">
      <c r="A546" s="29" t="inlineStr">
        <is>
          <t>2025-09-01</t>
        </is>
      </c>
      <c r="B546" s="31" t="n">
        <v>45400</v>
      </c>
      <c r="C546" s="31" t="n">
        <v>45400</v>
      </c>
      <c r="D546" s="31" t="n">
        <v>44050</v>
      </c>
      <c r="E546" s="31" t="n">
        <v>44300</v>
      </c>
      <c r="F546" s="31" t="n">
        <v>43901.30078125</v>
      </c>
      <c r="G546" s="31" t="n">
        <v>113176</v>
      </c>
      <c r="H546" s="36" t="n">
        <v>-0.03590859630032639</v>
      </c>
      <c r="I546" s="36" t="n">
        <v>-0.4782096584216725</v>
      </c>
      <c r="J546" s="31" t="n">
        <v>45365</v>
      </c>
      <c r="K546" s="31" t="n">
        <v>45795</v>
      </c>
      <c r="L546" s="31" t="n">
        <v>43661.66666666666</v>
      </c>
      <c r="M546" s="36" t="n">
        <v>0.3709350268284408</v>
      </c>
      <c r="N546" s="36" t="n">
        <v>0.3203415094802163</v>
      </c>
      <c r="O546" s="36" t="n">
        <v>0.01372997711670476</v>
      </c>
      <c r="P546" s="36" t="n">
        <v>0.00567536889897835</v>
      </c>
      <c r="Q546" s="36" t="n">
        <v>0.06490384615384626</v>
      </c>
      <c r="R546" s="36" t="n">
        <v>-0.02347624820897165</v>
      </c>
      <c r="S546" s="36" t="n">
        <v>-0.03264548531499067</v>
      </c>
      <c r="T546" s="36" t="n">
        <v>0.01461999465587671</v>
      </c>
      <c r="U546" s="31" t="n">
        <v>49000</v>
      </c>
      <c r="V546" s="31" t="n">
        <v>29200</v>
      </c>
      <c r="W546" s="36" t="n">
        <v>-0.09591836734693882</v>
      </c>
      <c r="X546" s="36" t="n">
        <v>0.5171232876712328</v>
      </c>
      <c r="Y546" s="31" t="n">
        <v>43617167</v>
      </c>
      <c r="Z546" s="31" t="n">
        <v>1932240498100</v>
      </c>
      <c r="AA546" s="31" t="n">
        <v>5013696800</v>
      </c>
      <c r="AB546" s="31" t="n">
        <v>6392487500</v>
      </c>
      <c r="AC546" s="36" t="n">
        <v>0.002594758160244566</v>
      </c>
      <c r="AD546" s="29" t="inlineStr">
        <is>
          <t>yfinance_download</t>
        </is>
      </c>
      <c r="AE546" s="29" t="inlineStr">
        <is>
          <t>000990.KS</t>
        </is>
      </c>
    </row>
    <row r="547" ht="24" customHeight="1">
      <c r="A547" s="24" t="inlineStr">
        <is>
          <t>2025-09-02</t>
        </is>
      </c>
      <c r="B547" s="30" t="n">
        <v>44400</v>
      </c>
      <c r="C547" s="30" t="n">
        <v>44900</v>
      </c>
      <c r="D547" s="30" t="n">
        <v>43650</v>
      </c>
      <c r="E547" s="30" t="n">
        <v>43950</v>
      </c>
      <c r="F547" s="30" t="n">
        <v>43554.44921875</v>
      </c>
      <c r="G547" s="30" t="n">
        <v>106598</v>
      </c>
      <c r="H547" s="35" t="n">
        <v>-0.007900677200902928</v>
      </c>
      <c r="I547" s="35" t="n">
        <v>-0.4823321554770318</v>
      </c>
      <c r="J547" s="30" t="n">
        <v>45287.5</v>
      </c>
      <c r="K547" s="30" t="n">
        <v>45793.33333333334</v>
      </c>
      <c r="L547" s="30" t="n">
        <v>43649.58333333334</v>
      </c>
      <c r="M547" s="35" t="n">
        <v>0.3399179628587614</v>
      </c>
      <c r="N547" s="35" t="n">
        <v>0.3207812692948692</v>
      </c>
      <c r="O547" s="35" t="n">
        <v>-0.03406593406593406</v>
      </c>
      <c r="P547" s="35" t="n">
        <v>-0.002270147559591429</v>
      </c>
      <c r="Q547" s="35" t="n">
        <v>-0.0319383259911894</v>
      </c>
      <c r="R547" s="35" t="n">
        <v>-0.02953353574385864</v>
      </c>
      <c r="S547" s="35" t="n">
        <v>-0.04025331198136561</v>
      </c>
      <c r="T547" s="35" t="n">
        <v>0.006882463559216845</v>
      </c>
      <c r="U547" s="30" t="n">
        <v>49000</v>
      </c>
      <c r="V547" s="30" t="n">
        <v>29200</v>
      </c>
      <c r="W547" s="35" t="n">
        <v>-0.1030612244897959</v>
      </c>
      <c r="X547" s="35" t="n">
        <v>0.5051369863013699</v>
      </c>
      <c r="Y547" s="30" t="n">
        <v>43617167</v>
      </c>
      <c r="Z547" s="30" t="n">
        <v>1916974489650</v>
      </c>
      <c r="AA547" s="30" t="n">
        <v>4684982100</v>
      </c>
      <c r="AB547" s="30" t="n">
        <v>6328140580</v>
      </c>
      <c r="AC547" s="35" t="n">
        <v>0.002443945981177549</v>
      </c>
      <c r="AD547" s="24" t="inlineStr">
        <is>
          <t>yfinance_download</t>
        </is>
      </c>
      <c r="AE547" s="24" t="inlineStr">
        <is>
          <t>000990.KS</t>
        </is>
      </c>
    </row>
    <row r="548" ht="24" customHeight="1">
      <c r="A548" s="29" t="inlineStr">
        <is>
          <t>2025-09-03</t>
        </is>
      </c>
      <c r="B548" s="31" t="n">
        <v>44050</v>
      </c>
      <c r="C548" s="31" t="n">
        <v>45200</v>
      </c>
      <c r="D548" s="31" t="n">
        <v>44050</v>
      </c>
      <c r="E548" s="31" t="n">
        <v>44500</v>
      </c>
      <c r="F548" s="31" t="n">
        <v>44099.5</v>
      </c>
      <c r="G548" s="31" t="n">
        <v>87326</v>
      </c>
      <c r="H548" s="36" t="n">
        <v>0.01251422070534702</v>
      </c>
      <c r="I548" s="36" t="n">
        <v>-0.4758539458186102</v>
      </c>
      <c r="J548" s="31" t="n">
        <v>45215</v>
      </c>
      <c r="K548" s="31" t="n">
        <v>45793.33333333334</v>
      </c>
      <c r="L548" s="31" t="n">
        <v>43653.75</v>
      </c>
      <c r="M548" s="36" t="n">
        <v>0.3412108404688629</v>
      </c>
      <c r="N548" s="36" t="n">
        <v>0.3211233900292756</v>
      </c>
      <c r="O548" s="36" t="n">
        <v>-0.03155603917301419</v>
      </c>
      <c r="P548" s="36" t="n">
        <v>0</v>
      </c>
      <c r="Q548" s="36" t="n">
        <v>0.01136363636363646</v>
      </c>
      <c r="R548" s="36" t="n">
        <v>-0.01581333628220727</v>
      </c>
      <c r="S548" s="36" t="n">
        <v>-0.0282428301062746</v>
      </c>
      <c r="T548" s="36" t="n">
        <v>0.01938550525441696</v>
      </c>
      <c r="U548" s="31" t="n">
        <v>49000</v>
      </c>
      <c r="V548" s="31" t="n">
        <v>29200</v>
      </c>
      <c r="W548" s="36" t="n">
        <v>-0.09183673469387754</v>
      </c>
      <c r="X548" s="36" t="n">
        <v>0.523972602739726</v>
      </c>
      <c r="Y548" s="31" t="n">
        <v>43617167</v>
      </c>
      <c r="Z548" s="31" t="n">
        <v>1940963931500</v>
      </c>
      <c r="AA548" s="31" t="n">
        <v>3886007000</v>
      </c>
      <c r="AB548" s="31" t="n">
        <v>6259067017.5</v>
      </c>
      <c r="AC548" s="36" t="n">
        <v>0.002002101603710301</v>
      </c>
      <c r="AD548" s="29" t="inlineStr">
        <is>
          <t>yfinance_download</t>
        </is>
      </c>
      <c r="AE548" s="29" t="inlineStr">
        <is>
          <t>000990.KS</t>
        </is>
      </c>
    </row>
    <row r="549" ht="24" customHeight="1">
      <c r="A549" s="24" t="inlineStr">
        <is>
          <t>2025-09-04</t>
        </is>
      </c>
      <c r="B549" s="30" t="n">
        <v>44500</v>
      </c>
      <c r="C549" s="30" t="n">
        <v>45400</v>
      </c>
      <c r="D549" s="30" t="n">
        <v>44500</v>
      </c>
      <c r="E549" s="30" t="n">
        <v>44700</v>
      </c>
      <c r="F549" s="30" t="n">
        <v>44297.69921875</v>
      </c>
      <c r="G549" s="30" t="n">
        <v>92706</v>
      </c>
      <c r="H549" s="35" t="n">
        <v>0.004494382022471877</v>
      </c>
      <c r="I549" s="35" t="n">
        <v>-0.4734982332155477</v>
      </c>
      <c r="J549" s="30" t="n">
        <v>45200</v>
      </c>
      <c r="K549" s="30" t="n">
        <v>45774.16666666666</v>
      </c>
      <c r="L549" s="30" t="n">
        <v>43648.33333333334</v>
      </c>
      <c r="M549" s="35" t="n">
        <v>0.3339565649908013</v>
      </c>
      <c r="N549" s="35" t="n">
        <v>0.3150747435756158</v>
      </c>
      <c r="O549" s="35" t="n">
        <v>-0.00666666666666671</v>
      </c>
      <c r="P549" s="35" t="n">
        <v>-0.02508178844056708</v>
      </c>
      <c r="Q549" s="35" t="n">
        <v>-0.01433296582138921</v>
      </c>
      <c r="R549" s="35" t="n">
        <v>-0.01106194690265483</v>
      </c>
      <c r="S549" s="35" t="n">
        <v>-0.02346665695716288</v>
      </c>
      <c r="T549" s="35" t="n">
        <v>0.02409408530298984</v>
      </c>
      <c r="U549" s="30" t="n">
        <v>49000</v>
      </c>
      <c r="V549" s="30" t="n">
        <v>29200</v>
      </c>
      <c r="W549" s="35" t="n">
        <v>-0.08775510204081638</v>
      </c>
      <c r="X549" s="35" t="n">
        <v>0.5308219178082192</v>
      </c>
      <c r="Y549" s="30" t="n">
        <v>43617167</v>
      </c>
      <c r="Z549" s="30" t="n">
        <v>1949687364900</v>
      </c>
      <c r="AA549" s="30" t="n">
        <v>4143958200</v>
      </c>
      <c r="AB549" s="30" t="n">
        <v>6194766427.5</v>
      </c>
      <c r="AC549" s="35" t="n">
        <v>0.002125447533077974</v>
      </c>
      <c r="AD549" s="24" t="inlineStr">
        <is>
          <t>yfinance_download</t>
        </is>
      </c>
      <c r="AE549" s="24" t="inlineStr">
        <is>
          <t>000990.KS</t>
        </is>
      </c>
    </row>
    <row r="550" ht="24" customHeight="1">
      <c r="A550" s="29" t="inlineStr">
        <is>
          <t>2025-09-05</t>
        </is>
      </c>
      <c r="B550" s="31" t="n">
        <v>45100</v>
      </c>
      <c r="C550" s="31" t="n">
        <v>45500</v>
      </c>
      <c r="D550" s="31" t="n">
        <v>44800</v>
      </c>
      <c r="E550" s="31" t="n">
        <v>44800</v>
      </c>
      <c r="F550" s="31" t="n">
        <v>44396.80078125</v>
      </c>
      <c r="G550" s="31" t="n">
        <v>83282</v>
      </c>
      <c r="H550" s="36" t="n">
        <v>0.002237136465324419</v>
      </c>
      <c r="I550" s="36" t="n">
        <v>-0.4723203769140165</v>
      </c>
      <c r="J550" s="31" t="n">
        <v>45167.5</v>
      </c>
      <c r="K550" s="31" t="n">
        <v>45768.33333333334</v>
      </c>
      <c r="L550" s="31" t="n">
        <v>43656.25</v>
      </c>
      <c r="M550" s="36" t="n">
        <v>0.3319659266097757</v>
      </c>
      <c r="N550" s="36" t="n">
        <v>0.3135453060196368</v>
      </c>
      <c r="O550" s="36" t="n">
        <v>-0.01430143014301433</v>
      </c>
      <c r="P550" s="36" t="n">
        <v>-0.007751937984496138</v>
      </c>
      <c r="Q550" s="36" t="n">
        <v>0.02166476624857472</v>
      </c>
      <c r="R550" s="36" t="n">
        <v>-0.008136381247578428</v>
      </c>
      <c r="S550" s="36" t="n">
        <v>-0.02115727759367836</v>
      </c>
      <c r="T550" s="36" t="n">
        <v>0.02619899785254121</v>
      </c>
      <c r="U550" s="31" t="n">
        <v>49000</v>
      </c>
      <c r="V550" s="31" t="n">
        <v>29200</v>
      </c>
      <c r="W550" s="36" t="n">
        <v>-0.08571428571428574</v>
      </c>
      <c r="X550" s="36" t="n">
        <v>0.5342465753424657</v>
      </c>
      <c r="Y550" s="31" t="n">
        <v>43617167</v>
      </c>
      <c r="Z550" s="31" t="n">
        <v>1954049081600</v>
      </c>
      <c r="AA550" s="31" t="n">
        <v>3731033600</v>
      </c>
      <c r="AB550" s="31" t="n">
        <v>6108336317.5</v>
      </c>
      <c r="AC550" s="36" t="n">
        <v>0.001909385815910511</v>
      </c>
      <c r="AD550" s="29" t="inlineStr">
        <is>
          <t>yfinance_download</t>
        </is>
      </c>
      <c r="AE550" s="29" t="inlineStr">
        <is>
          <t>000990.KS</t>
        </is>
      </c>
    </row>
    <row r="551" ht="24" customHeight="1">
      <c r="A551" s="24" t="inlineStr">
        <is>
          <t>2025-09-08</t>
        </is>
      </c>
      <c r="B551" s="30" t="n">
        <v>44800</v>
      </c>
      <c r="C551" s="30" t="n">
        <v>45200</v>
      </c>
      <c r="D551" s="30" t="n">
        <v>44550</v>
      </c>
      <c r="E551" s="30" t="n">
        <v>45100</v>
      </c>
      <c r="F551" s="30" t="n">
        <v>44694.1015625</v>
      </c>
      <c r="G551" s="30" t="n">
        <v>81338</v>
      </c>
      <c r="H551" s="35" t="n">
        <v>0.006696428571428603</v>
      </c>
      <c r="I551" s="35" t="n">
        <v>-0.4687868080094229</v>
      </c>
      <c r="J551" s="30" t="n">
        <v>45127.5</v>
      </c>
      <c r="K551" s="30" t="n">
        <v>45785.83333333334</v>
      </c>
      <c r="L551" s="30" t="n">
        <v>43659.58333333334</v>
      </c>
      <c r="M551" s="35" t="n">
        <v>0.3308255203477783</v>
      </c>
      <c r="N551" s="35" t="n">
        <v>0.3096484955242144</v>
      </c>
      <c r="O551" s="35" t="n">
        <v>-0.01742919389978215</v>
      </c>
      <c r="P551" s="35" t="n">
        <v>0.02383654937570934</v>
      </c>
      <c r="Q551" s="35" t="n">
        <v>0.008948545861297452</v>
      </c>
      <c r="R551" s="35" t="n">
        <v>-0.0006093845216331717</v>
      </c>
      <c r="S551" s="35" t="n">
        <v>-0.01497916022059231</v>
      </c>
      <c r="T551" s="35" t="n">
        <v>0.03299199297595989</v>
      </c>
      <c r="U551" s="30" t="n">
        <v>49000</v>
      </c>
      <c r="V551" s="30" t="n">
        <v>29200</v>
      </c>
      <c r="W551" s="35" t="n">
        <v>-0.07959183673469383</v>
      </c>
      <c r="X551" s="35" t="n">
        <v>0.5445205479452055</v>
      </c>
      <c r="Y551" s="30" t="n">
        <v>43617167</v>
      </c>
      <c r="Z551" s="30" t="n">
        <v>1967134231700</v>
      </c>
      <c r="AA551" s="30" t="n">
        <v>3668343800</v>
      </c>
      <c r="AB551" s="30" t="n">
        <v>6030947412.5</v>
      </c>
      <c r="AC551" s="35" t="n">
        <v>0.00186481620871892</v>
      </c>
      <c r="AD551" s="24" t="inlineStr">
        <is>
          <t>yfinance_download</t>
        </is>
      </c>
      <c r="AE551" s="24" t="inlineStr">
        <is>
          <t>000990.KS</t>
        </is>
      </c>
    </row>
    <row r="552" ht="24" customHeight="1">
      <c r="A552" s="29" t="inlineStr">
        <is>
          <t>2025-09-09</t>
        </is>
      </c>
      <c r="B552" s="31" t="n">
        <v>45400</v>
      </c>
      <c r="C552" s="31" t="n">
        <v>46600</v>
      </c>
      <c r="D552" s="31" t="n">
        <v>45250</v>
      </c>
      <c r="E552" s="31" t="n">
        <v>46400</v>
      </c>
      <c r="F552" s="31" t="n">
        <v>45982.3984375</v>
      </c>
      <c r="G552" s="31" t="n">
        <v>173816</v>
      </c>
      <c r="H552" s="36" t="n">
        <v>0.02882483370288247</v>
      </c>
      <c r="I552" s="36" t="n">
        <v>-0.4534746760895171</v>
      </c>
      <c r="J552" s="31" t="n">
        <v>45137.5</v>
      </c>
      <c r="K552" s="31" t="n">
        <v>45826.66666666666</v>
      </c>
      <c r="L552" s="31" t="n">
        <v>43652.5</v>
      </c>
      <c r="M552" s="36" t="n">
        <v>0.3463632542678003</v>
      </c>
      <c r="N552" s="36" t="n">
        <v>0.3149389534870539</v>
      </c>
      <c r="O552" s="36" t="n">
        <v>0.004329004329004293</v>
      </c>
      <c r="P552" s="36" t="n">
        <v>0.05574516496018211</v>
      </c>
      <c r="Q552" s="36" t="n">
        <v>-0.017989417989418</v>
      </c>
      <c r="R552" s="36" t="n">
        <v>0.02797009138742723</v>
      </c>
      <c r="S552" s="36" t="n">
        <v>0.01251091067791688</v>
      </c>
      <c r="T552" s="36" t="n">
        <v>0.06294026688047638</v>
      </c>
      <c r="U552" s="31" t="n">
        <v>49000</v>
      </c>
      <c r="V552" s="31" t="n">
        <v>29200</v>
      </c>
      <c r="W552" s="36" t="n">
        <v>-0.05306122448979589</v>
      </c>
      <c r="X552" s="36" t="n">
        <v>0.5890410958904109</v>
      </c>
      <c r="Y552" s="31" t="n">
        <v>43617167</v>
      </c>
      <c r="Z552" s="31" t="n">
        <v>2023836548800</v>
      </c>
      <c r="AA552" s="31" t="n">
        <v>8065062400</v>
      </c>
      <c r="AB552" s="31" t="n">
        <v>6127187672.5</v>
      </c>
      <c r="AC552" s="36" t="n">
        <v>0.003985036442188004</v>
      </c>
      <c r="AD552" s="29" t="inlineStr">
        <is>
          <t>yfinance_download</t>
        </is>
      </c>
      <c r="AE552" s="29" t="inlineStr">
        <is>
          <t>000990.KS</t>
        </is>
      </c>
    </row>
    <row r="553" ht="24" customHeight="1">
      <c r="A553" s="24" t="inlineStr">
        <is>
          <t>2025-09-10</t>
        </is>
      </c>
      <c r="B553" s="30" t="n">
        <v>46400</v>
      </c>
      <c r="C553" s="30" t="n">
        <v>50900</v>
      </c>
      <c r="D553" s="30" t="n">
        <v>46200</v>
      </c>
      <c r="E553" s="30" t="n">
        <v>50400</v>
      </c>
      <c r="F553" s="30" t="n">
        <v>49946.3984375</v>
      </c>
      <c r="G553" s="30" t="n">
        <v>954753</v>
      </c>
      <c r="H553" s="35" t="n">
        <v>0.0862068965517242</v>
      </c>
      <c r="I553" s="35" t="n">
        <v>-0.4063604240282686</v>
      </c>
      <c r="J553" s="30" t="n">
        <v>45312.5</v>
      </c>
      <c r="K553" s="30" t="n">
        <v>45929.16666666666</v>
      </c>
      <c r="L553" s="30" t="n">
        <v>43683.75</v>
      </c>
      <c r="M553" s="35" t="n">
        <v>0.4596844114178346</v>
      </c>
      <c r="N553" s="35" t="n">
        <v>0.3599128638834941</v>
      </c>
      <c r="O553" s="35" t="n">
        <v>0.07462686567164178</v>
      </c>
      <c r="P553" s="35" t="n">
        <v>0.1389830508474577</v>
      </c>
      <c r="Q553" s="35" t="n">
        <v>0.08038585209003224</v>
      </c>
      <c r="R553" s="35" t="n">
        <v>0.1122758620689654</v>
      </c>
      <c r="S553" s="35" t="n">
        <v>0.09734192143699549</v>
      </c>
      <c r="T553" s="35" t="n">
        <v>0.1537471027556014</v>
      </c>
      <c r="U553" s="30" t="n">
        <v>50400</v>
      </c>
      <c r="V553" s="30" t="n">
        <v>29200</v>
      </c>
      <c r="W553" s="35" t="n">
        <v>0</v>
      </c>
      <c r="X553" s="35" t="n">
        <v>0.726027397260274</v>
      </c>
      <c r="Y553" s="30" t="n">
        <v>43617167</v>
      </c>
      <c r="Z553" s="30" t="n">
        <v>2198305216800</v>
      </c>
      <c r="AA553" s="30" t="n">
        <v>48119551200</v>
      </c>
      <c r="AB553" s="30" t="n">
        <v>7935340312.5</v>
      </c>
      <c r="AC553" s="35" t="n">
        <v>0.02188938589248586</v>
      </c>
      <c r="AD553" s="24" t="inlineStr">
        <is>
          <t>yfinance_download</t>
        </is>
      </c>
      <c r="AE553" s="24" t="inlineStr">
        <is>
          <t>000990.KS</t>
        </is>
      </c>
    </row>
    <row r="554" ht="24" customHeight="1">
      <c r="A554" s="29" t="inlineStr">
        <is>
          <t>2025-09-11</t>
        </is>
      </c>
      <c r="B554" s="31" t="n">
        <v>52500</v>
      </c>
      <c r="C554" s="31" t="n">
        <v>53000</v>
      </c>
      <c r="D554" s="31" t="n">
        <v>49800</v>
      </c>
      <c r="E554" s="31" t="n">
        <v>51300</v>
      </c>
      <c r="F554" s="31" t="n">
        <v>50838.30078125</v>
      </c>
      <c r="G554" s="31" t="n">
        <v>717835</v>
      </c>
      <c r="H554" s="36" t="n">
        <v>0.01785714285714279</v>
      </c>
      <c r="I554" s="36" t="n">
        <v>-0.3957597173144877</v>
      </c>
      <c r="J554" s="31" t="n">
        <v>45512.5</v>
      </c>
      <c r="K554" s="31" t="n">
        <v>45996.66666666666</v>
      </c>
      <c r="L554" s="31" t="n">
        <v>43723.33333333334</v>
      </c>
      <c r="M554" s="36" t="n">
        <v>0.4620912368933685</v>
      </c>
      <c r="N554" s="36" t="n">
        <v>0.3348460998015486</v>
      </c>
      <c r="O554" s="36" t="n">
        <v>0.08456659619450324</v>
      </c>
      <c r="P554" s="36" t="n">
        <v>0.08571428571428563</v>
      </c>
      <c r="Q554" s="36" t="n">
        <v>0.1020408163265305</v>
      </c>
      <c r="R554" s="36" t="n">
        <v>0.1271628673441363</v>
      </c>
      <c r="S554" s="36" t="n">
        <v>0.1152982100152184</v>
      </c>
      <c r="T554" s="36" t="n">
        <v>0.173286574674087</v>
      </c>
      <c r="U554" s="31" t="n">
        <v>51300</v>
      </c>
      <c r="V554" s="31" t="n">
        <v>29200</v>
      </c>
      <c r="W554" s="36" t="n">
        <v>0</v>
      </c>
      <c r="X554" s="36" t="n">
        <v>0.7568493150684932</v>
      </c>
      <c r="Y554" s="31" t="n">
        <v>43617167</v>
      </c>
      <c r="Z554" s="31" t="n">
        <v>2237560667100</v>
      </c>
      <c r="AA554" s="31" t="n">
        <v>36824935500</v>
      </c>
      <c r="AB554" s="31" t="n">
        <v>9332357312.5</v>
      </c>
      <c r="AC554" s="36" t="n">
        <v>0.01645762550327948</v>
      </c>
      <c r="AD554" s="29" t="inlineStr">
        <is>
          <t>yfinance_download</t>
        </is>
      </c>
      <c r="AE554" s="29" t="inlineStr">
        <is>
          <t>000990.KS</t>
        </is>
      </c>
    </row>
    <row r="555" ht="24" customHeight="1">
      <c r="A555" s="24" t="inlineStr">
        <is>
          <t>2025-09-12</t>
        </is>
      </c>
      <c r="B555" s="30" t="n">
        <v>51600</v>
      </c>
      <c r="C555" s="30" t="n">
        <v>52000</v>
      </c>
      <c r="D555" s="30" t="n">
        <v>50800</v>
      </c>
      <c r="E555" s="30" t="n">
        <v>51500</v>
      </c>
      <c r="F555" s="30" t="n">
        <v>51036.5</v>
      </c>
      <c r="G555" s="30" t="n">
        <v>359272</v>
      </c>
      <c r="H555" s="35" t="n">
        <v>0.003898635477582957</v>
      </c>
      <c r="I555" s="35" t="n">
        <v>-0.3934040047114252</v>
      </c>
      <c r="J555" s="30" t="n">
        <v>45757.5</v>
      </c>
      <c r="K555" s="30" t="n">
        <v>46073.33333333334</v>
      </c>
      <c r="L555" s="30" t="n">
        <v>43754.58333333334</v>
      </c>
      <c r="M555" s="35" t="n">
        <v>0.4564876149066927</v>
      </c>
      <c r="N555" s="35" t="n">
        <v>0.3343502291041298</v>
      </c>
      <c r="O555" s="35" t="n">
        <v>0.1051502145922747</v>
      </c>
      <c r="P555" s="35" t="n">
        <v>0.09808102345415781</v>
      </c>
      <c r="Q555" s="35" t="n">
        <v>0.07853403141361248</v>
      </c>
      <c r="R555" s="35" t="n">
        <v>0.1254985521499208</v>
      </c>
      <c r="S555" s="35" t="n">
        <v>0.1177832441036029</v>
      </c>
      <c r="T555" s="35" t="n">
        <v>0.1770195503328222</v>
      </c>
      <c r="U555" s="30" t="n">
        <v>51500</v>
      </c>
      <c r="V555" s="30" t="n">
        <v>29200</v>
      </c>
      <c r="W555" s="35" t="n">
        <v>0</v>
      </c>
      <c r="X555" s="35" t="n">
        <v>0.7636986301369864</v>
      </c>
      <c r="Y555" s="30" t="n">
        <v>43617167</v>
      </c>
      <c r="Z555" s="30" t="n">
        <v>2246284100500</v>
      </c>
      <c r="AA555" s="30" t="n">
        <v>18502508000</v>
      </c>
      <c r="AB555" s="30" t="n">
        <v>9984730582.5</v>
      </c>
      <c r="AC555" s="35" t="n">
        <v>0.008236940285461456</v>
      </c>
      <c r="AD555" s="24" t="inlineStr">
        <is>
          <t>yfinance_download</t>
        </is>
      </c>
      <c r="AE555" s="24" t="inlineStr">
        <is>
          <t>000990.KS</t>
        </is>
      </c>
    </row>
    <row r="556" ht="24" customHeight="1">
      <c r="A556" s="29" t="inlineStr">
        <is>
          <t>2025-09-15</t>
        </is>
      </c>
      <c r="B556" s="31" t="n">
        <v>52600</v>
      </c>
      <c r="C556" s="31" t="n">
        <v>52600</v>
      </c>
      <c r="D556" s="31" t="n">
        <v>50800</v>
      </c>
      <c r="E556" s="31" t="n">
        <v>52200</v>
      </c>
      <c r="F556" s="31" t="n">
        <v>51730.19921875</v>
      </c>
      <c r="G556" s="31" t="n">
        <v>278996</v>
      </c>
      <c r="H556" s="36" t="n">
        <v>0.01359223300970869</v>
      </c>
      <c r="I556" s="36" t="n">
        <v>-0.3851590106007067</v>
      </c>
      <c r="J556" s="31" t="n">
        <v>46072.5</v>
      </c>
      <c r="K556" s="31" t="n">
        <v>46159.16666666666</v>
      </c>
      <c r="L556" s="31" t="n">
        <v>43781.25</v>
      </c>
      <c r="M556" s="36" t="n">
        <v>0.4507776313164941</v>
      </c>
      <c r="N556" s="36" t="n">
        <v>0.3352165442791473</v>
      </c>
      <c r="O556" s="36" t="n">
        <v>0.1372549019607843</v>
      </c>
      <c r="P556" s="36" t="n">
        <v>0.1094580233793836</v>
      </c>
      <c r="Q556" s="36" t="n">
        <v>0.06530612244897949</v>
      </c>
      <c r="R556" s="36" t="n">
        <v>0.1329969070486734</v>
      </c>
      <c r="S556" s="36" t="n">
        <v>0.1308696358614216</v>
      </c>
      <c r="T556" s="36" t="n">
        <v>0.1922912205567451</v>
      </c>
      <c r="U556" s="31" t="n">
        <v>52200</v>
      </c>
      <c r="V556" s="31" t="n">
        <v>29200</v>
      </c>
      <c r="W556" s="36" t="n">
        <v>0</v>
      </c>
      <c r="X556" s="36" t="n">
        <v>0.7876712328767124</v>
      </c>
      <c r="Y556" s="31" t="n">
        <v>43617167</v>
      </c>
      <c r="Z556" s="31" t="n">
        <v>2276816117400</v>
      </c>
      <c r="AA556" s="31" t="n">
        <v>14563591200</v>
      </c>
      <c r="AB556" s="31" t="n">
        <v>10354933747.5</v>
      </c>
      <c r="AC556" s="36" t="n">
        <v>0.006396472288078683</v>
      </c>
      <c r="AD556" s="29" t="inlineStr">
        <is>
          <t>yfinance_download</t>
        </is>
      </c>
      <c r="AE556" s="29" t="inlineStr">
        <is>
          <t>000990.KS</t>
        </is>
      </c>
    </row>
    <row r="557" ht="24" customHeight="1">
      <c r="A557" s="24" t="inlineStr">
        <is>
          <t>2025-09-16</t>
        </is>
      </c>
      <c r="B557" s="30" t="n">
        <v>53500</v>
      </c>
      <c r="C557" s="30" t="n">
        <v>58300</v>
      </c>
      <c r="D557" s="30" t="n">
        <v>52250</v>
      </c>
      <c r="E557" s="30" t="n">
        <v>57000</v>
      </c>
      <c r="F557" s="30" t="n">
        <v>56487</v>
      </c>
      <c r="G557" s="30" t="n">
        <v>1233553</v>
      </c>
      <c r="H557" s="35" t="n">
        <v>0.09195402298850586</v>
      </c>
      <c r="I557" s="35" t="n">
        <v>-0.3286219081272085</v>
      </c>
      <c r="J557" s="30" t="n">
        <v>46700</v>
      </c>
      <c r="K557" s="30" t="n">
        <v>46336.66666666666</v>
      </c>
      <c r="L557" s="30" t="n">
        <v>43857.91666666666</v>
      </c>
      <c r="M557" s="35" t="n">
        <v>0.5192492377421063</v>
      </c>
      <c r="N557" s="35" t="n">
        <v>0.3807215408071616</v>
      </c>
      <c r="O557" s="35" t="n">
        <v>0.2823397075365579</v>
      </c>
      <c r="P557" s="35" t="n">
        <v>0.2297734627831716</v>
      </c>
      <c r="Q557" s="35" t="n">
        <v>0.1924686192468619</v>
      </c>
      <c r="R557" s="35" t="n">
        <v>0.220556745182013</v>
      </c>
      <c r="S557" s="35" t="n">
        <v>0.230127328969139</v>
      </c>
      <c r="T557" s="35" t="n">
        <v>0.2996513362277811</v>
      </c>
      <c r="U557" s="30" t="n">
        <v>57000</v>
      </c>
      <c r="V557" s="30" t="n">
        <v>29200</v>
      </c>
      <c r="W557" s="35" t="n">
        <v>0</v>
      </c>
      <c r="X557" s="35" t="n">
        <v>0.952054794520548</v>
      </c>
      <c r="Y557" s="30" t="n">
        <v>43617167</v>
      </c>
      <c r="Z557" s="30" t="n">
        <v>2486178519000</v>
      </c>
      <c r="AA557" s="30" t="n">
        <v>70312521000</v>
      </c>
      <c r="AB557" s="30" t="n">
        <v>13536982550</v>
      </c>
      <c r="AC557" s="35" t="n">
        <v>0.02828136453704112</v>
      </c>
      <c r="AD557" s="24" t="inlineStr">
        <is>
          <t>yfinance_download</t>
        </is>
      </c>
      <c r="AE557" s="24" t="inlineStr">
        <is>
          <t>000990.KS</t>
        </is>
      </c>
    </row>
    <row r="558" ht="24" customHeight="1">
      <c r="A558" s="29" t="inlineStr">
        <is>
          <t>2025-09-17</t>
        </is>
      </c>
      <c r="B558" s="31" t="n">
        <v>55900</v>
      </c>
      <c r="C558" s="31" t="n">
        <v>57700</v>
      </c>
      <c r="D558" s="31" t="n">
        <v>55100</v>
      </c>
      <c r="E558" s="31" t="n">
        <v>56800</v>
      </c>
      <c r="F558" s="31" t="n">
        <v>56288.80078125</v>
      </c>
      <c r="G558" s="31" t="n">
        <v>473352</v>
      </c>
      <c r="H558" s="36" t="n">
        <v>-0.003508771929824572</v>
      </c>
      <c r="I558" s="36" t="n">
        <v>-0.3309776207302709</v>
      </c>
      <c r="J558" s="31" t="n">
        <v>47390</v>
      </c>
      <c r="K558" s="31" t="n">
        <v>46500</v>
      </c>
      <c r="L558" s="31" t="n">
        <v>43955.41666666666</v>
      </c>
      <c r="M558" s="36" t="n">
        <v>0.4950412163952989</v>
      </c>
      <c r="N558" s="36" t="n">
        <v>0.3803921073117716</v>
      </c>
      <c r="O558" s="36" t="n">
        <v>0.3209302325581396</v>
      </c>
      <c r="P558" s="36" t="n">
        <v>0.2085106382978723</v>
      </c>
      <c r="Q558" s="36" t="n">
        <v>0.2594235033259424</v>
      </c>
      <c r="R558" s="36" t="n">
        <v>0.1985650981219667</v>
      </c>
      <c r="S558" s="36" t="n">
        <v>0.221505376344086</v>
      </c>
      <c r="T558" s="36" t="n">
        <v>0.2922184410340023</v>
      </c>
      <c r="U558" s="31" t="n">
        <v>57000</v>
      </c>
      <c r="V558" s="31" t="n">
        <v>29200</v>
      </c>
      <c r="W558" s="36" t="n">
        <v>-0.003508771929824572</v>
      </c>
      <c r="X558" s="36" t="n">
        <v>0.9452054794520548</v>
      </c>
      <c r="Y558" s="31" t="n">
        <v>43617167</v>
      </c>
      <c r="Z558" s="31" t="n">
        <v>2477455085600</v>
      </c>
      <c r="AA558" s="31" t="n">
        <v>26886393600</v>
      </c>
      <c r="AB558" s="31" t="n">
        <v>14614657080</v>
      </c>
      <c r="AC558" s="36" t="n">
        <v>0.01085242423012022</v>
      </c>
      <c r="AD558" s="29" t="inlineStr">
        <is>
          <t>yfinance_download</t>
        </is>
      </c>
      <c r="AE558" s="29" t="inlineStr">
        <is>
          <t>000990.KS</t>
        </is>
      </c>
    </row>
    <row r="559" ht="24" customHeight="1">
      <c r="A559" s="24" t="inlineStr">
        <is>
          <t>2025-09-18</t>
        </is>
      </c>
      <c r="B559" s="30" t="n">
        <v>57600</v>
      </c>
      <c r="C559" s="30" t="n">
        <v>57900</v>
      </c>
      <c r="D559" s="30" t="n">
        <v>56100</v>
      </c>
      <c r="E559" s="30" t="n">
        <v>57500</v>
      </c>
      <c r="F559" s="30" t="n">
        <v>56982.5</v>
      </c>
      <c r="G559" s="30" t="n">
        <v>382122</v>
      </c>
      <c r="H559" s="35" t="n">
        <v>0.01232394366197176</v>
      </c>
      <c r="I559" s="35" t="n">
        <v>-0.3227326266195524</v>
      </c>
      <c r="J559" s="30" t="n">
        <v>48112.5</v>
      </c>
      <c r="K559" s="30" t="n">
        <v>46675.83333333334</v>
      </c>
      <c r="L559" s="30" t="n">
        <v>44062.08333333334</v>
      </c>
      <c r="M559" s="35" t="n">
        <v>0.4926448316932376</v>
      </c>
      <c r="N559" s="35" t="n">
        <v>0.3807048411258451</v>
      </c>
      <c r="O559" s="35" t="n">
        <v>0.3356562137049941</v>
      </c>
      <c r="P559" s="35" t="n">
        <v>0.2247071352502663</v>
      </c>
      <c r="Q559" s="35" t="n">
        <v>0.2863534675615214</v>
      </c>
      <c r="R559" s="35" t="n">
        <v>0.1951156144453106</v>
      </c>
      <c r="S559" s="35" t="n">
        <v>0.2319008766135222</v>
      </c>
      <c r="T559" s="35" t="n">
        <v>0.3049768792139878</v>
      </c>
      <c r="U559" s="30" t="n">
        <v>57500</v>
      </c>
      <c r="V559" s="30" t="n">
        <v>29200</v>
      </c>
      <c r="W559" s="35" t="n">
        <v>0</v>
      </c>
      <c r="X559" s="35" t="n">
        <v>0.9691780821917808</v>
      </c>
      <c r="Y559" s="30" t="n">
        <v>43617167</v>
      </c>
      <c r="Z559" s="30" t="n">
        <v>2507987102500</v>
      </c>
      <c r="AA559" s="30" t="n">
        <v>21972015000</v>
      </c>
      <c r="AB559" s="30" t="n">
        <v>15558221865</v>
      </c>
      <c r="AC559" s="35" t="n">
        <v>0.008760816583984008</v>
      </c>
      <c r="AD559" s="24" t="inlineStr">
        <is>
          <t>yfinance_download</t>
        </is>
      </c>
      <c r="AE559" s="24" t="inlineStr">
        <is>
          <t>000990.KS</t>
        </is>
      </c>
    </row>
    <row r="560" ht="24" customHeight="1">
      <c r="A560" s="29" t="inlineStr">
        <is>
          <t>2025-09-22</t>
        </is>
      </c>
      <c r="B560" s="31" t="n">
        <v>57800</v>
      </c>
      <c r="C560" s="31" t="n">
        <v>59200</v>
      </c>
      <c r="D560" s="31" t="n">
        <v>57000</v>
      </c>
      <c r="E560" s="31" t="n">
        <v>58300</v>
      </c>
      <c r="F560" s="31" t="n">
        <v>57775.30078125</v>
      </c>
      <c r="G560" s="31" t="n">
        <v>752661</v>
      </c>
      <c r="H560" s="36" t="n">
        <v>0.01391304347826083</v>
      </c>
      <c r="I560" s="36" t="n">
        <v>-0.3133097762073027</v>
      </c>
      <c r="J560" s="31" t="n">
        <v>48870</v>
      </c>
      <c r="K560" s="31" t="n">
        <v>46876.66666666666</v>
      </c>
      <c r="L560" s="31" t="n">
        <v>44176.25</v>
      </c>
      <c r="M560" s="36" t="n">
        <v>0.4903965938363311</v>
      </c>
      <c r="N560" s="36" t="n">
        <v>0.3792797721928551</v>
      </c>
      <c r="O560" s="36" t="n">
        <v>0.3511008111239862</v>
      </c>
      <c r="P560" s="36" t="n">
        <v>0.2605405405405405</v>
      </c>
      <c r="Q560" s="36" t="n">
        <v>0.3071748878923768</v>
      </c>
      <c r="R560" s="36" t="n">
        <v>0.1929609167178228</v>
      </c>
      <c r="S560" s="36" t="n">
        <v>0.2436891132759724</v>
      </c>
      <c r="T560" s="36" t="n">
        <v>0.31971364703885</v>
      </c>
      <c r="U560" s="31" t="n">
        <v>58300</v>
      </c>
      <c r="V560" s="31" t="n">
        <v>29200</v>
      </c>
      <c r="W560" s="36" t="n">
        <v>0</v>
      </c>
      <c r="X560" s="36" t="n">
        <v>0.9965753424657535</v>
      </c>
      <c r="Y560" s="31" t="n">
        <v>43617167</v>
      </c>
      <c r="Z560" s="31" t="n">
        <v>2542880836100</v>
      </c>
      <c r="AA560" s="31" t="n">
        <v>43880136300</v>
      </c>
      <c r="AB560" s="31" t="n">
        <v>17565861672.5</v>
      </c>
      <c r="AC560" s="36" t="n">
        <v>0.01725607259178479</v>
      </c>
      <c r="AD560" s="29" t="inlineStr">
        <is>
          <t>yfinance_download</t>
        </is>
      </c>
      <c r="AE560" s="29" t="inlineStr">
        <is>
          <t>000990.KS</t>
        </is>
      </c>
    </row>
    <row r="561" ht="24" customHeight="1">
      <c r="A561" s="24" t="inlineStr">
        <is>
          <t>2025-09-23</t>
        </is>
      </c>
      <c r="B561" s="30" t="n">
        <v>59800</v>
      </c>
      <c r="C561" s="30" t="n">
        <v>59800</v>
      </c>
      <c r="D561" s="30" t="n">
        <v>55200</v>
      </c>
      <c r="E561" s="30" t="n">
        <v>56900</v>
      </c>
      <c r="F561" s="30" t="n">
        <v>56387.8984375</v>
      </c>
      <c r="G561" s="30" t="n">
        <v>769300</v>
      </c>
      <c r="H561" s="35" t="n">
        <v>-0.02401372212692965</v>
      </c>
      <c r="I561" s="35" t="n">
        <v>-0.3297997644287397</v>
      </c>
      <c r="J561" s="30" t="n">
        <v>49497.5</v>
      </c>
      <c r="K561" s="30" t="n">
        <v>47056.66666666666</v>
      </c>
      <c r="L561" s="30" t="n">
        <v>44283.75</v>
      </c>
      <c r="M561" s="35" t="n">
        <v>0.5074826554770586</v>
      </c>
      <c r="N561" s="35" t="n">
        <v>0.3833734621762487</v>
      </c>
      <c r="O561" s="35" t="n">
        <v>0.2829763246899661</v>
      </c>
      <c r="P561" s="35" t="n">
        <v>0.2342733188720174</v>
      </c>
      <c r="Q561" s="35" t="n">
        <v>0.2931818181818182</v>
      </c>
      <c r="R561" s="35" t="n">
        <v>0.149553007727663</v>
      </c>
      <c r="S561" s="35" t="n">
        <v>0.2091804207692853</v>
      </c>
      <c r="T561" s="35" t="n">
        <v>0.2848957010189967</v>
      </c>
      <c r="U561" s="30" t="n">
        <v>58300</v>
      </c>
      <c r="V561" s="30" t="n">
        <v>29200</v>
      </c>
      <c r="W561" s="35" t="n">
        <v>-0.02401372212692965</v>
      </c>
      <c r="X561" s="35" t="n">
        <v>0.9486301369863013</v>
      </c>
      <c r="Y561" s="30" t="n">
        <v>43617167</v>
      </c>
      <c r="Z561" s="30" t="n">
        <v>2481816802300</v>
      </c>
      <c r="AA561" s="30" t="n">
        <v>43773170000</v>
      </c>
      <c r="AB561" s="30" t="n">
        <v>19480725447.5</v>
      </c>
      <c r="AC561" s="35" t="n">
        <v>0.01763755082947042</v>
      </c>
      <c r="AD561" s="24" t="inlineStr">
        <is>
          <t>yfinance_download</t>
        </is>
      </c>
      <c r="AE561" s="24" t="inlineStr">
        <is>
          <t>000990.KS</t>
        </is>
      </c>
    </row>
    <row r="562" ht="24" customHeight="1">
      <c r="A562" s="29" t="inlineStr">
        <is>
          <t>2025-09-24</t>
        </is>
      </c>
      <c r="B562" s="31" t="n">
        <v>56200</v>
      </c>
      <c r="C562" s="31" t="n">
        <v>58000</v>
      </c>
      <c r="D562" s="31" t="n">
        <v>56000</v>
      </c>
      <c r="E562" s="31" t="n">
        <v>58000</v>
      </c>
      <c r="F562" s="31" t="n">
        <v>57478</v>
      </c>
      <c r="G562" s="31" t="n">
        <v>411635</v>
      </c>
      <c r="H562" s="36" t="n">
        <v>0.01933216168717045</v>
      </c>
      <c r="I562" s="36" t="n">
        <v>-0.3168433451118964</v>
      </c>
      <c r="J562" s="31" t="n">
        <v>50065</v>
      </c>
      <c r="K562" s="31" t="n">
        <v>47243.33333333334</v>
      </c>
      <c r="L562" s="31" t="n">
        <v>44410.83333333334</v>
      </c>
      <c r="M562" s="36" t="n">
        <v>0.4871800026575165</v>
      </c>
      <c r="N562" s="36" t="n">
        <v>0.3839935307319899</v>
      </c>
      <c r="O562" s="36" t="n">
        <v>0.2433011789924973</v>
      </c>
      <c r="P562" s="36" t="n">
        <v>0.2393162393162394</v>
      </c>
      <c r="Q562" s="36" t="n">
        <v>0.3567251461988303</v>
      </c>
      <c r="R562" s="36" t="n">
        <v>0.1584939578547888</v>
      </c>
      <c r="S562" s="36" t="n">
        <v>0.2276864460594086</v>
      </c>
      <c r="T562" s="36" t="n">
        <v>0.3059876531627042</v>
      </c>
      <c r="U562" s="31" t="n">
        <v>58300</v>
      </c>
      <c r="V562" s="31" t="n">
        <v>29200</v>
      </c>
      <c r="W562" s="36" t="n">
        <v>-0.005145797598627766</v>
      </c>
      <c r="X562" s="36" t="n">
        <v>0.9863013698630136</v>
      </c>
      <c r="Y562" s="31" t="n">
        <v>43617167</v>
      </c>
      <c r="Z562" s="31" t="n">
        <v>2529795686000</v>
      </c>
      <c r="AA562" s="31" t="n">
        <v>23874830000</v>
      </c>
      <c r="AB562" s="31" t="n">
        <v>19679562397.5</v>
      </c>
      <c r="AC562" s="36" t="n">
        <v>0.009437453835550575</v>
      </c>
      <c r="AD562" s="29" t="inlineStr">
        <is>
          <t>yfinance_download</t>
        </is>
      </c>
      <c r="AE562" s="29" t="inlineStr">
        <is>
          <t>000990.KS</t>
        </is>
      </c>
    </row>
    <row r="563" ht="24" customHeight="1">
      <c r="A563" s="24" t="inlineStr">
        <is>
          <t>2025-09-25</t>
        </is>
      </c>
      <c r="B563" s="30" t="n">
        <v>57100</v>
      </c>
      <c r="C563" s="30" t="n">
        <v>57700</v>
      </c>
      <c r="D563" s="30" t="n">
        <v>55300</v>
      </c>
      <c r="E563" s="30" t="n">
        <v>57100</v>
      </c>
      <c r="F563" s="30" t="n">
        <v>56586.1015625</v>
      </c>
      <c r="G563" s="30" t="n">
        <v>457221</v>
      </c>
      <c r="H563" s="35" t="n">
        <v>-0.01551724137931032</v>
      </c>
      <c r="I563" s="35" t="n">
        <v>-0.3274440518256773</v>
      </c>
      <c r="J563" s="30" t="n">
        <v>50612.5</v>
      </c>
      <c r="K563" s="30" t="n">
        <v>47416.66666666666</v>
      </c>
      <c r="L563" s="30" t="n">
        <v>44518.75</v>
      </c>
      <c r="M563" s="35" t="n">
        <v>0.4903545235527104</v>
      </c>
      <c r="N563" s="35" t="n">
        <v>0.3858611742316037</v>
      </c>
      <c r="O563" s="35" t="n">
        <v>0.2372697724810402</v>
      </c>
      <c r="P563" s="35" t="n">
        <v>0.2226980728051391</v>
      </c>
      <c r="Q563" s="35" t="n">
        <v>0.2933182332955833</v>
      </c>
      <c r="R563" s="35" t="n">
        <v>0.1281797974808594</v>
      </c>
      <c r="S563" s="35" t="n">
        <v>0.2042179261862918</v>
      </c>
      <c r="T563" s="35" t="n">
        <v>0.2826056436894566</v>
      </c>
      <c r="U563" s="30" t="n">
        <v>58300</v>
      </c>
      <c r="V563" s="30" t="n">
        <v>29200</v>
      </c>
      <c r="W563" s="35" t="n">
        <v>-0.02058319039451117</v>
      </c>
      <c r="X563" s="35" t="n">
        <v>0.9554794520547945</v>
      </c>
      <c r="Y563" s="30" t="n">
        <v>43617167</v>
      </c>
      <c r="Z563" s="30" t="n">
        <v>2490540235700</v>
      </c>
      <c r="AA563" s="30" t="n">
        <v>26107319100</v>
      </c>
      <c r="AB563" s="30" t="n">
        <v>20817454617.5</v>
      </c>
      <c r="AC563" s="35" t="n">
        <v>0.01048259278279124</v>
      </c>
      <c r="AD563" s="24" t="inlineStr">
        <is>
          <t>yfinance_download</t>
        </is>
      </c>
      <c r="AE563" s="24" t="inlineStr">
        <is>
          <t>000990.KS</t>
        </is>
      </c>
    </row>
    <row r="564" ht="24" customHeight="1">
      <c r="A564" s="29" t="inlineStr">
        <is>
          <t>2025-09-26</t>
        </is>
      </c>
      <c r="B564" s="31" t="n">
        <v>56600</v>
      </c>
      <c r="C564" s="31" t="n">
        <v>57700</v>
      </c>
      <c r="D564" s="31" t="n">
        <v>55700</v>
      </c>
      <c r="E564" s="31" t="n">
        <v>56300</v>
      </c>
      <c r="F564" s="31" t="n">
        <v>55793.30078125</v>
      </c>
      <c r="G564" s="31" t="n">
        <v>426474</v>
      </c>
      <c r="H564" s="36" t="n">
        <v>-0.01401050788091063</v>
      </c>
      <c r="I564" s="36" t="n">
        <v>-0.3368669022379269</v>
      </c>
      <c r="J564" s="31" t="n">
        <v>51150</v>
      </c>
      <c r="K564" s="31" t="n">
        <v>47594.16666666666</v>
      </c>
      <c r="L564" s="31" t="n">
        <v>44625.41666666666</v>
      </c>
      <c r="M564" s="36" t="n">
        <v>0.4910262469210639</v>
      </c>
      <c r="N564" s="36" t="n">
        <v>0.3837960630692542</v>
      </c>
      <c r="O564" s="36" t="n">
        <v>0.2360043907793634</v>
      </c>
      <c r="P564" s="36" t="n">
        <v>0.2332968236582695</v>
      </c>
      <c r="Q564" s="36" t="n">
        <v>0.2942528735632184</v>
      </c>
      <c r="R564" s="36" t="n">
        <v>0.1006842619745845</v>
      </c>
      <c r="S564" s="36" t="n">
        <v>0.1829180746940278</v>
      </c>
      <c r="T564" s="36" t="n">
        <v>0.2616128700945837</v>
      </c>
      <c r="U564" s="31" t="n">
        <v>58300</v>
      </c>
      <c r="V564" s="31" t="n">
        <v>29200</v>
      </c>
      <c r="W564" s="36" t="n">
        <v>-0.03430531732418529</v>
      </c>
      <c r="X564" s="36" t="n">
        <v>0.928082191780822</v>
      </c>
      <c r="Y564" s="31" t="n">
        <v>43617167</v>
      </c>
      <c r="Z564" s="31" t="n">
        <v>2455646502100</v>
      </c>
      <c r="AA564" s="31" t="n">
        <v>24010486200</v>
      </c>
      <c r="AB564" s="31" t="n">
        <v>21775106327.5</v>
      </c>
      <c r="AC564" s="36" t="n">
        <v>0.009777663918429182</v>
      </c>
      <c r="AD564" s="29" t="inlineStr">
        <is>
          <t>yfinance_download</t>
        </is>
      </c>
      <c r="AE564" s="29" t="inlineStr">
        <is>
          <t>000990.KS</t>
        </is>
      </c>
    </row>
    <row r="565" ht="24" customHeight="1">
      <c r="A565" s="24" t="inlineStr">
        <is>
          <t>2025-09-29</t>
        </is>
      </c>
      <c r="B565" s="30" t="n">
        <v>57000</v>
      </c>
      <c r="C565" s="30" t="n">
        <v>57400</v>
      </c>
      <c r="D565" s="30" t="n">
        <v>56000</v>
      </c>
      <c r="E565" s="30" t="n">
        <v>57000</v>
      </c>
      <c r="F565" s="30" t="n">
        <v>56487</v>
      </c>
      <c r="G565" s="30" t="n">
        <v>304173</v>
      </c>
      <c r="H565" s="35" t="n">
        <v>0.01243339253996445</v>
      </c>
      <c r="I565" s="35" t="n">
        <v>-0.3286219081272085</v>
      </c>
      <c r="J565" s="30" t="n">
        <v>51702.5</v>
      </c>
      <c r="K565" s="30" t="n">
        <v>47773.33333333334</v>
      </c>
      <c r="L565" s="30" t="n">
        <v>44737.08333333334</v>
      </c>
      <c r="M565" s="35" t="n">
        <v>0.4909698041775827</v>
      </c>
      <c r="N565" s="35" t="n">
        <v>0.3837248359925505</v>
      </c>
      <c r="O565" s="35" t="n">
        <v>0.2404787812840044</v>
      </c>
      <c r="P565" s="35" t="n">
        <v>0.2324324324324325</v>
      </c>
      <c r="Q565" s="35" t="n">
        <v>0.3073394495412844</v>
      </c>
      <c r="R565" s="35" t="n">
        <v>0.1024611962671051</v>
      </c>
      <c r="S565" s="35" t="n">
        <v>0.1931342450460507</v>
      </c>
      <c r="T565" s="35" t="n">
        <v>0.2741107768536541</v>
      </c>
      <c r="U565" s="30" t="n">
        <v>58300</v>
      </c>
      <c r="V565" s="30" t="n">
        <v>29200</v>
      </c>
      <c r="W565" s="35" t="n">
        <v>-0.02229845626072036</v>
      </c>
      <c r="X565" s="35" t="n">
        <v>0.952054794520548</v>
      </c>
      <c r="Y565" s="30" t="n">
        <v>43617167</v>
      </c>
      <c r="Z565" s="30" t="n">
        <v>2486178519000</v>
      </c>
      <c r="AA565" s="30" t="n">
        <v>17337861000</v>
      </c>
      <c r="AB565" s="30" t="n">
        <v>22467920100</v>
      </c>
      <c r="AC565" s="35" t="n">
        <v>0.006973699140065653</v>
      </c>
      <c r="AD565" s="24" t="inlineStr">
        <is>
          <t>yfinance_download</t>
        </is>
      </c>
      <c r="AE565" s="24" t="inlineStr">
        <is>
          <t>000990.KS</t>
        </is>
      </c>
    </row>
    <row r="566" ht="24" customHeight="1">
      <c r="A566" s="29" t="inlineStr">
        <is>
          <t>2025-09-30</t>
        </is>
      </c>
      <c r="B566" s="31" t="n">
        <v>57500</v>
      </c>
      <c r="C566" s="31" t="n">
        <v>58000</v>
      </c>
      <c r="D566" s="31" t="n">
        <v>56500</v>
      </c>
      <c r="E566" s="31" t="n">
        <v>56800</v>
      </c>
      <c r="F566" s="31" t="n">
        <v>56288.80078125</v>
      </c>
      <c r="G566" s="31" t="n">
        <v>277710</v>
      </c>
      <c r="H566" s="36" t="n">
        <v>-0.003508771929824572</v>
      </c>
      <c r="I566" s="36" t="n">
        <v>-0.3309776207302709</v>
      </c>
      <c r="J566" s="31" t="n">
        <v>52327.5</v>
      </c>
      <c r="K566" s="31" t="n">
        <v>47953.33333333334</v>
      </c>
      <c r="L566" s="31" t="n">
        <v>44864.58333333334</v>
      </c>
      <c r="M566" s="36" t="n">
        <v>0.4623092229713417</v>
      </c>
      <c r="N566" s="36" t="n">
        <v>0.3835507781114689</v>
      </c>
      <c r="O566" s="36" t="n">
        <v>0.2821670428893905</v>
      </c>
      <c r="P566" s="36" t="n">
        <v>0.2347826086956522</v>
      </c>
      <c r="Q566" s="36" t="n">
        <v>0.3686746987951808</v>
      </c>
      <c r="R566" s="36" t="n">
        <v>0.08547131049639289</v>
      </c>
      <c r="S566" s="36" t="n">
        <v>0.1844849158904489</v>
      </c>
      <c r="T566" s="36" t="n">
        <v>0.2660320408637102</v>
      </c>
      <c r="U566" s="31" t="n">
        <v>58300</v>
      </c>
      <c r="V566" s="31" t="n">
        <v>29200</v>
      </c>
      <c r="W566" s="36" t="n">
        <v>-0.02572898799313894</v>
      </c>
      <c r="X566" s="36" t="n">
        <v>0.9452054794520548</v>
      </c>
      <c r="Y566" s="31" t="n">
        <v>43617167</v>
      </c>
      <c r="Z566" s="31" t="n">
        <v>2477455085600</v>
      </c>
      <c r="AA566" s="31" t="n">
        <v>15773928000</v>
      </c>
      <c r="AB566" s="31" t="n">
        <v>23005931660</v>
      </c>
      <c r="AC566" s="36" t="n">
        <v>0.006366988484144328</v>
      </c>
      <c r="AD566" s="29" t="inlineStr">
        <is>
          <t>yfinance_download</t>
        </is>
      </c>
      <c r="AE566" s="29" t="inlineStr">
        <is>
          <t>000990.KS</t>
        </is>
      </c>
    </row>
    <row r="567" ht="24" customHeight="1">
      <c r="A567" s="24" t="inlineStr">
        <is>
          <t>2025-10-01</t>
        </is>
      </c>
      <c r="B567" s="30" t="n">
        <v>56900</v>
      </c>
      <c r="C567" s="30" t="n">
        <v>59300</v>
      </c>
      <c r="D567" s="30" t="n">
        <v>56900</v>
      </c>
      <c r="E567" s="30" t="n">
        <v>58000</v>
      </c>
      <c r="F567" s="30" t="n">
        <v>57478</v>
      </c>
      <c r="G567" s="30" t="n">
        <v>637458</v>
      </c>
      <c r="H567" s="35" t="n">
        <v>0.02112676056338025</v>
      </c>
      <c r="I567" s="35" t="n">
        <v>-0.3168433451118964</v>
      </c>
      <c r="J567" s="30" t="n">
        <v>53030</v>
      </c>
      <c r="K567" s="30" t="n">
        <v>48150.83333333334</v>
      </c>
      <c r="L567" s="30" t="n">
        <v>45032.91666666666</v>
      </c>
      <c r="M567" s="35" t="n">
        <v>0.4564396144622526</v>
      </c>
      <c r="N567" s="35" t="n">
        <v>0.3851873068535175</v>
      </c>
      <c r="O567" s="35" t="n">
        <v>0.3196814562002275</v>
      </c>
      <c r="P567" s="35" t="n">
        <v>0.2567713976164681</v>
      </c>
      <c r="Q567" s="35" t="n">
        <v>0.5343915343915344</v>
      </c>
      <c r="R567" s="35" t="n">
        <v>0.09372053554591742</v>
      </c>
      <c r="S567" s="35" t="n">
        <v>0.2045482078884062</v>
      </c>
      <c r="T567" s="35" t="n">
        <v>0.2879467796704263</v>
      </c>
      <c r="U567" s="30" t="n">
        <v>58300</v>
      </c>
      <c r="V567" s="30" t="n">
        <v>29200</v>
      </c>
      <c r="W567" s="35" t="n">
        <v>-0.005145797598627766</v>
      </c>
      <c r="X567" s="35" t="n">
        <v>0.9863013698630136</v>
      </c>
      <c r="Y567" s="30" t="n">
        <v>43617167</v>
      </c>
      <c r="Z567" s="30" t="n">
        <v>2529795686000</v>
      </c>
      <c r="AA567" s="30" t="n">
        <v>36972564000</v>
      </c>
      <c r="AB567" s="30" t="n">
        <v>24620310755</v>
      </c>
      <c r="AC567" s="35" t="n">
        <v>0.01461484190387697</v>
      </c>
      <c r="AD567" s="24" t="inlineStr">
        <is>
          <t>yfinance_download</t>
        </is>
      </c>
      <c r="AE567" s="24" t="inlineStr">
        <is>
          <t>000990.KS</t>
        </is>
      </c>
    </row>
    <row r="568" ht="24" customHeight="1">
      <c r="A568" s="29" t="inlineStr">
        <is>
          <t>2025-10-02</t>
        </is>
      </c>
      <c r="B568" s="31" t="n">
        <v>59100</v>
      </c>
      <c r="C568" s="31" t="n">
        <v>59100</v>
      </c>
      <c r="D568" s="31" t="n">
        <v>54500</v>
      </c>
      <c r="E568" s="31" t="n">
        <v>56200</v>
      </c>
      <c r="F568" s="31" t="n">
        <v>55694.19921875</v>
      </c>
      <c r="G568" s="31" t="n">
        <v>917138</v>
      </c>
      <c r="H568" s="36" t="n">
        <v>-0.03103448275862064</v>
      </c>
      <c r="I568" s="36" t="n">
        <v>-0.3380447585394581</v>
      </c>
      <c r="J568" s="31" t="n">
        <v>53615</v>
      </c>
      <c r="K568" s="31" t="n">
        <v>48314.16666666666</v>
      </c>
      <c r="L568" s="31" t="n">
        <v>45182.91666666666</v>
      </c>
      <c r="M568" s="36" t="n">
        <v>0.484091598503569</v>
      </c>
      <c r="N568" s="36" t="n">
        <v>0.3918412681890698</v>
      </c>
      <c r="O568" s="36" t="n">
        <v>0.2629213483146067</v>
      </c>
      <c r="P568" s="36" t="n">
        <v>0.2112068965517242</v>
      </c>
      <c r="Q568" s="36" t="n">
        <v>0.4712041884816753</v>
      </c>
      <c r="R568" s="36" t="n">
        <v>0.04821411918306451</v>
      </c>
      <c r="S568" s="36" t="n">
        <v>0.1632198975455785</v>
      </c>
      <c r="T568" s="36" t="n">
        <v>0.2438329383339943</v>
      </c>
      <c r="U568" s="31" t="n">
        <v>58300</v>
      </c>
      <c r="V568" s="31" t="n">
        <v>29200</v>
      </c>
      <c r="W568" s="36" t="n">
        <v>-0.03602058319039447</v>
      </c>
      <c r="X568" s="36" t="n">
        <v>0.9246575342465753</v>
      </c>
      <c r="Y568" s="31" t="n">
        <v>43617167</v>
      </c>
      <c r="Z568" s="31" t="n">
        <v>2451284785400</v>
      </c>
      <c r="AA568" s="31" t="n">
        <v>51543155600</v>
      </c>
      <c r="AB568" s="31" t="n">
        <v>27003168185</v>
      </c>
      <c r="AC568" s="36" t="n">
        <v>0.02102699609078233</v>
      </c>
      <c r="AD568" s="29" t="inlineStr">
        <is>
          <t>yfinance_download</t>
        </is>
      </c>
      <c r="AE568" s="29" t="inlineStr">
        <is>
          <t>000990.KS</t>
        </is>
      </c>
    </row>
    <row r="569" ht="24" customHeight="1">
      <c r="A569" s="24" t="inlineStr">
        <is>
          <t>2025-10-10</t>
        </is>
      </c>
      <c r="B569" s="30" t="n">
        <v>57600</v>
      </c>
      <c r="C569" s="30" t="n">
        <v>61000</v>
      </c>
      <c r="D569" s="30" t="n">
        <v>57500</v>
      </c>
      <c r="E569" s="30" t="n">
        <v>59000</v>
      </c>
      <c r="F569" s="30" t="n">
        <v>58469</v>
      </c>
      <c r="G569" s="30" t="n">
        <v>1373321</v>
      </c>
      <c r="H569" s="35" t="n">
        <v>0.04982206405693956</v>
      </c>
      <c r="I569" s="35" t="n">
        <v>-0.3050647820965842</v>
      </c>
      <c r="J569" s="30" t="n">
        <v>54330</v>
      </c>
      <c r="K569" s="30" t="n">
        <v>48529.16666666666</v>
      </c>
      <c r="L569" s="30" t="n">
        <v>45368.33333333334</v>
      </c>
      <c r="M569" s="35" t="n">
        <v>0.5010087817323319</v>
      </c>
      <c r="N569" s="35" t="n">
        <v>0.4025649988328852</v>
      </c>
      <c r="O569" s="35" t="n">
        <v>0.319910514541387</v>
      </c>
      <c r="P569" s="35" t="n">
        <v>0.2798264642082429</v>
      </c>
      <c r="Q569" s="35" t="n">
        <v>0.6054421768707483</v>
      </c>
      <c r="R569" s="35" t="n">
        <v>0.08595619363151119</v>
      </c>
      <c r="S569" s="35" t="n">
        <v>0.2157637159783636</v>
      </c>
      <c r="T569" s="35" t="n">
        <v>0.3004665515594578</v>
      </c>
      <c r="U569" s="30" t="n">
        <v>59000</v>
      </c>
      <c r="V569" s="30" t="n">
        <v>29200</v>
      </c>
      <c r="W569" s="35" t="n">
        <v>0</v>
      </c>
      <c r="X569" s="35" t="n">
        <v>1.020547945205479</v>
      </c>
      <c r="Y569" s="30" t="n">
        <v>43617167</v>
      </c>
      <c r="Z569" s="30" t="n">
        <v>2573412853000</v>
      </c>
      <c r="AA569" s="30" t="n">
        <v>81025939000</v>
      </c>
      <c r="AB569" s="30" t="n">
        <v>30847267225</v>
      </c>
      <c r="AC569" s="35" t="n">
        <v>0.03148579090430151</v>
      </c>
      <c r="AD569" s="24" t="inlineStr">
        <is>
          <t>yfinance_download</t>
        </is>
      </c>
      <c r="AE569" s="24" t="inlineStr">
        <is>
          <t>000990.KS</t>
        </is>
      </c>
    </row>
    <row r="570" ht="24" customHeight="1">
      <c r="A570" s="29" t="inlineStr">
        <is>
          <t>2025-10-13</t>
        </is>
      </c>
      <c r="B570" s="31" t="n">
        <v>56500</v>
      </c>
      <c r="C570" s="31" t="n">
        <v>59200</v>
      </c>
      <c r="D570" s="31" t="n">
        <v>56200</v>
      </c>
      <c r="E570" s="31" t="n">
        <v>59000</v>
      </c>
      <c r="F570" s="31" t="n">
        <v>58469</v>
      </c>
      <c r="G570" s="31" t="n">
        <v>543968</v>
      </c>
      <c r="H570" s="36" t="n">
        <v>0</v>
      </c>
      <c r="I570" s="36" t="n">
        <v>-0.3050647820965842</v>
      </c>
      <c r="J570" s="31" t="n">
        <v>55040</v>
      </c>
      <c r="K570" s="31" t="n">
        <v>48742.5</v>
      </c>
      <c r="L570" s="31" t="n">
        <v>45529.58333333334</v>
      </c>
      <c r="M570" s="36" t="n">
        <v>0.5017932794678518</v>
      </c>
      <c r="N570" s="36" t="n">
        <v>0.4026415709642069</v>
      </c>
      <c r="O570" s="36" t="n">
        <v>0.3169642857142858</v>
      </c>
      <c r="P570" s="36" t="n">
        <v>0.277056277056277</v>
      </c>
      <c r="Q570" s="36" t="n">
        <v>0.4880201765447667</v>
      </c>
      <c r="R570" s="36" t="n">
        <v>0.07194767441860472</v>
      </c>
      <c r="S570" s="36" t="n">
        <v>0.2104426321998256</v>
      </c>
      <c r="T570" s="36" t="n">
        <v>0.2958607498787418</v>
      </c>
      <c r="U570" s="31" t="n">
        <v>59000</v>
      </c>
      <c r="V570" s="31" t="n">
        <v>29200</v>
      </c>
      <c r="W570" s="36" t="n">
        <v>0</v>
      </c>
      <c r="X570" s="36" t="n">
        <v>1.020547945205479</v>
      </c>
      <c r="Y570" s="31" t="n">
        <v>43617167</v>
      </c>
      <c r="Z570" s="31" t="n">
        <v>2573412853000</v>
      </c>
      <c r="AA570" s="31" t="n">
        <v>32094112000</v>
      </c>
      <c r="AB570" s="31" t="n">
        <v>32265421145</v>
      </c>
      <c r="AC570" s="36" t="n">
        <v>0.01247141979670527</v>
      </c>
      <c r="AD570" s="29" t="inlineStr">
        <is>
          <t>yfinance_download</t>
        </is>
      </c>
      <c r="AE570" s="29" t="inlineStr">
        <is>
          <t>000990.KS</t>
        </is>
      </c>
    </row>
    <row r="571" ht="24" customHeight="1">
      <c r="A571" s="24" t="inlineStr">
        <is>
          <t>2025-10-14</t>
        </is>
      </c>
      <c r="B571" s="30" t="n">
        <v>59500</v>
      </c>
      <c r="C571" s="30" t="n">
        <v>60000</v>
      </c>
      <c r="D571" s="30" t="n">
        <v>54600</v>
      </c>
      <c r="E571" s="30" t="n">
        <v>55300</v>
      </c>
      <c r="F571" s="30" t="n">
        <v>54802.30078125</v>
      </c>
      <c r="G571" s="30" t="n">
        <v>756838</v>
      </c>
      <c r="H571" s="35" t="n">
        <v>-0.06271186440677967</v>
      </c>
      <c r="I571" s="35" t="n">
        <v>-0.3486454652532391</v>
      </c>
      <c r="J571" s="30" t="n">
        <v>55550</v>
      </c>
      <c r="K571" s="30" t="n">
        <v>48896.66666666666</v>
      </c>
      <c r="L571" s="30" t="n">
        <v>45643.75</v>
      </c>
      <c r="M571" s="35" t="n">
        <v>0.5714299142177933</v>
      </c>
      <c r="N571" s="35" t="n">
        <v>0.425268259442722</v>
      </c>
      <c r="O571" s="35" t="n">
        <v>0.2261640798226163</v>
      </c>
      <c r="P571" s="35" t="n">
        <v>0.2008686210640609</v>
      </c>
      <c r="Q571" s="35" t="n">
        <v>0.3293269230769231</v>
      </c>
      <c r="R571" s="35" t="n">
        <v>-0.004500450045004545</v>
      </c>
      <c r="S571" s="35" t="n">
        <v>0.130956438748381</v>
      </c>
      <c r="T571" s="35" t="n">
        <v>0.2115568944269479</v>
      </c>
      <c r="U571" s="30" t="n">
        <v>59000</v>
      </c>
      <c r="V571" s="30" t="n">
        <v>29200</v>
      </c>
      <c r="W571" s="35" t="n">
        <v>-0.06271186440677967</v>
      </c>
      <c r="X571" s="35" t="n">
        <v>0.8938356164383561</v>
      </c>
      <c r="Y571" s="30" t="n">
        <v>43617167</v>
      </c>
      <c r="Z571" s="30" t="n">
        <v>2412029335100</v>
      </c>
      <c r="AA571" s="30" t="n">
        <v>41853141400</v>
      </c>
      <c r="AB571" s="30" t="n">
        <v>34174661025</v>
      </c>
      <c r="AC571" s="35" t="n">
        <v>0.01735183763768976</v>
      </c>
      <c r="AD571" s="24" t="inlineStr">
        <is>
          <t>yfinance_download</t>
        </is>
      </c>
      <c r="AE571" s="24" t="inlineStr">
        <is>
          <t>000990.KS</t>
        </is>
      </c>
    </row>
    <row r="572" ht="24" customHeight="1">
      <c r="A572" s="29" t="inlineStr">
        <is>
          <t>2025-10-15</t>
        </is>
      </c>
      <c r="B572" s="31" t="n">
        <v>56000</v>
      </c>
      <c r="C572" s="31" t="n">
        <v>58900</v>
      </c>
      <c r="D572" s="31" t="n">
        <v>55800</v>
      </c>
      <c r="E572" s="31" t="n">
        <v>58800</v>
      </c>
      <c r="F572" s="31" t="n">
        <v>58270.80078125</v>
      </c>
      <c r="G572" s="31" t="n">
        <v>536515</v>
      </c>
      <c r="H572" s="36" t="n">
        <v>0.06329113924050622</v>
      </c>
      <c r="I572" s="36" t="n">
        <v>-0.3074204946996466</v>
      </c>
      <c r="J572" s="31" t="n">
        <v>56170</v>
      </c>
      <c r="K572" s="31" t="n">
        <v>49096.66666666666</v>
      </c>
      <c r="L572" s="31" t="n">
        <v>45785.83333333334</v>
      </c>
      <c r="M572" s="36" t="n">
        <v>0.5982764305139739</v>
      </c>
      <c r="N572" s="36" t="n">
        <v>0.4419342885118372</v>
      </c>
      <c r="O572" s="36" t="n">
        <v>0.2672413793103448</v>
      </c>
      <c r="P572" s="36" t="n">
        <v>0.2564102564102564</v>
      </c>
      <c r="Q572" s="36" t="n">
        <v>0.408383233532934</v>
      </c>
      <c r="R572" s="36" t="n">
        <v>0.04682214705358723</v>
      </c>
      <c r="S572" s="36" t="n">
        <v>0.1976373141421686</v>
      </c>
      <c r="T572" s="36" t="n">
        <v>0.2842400305771435</v>
      </c>
      <c r="U572" s="31" t="n">
        <v>59000</v>
      </c>
      <c r="V572" s="31" t="n">
        <v>29200</v>
      </c>
      <c r="W572" s="36" t="n">
        <v>-0.003389830508474523</v>
      </c>
      <c r="X572" s="36" t="n">
        <v>1.013698630136986</v>
      </c>
      <c r="Y572" s="31" t="n">
        <v>43617167</v>
      </c>
      <c r="Z572" s="31" t="n">
        <v>2564689419600</v>
      </c>
      <c r="AA572" s="31" t="n">
        <v>31547082000</v>
      </c>
      <c r="AB572" s="31" t="n">
        <v>35348762005</v>
      </c>
      <c r="AC572" s="36" t="n">
        <v>0.01230054670905151</v>
      </c>
      <c r="AD572" s="29" t="inlineStr">
        <is>
          <t>yfinance_download</t>
        </is>
      </c>
      <c r="AE572" s="29" t="inlineStr">
        <is>
          <t>000990.KS</t>
        </is>
      </c>
    </row>
    <row r="573" ht="24" customHeight="1">
      <c r="A573" s="24" t="inlineStr">
        <is>
          <t>2025-10-16</t>
        </is>
      </c>
      <c r="B573" s="30" t="n">
        <v>58800</v>
      </c>
      <c r="C573" s="30" t="n">
        <v>59800</v>
      </c>
      <c r="D573" s="30" t="n">
        <v>58200</v>
      </c>
      <c r="E573" s="30" t="n">
        <v>58900</v>
      </c>
      <c r="F573" s="30" t="n">
        <v>58369.8984375</v>
      </c>
      <c r="G573" s="30" t="n">
        <v>436591</v>
      </c>
      <c r="H573" s="35" t="n">
        <v>0.001700680272108901</v>
      </c>
      <c r="I573" s="35" t="n">
        <v>-0.3062426383981154</v>
      </c>
      <c r="J573" s="30" t="n">
        <v>56595</v>
      </c>
      <c r="K573" s="30" t="n">
        <v>49278.33333333334</v>
      </c>
      <c r="L573" s="30" t="n">
        <v>45928.33333333334</v>
      </c>
      <c r="M573" s="35" t="n">
        <v>0.5318391961928872</v>
      </c>
      <c r="N573" s="35" t="n">
        <v>0.4396878851149831</v>
      </c>
      <c r="O573" s="35" t="n">
        <v>0.1686507936507937</v>
      </c>
      <c r="P573" s="35" t="n">
        <v>0.2270833333333333</v>
      </c>
      <c r="Q573" s="35" t="n">
        <v>0.4090909090909092</v>
      </c>
      <c r="R573" s="35" t="n">
        <v>0.04072797950348961</v>
      </c>
      <c r="S573" s="35" t="n">
        <v>0.1952514627794499</v>
      </c>
      <c r="T573" s="35" t="n">
        <v>0.2824327757012737</v>
      </c>
      <c r="U573" s="30" t="n">
        <v>59000</v>
      </c>
      <c r="V573" s="30" t="n">
        <v>29200</v>
      </c>
      <c r="W573" s="35" t="n">
        <v>-0.001694915254237261</v>
      </c>
      <c r="X573" s="35" t="n">
        <v>1.017123287671233</v>
      </c>
      <c r="Y573" s="30" t="n">
        <v>43617167</v>
      </c>
      <c r="Z573" s="30" t="n">
        <v>2569051136300</v>
      </c>
      <c r="AA573" s="30" t="n">
        <v>25715209900</v>
      </c>
      <c r="AB573" s="30" t="n">
        <v>34228544940</v>
      </c>
      <c r="AC573" s="35" t="n">
        <v>0.01000961387519735</v>
      </c>
      <c r="AD573" s="24" t="inlineStr">
        <is>
          <t>yfinance_download</t>
        </is>
      </c>
      <c r="AE573" s="24" t="inlineStr">
        <is>
          <t>000990.KS</t>
        </is>
      </c>
    </row>
    <row r="574" ht="24" customHeight="1">
      <c r="A574" s="29" t="inlineStr">
        <is>
          <t>2025-10-17</t>
        </is>
      </c>
      <c r="B574" s="31" t="n">
        <v>58900</v>
      </c>
      <c r="C574" s="31" t="n">
        <v>61300</v>
      </c>
      <c r="D574" s="31" t="n">
        <v>58500</v>
      </c>
      <c r="E574" s="31" t="n">
        <v>59100</v>
      </c>
      <c r="F574" s="31" t="n">
        <v>58568.1015625</v>
      </c>
      <c r="G574" s="31" t="n">
        <v>601675</v>
      </c>
      <c r="H574" s="36" t="n">
        <v>0.00339558573853993</v>
      </c>
      <c r="I574" s="36" t="n">
        <v>-0.3038869257950531</v>
      </c>
      <c r="J574" s="31" t="n">
        <v>56985</v>
      </c>
      <c r="K574" s="31" t="n">
        <v>49483.33333333334</v>
      </c>
      <c r="L574" s="31" t="n">
        <v>46083.75</v>
      </c>
      <c r="M574" s="36" t="n">
        <v>0.5308859069052149</v>
      </c>
      <c r="N574" s="36" t="n">
        <v>0.4355790944087252</v>
      </c>
      <c r="O574" s="36" t="n">
        <v>0.1520467836257311</v>
      </c>
      <c r="P574" s="36" t="n">
        <v>0.2628205128205128</v>
      </c>
      <c r="Q574" s="36" t="n">
        <v>0.4610630407911001</v>
      </c>
      <c r="R574" s="36" t="n">
        <v>0.03711503027112406</v>
      </c>
      <c r="S574" s="36" t="n">
        <v>0.1943415291343886</v>
      </c>
      <c r="T574" s="36" t="n">
        <v>0.282447717470909</v>
      </c>
      <c r="U574" s="31" t="n">
        <v>59100</v>
      </c>
      <c r="V574" s="31" t="n">
        <v>29200</v>
      </c>
      <c r="W574" s="36" t="n">
        <v>0</v>
      </c>
      <c r="X574" s="36" t="n">
        <v>1.023972602739726</v>
      </c>
      <c r="Y574" s="31" t="n">
        <v>43617167</v>
      </c>
      <c r="Z574" s="31" t="n">
        <v>2577774569700</v>
      </c>
      <c r="AA574" s="31" t="n">
        <v>35558992500</v>
      </c>
      <c r="AB574" s="31" t="n">
        <v>34165247790</v>
      </c>
      <c r="AC574" s="36" t="n">
        <v>0.01379445391306593</v>
      </c>
      <c r="AD574" s="29" t="inlineStr">
        <is>
          <t>yfinance_download</t>
        </is>
      </c>
      <c r="AE574" s="29" t="inlineStr">
        <is>
          <t>000990.KS</t>
        </is>
      </c>
    </row>
    <row r="575" ht="24" customHeight="1">
      <c r="A575" s="24" t="inlineStr">
        <is>
          <t>2025-10-20</t>
        </is>
      </c>
      <c r="B575" s="30" t="n">
        <v>59200</v>
      </c>
      <c r="C575" s="30" t="n">
        <v>61000</v>
      </c>
      <c r="D575" s="30" t="n">
        <v>58300</v>
      </c>
      <c r="E575" s="30" t="n">
        <v>59600</v>
      </c>
      <c r="F575" s="30" t="n">
        <v>59063.6015625</v>
      </c>
      <c r="G575" s="30" t="n">
        <v>431118</v>
      </c>
      <c r="H575" s="35" t="n">
        <v>0.008460236886632888</v>
      </c>
      <c r="I575" s="35" t="n">
        <v>-0.2979976442873969</v>
      </c>
      <c r="J575" s="30" t="n">
        <v>57390</v>
      </c>
      <c r="K575" s="30" t="n">
        <v>49699.16666666666</v>
      </c>
      <c r="L575" s="30" t="n">
        <v>46240.41666666666</v>
      </c>
      <c r="M575" s="35" t="n">
        <v>0.530708264023838</v>
      </c>
      <c r="N575" s="35" t="n">
        <v>0.4353811446170688</v>
      </c>
      <c r="O575" s="35" t="n">
        <v>0.1572815533980583</v>
      </c>
      <c r="P575" s="35" t="n">
        <v>0.277599142550911</v>
      </c>
      <c r="Q575" s="35" t="n">
        <v>0.4607843137254901</v>
      </c>
      <c r="R575" s="35" t="n">
        <v>0.03850845094964273</v>
      </c>
      <c r="S575" s="35" t="n">
        <v>0.1992152785928671</v>
      </c>
      <c r="T575" s="35" t="n">
        <v>0.2889157212755797</v>
      </c>
      <c r="U575" s="30" t="n">
        <v>59600</v>
      </c>
      <c r="V575" s="30" t="n">
        <v>29200</v>
      </c>
      <c r="W575" s="35" t="n">
        <v>0</v>
      </c>
      <c r="X575" s="35" t="n">
        <v>1.041095890410959</v>
      </c>
      <c r="Y575" s="30" t="n">
        <v>43617167</v>
      </c>
      <c r="Z575" s="30" t="n">
        <v>2599583153200</v>
      </c>
      <c r="AA575" s="30" t="n">
        <v>25694632800</v>
      </c>
      <c r="AB575" s="30" t="n">
        <v>34524854030</v>
      </c>
      <c r="AC575" s="35" t="n">
        <v>0.009884135757831314</v>
      </c>
      <c r="AD575" s="24" t="inlineStr">
        <is>
          <t>yfinance_download</t>
        </is>
      </c>
      <c r="AE575" s="24" t="inlineStr">
        <is>
          <t>000990.KS</t>
        </is>
      </c>
    </row>
    <row r="576" ht="24" customHeight="1">
      <c r="A576" s="29" t="inlineStr">
        <is>
          <t>2025-10-21</t>
        </is>
      </c>
      <c r="B576" s="31" t="n">
        <v>59900</v>
      </c>
      <c r="C576" s="31" t="n">
        <v>60300</v>
      </c>
      <c r="D576" s="31" t="n">
        <v>56100</v>
      </c>
      <c r="E576" s="31" t="n">
        <v>56800</v>
      </c>
      <c r="F576" s="31" t="n">
        <v>56288.80078125</v>
      </c>
      <c r="G576" s="31" t="n">
        <v>851639</v>
      </c>
      <c r="H576" s="36" t="n">
        <v>-0.04697986577181212</v>
      </c>
      <c r="I576" s="36" t="n">
        <v>-0.3309776207302709</v>
      </c>
      <c r="J576" s="31" t="n">
        <v>57620</v>
      </c>
      <c r="K576" s="31" t="n">
        <v>49857.5</v>
      </c>
      <c r="L576" s="31" t="n">
        <v>46372.91666666666</v>
      </c>
      <c r="M576" s="36" t="n">
        <v>0.5644973383435693</v>
      </c>
      <c r="N576" s="36" t="n">
        <v>0.4474465677684896</v>
      </c>
      <c r="O576" s="36" t="n">
        <v>0.08812260536398475</v>
      </c>
      <c r="P576" s="36" t="n">
        <v>0.2008456659619451</v>
      </c>
      <c r="Q576" s="36" t="n">
        <v>0.3887530562347188</v>
      </c>
      <c r="R576" s="36" t="n">
        <v>-0.01423116973273164</v>
      </c>
      <c r="S576" s="36" t="n">
        <v>0.1392468535325677</v>
      </c>
      <c r="T576" s="36" t="n">
        <v>0.2248528685026283</v>
      </c>
      <c r="U576" s="31" t="n">
        <v>59600</v>
      </c>
      <c r="V576" s="31" t="n">
        <v>29200</v>
      </c>
      <c r="W576" s="36" t="n">
        <v>-0.04697986577181212</v>
      </c>
      <c r="X576" s="36" t="n">
        <v>0.9452054794520548</v>
      </c>
      <c r="Y576" s="31" t="n">
        <v>43617167</v>
      </c>
      <c r="Z576" s="31" t="n">
        <v>2477455085600</v>
      </c>
      <c r="AA576" s="31" t="n">
        <v>48373095200</v>
      </c>
      <c r="AB576" s="31" t="n">
        <v>36215329230</v>
      </c>
      <c r="AC576" s="36" t="n">
        <v>0.01952531671761258</v>
      </c>
      <c r="AD576" s="29" t="inlineStr">
        <is>
          <t>yfinance_download</t>
        </is>
      </c>
      <c r="AE576" s="29" t="inlineStr">
        <is>
          <t>000990.KS</t>
        </is>
      </c>
    </row>
    <row r="577" ht="24" customHeight="1">
      <c r="A577" s="24" t="inlineStr">
        <is>
          <t>2025-10-22</t>
        </is>
      </c>
      <c r="B577" s="30" t="n">
        <v>56800</v>
      </c>
      <c r="C577" s="30" t="n">
        <v>56900</v>
      </c>
      <c r="D577" s="30" t="n">
        <v>55200</v>
      </c>
      <c r="E577" s="30" t="n">
        <v>56800</v>
      </c>
      <c r="F577" s="30" t="n">
        <v>56288.80078125</v>
      </c>
      <c r="G577" s="30" t="n">
        <v>437067</v>
      </c>
      <c r="H577" s="35" t="n">
        <v>0</v>
      </c>
      <c r="I577" s="35" t="n">
        <v>-0.3309776207302709</v>
      </c>
      <c r="J577" s="30" t="n">
        <v>57610</v>
      </c>
      <c r="K577" s="30" t="n">
        <v>50020</v>
      </c>
      <c r="L577" s="30" t="n">
        <v>46503.33333333334</v>
      </c>
      <c r="M577" s="35" t="n">
        <v>0.4611593134642341</v>
      </c>
      <c r="N577" s="35" t="n">
        <v>0.4471373654944022</v>
      </c>
      <c r="O577" s="35" t="n">
        <v>-0.003508771929824572</v>
      </c>
      <c r="P577" s="35" t="n">
        <v>0.2072263549415516</v>
      </c>
      <c r="Q577" s="35" t="n">
        <v>0.3803159173754556</v>
      </c>
      <c r="R577" s="35" t="n">
        <v>-0.01406005901753171</v>
      </c>
      <c r="S577" s="35" t="n">
        <v>0.1355457816873251</v>
      </c>
      <c r="T577" s="35" t="n">
        <v>0.221417819511146</v>
      </c>
      <c r="U577" s="30" t="n">
        <v>59600</v>
      </c>
      <c r="V577" s="30" t="n">
        <v>29200</v>
      </c>
      <c r="W577" s="35" t="n">
        <v>-0.04697986577181212</v>
      </c>
      <c r="X577" s="35" t="n">
        <v>0.9452054794520548</v>
      </c>
      <c r="Y577" s="30" t="n">
        <v>43617167</v>
      </c>
      <c r="Z577" s="30" t="n">
        <v>2477455085600</v>
      </c>
      <c r="AA577" s="30" t="n">
        <v>24825405600</v>
      </c>
      <c r="AB577" s="30" t="n">
        <v>33940973460</v>
      </c>
      <c r="AC577" s="35" t="n">
        <v>0.01002052700946854</v>
      </c>
      <c r="AD577" s="24" t="inlineStr">
        <is>
          <t>yfinance_download</t>
        </is>
      </c>
      <c r="AE577" s="24" t="inlineStr">
        <is>
          <t>000990.KS</t>
        </is>
      </c>
    </row>
    <row r="578" ht="24" customHeight="1">
      <c r="A578" s="29" t="inlineStr">
        <is>
          <t>2025-10-23</t>
        </is>
      </c>
      <c r="B578" s="31" t="n">
        <v>56000</v>
      </c>
      <c r="C578" s="31" t="n">
        <v>58500</v>
      </c>
      <c r="D578" s="31" t="n">
        <v>55700</v>
      </c>
      <c r="E578" s="31" t="n">
        <v>57800</v>
      </c>
      <c r="F578" s="31" t="n">
        <v>57279.80078125</v>
      </c>
      <c r="G578" s="31" t="n">
        <v>343414</v>
      </c>
      <c r="H578" s="36" t="n">
        <v>0.01760563380281699</v>
      </c>
      <c r="I578" s="36" t="n">
        <v>-0.3191990577149588</v>
      </c>
      <c r="J578" s="31" t="n">
        <v>57660</v>
      </c>
      <c r="K578" s="31" t="n">
        <v>50223.33333333334</v>
      </c>
      <c r="L578" s="31" t="n">
        <v>46650</v>
      </c>
      <c r="M578" s="36" t="n">
        <v>0.4649662313938514</v>
      </c>
      <c r="N578" s="36" t="n">
        <v>0.4422362355065694</v>
      </c>
      <c r="O578" s="36" t="n">
        <v>0.01760563380281699</v>
      </c>
      <c r="P578" s="36" t="n">
        <v>0.2675438596491229</v>
      </c>
      <c r="Q578" s="36" t="n">
        <v>0.4378109452736318</v>
      </c>
      <c r="R578" s="36" t="n">
        <v>0.002428026361429136</v>
      </c>
      <c r="S578" s="36" t="n">
        <v>0.1508594942589765</v>
      </c>
      <c r="T578" s="36" t="n">
        <v>0.2390139335476955</v>
      </c>
      <c r="U578" s="31" t="n">
        <v>59600</v>
      </c>
      <c r="V578" s="31" t="n">
        <v>29200</v>
      </c>
      <c r="W578" s="36" t="n">
        <v>-0.03020134228187921</v>
      </c>
      <c r="X578" s="36" t="n">
        <v>0.9794520547945205</v>
      </c>
      <c r="Y578" s="31" t="n">
        <v>43617167</v>
      </c>
      <c r="Z578" s="31" t="n">
        <v>2521072252600</v>
      </c>
      <c r="AA578" s="31" t="n">
        <v>19849329200</v>
      </c>
      <c r="AB578" s="31" t="n">
        <v>33589120240</v>
      </c>
      <c r="AC578" s="36" t="n">
        <v>0.007873367841611538</v>
      </c>
      <c r="AD578" s="29" t="inlineStr">
        <is>
          <t>yfinance_download</t>
        </is>
      </c>
      <c r="AE578" s="29" t="inlineStr">
        <is>
          <t>000990.KS</t>
        </is>
      </c>
    </row>
    <row r="579" ht="24" customHeight="1">
      <c r="A579" s="24" t="inlineStr">
        <is>
          <t>2025-10-24</t>
        </is>
      </c>
      <c r="B579" s="30" t="n">
        <v>58700</v>
      </c>
      <c r="C579" s="30" t="n">
        <v>62500</v>
      </c>
      <c r="D579" s="30" t="n">
        <v>58300</v>
      </c>
      <c r="E579" s="30" t="n">
        <v>60300</v>
      </c>
      <c r="F579" s="30" t="n">
        <v>59757.30078125</v>
      </c>
      <c r="G579" s="30" t="n">
        <v>996671</v>
      </c>
      <c r="H579" s="35" t="n">
        <v>0.04325259515570945</v>
      </c>
      <c r="I579" s="35" t="n">
        <v>-0.2897526501766784</v>
      </c>
      <c r="J579" s="30" t="n">
        <v>57800</v>
      </c>
      <c r="K579" s="30" t="n">
        <v>50463.33333333334</v>
      </c>
      <c r="L579" s="30" t="n">
        <v>46811.66666666666</v>
      </c>
      <c r="M579" s="35" t="n">
        <v>0.4871407128910832</v>
      </c>
      <c r="N579" s="35" t="n">
        <v>0.4493603738811769</v>
      </c>
      <c r="O579" s="35" t="n">
        <v>0.04869565217391303</v>
      </c>
      <c r="P579" s="35" t="n">
        <v>0.3137254901960784</v>
      </c>
      <c r="Q579" s="35" t="n">
        <v>0.4743276283618583</v>
      </c>
      <c r="R579" s="35" t="n">
        <v>0.04325259515570945</v>
      </c>
      <c r="S579" s="35" t="n">
        <v>0.1949270097100204</v>
      </c>
      <c r="T579" s="35" t="n">
        <v>0.288140420835262</v>
      </c>
      <c r="U579" s="30" t="n">
        <v>60300</v>
      </c>
      <c r="V579" s="30" t="n">
        <v>29200</v>
      </c>
      <c r="W579" s="35" t="n">
        <v>0</v>
      </c>
      <c r="X579" s="35" t="n">
        <v>1.065068493150685</v>
      </c>
      <c r="Y579" s="30" t="n">
        <v>43617167</v>
      </c>
      <c r="Z579" s="30" t="n">
        <v>2630115170100</v>
      </c>
      <c r="AA579" s="30" t="n">
        <v>60099261300</v>
      </c>
      <c r="AB579" s="30" t="n">
        <v>35495482555</v>
      </c>
      <c r="AC579" s="35" t="n">
        <v>0.02285042951093087</v>
      </c>
      <c r="AD579" s="24" t="inlineStr">
        <is>
          <t>yfinance_download</t>
        </is>
      </c>
      <c r="AE579" s="24" t="inlineStr">
        <is>
          <t>000990.KS</t>
        </is>
      </c>
    </row>
    <row r="580" ht="24" customHeight="1">
      <c r="A580" s="29" t="inlineStr">
        <is>
          <t>2025-10-27</t>
        </is>
      </c>
      <c r="B580" s="31" t="n">
        <v>61600</v>
      </c>
      <c r="C580" s="31" t="n">
        <v>61800</v>
      </c>
      <c r="D580" s="31" t="n">
        <v>60100</v>
      </c>
      <c r="E580" s="31" t="n">
        <v>60800</v>
      </c>
      <c r="F580" s="31" t="n">
        <v>60252.80078125</v>
      </c>
      <c r="G580" s="31" t="n">
        <v>443366</v>
      </c>
      <c r="H580" s="36" t="n">
        <v>0.008291873963515828</v>
      </c>
      <c r="I580" s="36" t="n">
        <v>-0.2838633686690224</v>
      </c>
      <c r="J580" s="31" t="n">
        <v>57925</v>
      </c>
      <c r="K580" s="31" t="n">
        <v>50715</v>
      </c>
      <c r="L580" s="31" t="n">
        <v>46977.91666666666</v>
      </c>
      <c r="M580" s="36" t="n">
        <v>0.4858511097333262</v>
      </c>
      <c r="N580" s="36" t="n">
        <v>0.4489894086320571</v>
      </c>
      <c r="O580" s="36" t="n">
        <v>0.04288164665523153</v>
      </c>
      <c r="P580" s="36" t="n">
        <v>0.3304157549234135</v>
      </c>
      <c r="Q580" s="36" t="n">
        <v>0.4883720930232558</v>
      </c>
      <c r="R580" s="36" t="n">
        <v>0.04963314630988358</v>
      </c>
      <c r="S580" s="36" t="n">
        <v>0.1988563541358572</v>
      </c>
      <c r="T580" s="36" t="n">
        <v>0.2942251235066122</v>
      </c>
      <c r="U580" s="31" t="n">
        <v>60800</v>
      </c>
      <c r="V580" s="31" t="n">
        <v>29200</v>
      </c>
      <c r="W580" s="36" t="n">
        <v>0</v>
      </c>
      <c r="X580" s="36" t="n">
        <v>1.082191780821918</v>
      </c>
      <c r="Y580" s="31" t="n">
        <v>43617167</v>
      </c>
      <c r="Z580" s="31" t="n">
        <v>2651923753600</v>
      </c>
      <c r="AA580" s="31" t="n">
        <v>26956652800</v>
      </c>
      <c r="AB580" s="31" t="n">
        <v>34649308380</v>
      </c>
      <c r="AC580" s="36" t="n">
        <v>0.01016494262454047</v>
      </c>
      <c r="AD580" s="29" t="inlineStr">
        <is>
          <t>yfinance_download</t>
        </is>
      </c>
      <c r="AE580" s="29" t="inlineStr">
        <is>
          <t>000990.KS</t>
        </is>
      </c>
    </row>
    <row r="581" ht="24" customHeight="1">
      <c r="A581" s="24" t="inlineStr">
        <is>
          <t>2025-10-28</t>
        </is>
      </c>
      <c r="B581" s="30" t="n">
        <v>60800</v>
      </c>
      <c r="C581" s="30" t="n">
        <v>61300</v>
      </c>
      <c r="D581" s="30" t="n">
        <v>59100</v>
      </c>
      <c r="E581" s="30" t="n">
        <v>59400</v>
      </c>
      <c r="F581" s="30" t="n">
        <v>58865.3984375</v>
      </c>
      <c r="G581" s="30" t="n">
        <v>390997</v>
      </c>
      <c r="H581" s="35" t="n">
        <v>-0.02302631578947367</v>
      </c>
      <c r="I581" s="35" t="n">
        <v>-0.3003533568904594</v>
      </c>
      <c r="J581" s="30" t="n">
        <v>58050</v>
      </c>
      <c r="K581" s="30" t="n">
        <v>50950</v>
      </c>
      <c r="L581" s="30" t="n">
        <v>47122.91666666666</v>
      </c>
      <c r="M581" s="35" t="n">
        <v>0.4851473034091007</v>
      </c>
      <c r="N581" s="35" t="n">
        <v>0.4518220640692635</v>
      </c>
      <c r="O581" s="35" t="n">
        <v>0.04393673110720564</v>
      </c>
      <c r="P581" s="35" t="n">
        <v>0.3112582781456954</v>
      </c>
      <c r="Q581" s="35" t="n">
        <v>0.4142857142857144</v>
      </c>
      <c r="R581" s="35" t="n">
        <v>0.02325581395348841</v>
      </c>
      <c r="S581" s="35" t="n">
        <v>0.1658488714425908</v>
      </c>
      <c r="T581" s="35" t="n">
        <v>0.2605331800698529</v>
      </c>
      <c r="U581" s="30" t="n">
        <v>60800</v>
      </c>
      <c r="V581" s="30" t="n">
        <v>29200</v>
      </c>
      <c r="W581" s="35" t="n">
        <v>-0.02302631578947367</v>
      </c>
      <c r="X581" s="35" t="n">
        <v>1.034246575342466</v>
      </c>
      <c r="Y581" s="30" t="n">
        <v>43617167</v>
      </c>
      <c r="Z581" s="30" t="n">
        <v>2590859719800</v>
      </c>
      <c r="AA581" s="30" t="n">
        <v>23225221800</v>
      </c>
      <c r="AB581" s="30" t="n">
        <v>33621910970</v>
      </c>
      <c r="AC581" s="35" t="n">
        <v>0.008964291513935328</v>
      </c>
      <c r="AD581" s="24" t="inlineStr">
        <is>
          <t>yfinance_download</t>
        </is>
      </c>
      <c r="AE581" s="24" t="inlineStr">
        <is>
          <t>000990.KS</t>
        </is>
      </c>
    </row>
    <row r="582" ht="24" customHeight="1">
      <c r="A582" s="29" t="inlineStr">
        <is>
          <t>2025-10-29</t>
        </is>
      </c>
      <c r="B582" s="31" t="n">
        <v>60000</v>
      </c>
      <c r="C582" s="31" t="n">
        <v>60600</v>
      </c>
      <c r="D582" s="31" t="n">
        <v>58700</v>
      </c>
      <c r="E582" s="31" t="n">
        <v>59300</v>
      </c>
      <c r="F582" s="31" t="n">
        <v>58766.30078125</v>
      </c>
      <c r="G582" s="31" t="n">
        <v>270586</v>
      </c>
      <c r="H582" s="36" t="n">
        <v>-0.001683501683501731</v>
      </c>
      <c r="I582" s="36" t="n">
        <v>-0.3015312131919906</v>
      </c>
      <c r="J582" s="31" t="n">
        <v>58115</v>
      </c>
      <c r="K582" s="31" t="n">
        <v>51169.16666666666</v>
      </c>
      <c r="L582" s="31" t="n">
        <v>47291.25</v>
      </c>
      <c r="M582" s="36" t="n">
        <v>0.4812515009755235</v>
      </c>
      <c r="N582" s="36" t="n">
        <v>0.4510885834237197</v>
      </c>
      <c r="O582" s="36" t="n">
        <v>0.02241379310344827</v>
      </c>
      <c r="P582" s="36" t="n">
        <v>0.2849404117009751</v>
      </c>
      <c r="Q582" s="36" t="n">
        <v>0.5166240409207161</v>
      </c>
      <c r="R582" s="36" t="n">
        <v>0.02039060483524047</v>
      </c>
      <c r="S582" s="36" t="n">
        <v>0.158901030894256</v>
      </c>
      <c r="T582" s="36" t="n">
        <v>0.253931752702667</v>
      </c>
      <c r="U582" s="31" t="n">
        <v>60800</v>
      </c>
      <c r="V582" s="31" t="n">
        <v>29200</v>
      </c>
      <c r="W582" s="36" t="n">
        <v>-0.02467105263157898</v>
      </c>
      <c r="X582" s="36" t="n">
        <v>1.030821917808219</v>
      </c>
      <c r="Y582" s="31" t="n">
        <v>43617167</v>
      </c>
      <c r="Z582" s="31" t="n">
        <v>2586498003100</v>
      </c>
      <c r="AA582" s="31" t="n">
        <v>16045749800</v>
      </c>
      <c r="AB582" s="31" t="n">
        <v>33230456960</v>
      </c>
      <c r="AC582" s="36" t="n">
        <v>0.006203658298119179</v>
      </c>
      <c r="AD582" s="29" t="inlineStr">
        <is>
          <t>yfinance_download</t>
        </is>
      </c>
      <c r="AE582" s="29" t="inlineStr">
        <is>
          <t>000990.KS</t>
        </is>
      </c>
    </row>
    <row r="583" ht="24" customHeight="1">
      <c r="A583" s="24" t="inlineStr">
        <is>
          <t>2025-10-30</t>
        </is>
      </c>
      <c r="B583" s="30" t="n">
        <v>59300</v>
      </c>
      <c r="C583" s="30" t="n">
        <v>59700</v>
      </c>
      <c r="D583" s="30" t="n">
        <v>58400</v>
      </c>
      <c r="E583" s="30" t="n">
        <v>58900</v>
      </c>
      <c r="F583" s="30" t="n">
        <v>58369.8984375</v>
      </c>
      <c r="G583" s="30" t="n">
        <v>285114</v>
      </c>
      <c r="H583" s="35" t="n">
        <v>-0.006745362563237767</v>
      </c>
      <c r="I583" s="35" t="n">
        <v>-0.3062426383981154</v>
      </c>
      <c r="J583" s="30" t="n">
        <v>58205</v>
      </c>
      <c r="K583" s="30" t="n">
        <v>51389.16666666666</v>
      </c>
      <c r="L583" s="30" t="n">
        <v>47456.66666666666</v>
      </c>
      <c r="M583" s="35" t="n">
        <v>0.4781237292183707</v>
      </c>
      <c r="N583" s="35" t="n">
        <v>0.4507227191456843</v>
      </c>
      <c r="O583" s="35" t="n">
        <v>0.03152364273204911</v>
      </c>
      <c r="P583" s="35" t="n">
        <v>0.288840262582057</v>
      </c>
      <c r="Q583" s="35" t="n">
        <v>0.5083226632522406</v>
      </c>
      <c r="R583" s="35" t="n">
        <v>0.01194055493514301</v>
      </c>
      <c r="S583" s="35" t="n">
        <v>0.1461559667245043</v>
      </c>
      <c r="T583" s="35" t="n">
        <v>0.2411322610100444</v>
      </c>
      <c r="U583" s="30" t="n">
        <v>60800</v>
      </c>
      <c r="V583" s="30" t="n">
        <v>29200</v>
      </c>
      <c r="W583" s="35" t="n">
        <v>-0.03125</v>
      </c>
      <c r="X583" s="35" t="n">
        <v>1.017123287671233</v>
      </c>
      <c r="Y583" s="30" t="n">
        <v>43617167</v>
      </c>
      <c r="Z583" s="30" t="n">
        <v>2569051136300</v>
      </c>
      <c r="AA583" s="30" t="n">
        <v>16793214600</v>
      </c>
      <c r="AB583" s="30" t="n">
        <v>32764751735</v>
      </c>
      <c r="AC583" s="35" t="n">
        <v>0.006536738160917237</v>
      </c>
      <c r="AD583" s="24" t="inlineStr">
        <is>
          <t>yfinance_download</t>
        </is>
      </c>
      <c r="AE583" s="24" t="inlineStr">
        <is>
          <t>000990.KS</t>
        </is>
      </c>
    </row>
    <row r="584" ht="24" customHeight="1">
      <c r="A584" s="29" t="inlineStr">
        <is>
          <t>2025-10-31</t>
        </is>
      </c>
      <c r="B584" s="31" t="n">
        <v>58900</v>
      </c>
      <c r="C584" s="31" t="n">
        <v>59300</v>
      </c>
      <c r="D584" s="31" t="n">
        <v>58200</v>
      </c>
      <c r="E584" s="31" t="n">
        <v>58800</v>
      </c>
      <c r="F584" s="31" t="n">
        <v>58270.80078125</v>
      </c>
      <c r="G584" s="31" t="n">
        <v>222558</v>
      </c>
      <c r="H584" s="36" t="n">
        <v>-0.001697792869269965</v>
      </c>
      <c r="I584" s="36" t="n">
        <v>-0.3074204946996466</v>
      </c>
      <c r="J584" s="31" t="n">
        <v>58330</v>
      </c>
      <c r="K584" s="31" t="n">
        <v>51600.83333333334</v>
      </c>
      <c r="L584" s="31" t="n">
        <v>47627.08333333334</v>
      </c>
      <c r="M584" s="36" t="n">
        <v>0.474645686326109</v>
      </c>
      <c r="N584" s="36" t="n">
        <v>0.4508230987320935</v>
      </c>
      <c r="O584" s="36" t="n">
        <v>0.04440497335701599</v>
      </c>
      <c r="P584" s="36" t="n">
        <v>0.2754880694143167</v>
      </c>
      <c r="Q584" s="36" t="n">
        <v>0.5332464146023468</v>
      </c>
      <c r="R584" s="36" t="n">
        <v>0.008057603291616644</v>
      </c>
      <c r="S584" s="36" t="n">
        <v>0.1395164806769915</v>
      </c>
      <c r="T584" s="36" t="n">
        <v>0.2345916626569267</v>
      </c>
      <c r="U584" s="31" t="n">
        <v>60800</v>
      </c>
      <c r="V584" s="31" t="n">
        <v>29200</v>
      </c>
      <c r="W584" s="36" t="n">
        <v>-0.03289473684210531</v>
      </c>
      <c r="X584" s="36" t="n">
        <v>1.013698630136986</v>
      </c>
      <c r="Y584" s="31" t="n">
        <v>43617167</v>
      </c>
      <c r="Z584" s="31" t="n">
        <v>2564689419600</v>
      </c>
      <c r="AA584" s="31" t="n">
        <v>13086410400</v>
      </c>
      <c r="AB584" s="31" t="n">
        <v>32218547945</v>
      </c>
      <c r="AC584" s="36" t="n">
        <v>0.005102532220856985</v>
      </c>
      <c r="AD584" s="29" t="inlineStr">
        <is>
          <t>yfinance_download</t>
        </is>
      </c>
      <c r="AE584" s="29" t="inlineStr">
        <is>
          <t>000990.KS</t>
        </is>
      </c>
    </row>
    <row r="585" ht="24" customHeight="1">
      <c r="A585" s="24" t="inlineStr">
        <is>
          <t>2025-11-03</t>
        </is>
      </c>
      <c r="B585" s="30" t="n">
        <v>58900</v>
      </c>
      <c r="C585" s="30" t="n">
        <v>59700</v>
      </c>
      <c r="D585" s="30" t="n">
        <v>57400</v>
      </c>
      <c r="E585" s="30" t="n">
        <v>58900</v>
      </c>
      <c r="F585" s="30" t="n">
        <v>58369.8984375</v>
      </c>
      <c r="G585" s="30" t="n">
        <v>383387</v>
      </c>
      <c r="H585" s="35" t="n">
        <v>0.001700680272108901</v>
      </c>
      <c r="I585" s="35" t="n">
        <v>-0.3062426383981154</v>
      </c>
      <c r="J585" s="30" t="n">
        <v>58425</v>
      </c>
      <c r="K585" s="30" t="n">
        <v>51820.83333333334</v>
      </c>
      <c r="L585" s="30" t="n">
        <v>47797.91666666666</v>
      </c>
      <c r="M585" s="35" t="n">
        <v>0.4732232682692386</v>
      </c>
      <c r="N585" s="35" t="n">
        <v>0.4500330458067419</v>
      </c>
      <c r="O585" s="35" t="n">
        <v>0.03333333333333344</v>
      </c>
      <c r="P585" s="35" t="n">
        <v>0.288840262582057</v>
      </c>
      <c r="Q585" s="35" t="n">
        <v>0.5338541666666667</v>
      </c>
      <c r="R585" s="35" t="n">
        <v>0.008130081300812941</v>
      </c>
      <c r="S585" s="35" t="n">
        <v>0.1366085068746481</v>
      </c>
      <c r="T585" s="35" t="n">
        <v>0.232271281000741</v>
      </c>
      <c r="U585" s="30" t="n">
        <v>60800</v>
      </c>
      <c r="V585" s="30" t="n">
        <v>29200</v>
      </c>
      <c r="W585" s="35" t="n">
        <v>-0.03125</v>
      </c>
      <c r="X585" s="35" t="n">
        <v>1.017123287671233</v>
      </c>
      <c r="Y585" s="30" t="n">
        <v>43617167</v>
      </c>
      <c r="Z585" s="30" t="n">
        <v>2569051136300</v>
      </c>
      <c r="AA585" s="30" t="n">
        <v>22581494300</v>
      </c>
      <c r="AB585" s="30" t="n">
        <v>32480729610</v>
      </c>
      <c r="AC585" s="35" t="n">
        <v>0.00878981892611228</v>
      </c>
      <c r="AD585" s="24" t="inlineStr">
        <is>
          <t>yfinance_download</t>
        </is>
      </c>
      <c r="AE585" s="24" t="inlineStr">
        <is>
          <t>000990.KS</t>
        </is>
      </c>
    </row>
    <row r="586" ht="24" customHeight="1">
      <c r="A586" s="29" t="inlineStr">
        <is>
          <t>2025-11-04</t>
        </is>
      </c>
      <c r="B586" s="31" t="n">
        <v>59000</v>
      </c>
      <c r="C586" s="31" t="n">
        <v>60700</v>
      </c>
      <c r="D586" s="31" t="n">
        <v>58500</v>
      </c>
      <c r="E586" s="31" t="n">
        <v>59000</v>
      </c>
      <c r="F586" s="31" t="n">
        <v>58469</v>
      </c>
      <c r="G586" s="31" t="n">
        <v>447571</v>
      </c>
      <c r="H586" s="36" t="n">
        <v>0.001697792869269854</v>
      </c>
      <c r="I586" s="36" t="n">
        <v>-0.3050647820965842</v>
      </c>
      <c r="J586" s="31" t="n">
        <v>58535</v>
      </c>
      <c r="K586" s="31" t="n">
        <v>52075.83333333334</v>
      </c>
      <c r="L586" s="31" t="n">
        <v>47967.91666666666</v>
      </c>
      <c r="M586" s="36" t="n">
        <v>0.4727708836430935</v>
      </c>
      <c r="N586" s="36" t="n">
        <v>0.4386542917318522</v>
      </c>
      <c r="O586" s="36" t="n">
        <v>0.03873239436619724</v>
      </c>
      <c r="P586" s="36" t="n">
        <v>0.3501144164759726</v>
      </c>
      <c r="Q586" s="36" t="n">
        <v>0.528497409326425</v>
      </c>
      <c r="R586" s="36" t="n">
        <v>0.007943965149056043</v>
      </c>
      <c r="S586" s="36" t="n">
        <v>0.1329631466931238</v>
      </c>
      <c r="T586" s="36" t="n">
        <v>0.2299887945936085</v>
      </c>
      <c r="U586" s="31" t="n">
        <v>60800</v>
      </c>
      <c r="V586" s="31" t="n">
        <v>29200</v>
      </c>
      <c r="W586" s="36" t="n">
        <v>-0.02960526315789469</v>
      </c>
      <c r="X586" s="36" t="n">
        <v>1.020547945205479</v>
      </c>
      <c r="Y586" s="31" t="n">
        <v>43617167</v>
      </c>
      <c r="Z586" s="31" t="n">
        <v>2573412853000</v>
      </c>
      <c r="AA586" s="31" t="n">
        <v>26406689000</v>
      </c>
      <c r="AB586" s="31" t="n">
        <v>33012367660</v>
      </c>
      <c r="AC586" s="36" t="n">
        <v>0.01026134961952022</v>
      </c>
      <c r="AD586" s="29" t="inlineStr">
        <is>
          <t>yfinance_download</t>
        </is>
      </c>
      <c r="AE586" s="29" t="inlineStr">
        <is>
          <t>000990.KS</t>
        </is>
      </c>
    </row>
    <row r="587" ht="24" customHeight="1">
      <c r="A587" s="24" t="inlineStr">
        <is>
          <t>2025-11-05</t>
        </is>
      </c>
      <c r="B587" s="30" t="n">
        <v>58000</v>
      </c>
      <c r="C587" s="30" t="n">
        <v>58700</v>
      </c>
      <c r="D587" s="30" t="n">
        <v>54000</v>
      </c>
      <c r="E587" s="30" t="n">
        <v>56000</v>
      </c>
      <c r="F587" s="30" t="n">
        <v>55496</v>
      </c>
      <c r="G587" s="30" t="n">
        <v>532513</v>
      </c>
      <c r="H587" s="35" t="n">
        <v>-0.05084745762711862</v>
      </c>
      <c r="I587" s="35" t="n">
        <v>-0.3404004711425206</v>
      </c>
      <c r="J587" s="30" t="n">
        <v>58435</v>
      </c>
      <c r="K587" s="30" t="n">
        <v>52250.83333333334</v>
      </c>
      <c r="L587" s="30" t="n">
        <v>48114.58333333334</v>
      </c>
      <c r="M587" s="35" t="n">
        <v>0.5028758831787713</v>
      </c>
      <c r="N587" s="35" t="n">
        <v>0.4470398411519721</v>
      </c>
      <c r="O587" s="35" t="n">
        <v>-0.03448275862068961</v>
      </c>
      <c r="P587" s="35" t="n">
        <v>0.2307692307692308</v>
      </c>
      <c r="Q587" s="35" t="n">
        <v>0.4583333333333333</v>
      </c>
      <c r="R587" s="35" t="n">
        <v>-0.04167023188157781</v>
      </c>
      <c r="S587" s="35" t="n">
        <v>0.07175324157509455</v>
      </c>
      <c r="T587" s="35" t="n">
        <v>0.1638882875081187</v>
      </c>
      <c r="U587" s="30" t="n">
        <v>60800</v>
      </c>
      <c r="V587" s="30" t="n">
        <v>29200</v>
      </c>
      <c r="W587" s="35" t="n">
        <v>-0.07894736842105265</v>
      </c>
      <c r="X587" s="35" t="n">
        <v>0.9178082191780821</v>
      </c>
      <c r="Y587" s="30" t="n">
        <v>43617167</v>
      </c>
      <c r="Z587" s="30" t="n">
        <v>2442561352000</v>
      </c>
      <c r="AA587" s="30" t="n">
        <v>29820728000</v>
      </c>
      <c r="AB587" s="30" t="n">
        <v>32654775860</v>
      </c>
      <c r="AC587" s="35" t="n">
        <v>0.01220879384486388</v>
      </c>
      <c r="AD587" s="24" t="inlineStr">
        <is>
          <t>yfinance_download</t>
        </is>
      </c>
      <c r="AE587" s="24" t="inlineStr">
        <is>
          <t>000990.KS</t>
        </is>
      </c>
    </row>
    <row r="588" ht="24" customHeight="1">
      <c r="A588" s="29" t="inlineStr">
        <is>
          <t>2025-11-06</t>
        </is>
      </c>
      <c r="B588" s="31" t="n">
        <v>57000</v>
      </c>
      <c r="C588" s="31" t="n">
        <v>57800</v>
      </c>
      <c r="D588" s="31" t="n">
        <v>54000</v>
      </c>
      <c r="E588" s="31" t="n">
        <v>55600</v>
      </c>
      <c r="F588" s="31" t="n">
        <v>55099.6015625</v>
      </c>
      <c r="G588" s="31" t="n">
        <v>397707</v>
      </c>
      <c r="H588" s="36" t="n">
        <v>-0.007142857142857117</v>
      </c>
      <c r="I588" s="36" t="n">
        <v>-0.3451118963486455</v>
      </c>
      <c r="J588" s="31" t="n">
        <v>58405</v>
      </c>
      <c r="K588" s="31" t="n">
        <v>52411.66666666666</v>
      </c>
      <c r="L588" s="31" t="n">
        <v>48260.41666666666</v>
      </c>
      <c r="M588" s="36" t="n">
        <v>0.4911378088230255</v>
      </c>
      <c r="N588" s="36" t="n">
        <v>0.4474197126974371</v>
      </c>
      <c r="O588" s="36" t="n">
        <v>-0.01067615658362986</v>
      </c>
      <c r="P588" s="36" t="n">
        <v>0.2100108813928183</v>
      </c>
      <c r="Q588" s="36" t="n">
        <v>0.4593175853018372</v>
      </c>
      <c r="R588" s="36" t="n">
        <v>-0.04802671004194847</v>
      </c>
      <c r="S588" s="36" t="n">
        <v>0.06083251184532701</v>
      </c>
      <c r="T588" s="36" t="n">
        <v>0.1520828836606951</v>
      </c>
      <c r="U588" s="31" t="n">
        <v>60800</v>
      </c>
      <c r="V588" s="31" t="n">
        <v>29200</v>
      </c>
      <c r="W588" s="36" t="n">
        <v>-0.08552631578947367</v>
      </c>
      <c r="X588" s="36" t="n">
        <v>0.904109589041096</v>
      </c>
      <c r="Y588" s="31" t="n">
        <v>43617167</v>
      </c>
      <c r="Z588" s="31" t="n">
        <v>2425114485200</v>
      </c>
      <c r="AA588" s="31" t="n">
        <v>22112509200</v>
      </c>
      <c r="AB588" s="31" t="n">
        <v>31183243540</v>
      </c>
      <c r="AC588" s="36" t="n">
        <v>0.00911813002435486</v>
      </c>
      <c r="AD588" s="29" t="inlineStr">
        <is>
          <t>yfinance_download</t>
        </is>
      </c>
      <c r="AE588" s="29" t="inlineStr">
        <is>
          <t>000990.KS</t>
        </is>
      </c>
    </row>
    <row r="589" ht="24" customHeight="1">
      <c r="A589" s="24" t="inlineStr">
        <is>
          <t>2025-11-07</t>
        </is>
      </c>
      <c r="B589" s="30" t="n">
        <v>54200</v>
      </c>
      <c r="C589" s="30" t="n">
        <v>55100</v>
      </c>
      <c r="D589" s="30" t="n">
        <v>52400</v>
      </c>
      <c r="E589" s="30" t="n">
        <v>53400</v>
      </c>
      <c r="F589" s="30" t="n">
        <v>52919.3984375</v>
      </c>
      <c r="G589" s="30" t="n">
        <v>355659</v>
      </c>
      <c r="H589" s="35" t="n">
        <v>-0.03956834532374098</v>
      </c>
      <c r="I589" s="35" t="n">
        <v>-0.3710247349823321</v>
      </c>
      <c r="J589" s="30" t="n">
        <v>58125</v>
      </c>
      <c r="K589" s="30" t="n">
        <v>52551.66666666666</v>
      </c>
      <c r="L589" s="30" t="n">
        <v>48378.33333333334</v>
      </c>
      <c r="M589" s="35" t="n">
        <v>0.4728306333928871</v>
      </c>
      <c r="N589" s="35" t="n">
        <v>0.4534271672940227</v>
      </c>
      <c r="O589" s="35" t="n">
        <v>-0.09491525423728808</v>
      </c>
      <c r="P589" s="35" t="n">
        <v>0.1866666666666668</v>
      </c>
      <c r="Q589" s="35" t="n">
        <v>0.3605095541401273</v>
      </c>
      <c r="R589" s="35" t="n">
        <v>-0.08129032258064517</v>
      </c>
      <c r="S589" s="35" t="n">
        <v>0.01614284355079132</v>
      </c>
      <c r="T589" s="35" t="n">
        <v>0.1037999104282219</v>
      </c>
      <c r="U589" s="30" t="n">
        <v>60800</v>
      </c>
      <c r="V589" s="30" t="n">
        <v>29200</v>
      </c>
      <c r="W589" s="35" t="n">
        <v>-0.1217105263157895</v>
      </c>
      <c r="X589" s="35" t="n">
        <v>0.8287671232876712</v>
      </c>
      <c r="Y589" s="30" t="n">
        <v>43617167</v>
      </c>
      <c r="Z589" s="30" t="n">
        <v>2329156717800</v>
      </c>
      <c r="AA589" s="30" t="n">
        <v>18992190600</v>
      </c>
      <c r="AB589" s="30" t="n">
        <v>28081556120</v>
      </c>
      <c r="AC589" s="35" t="n">
        <v>0.008154105928062682</v>
      </c>
      <c r="AD589" s="24" t="inlineStr">
        <is>
          <t>yfinance_download</t>
        </is>
      </c>
      <c r="AE589" s="24" t="inlineStr">
        <is>
          <t>000990.KS</t>
        </is>
      </c>
    </row>
    <row r="590" ht="24" customHeight="1">
      <c r="A590" s="29" t="inlineStr">
        <is>
          <t>2025-11-10</t>
        </is>
      </c>
      <c r="B590" s="31" t="n">
        <v>55600</v>
      </c>
      <c r="C590" s="31" t="n">
        <v>64100</v>
      </c>
      <c r="D590" s="31" t="n">
        <v>55500</v>
      </c>
      <c r="E590" s="31" t="n">
        <v>61800</v>
      </c>
      <c r="F590" s="31" t="n">
        <v>61243.80078125</v>
      </c>
      <c r="G590" s="31" t="n">
        <v>3169225</v>
      </c>
      <c r="H590" s="36" t="n">
        <v>0.1573033707865168</v>
      </c>
      <c r="I590" s="36" t="n">
        <v>-0.2720848056537103</v>
      </c>
      <c r="J590" s="31" t="n">
        <v>58265</v>
      </c>
      <c r="K590" s="31" t="n">
        <v>52824.16666666666</v>
      </c>
      <c r="L590" s="31" t="n">
        <v>48561.66666666666</v>
      </c>
      <c r="M590" s="36" t="n">
        <v>0.7445366366451724</v>
      </c>
      <c r="N590" s="36" t="n">
        <v>0.5524672950431011</v>
      </c>
      <c r="O590" s="36" t="n">
        <v>0.04745762711864399</v>
      </c>
      <c r="P590" s="36" t="n">
        <v>0.3597359735973598</v>
      </c>
      <c r="Q590" s="36" t="n">
        <v>0.5527638190954773</v>
      </c>
      <c r="R590" s="36" t="n">
        <v>0.06067107182699738</v>
      </c>
      <c r="S590" s="36" t="n">
        <v>0.1699190711322154</v>
      </c>
      <c r="T590" s="36" t="n">
        <v>0.2726087105741841</v>
      </c>
      <c r="U590" s="31" t="n">
        <v>61800</v>
      </c>
      <c r="V590" s="31" t="n">
        <v>29200</v>
      </c>
      <c r="W590" s="36" t="n">
        <v>0</v>
      </c>
      <c r="X590" s="36" t="n">
        <v>1.116438356164383</v>
      </c>
      <c r="Y590" s="31" t="n">
        <v>43617167</v>
      </c>
      <c r="Z590" s="31" t="n">
        <v>2695540920600</v>
      </c>
      <c r="AA590" s="31" t="n">
        <v>195858105000</v>
      </c>
      <c r="AB590" s="31" t="n">
        <v>36269755770</v>
      </c>
      <c r="AC590" s="36" t="n">
        <v>0.07266003773239101</v>
      </c>
      <c r="AD590" s="29" t="inlineStr">
        <is>
          <t>yfinance_download</t>
        </is>
      </c>
      <c r="AE590" s="29" t="inlineStr">
        <is>
          <t>000990.KS</t>
        </is>
      </c>
    </row>
    <row r="591" ht="24" customHeight="1">
      <c r="A591" s="24" t="inlineStr">
        <is>
          <t>2025-11-11</t>
        </is>
      </c>
      <c r="B591" s="30" t="n">
        <v>62100</v>
      </c>
      <c r="C591" s="30" t="n">
        <v>70800</v>
      </c>
      <c r="D591" s="30" t="n">
        <v>60500</v>
      </c>
      <c r="E591" s="30" t="n">
        <v>69100</v>
      </c>
      <c r="F591" s="30" t="n">
        <v>68478.1015625</v>
      </c>
      <c r="G591" s="30" t="n">
        <v>5307531</v>
      </c>
      <c r="H591" s="35" t="n">
        <v>0.1181229773462784</v>
      </c>
      <c r="I591" s="35" t="n">
        <v>-0.1861012956419317</v>
      </c>
      <c r="J591" s="30" t="n">
        <v>58955</v>
      </c>
      <c r="K591" s="30" t="n">
        <v>53210.83333333334</v>
      </c>
      <c r="L591" s="30" t="n">
        <v>48805.83333333334</v>
      </c>
      <c r="M591" s="35" t="n">
        <v>0.8060075975049206</v>
      </c>
      <c r="N591" s="35" t="n">
        <v>0.598571356935796</v>
      </c>
      <c r="O591" s="35" t="n">
        <v>0.2495479204339963</v>
      </c>
      <c r="P591" s="35" t="n">
        <v>0.5054466230936818</v>
      </c>
      <c r="Q591" s="35" t="n">
        <v>0.7361809045226131</v>
      </c>
      <c r="R591" s="35" t="n">
        <v>0.1720804003053176</v>
      </c>
      <c r="S591" s="35" t="n">
        <v>0.2986077396520133</v>
      </c>
      <c r="T591" s="35" t="n">
        <v>0.4158143664520975</v>
      </c>
      <c r="U591" s="30" t="n">
        <v>69100</v>
      </c>
      <c r="V591" s="30" t="n">
        <v>29200</v>
      </c>
      <c r="W591" s="35" t="n">
        <v>0</v>
      </c>
      <c r="X591" s="35" t="n">
        <v>1.366438356164383</v>
      </c>
      <c r="Y591" s="30" t="n">
        <v>43617167</v>
      </c>
      <c r="Z591" s="30" t="n">
        <v>3013946239700</v>
      </c>
      <c r="AA591" s="30" t="n">
        <v>366750392100</v>
      </c>
      <c r="AB591" s="30" t="n">
        <v>52514618305</v>
      </c>
      <c r="AC591" s="35" t="n">
        <v>0.1216844505283894</v>
      </c>
      <c r="AD591" s="24" t="inlineStr">
        <is>
          <t>yfinance_download</t>
        </is>
      </c>
      <c r="AE591" s="24" t="inlineStr">
        <is>
          <t>000990.KS</t>
        </is>
      </c>
    </row>
    <row r="592" ht="24" customHeight="1">
      <c r="A592" s="29" t="inlineStr">
        <is>
          <t>2025-11-12</t>
        </is>
      </c>
      <c r="B592" s="31" t="n">
        <v>68200</v>
      </c>
      <c r="C592" s="31" t="n">
        <v>72300</v>
      </c>
      <c r="D592" s="31" t="n">
        <v>67400</v>
      </c>
      <c r="E592" s="31" t="n">
        <v>71500</v>
      </c>
      <c r="F592" s="31" t="n">
        <v>70856.5</v>
      </c>
      <c r="G592" s="31" t="n">
        <v>1717812</v>
      </c>
      <c r="H592" s="36" t="n">
        <v>0.0347322720694645</v>
      </c>
      <c r="I592" s="36" t="n">
        <v>-0.1578327444051826</v>
      </c>
      <c r="J592" s="31" t="n">
        <v>59590</v>
      </c>
      <c r="K592" s="31" t="n">
        <v>53632.5</v>
      </c>
      <c r="L592" s="31" t="n">
        <v>49073.33333333334</v>
      </c>
      <c r="M592" s="36" t="n">
        <v>0.7882504909911366</v>
      </c>
      <c r="N592" s="36" t="n">
        <v>0.6011588870470398</v>
      </c>
      <c r="O592" s="36" t="n">
        <v>0.2159863945578231</v>
      </c>
      <c r="P592" s="36" t="n">
        <v>0.5476190476190477</v>
      </c>
      <c r="Q592" s="36" t="n">
        <v>0.8147208121827412</v>
      </c>
      <c r="R592" s="36" t="n">
        <v>0.199865749286793</v>
      </c>
      <c r="S592" s="36" t="n">
        <v>0.3331468792243508</v>
      </c>
      <c r="T592" s="36" t="n">
        <v>0.4570031245754653</v>
      </c>
      <c r="U592" s="31" t="n">
        <v>71500</v>
      </c>
      <c r="V592" s="31" t="n">
        <v>29200</v>
      </c>
      <c r="W592" s="36" t="n">
        <v>0</v>
      </c>
      <c r="X592" s="36" t="n">
        <v>1.448630136986301</v>
      </c>
      <c r="Y592" s="31" t="n">
        <v>43617167</v>
      </c>
      <c r="Z592" s="31" t="n">
        <v>3118627440500</v>
      </c>
      <c r="AA592" s="31" t="n">
        <v>122823558000</v>
      </c>
      <c r="AB592" s="31" t="n">
        <v>57078442105</v>
      </c>
      <c r="AC592" s="36" t="n">
        <v>0.03938385085853925</v>
      </c>
      <c r="AD592" s="29" t="inlineStr">
        <is>
          <t>yfinance_download</t>
        </is>
      </c>
      <c r="AE592" s="29" t="inlineStr">
        <is>
          <t>000990.KS</t>
        </is>
      </c>
    </row>
    <row r="593" ht="24" customHeight="1">
      <c r="A593" s="24" t="inlineStr">
        <is>
          <t>2025-11-13</t>
        </is>
      </c>
      <c r="B593" s="30" t="n">
        <v>71400</v>
      </c>
      <c r="C593" s="30" t="n">
        <v>72200</v>
      </c>
      <c r="D593" s="30" t="n">
        <v>67000</v>
      </c>
      <c r="E593" s="30" t="n">
        <v>67500</v>
      </c>
      <c r="F593" s="30" t="n">
        <v>66892.5</v>
      </c>
      <c r="G593" s="30" t="n">
        <v>1245219</v>
      </c>
      <c r="H593" s="35" t="n">
        <v>-0.05594405594405594</v>
      </c>
      <c r="I593" s="35" t="n">
        <v>-0.2049469964664311</v>
      </c>
      <c r="J593" s="30" t="n">
        <v>60020</v>
      </c>
      <c r="K593" s="30" t="n">
        <v>53975.83333333334</v>
      </c>
      <c r="L593" s="30" t="n">
        <v>49305.83333333334</v>
      </c>
      <c r="M593" s="35" t="n">
        <v>0.8229933313864612</v>
      </c>
      <c r="N593" s="35" t="n">
        <v>0.6150335239601961</v>
      </c>
      <c r="O593" s="35" t="n">
        <v>0.1460101867572157</v>
      </c>
      <c r="P593" s="35" t="n">
        <v>0.4392324093816631</v>
      </c>
      <c r="Q593" s="35" t="n">
        <v>0.7045454545454546</v>
      </c>
      <c r="R593" s="35" t="n">
        <v>0.1246251249583472</v>
      </c>
      <c r="S593" s="35" t="n">
        <v>0.2505596640471817</v>
      </c>
      <c r="T593" s="35" t="n">
        <v>0.3690063717950884</v>
      </c>
      <c r="U593" s="30" t="n">
        <v>71500</v>
      </c>
      <c r="V593" s="30" t="n">
        <v>29200</v>
      </c>
      <c r="W593" s="35" t="n">
        <v>-0.05594405594405594</v>
      </c>
      <c r="X593" s="35" t="n">
        <v>1.311643835616438</v>
      </c>
      <c r="Y593" s="30" t="n">
        <v>43617167</v>
      </c>
      <c r="Z593" s="30" t="n">
        <v>2944158772500</v>
      </c>
      <c r="AA593" s="30" t="n">
        <v>84052282500</v>
      </c>
      <c r="AB593" s="30" t="n">
        <v>59995295735</v>
      </c>
      <c r="AC593" s="35" t="n">
        <v>0.028548828033696</v>
      </c>
      <c r="AD593" s="24" t="inlineStr">
        <is>
          <t>yfinance_download</t>
        </is>
      </c>
      <c r="AE593" s="24" t="inlineStr">
        <is>
          <t>000990.KS</t>
        </is>
      </c>
    </row>
    <row r="594" ht="24" customHeight="1">
      <c r="A594" s="29" t="inlineStr">
        <is>
          <t>2025-11-14</t>
        </is>
      </c>
      <c r="B594" s="31" t="n">
        <v>65400</v>
      </c>
      <c r="C594" s="31" t="n">
        <v>69200</v>
      </c>
      <c r="D594" s="31" t="n">
        <v>64400</v>
      </c>
      <c r="E594" s="31" t="n">
        <v>67600</v>
      </c>
      <c r="F594" s="31" t="n">
        <v>66991.6015625</v>
      </c>
      <c r="G594" s="31" t="n">
        <v>1170043</v>
      </c>
      <c r="H594" s="36" t="n">
        <v>0.001481481481481417</v>
      </c>
      <c r="I594" s="36" t="n">
        <v>-0.2037691401648999</v>
      </c>
      <c r="J594" s="31" t="n">
        <v>60445</v>
      </c>
      <c r="K594" s="31" t="n">
        <v>54314.16666666666</v>
      </c>
      <c r="L594" s="31" t="n">
        <v>49547.91666666666</v>
      </c>
      <c r="M594" s="36" t="n">
        <v>0.8231648237327955</v>
      </c>
      <c r="N594" s="36" t="n">
        <v>0.6151182801081964</v>
      </c>
      <c r="O594" s="36" t="n">
        <v>0.143824027072758</v>
      </c>
      <c r="P594" s="36" t="n">
        <v>0.4291754756871036</v>
      </c>
      <c r="Q594" s="36" t="n">
        <v>0.7535667963683528</v>
      </c>
      <c r="R594" s="36" t="n">
        <v>0.1183720737860865</v>
      </c>
      <c r="S594" s="36" t="n">
        <v>0.244610828973411</v>
      </c>
      <c r="T594" s="36" t="n">
        <v>0.3643358701593575</v>
      </c>
      <c r="U594" s="31" t="n">
        <v>71500</v>
      </c>
      <c r="V594" s="31" t="n">
        <v>29200</v>
      </c>
      <c r="W594" s="36" t="n">
        <v>-0.05454545454545456</v>
      </c>
      <c r="X594" s="36" t="n">
        <v>1.315068493150685</v>
      </c>
      <c r="Y594" s="31" t="n">
        <v>43617167</v>
      </c>
      <c r="Z594" s="31" t="n">
        <v>2948520489200</v>
      </c>
      <c r="AA594" s="31" t="n">
        <v>79094906800</v>
      </c>
      <c r="AB594" s="31" t="n">
        <v>62172091450</v>
      </c>
      <c r="AC594" s="36" t="n">
        <v>0.02682528647493314</v>
      </c>
      <c r="AD594" s="29" t="inlineStr">
        <is>
          <t>yfinance_download</t>
        </is>
      </c>
      <c r="AE594" s="29" t="inlineStr">
        <is>
          <t>000990.KS</t>
        </is>
      </c>
    </row>
    <row r="595" ht="24" customHeight="1">
      <c r="A595" s="24" t="inlineStr">
        <is>
          <t>2025-11-17</t>
        </is>
      </c>
      <c r="B595" s="30" t="n">
        <v>68100</v>
      </c>
      <c r="C595" s="30" t="n">
        <v>72700</v>
      </c>
      <c r="D595" s="30" t="n">
        <v>67400</v>
      </c>
      <c r="E595" s="30" t="n">
        <v>70400</v>
      </c>
      <c r="F595" s="30" t="n">
        <v>69766.3984375</v>
      </c>
      <c r="G595" s="30" t="n">
        <v>1711508</v>
      </c>
      <c r="H595" s="35" t="n">
        <v>0.04142011834319526</v>
      </c>
      <c r="I595" s="35" t="n">
        <v>-0.1707891637220259</v>
      </c>
      <c r="J595" s="30" t="n">
        <v>60985</v>
      </c>
      <c r="K595" s="30" t="n">
        <v>54710.83333333334</v>
      </c>
      <c r="L595" s="30" t="n">
        <v>49807.5</v>
      </c>
      <c r="M595" s="35" t="n">
        <v>0.8317054183805073</v>
      </c>
      <c r="N595" s="35" t="n">
        <v>0.6175196932620299</v>
      </c>
      <c r="O595" s="35" t="n">
        <v>0.1812080536912752</v>
      </c>
      <c r="P595" s="35" t="n">
        <v>0.5107296137339057</v>
      </c>
      <c r="Q595" s="35" t="n">
        <v>0.7936305732484077</v>
      </c>
      <c r="R595" s="35" t="n">
        <v>0.1543822251373288</v>
      </c>
      <c r="S595" s="35" t="n">
        <v>0.2867652658675155</v>
      </c>
      <c r="T595" s="35" t="n">
        <v>0.4134417507403503</v>
      </c>
      <c r="U595" s="30" t="n">
        <v>71500</v>
      </c>
      <c r="V595" s="30" t="n">
        <v>29200</v>
      </c>
      <c r="W595" s="35" t="n">
        <v>-0.01538461538461533</v>
      </c>
      <c r="X595" s="35" t="n">
        <v>1.410958904109589</v>
      </c>
      <c r="Y595" s="30" t="n">
        <v>43617167</v>
      </c>
      <c r="Z595" s="30" t="n">
        <v>3070648556800</v>
      </c>
      <c r="AA595" s="30" t="n">
        <v>120490163200</v>
      </c>
      <c r="AB595" s="30" t="n">
        <v>66911867970</v>
      </c>
      <c r="AC595" s="35" t="n">
        <v>0.03923932060970398</v>
      </c>
      <c r="AD595" s="24" t="inlineStr">
        <is>
          <t>yfinance_download</t>
        </is>
      </c>
      <c r="AE595" s="24" t="inlineStr">
        <is>
          <t>000990.KS</t>
        </is>
      </c>
    </row>
    <row r="596" ht="24" customHeight="1">
      <c r="A596" s="29" t="inlineStr">
        <is>
          <t>2025-11-18</t>
        </is>
      </c>
      <c r="B596" s="31" t="n">
        <v>68600</v>
      </c>
      <c r="C596" s="31" t="n">
        <v>70600</v>
      </c>
      <c r="D596" s="31" t="n">
        <v>67100</v>
      </c>
      <c r="E596" s="31" t="n">
        <v>67500</v>
      </c>
      <c r="F596" s="31" t="n">
        <v>66892.5</v>
      </c>
      <c r="G596" s="31" t="n">
        <v>660785</v>
      </c>
      <c r="H596" s="36" t="n">
        <v>-0.04119318181818177</v>
      </c>
      <c r="I596" s="36" t="n">
        <v>-0.2049469964664311</v>
      </c>
      <c r="J596" s="31" t="n">
        <v>61520</v>
      </c>
      <c r="K596" s="31" t="n">
        <v>55070.83333333334</v>
      </c>
      <c r="L596" s="31" t="n">
        <v>50043.75</v>
      </c>
      <c r="M596" s="36" t="n">
        <v>0.8267230809119521</v>
      </c>
      <c r="N596" s="36" t="n">
        <v>0.6239136735541041</v>
      </c>
      <c r="O596" s="36" t="n">
        <v>0.1883802816901408</v>
      </c>
      <c r="P596" s="36" t="n">
        <v>0.4705882352941178</v>
      </c>
      <c r="Q596" s="36" t="n">
        <v>0.7241379310344827</v>
      </c>
      <c r="R596" s="36" t="n">
        <v>0.0972041612483745</v>
      </c>
      <c r="S596" s="36" t="n">
        <v>0.2256941817356435</v>
      </c>
      <c r="T596" s="36" t="n">
        <v>0.348819782690146</v>
      </c>
      <c r="U596" s="31" t="n">
        <v>71500</v>
      </c>
      <c r="V596" s="31" t="n">
        <v>29200</v>
      </c>
      <c r="W596" s="36" t="n">
        <v>-0.05594405594405594</v>
      </c>
      <c r="X596" s="36" t="n">
        <v>1.311643835616438</v>
      </c>
      <c r="Y596" s="31" t="n">
        <v>43617167</v>
      </c>
      <c r="Z596" s="31" t="n">
        <v>2944158772500</v>
      </c>
      <c r="AA596" s="31" t="n">
        <v>44602987500</v>
      </c>
      <c r="AB596" s="31" t="n">
        <v>66723362585</v>
      </c>
      <c r="AC596" s="36" t="n">
        <v>0.01514965426342339</v>
      </c>
      <c r="AD596" s="29" t="inlineStr">
        <is>
          <t>yfinance_download</t>
        </is>
      </c>
      <c r="AE596" s="29" t="inlineStr">
        <is>
          <t>000990.KS</t>
        </is>
      </c>
    </row>
    <row r="597" ht="24" customHeight="1">
      <c r="A597" s="24" t="inlineStr">
        <is>
          <t>2025-11-19</t>
        </is>
      </c>
      <c r="B597" s="30" t="n">
        <v>67200</v>
      </c>
      <c r="C597" s="30" t="n">
        <v>67800</v>
      </c>
      <c r="D597" s="30" t="n">
        <v>64600</v>
      </c>
      <c r="E597" s="30" t="n">
        <v>65700</v>
      </c>
      <c r="F597" s="30" t="n">
        <v>65108.69921875</v>
      </c>
      <c r="G597" s="30" t="n">
        <v>484753</v>
      </c>
      <c r="H597" s="35" t="n">
        <v>-0.02666666666666662</v>
      </c>
      <c r="I597" s="35" t="n">
        <v>-0.226148409893993</v>
      </c>
      <c r="J597" s="30" t="n">
        <v>61965</v>
      </c>
      <c r="K597" s="30" t="n">
        <v>55425</v>
      </c>
      <c r="L597" s="30" t="n">
        <v>50272.91666666666</v>
      </c>
      <c r="M597" s="35" t="n">
        <v>0.8363166319157597</v>
      </c>
      <c r="N597" s="35" t="n">
        <v>0.622687263740802</v>
      </c>
      <c r="O597" s="35" t="n">
        <v>0.1566901408450705</v>
      </c>
      <c r="P597" s="35" t="n">
        <v>0.4780652418447695</v>
      </c>
      <c r="Q597" s="35" t="n">
        <v>0.7198952879581151</v>
      </c>
      <c r="R597" s="35" t="n">
        <v>0.06027596223674658</v>
      </c>
      <c r="S597" s="35" t="n">
        <v>0.1853856562922869</v>
      </c>
      <c r="T597" s="35" t="n">
        <v>0.3068666860055531</v>
      </c>
      <c r="U597" s="30" t="n">
        <v>71500</v>
      </c>
      <c r="V597" s="30" t="n">
        <v>29200</v>
      </c>
      <c r="W597" s="35" t="n">
        <v>-0.0811188811188811</v>
      </c>
      <c r="X597" s="35" t="n">
        <v>1.25</v>
      </c>
      <c r="Y597" s="30" t="n">
        <v>43617167</v>
      </c>
      <c r="Z597" s="30" t="n">
        <v>2865647871900</v>
      </c>
      <c r="AA597" s="30" t="n">
        <v>31848272100</v>
      </c>
      <c r="AB597" s="30" t="n">
        <v>67074505910</v>
      </c>
      <c r="AC597" s="35" t="n">
        <v>0.0111138121373174</v>
      </c>
      <c r="AD597" s="24" t="inlineStr">
        <is>
          <t>yfinance_download</t>
        </is>
      </c>
      <c r="AE597" s="24" t="inlineStr">
        <is>
          <t>000990.KS</t>
        </is>
      </c>
    </row>
    <row r="598" ht="24" customHeight="1">
      <c r="A598" s="29" t="inlineStr">
        <is>
          <t>2025-11-20</t>
        </is>
      </c>
      <c r="B598" s="31" t="n">
        <v>67800</v>
      </c>
      <c r="C598" s="31" t="n">
        <v>68200</v>
      </c>
      <c r="D598" s="31" t="n">
        <v>65300</v>
      </c>
      <c r="E598" s="31" t="n">
        <v>66400</v>
      </c>
      <c r="F598" s="31" t="n">
        <v>65802.3984375</v>
      </c>
      <c r="G598" s="31" t="n">
        <v>459612</v>
      </c>
      <c r="H598" s="36" t="n">
        <v>0.01065449010654484</v>
      </c>
      <c r="I598" s="36" t="n">
        <v>-0.2179034157832744</v>
      </c>
      <c r="J598" s="31" t="n">
        <v>62395</v>
      </c>
      <c r="K598" s="31" t="n">
        <v>55815</v>
      </c>
      <c r="L598" s="31" t="n">
        <v>50508.33333333334</v>
      </c>
      <c r="M598" s="36" t="n">
        <v>0.835682612071539</v>
      </c>
      <c r="N598" s="36" t="n">
        <v>0.6171398709158312</v>
      </c>
      <c r="O598" s="36" t="n">
        <v>0.1487889273356402</v>
      </c>
      <c r="P598" s="36" t="n">
        <v>0.5441860465116279</v>
      </c>
      <c r="Q598" s="36" t="n">
        <v>0.7404980340760157</v>
      </c>
      <c r="R598" s="36" t="n">
        <v>0.06418783556374708</v>
      </c>
      <c r="S598" s="36" t="n">
        <v>0.189644360834901</v>
      </c>
      <c r="T598" s="36" t="n">
        <v>0.3146345487543309</v>
      </c>
      <c r="U598" s="31" t="n">
        <v>71500</v>
      </c>
      <c r="V598" s="31" t="n">
        <v>29200</v>
      </c>
      <c r="W598" s="36" t="n">
        <v>-0.07132867132867138</v>
      </c>
      <c r="X598" s="36" t="n">
        <v>1.273972602739726</v>
      </c>
      <c r="Y598" s="31" t="n">
        <v>43617167</v>
      </c>
      <c r="Z598" s="31" t="n">
        <v>2896179888800</v>
      </c>
      <c r="AA598" s="31" t="n">
        <v>30518236800</v>
      </c>
      <c r="AB598" s="31" t="n">
        <v>67607951290</v>
      </c>
      <c r="AC598" s="36" t="n">
        <v>0.01053741064842657</v>
      </c>
      <c r="AD598" s="29" t="inlineStr">
        <is>
          <t>yfinance_download</t>
        </is>
      </c>
      <c r="AE598" s="29" t="inlineStr">
        <is>
          <t>000990.KS</t>
        </is>
      </c>
    </row>
    <row r="599" ht="24" customHeight="1">
      <c r="A599" s="24" t="inlineStr">
        <is>
          <t>2025-11-21</t>
        </is>
      </c>
      <c r="B599" s="30" t="n">
        <v>63000</v>
      </c>
      <c r="C599" s="30" t="n">
        <v>64700</v>
      </c>
      <c r="D599" s="30" t="n">
        <v>61100</v>
      </c>
      <c r="E599" s="30" t="n">
        <v>61900</v>
      </c>
      <c r="F599" s="30" t="n">
        <v>61342.8984375</v>
      </c>
      <c r="G599" s="30" t="n">
        <v>530666</v>
      </c>
      <c r="H599" s="35" t="n">
        <v>-0.06777108433734935</v>
      </c>
      <c r="I599" s="35" t="n">
        <v>-0.2709069493521791</v>
      </c>
      <c r="J599" s="30" t="n">
        <v>62475</v>
      </c>
      <c r="K599" s="30" t="n">
        <v>56129.16666666666</v>
      </c>
      <c r="L599" s="30" t="n">
        <v>50705.41666666666</v>
      </c>
      <c r="M599" s="35" t="n">
        <v>0.8662941657068171</v>
      </c>
      <c r="N599" s="35" t="n">
        <v>0.6362667077898665</v>
      </c>
      <c r="O599" s="35" t="n">
        <v>0.02653399668325052</v>
      </c>
      <c r="P599" s="35" t="n">
        <v>0.437862950058072</v>
      </c>
      <c r="Q599" s="35" t="n">
        <v>0.6183006535947713</v>
      </c>
      <c r="R599" s="35" t="n">
        <v>-0.009203681472588987</v>
      </c>
      <c r="S599" s="35" t="n">
        <v>0.1028134511172147</v>
      </c>
      <c r="T599" s="35" t="n">
        <v>0.220776872950786</v>
      </c>
      <c r="U599" s="30" t="n">
        <v>71500</v>
      </c>
      <c r="V599" s="30" t="n">
        <v>29200</v>
      </c>
      <c r="W599" s="35" t="n">
        <v>-0.1342657342657343</v>
      </c>
      <c r="X599" s="35" t="n">
        <v>1.11986301369863</v>
      </c>
      <c r="Y599" s="30" t="n">
        <v>43617167</v>
      </c>
      <c r="Z599" s="30" t="n">
        <v>2699902637300</v>
      </c>
      <c r="AA599" s="30" t="n">
        <v>32848225400</v>
      </c>
      <c r="AB599" s="30" t="n">
        <v>66245399495</v>
      </c>
      <c r="AC599" s="35" t="n">
        <v>0.01216644813268134</v>
      </c>
      <c r="AD599" s="24" t="inlineStr">
        <is>
          <t>yfinance_download</t>
        </is>
      </c>
      <c r="AE599" s="24" t="inlineStr">
        <is>
          <t>000990.KS</t>
        </is>
      </c>
    </row>
    <row r="600" ht="24" customHeight="1">
      <c r="A600" s="29" t="inlineStr">
        <is>
          <t>2025-11-24</t>
        </is>
      </c>
      <c r="B600" s="31" t="n">
        <v>62000</v>
      </c>
      <c r="C600" s="31" t="n">
        <v>63200</v>
      </c>
      <c r="D600" s="31" t="n">
        <v>60600</v>
      </c>
      <c r="E600" s="31" t="n">
        <v>60800</v>
      </c>
      <c r="F600" s="31" t="n">
        <v>60252.80078125</v>
      </c>
      <c r="G600" s="31" t="n">
        <v>357746</v>
      </c>
      <c r="H600" s="36" t="n">
        <v>-0.0177705977382876</v>
      </c>
      <c r="I600" s="36" t="n">
        <v>-0.2838633686690224</v>
      </c>
      <c r="J600" s="31" t="n">
        <v>62475</v>
      </c>
      <c r="K600" s="31" t="n">
        <v>56423.33333333334</v>
      </c>
      <c r="L600" s="31" t="n">
        <v>50891.25</v>
      </c>
      <c r="M600" s="36" t="n">
        <v>0.8689808946975678</v>
      </c>
      <c r="N600" s="36" t="n">
        <v>0.6382047488014156</v>
      </c>
      <c r="O600" s="36" t="n">
        <v>0</v>
      </c>
      <c r="P600" s="36" t="n">
        <v>0.4090382387022016</v>
      </c>
      <c r="Q600" s="36" t="n">
        <v>0.5792207792207793</v>
      </c>
      <c r="R600" s="36" t="n">
        <v>-0.02681072428971587</v>
      </c>
      <c r="S600" s="36" t="n">
        <v>0.07756838187511073</v>
      </c>
      <c r="T600" s="36" t="n">
        <v>0.1947043941738511</v>
      </c>
      <c r="U600" s="31" t="n">
        <v>71500</v>
      </c>
      <c r="V600" s="31" t="n">
        <v>29200</v>
      </c>
      <c r="W600" s="36" t="n">
        <v>-0.1496503496503496</v>
      </c>
      <c r="X600" s="36" t="n">
        <v>1.082191780821918</v>
      </c>
      <c r="Y600" s="31" t="n">
        <v>43617167</v>
      </c>
      <c r="Z600" s="31" t="n">
        <v>2651923753600</v>
      </c>
      <c r="AA600" s="31" t="n">
        <v>21750956800</v>
      </c>
      <c r="AB600" s="31" t="n">
        <v>65985114695</v>
      </c>
      <c r="AC600" s="36" t="n">
        <v>0.008201954060886165</v>
      </c>
      <c r="AD600" s="29" t="inlineStr">
        <is>
          <t>yfinance_download</t>
        </is>
      </c>
      <c r="AE600" s="29" t="inlineStr">
        <is>
          <t>000990.KS</t>
        </is>
      </c>
    </row>
    <row r="601" ht="24" customHeight="1">
      <c r="A601" s="24" t="inlineStr">
        <is>
          <t>2025-11-25</t>
        </is>
      </c>
      <c r="B601" s="30" t="n">
        <v>62900</v>
      </c>
      <c r="C601" s="30" t="n">
        <v>62900</v>
      </c>
      <c r="D601" s="30" t="n">
        <v>61100</v>
      </c>
      <c r="E601" s="30" t="n">
        <v>61900</v>
      </c>
      <c r="F601" s="30" t="n">
        <v>61342.8984375</v>
      </c>
      <c r="G601" s="30" t="n">
        <v>265541</v>
      </c>
      <c r="H601" s="35" t="n">
        <v>0.01809210526315796</v>
      </c>
      <c r="I601" s="35" t="n">
        <v>-0.2709069493521791</v>
      </c>
      <c r="J601" s="30" t="n">
        <v>62600</v>
      </c>
      <c r="K601" s="30" t="n">
        <v>56715.83333333334</v>
      </c>
      <c r="L601" s="30" t="n">
        <v>51081.25</v>
      </c>
      <c r="M601" s="35" t="n">
        <v>0.8659330990769148</v>
      </c>
      <c r="N601" s="35" t="n">
        <v>0.637128564235527</v>
      </c>
      <c r="O601" s="35" t="n">
        <v>0.04208754208754217</v>
      </c>
      <c r="P601" s="35" t="n">
        <v>0.3957158962795941</v>
      </c>
      <c r="Q601" s="35" t="n">
        <v>0.5831202046035806</v>
      </c>
      <c r="R601" s="35" t="n">
        <v>-0.01118210862619806</v>
      </c>
      <c r="S601" s="35" t="n">
        <v>0.09140598598275029</v>
      </c>
      <c r="T601" s="35" t="n">
        <v>0.2117949345405603</v>
      </c>
      <c r="U601" s="30" t="n">
        <v>71500</v>
      </c>
      <c r="V601" s="30" t="n">
        <v>29200</v>
      </c>
      <c r="W601" s="35" t="n">
        <v>-0.1342657342657343</v>
      </c>
      <c r="X601" s="35" t="n">
        <v>1.11986301369863</v>
      </c>
      <c r="Y601" s="30" t="n">
        <v>43617167</v>
      </c>
      <c r="Z601" s="30" t="n">
        <v>2699902637300</v>
      </c>
      <c r="AA601" s="30" t="n">
        <v>16436987900</v>
      </c>
      <c r="AB601" s="30" t="n">
        <v>65645703000</v>
      </c>
      <c r="AC601" s="35" t="n">
        <v>0.006087992830896147</v>
      </c>
      <c r="AD601" s="24" t="inlineStr">
        <is>
          <t>yfinance_download</t>
        </is>
      </c>
      <c r="AE601" s="24" t="inlineStr">
        <is>
          <t>000990.KS</t>
        </is>
      </c>
    </row>
    <row r="602" ht="24" customHeight="1">
      <c r="A602" s="29" t="inlineStr">
        <is>
          <t>2025-11-26</t>
        </is>
      </c>
      <c r="B602" s="31" t="n">
        <v>62500</v>
      </c>
      <c r="C602" s="31" t="n">
        <v>62600</v>
      </c>
      <c r="D602" s="31" t="n">
        <v>60900</v>
      </c>
      <c r="E602" s="31" t="n">
        <v>61900</v>
      </c>
      <c r="F602" s="31" t="n">
        <v>61342.8984375</v>
      </c>
      <c r="G602" s="31" t="n">
        <v>285807</v>
      </c>
      <c r="H602" s="36" t="n">
        <v>0</v>
      </c>
      <c r="I602" s="36" t="n">
        <v>-0.2709069493521791</v>
      </c>
      <c r="J602" s="31" t="n">
        <v>62730</v>
      </c>
      <c r="K602" s="31" t="n">
        <v>56970</v>
      </c>
      <c r="L602" s="31" t="n">
        <v>51267.91666666666</v>
      </c>
      <c r="M602" s="36" t="n">
        <v>0.8658224061050117</v>
      </c>
      <c r="N602" s="36" t="n">
        <v>0.6301279947650229</v>
      </c>
      <c r="O602" s="36" t="n">
        <v>0.04384485666104543</v>
      </c>
      <c r="P602" s="36" t="n">
        <v>0.3269024651661308</v>
      </c>
      <c r="Q602" s="36" t="n">
        <v>0.5670886075949366</v>
      </c>
      <c r="R602" s="36" t="n">
        <v>-0.01323130878367607</v>
      </c>
      <c r="S602" s="36" t="n">
        <v>0.08653677374056512</v>
      </c>
      <c r="T602" s="36" t="n">
        <v>0.2073827848800827</v>
      </c>
      <c r="U602" s="31" t="n">
        <v>71500</v>
      </c>
      <c r="V602" s="31" t="n">
        <v>29200</v>
      </c>
      <c r="W602" s="36" t="n">
        <v>-0.1342657342657343</v>
      </c>
      <c r="X602" s="36" t="n">
        <v>1.11986301369863</v>
      </c>
      <c r="Y602" s="31" t="n">
        <v>43617167</v>
      </c>
      <c r="Z602" s="31" t="n">
        <v>2699902637300</v>
      </c>
      <c r="AA602" s="31" t="n">
        <v>17691453300</v>
      </c>
      <c r="AB602" s="31" t="n">
        <v>65727988175</v>
      </c>
      <c r="AC602" s="36" t="n">
        <v>0.006552626400517943</v>
      </c>
      <c r="AD602" s="29" t="inlineStr">
        <is>
          <t>yfinance_download</t>
        </is>
      </c>
      <c r="AE602" s="29" t="inlineStr">
        <is>
          <t>000990.KS</t>
        </is>
      </c>
    </row>
    <row r="603" ht="24" customHeight="1">
      <c r="A603" s="24" t="inlineStr">
        <is>
          <t>2025-11-27</t>
        </is>
      </c>
      <c r="B603" s="30" t="n">
        <v>62600</v>
      </c>
      <c r="C603" s="30" t="n">
        <v>64300</v>
      </c>
      <c r="D603" s="30" t="n">
        <v>62200</v>
      </c>
      <c r="E603" s="30" t="n">
        <v>63600</v>
      </c>
      <c r="F603" s="30" t="n">
        <v>63027.6015625</v>
      </c>
      <c r="G603" s="30" t="n">
        <v>391308</v>
      </c>
      <c r="H603" s="35" t="n">
        <v>0.02746365105008075</v>
      </c>
      <c r="I603" s="35" t="n">
        <v>-0.2508833922261484</v>
      </c>
      <c r="J603" s="30" t="n">
        <v>62965</v>
      </c>
      <c r="K603" s="30" t="n">
        <v>57260.83333333334</v>
      </c>
      <c r="L603" s="30" t="n">
        <v>51472.91666666666</v>
      </c>
      <c r="M603" s="35" t="n">
        <v>0.8689666723379318</v>
      </c>
      <c r="N603" s="35" t="n">
        <v>0.6307959415556598</v>
      </c>
      <c r="O603" s="35" t="n">
        <v>0.07979626485568758</v>
      </c>
      <c r="P603" s="35" t="n">
        <v>0.3781148429035752</v>
      </c>
      <c r="Q603" s="35" t="n">
        <v>0.6307692307692307</v>
      </c>
      <c r="R603" s="35" t="n">
        <v>0.01008496783927582</v>
      </c>
      <c r="S603" s="35" t="n">
        <v>0.1107068531427822</v>
      </c>
      <c r="T603" s="35" t="n">
        <v>0.2356012466102724</v>
      </c>
      <c r="U603" s="30" t="n">
        <v>71500</v>
      </c>
      <c r="V603" s="30" t="n">
        <v>29200</v>
      </c>
      <c r="W603" s="35" t="n">
        <v>-0.1104895104895105</v>
      </c>
      <c r="X603" s="35" t="n">
        <v>1.178082191780822</v>
      </c>
      <c r="Y603" s="30" t="n">
        <v>43617167</v>
      </c>
      <c r="Z603" s="30" t="n">
        <v>2774051821200</v>
      </c>
      <c r="AA603" s="30" t="n">
        <v>24887188800</v>
      </c>
      <c r="AB603" s="30" t="n">
        <v>66132686885</v>
      </c>
      <c r="AC603" s="35" t="n">
        <v>0.008971421734015874</v>
      </c>
      <c r="AD603" s="24" t="inlineStr">
        <is>
          <t>yfinance_download</t>
        </is>
      </c>
      <c r="AE603" s="24" t="inlineStr">
        <is>
          <t>000990.KS</t>
        </is>
      </c>
    </row>
    <row r="604" ht="24" customHeight="1">
      <c r="A604" s="29" t="inlineStr">
        <is>
          <t>2025-11-28</t>
        </is>
      </c>
      <c r="B604" s="31" t="n">
        <v>64000</v>
      </c>
      <c r="C604" s="31" t="n">
        <v>65200</v>
      </c>
      <c r="D604" s="31" t="n">
        <v>61900</v>
      </c>
      <c r="E604" s="31" t="n">
        <v>63600</v>
      </c>
      <c r="F604" s="31" t="n">
        <v>63027.6015625</v>
      </c>
      <c r="G604" s="31" t="n">
        <v>338740</v>
      </c>
      <c r="H604" s="36" t="n">
        <v>0</v>
      </c>
      <c r="I604" s="36" t="n">
        <v>-0.2508833922261484</v>
      </c>
      <c r="J604" s="31" t="n">
        <v>63205</v>
      </c>
      <c r="K604" s="31" t="n">
        <v>57561.66666666666</v>
      </c>
      <c r="L604" s="31" t="n">
        <v>51650.41666666666</v>
      </c>
      <c r="M604" s="36" t="n">
        <v>0.8688087224394114</v>
      </c>
      <c r="N604" s="36" t="n">
        <v>0.6296753944123675</v>
      </c>
      <c r="O604" s="36" t="n">
        <v>0.08163265306122458</v>
      </c>
      <c r="P604" s="36" t="n">
        <v>0.3962678375411635</v>
      </c>
      <c r="Q604" s="36" t="n">
        <v>0.5035460992907801</v>
      </c>
      <c r="R604" s="36" t="n">
        <v>0.006249505577090364</v>
      </c>
      <c r="S604" s="36" t="n">
        <v>0.1049019891710341</v>
      </c>
      <c r="T604" s="36" t="n">
        <v>0.2313550229507668</v>
      </c>
      <c r="U604" s="31" t="n">
        <v>71500</v>
      </c>
      <c r="V604" s="31" t="n">
        <v>29200</v>
      </c>
      <c r="W604" s="36" t="n">
        <v>-0.1104895104895105</v>
      </c>
      <c r="X604" s="36" t="n">
        <v>1.178082191780822</v>
      </c>
      <c r="Y604" s="31" t="n">
        <v>43617167</v>
      </c>
      <c r="Z604" s="31" t="n">
        <v>2774051821200</v>
      </c>
      <c r="AA604" s="31" t="n">
        <v>21543864000</v>
      </c>
      <c r="AB604" s="31" t="n">
        <v>66555559565</v>
      </c>
      <c r="AC604" s="36" t="n">
        <v>0.007766208199629288</v>
      </c>
      <c r="AD604" s="29" t="inlineStr">
        <is>
          <t>yfinance_download</t>
        </is>
      </c>
      <c r="AE604" s="29" t="inlineStr">
        <is>
          <t>000990.KS</t>
        </is>
      </c>
    </row>
    <row r="605" ht="24" customHeight="1">
      <c r="A605" s="24" t="inlineStr">
        <is>
          <t>2025-12-01</t>
        </is>
      </c>
      <c r="B605" s="30" t="n">
        <v>65300</v>
      </c>
      <c r="C605" s="30" t="n">
        <v>67900</v>
      </c>
      <c r="D605" s="30" t="n">
        <v>64300</v>
      </c>
      <c r="E605" s="30" t="n">
        <v>64500</v>
      </c>
      <c r="F605" s="30" t="n">
        <v>63919.5</v>
      </c>
      <c r="G605" s="30" t="n">
        <v>463976</v>
      </c>
      <c r="H605" s="35" t="n">
        <v>0.01415094339622636</v>
      </c>
      <c r="I605" s="35" t="n">
        <v>-0.2402826855123675</v>
      </c>
      <c r="J605" s="30" t="n">
        <v>63485</v>
      </c>
      <c r="K605" s="30" t="n">
        <v>57870.83333333334</v>
      </c>
      <c r="L605" s="30" t="n">
        <v>51830.83333333334</v>
      </c>
      <c r="M605" s="35" t="n">
        <v>0.8692507612456087</v>
      </c>
      <c r="N605" s="35" t="n">
        <v>0.6298609743630654</v>
      </c>
      <c r="O605" s="35" t="n">
        <v>0.09507640067911716</v>
      </c>
      <c r="P605" s="35" t="n">
        <v>0.4036996735582155</v>
      </c>
      <c r="Q605" s="35" t="n">
        <v>0.5052508751458575</v>
      </c>
      <c r="R605" s="35" t="n">
        <v>0.01598802866818927</v>
      </c>
      <c r="S605" s="35" t="n">
        <v>0.1145510835913313</v>
      </c>
      <c r="T605" s="35" t="n">
        <v>0.244433011238484</v>
      </c>
      <c r="U605" s="30" t="n">
        <v>71500</v>
      </c>
      <c r="V605" s="30" t="n">
        <v>29200</v>
      </c>
      <c r="W605" s="35" t="n">
        <v>-0.09790209790209792</v>
      </c>
      <c r="X605" s="35" t="n">
        <v>1.208904109589041</v>
      </c>
      <c r="Y605" s="30" t="n">
        <v>43617167</v>
      </c>
      <c r="Z605" s="30" t="n">
        <v>2813307271500</v>
      </c>
      <c r="AA605" s="30" t="n">
        <v>29926452000</v>
      </c>
      <c r="AB605" s="30" t="n">
        <v>66922807450</v>
      </c>
      <c r="AC605" s="35" t="n">
        <v>0.01063746299708094</v>
      </c>
      <c r="AD605" s="24" t="inlineStr">
        <is>
          <t>yfinance_download</t>
        </is>
      </c>
      <c r="AE605" s="24" t="inlineStr">
        <is>
          <t>000990.KS</t>
        </is>
      </c>
    </row>
    <row r="606" ht="24" customHeight="1">
      <c r="A606" s="29" t="inlineStr">
        <is>
          <t>2025-12-02</t>
        </is>
      </c>
      <c r="B606" s="31" t="n">
        <v>64500</v>
      </c>
      <c r="C606" s="31" t="n">
        <v>66200</v>
      </c>
      <c r="D606" s="31" t="n">
        <v>63700</v>
      </c>
      <c r="E606" s="31" t="n">
        <v>65000</v>
      </c>
      <c r="F606" s="31" t="n">
        <v>64415</v>
      </c>
      <c r="G606" s="31" t="n">
        <v>258974</v>
      </c>
      <c r="H606" s="36" t="n">
        <v>0.007751937984496138</v>
      </c>
      <c r="I606" s="36" t="n">
        <v>-0.2343934040047114</v>
      </c>
      <c r="J606" s="31" t="n">
        <v>63785</v>
      </c>
      <c r="K606" s="31" t="n">
        <v>58215.83333333334</v>
      </c>
      <c r="L606" s="31" t="n">
        <v>52005.41666666666</v>
      </c>
      <c r="M606" s="36" t="n">
        <v>0.8691272252242193</v>
      </c>
      <c r="N606" s="36" t="n">
        <v>0.6236552774457671</v>
      </c>
      <c r="O606" s="36" t="n">
        <v>0.1016949152542372</v>
      </c>
      <c r="P606" s="36" t="n">
        <v>0.4672686230248306</v>
      </c>
      <c r="Q606" s="36" t="n">
        <v>0.4755959137343928</v>
      </c>
      <c r="R606" s="36" t="n">
        <v>0.01904836560319834</v>
      </c>
      <c r="S606" s="36" t="n">
        <v>0.1165347342504186</v>
      </c>
      <c r="T606" s="36" t="n">
        <v>0.2498698052286221</v>
      </c>
      <c r="U606" s="31" t="n">
        <v>71500</v>
      </c>
      <c r="V606" s="31" t="n">
        <v>29200</v>
      </c>
      <c r="W606" s="36" t="n">
        <v>-0.09090909090909094</v>
      </c>
      <c r="X606" s="36" t="n">
        <v>1.226027397260274</v>
      </c>
      <c r="Y606" s="31" t="n">
        <v>43617167</v>
      </c>
      <c r="Z606" s="31" t="n">
        <v>2835115855000</v>
      </c>
      <c r="AA606" s="31" t="n">
        <v>16833310000</v>
      </c>
      <c r="AB606" s="31" t="n">
        <v>66444138500</v>
      </c>
      <c r="AC606" s="36" t="n">
        <v>0.005937432846108506</v>
      </c>
      <c r="AD606" s="29" t="inlineStr">
        <is>
          <t>yfinance_download</t>
        </is>
      </c>
      <c r="AE606" s="29" t="inlineStr">
        <is>
          <t>000990.KS</t>
        </is>
      </c>
    </row>
    <row r="607" ht="24" customHeight="1">
      <c r="A607" s="24" t="inlineStr">
        <is>
          <t>2025-12-03</t>
        </is>
      </c>
      <c r="B607" s="30" t="n">
        <v>66000</v>
      </c>
      <c r="C607" s="30" t="n">
        <v>66900</v>
      </c>
      <c r="D607" s="30" t="n">
        <v>64500</v>
      </c>
      <c r="E607" s="30" t="n">
        <v>65600</v>
      </c>
      <c r="F607" s="30" t="n">
        <v>65009.6015625</v>
      </c>
      <c r="G607" s="30" t="n">
        <v>295113</v>
      </c>
      <c r="H607" s="35" t="n">
        <v>0.009230769230769154</v>
      </c>
      <c r="I607" s="35" t="n">
        <v>-0.2273262661955241</v>
      </c>
      <c r="J607" s="30" t="n">
        <v>64265</v>
      </c>
      <c r="K607" s="30" t="n">
        <v>58576.66666666666</v>
      </c>
      <c r="L607" s="30" t="n">
        <v>52185</v>
      </c>
      <c r="M607" s="35" t="n">
        <v>0.8425705531170846</v>
      </c>
      <c r="N607" s="35" t="n">
        <v>0.6228780557563091</v>
      </c>
      <c r="O607" s="35" t="n">
        <v>0.1714285714285715</v>
      </c>
      <c r="P607" s="35" t="n">
        <v>0.4926052332195676</v>
      </c>
      <c r="Q607" s="35" t="n">
        <v>0.4892167990919409</v>
      </c>
      <c r="R607" s="35" t="n">
        <v>0.02077336030498711</v>
      </c>
      <c r="S607" s="35" t="n">
        <v>0.1198998463552041</v>
      </c>
      <c r="T607" s="35" t="n">
        <v>0.2570662067643958</v>
      </c>
      <c r="U607" s="30" t="n">
        <v>71500</v>
      </c>
      <c r="V607" s="30" t="n">
        <v>29200</v>
      </c>
      <c r="W607" s="35" t="n">
        <v>-0.08251748251748248</v>
      </c>
      <c r="X607" s="35" t="n">
        <v>1.246575342465754</v>
      </c>
      <c r="Y607" s="30" t="n">
        <v>43617167</v>
      </c>
      <c r="Z607" s="30" t="n">
        <v>2861286155200</v>
      </c>
      <c r="AA607" s="30" t="n">
        <v>19359412800</v>
      </c>
      <c r="AB607" s="30" t="n">
        <v>65921072740</v>
      </c>
      <c r="AC607" s="35" t="n">
        <v>0.006765982760870278</v>
      </c>
      <c r="AD607" s="24" t="inlineStr">
        <is>
          <t>yfinance_download</t>
        </is>
      </c>
      <c r="AE607" s="24" t="inlineStr">
        <is>
          <t>000990.KS</t>
        </is>
      </c>
    </row>
    <row r="608" ht="24" customHeight="1">
      <c r="A608" s="29" t="inlineStr">
        <is>
          <t>2025-12-04</t>
        </is>
      </c>
      <c r="B608" s="31" t="n">
        <v>65400</v>
      </c>
      <c r="C608" s="31" t="n">
        <v>65400</v>
      </c>
      <c r="D608" s="31" t="n">
        <v>63200</v>
      </c>
      <c r="E608" s="31" t="n">
        <v>64400</v>
      </c>
      <c r="F608" s="31" t="n">
        <v>63820.3984375</v>
      </c>
      <c r="G608" s="31" t="n">
        <v>361893</v>
      </c>
      <c r="H608" s="36" t="n">
        <v>-0.01829268292682928</v>
      </c>
      <c r="I608" s="36" t="n">
        <v>-0.2414605418138988</v>
      </c>
      <c r="J608" s="31" t="n">
        <v>64705</v>
      </c>
      <c r="K608" s="31" t="n">
        <v>58908.33333333334</v>
      </c>
      <c r="L608" s="31" t="n">
        <v>52350.83333333334</v>
      </c>
      <c r="M608" s="36" t="n">
        <v>0.8463629915173305</v>
      </c>
      <c r="N608" s="36" t="n">
        <v>0.6249997271319099</v>
      </c>
      <c r="O608" s="36" t="n">
        <v>0.1582733812949639</v>
      </c>
      <c r="P608" s="36" t="n">
        <v>0.4471910112359549</v>
      </c>
      <c r="Q608" s="36" t="n">
        <v>0.4471910112359549</v>
      </c>
      <c r="R608" s="36" t="n">
        <v>-0.004713700641372331</v>
      </c>
      <c r="S608" s="36" t="n">
        <v>0.09322393549299757</v>
      </c>
      <c r="T608" s="36" t="n">
        <v>0.2301618885404562</v>
      </c>
      <c r="U608" s="31" t="n">
        <v>71500</v>
      </c>
      <c r="V608" s="31" t="n">
        <v>29200</v>
      </c>
      <c r="W608" s="36" t="n">
        <v>-0.09930069930069929</v>
      </c>
      <c r="X608" s="36" t="n">
        <v>1.205479452054794</v>
      </c>
      <c r="Y608" s="31" t="n">
        <v>43617167</v>
      </c>
      <c r="Z608" s="31" t="n">
        <v>2808945554800</v>
      </c>
      <c r="AA608" s="31" t="n">
        <v>23305909200</v>
      </c>
      <c r="AB608" s="31" t="n">
        <v>65980742740</v>
      </c>
      <c r="AC608" s="36" t="n">
        <v>0.008297031304211023</v>
      </c>
      <c r="AD608" s="29" t="inlineStr">
        <is>
          <t>yfinance_download</t>
        </is>
      </c>
      <c r="AE608" s="29" t="inlineStr">
        <is>
          <t>000990.KS</t>
        </is>
      </c>
    </row>
    <row r="609" ht="24" customHeight="1">
      <c r="A609" s="24" t="inlineStr">
        <is>
          <t>2025-12-05</t>
        </is>
      </c>
      <c r="B609" s="30" t="n">
        <v>64400</v>
      </c>
      <c r="C609" s="30" t="n">
        <v>65300</v>
      </c>
      <c r="D609" s="30" t="n">
        <v>63400</v>
      </c>
      <c r="E609" s="30" t="n">
        <v>64800</v>
      </c>
      <c r="F609" s="30" t="n">
        <v>64216.80078125</v>
      </c>
      <c r="G609" s="30" t="n">
        <v>205379</v>
      </c>
      <c r="H609" s="35" t="n">
        <v>0.006211180124223503</v>
      </c>
      <c r="I609" s="35" t="n">
        <v>-0.2367491166077739</v>
      </c>
      <c r="J609" s="30" t="n">
        <v>65275</v>
      </c>
      <c r="K609" s="30" t="n">
        <v>59243.33333333334</v>
      </c>
      <c r="L609" s="30" t="n">
        <v>52508.75</v>
      </c>
      <c r="M609" s="35" t="n">
        <v>0.8271459522852306</v>
      </c>
      <c r="N609" s="35" t="n">
        <v>0.624981234630999</v>
      </c>
      <c r="O609" s="35" t="n">
        <v>0.2134831460674158</v>
      </c>
      <c r="P609" s="35" t="n">
        <v>0.4496644295302012</v>
      </c>
      <c r="Q609" s="35" t="n">
        <v>0.4133042529989095</v>
      </c>
      <c r="R609" s="35" t="n">
        <v>-0.007276905400229849</v>
      </c>
      <c r="S609" s="35" t="n">
        <v>0.0937939571259776</v>
      </c>
      <c r="T609" s="35" t="n">
        <v>0.2340800342800009</v>
      </c>
      <c r="U609" s="30" t="n">
        <v>71500</v>
      </c>
      <c r="V609" s="30" t="n">
        <v>29200</v>
      </c>
      <c r="W609" s="35" t="n">
        <v>-0.09370629370629369</v>
      </c>
      <c r="X609" s="35" t="n">
        <v>1.219178082191781</v>
      </c>
      <c r="Y609" s="30" t="n">
        <v>43617167</v>
      </c>
      <c r="Z609" s="30" t="n">
        <v>2826392421600</v>
      </c>
      <c r="AA609" s="30" t="n">
        <v>13308559200</v>
      </c>
      <c r="AB609" s="30" t="n">
        <v>65696561170</v>
      </c>
      <c r="AC609" s="35" t="n">
        <v>0.004708673536729243</v>
      </c>
      <c r="AD609" s="24" t="inlineStr">
        <is>
          <t>yfinance_download</t>
        </is>
      </c>
      <c r="AE609" s="24" t="inlineStr">
        <is>
          <t>000990.KS</t>
        </is>
      </c>
    </row>
    <row r="610" ht="24" customHeight="1">
      <c r="A610" s="29" t="inlineStr">
        <is>
          <t>2025-12-08</t>
        </is>
      </c>
      <c r="B610" s="31" t="n">
        <v>65200</v>
      </c>
      <c r="C610" s="31" t="n">
        <v>66500</v>
      </c>
      <c r="D610" s="31" t="n">
        <v>63900</v>
      </c>
      <c r="E610" s="31" t="n">
        <v>66100</v>
      </c>
      <c r="F610" s="31" t="n">
        <v>65505.1015625</v>
      </c>
      <c r="G610" s="31" t="n">
        <v>310450</v>
      </c>
      <c r="H610" s="36" t="n">
        <v>0.02006172839506171</v>
      </c>
      <c r="I610" s="36" t="n">
        <v>-0.2214369846878681</v>
      </c>
      <c r="J610" s="31" t="n">
        <v>65490</v>
      </c>
      <c r="K610" s="31" t="n">
        <v>59598.33333333334</v>
      </c>
      <c r="L610" s="31" t="n">
        <v>52683.33333333334</v>
      </c>
      <c r="M610" s="36" t="n">
        <v>0.6234492471812444</v>
      </c>
      <c r="N610" s="36" t="n">
        <v>0.6254753215185268</v>
      </c>
      <c r="O610" s="36" t="n">
        <v>0.06957928802588986</v>
      </c>
      <c r="P610" s="36" t="n">
        <v>0.4754464285714286</v>
      </c>
      <c r="Q610" s="36" t="n">
        <v>0.4640088593576965</v>
      </c>
      <c r="R610" s="36" t="n">
        <v>0.009314399144907615</v>
      </c>
      <c r="S610" s="36" t="n">
        <v>0.1090914175452333</v>
      </c>
      <c r="T610" s="36" t="n">
        <v>0.2546662448592216</v>
      </c>
      <c r="U610" s="31" t="n">
        <v>71500</v>
      </c>
      <c r="V610" s="31" t="n">
        <v>29200</v>
      </c>
      <c r="W610" s="36" t="n">
        <v>-0.0755244755244755</v>
      </c>
      <c r="X610" s="36" t="n">
        <v>1.263698630136986</v>
      </c>
      <c r="Y610" s="31" t="n">
        <v>43617167</v>
      </c>
      <c r="Z610" s="31" t="n">
        <v>2883094738700</v>
      </c>
      <c r="AA610" s="31" t="n">
        <v>20520745000</v>
      </c>
      <c r="AB610" s="31" t="n">
        <v>56929693170</v>
      </c>
      <c r="AC610" s="36" t="n">
        <v>0.007117610366578829</v>
      </c>
      <c r="AD610" s="29" t="inlineStr">
        <is>
          <t>yfinance_download</t>
        </is>
      </c>
      <c r="AE610" s="29" t="inlineStr">
        <is>
          <t>000990.KS</t>
        </is>
      </c>
    </row>
    <row r="611" ht="24" customHeight="1">
      <c r="A611" s="24" t="inlineStr">
        <is>
          <t>2025-12-09</t>
        </is>
      </c>
      <c r="B611" s="30" t="n">
        <v>66400</v>
      </c>
      <c r="C611" s="30" t="n">
        <v>67750</v>
      </c>
      <c r="D611" s="30" t="n">
        <v>64800</v>
      </c>
      <c r="E611" s="30" t="n">
        <v>64900</v>
      </c>
      <c r="F611" s="30" t="n">
        <v>64315.8984375</v>
      </c>
      <c r="G611" s="30" t="n">
        <v>333191</v>
      </c>
      <c r="H611" s="35" t="n">
        <v>-0.0181543116490166</v>
      </c>
      <c r="I611" s="35" t="n">
        <v>-0.2355712603062426</v>
      </c>
      <c r="J611" s="30" t="n">
        <v>65280</v>
      </c>
      <c r="K611" s="30" t="n">
        <v>59928.33333333334</v>
      </c>
      <c r="L611" s="30" t="n">
        <v>52857.08333333334</v>
      </c>
      <c r="M611" s="35" t="n">
        <v>0.4587553222684386</v>
      </c>
      <c r="N611" s="35" t="n">
        <v>0.6276373061897162</v>
      </c>
      <c r="O611" s="35" t="n">
        <v>-0.06078147612156293</v>
      </c>
      <c r="P611" s="35" t="n">
        <v>0.4390243902439024</v>
      </c>
      <c r="Q611" s="35" t="n">
        <v>0.4733257661748014</v>
      </c>
      <c r="R611" s="35" t="n">
        <v>-0.005821078431372584</v>
      </c>
      <c r="S611" s="35" t="n">
        <v>0.08296020246405433</v>
      </c>
      <c r="T611" s="35" t="n">
        <v>0.2278392205396627</v>
      </c>
      <c r="U611" s="30" t="n">
        <v>71500</v>
      </c>
      <c r="V611" s="30" t="n">
        <v>29200</v>
      </c>
      <c r="W611" s="35" t="n">
        <v>-0.09230769230769231</v>
      </c>
      <c r="X611" s="35" t="n">
        <v>1.222602739726027</v>
      </c>
      <c r="Y611" s="30" t="n">
        <v>43617167</v>
      </c>
      <c r="Z611" s="30" t="n">
        <v>2830754138300</v>
      </c>
      <c r="AA611" s="30" t="n">
        <v>21624095900</v>
      </c>
      <c r="AB611" s="30" t="n">
        <v>39673378360</v>
      </c>
      <c r="AC611" s="35" t="n">
        <v>0.007638987649060289</v>
      </c>
      <c r="AD611" s="24" t="inlineStr">
        <is>
          <t>yfinance_download</t>
        </is>
      </c>
      <c r="AE611" s="24" t="inlineStr">
        <is>
          <t>000990.KS</t>
        </is>
      </c>
    </row>
    <row r="612" ht="24" customHeight="1">
      <c r="A612" s="29" t="inlineStr">
        <is>
          <t>2025-12-10</t>
        </is>
      </c>
      <c r="B612" s="31" t="n">
        <v>64900</v>
      </c>
      <c r="C612" s="31" t="n">
        <v>67200</v>
      </c>
      <c r="D612" s="31" t="n">
        <v>64900</v>
      </c>
      <c r="E612" s="31" t="n">
        <v>66200</v>
      </c>
      <c r="F612" s="31" t="n">
        <v>65604.203125</v>
      </c>
      <c r="G612" s="31" t="n">
        <v>466604</v>
      </c>
      <c r="H612" s="36" t="n">
        <v>0.02003081664098616</v>
      </c>
      <c r="I612" s="36" t="n">
        <v>-0.2202591283863369</v>
      </c>
      <c r="J612" s="31" t="n">
        <v>65015</v>
      </c>
      <c r="K612" s="31" t="n">
        <v>60258.33333333334</v>
      </c>
      <c r="L612" s="31" t="n">
        <v>53042.5</v>
      </c>
      <c r="M612" s="36" t="n">
        <v>0.4456136053941889</v>
      </c>
      <c r="N612" s="36" t="n">
        <v>0.6265786573185353</v>
      </c>
      <c r="O612" s="36" t="n">
        <v>-0.07412587412587412</v>
      </c>
      <c r="P612" s="36" t="n">
        <v>0.4267241379310345</v>
      </c>
      <c r="Q612" s="36" t="n">
        <v>0.5062571103526734</v>
      </c>
      <c r="R612" s="36" t="n">
        <v>0.01822656310082293</v>
      </c>
      <c r="S612" s="36" t="n">
        <v>0.098603236066934</v>
      </c>
      <c r="T612" s="36" t="n">
        <v>0.2480558043078662</v>
      </c>
      <c r="U612" s="31" t="n">
        <v>71500</v>
      </c>
      <c r="V612" s="31" t="n">
        <v>29200</v>
      </c>
      <c r="W612" s="36" t="n">
        <v>-0.07412587412587412</v>
      </c>
      <c r="X612" s="36" t="n">
        <v>1.267123287671233</v>
      </c>
      <c r="Y612" s="31" t="n">
        <v>43617167</v>
      </c>
      <c r="Z612" s="31" t="n">
        <v>2887456455400</v>
      </c>
      <c r="AA612" s="31" t="n">
        <v>30889184800</v>
      </c>
      <c r="AB612" s="31" t="n">
        <v>35076659700</v>
      </c>
      <c r="AC612" s="36" t="n">
        <v>0.0106977145030992</v>
      </c>
      <c r="AD612" s="29" t="inlineStr">
        <is>
          <t>yfinance_download</t>
        </is>
      </c>
      <c r="AE612" s="29" t="inlineStr">
        <is>
          <t>000990.KS</t>
        </is>
      </c>
    </row>
    <row r="613" ht="24" customHeight="1">
      <c r="A613" s="24" t="inlineStr">
        <is>
          <t>2025-12-11</t>
        </is>
      </c>
      <c r="B613" s="30" t="n">
        <v>66800</v>
      </c>
      <c r="C613" s="30" t="n">
        <v>67200</v>
      </c>
      <c r="D613" s="30" t="n">
        <v>65900</v>
      </c>
      <c r="E613" s="30" t="n">
        <v>66500</v>
      </c>
      <c r="F613" s="30" t="n">
        <v>65901.5</v>
      </c>
      <c r="G613" s="30" t="n">
        <v>397147</v>
      </c>
      <c r="H613" s="35" t="n">
        <v>0.004531722054380571</v>
      </c>
      <c r="I613" s="35" t="n">
        <v>-0.2167255594817432</v>
      </c>
      <c r="J613" s="30" t="n">
        <v>64965</v>
      </c>
      <c r="K613" s="30" t="n">
        <v>60526.66666666666</v>
      </c>
      <c r="L613" s="30" t="n">
        <v>53227.91666666666</v>
      </c>
      <c r="M613" s="35" t="n">
        <v>0.4005774468399844</v>
      </c>
      <c r="N613" s="35" t="n">
        <v>0.6042616370215915</v>
      </c>
      <c r="O613" s="35" t="n">
        <v>-0.01481481481481484</v>
      </c>
      <c r="P613" s="35" t="n">
        <v>0.3194444444444444</v>
      </c>
      <c r="Q613" s="35" t="n">
        <v>0.5028248587570621</v>
      </c>
      <c r="R613" s="35" t="n">
        <v>0.02362810744246913</v>
      </c>
      <c r="S613" s="35" t="n">
        <v>0.09868928296067847</v>
      </c>
      <c r="T613" s="35" t="n">
        <v>0.2493444073050639</v>
      </c>
      <c r="U613" s="30" t="n">
        <v>71500</v>
      </c>
      <c r="V613" s="30" t="n">
        <v>29200</v>
      </c>
      <c r="W613" s="35" t="n">
        <v>-0.06993006993006989</v>
      </c>
      <c r="X613" s="35" t="n">
        <v>1.277397260273973</v>
      </c>
      <c r="Y613" s="30" t="n">
        <v>43617167</v>
      </c>
      <c r="Z613" s="30" t="n">
        <v>2900541605500</v>
      </c>
      <c r="AA613" s="30" t="n">
        <v>26410275500</v>
      </c>
      <c r="AB613" s="30" t="n">
        <v>32194559350</v>
      </c>
      <c r="AC613" s="35" t="n">
        <v>0.009105291042859341</v>
      </c>
      <c r="AD613" s="24" t="inlineStr">
        <is>
          <t>yfinance_download</t>
        </is>
      </c>
      <c r="AE613" s="24" t="inlineStr">
        <is>
          <t>000990.KS</t>
        </is>
      </c>
    </row>
    <row r="614" ht="24" customHeight="1">
      <c r="A614" s="29" t="inlineStr">
        <is>
          <t>2025-12-12</t>
        </is>
      </c>
      <c r="B614" s="31" t="n">
        <v>66500</v>
      </c>
      <c r="C614" s="31" t="n">
        <v>67600</v>
      </c>
      <c r="D614" s="31" t="n">
        <v>65700</v>
      </c>
      <c r="E614" s="31" t="n">
        <v>67600</v>
      </c>
      <c r="F614" s="31" t="n">
        <v>66991.6015625</v>
      </c>
      <c r="G614" s="31" t="n">
        <v>388777</v>
      </c>
      <c r="H614" s="36" t="n">
        <v>0.01654135338345863</v>
      </c>
      <c r="I614" s="36" t="n">
        <v>-0.2037691401648999</v>
      </c>
      <c r="J614" s="31" t="n">
        <v>64965</v>
      </c>
      <c r="K614" s="31" t="n">
        <v>60798.33333333334</v>
      </c>
      <c r="L614" s="31" t="n">
        <v>53397.5</v>
      </c>
      <c r="M614" s="36" t="n">
        <v>0.4050764361827884</v>
      </c>
      <c r="N614" s="36" t="n">
        <v>0.6041510255092829</v>
      </c>
      <c r="O614" s="36" t="n">
        <v>0</v>
      </c>
      <c r="P614" s="36" t="n">
        <v>0.3177387914230019</v>
      </c>
      <c r="Q614" s="36" t="n">
        <v>0.4306878306878308</v>
      </c>
      <c r="R614" s="36" t="n">
        <v>0.04056030170091596</v>
      </c>
      <c r="S614" s="36" t="n">
        <v>0.1118725842265413</v>
      </c>
      <c r="T614" s="36" t="n">
        <v>0.2659768715763846</v>
      </c>
      <c r="U614" s="31" t="n">
        <v>71500</v>
      </c>
      <c r="V614" s="31" t="n">
        <v>29200</v>
      </c>
      <c r="W614" s="36" t="n">
        <v>-0.05454545454545456</v>
      </c>
      <c r="X614" s="36" t="n">
        <v>1.315068493150685</v>
      </c>
      <c r="Y614" s="31" t="n">
        <v>43617167</v>
      </c>
      <c r="Z614" s="31" t="n">
        <v>2948520489200</v>
      </c>
      <c r="AA614" s="31" t="n">
        <v>26281325200</v>
      </c>
      <c r="AB614" s="31" t="n">
        <v>29553880270</v>
      </c>
      <c r="AC614" s="36" t="n">
        <v>0.008913394123006659</v>
      </c>
      <c r="AD614" s="29" t="inlineStr">
        <is>
          <t>yfinance_download</t>
        </is>
      </c>
      <c r="AE614" s="29" t="inlineStr">
        <is>
          <t>000990.KS</t>
        </is>
      </c>
    </row>
    <row r="615" ht="24" customHeight="1">
      <c r="A615" s="24" t="inlineStr">
        <is>
          <t>2025-12-15</t>
        </is>
      </c>
      <c r="B615" s="30" t="n">
        <v>66200</v>
      </c>
      <c r="C615" s="30" t="n">
        <v>66500</v>
      </c>
      <c r="D615" s="30" t="n">
        <v>64500</v>
      </c>
      <c r="E615" s="30" t="n">
        <v>65400</v>
      </c>
      <c r="F615" s="30" t="n">
        <v>64811.3984375</v>
      </c>
      <c r="G615" s="30" t="n">
        <v>273285</v>
      </c>
      <c r="H615" s="35" t="n">
        <v>-0.03254437869822491</v>
      </c>
      <c r="I615" s="35" t="n">
        <v>-0.2296819787985865</v>
      </c>
      <c r="J615" s="30" t="n">
        <v>64715</v>
      </c>
      <c r="K615" s="30" t="n">
        <v>61030</v>
      </c>
      <c r="L615" s="30" t="n">
        <v>53551.66666666666</v>
      </c>
      <c r="M615" s="35" t="n">
        <v>0.3903448478339435</v>
      </c>
      <c r="N615" s="35" t="n">
        <v>0.6091072081100299</v>
      </c>
      <c r="O615" s="35" t="n">
        <v>-0.07102272727272729</v>
      </c>
      <c r="P615" s="35" t="n">
        <v>0.2699029126213592</v>
      </c>
      <c r="Q615" s="35" t="n">
        <v>0.3944562899786781</v>
      </c>
      <c r="R615" s="35" t="n">
        <v>0.01058487213165415</v>
      </c>
      <c r="S615" s="35" t="n">
        <v>0.0716041291168279</v>
      </c>
      <c r="T615" s="35" t="n">
        <v>0.2212505057421184</v>
      </c>
      <c r="U615" s="30" t="n">
        <v>71500</v>
      </c>
      <c r="V615" s="30" t="n">
        <v>29200</v>
      </c>
      <c r="W615" s="35" t="n">
        <v>-0.08531468531468533</v>
      </c>
      <c r="X615" s="35" t="n">
        <v>1.23972602739726</v>
      </c>
      <c r="Y615" s="30" t="n">
        <v>43617167</v>
      </c>
      <c r="Z615" s="30" t="n">
        <v>2852562721800</v>
      </c>
      <c r="AA615" s="30" t="n">
        <v>17872839000</v>
      </c>
      <c r="AB615" s="30" t="n">
        <v>24423014060</v>
      </c>
      <c r="AC615" s="35" t="n">
        <v>0.00626553760357705</v>
      </c>
      <c r="AD615" s="24" t="inlineStr">
        <is>
          <t>yfinance_download</t>
        </is>
      </c>
      <c r="AE615" s="24" t="inlineStr">
        <is>
          <t>000990.KS</t>
        </is>
      </c>
    </row>
    <row r="616" ht="24" customHeight="1">
      <c r="A616" s="29" t="inlineStr">
        <is>
          <t>2025-12-16</t>
        </is>
      </c>
      <c r="B616" s="31" t="n">
        <v>65000</v>
      </c>
      <c r="C616" s="31" t="n">
        <v>69900</v>
      </c>
      <c r="D616" s="31" t="n">
        <v>64800</v>
      </c>
      <c r="E616" s="31" t="n">
        <v>65300</v>
      </c>
      <c r="F616" s="31" t="n">
        <v>64712.30078125</v>
      </c>
      <c r="G616" s="31" t="n">
        <v>836396</v>
      </c>
      <c r="H616" s="36" t="n">
        <v>-0.001529051987767538</v>
      </c>
      <c r="I616" s="36" t="n">
        <v>-0.2308598351001178</v>
      </c>
      <c r="J616" s="31" t="n">
        <v>64605</v>
      </c>
      <c r="K616" s="31" t="n">
        <v>61248.33333333334</v>
      </c>
      <c r="L616" s="31" t="n">
        <v>53703.75</v>
      </c>
      <c r="M616" s="36" t="n">
        <v>0.3638830576852971</v>
      </c>
      <c r="N616" s="36" t="n">
        <v>0.6089514687877001</v>
      </c>
      <c r="O616" s="36" t="n">
        <v>-0.03259259259259262</v>
      </c>
      <c r="P616" s="36" t="n">
        <v>0.2509578544061302</v>
      </c>
      <c r="Q616" s="36" t="n">
        <v>0.38788522848034</v>
      </c>
      <c r="R616" s="36" t="n">
        <v>0.01075768129401755</v>
      </c>
      <c r="S616" s="36" t="n">
        <v>0.06615145990367077</v>
      </c>
      <c r="T616" s="36" t="n">
        <v>0.2159299862672532</v>
      </c>
      <c r="U616" s="31" t="n">
        <v>71500</v>
      </c>
      <c r="V616" s="31" t="n">
        <v>29200</v>
      </c>
      <c r="W616" s="36" t="n">
        <v>-0.08671328671328671</v>
      </c>
      <c r="X616" s="36" t="n">
        <v>1.236301369863014</v>
      </c>
      <c r="Y616" s="31" t="n">
        <v>43617167</v>
      </c>
      <c r="Z616" s="31" t="n">
        <v>2848201005100</v>
      </c>
      <c r="AA616" s="31" t="n">
        <v>54616658800</v>
      </c>
      <c r="AB616" s="31" t="n">
        <v>24923697625</v>
      </c>
      <c r="AC616" s="36" t="n">
        <v>0.01917584422665507</v>
      </c>
      <c r="AD616" s="29" t="inlineStr">
        <is>
          <t>yfinance_download</t>
        </is>
      </c>
      <c r="AE616" s="29" t="inlineStr">
        <is>
          <t>000990.KS</t>
        </is>
      </c>
    </row>
    <row r="617" ht="24" customHeight="1">
      <c r="A617" s="24" t="inlineStr">
        <is>
          <t>2025-12-17</t>
        </is>
      </c>
      <c r="B617" s="30" t="n">
        <v>65400</v>
      </c>
      <c r="C617" s="30" t="n">
        <v>66000</v>
      </c>
      <c r="D617" s="30" t="n">
        <v>64100</v>
      </c>
      <c r="E617" s="30" t="n">
        <v>65500</v>
      </c>
      <c r="F617" s="30" t="n">
        <v>64910.5</v>
      </c>
      <c r="G617" s="30" t="n">
        <v>238534</v>
      </c>
      <c r="H617" s="35" t="n">
        <v>0.003062787136294043</v>
      </c>
      <c r="I617" s="35" t="n">
        <v>-0.2285041224970553</v>
      </c>
      <c r="J617" s="30" t="n">
        <v>64595</v>
      </c>
      <c r="K617" s="30" t="n">
        <v>61390</v>
      </c>
      <c r="L617" s="30" t="n">
        <v>53863.33333333334</v>
      </c>
      <c r="M617" s="35" t="n">
        <v>0.3515991591266676</v>
      </c>
      <c r="N617" s="35" t="n">
        <v>0.580993516355705</v>
      </c>
      <c r="O617" s="35" t="n">
        <v>-0.0030441400304414</v>
      </c>
      <c r="P617" s="35" t="n">
        <v>0.1491228070175439</v>
      </c>
      <c r="Q617" s="35" t="n">
        <v>0.413160733549083</v>
      </c>
      <c r="R617" s="35" t="n">
        <v>0.01401037231983904</v>
      </c>
      <c r="S617" s="35" t="n">
        <v>0.06694901449747515</v>
      </c>
      <c r="T617" s="35" t="n">
        <v>0.2160405965715699</v>
      </c>
      <c r="U617" s="30" t="n">
        <v>71500</v>
      </c>
      <c r="V617" s="30" t="n">
        <v>29200</v>
      </c>
      <c r="W617" s="35" t="n">
        <v>-0.08391608391608396</v>
      </c>
      <c r="X617" s="35" t="n">
        <v>1.243150684931507</v>
      </c>
      <c r="Y617" s="30" t="n">
        <v>43617167</v>
      </c>
      <c r="Z617" s="30" t="n">
        <v>2856924438500</v>
      </c>
      <c r="AA617" s="30" t="n">
        <v>15623977000</v>
      </c>
      <c r="AB617" s="30" t="n">
        <v>24112482870</v>
      </c>
      <c r="AC617" s="35" t="n">
        <v>0.005468810021522031</v>
      </c>
      <c r="AD617" s="24" t="inlineStr">
        <is>
          <t>yfinance_download</t>
        </is>
      </c>
      <c r="AE617" s="24" t="inlineStr">
        <is>
          <t>000990.KS</t>
        </is>
      </c>
    </row>
    <row r="618" ht="24" customHeight="1">
      <c r="A618" s="29" t="inlineStr">
        <is>
          <t>2025-12-18</t>
        </is>
      </c>
      <c r="B618" s="31" t="n">
        <v>63800</v>
      </c>
      <c r="C618" s="31" t="n">
        <v>65100</v>
      </c>
      <c r="D618" s="31" t="n">
        <v>63300</v>
      </c>
      <c r="E618" s="31" t="n">
        <v>64000</v>
      </c>
      <c r="F618" s="31" t="n">
        <v>63424</v>
      </c>
      <c r="G618" s="31" t="n">
        <v>301568</v>
      </c>
      <c r="H618" s="36" t="n">
        <v>-0.02290076335877866</v>
      </c>
      <c r="I618" s="36" t="n">
        <v>-0.2461719670200235</v>
      </c>
      <c r="J618" s="31" t="n">
        <v>64475</v>
      </c>
      <c r="K618" s="31" t="n">
        <v>61510</v>
      </c>
      <c r="L618" s="31" t="n">
        <v>54005</v>
      </c>
      <c r="M618" s="36" t="n">
        <v>0.3583323589418311</v>
      </c>
      <c r="N618" s="36" t="n">
        <v>0.5832698337164843</v>
      </c>
      <c r="O618" s="36" t="n">
        <v>-0.03614457831325302</v>
      </c>
      <c r="P618" s="36" t="n">
        <v>0.1267605633802817</v>
      </c>
      <c r="Q618" s="36" t="n">
        <v>0.3617021276595744</v>
      </c>
      <c r="R618" s="36" t="n">
        <v>-0.007367196587824698</v>
      </c>
      <c r="S618" s="36" t="n">
        <v>0.04048122256543651</v>
      </c>
      <c r="T618" s="36" t="n">
        <v>0.1850754559762986</v>
      </c>
      <c r="U618" s="31" t="n">
        <v>71500</v>
      </c>
      <c r="V618" s="31" t="n">
        <v>29200</v>
      </c>
      <c r="W618" s="36" t="n">
        <v>-0.1048951048951049</v>
      </c>
      <c r="X618" s="36" t="n">
        <v>1.191780821917808</v>
      </c>
      <c r="Y618" s="31" t="n">
        <v>43617167</v>
      </c>
      <c r="Z618" s="31" t="n">
        <v>2791498688000</v>
      </c>
      <c r="AA618" s="31" t="n">
        <v>19300352000</v>
      </c>
      <c r="AB618" s="31" t="n">
        <v>23551588630</v>
      </c>
      <c r="AC618" s="36" t="n">
        <v>0.006913974949358815</v>
      </c>
      <c r="AD618" s="29" t="inlineStr">
        <is>
          <t>yfinance_download</t>
        </is>
      </c>
      <c r="AE618" s="29" t="inlineStr">
        <is>
          <t>000990.KS</t>
        </is>
      </c>
    </row>
    <row r="619" ht="24" customHeight="1">
      <c r="A619" s="24" t="inlineStr">
        <is>
          <t>2025-12-19</t>
        </is>
      </c>
      <c r="B619" s="30" t="n">
        <v>64700</v>
      </c>
      <c r="C619" s="30" t="n">
        <v>65900</v>
      </c>
      <c r="D619" s="30" t="n">
        <v>64100</v>
      </c>
      <c r="E619" s="30" t="n">
        <v>65300</v>
      </c>
      <c r="F619" s="30" t="n">
        <v>64712.30078125</v>
      </c>
      <c r="G619" s="30" t="n">
        <v>330091</v>
      </c>
      <c r="H619" s="35" t="n">
        <v>0.02031249999999996</v>
      </c>
      <c r="I619" s="35" t="n">
        <v>-0.2308598351001178</v>
      </c>
      <c r="J619" s="30" t="n">
        <v>64645</v>
      </c>
      <c r="K619" s="30" t="n">
        <v>61640</v>
      </c>
      <c r="L619" s="30" t="n">
        <v>54157.91666666666</v>
      </c>
      <c r="M619" s="35" t="n">
        <v>0.2674539136631539</v>
      </c>
      <c r="N619" s="35" t="n">
        <v>0.5840660081760792</v>
      </c>
      <c r="O619" s="35" t="n">
        <v>0.0549273021001615</v>
      </c>
      <c r="P619" s="35" t="n">
        <v>0.1356521739130434</v>
      </c>
      <c r="Q619" s="35" t="n">
        <v>0.3908413205537806</v>
      </c>
      <c r="R619" s="35" t="n">
        <v>0.01013226080903395</v>
      </c>
      <c r="S619" s="35" t="n">
        <v>0.05937702790395849</v>
      </c>
      <c r="T619" s="35" t="n">
        <v>0.2057332338300804</v>
      </c>
      <c r="U619" s="30" t="n">
        <v>71500</v>
      </c>
      <c r="V619" s="30" t="n">
        <v>29200</v>
      </c>
      <c r="W619" s="35" t="n">
        <v>-0.08671328671328671</v>
      </c>
      <c r="X619" s="35" t="n">
        <v>1.236301369863014</v>
      </c>
      <c r="Y619" s="30" t="n">
        <v>43617167</v>
      </c>
      <c r="Z619" s="30" t="n">
        <v>2848201005100</v>
      </c>
      <c r="AA619" s="30" t="n">
        <v>21554942300</v>
      </c>
      <c r="AB619" s="30" t="n">
        <v>22986924475</v>
      </c>
      <c r="AC619" s="35" t="n">
        <v>0.007567914715781518</v>
      </c>
      <c r="AD619" s="24" t="inlineStr">
        <is>
          <t>yfinance_download</t>
        </is>
      </c>
      <c r="AE619" s="24" t="inlineStr">
        <is>
          <t>000990.KS</t>
        </is>
      </c>
    </row>
    <row r="620" ht="24" customHeight="1">
      <c r="A620" s="29" t="inlineStr">
        <is>
          <t>2025-12-22</t>
        </is>
      </c>
      <c r="B620" s="31" t="n">
        <v>66500</v>
      </c>
      <c r="C620" s="31" t="n">
        <v>68600</v>
      </c>
      <c r="D620" s="31" t="n">
        <v>66200</v>
      </c>
      <c r="E620" s="31" t="n">
        <v>68300</v>
      </c>
      <c r="F620" s="31" t="n">
        <v>67685.296875</v>
      </c>
      <c r="G620" s="31" t="n">
        <v>406357</v>
      </c>
      <c r="H620" s="36" t="n">
        <v>0.04594180704441042</v>
      </c>
      <c r="I620" s="36" t="n">
        <v>-0.1955241460541813</v>
      </c>
      <c r="J620" s="31" t="n">
        <v>65020</v>
      </c>
      <c r="K620" s="31" t="n">
        <v>61806.66666666666</v>
      </c>
      <c r="L620" s="31" t="n">
        <v>54341.66666666666</v>
      </c>
      <c r="M620" s="36" t="n">
        <v>0.2964656039623207</v>
      </c>
      <c r="N620" s="36" t="n">
        <v>0.5903318101774991</v>
      </c>
      <c r="O620" s="36" t="n">
        <v>0.1233552631578947</v>
      </c>
      <c r="P620" s="36" t="n">
        <v>0.1715265866209263</v>
      </c>
      <c r="Q620" s="36" t="n">
        <v>0.4767567567567568</v>
      </c>
      <c r="R620" s="36" t="n">
        <v>0.05044601661027381</v>
      </c>
      <c r="S620" s="36" t="n">
        <v>0.1050587854600367</v>
      </c>
      <c r="T620" s="36" t="n">
        <v>0.2568624444103667</v>
      </c>
      <c r="U620" s="31" t="n">
        <v>71500</v>
      </c>
      <c r="V620" s="31" t="n">
        <v>29200</v>
      </c>
      <c r="W620" s="36" t="n">
        <v>-0.04475524475524473</v>
      </c>
      <c r="X620" s="36" t="n">
        <v>1.339041095890411</v>
      </c>
      <c r="Y620" s="31" t="n">
        <v>43617167</v>
      </c>
      <c r="Z620" s="31" t="n">
        <v>2979052506100</v>
      </c>
      <c r="AA620" s="31" t="n">
        <v>27754183100</v>
      </c>
      <c r="AB620" s="31" t="n">
        <v>23287085790</v>
      </c>
      <c r="AC620" s="36" t="n">
        <v>0.009316446434955302</v>
      </c>
      <c r="AD620" s="29" t="inlineStr">
        <is>
          <t>yfinance_download</t>
        </is>
      </c>
      <c r="AE620" s="29" t="inlineStr">
        <is>
          <t>000990.KS</t>
        </is>
      </c>
    </row>
    <row r="621" ht="24" customHeight="1">
      <c r="A621" s="24" t="inlineStr">
        <is>
          <t>2025-12-23</t>
        </is>
      </c>
      <c r="B621" s="30" t="n">
        <v>68300</v>
      </c>
      <c r="C621" s="30" t="n">
        <v>70500</v>
      </c>
      <c r="D621" s="30" t="n">
        <v>68000</v>
      </c>
      <c r="E621" s="30" t="n">
        <v>69400</v>
      </c>
      <c r="F621" s="30" t="n">
        <v>68775.3984375</v>
      </c>
      <c r="G621" s="30" t="n">
        <v>432258</v>
      </c>
      <c r="H621" s="35" t="n">
        <v>0.01610541727672032</v>
      </c>
      <c r="I621" s="35" t="n">
        <v>-0.182567726737338</v>
      </c>
      <c r="J621" s="30" t="n">
        <v>65395</v>
      </c>
      <c r="K621" s="30" t="n">
        <v>62015</v>
      </c>
      <c r="L621" s="30" t="n">
        <v>54535.83333333334</v>
      </c>
      <c r="M621" s="35" t="n">
        <v>0.2954729052750075</v>
      </c>
      <c r="N621" s="35" t="n">
        <v>0.5881251930659384</v>
      </c>
      <c r="O621" s="35" t="n">
        <v>0.1211631663974151</v>
      </c>
      <c r="P621" s="35" t="n">
        <v>0.2196836555360282</v>
      </c>
      <c r="Q621" s="35" t="n">
        <v>0.5054229934924077</v>
      </c>
      <c r="R621" s="35" t="n">
        <v>0.06124321431302082</v>
      </c>
      <c r="S621" s="35" t="n">
        <v>0.1190840925582521</v>
      </c>
      <c r="T621" s="35" t="n">
        <v>0.2725577983894381</v>
      </c>
      <c r="U621" s="30" t="n">
        <v>71500</v>
      </c>
      <c r="V621" s="30" t="n">
        <v>29200</v>
      </c>
      <c r="W621" s="35" t="n">
        <v>-0.0293706293706294</v>
      </c>
      <c r="X621" s="35" t="n">
        <v>1.376712328767123</v>
      </c>
      <c r="Y621" s="30" t="n">
        <v>43617167</v>
      </c>
      <c r="Z621" s="30" t="n">
        <v>3027031389800</v>
      </c>
      <c r="AA621" s="30" t="n">
        <v>29998705200</v>
      </c>
      <c r="AB621" s="30" t="n">
        <v>23965171655</v>
      </c>
      <c r="AC621" s="35" t="n">
        <v>0.009910272255875766</v>
      </c>
      <c r="AD621" s="24" t="inlineStr">
        <is>
          <t>yfinance_download</t>
        </is>
      </c>
      <c r="AE621" s="24" t="inlineStr">
        <is>
          <t>000990.KS</t>
        </is>
      </c>
    </row>
    <row r="622" ht="24" customHeight="1">
      <c r="A622" s="29" t="inlineStr">
        <is>
          <t>2025-12-24</t>
        </is>
      </c>
      <c r="B622" s="31" t="n">
        <v>69700</v>
      </c>
      <c r="C622" s="31" t="n">
        <v>70200</v>
      </c>
      <c r="D622" s="31" t="n">
        <v>68100</v>
      </c>
      <c r="E622" s="31" t="n">
        <v>68500</v>
      </c>
      <c r="F622" s="31" t="n">
        <v>67883.5</v>
      </c>
      <c r="G622" s="31" t="n">
        <v>187677</v>
      </c>
      <c r="H622" s="36" t="n">
        <v>-0.01296829971181557</v>
      </c>
      <c r="I622" s="36" t="n">
        <v>-0.193168433451119</v>
      </c>
      <c r="J622" s="31" t="n">
        <v>65725</v>
      </c>
      <c r="K622" s="31" t="n">
        <v>62190</v>
      </c>
      <c r="L622" s="31" t="n">
        <v>54716.66666666666</v>
      </c>
      <c r="M622" s="36" t="n">
        <v>0.3024110610879923</v>
      </c>
      <c r="N622" s="36" t="n">
        <v>0.5882464058239266</v>
      </c>
      <c r="O622" s="36" t="n">
        <v>0.1066235864297254</v>
      </c>
      <c r="P622" s="36" t="n">
        <v>0.1810344827586208</v>
      </c>
      <c r="Q622" s="36" t="n">
        <v>0.4636752136752136</v>
      </c>
      <c r="R622" s="36" t="n">
        <v>0.04222137694941042</v>
      </c>
      <c r="S622" s="36" t="n">
        <v>0.101463257758482</v>
      </c>
      <c r="T622" s="36" t="n">
        <v>0.2519037465732563</v>
      </c>
      <c r="U622" s="31" t="n">
        <v>71500</v>
      </c>
      <c r="V622" s="31" t="n">
        <v>30450</v>
      </c>
      <c r="W622" s="36" t="n">
        <v>-0.04195804195804198</v>
      </c>
      <c r="X622" s="36" t="n">
        <v>1.249589490968801</v>
      </c>
      <c r="Y622" s="31" t="n">
        <v>43617167</v>
      </c>
      <c r="Z622" s="31" t="n">
        <v>2987775939500</v>
      </c>
      <c r="AA622" s="31" t="n">
        <v>12855874500</v>
      </c>
      <c r="AB622" s="31" t="n">
        <v>23723392715</v>
      </c>
      <c r="AC622" s="36" t="n">
        <v>0.004302824160954791</v>
      </c>
      <c r="AD622" s="29" t="inlineStr">
        <is>
          <t>yfinance_download</t>
        </is>
      </c>
      <c r="AE622" s="29" t="inlineStr">
        <is>
          <t>000990.KS</t>
        </is>
      </c>
    </row>
    <row r="623" ht="24" customHeight="1">
      <c r="A623" s="24" t="inlineStr">
        <is>
          <t>2025-12-26</t>
        </is>
      </c>
      <c r="B623" s="30" t="n">
        <v>68800</v>
      </c>
      <c r="C623" s="30" t="n">
        <v>69300</v>
      </c>
      <c r="D623" s="30" t="n">
        <v>66500</v>
      </c>
      <c r="E623" s="30" t="n">
        <v>67300</v>
      </c>
      <c r="F623" s="30" t="n">
        <v>66694.296875</v>
      </c>
      <c r="G623" s="30" t="n">
        <v>318894</v>
      </c>
      <c r="H623" s="35" t="n">
        <v>-0.01751824817518244</v>
      </c>
      <c r="I623" s="35" t="n">
        <v>-0.2073027090694936</v>
      </c>
      <c r="J623" s="30" t="n">
        <v>65910</v>
      </c>
      <c r="K623" s="30" t="n">
        <v>62360</v>
      </c>
      <c r="L623" s="30" t="n">
        <v>54888.33333333334</v>
      </c>
      <c r="M623" s="35" t="n">
        <v>0.3007356548836166</v>
      </c>
      <c r="N623" s="35" t="n">
        <v>0.5885359078109703</v>
      </c>
      <c r="O623" s="35" t="n">
        <v>0.05817610062893075</v>
      </c>
      <c r="P623" s="35" t="n">
        <v>0.1786339754816113</v>
      </c>
      <c r="Q623" s="35" t="n">
        <v>0.4411134903640257</v>
      </c>
      <c r="R623" s="35" t="n">
        <v>0.0210893642846306</v>
      </c>
      <c r="S623" s="35" t="n">
        <v>0.07921744708146239</v>
      </c>
      <c r="T623" s="35" t="n">
        <v>0.22612577050375</v>
      </c>
      <c r="U623" s="30" t="n">
        <v>71500</v>
      </c>
      <c r="V623" s="30" t="n">
        <v>30450</v>
      </c>
      <c r="W623" s="35" t="n">
        <v>-0.05874125874125879</v>
      </c>
      <c r="X623" s="35" t="n">
        <v>1.210180623973728</v>
      </c>
      <c r="Y623" s="30" t="n">
        <v>43617167</v>
      </c>
      <c r="Z623" s="30" t="n">
        <v>2935435339100</v>
      </c>
      <c r="AA623" s="30" t="n">
        <v>21461566200</v>
      </c>
      <c r="AB623" s="30" t="n">
        <v>23552111585</v>
      </c>
      <c r="AC623" s="35" t="n">
        <v>0.007311203866129132</v>
      </c>
      <c r="AD623" s="24" t="inlineStr">
        <is>
          <t>yfinance_download</t>
        </is>
      </c>
      <c r="AE623" s="24" t="inlineStr">
        <is>
          <t>000990.KS</t>
        </is>
      </c>
    </row>
    <row r="624" ht="24" customHeight="1">
      <c r="A624" s="29" t="inlineStr">
        <is>
          <t>2025-12-29</t>
        </is>
      </c>
      <c r="B624" s="31" t="n">
        <v>67400</v>
      </c>
      <c r="C624" s="31" t="n">
        <v>67500</v>
      </c>
      <c r="D624" s="31" t="n">
        <v>65800</v>
      </c>
      <c r="E624" s="31" t="n">
        <v>67100</v>
      </c>
      <c r="F624" s="31" t="n">
        <v>66496.1015625</v>
      </c>
      <c r="G624" s="31" t="n">
        <v>360202</v>
      </c>
      <c r="H624" s="36" t="n">
        <v>-0.002971768202080227</v>
      </c>
      <c r="I624" s="36" t="n">
        <v>-0.209658421672556</v>
      </c>
      <c r="J624" s="31" t="n">
        <v>66085</v>
      </c>
      <c r="K624" s="31" t="n">
        <v>62540</v>
      </c>
      <c r="L624" s="31" t="n">
        <v>55067.08333333334</v>
      </c>
      <c r="M624" s="36" t="n">
        <v>0.3013134571361165</v>
      </c>
      <c r="N624" s="36" t="n">
        <v>0.5875754425494094</v>
      </c>
      <c r="O624" s="36" t="n">
        <v>0.05503144654088055</v>
      </c>
      <c r="P624" s="36" t="n">
        <v>0.191829484902309</v>
      </c>
      <c r="Q624" s="36" t="n">
        <v>0.4698795180722892</v>
      </c>
      <c r="R624" s="36" t="n">
        <v>0.01535900733903306</v>
      </c>
      <c r="S624" s="36" t="n">
        <v>0.07291333546530221</v>
      </c>
      <c r="T624" s="36" t="n">
        <v>0.2185137824320336</v>
      </c>
      <c r="U624" s="31" t="n">
        <v>71500</v>
      </c>
      <c r="V624" s="31" t="n">
        <v>30450</v>
      </c>
      <c r="W624" s="36" t="n">
        <v>-0.06153846153846154</v>
      </c>
      <c r="X624" s="36" t="n">
        <v>1.203612479474549</v>
      </c>
      <c r="Y624" s="31" t="n">
        <v>43617167</v>
      </c>
      <c r="Z624" s="31" t="n">
        <v>2926711905700</v>
      </c>
      <c r="AA624" s="31" t="n">
        <v>24169554200</v>
      </c>
      <c r="AB624" s="31" t="n">
        <v>23683396095</v>
      </c>
      <c r="AC624" s="36" t="n">
        <v>0.008258262165445087</v>
      </c>
      <c r="AD624" s="29" t="inlineStr">
        <is>
          <t>yfinance_download</t>
        </is>
      </c>
      <c r="AE624" s="29" t="inlineStr">
        <is>
          <t>000990.KS</t>
        </is>
      </c>
    </row>
    <row r="625" ht="24" customHeight="1">
      <c r="A625" s="24" t="inlineStr">
        <is>
          <t>2025-12-30</t>
        </is>
      </c>
      <c r="B625" s="30" t="n">
        <v>66800</v>
      </c>
      <c r="C625" s="30" t="n">
        <v>68100</v>
      </c>
      <c r="D625" s="30" t="n">
        <v>66100</v>
      </c>
      <c r="E625" s="30" t="n">
        <v>67600</v>
      </c>
      <c r="F625" s="30" t="n">
        <v>66991.6015625</v>
      </c>
      <c r="G625" s="30" t="n">
        <v>307807</v>
      </c>
      <c r="H625" s="35" t="n">
        <v>0.007451564828613977</v>
      </c>
      <c r="I625" s="35" t="n">
        <v>-0.2037691401648999</v>
      </c>
      <c r="J625" s="30" t="n">
        <v>66240</v>
      </c>
      <c r="K625" s="30" t="n">
        <v>62716.66666666666</v>
      </c>
      <c r="L625" s="30" t="n">
        <v>55245</v>
      </c>
      <c r="M625" s="35" t="n">
        <v>0.2989105130089718</v>
      </c>
      <c r="N625" s="35" t="n">
        <v>0.5873434902090339</v>
      </c>
      <c r="O625" s="35" t="n">
        <v>0.04806201550387601</v>
      </c>
      <c r="P625" s="35" t="n">
        <v>0.1859649122807017</v>
      </c>
      <c r="Q625" s="35" t="n">
        <v>0.4616216216216216</v>
      </c>
      <c r="R625" s="35" t="n">
        <v>0.02053140096618367</v>
      </c>
      <c r="S625" s="35" t="n">
        <v>0.07786340685623183</v>
      </c>
      <c r="T625" s="35" t="n">
        <v>0.2236401484297221</v>
      </c>
      <c r="U625" s="30" t="n">
        <v>71500</v>
      </c>
      <c r="V625" s="30" t="n">
        <v>30450</v>
      </c>
      <c r="W625" s="35" t="n">
        <v>-0.05454545454545456</v>
      </c>
      <c r="X625" s="35" t="n">
        <v>1.220032840722496</v>
      </c>
      <c r="Y625" s="30" t="n">
        <v>43617167</v>
      </c>
      <c r="Z625" s="30" t="n">
        <v>2948520489200</v>
      </c>
      <c r="AA625" s="30" t="n">
        <v>20807753200</v>
      </c>
      <c r="AB625" s="30" t="n">
        <v>23227461155</v>
      </c>
      <c r="AC625" s="35" t="n">
        <v>0.007057014959270509</v>
      </c>
      <c r="AD625" s="24" t="inlineStr">
        <is>
          <t>yfinance_download</t>
        </is>
      </c>
      <c r="AE625" s="24" t="inlineStr">
        <is>
          <t>000990.KS</t>
        </is>
      </c>
    </row>
    <row r="626" ht="24" customHeight="1">
      <c r="A626" s="29" t="inlineStr">
        <is>
          <t>2026-01-02</t>
        </is>
      </c>
      <c r="B626" s="31" t="n">
        <v>67900</v>
      </c>
      <c r="C626" s="31" t="n">
        <v>73900</v>
      </c>
      <c r="D626" s="31" t="n">
        <v>67100</v>
      </c>
      <c r="E626" s="31" t="n">
        <v>73700</v>
      </c>
      <c r="F626" s="31" t="n">
        <v>73036.703125</v>
      </c>
      <c r="G626" s="31" t="n">
        <v>669875</v>
      </c>
      <c r="H626" s="36" t="n">
        <v>0.09023668639053262</v>
      </c>
      <c r="I626" s="36" t="n">
        <v>-0.1319199057714959</v>
      </c>
      <c r="J626" s="31" t="n">
        <v>66675</v>
      </c>
      <c r="K626" s="31" t="n">
        <v>62998.33333333334</v>
      </c>
      <c r="L626" s="31" t="n">
        <v>55475.83333333334</v>
      </c>
      <c r="M626" s="36" t="n">
        <v>0.4318878673457606</v>
      </c>
      <c r="N626" s="36" t="n">
        <v>0.6134105212001913</v>
      </c>
      <c r="O626" s="36" t="n">
        <v>0.1338461538461539</v>
      </c>
      <c r="P626" s="36" t="n">
        <v>0.2975352112676057</v>
      </c>
      <c r="Q626" s="36" t="n">
        <v>0.6021739130434782</v>
      </c>
      <c r="R626" s="36" t="n">
        <v>0.1053618297712786</v>
      </c>
      <c r="S626" s="36" t="n">
        <v>0.1698722188417683</v>
      </c>
      <c r="T626" s="36" t="n">
        <v>0.3285064066936052</v>
      </c>
      <c r="U626" s="31" t="n">
        <v>73700</v>
      </c>
      <c r="V626" s="31" t="n">
        <v>30450</v>
      </c>
      <c r="W626" s="36" t="n">
        <v>0</v>
      </c>
      <c r="X626" s="36" t="n">
        <v>1.420361247947455</v>
      </c>
      <c r="Y626" s="31" t="n">
        <v>43617167</v>
      </c>
      <c r="Z626" s="31" t="n">
        <v>3214585207900</v>
      </c>
      <c r="AA626" s="31" t="n">
        <v>49369787500</v>
      </c>
      <c r="AB626" s="31" t="n">
        <v>24854285030</v>
      </c>
      <c r="AC626" s="36" t="n">
        <v>0.01535805844519888</v>
      </c>
      <c r="AD626" s="29" t="inlineStr">
        <is>
          <t>yfinance_download</t>
        </is>
      </c>
      <c r="AE626" s="29" t="inlineStr">
        <is>
          <t>000990.KS</t>
        </is>
      </c>
    </row>
    <row r="627" ht="24" customHeight="1">
      <c r="A627" s="24" t="inlineStr">
        <is>
          <t>2026-01-05</t>
        </is>
      </c>
      <c r="B627" s="30" t="n">
        <v>74700</v>
      </c>
      <c r="C627" s="30" t="n">
        <v>76300</v>
      </c>
      <c r="D627" s="30" t="n">
        <v>73400</v>
      </c>
      <c r="E627" s="30" t="n">
        <v>75200</v>
      </c>
      <c r="F627" s="30" t="n">
        <v>74523.203125</v>
      </c>
      <c r="G627" s="30" t="n">
        <v>594067</v>
      </c>
      <c r="H627" s="35" t="n">
        <v>0.02035278154681142</v>
      </c>
      <c r="I627" s="35" t="n">
        <v>-0.1142520612485277</v>
      </c>
      <c r="J627" s="30" t="n">
        <v>67155</v>
      </c>
      <c r="K627" s="30" t="n">
        <v>63285</v>
      </c>
      <c r="L627" s="30" t="n">
        <v>55717.91666666666</v>
      </c>
      <c r="M627" s="35" t="n">
        <v>0.4345681890124948</v>
      </c>
      <c r="N627" s="35" t="n">
        <v>0.6133259764107185</v>
      </c>
      <c r="O627" s="35" t="n">
        <v>0.1463414634146341</v>
      </c>
      <c r="P627" s="35" t="n">
        <v>0.296551724137931</v>
      </c>
      <c r="Q627" s="35" t="n">
        <v>0.6294691224268689</v>
      </c>
      <c r="R627" s="35" t="n">
        <v>0.1197974834338471</v>
      </c>
      <c r="S627" s="35" t="n">
        <v>0.188275262700482</v>
      </c>
      <c r="T627" s="35" t="n">
        <v>0.3496556314171833</v>
      </c>
      <c r="U627" s="30" t="n">
        <v>75200</v>
      </c>
      <c r="V627" s="30" t="n">
        <v>30450</v>
      </c>
      <c r="W627" s="35" t="n">
        <v>0</v>
      </c>
      <c r="X627" s="35" t="n">
        <v>1.469622331691297</v>
      </c>
      <c r="Y627" s="30" t="n">
        <v>43617167</v>
      </c>
      <c r="Z627" s="30" t="n">
        <v>3280010958400</v>
      </c>
      <c r="AA627" s="30" t="n">
        <v>44673838400</v>
      </c>
      <c r="AB627" s="30" t="n">
        <v>26120006310</v>
      </c>
      <c r="AC627" s="35" t="n">
        <v>0.01362002717874822</v>
      </c>
      <c r="AD627" s="24" t="inlineStr">
        <is>
          <t>yfinance_download</t>
        </is>
      </c>
      <c r="AE627" s="24" t="inlineStr">
        <is>
          <t>000990.KS</t>
        </is>
      </c>
    </row>
    <row r="628" ht="24" customHeight="1">
      <c r="A628" s="29" t="inlineStr">
        <is>
          <t>2026-01-06</t>
        </is>
      </c>
      <c r="B628" s="31" t="n">
        <v>74100</v>
      </c>
      <c r="C628" s="31" t="n">
        <v>75300</v>
      </c>
      <c r="D628" s="31" t="n">
        <v>71600</v>
      </c>
      <c r="E628" s="31" t="n">
        <v>75200</v>
      </c>
      <c r="F628" s="31" t="n">
        <v>74523.203125</v>
      </c>
      <c r="G628" s="31" t="n">
        <v>431391</v>
      </c>
      <c r="H628" s="36" t="n">
        <v>0</v>
      </c>
      <c r="I628" s="36" t="n">
        <v>-0.1142520612485277</v>
      </c>
      <c r="J628" s="31" t="n">
        <v>67695</v>
      </c>
      <c r="K628" s="31" t="n">
        <v>63601.66666666666</v>
      </c>
      <c r="L628" s="31" t="n">
        <v>55957.91666666666</v>
      </c>
      <c r="M628" s="36" t="n">
        <v>0.4250843398719474</v>
      </c>
      <c r="N628" s="36" t="n">
        <v>0.6088091102019898</v>
      </c>
      <c r="O628" s="36" t="n">
        <v>0.1677018633540373</v>
      </c>
      <c r="P628" s="36" t="n">
        <v>0.3380782918149465</v>
      </c>
      <c r="Q628" s="36" t="n">
        <v>0.6206896551724137</v>
      </c>
      <c r="R628" s="36" t="n">
        <v>0.110864908782037</v>
      </c>
      <c r="S628" s="36" t="n">
        <v>0.1823589528576295</v>
      </c>
      <c r="T628" s="36" t="n">
        <v>0.3438670429414963</v>
      </c>
      <c r="U628" s="31" t="n">
        <v>75200</v>
      </c>
      <c r="V628" s="31" t="n">
        <v>30450</v>
      </c>
      <c r="W628" s="36" t="n">
        <v>0</v>
      </c>
      <c r="X628" s="36" t="n">
        <v>1.469622331691297</v>
      </c>
      <c r="Y628" s="31" t="n">
        <v>43617167</v>
      </c>
      <c r="Z628" s="31" t="n">
        <v>3280010958400</v>
      </c>
      <c r="AA628" s="31" t="n">
        <v>32440603200</v>
      </c>
      <c r="AB628" s="31" t="n">
        <v>26576741010</v>
      </c>
      <c r="AC628" s="36" t="n">
        <v>0.00989039476131038</v>
      </c>
      <c r="AD628" s="29" t="inlineStr">
        <is>
          <t>yfinance_download</t>
        </is>
      </c>
      <c r="AE628" s="29" t="inlineStr">
        <is>
          <t>000990.KS</t>
        </is>
      </c>
    </row>
    <row r="629" ht="24" customHeight="1">
      <c r="A629" s="24" t="inlineStr">
        <is>
          <t>2026-01-07</t>
        </is>
      </c>
      <c r="B629" s="30" t="n">
        <v>75700</v>
      </c>
      <c r="C629" s="30" t="n">
        <v>75800</v>
      </c>
      <c r="D629" s="30" t="n">
        <v>72100</v>
      </c>
      <c r="E629" s="30" t="n">
        <v>74200</v>
      </c>
      <c r="F629" s="30" t="n">
        <v>73532.203125</v>
      </c>
      <c r="G629" s="30" t="n">
        <v>433879</v>
      </c>
      <c r="H629" s="35" t="n">
        <v>-0.01329787234042556</v>
      </c>
      <c r="I629" s="35" t="n">
        <v>-0.1260306242638398</v>
      </c>
      <c r="J629" s="30" t="n">
        <v>68165</v>
      </c>
      <c r="K629" s="30" t="n">
        <v>63855</v>
      </c>
      <c r="L629" s="30" t="n">
        <v>56192.08333333334</v>
      </c>
      <c r="M629" s="35" t="n">
        <v>0.4318290470330883</v>
      </c>
      <c r="N629" s="35" t="n">
        <v>0.6029246454219296</v>
      </c>
      <c r="O629" s="35" t="n">
        <v>0.1450617283950617</v>
      </c>
      <c r="P629" s="35" t="n">
        <v>0.2576271186440677</v>
      </c>
      <c r="Q629" s="35" t="n">
        <v>0.6095444685466378</v>
      </c>
      <c r="R629" s="35" t="n">
        <v>0.08853517200909566</v>
      </c>
      <c r="S629" s="35" t="n">
        <v>0.1620076736355807</v>
      </c>
      <c r="T629" s="35" t="n">
        <v>0.3204707068759685</v>
      </c>
      <c r="U629" s="30" t="n">
        <v>75200</v>
      </c>
      <c r="V629" s="30" t="n">
        <v>30450</v>
      </c>
      <c r="W629" s="35" t="n">
        <v>-0.01329787234042556</v>
      </c>
      <c r="X629" s="35" t="n">
        <v>1.436781609195402</v>
      </c>
      <c r="Y629" s="30" t="n">
        <v>43617167</v>
      </c>
      <c r="Z629" s="30" t="n">
        <v>3236393791400</v>
      </c>
      <c r="AA629" s="30" t="n">
        <v>32193821800</v>
      </c>
      <c r="AB629" s="30" t="n">
        <v>27521004140</v>
      </c>
      <c r="AC629" s="35" t="n">
        <v>0.009947436521954761</v>
      </c>
      <c r="AD629" s="24" t="inlineStr">
        <is>
          <t>yfinance_download</t>
        </is>
      </c>
      <c r="AE629" s="24" t="inlineStr">
        <is>
          <t>000990.KS</t>
        </is>
      </c>
    </row>
    <row r="630" ht="24" customHeight="1">
      <c r="A630" s="29" t="inlineStr">
        <is>
          <t>2026-01-08</t>
        </is>
      </c>
      <c r="B630" s="31" t="n">
        <v>73300</v>
      </c>
      <c r="C630" s="31" t="n">
        <v>74200</v>
      </c>
      <c r="D630" s="31" t="n">
        <v>70900</v>
      </c>
      <c r="E630" s="31" t="n">
        <v>71700</v>
      </c>
      <c r="F630" s="31" t="n">
        <v>71054.703125</v>
      </c>
      <c r="G630" s="31" t="n">
        <v>361189</v>
      </c>
      <c r="H630" s="36" t="n">
        <v>-0.03369272237196763</v>
      </c>
      <c r="I630" s="36" t="n">
        <v>-0.1554770318021201</v>
      </c>
      <c r="J630" s="31" t="n">
        <v>68445</v>
      </c>
      <c r="K630" s="31" t="n">
        <v>64066.66666666666</v>
      </c>
      <c r="L630" s="31" t="n">
        <v>56404.58333333334</v>
      </c>
      <c r="M630" s="36" t="n">
        <v>0.4521674394350745</v>
      </c>
      <c r="N630" s="36" t="n">
        <v>0.60793467076829</v>
      </c>
      <c r="O630" s="36" t="n">
        <v>0.08472012102874427</v>
      </c>
      <c r="P630" s="36" t="n">
        <v>0.2152542372881356</v>
      </c>
      <c r="Q630" s="36" t="n">
        <v>0.551948051948052</v>
      </c>
      <c r="R630" s="36" t="n">
        <v>0.04755643217181671</v>
      </c>
      <c r="S630" s="36" t="n">
        <v>0.119146722164412</v>
      </c>
      <c r="T630" s="36" t="n">
        <v>0.2711732941324212</v>
      </c>
      <c r="U630" s="31" t="n">
        <v>75200</v>
      </c>
      <c r="V630" s="31" t="n">
        <v>30450</v>
      </c>
      <c r="W630" s="36" t="n">
        <v>-0.04654255319148937</v>
      </c>
      <c r="X630" s="36" t="n">
        <v>1.354679802955665</v>
      </c>
      <c r="Y630" s="31" t="n">
        <v>43617167</v>
      </c>
      <c r="Z630" s="31" t="n">
        <v>3127350873900</v>
      </c>
      <c r="AA630" s="31" t="n">
        <v>25897251300</v>
      </c>
      <c r="AB630" s="31" t="n">
        <v>27789829455</v>
      </c>
      <c r="AC630" s="36" t="n">
        <v>0.008280890870330942</v>
      </c>
      <c r="AD630" s="29" t="inlineStr">
        <is>
          <t>yfinance_download</t>
        </is>
      </c>
      <c r="AE630" s="29" t="inlineStr">
        <is>
          <t>000990.KS</t>
        </is>
      </c>
    </row>
    <row r="631" ht="24" customHeight="1">
      <c r="A631" s="24" t="inlineStr">
        <is>
          <t>2026-01-09</t>
        </is>
      </c>
      <c r="B631" s="30" t="n">
        <v>72400</v>
      </c>
      <c r="C631" s="30" t="n">
        <v>73500</v>
      </c>
      <c r="D631" s="30" t="n">
        <v>71100</v>
      </c>
      <c r="E631" s="30" t="n">
        <v>71900</v>
      </c>
      <c r="F631" s="30" t="n">
        <v>71252.8984375</v>
      </c>
      <c r="G631" s="30" t="n">
        <v>293173</v>
      </c>
      <c r="H631" s="35" t="n">
        <v>0.002789400278939924</v>
      </c>
      <c r="I631" s="35" t="n">
        <v>-0.1531213191990577</v>
      </c>
      <c r="J631" s="30" t="n">
        <v>68795</v>
      </c>
      <c r="K631" s="30" t="n">
        <v>64343.33333333334</v>
      </c>
      <c r="L631" s="30" t="n">
        <v>56620</v>
      </c>
      <c r="M631" s="35" t="n">
        <v>0.4443247487366541</v>
      </c>
      <c r="N631" s="35" t="n">
        <v>0.5918651703997782</v>
      </c>
      <c r="O631" s="35" t="n">
        <v>0.1078582434514639</v>
      </c>
      <c r="P631" s="35" t="n">
        <v>0.3001808318264014</v>
      </c>
      <c r="Q631" s="35" t="n">
        <v>0.5613463626492943</v>
      </c>
      <c r="R631" s="35" t="n">
        <v>0.04513409404753244</v>
      </c>
      <c r="S631" s="35" t="n">
        <v>0.1174428845257214</v>
      </c>
      <c r="T631" s="35" t="n">
        <v>0.2698693041328153</v>
      </c>
      <c r="U631" s="30" t="n">
        <v>75200</v>
      </c>
      <c r="V631" s="30" t="n">
        <v>30450</v>
      </c>
      <c r="W631" s="35" t="n">
        <v>-0.0438829787234043</v>
      </c>
      <c r="X631" s="35" t="n">
        <v>1.361247947454844</v>
      </c>
      <c r="Y631" s="30" t="n">
        <v>43617167</v>
      </c>
      <c r="Z631" s="30" t="n">
        <v>3136074307300</v>
      </c>
      <c r="AA631" s="30" t="n">
        <v>21079138700</v>
      </c>
      <c r="AB631" s="30" t="n">
        <v>27762581595</v>
      </c>
      <c r="AC631" s="35" t="n">
        <v>0.00672150486068937</v>
      </c>
      <c r="AD631" s="24" t="inlineStr">
        <is>
          <t>yfinance_download</t>
        </is>
      </c>
      <c r="AE631" s="24" t="inlineStr">
        <is>
          <t>000990.KS</t>
        </is>
      </c>
    </row>
    <row r="632" ht="24" customHeight="1">
      <c r="A632" s="29" t="inlineStr">
        <is>
          <t>2026-01-12</t>
        </is>
      </c>
      <c r="B632" s="31" t="n">
        <v>73300</v>
      </c>
      <c r="C632" s="31" t="n">
        <v>74700</v>
      </c>
      <c r="D632" s="31" t="n">
        <v>72700</v>
      </c>
      <c r="E632" s="31" t="n">
        <v>74000</v>
      </c>
      <c r="F632" s="31" t="n">
        <v>73334</v>
      </c>
      <c r="G632" s="31" t="n">
        <v>285396</v>
      </c>
      <c r="H632" s="36" t="n">
        <v>0.02920723226703759</v>
      </c>
      <c r="I632" s="36" t="n">
        <v>-0.1283863368669023</v>
      </c>
      <c r="J632" s="31" t="n">
        <v>69185</v>
      </c>
      <c r="K632" s="31" t="n">
        <v>64596.66666666666</v>
      </c>
      <c r="L632" s="31" t="n">
        <v>56846.66666666666</v>
      </c>
      <c r="M632" s="36" t="n">
        <v>0.4494700575084731</v>
      </c>
      <c r="N632" s="36" t="n">
        <v>0.5815702167142057</v>
      </c>
      <c r="O632" s="36" t="n">
        <v>0.1178247734138973</v>
      </c>
      <c r="P632" s="36" t="n">
        <v>0.2585034013605443</v>
      </c>
      <c r="Q632" s="36" t="n">
        <v>0.5811965811965811</v>
      </c>
      <c r="R632" s="36" t="n">
        <v>0.06959601069596011</v>
      </c>
      <c r="S632" s="36" t="n">
        <v>0.1455699468496827</v>
      </c>
      <c r="T632" s="36" t="n">
        <v>0.3017473906414918</v>
      </c>
      <c r="U632" s="31" t="n">
        <v>75200</v>
      </c>
      <c r="V632" s="31" t="n">
        <v>30450</v>
      </c>
      <c r="W632" s="36" t="n">
        <v>-0.01595744680851063</v>
      </c>
      <c r="X632" s="36" t="n">
        <v>1.430213464696223</v>
      </c>
      <c r="Y632" s="31" t="n">
        <v>43617167</v>
      </c>
      <c r="Z632" s="31" t="n">
        <v>3227670358000</v>
      </c>
      <c r="AA632" s="31" t="n">
        <v>21119304000</v>
      </c>
      <c r="AB632" s="31" t="n">
        <v>27274087555</v>
      </c>
      <c r="AC632" s="36" t="n">
        <v>0.006543203505170338</v>
      </c>
      <c r="AD632" s="29" t="inlineStr">
        <is>
          <t>yfinance_download</t>
        </is>
      </c>
      <c r="AE632" s="29" t="inlineStr">
        <is>
          <t>000990.KS</t>
        </is>
      </c>
    </row>
    <row r="633" ht="24" customHeight="1">
      <c r="A633" s="24" t="inlineStr">
        <is>
          <t>2026-01-13</t>
        </is>
      </c>
      <c r="B633" s="30" t="n">
        <v>74100</v>
      </c>
      <c r="C633" s="30" t="n">
        <v>77300</v>
      </c>
      <c r="D633" s="30" t="n">
        <v>74000</v>
      </c>
      <c r="E633" s="30" t="n">
        <v>76400</v>
      </c>
      <c r="F633" s="30" t="n">
        <v>75712.3984375</v>
      </c>
      <c r="G633" s="30" t="n">
        <v>429442</v>
      </c>
      <c r="H633" s="35" t="n">
        <v>0.03243243243243232</v>
      </c>
      <c r="I633" s="35" t="n">
        <v>-0.1001177856301532</v>
      </c>
      <c r="J633" s="30" t="n">
        <v>69680</v>
      </c>
      <c r="K633" s="30" t="n">
        <v>64888.33333333334</v>
      </c>
      <c r="L633" s="30" t="n">
        <v>57083.33333333334</v>
      </c>
      <c r="M633" s="35" t="n">
        <v>0.4591057069961161</v>
      </c>
      <c r="N633" s="35" t="n">
        <v>0.5843479393260522</v>
      </c>
      <c r="O633" s="35" t="n">
        <v>0.1488721804511277</v>
      </c>
      <c r="P633" s="35" t="n">
        <v>0.2971137521222411</v>
      </c>
      <c r="Q633" s="35" t="n">
        <v>0.5916666666666666</v>
      </c>
      <c r="R633" s="35" t="n">
        <v>0.09644087256027545</v>
      </c>
      <c r="S633" s="35" t="n">
        <v>0.177407340816274</v>
      </c>
      <c r="T633" s="35" t="n">
        <v>0.3383941605839416</v>
      </c>
      <c r="U633" s="30" t="n">
        <v>76400</v>
      </c>
      <c r="V633" s="30" t="n">
        <v>30450</v>
      </c>
      <c r="W633" s="35" t="n">
        <v>0</v>
      </c>
      <c r="X633" s="35" t="n">
        <v>1.509031198686371</v>
      </c>
      <c r="Y633" s="30" t="n">
        <v>43617167</v>
      </c>
      <c r="Z633" s="30" t="n">
        <v>3332351558800</v>
      </c>
      <c r="AA633" s="30" t="n">
        <v>32809368800</v>
      </c>
      <c r="AB633" s="30" t="n">
        <v>27594042220</v>
      </c>
      <c r="AC633" s="35" t="n">
        <v>0.009845710520355436</v>
      </c>
      <c r="AD633" s="24" t="inlineStr">
        <is>
          <t>yfinance_download</t>
        </is>
      </c>
      <c r="AE633" s="24" t="inlineStr">
        <is>
          <t>000990.KS</t>
        </is>
      </c>
    </row>
    <row r="634" ht="24" customHeight="1">
      <c r="A634" s="29" t="inlineStr">
        <is>
          <t>2026-01-14</t>
        </is>
      </c>
      <c r="B634" s="31" t="n">
        <v>77000</v>
      </c>
      <c r="C634" s="31" t="n">
        <v>84600</v>
      </c>
      <c r="D634" s="31" t="n">
        <v>77000</v>
      </c>
      <c r="E634" s="31" t="n">
        <v>81900</v>
      </c>
      <c r="F634" s="31" t="n">
        <v>81162.8984375</v>
      </c>
      <c r="G634" s="31" t="n">
        <v>914188</v>
      </c>
      <c r="H634" s="36" t="n">
        <v>0.07198952879581144</v>
      </c>
      <c r="I634" s="36" t="n">
        <v>-0.03533568904593642</v>
      </c>
      <c r="J634" s="31" t="n">
        <v>70395</v>
      </c>
      <c r="K634" s="31" t="n">
        <v>65268.33333333334</v>
      </c>
      <c r="L634" s="31" t="n">
        <v>57375.83333333334</v>
      </c>
      <c r="M634" s="36" t="n">
        <v>0.5128693063333567</v>
      </c>
      <c r="N634" s="36" t="n">
        <v>0.6002433172898878</v>
      </c>
      <c r="O634" s="36" t="n">
        <v>0.2115384615384615</v>
      </c>
      <c r="P634" s="36" t="n">
        <v>0.3857868020304569</v>
      </c>
      <c r="Q634" s="36" t="n">
        <v>0.75</v>
      </c>
      <c r="R634" s="36" t="n">
        <v>0.1634349030470914</v>
      </c>
      <c r="S634" s="36" t="n">
        <v>0.2548198462756313</v>
      </c>
      <c r="T634" s="36" t="n">
        <v>0.4274302479266823</v>
      </c>
      <c r="U634" s="31" t="n">
        <v>81900</v>
      </c>
      <c r="V634" s="31" t="n">
        <v>30450</v>
      </c>
      <c r="W634" s="36" t="n">
        <v>0</v>
      </c>
      <c r="X634" s="36" t="n">
        <v>1.689655172413793</v>
      </c>
      <c r="Y634" s="31" t="n">
        <v>43617167</v>
      </c>
      <c r="Z634" s="31" t="n">
        <v>3572245977300</v>
      </c>
      <c r="AA634" s="31" t="n">
        <v>74871997200</v>
      </c>
      <c r="AB634" s="31" t="n">
        <v>30023575820</v>
      </c>
      <c r="AC634" s="36" t="n">
        <v>0.02095936217040414</v>
      </c>
      <c r="AD634" s="29" t="inlineStr">
        <is>
          <t>yfinance_download</t>
        </is>
      </c>
      <c r="AE634" s="29" t="inlineStr">
        <is>
          <t>000990.KS</t>
        </is>
      </c>
    </row>
    <row r="635" ht="24" customHeight="1">
      <c r="A635" s="24" t="inlineStr">
        <is>
          <t>2026-01-15</t>
        </is>
      </c>
      <c r="B635" s="30" t="n">
        <v>80300</v>
      </c>
      <c r="C635" s="30" t="n">
        <v>82300</v>
      </c>
      <c r="D635" s="30" t="n">
        <v>79300</v>
      </c>
      <c r="E635" s="30" t="n">
        <v>81900</v>
      </c>
      <c r="F635" s="30" t="n">
        <v>81162.8984375</v>
      </c>
      <c r="G635" s="30" t="n">
        <v>289199</v>
      </c>
      <c r="H635" s="35" t="n">
        <v>0</v>
      </c>
      <c r="I635" s="35" t="n">
        <v>-0.03533568904593642</v>
      </c>
      <c r="J635" s="30" t="n">
        <v>71220</v>
      </c>
      <c r="K635" s="30" t="n">
        <v>65640</v>
      </c>
      <c r="L635" s="30" t="n">
        <v>57669.58333333334</v>
      </c>
      <c r="M635" s="35" t="n">
        <v>0.4894344574696215</v>
      </c>
      <c r="N635" s="35" t="n">
        <v>0.6003534022443641</v>
      </c>
      <c r="O635" s="35" t="n">
        <v>0.2522935779816513</v>
      </c>
      <c r="P635" s="35" t="n">
        <v>0.3741610738255035</v>
      </c>
      <c r="Q635" s="35" t="n">
        <v>0.7556270096463023</v>
      </c>
      <c r="R635" s="35" t="n">
        <v>0.1499578770008425</v>
      </c>
      <c r="S635" s="35" t="n">
        <v>0.2477148080438756</v>
      </c>
      <c r="T635" s="35" t="n">
        <v>0.4201593850022036</v>
      </c>
      <c r="U635" s="30" t="n">
        <v>81900</v>
      </c>
      <c r="V635" s="30" t="n">
        <v>30450</v>
      </c>
      <c r="W635" s="35" t="n">
        <v>0</v>
      </c>
      <c r="X635" s="35" t="n">
        <v>1.689655172413793</v>
      </c>
      <c r="Y635" s="30" t="n">
        <v>43617167</v>
      </c>
      <c r="Z635" s="30" t="n">
        <v>3572245977300</v>
      </c>
      <c r="AA635" s="30" t="n">
        <v>23685398100</v>
      </c>
      <c r="AB635" s="30" t="n">
        <v>30314203775</v>
      </c>
      <c r="AC635" s="35" t="n">
        <v>0.006630393945576521</v>
      </c>
      <c r="AD635" s="24" t="inlineStr">
        <is>
          <t>yfinance_download</t>
        </is>
      </c>
      <c r="AE635" s="24" t="inlineStr">
        <is>
          <t>000990.KS</t>
        </is>
      </c>
    </row>
    <row r="636" ht="24" customHeight="1">
      <c r="A636" s="29" t="inlineStr">
        <is>
          <t>2026-01-16</t>
        </is>
      </c>
      <c r="B636" s="31" t="n">
        <v>85500</v>
      </c>
      <c r="C636" s="31" t="n">
        <v>87000</v>
      </c>
      <c r="D636" s="31" t="n">
        <v>82000</v>
      </c>
      <c r="E636" s="31" t="n">
        <v>85200</v>
      </c>
      <c r="F636" s="31" t="n">
        <v>84433.203125</v>
      </c>
      <c r="G636" s="31" t="n">
        <v>728521</v>
      </c>
      <c r="H636" s="36" t="n">
        <v>0.04029304029304037</v>
      </c>
      <c r="I636" s="36" t="n">
        <v>0</v>
      </c>
      <c r="J636" s="31" t="n">
        <v>72215</v>
      </c>
      <c r="K636" s="31" t="n">
        <v>66113.33333333333</v>
      </c>
      <c r="L636" s="31" t="n">
        <v>57985.41666666666</v>
      </c>
      <c r="M636" s="36" t="n">
        <v>0.4968428377823724</v>
      </c>
      <c r="N636" s="36" t="n">
        <v>0.5940748897228698</v>
      </c>
      <c r="O636" s="36" t="n">
        <v>0.3047473200612558</v>
      </c>
      <c r="P636" s="36" t="n">
        <v>0.5</v>
      </c>
      <c r="Q636" s="36" t="n">
        <v>0.8012684989429175</v>
      </c>
      <c r="R636" s="36" t="n">
        <v>0.1798102887211799</v>
      </c>
      <c r="S636" s="36" t="n">
        <v>0.2886961782797217</v>
      </c>
      <c r="T636" s="36" t="n">
        <v>0.4693349620953544</v>
      </c>
      <c r="U636" s="31" t="n">
        <v>85200</v>
      </c>
      <c r="V636" s="31" t="n">
        <v>30450</v>
      </c>
      <c r="W636" s="36" t="n">
        <v>0</v>
      </c>
      <c r="X636" s="36" t="n">
        <v>1.798029556650246</v>
      </c>
      <c r="Y636" s="31" t="n">
        <v>43617167</v>
      </c>
      <c r="Z636" s="31" t="n">
        <v>3716182628400</v>
      </c>
      <c r="AA636" s="31" t="n">
        <v>62069989200</v>
      </c>
      <c r="AB636" s="31" t="n">
        <v>30686870295</v>
      </c>
      <c r="AC636" s="36" t="n">
        <v>0.0167026207823172</v>
      </c>
      <c r="AD636" s="29" t="inlineStr">
        <is>
          <t>yfinance_download</t>
        </is>
      </c>
      <c r="AE636" s="29" t="inlineStr">
        <is>
          <t>000990.KS</t>
        </is>
      </c>
    </row>
    <row r="637" ht="24" customHeight="1">
      <c r="A637" s="24" t="inlineStr">
        <is>
          <t>2026-01-19</t>
        </is>
      </c>
      <c r="B637" s="30" t="n">
        <v>83600</v>
      </c>
      <c r="C637" s="30" t="n">
        <v>88500</v>
      </c>
      <c r="D637" s="30" t="n">
        <v>83000</v>
      </c>
      <c r="E637" s="30" t="n">
        <v>85700</v>
      </c>
      <c r="F637" s="30" t="n">
        <v>84928.703125</v>
      </c>
      <c r="G637" s="30" t="n">
        <v>351273</v>
      </c>
      <c r="H637" s="35" t="n">
        <v>0.005868544600938996</v>
      </c>
      <c r="I637" s="35" t="n">
        <v>0</v>
      </c>
      <c r="J637" s="30" t="n">
        <v>73225</v>
      </c>
      <c r="K637" s="30" t="n">
        <v>66595</v>
      </c>
      <c r="L637" s="30" t="n">
        <v>58307.5</v>
      </c>
      <c r="M637" s="35" t="n">
        <v>0.4961348525990717</v>
      </c>
      <c r="N637" s="35" t="n">
        <v>0.5938825614537525</v>
      </c>
      <c r="O637" s="35" t="n">
        <v>0.3083969465648855</v>
      </c>
      <c r="P637" s="35" t="n">
        <v>0.5088028169014085</v>
      </c>
      <c r="Q637" s="35" t="n">
        <v>0.8214665249734325</v>
      </c>
      <c r="R637" s="35" t="n">
        <v>0.1703653123933082</v>
      </c>
      <c r="S637" s="35" t="n">
        <v>0.2868833996546287</v>
      </c>
      <c r="T637" s="35" t="n">
        <v>0.4697937658105733</v>
      </c>
      <c r="U637" s="30" t="n">
        <v>85700</v>
      </c>
      <c r="V637" s="30" t="n">
        <v>30450</v>
      </c>
      <c r="W637" s="35" t="n">
        <v>0</v>
      </c>
      <c r="X637" s="35" t="n">
        <v>1.814449917898194</v>
      </c>
      <c r="Y637" s="30" t="n">
        <v>43617167</v>
      </c>
      <c r="Z637" s="30" t="n">
        <v>3737991211900</v>
      </c>
      <c r="AA637" s="30" t="n">
        <v>30104096100</v>
      </c>
      <c r="AB637" s="30" t="n">
        <v>31410876250</v>
      </c>
      <c r="AC637" s="35" t="n">
        <v>0.008053549190849557</v>
      </c>
      <c r="AD637" s="24" t="inlineStr">
        <is>
          <t>yfinance_download</t>
        </is>
      </c>
      <c r="AE637" s="24" t="inlineStr">
        <is>
          <t>000990.KS</t>
        </is>
      </c>
    </row>
    <row r="638" ht="24" customHeight="1">
      <c r="A638" s="29" t="inlineStr">
        <is>
          <t>2026-01-20</t>
        </is>
      </c>
      <c r="B638" s="31" t="n">
        <v>85000</v>
      </c>
      <c r="C638" s="31" t="n">
        <v>86500</v>
      </c>
      <c r="D638" s="31" t="n">
        <v>84100</v>
      </c>
      <c r="E638" s="31" t="n">
        <v>84700</v>
      </c>
      <c r="F638" s="31" t="n">
        <v>83937.703125</v>
      </c>
      <c r="G638" s="31" t="n">
        <v>268555</v>
      </c>
      <c r="H638" s="36" t="n">
        <v>-0.01166861143523923</v>
      </c>
      <c r="I638" s="36" t="n">
        <v>-0.01166861143523923</v>
      </c>
      <c r="J638" s="31" t="n">
        <v>74260</v>
      </c>
      <c r="K638" s="31" t="n">
        <v>67043.33333333333</v>
      </c>
      <c r="L638" s="31" t="n">
        <v>58633.33333333334</v>
      </c>
      <c r="M638" s="36" t="n">
        <v>0.4865700592657429</v>
      </c>
      <c r="N638" s="36" t="n">
        <v>0.5947931420137896</v>
      </c>
      <c r="O638" s="36" t="n">
        <v>0.3234375</v>
      </c>
      <c r="P638" s="36" t="n">
        <v>0.4653979238754324</v>
      </c>
      <c r="Q638" s="36" t="n">
        <v>0.8574561403508771</v>
      </c>
      <c r="R638" s="36" t="n">
        <v>0.1405871263129546</v>
      </c>
      <c r="S638" s="36" t="n">
        <v>0.2633620046735943</v>
      </c>
      <c r="T638" s="36" t="n">
        <v>0.4445707788516202</v>
      </c>
      <c r="U638" s="31" t="n">
        <v>85700</v>
      </c>
      <c r="V638" s="31" t="n">
        <v>30450</v>
      </c>
      <c r="W638" s="36" t="n">
        <v>-0.01166861143523923</v>
      </c>
      <c r="X638" s="36" t="n">
        <v>1.781609195402299</v>
      </c>
      <c r="Y638" s="31" t="n">
        <v>43617167</v>
      </c>
      <c r="Z638" s="31" t="n">
        <v>3694374044900</v>
      </c>
      <c r="AA638" s="31" t="n">
        <v>22746608500</v>
      </c>
      <c r="AB638" s="31" t="n">
        <v>31583189075</v>
      </c>
      <c r="AC638" s="36" t="n">
        <v>0.006157094063445248</v>
      </c>
      <c r="AD638" s="29" t="inlineStr">
        <is>
          <t>yfinance_download</t>
        </is>
      </c>
      <c r="AE638" s="29" t="inlineStr">
        <is>
          <t>000990.KS</t>
        </is>
      </c>
    </row>
    <row r="639" ht="24" customHeight="1">
      <c r="A639" s="24" t="inlineStr">
        <is>
          <t>2026-01-21</t>
        </is>
      </c>
      <c r="B639" s="30" t="n">
        <v>81800</v>
      </c>
      <c r="C639" s="30" t="n">
        <v>90900</v>
      </c>
      <c r="D639" s="30" t="n">
        <v>81700</v>
      </c>
      <c r="E639" s="30" t="n">
        <v>90300</v>
      </c>
      <c r="F639" s="30" t="n">
        <v>89487.296875</v>
      </c>
      <c r="G639" s="30" t="n">
        <v>815141</v>
      </c>
      <c r="H639" s="35" t="n">
        <v>0.06611570247933884</v>
      </c>
      <c r="I639" s="35" t="n">
        <v>0</v>
      </c>
      <c r="J639" s="30" t="n">
        <v>75510</v>
      </c>
      <c r="K639" s="30" t="n">
        <v>67543.33333333333</v>
      </c>
      <c r="L639" s="30" t="n">
        <v>59003.33333333334</v>
      </c>
      <c r="M639" s="35" t="n">
        <v>0.5198019445344082</v>
      </c>
      <c r="N639" s="35" t="n">
        <v>0.6025315831861184</v>
      </c>
      <c r="O639" s="35" t="n">
        <v>0.3828483920367534</v>
      </c>
      <c r="P639" s="35" t="n">
        <v>0.4975124378109452</v>
      </c>
      <c r="Q639" s="35" t="n">
        <v>0.9673202614379084</v>
      </c>
      <c r="R639" s="35" t="n">
        <v>0.1958680969408026</v>
      </c>
      <c r="S639" s="35" t="n">
        <v>0.3369195084637024</v>
      </c>
      <c r="T639" s="35" t="n">
        <v>0.5304220100559289</v>
      </c>
      <c r="U639" s="30" t="n">
        <v>90300</v>
      </c>
      <c r="V639" s="30" t="n">
        <v>30450</v>
      </c>
      <c r="W639" s="35" t="n">
        <v>0</v>
      </c>
      <c r="X639" s="35" t="n">
        <v>1.96551724137931</v>
      </c>
      <c r="Y639" s="30" t="n">
        <v>43617167</v>
      </c>
      <c r="Z639" s="30" t="n">
        <v>3938630180100</v>
      </c>
      <c r="AA639" s="30" t="n">
        <v>73607232300</v>
      </c>
      <c r="AB639" s="30" t="n">
        <v>34185803575</v>
      </c>
      <c r="AC639" s="35" t="n">
        <v>0.01868853609864208</v>
      </c>
      <c r="AD639" s="24" t="inlineStr">
        <is>
          <t>yfinance_download</t>
        </is>
      </c>
      <c r="AE639" s="24" t="inlineStr">
        <is>
          <t>000990.KS</t>
        </is>
      </c>
    </row>
    <row r="640" ht="24" customHeight="1">
      <c r="A640" s="29" t="inlineStr">
        <is>
          <t>2026-01-22</t>
        </is>
      </c>
      <c r="B640" s="31" t="n">
        <v>92500</v>
      </c>
      <c r="C640" s="31" t="n">
        <v>97500</v>
      </c>
      <c r="D640" s="31" t="n">
        <v>89000</v>
      </c>
      <c r="E640" s="31" t="n">
        <v>93100</v>
      </c>
      <c r="F640" s="31" t="n">
        <v>92262.1015625</v>
      </c>
      <c r="G640" s="31" t="n">
        <v>866585</v>
      </c>
      <c r="H640" s="36" t="n">
        <v>0.03100775193798455</v>
      </c>
      <c r="I640" s="36" t="n">
        <v>0</v>
      </c>
      <c r="J640" s="31" t="n">
        <v>76750</v>
      </c>
      <c r="K640" s="31" t="n">
        <v>68081.66666666667</v>
      </c>
      <c r="L640" s="31" t="n">
        <v>59398.33333333334</v>
      </c>
      <c r="M640" s="36" t="n">
        <v>0.5113443051434609</v>
      </c>
      <c r="N640" s="36" t="n">
        <v>0.6044650863807457</v>
      </c>
      <c r="O640" s="36" t="n">
        <v>0.363103953147877</v>
      </c>
      <c r="P640" s="36" t="n">
        <v>0.53125</v>
      </c>
      <c r="Q640" s="36" t="n">
        <v>1.037199124726477</v>
      </c>
      <c r="R640" s="36" t="n">
        <v>0.213029315960912</v>
      </c>
      <c r="S640" s="36" t="n">
        <v>0.367475335993537</v>
      </c>
      <c r="T640" s="36" t="n">
        <v>0.5673840455680574</v>
      </c>
      <c r="U640" s="31" t="n">
        <v>93100</v>
      </c>
      <c r="V640" s="31" t="n">
        <v>30450</v>
      </c>
      <c r="W640" s="36" t="n">
        <v>0</v>
      </c>
      <c r="X640" s="36" t="n">
        <v>2.057471264367816</v>
      </c>
      <c r="Y640" s="31" t="n">
        <v>43617167</v>
      </c>
      <c r="Z640" s="31" t="n">
        <v>4060758247700</v>
      </c>
      <c r="AA640" s="31" t="n">
        <v>80679063500</v>
      </c>
      <c r="AB640" s="31" t="n">
        <v>36832047595</v>
      </c>
      <c r="AC640" s="36" t="n">
        <v>0.01986797996302694</v>
      </c>
      <c r="AD640" s="29" t="inlineStr">
        <is>
          <t>yfinance_download</t>
        </is>
      </c>
      <c r="AE640" s="29" t="inlineStr">
        <is>
          <t>000990.KS</t>
        </is>
      </c>
    </row>
    <row r="641" ht="24" customHeight="1">
      <c r="A641" s="24" t="inlineStr">
        <is>
          <t>2026-01-23</t>
        </is>
      </c>
      <c r="B641" s="30" t="n">
        <v>93100</v>
      </c>
      <c r="C641" s="30" t="n">
        <v>93600</v>
      </c>
      <c r="D641" s="30" t="n">
        <v>88300</v>
      </c>
      <c r="E641" s="30" t="n">
        <v>91000</v>
      </c>
      <c r="F641" s="30" t="n">
        <v>90181</v>
      </c>
      <c r="G641" s="30" t="n">
        <v>559690</v>
      </c>
      <c r="H641" s="35" t="n">
        <v>-0.02255639097744366</v>
      </c>
      <c r="I641" s="35" t="n">
        <v>-0.02255639097744366</v>
      </c>
      <c r="J641" s="30" t="n">
        <v>77830</v>
      </c>
      <c r="K641" s="30" t="n">
        <v>68608.33333333333</v>
      </c>
      <c r="L641" s="30" t="n">
        <v>59779.16666666666</v>
      </c>
      <c r="M641" s="35" t="n">
        <v>0.5294217555651221</v>
      </c>
      <c r="N641" s="35" t="n">
        <v>0.6043634441866319</v>
      </c>
      <c r="O641" s="35" t="n">
        <v>0.3112391930835734</v>
      </c>
      <c r="P641" s="35" t="n">
        <v>0.531986531986532</v>
      </c>
      <c r="Q641" s="35" t="n">
        <v>1.008830022075055</v>
      </c>
      <c r="R641" s="35" t="n">
        <v>0.1692149556726199</v>
      </c>
      <c r="S641" s="35" t="n">
        <v>0.3263694886432651</v>
      </c>
      <c r="T641" s="35" t="n">
        <v>0.5222694639994425</v>
      </c>
      <c r="U641" s="30" t="n">
        <v>93100</v>
      </c>
      <c r="V641" s="30" t="n">
        <v>30450</v>
      </c>
      <c r="W641" s="35" t="n">
        <v>-0.02255639097744366</v>
      </c>
      <c r="X641" s="35" t="n">
        <v>1.988505747126437</v>
      </c>
      <c r="Y641" s="30" t="n">
        <v>43617167</v>
      </c>
      <c r="Z641" s="30" t="n">
        <v>3969162197000</v>
      </c>
      <c r="AA641" s="30" t="n">
        <v>50931790000</v>
      </c>
      <c r="AB641" s="30" t="n">
        <v>37878701835</v>
      </c>
      <c r="AC641" s="35" t="n">
        <v>0.01283187420219199</v>
      </c>
      <c r="AD641" s="24" t="inlineStr">
        <is>
          <t>yfinance_download</t>
        </is>
      </c>
      <c r="AE641" s="24" t="inlineStr">
        <is>
          <t>000990.KS</t>
        </is>
      </c>
    </row>
    <row r="642" ht="24" customHeight="1">
      <c r="A642" s="29" t="inlineStr">
        <is>
          <t>2026-01-26</t>
        </is>
      </c>
      <c r="B642" s="31" t="n">
        <v>91500</v>
      </c>
      <c r="C642" s="31" t="n">
        <v>91900</v>
      </c>
      <c r="D642" s="31" t="n">
        <v>89000</v>
      </c>
      <c r="E642" s="31" t="n">
        <v>90700</v>
      </c>
      <c r="F642" s="31" t="n">
        <v>89883.703125</v>
      </c>
      <c r="G642" s="31" t="n">
        <v>424950</v>
      </c>
      <c r="H642" s="36" t="n">
        <v>-0.003296703296703285</v>
      </c>
      <c r="I642" s="36" t="n">
        <v>-0.02577873254564989</v>
      </c>
      <c r="J642" s="31" t="n">
        <v>78940</v>
      </c>
      <c r="K642" s="31" t="n">
        <v>69131.66666666667</v>
      </c>
      <c r="L642" s="31" t="n">
        <v>60150.41666666666</v>
      </c>
      <c r="M642" s="36" t="n">
        <v>0.5239349575161558</v>
      </c>
      <c r="N642" s="36" t="n">
        <v>0.6044808278357475</v>
      </c>
      <c r="O642" s="36" t="n">
        <v>0.3240875912408758</v>
      </c>
      <c r="P642" s="36" t="n">
        <v>0.5295109612141653</v>
      </c>
      <c r="Q642" s="36" t="n">
        <v>0.9653304442036836</v>
      </c>
      <c r="R642" s="36" t="n">
        <v>0.1489739042310616</v>
      </c>
      <c r="S642" s="36" t="n">
        <v>0.3119891993538899</v>
      </c>
      <c r="T642" s="36" t="n">
        <v>0.5078864790351965</v>
      </c>
      <c r="U642" s="31" t="n">
        <v>93100</v>
      </c>
      <c r="V642" s="31" t="n">
        <v>30450</v>
      </c>
      <c r="W642" s="36" t="n">
        <v>-0.02577873254564989</v>
      </c>
      <c r="X642" s="36" t="n">
        <v>1.978653530377668</v>
      </c>
      <c r="Y642" s="31" t="n">
        <v>43617167</v>
      </c>
      <c r="Z642" s="31" t="n">
        <v>3956077046900</v>
      </c>
      <c r="AA642" s="31" t="n">
        <v>38542965000</v>
      </c>
      <c r="AB642" s="31" t="n">
        <v>39163056360</v>
      </c>
      <c r="AC642" s="36" t="n">
        <v>0.009742723547359231</v>
      </c>
      <c r="AD642" s="29" t="inlineStr">
        <is>
          <t>yfinance_download</t>
        </is>
      </c>
      <c r="AE642" s="29" t="inlineStr">
        <is>
          <t>000990.KS</t>
        </is>
      </c>
    </row>
    <row r="643" ht="24" customHeight="1">
      <c r="A643" s="24" t="inlineStr">
        <is>
          <t>2026-01-27</t>
        </is>
      </c>
      <c r="B643" s="30" t="n">
        <v>90700</v>
      </c>
      <c r="C643" s="30" t="n">
        <v>96300</v>
      </c>
      <c r="D643" s="30" t="n">
        <v>89600</v>
      </c>
      <c r="E643" s="30" t="n">
        <v>95600</v>
      </c>
      <c r="F643" s="30" t="n">
        <v>94739.6015625</v>
      </c>
      <c r="G643" s="30" t="n">
        <v>597639</v>
      </c>
      <c r="H643" s="35" t="n">
        <v>0.05402425578831305</v>
      </c>
      <c r="I643" s="35" t="n">
        <v>0</v>
      </c>
      <c r="J643" s="30" t="n">
        <v>80355</v>
      </c>
      <c r="K643" s="30" t="n">
        <v>69743.33333333333</v>
      </c>
      <c r="L643" s="30" t="n">
        <v>60566.25</v>
      </c>
      <c r="M643" s="35" t="n">
        <v>0.5272339707426787</v>
      </c>
      <c r="N643" s="35" t="n">
        <v>0.6110319979189123</v>
      </c>
      <c r="O643" s="35" t="n">
        <v>0.4205052005943537</v>
      </c>
      <c r="P643" s="35" t="n">
        <v>0.6230899830220713</v>
      </c>
      <c r="Q643" s="35" t="n">
        <v>1.091903719912473</v>
      </c>
      <c r="R643" s="35" t="n">
        <v>0.1897206147719495</v>
      </c>
      <c r="S643" s="35" t="n">
        <v>0.3707403336041677</v>
      </c>
      <c r="T643" s="35" t="n">
        <v>0.5784368356964482</v>
      </c>
      <c r="U643" s="30" t="n">
        <v>95600</v>
      </c>
      <c r="V643" s="30" t="n">
        <v>30450</v>
      </c>
      <c r="W643" s="35" t="n">
        <v>0</v>
      </c>
      <c r="X643" s="35" t="n">
        <v>2.139573070607554</v>
      </c>
      <c r="Y643" s="30" t="n">
        <v>43617167</v>
      </c>
      <c r="Z643" s="30" t="n">
        <v>4169801165200</v>
      </c>
      <c r="AA643" s="30" t="n">
        <v>57134288400</v>
      </c>
      <c r="AB643" s="30" t="n">
        <v>40946692470</v>
      </c>
      <c r="AC643" s="35" t="n">
        <v>0.0137019215392875</v>
      </c>
      <c r="AD643" s="24" t="inlineStr">
        <is>
          <t>yfinance_download</t>
        </is>
      </c>
      <c r="AE643" s="24" t="inlineStr">
        <is>
          <t>000990.KS</t>
        </is>
      </c>
    </row>
    <row r="644" ht="24" customHeight="1">
      <c r="A644" s="29" t="inlineStr">
        <is>
          <t>2026-01-28</t>
        </is>
      </c>
      <c r="B644" s="31" t="n">
        <v>102100</v>
      </c>
      <c r="C644" s="31" t="n">
        <v>106300</v>
      </c>
      <c r="D644" s="31" t="n">
        <v>99500</v>
      </c>
      <c r="E644" s="31" t="n">
        <v>104700</v>
      </c>
      <c r="F644" s="31" t="n">
        <v>103757.703125</v>
      </c>
      <c r="G644" s="31" t="n">
        <v>802218</v>
      </c>
      <c r="H644" s="36" t="n">
        <v>0.09518828451882855</v>
      </c>
      <c r="I644" s="36" t="n">
        <v>0</v>
      </c>
      <c r="J644" s="31" t="n">
        <v>82235</v>
      </c>
      <c r="K644" s="31" t="n">
        <v>70508.33333333333</v>
      </c>
      <c r="L644" s="31" t="n">
        <v>61054.58333333334</v>
      </c>
      <c r="M644" s="36" t="n">
        <v>0.586700088262025</v>
      </c>
      <c r="N644" s="36" t="n">
        <v>0.6356819731709988</v>
      </c>
      <c r="O644" s="36" t="n">
        <v>0.5603576751117734</v>
      </c>
      <c r="P644" s="36" t="n">
        <v>0.7806122448979591</v>
      </c>
      <c r="Q644" s="36" t="n">
        <v>1.271149674620391</v>
      </c>
      <c r="R644" s="36" t="n">
        <v>0.273180519243631</v>
      </c>
      <c r="S644" s="36" t="n">
        <v>0.4849308592364969</v>
      </c>
      <c r="T644" s="36" t="n">
        <v>0.7148589718216622</v>
      </c>
      <c r="U644" s="31" t="n">
        <v>104700</v>
      </c>
      <c r="V644" s="31" t="n">
        <v>30450</v>
      </c>
      <c r="W644" s="36" t="n">
        <v>0</v>
      </c>
      <c r="X644" s="36" t="n">
        <v>2.438423645320197</v>
      </c>
      <c r="Y644" s="31" t="n">
        <v>43617167</v>
      </c>
      <c r="Z644" s="31" t="n">
        <v>4566717384900</v>
      </c>
      <c r="AA644" s="31" t="n">
        <v>83992224600</v>
      </c>
      <c r="AB644" s="31" t="n">
        <v>43937825990</v>
      </c>
      <c r="AC644" s="36" t="n">
        <v>0.01839225367388029</v>
      </c>
      <c r="AD644" s="29" t="inlineStr">
        <is>
          <t>yfinance_download</t>
        </is>
      </c>
      <c r="AE644" s="29" t="inlineStr">
        <is>
          <t>000990.KS</t>
        </is>
      </c>
    </row>
    <row r="645" ht="24" customHeight="1">
      <c r="A645" s="24" t="inlineStr">
        <is>
          <t>2026-01-29</t>
        </is>
      </c>
      <c r="B645" s="30" t="n">
        <v>106000</v>
      </c>
      <c r="C645" s="30" t="n">
        <v>106100</v>
      </c>
      <c r="D645" s="30" t="n">
        <v>98000</v>
      </c>
      <c r="E645" s="30" t="n">
        <v>101100</v>
      </c>
      <c r="F645" s="30" t="n">
        <v>100190.1015625</v>
      </c>
      <c r="G645" s="30" t="n">
        <v>686242</v>
      </c>
      <c r="H645" s="35" t="n">
        <v>-0.03438395415472784</v>
      </c>
      <c r="I645" s="35" t="n">
        <v>-0.03438395415472784</v>
      </c>
      <c r="J645" s="30" t="n">
        <v>83910</v>
      </c>
      <c r="K645" s="30" t="n">
        <v>71211.66666666667</v>
      </c>
      <c r="L645" s="30" t="n">
        <v>61516.25</v>
      </c>
      <c r="M645" s="35" t="n">
        <v>0.6194029891392481</v>
      </c>
      <c r="N645" s="35" t="n">
        <v>0.6420657558843739</v>
      </c>
      <c r="O645" s="35" t="n">
        <v>0.4955621301775148</v>
      </c>
      <c r="P645" s="35" t="n">
        <v>0.7164685908319186</v>
      </c>
      <c r="Q645" s="35" t="n">
        <v>1.212253829321663</v>
      </c>
      <c r="R645" s="35" t="n">
        <v>0.2048623525205577</v>
      </c>
      <c r="S645" s="35" t="n">
        <v>0.4197111896458912</v>
      </c>
      <c r="T645" s="35" t="n">
        <v>0.6434681892995753</v>
      </c>
      <c r="U645" s="30" t="n">
        <v>104700</v>
      </c>
      <c r="V645" s="30" t="n">
        <v>30450</v>
      </c>
      <c r="W645" s="35" t="n">
        <v>-0.03438395415472784</v>
      </c>
      <c r="X645" s="35" t="n">
        <v>2.320197044334976</v>
      </c>
      <c r="Y645" s="30" t="n">
        <v>43617167</v>
      </c>
      <c r="Z645" s="30" t="n">
        <v>4409695583700</v>
      </c>
      <c r="AA645" s="30" t="n">
        <v>69379066200</v>
      </c>
      <c r="AB645" s="30" t="n">
        <v>46366391640</v>
      </c>
      <c r="AC645" s="35" t="n">
        <v>0.01573330060615812</v>
      </c>
      <c r="AD645" s="24" t="inlineStr">
        <is>
          <t>yfinance_download</t>
        </is>
      </c>
      <c r="AE645" s="24" t="inlineStr">
        <is>
          <t>000990.KS</t>
        </is>
      </c>
    </row>
    <row r="646" ht="24" customHeight="1">
      <c r="A646" s="29" t="inlineStr">
        <is>
          <t>2026-01-30</t>
        </is>
      </c>
      <c r="B646" s="31" t="n">
        <v>101000</v>
      </c>
      <c r="C646" s="31" t="n">
        <v>109100</v>
      </c>
      <c r="D646" s="31" t="n">
        <v>100500</v>
      </c>
      <c r="E646" s="31" t="n">
        <v>105800</v>
      </c>
      <c r="F646" s="31" t="n">
        <v>104847.796875</v>
      </c>
      <c r="G646" s="31" t="n">
        <v>762797</v>
      </c>
      <c r="H646" s="36" t="n">
        <v>0.04648862512364005</v>
      </c>
      <c r="I646" s="36" t="n">
        <v>0</v>
      </c>
      <c r="J646" s="31" t="n">
        <v>85515</v>
      </c>
      <c r="K646" s="31" t="n">
        <v>71991.66666666667</v>
      </c>
      <c r="L646" s="31" t="n">
        <v>62033.75</v>
      </c>
      <c r="M646" s="36" t="n">
        <v>0.5722438606413346</v>
      </c>
      <c r="N646" s="36" t="n">
        <v>0.6461942215851988</v>
      </c>
      <c r="O646" s="36" t="n">
        <v>0.4355495251017638</v>
      </c>
      <c r="P646" s="36" t="n">
        <v>0.7932203389830508</v>
      </c>
      <c r="Q646" s="36" t="n">
        <v>1.421052631578947</v>
      </c>
      <c r="R646" s="36" t="n">
        <v>0.2372098462258083</v>
      </c>
      <c r="S646" s="36" t="n">
        <v>0.4696145387197592</v>
      </c>
      <c r="T646" s="36" t="n">
        <v>0.7055232030950893</v>
      </c>
      <c r="U646" s="31" t="n">
        <v>105800</v>
      </c>
      <c r="V646" s="31" t="n">
        <v>30450</v>
      </c>
      <c r="W646" s="36" t="n">
        <v>0</v>
      </c>
      <c r="X646" s="36" t="n">
        <v>2.474548440065682</v>
      </c>
      <c r="Y646" s="31" t="n">
        <v>43617167</v>
      </c>
      <c r="Z646" s="31" t="n">
        <v>4614696268600</v>
      </c>
      <c r="AA646" s="31" t="n">
        <v>80703922600</v>
      </c>
      <c r="AB646" s="31" t="n">
        <v>47933098395</v>
      </c>
      <c r="AC646" s="36" t="n">
        <v>0.0174884581568537</v>
      </c>
      <c r="AD646" s="29" t="inlineStr">
        <is>
          <t>yfinance_download</t>
        </is>
      </c>
      <c r="AE646" s="29" t="inlineStr">
        <is>
          <t>000990.KS</t>
        </is>
      </c>
    </row>
    <row r="647" ht="24" customHeight="1">
      <c r="A647" s="24" t="inlineStr">
        <is>
          <t>2026-02-02</t>
        </is>
      </c>
      <c r="B647" s="30" t="n">
        <v>105100</v>
      </c>
      <c r="C647" s="30" t="n">
        <v>111800</v>
      </c>
      <c r="D647" s="30" t="n">
        <v>101900</v>
      </c>
      <c r="E647" s="30" t="n">
        <v>103000</v>
      </c>
      <c r="F647" s="30" t="n">
        <v>102073</v>
      </c>
      <c r="G647" s="30" t="n">
        <v>781246</v>
      </c>
      <c r="H647" s="35" t="n">
        <v>-0.02646502835538755</v>
      </c>
      <c r="I647" s="35" t="n">
        <v>-0.02646502835538755</v>
      </c>
      <c r="J647" s="30" t="n">
        <v>86905</v>
      </c>
      <c r="K647" s="30" t="n">
        <v>72775</v>
      </c>
      <c r="L647" s="30" t="n">
        <v>62512.91666666666</v>
      </c>
      <c r="M647" s="35" t="n">
        <v>0.5943114897708733</v>
      </c>
      <c r="N647" s="35" t="n">
        <v>0.6381789900954886</v>
      </c>
      <c r="O647" s="35" t="n">
        <v>0.3696808510638299</v>
      </c>
      <c r="P647" s="35" t="n">
        <v>0.8392857142857142</v>
      </c>
      <c r="Q647" s="35" t="n">
        <v>1.263736263736264</v>
      </c>
      <c r="R647" s="35" t="n">
        <v>0.1852022323226512</v>
      </c>
      <c r="S647" s="35" t="n">
        <v>0.4153211954654759</v>
      </c>
      <c r="T647" s="35" t="n">
        <v>0.6476594837067007</v>
      </c>
      <c r="U647" s="30" t="n">
        <v>105800</v>
      </c>
      <c r="V647" s="30" t="n">
        <v>30450</v>
      </c>
      <c r="W647" s="35" t="n">
        <v>-0.02646502835538755</v>
      </c>
      <c r="X647" s="35" t="n">
        <v>2.382594417077176</v>
      </c>
      <c r="Y647" s="30" t="n">
        <v>43617167</v>
      </c>
      <c r="Z647" s="30" t="n">
        <v>4492568201000</v>
      </c>
      <c r="AA647" s="30" t="n">
        <v>80468338000</v>
      </c>
      <c r="AB647" s="30" t="n">
        <v>49722823375</v>
      </c>
      <c r="AC647" s="35" t="n">
        <v>0.01791143381687307</v>
      </c>
      <c r="AD647" s="24" t="inlineStr">
        <is>
          <t>yfinance_download</t>
        </is>
      </c>
      <c r="AE647" s="24" t="inlineStr">
        <is>
          <t>000990.KS</t>
        </is>
      </c>
    </row>
    <row r="648" ht="24" customHeight="1">
      <c r="A648" s="29" t="inlineStr">
        <is>
          <t>2026-02-03</t>
        </is>
      </c>
      <c r="B648" s="31" t="n">
        <v>107300</v>
      </c>
      <c r="C648" s="31" t="n">
        <v>113500</v>
      </c>
      <c r="D648" s="31" t="n">
        <v>105500</v>
      </c>
      <c r="E648" s="31" t="n">
        <v>112900</v>
      </c>
      <c r="F648" s="31" t="n">
        <v>111883.8984375</v>
      </c>
      <c r="G648" s="31" t="n">
        <v>549647</v>
      </c>
      <c r="H648" s="36" t="n">
        <v>0.09611650485436884</v>
      </c>
      <c r="I648" s="36" t="n">
        <v>0</v>
      </c>
      <c r="J648" s="31" t="n">
        <v>88790</v>
      </c>
      <c r="K648" s="31" t="n">
        <v>73730</v>
      </c>
      <c r="L648" s="31" t="n">
        <v>63070.83333333334</v>
      </c>
      <c r="M648" s="36" t="n">
        <v>0.6538620209899525</v>
      </c>
      <c r="N648" s="36" t="n">
        <v>0.6603602709295393</v>
      </c>
      <c r="O648" s="36" t="n">
        <v>0.5013297872340425</v>
      </c>
      <c r="P648" s="36" t="n">
        <v>1.030575539568345</v>
      </c>
      <c r="Q648" s="36" t="n">
        <v>1.457018498367791</v>
      </c>
      <c r="R648" s="36" t="n">
        <v>0.271539587791418</v>
      </c>
      <c r="S648" s="36" t="n">
        <v>0.5312627153126273</v>
      </c>
      <c r="T648" s="36" t="n">
        <v>0.7900508687322454</v>
      </c>
      <c r="U648" s="31" t="n">
        <v>112900</v>
      </c>
      <c r="V648" s="31" t="n">
        <v>30450</v>
      </c>
      <c r="W648" s="36" t="n">
        <v>0</v>
      </c>
      <c r="X648" s="36" t="n">
        <v>2.707717569786535</v>
      </c>
      <c r="Y648" s="31" t="n">
        <v>43617167</v>
      </c>
      <c r="Z648" s="31" t="n">
        <v>4924378154300</v>
      </c>
      <c r="AA648" s="31" t="n">
        <v>62055146300</v>
      </c>
      <c r="AB648" s="31" t="n">
        <v>51203550530</v>
      </c>
      <c r="AC648" s="36" t="n">
        <v>0.01260162082512145</v>
      </c>
      <c r="AD648" s="29" t="inlineStr">
        <is>
          <t>yfinance_download</t>
        </is>
      </c>
      <c r="AE648" s="29" t="inlineStr">
        <is>
          <t>000990.KS</t>
        </is>
      </c>
    </row>
    <row r="649" ht="24" customHeight="1">
      <c r="A649" s="24" t="inlineStr">
        <is>
          <t>2026-02-04</t>
        </is>
      </c>
      <c r="B649" s="30" t="n">
        <v>110900</v>
      </c>
      <c r="C649" s="30" t="n">
        <v>112200</v>
      </c>
      <c r="D649" s="30" t="n">
        <v>108100</v>
      </c>
      <c r="E649" s="30" t="n">
        <v>110800</v>
      </c>
      <c r="F649" s="30" t="n">
        <v>109802.796875</v>
      </c>
      <c r="G649" s="30" t="n">
        <v>510879</v>
      </c>
      <c r="H649" s="35" t="n">
        <v>-0.01860053144375551</v>
      </c>
      <c r="I649" s="35" t="n">
        <v>-0.01860053144375551</v>
      </c>
      <c r="J649" s="30" t="n">
        <v>90620</v>
      </c>
      <c r="K649" s="30" t="n">
        <v>74686.66666666667</v>
      </c>
      <c r="L649" s="30" t="n">
        <v>63619.16666666666</v>
      </c>
      <c r="M649" s="35" t="n">
        <v>0.6578430620001302</v>
      </c>
      <c r="N649" s="35" t="n">
        <v>0.6546459628087814</v>
      </c>
      <c r="O649" s="35" t="n">
        <v>0.4932614555256065</v>
      </c>
      <c r="P649" s="35" t="n">
        <v>1.074906367041199</v>
      </c>
      <c r="Q649" s="35" t="n">
        <v>1.462222222222222</v>
      </c>
      <c r="R649" s="35" t="n">
        <v>0.222688148311631</v>
      </c>
      <c r="S649" s="35" t="n">
        <v>0.4835311970008032</v>
      </c>
      <c r="T649" s="35" t="n">
        <v>0.7416135074597541</v>
      </c>
      <c r="U649" s="30" t="n">
        <v>112900</v>
      </c>
      <c r="V649" s="30" t="n">
        <v>30450</v>
      </c>
      <c r="W649" s="35" t="n">
        <v>-0.01860053144375551</v>
      </c>
      <c r="X649" s="35" t="n">
        <v>2.638752052545156</v>
      </c>
      <c r="Y649" s="30" t="n">
        <v>43617167</v>
      </c>
      <c r="Z649" s="30" t="n">
        <v>4832782103600</v>
      </c>
      <c r="AA649" s="30" t="n">
        <v>56605393200</v>
      </c>
      <c r="AB649" s="30" t="n">
        <v>52424129100</v>
      </c>
      <c r="AC649" s="35" t="n">
        <v>0.01171279647758874</v>
      </c>
      <c r="AD649" s="24" t="inlineStr">
        <is>
          <t>yfinance_download</t>
        </is>
      </c>
      <c r="AE649" s="24" t="inlineStr">
        <is>
          <t>000990.KS</t>
        </is>
      </c>
    </row>
    <row r="650" ht="24" customHeight="1">
      <c r="A650" s="29" t="inlineStr">
        <is>
          <t>2026-02-05</t>
        </is>
      </c>
      <c r="B650" s="31" t="n">
        <v>107700</v>
      </c>
      <c r="C650" s="31" t="n">
        <v>112400</v>
      </c>
      <c r="D650" s="31" t="n">
        <v>103200</v>
      </c>
      <c r="E650" s="31" t="n">
        <v>104400</v>
      </c>
      <c r="F650" s="31" t="n">
        <v>103460.3984375</v>
      </c>
      <c r="G650" s="31" t="n">
        <v>631217</v>
      </c>
      <c r="H650" s="36" t="n">
        <v>-0.0577617328519856</v>
      </c>
      <c r="I650" s="36" t="n">
        <v>-0.07528786536758192</v>
      </c>
      <c r="J650" s="31" t="n">
        <v>92255</v>
      </c>
      <c r="K650" s="31" t="n">
        <v>75396.66666666667</v>
      </c>
      <c r="L650" s="31" t="n">
        <v>64110.41666666666</v>
      </c>
      <c r="M650" s="36" t="n">
        <v>0.6892049736937436</v>
      </c>
      <c r="N650" s="36" t="n">
        <v>0.5981585105457854</v>
      </c>
      <c r="O650" s="36" t="n">
        <v>0.4560669456066946</v>
      </c>
      <c r="P650" s="36" t="n">
        <v>0.6893203883495145</v>
      </c>
      <c r="Q650" s="36" t="n">
        <v>1.297029702970297</v>
      </c>
      <c r="R650" s="36" t="n">
        <v>0.1316459812476289</v>
      </c>
      <c r="S650" s="36" t="n">
        <v>0.3846765993191563</v>
      </c>
      <c r="T650" s="36" t="n">
        <v>0.6284405160367856</v>
      </c>
      <c r="U650" s="31" t="n">
        <v>112900</v>
      </c>
      <c r="V650" s="31" t="n">
        <v>30450</v>
      </c>
      <c r="W650" s="36" t="n">
        <v>-0.07528786536758192</v>
      </c>
      <c r="X650" s="36" t="n">
        <v>2.428571428571428</v>
      </c>
      <c r="Y650" s="31" t="n">
        <v>43617167</v>
      </c>
      <c r="Z650" s="31" t="n">
        <v>4553632234800</v>
      </c>
      <c r="AA650" s="31" t="n">
        <v>65899054800</v>
      </c>
      <c r="AB650" s="31" t="n">
        <v>54424219275</v>
      </c>
      <c r="AC650" s="36" t="n">
        <v>0.01447175604045994</v>
      </c>
      <c r="AD650" s="29" t="inlineStr">
        <is>
          <t>yfinance_download</t>
        </is>
      </c>
      <c r="AE650" s="29" t="inlineStr">
        <is>
          <t>000990.KS</t>
        </is>
      </c>
    </row>
    <row r="651" ht="24" customHeight="1">
      <c r="A651" s="24" t="inlineStr">
        <is>
          <t>2026-02-06</t>
        </is>
      </c>
      <c r="B651" s="30" t="n">
        <v>100000</v>
      </c>
      <c r="C651" s="30" t="n">
        <v>104900</v>
      </c>
      <c r="D651" s="30" t="n">
        <v>96800</v>
      </c>
      <c r="E651" s="30" t="n">
        <v>103000</v>
      </c>
      <c r="F651" s="30" t="n">
        <v>102073</v>
      </c>
      <c r="G651" s="30" t="n">
        <v>533362</v>
      </c>
      <c r="H651" s="35" t="n">
        <v>-0.01340996168582376</v>
      </c>
      <c r="I651" s="35" t="n">
        <v>-0.087688219663419</v>
      </c>
      <c r="J651" s="30" t="n">
        <v>93810</v>
      </c>
      <c r="K651" s="30" t="n">
        <v>75961.66666666667</v>
      </c>
      <c r="L651" s="30" t="n">
        <v>64586.25</v>
      </c>
      <c r="M651" s="35" t="n">
        <v>0.6968762672339417</v>
      </c>
      <c r="N651" s="35" t="n">
        <v>0.5553032825804394</v>
      </c>
      <c r="O651" s="35" t="n">
        <v>0.4325452016689848</v>
      </c>
      <c r="P651" s="35" t="n">
        <v>0.4905933429811866</v>
      </c>
      <c r="Q651" s="35" t="n">
        <v>1.24400871459695</v>
      </c>
      <c r="R651" s="35" t="n">
        <v>0.09796396972604193</v>
      </c>
      <c r="S651" s="35" t="n">
        <v>0.3559470785703314</v>
      </c>
      <c r="T651" s="35" t="n">
        <v>0.5947666879560278</v>
      </c>
      <c r="U651" s="30" t="n">
        <v>112900</v>
      </c>
      <c r="V651" s="30" t="n">
        <v>30450</v>
      </c>
      <c r="W651" s="35" t="n">
        <v>-0.087688219663419</v>
      </c>
      <c r="X651" s="35" t="n">
        <v>2.382594417077176</v>
      </c>
      <c r="Y651" s="30" t="n">
        <v>43617167</v>
      </c>
      <c r="Z651" s="30" t="n">
        <v>4492568201000</v>
      </c>
      <c r="AA651" s="30" t="n">
        <v>54936286000</v>
      </c>
      <c r="AB651" s="30" t="n">
        <v>56117076640</v>
      </c>
      <c r="AC651" s="35" t="n">
        <v>0.0122282586578812</v>
      </c>
      <c r="AD651" s="24" t="inlineStr">
        <is>
          <t>yfinance_download</t>
        </is>
      </c>
      <c r="AE651" s="24" t="inlineStr">
        <is>
          <t>000990.KS</t>
        </is>
      </c>
    </row>
    <row r="652" ht="24" customHeight="1">
      <c r="A652" s="29" t="inlineStr">
        <is>
          <t>2026-02-09</t>
        </is>
      </c>
      <c r="B652" s="31" t="n">
        <v>105200</v>
      </c>
      <c r="C652" s="31" t="n">
        <v>105800</v>
      </c>
      <c r="D652" s="31" t="n">
        <v>95600</v>
      </c>
      <c r="E652" s="31" t="n">
        <v>99000</v>
      </c>
      <c r="F652" s="31" t="n">
        <v>98109</v>
      </c>
      <c r="G652" s="31" t="n">
        <v>763088</v>
      </c>
      <c r="H652" s="36" t="n">
        <v>-0.03883495145631066</v>
      </c>
      <c r="I652" s="36" t="n">
        <v>-0.1231178033658105</v>
      </c>
      <c r="J652" s="31" t="n">
        <v>95060</v>
      </c>
      <c r="K652" s="31" t="n">
        <v>76420</v>
      </c>
      <c r="L652" s="31" t="n">
        <v>65026.25</v>
      </c>
      <c r="M652" s="36" t="n">
        <v>0.7249836370842947</v>
      </c>
      <c r="N652" s="36" t="n">
        <v>0.5602071575615044</v>
      </c>
      <c r="O652" s="36" t="n">
        <v>0.3378378378378379</v>
      </c>
      <c r="P652" s="36" t="n">
        <v>0.3846153846153846</v>
      </c>
      <c r="Q652" s="36" t="n">
        <v>1.142857142857143</v>
      </c>
      <c r="R652" s="36" t="n">
        <v>0.04144750683778664</v>
      </c>
      <c r="S652" s="36" t="n">
        <v>0.2954723894268516</v>
      </c>
      <c r="T652" s="36" t="n">
        <v>0.5224620826204802</v>
      </c>
      <c r="U652" s="31" t="n">
        <v>112900</v>
      </c>
      <c r="V652" s="31" t="n">
        <v>30450</v>
      </c>
      <c r="W652" s="36" t="n">
        <v>-0.1231178033658105</v>
      </c>
      <c r="X652" s="36" t="n">
        <v>2.251231527093596</v>
      </c>
      <c r="Y652" s="31" t="n">
        <v>43617167</v>
      </c>
      <c r="Z652" s="31" t="n">
        <v>4318099533000</v>
      </c>
      <c r="AA652" s="31" t="n">
        <v>75545712000</v>
      </c>
      <c r="AB652" s="31" t="n">
        <v>58838397040</v>
      </c>
      <c r="AC652" s="36" t="n">
        <v>0.01749512984188083</v>
      </c>
      <c r="AD652" s="29" t="inlineStr">
        <is>
          <t>yfinance_download</t>
        </is>
      </c>
      <c r="AE652" s="29" t="inlineStr">
        <is>
          <t>000990.KS</t>
        </is>
      </c>
    </row>
    <row r="653" ht="24" customHeight="1">
      <c r="A653" s="24" t="inlineStr">
        <is>
          <t>2026-02-10</t>
        </is>
      </c>
      <c r="B653" s="30" t="n">
        <v>99300</v>
      </c>
      <c r="C653" s="30" t="n">
        <v>100000</v>
      </c>
      <c r="D653" s="30" t="n">
        <v>96300</v>
      </c>
      <c r="E653" s="30" t="n">
        <v>96800</v>
      </c>
      <c r="F653" s="30" t="n">
        <v>95928.796875</v>
      </c>
      <c r="G653" s="30" t="n">
        <v>312732</v>
      </c>
      <c r="H653" s="35" t="n">
        <v>-0.02222222222222225</v>
      </c>
      <c r="I653" s="35" t="n">
        <v>-0.1426040744021257</v>
      </c>
      <c r="J653" s="30" t="n">
        <v>96080</v>
      </c>
      <c r="K653" s="30" t="n">
        <v>76908.33333333333</v>
      </c>
      <c r="L653" s="30" t="n">
        <v>65442.08333333334</v>
      </c>
      <c r="M653" s="35" t="n">
        <v>0.7340812830890425</v>
      </c>
      <c r="N653" s="35" t="n">
        <v>0.5484092177368384</v>
      </c>
      <c r="O653" s="35" t="n">
        <v>0.2670157068062826</v>
      </c>
      <c r="P653" s="35" t="n">
        <v>0.4340740740740741</v>
      </c>
      <c r="Q653" s="35" t="n">
        <v>1.063965884861407</v>
      </c>
      <c r="R653" s="35" t="n">
        <v>0.007493755203996644</v>
      </c>
      <c r="S653" s="35" t="n">
        <v>0.2586412395709179</v>
      </c>
      <c r="T653" s="35" t="n">
        <v>0.4791705133674178</v>
      </c>
      <c r="U653" s="30" t="n">
        <v>112900</v>
      </c>
      <c r="V653" s="30" t="n">
        <v>30450</v>
      </c>
      <c r="W653" s="35" t="n">
        <v>-0.1426040744021257</v>
      </c>
      <c r="X653" s="35" t="n">
        <v>2.178981937602627</v>
      </c>
      <c r="Y653" s="30" t="n">
        <v>43617167</v>
      </c>
      <c r="Z653" s="30" t="n">
        <v>4222141765600</v>
      </c>
      <c r="AA653" s="30" t="n">
        <v>30272457600</v>
      </c>
      <c r="AB653" s="30" t="n">
        <v>58711551480</v>
      </c>
      <c r="AC653" s="35" t="n">
        <v>0.007169929216173073</v>
      </c>
      <c r="AD653" s="24" t="inlineStr">
        <is>
          <t>yfinance_download</t>
        </is>
      </c>
      <c r="AE653" s="24" t="inlineStr">
        <is>
          <t>000990.KS</t>
        </is>
      </c>
    </row>
    <row r="654" ht="24" customHeight="1">
      <c r="A654" s="29" t="inlineStr">
        <is>
          <t>2026-02-11</t>
        </is>
      </c>
      <c r="B654" s="31" t="n">
        <v>96900</v>
      </c>
      <c r="C654" s="31" t="n">
        <v>98100</v>
      </c>
      <c r="D654" s="31" t="n">
        <v>93000</v>
      </c>
      <c r="E654" s="31" t="n">
        <v>93800</v>
      </c>
      <c r="F654" s="31" t="n">
        <v>92955.796875</v>
      </c>
      <c r="G654" s="31" t="n">
        <v>266743</v>
      </c>
      <c r="H654" s="36" t="n">
        <v>-0.03099173553719003</v>
      </c>
      <c r="I654" s="36" t="n">
        <v>-0.1691762621789193</v>
      </c>
      <c r="J654" s="31" t="n">
        <v>96675</v>
      </c>
      <c r="K654" s="31" t="n">
        <v>77345</v>
      </c>
      <c r="L654" s="31" t="n">
        <v>65829.58333333333</v>
      </c>
      <c r="M654" s="36" t="n">
        <v>0.7148913958363334</v>
      </c>
      <c r="N654" s="36" t="n">
        <v>0.5537166296581085</v>
      </c>
      <c r="O654" s="36" t="n">
        <v>0.1452991452991452</v>
      </c>
      <c r="P654" s="36" t="n">
        <v>0.3875739644970415</v>
      </c>
      <c r="Q654" s="36" t="n">
        <v>0.9830866807610994</v>
      </c>
      <c r="R654" s="36" t="n">
        <v>-0.02973881561934311</v>
      </c>
      <c r="S654" s="36" t="n">
        <v>0.2127480767987588</v>
      </c>
      <c r="T654" s="36" t="n">
        <v>0.4248912912760854</v>
      </c>
      <c r="U654" s="31" t="n">
        <v>112900</v>
      </c>
      <c r="V654" s="31" t="n">
        <v>30450</v>
      </c>
      <c r="W654" s="36" t="n">
        <v>-0.1691762621789193</v>
      </c>
      <c r="X654" s="36" t="n">
        <v>2.080459770114942</v>
      </c>
      <c r="Y654" s="31" t="n">
        <v>43617167</v>
      </c>
      <c r="Z654" s="31" t="n">
        <v>4091290264600</v>
      </c>
      <c r="AA654" s="31" t="n">
        <v>25020493400</v>
      </c>
      <c r="AB654" s="31" t="n">
        <v>56218976290</v>
      </c>
      <c r="AC654" s="36" t="n">
        <v>0.006115550787606174</v>
      </c>
      <c r="AD654" s="29" t="inlineStr">
        <is>
          <t>yfinance_download</t>
        </is>
      </c>
      <c r="AE654" s="29" t="inlineStr">
        <is>
          <t>000990.KS</t>
        </is>
      </c>
    </row>
    <row r="655" ht="24" customHeight="1">
      <c r="A655" s="24" t="inlineStr">
        <is>
          <t>2026-02-12</t>
        </is>
      </c>
      <c r="B655" s="30" t="n">
        <v>96400</v>
      </c>
      <c r="C655" s="30" t="n">
        <v>96800</v>
      </c>
      <c r="D655" s="30" t="n">
        <v>92400</v>
      </c>
      <c r="E655" s="30" t="n">
        <v>94800</v>
      </c>
      <c r="F655" s="30" t="n">
        <v>93946.796875</v>
      </c>
      <c r="G655" s="30" t="n">
        <v>362625</v>
      </c>
      <c r="H655" s="35" t="n">
        <v>0.01066098081023448</v>
      </c>
      <c r="I655" s="35" t="n">
        <v>-0.1603188662533215</v>
      </c>
      <c r="J655" s="30" t="n">
        <v>97320</v>
      </c>
      <c r="K655" s="30" t="n">
        <v>77751.66666666667</v>
      </c>
      <c r="L655" s="30" t="n">
        <v>66231.25</v>
      </c>
      <c r="M655" s="35" t="n">
        <v>0.7143608099070756</v>
      </c>
      <c r="N655" s="35" t="n">
        <v>0.5488943590763606</v>
      </c>
      <c r="O655" s="35" t="n">
        <v>0.1575091575091576</v>
      </c>
      <c r="P655" s="35" t="n">
        <v>0.3465909090909092</v>
      </c>
      <c r="Q655" s="35" t="n">
        <v>1.034334763948498</v>
      </c>
      <c r="R655" s="35" t="n">
        <v>-0.02589395807644879</v>
      </c>
      <c r="S655" s="35" t="n">
        <v>0.2192664680285523</v>
      </c>
      <c r="T655" s="35" t="n">
        <v>0.431348494857035</v>
      </c>
      <c r="U655" s="30" t="n">
        <v>112900</v>
      </c>
      <c r="V655" s="30" t="n">
        <v>31350</v>
      </c>
      <c r="W655" s="35" t="n">
        <v>-0.1603188662533215</v>
      </c>
      <c r="X655" s="35" t="n">
        <v>2.023923444976076</v>
      </c>
      <c r="Y655" s="30" t="n">
        <v>43617167</v>
      </c>
      <c r="Z655" s="30" t="n">
        <v>4134907431600</v>
      </c>
      <c r="AA655" s="30" t="n">
        <v>34376850000</v>
      </c>
      <c r="AB655" s="30" t="n">
        <v>56753548885</v>
      </c>
      <c r="AC655" s="35" t="n">
        <v>0.008313813687165881</v>
      </c>
      <c r="AD655" s="24" t="inlineStr">
        <is>
          <t>yfinance_download</t>
        </is>
      </c>
      <c r="AE655" s="24" t="inlineStr">
        <is>
          <t>000990.KS</t>
        </is>
      </c>
    </row>
    <row r="656" ht="24" customHeight="1">
      <c r="A656" s="29" t="inlineStr">
        <is>
          <t>2026-02-13</t>
        </is>
      </c>
      <c r="B656" s="31" t="n">
        <v>93800</v>
      </c>
      <c r="C656" s="31" t="n">
        <v>94300</v>
      </c>
      <c r="D656" s="31" t="n">
        <v>92300</v>
      </c>
      <c r="E656" s="31" t="n">
        <v>93000</v>
      </c>
      <c r="F656" s="31" t="n">
        <v>92163</v>
      </c>
      <c r="G656" s="31" t="n">
        <v>256870</v>
      </c>
      <c r="H656" s="36" t="n">
        <v>-0.01898734177215189</v>
      </c>
      <c r="I656" s="36" t="n">
        <v>-0.1762621789193977</v>
      </c>
      <c r="J656" s="31" t="n">
        <v>97710</v>
      </c>
      <c r="K656" s="31" t="n">
        <v>78176.66666666667</v>
      </c>
      <c r="L656" s="31" t="n">
        <v>66623.75</v>
      </c>
      <c r="M656" s="36" t="n">
        <v>0.7101038144765082</v>
      </c>
      <c r="N656" s="36" t="n">
        <v>0.5426689602791781</v>
      </c>
      <c r="O656" s="36" t="n">
        <v>0.09154929577464799</v>
      </c>
      <c r="P656" s="36" t="n">
        <v>0.3777777777777778</v>
      </c>
      <c r="Q656" s="36" t="n">
        <v>1.026143790849673</v>
      </c>
      <c r="R656" s="36" t="n">
        <v>-0.04820386859072767</v>
      </c>
      <c r="S656" s="36" t="n">
        <v>0.1896132690913741</v>
      </c>
      <c r="T656" s="36" t="n">
        <v>0.3958986097300137</v>
      </c>
      <c r="U656" s="31" t="n">
        <v>112900</v>
      </c>
      <c r="V656" s="31" t="n">
        <v>32300</v>
      </c>
      <c r="W656" s="36" t="n">
        <v>-0.1762621789193977</v>
      </c>
      <c r="X656" s="36" t="n">
        <v>1.879256965944272</v>
      </c>
      <c r="Y656" s="31" t="n">
        <v>43617167</v>
      </c>
      <c r="Z656" s="31" t="n">
        <v>4056396531000</v>
      </c>
      <c r="AA656" s="31" t="n">
        <v>23888910000</v>
      </c>
      <c r="AB656" s="31" t="n">
        <v>54844494925</v>
      </c>
      <c r="AC656" s="36" t="n">
        <v>0.005889194958489624</v>
      </c>
      <c r="AD656" s="29" t="inlineStr">
        <is>
          <t>yfinance_download</t>
        </is>
      </c>
      <c r="AE656" s="29" t="inlineStr">
        <is>
          <t>000990.KS</t>
        </is>
      </c>
    </row>
    <row r="657" ht="24" customHeight="1">
      <c r="A657" s="24" t="inlineStr">
        <is>
          <t>2026-02-19</t>
        </is>
      </c>
      <c r="B657" s="30" t="n">
        <v>91700</v>
      </c>
      <c r="C657" s="30" t="n">
        <v>91800</v>
      </c>
      <c r="D657" s="30" t="n">
        <v>88200</v>
      </c>
      <c r="E657" s="30" t="n">
        <v>91400</v>
      </c>
      <c r="F657" s="30" t="n">
        <v>90577.3984375</v>
      </c>
      <c r="G657" s="30" t="n">
        <v>538629</v>
      </c>
      <c r="H657" s="35" t="n">
        <v>-0.01720430107526882</v>
      </c>
      <c r="I657" s="35" t="n">
        <v>-0.1904340124003543</v>
      </c>
      <c r="J657" s="30" t="n">
        <v>97995</v>
      </c>
      <c r="K657" s="30" t="n">
        <v>78605</v>
      </c>
      <c r="L657" s="30" t="n">
        <v>67015</v>
      </c>
      <c r="M657" s="35" t="n">
        <v>0.7145740443569748</v>
      </c>
      <c r="N657" s="35" t="n">
        <v>0.5405846476102788</v>
      </c>
      <c r="O657" s="35" t="n">
        <v>0.06651108518086346</v>
      </c>
      <c r="P657" s="35" t="n">
        <v>0.39117199391172</v>
      </c>
      <c r="Q657" s="35" t="n">
        <v>1.056242969628796</v>
      </c>
      <c r="R657" s="35" t="n">
        <v>-0.0672993520077555</v>
      </c>
      <c r="S657" s="35" t="n">
        <v>0.162775904840659</v>
      </c>
      <c r="T657" s="35" t="n">
        <v>0.3638737596060584</v>
      </c>
      <c r="U657" s="30" t="n">
        <v>112900</v>
      </c>
      <c r="V657" s="30" t="n">
        <v>33300</v>
      </c>
      <c r="W657" s="35" t="n">
        <v>-0.1904340124003543</v>
      </c>
      <c r="X657" s="35" t="n">
        <v>1.744744744744745</v>
      </c>
      <c r="Y657" s="30" t="n">
        <v>43617167</v>
      </c>
      <c r="Z657" s="30" t="n">
        <v>3986609063800</v>
      </c>
      <c r="AA657" s="30" t="n">
        <v>49230690600</v>
      </c>
      <c r="AB657" s="30" t="n">
        <v>55800824650</v>
      </c>
      <c r="AC657" s="35" t="n">
        <v>0.01234901386419709</v>
      </c>
      <c r="AD657" s="24" t="inlineStr">
        <is>
          <t>yfinance_download</t>
        </is>
      </c>
      <c r="AE657" s="24" t="inlineStr">
        <is>
          <t>000990.KS</t>
        </is>
      </c>
    </row>
    <row r="658" ht="24" customHeight="1">
      <c r="A658" s="29" t="inlineStr">
        <is>
          <t>2026-02-20</t>
        </is>
      </c>
      <c r="B658" s="31" t="n">
        <v>92500</v>
      </c>
      <c r="C658" s="31" t="n">
        <v>95000</v>
      </c>
      <c r="D658" s="31" t="n">
        <v>91400</v>
      </c>
      <c r="E658" s="31" t="n">
        <v>93000</v>
      </c>
      <c r="F658" s="31" t="n">
        <v>92163</v>
      </c>
      <c r="G658" s="31" t="n">
        <v>406478</v>
      </c>
      <c r="H658" s="36" t="n">
        <v>0.01750547045951856</v>
      </c>
      <c r="I658" s="36" t="n">
        <v>-0.1762621789193977</v>
      </c>
      <c r="J658" s="31" t="n">
        <v>98410</v>
      </c>
      <c r="K658" s="31" t="n">
        <v>79048.33333333333</v>
      </c>
      <c r="L658" s="31" t="n">
        <v>67431.66666666667</v>
      </c>
      <c r="M658" s="36" t="n">
        <v>0.7135054900399944</v>
      </c>
      <c r="N658" s="36" t="n">
        <v>0.5410146310406756</v>
      </c>
      <c r="O658" s="36" t="n">
        <v>0.09799291617473438</v>
      </c>
      <c r="P658" s="36" t="n">
        <v>0.4006024096385543</v>
      </c>
      <c r="Q658" s="36" t="n">
        <v>1.162790697674418</v>
      </c>
      <c r="R658" s="36" t="n">
        <v>-0.05497408799918713</v>
      </c>
      <c r="S658" s="36" t="n">
        <v>0.1764953931139177</v>
      </c>
      <c r="T658" s="36" t="n">
        <v>0.3791739785956152</v>
      </c>
      <c r="U658" s="31" t="n">
        <v>112900</v>
      </c>
      <c r="V658" s="31" t="n">
        <v>36750</v>
      </c>
      <c r="W658" s="36" t="n">
        <v>-0.1762621789193977</v>
      </c>
      <c r="X658" s="36" t="n">
        <v>1.530612244897959</v>
      </c>
      <c r="Y658" s="31" t="n">
        <v>43617167</v>
      </c>
      <c r="Z658" s="31" t="n">
        <v>4056396531000</v>
      </c>
      <c r="AA658" s="31" t="n">
        <v>37802454000</v>
      </c>
      <c r="AB658" s="31" t="n">
        <v>56553616925</v>
      </c>
      <c r="AC658" s="36" t="n">
        <v>0.00931922057202844</v>
      </c>
      <c r="AD658" s="29" t="inlineStr">
        <is>
          <t>yfinance_download</t>
        </is>
      </c>
      <c r="AE658" s="29" t="inlineStr">
        <is>
          <t>000990.KS</t>
        </is>
      </c>
    </row>
    <row r="659" ht="24" customHeight="1">
      <c r="A659" s="24" t="inlineStr">
        <is>
          <t>2026-02-23</t>
        </is>
      </c>
      <c r="B659" s="30" t="n">
        <v>92100</v>
      </c>
      <c r="C659" s="30" t="n">
        <v>94400</v>
      </c>
      <c r="D659" s="30" t="n">
        <v>90700</v>
      </c>
      <c r="E659" s="30" t="n">
        <v>93000</v>
      </c>
      <c r="F659" s="30" t="n">
        <v>92163</v>
      </c>
      <c r="G659" s="30" t="n">
        <v>304216</v>
      </c>
      <c r="H659" s="35" t="n">
        <v>0</v>
      </c>
      <c r="I659" s="35" t="n">
        <v>-0.1762621789193977</v>
      </c>
      <c r="J659" s="30" t="n">
        <v>98545</v>
      </c>
      <c r="K659" s="30" t="n">
        <v>79566.66666666667</v>
      </c>
      <c r="L659" s="30" t="n">
        <v>67847.91666666667</v>
      </c>
      <c r="M659" s="35" t="n">
        <v>0.6768086324304357</v>
      </c>
      <c r="N659" s="35" t="n">
        <v>0.5188148941371465</v>
      </c>
      <c r="O659" s="35" t="n">
        <v>0.02990033222591371</v>
      </c>
      <c r="P659" s="35" t="n">
        <v>0.5024232633279484</v>
      </c>
      <c r="Q659" s="35" t="n">
        <v>1.160278745644599</v>
      </c>
      <c r="R659" s="35" t="n">
        <v>-0.05626870972652087</v>
      </c>
      <c r="S659" s="35" t="n">
        <v>0.1688311688311688</v>
      </c>
      <c r="T659" s="35" t="n">
        <v>0.3707126846194</v>
      </c>
      <c r="U659" s="30" t="n">
        <v>112900</v>
      </c>
      <c r="V659" s="30" t="n">
        <v>36750</v>
      </c>
      <c r="W659" s="35" t="n">
        <v>-0.1762621789193977</v>
      </c>
      <c r="X659" s="35" t="n">
        <v>1.530612244897959</v>
      </c>
      <c r="Y659" s="30" t="n">
        <v>43617167</v>
      </c>
      <c r="Z659" s="30" t="n">
        <v>4056396531000</v>
      </c>
      <c r="AA659" s="30" t="n">
        <v>28292088000</v>
      </c>
      <c r="AB659" s="30" t="n">
        <v>54287859710</v>
      </c>
      <c r="AC659" s="35" t="n">
        <v>0.006974684990430488</v>
      </c>
      <c r="AD659" s="24" t="inlineStr">
        <is>
          <t>yfinance_download</t>
        </is>
      </c>
      <c r="AE659" s="24" t="inlineStr">
        <is>
          <t>000990.KS</t>
        </is>
      </c>
    </row>
    <row r="660" ht="24" customHeight="1">
      <c r="A660" s="29" t="inlineStr">
        <is>
          <t>2026-02-24</t>
        </is>
      </c>
      <c r="B660" s="31" t="n">
        <v>92300</v>
      </c>
      <c r="C660" s="31" t="n">
        <v>92500</v>
      </c>
      <c r="D660" s="31" t="n">
        <v>89600</v>
      </c>
      <c r="E660" s="31" t="n">
        <v>91400</v>
      </c>
      <c r="F660" s="31" t="n">
        <v>90577.3984375</v>
      </c>
      <c r="G660" s="31" t="n">
        <v>379922</v>
      </c>
      <c r="H660" s="36" t="n">
        <v>-0.01720430107526882</v>
      </c>
      <c r="I660" s="36" t="n">
        <v>-0.1904340124003543</v>
      </c>
      <c r="J660" s="31" t="n">
        <v>98460</v>
      </c>
      <c r="K660" s="31" t="n">
        <v>80076.66666666667</v>
      </c>
      <c r="L660" s="31" t="n">
        <v>68250</v>
      </c>
      <c r="M660" s="36" t="n">
        <v>0.6713129680416315</v>
      </c>
      <c r="N660" s="36" t="n">
        <v>0.5186992053413439</v>
      </c>
      <c r="O660" s="36" t="n">
        <v>-0.01825993555316863</v>
      </c>
      <c r="P660" s="36" t="n">
        <v>0.5032894736842106</v>
      </c>
      <c r="Q660" s="36" t="n">
        <v>1.11819235225956</v>
      </c>
      <c r="R660" s="36" t="n">
        <v>-0.07170424537883402</v>
      </c>
      <c r="S660" s="36" t="n">
        <v>0.1414061524372476</v>
      </c>
      <c r="T660" s="36" t="n">
        <v>0.3391941391941391</v>
      </c>
      <c r="U660" s="31" t="n">
        <v>112900</v>
      </c>
      <c r="V660" s="31" t="n">
        <v>36750</v>
      </c>
      <c r="W660" s="36" t="n">
        <v>-0.1904340124003543</v>
      </c>
      <c r="X660" s="36" t="n">
        <v>1.487074829931973</v>
      </c>
      <c r="Y660" s="31" t="n">
        <v>43617167</v>
      </c>
      <c r="Z660" s="31" t="n">
        <v>3986609063800</v>
      </c>
      <c r="AA660" s="31" t="n">
        <v>34724870800</v>
      </c>
      <c r="AB660" s="31" t="n">
        <v>51990150075</v>
      </c>
      <c r="AC660" s="36" t="n">
        <v>0.008710377728108752</v>
      </c>
      <c r="AD660" s="29" t="inlineStr">
        <is>
          <t>yfinance_download</t>
        </is>
      </c>
      <c r="AE660" s="29" t="inlineStr">
        <is>
          <t>000990.KS</t>
        </is>
      </c>
    </row>
    <row r="661" ht="24" customHeight="1">
      <c r="A661" s="24" t="inlineStr">
        <is>
          <t>2026-02-25</t>
        </is>
      </c>
      <c r="B661" s="30" t="n">
        <v>90500</v>
      </c>
      <c r="C661" s="30" t="n">
        <v>93300</v>
      </c>
      <c r="D661" s="30" t="n">
        <v>89900</v>
      </c>
      <c r="E661" s="30" t="n">
        <v>90900</v>
      </c>
      <c r="F661" s="30" t="n">
        <v>90081.8984375</v>
      </c>
      <c r="G661" s="30" t="n">
        <v>337004</v>
      </c>
      <c r="H661" s="35" t="n">
        <v>-0.005470459518599591</v>
      </c>
      <c r="I661" s="35" t="n">
        <v>-0.1948627103631533</v>
      </c>
      <c r="J661" s="30" t="n">
        <v>98455</v>
      </c>
      <c r="K661" s="30" t="n">
        <v>80560</v>
      </c>
      <c r="L661" s="30" t="n">
        <v>68637.91666666667</v>
      </c>
      <c r="M661" s="35" t="n">
        <v>0.6664533715169128</v>
      </c>
      <c r="N661" s="35" t="n">
        <v>0.5188586976233051</v>
      </c>
      <c r="O661" s="35" t="n">
        <v>-0.001098901098901095</v>
      </c>
      <c r="P661" s="35" t="n">
        <v>0.4684975767366721</v>
      </c>
      <c r="Q661" s="35" t="n">
        <v>1.049605411499436</v>
      </c>
      <c r="R661" s="35" t="n">
        <v>-0.07673556447107821</v>
      </c>
      <c r="S661" s="35" t="n">
        <v>0.128351539225422</v>
      </c>
      <c r="T661" s="35" t="n">
        <v>0.3243408951563458</v>
      </c>
      <c r="U661" s="30" t="n">
        <v>112900</v>
      </c>
      <c r="V661" s="30" t="n">
        <v>36750</v>
      </c>
      <c r="W661" s="35" t="n">
        <v>-0.1948627103631533</v>
      </c>
      <c r="X661" s="35" t="n">
        <v>1.473469387755102</v>
      </c>
      <c r="Y661" s="30" t="n">
        <v>43617167</v>
      </c>
      <c r="Z661" s="30" t="n">
        <v>3964800480300</v>
      </c>
      <c r="AA661" s="30" t="n">
        <v>30633663600</v>
      </c>
      <c r="AB661" s="30" t="n">
        <v>50975243755</v>
      </c>
      <c r="AC661" s="35" t="n">
        <v>0.007726407356993177</v>
      </c>
      <c r="AD661" s="24" t="inlineStr">
        <is>
          <t>yfinance_download</t>
        </is>
      </c>
      <c r="AE661" s="24" t="inlineStr">
        <is>
          <t>000990.KS</t>
        </is>
      </c>
    </row>
    <row r="662" ht="24" customHeight="1">
      <c r="A662" s="29" t="inlineStr">
        <is>
          <t>2026-02-26</t>
        </is>
      </c>
      <c r="B662" s="31" t="n">
        <v>90900</v>
      </c>
      <c r="C662" s="31" t="n">
        <v>94900</v>
      </c>
      <c r="D662" s="31" t="n">
        <v>90700</v>
      </c>
      <c r="E662" s="31" t="n">
        <v>94000</v>
      </c>
      <c r="F662" s="31" t="n">
        <v>93154</v>
      </c>
      <c r="G662" s="31" t="n">
        <v>562934</v>
      </c>
      <c r="H662" s="36" t="n">
        <v>0.03410341034103404</v>
      </c>
      <c r="I662" s="36" t="n">
        <v>-0.1674047829937998</v>
      </c>
      <c r="J662" s="31" t="n">
        <v>98620</v>
      </c>
      <c r="K662" s="31" t="n">
        <v>81095</v>
      </c>
      <c r="L662" s="31" t="n">
        <v>69032.5</v>
      </c>
      <c r="M662" s="36" t="n">
        <v>0.6765814154329828</v>
      </c>
      <c r="N662" s="36" t="n">
        <v>0.521611276142013</v>
      </c>
      <c r="O662" s="36" t="n">
        <v>0.03638368246968016</v>
      </c>
      <c r="P662" s="36" t="n">
        <v>0.5185783521809371</v>
      </c>
      <c r="Q662" s="36" t="n">
        <v>1.015005359056806</v>
      </c>
      <c r="R662" s="36" t="n">
        <v>-0.04684648144392622</v>
      </c>
      <c r="S662" s="36" t="n">
        <v>0.1591343486034897</v>
      </c>
      <c r="T662" s="36" t="n">
        <v>0.3616774707565278</v>
      </c>
      <c r="U662" s="31" t="n">
        <v>112900</v>
      </c>
      <c r="V662" s="31" t="n">
        <v>36750</v>
      </c>
      <c r="W662" s="36" t="n">
        <v>-0.1674047829937998</v>
      </c>
      <c r="X662" s="36" t="n">
        <v>1.557823129251701</v>
      </c>
      <c r="Y662" s="31" t="n">
        <v>43617167</v>
      </c>
      <c r="Z662" s="31" t="n">
        <v>4100013698000</v>
      </c>
      <c r="AA662" s="31" t="n">
        <v>52915796000</v>
      </c>
      <c r="AB662" s="31" t="n">
        <v>51693885305</v>
      </c>
      <c r="AC662" s="36" t="n">
        <v>0.01290624858785533</v>
      </c>
      <c r="AD662" s="29" t="inlineStr">
        <is>
          <t>yfinance_download</t>
        </is>
      </c>
      <c r="AE662" s="29" t="inlineStr">
        <is>
          <t>000990.KS</t>
        </is>
      </c>
    </row>
    <row r="663" ht="24" customHeight="1">
      <c r="A663" s="24" t="inlineStr">
        <is>
          <t>2026-02-27</t>
        </is>
      </c>
      <c r="B663" s="30" t="n">
        <v>93200</v>
      </c>
      <c r="C663" s="30" t="n">
        <v>97500</v>
      </c>
      <c r="D663" s="30" t="n">
        <v>92300</v>
      </c>
      <c r="E663" s="30" t="n">
        <v>95700</v>
      </c>
      <c r="F663" s="30" t="n">
        <v>94838.703125</v>
      </c>
      <c r="G663" s="30" t="n">
        <v>553980</v>
      </c>
      <c r="H663" s="35" t="n">
        <v>0.01808510638297878</v>
      </c>
      <c r="I663" s="35" t="n">
        <v>-0.1523472099202834</v>
      </c>
      <c r="J663" s="30" t="n">
        <v>98625</v>
      </c>
      <c r="K663" s="30" t="n">
        <v>81630</v>
      </c>
      <c r="L663" s="30" t="n">
        <v>69445.41666666667</v>
      </c>
      <c r="M663" s="35" t="n">
        <v>0.6519498967446518</v>
      </c>
      <c r="N663" s="35" t="n">
        <v>0.520431317299616</v>
      </c>
      <c r="O663" s="35" t="n">
        <v>0.001046025104602499</v>
      </c>
      <c r="P663" s="35" t="n">
        <v>0.5047169811320755</v>
      </c>
      <c r="Q663" s="35" t="n">
        <v>1.073672806067172</v>
      </c>
      <c r="R663" s="35" t="n">
        <v>-0.02965779467680607</v>
      </c>
      <c r="S663" s="35" t="n">
        <v>0.1723631018008085</v>
      </c>
      <c r="T663" s="35" t="n">
        <v>0.3780607071500999</v>
      </c>
      <c r="U663" s="30" t="n">
        <v>112900</v>
      </c>
      <c r="V663" s="30" t="n">
        <v>36750</v>
      </c>
      <c r="W663" s="35" t="n">
        <v>-0.1523472099202834</v>
      </c>
      <c r="X663" s="35" t="n">
        <v>1.604081632653061</v>
      </c>
      <c r="Y663" s="30" t="n">
        <v>43617167</v>
      </c>
      <c r="Z663" s="30" t="n">
        <v>4174162881900</v>
      </c>
      <c r="AA663" s="30" t="n">
        <v>53015886000</v>
      </c>
      <c r="AB663" s="30" t="n">
        <v>51487965185</v>
      </c>
      <c r="AC663" s="35" t="n">
        <v>0.01270096244444303</v>
      </c>
      <c r="AD663" s="24" t="inlineStr">
        <is>
          <t>yfinance_download</t>
        </is>
      </c>
      <c r="AE663" s="24" t="inlineStr">
        <is>
          <t>000990.KS</t>
        </is>
      </c>
    </row>
    <row r="664" ht="24" customHeight="1">
      <c r="A664" s="29" t="inlineStr">
        <is>
          <t>2026-03-03</t>
        </is>
      </c>
      <c r="B664" s="31" t="n">
        <v>93600</v>
      </c>
      <c r="C664" s="31" t="n">
        <v>98100</v>
      </c>
      <c r="D664" s="31" t="n">
        <v>89400</v>
      </c>
      <c r="E664" s="31" t="n">
        <v>90500</v>
      </c>
      <c r="F664" s="31" t="n">
        <v>89685.5</v>
      </c>
      <c r="G664" s="31" t="n">
        <v>713698</v>
      </c>
      <c r="H664" s="36" t="n">
        <v>-0.0543364681295716</v>
      </c>
      <c r="I664" s="36" t="n">
        <v>-0.1984056687333924</v>
      </c>
      <c r="J664" s="31" t="n">
        <v>97915</v>
      </c>
      <c r="K664" s="31" t="n">
        <v>82078.33333333333</v>
      </c>
      <c r="L664" s="31" t="n">
        <v>69820</v>
      </c>
      <c r="M664" s="36" t="n">
        <v>0.5766197331384462</v>
      </c>
      <c r="N664" s="36" t="n">
        <v>0.5354064278814553</v>
      </c>
      <c r="O664" s="36" t="n">
        <v>-0.1356255969436485</v>
      </c>
      <c r="P664" s="36" t="n">
        <v>0.4229559748427674</v>
      </c>
      <c r="Q664" s="36" t="n">
        <v>0.9868276619099889</v>
      </c>
      <c r="R664" s="36" t="n">
        <v>-0.07572894857784818</v>
      </c>
      <c r="S664" s="36" t="n">
        <v>0.10260523483664</v>
      </c>
      <c r="T664" s="36" t="n">
        <v>0.2961902033801203</v>
      </c>
      <c r="U664" s="31" t="n">
        <v>112900</v>
      </c>
      <c r="V664" s="31" t="n">
        <v>36750</v>
      </c>
      <c r="W664" s="36" t="n">
        <v>-0.1984056687333924</v>
      </c>
      <c r="X664" s="36" t="n">
        <v>1.462585034013606</v>
      </c>
      <c r="Y664" s="31" t="n">
        <v>43617167</v>
      </c>
      <c r="Z664" s="31" t="n">
        <v>3947353613500</v>
      </c>
      <c r="AA664" s="31" t="n">
        <v>64589669000</v>
      </c>
      <c r="AB664" s="31" t="n">
        <v>50517837405</v>
      </c>
      <c r="AC664" s="36" t="n">
        <v>0.01636277752748132</v>
      </c>
      <c r="AD664" s="29" t="inlineStr">
        <is>
          <t>yfinance_download</t>
        </is>
      </c>
      <c r="AE664" s="29" t="inlineStr">
        <is>
          <t>000990.KS</t>
        </is>
      </c>
    </row>
    <row r="665" ht="24" customHeight="1">
      <c r="A665" s="24" t="inlineStr">
        <is>
          <t>2026-03-04</t>
        </is>
      </c>
      <c r="B665" s="30" t="n">
        <v>90400</v>
      </c>
      <c r="C665" s="30" t="n">
        <v>90400</v>
      </c>
      <c r="D665" s="30" t="n">
        <v>74800</v>
      </c>
      <c r="E665" s="30" t="n">
        <v>77300</v>
      </c>
      <c r="F665" s="30" t="n">
        <v>76604.296875</v>
      </c>
      <c r="G665" s="30" t="n">
        <v>718758</v>
      </c>
      <c r="H665" s="35" t="n">
        <v>-0.1458563535911602</v>
      </c>
      <c r="I665" s="35" t="n">
        <v>-0.3153232949512843</v>
      </c>
      <c r="J665" s="30" t="n">
        <v>96725</v>
      </c>
      <c r="K665" s="30" t="n">
        <v>82291.66666666667</v>
      </c>
      <c r="L665" s="30" t="n">
        <v>70081.25</v>
      </c>
      <c r="M665" s="35" t="n">
        <v>0.755698336717702</v>
      </c>
      <c r="N665" s="35" t="n">
        <v>0.6193984455342851</v>
      </c>
      <c r="O665" s="35" t="n">
        <v>-0.2354104846686449</v>
      </c>
      <c r="P665" s="35" t="n">
        <v>0.1984496124031008</v>
      </c>
      <c r="Q665" s="35" t="n">
        <v>0.6822633297062024</v>
      </c>
      <c r="R665" s="35" t="n">
        <v>-0.2008270871026105</v>
      </c>
      <c r="S665" s="35" t="n">
        <v>-0.06065822784810138</v>
      </c>
      <c r="T665" s="35" t="n">
        <v>0.1030054401141531</v>
      </c>
      <c r="U665" s="30" t="n">
        <v>112900</v>
      </c>
      <c r="V665" s="30" t="n">
        <v>36750</v>
      </c>
      <c r="W665" s="35" t="n">
        <v>-0.3153232949512843</v>
      </c>
      <c r="X665" s="35" t="n">
        <v>1.103401360544218</v>
      </c>
      <c r="Y665" s="30" t="n">
        <v>43617167</v>
      </c>
      <c r="Z665" s="30" t="n">
        <v>3371607009100</v>
      </c>
      <c r="AA665" s="30" t="n">
        <v>55559993400</v>
      </c>
      <c r="AB665" s="30" t="n">
        <v>49826883765</v>
      </c>
      <c r="AC665" s="35" t="n">
        <v>0.01647878689599441</v>
      </c>
      <c r="AD665" s="24" t="inlineStr">
        <is>
          <t>yfinance_download</t>
        </is>
      </c>
      <c r="AE665" s="24" t="inlineStr">
        <is>
          <t>000990.KS</t>
        </is>
      </c>
    </row>
    <row r="666" ht="24" customHeight="1">
      <c r="A666" s="29" t="inlineStr">
        <is>
          <t>2026-03-05</t>
        </is>
      </c>
      <c r="B666" s="31" t="n">
        <v>85000</v>
      </c>
      <c r="C666" s="31" t="n">
        <v>96000</v>
      </c>
      <c r="D666" s="31" t="n">
        <v>83400</v>
      </c>
      <c r="E666" s="31" t="n">
        <v>95000</v>
      </c>
      <c r="F666" s="31" t="n">
        <v>94145</v>
      </c>
      <c r="G666" s="31" t="n">
        <v>535924</v>
      </c>
      <c r="H666" s="36" t="n">
        <v>0.2289780077619663</v>
      </c>
      <c r="I666" s="36" t="n">
        <v>-0.1585473870682019</v>
      </c>
      <c r="J666" s="31" t="n">
        <v>96185</v>
      </c>
      <c r="K666" s="31" t="n">
        <v>82791.66666666667</v>
      </c>
      <c r="L666" s="31" t="n">
        <v>70503.75</v>
      </c>
      <c r="M666" s="36" t="n">
        <v>1.129106437661532</v>
      </c>
      <c r="N666" s="36" t="n">
        <v>0.7724763183940496</v>
      </c>
      <c r="O666" s="36" t="n">
        <v>-0.1020793950850661</v>
      </c>
      <c r="P666" s="36" t="n">
        <v>0.4615384615384615</v>
      </c>
      <c r="Q666" s="36" t="n">
        <v>1.144469525959368</v>
      </c>
      <c r="R666" s="36" t="n">
        <v>-0.01232000831730518</v>
      </c>
      <c r="S666" s="36" t="n">
        <v>0.147458480120785</v>
      </c>
      <c r="T666" s="36" t="n">
        <v>0.3474460578338032</v>
      </c>
      <c r="U666" s="31" t="n">
        <v>112900</v>
      </c>
      <c r="V666" s="31" t="n">
        <v>36750</v>
      </c>
      <c r="W666" s="36" t="n">
        <v>-0.1585473870682019</v>
      </c>
      <c r="X666" s="36" t="n">
        <v>1.585034013605442</v>
      </c>
      <c r="Y666" s="31" t="n">
        <v>43617167</v>
      </c>
      <c r="Z666" s="31" t="n">
        <v>4143630865000</v>
      </c>
      <c r="AA666" s="31" t="n">
        <v>50912780000</v>
      </c>
      <c r="AB666" s="31" t="n">
        <v>48337326635</v>
      </c>
      <c r="AC666" s="36" t="n">
        <v>0.0122869969982232</v>
      </c>
      <c r="AD666" s="29" t="inlineStr">
        <is>
          <t>yfinance_download</t>
        </is>
      </c>
      <c r="AE666" s="29" t="inlineStr">
        <is>
          <t>000990.KS</t>
        </is>
      </c>
    </row>
    <row r="667" ht="24" customHeight="1">
      <c r="A667" s="24" t="inlineStr">
        <is>
          <t>2026-03-06</t>
        </is>
      </c>
      <c r="B667" s="30" t="n">
        <v>93100</v>
      </c>
      <c r="C667" s="30" t="n">
        <v>94000</v>
      </c>
      <c r="D667" s="30" t="n">
        <v>87100</v>
      </c>
      <c r="E667" s="30" t="n">
        <v>90000</v>
      </c>
      <c r="F667" s="30" t="n">
        <v>89190</v>
      </c>
      <c r="G667" s="30" t="n">
        <v>473685</v>
      </c>
      <c r="H667" s="35" t="n">
        <v>-0.05263157894736847</v>
      </c>
      <c r="I667" s="35" t="n">
        <v>-0.2028343666961914</v>
      </c>
      <c r="J667" s="30" t="n">
        <v>95535</v>
      </c>
      <c r="K667" s="30" t="n">
        <v>83198.33333333333</v>
      </c>
      <c r="L667" s="30" t="n">
        <v>70887.5</v>
      </c>
      <c r="M667" s="35" t="n">
        <v>1.140056906809231</v>
      </c>
      <c r="N667" s="35" t="n">
        <v>0.7822140926119471</v>
      </c>
      <c r="O667" s="35" t="n">
        <v>-0.1262135922330098</v>
      </c>
      <c r="P667" s="35" t="n">
        <v>0.3719512195121952</v>
      </c>
      <c r="Q667" s="35" t="n">
        <v>1.04778156996587</v>
      </c>
      <c r="R667" s="35" t="n">
        <v>-0.0579368817710787</v>
      </c>
      <c r="S667" s="35" t="n">
        <v>0.08175243895110085</v>
      </c>
      <c r="T667" s="35" t="n">
        <v>0.2696173514371363</v>
      </c>
      <c r="U667" s="30" t="n">
        <v>112900</v>
      </c>
      <c r="V667" s="30" t="n">
        <v>36750</v>
      </c>
      <c r="W667" s="35" t="n">
        <v>-0.2028343666961914</v>
      </c>
      <c r="X667" s="35" t="n">
        <v>1.448979591836735</v>
      </c>
      <c r="Y667" s="30" t="n">
        <v>43617167</v>
      </c>
      <c r="Z667" s="30" t="n">
        <v>3925545030000</v>
      </c>
      <c r="AA667" s="30" t="n">
        <v>42631650000</v>
      </c>
      <c r="AB667" s="30" t="n">
        <v>46445492235</v>
      </c>
      <c r="AC667" s="35" t="n">
        <v>0.01086005883875952</v>
      </c>
      <c r="AD667" s="24" t="inlineStr">
        <is>
          <t>yfinance_download</t>
        </is>
      </c>
      <c r="AE667" s="24" t="inlineStr">
        <is>
          <t>000990.KS</t>
        </is>
      </c>
    </row>
    <row r="668" ht="24" customHeight="1">
      <c r="A668" s="29" t="inlineStr">
        <is>
          <t>2026-03-09</t>
        </is>
      </c>
      <c r="B668" s="31" t="n">
        <v>84500</v>
      </c>
      <c r="C668" s="31" t="n">
        <v>88700</v>
      </c>
      <c r="D668" s="31" t="n">
        <v>82100</v>
      </c>
      <c r="E668" s="31" t="n">
        <v>83200</v>
      </c>
      <c r="F668" s="31" t="n">
        <v>83200</v>
      </c>
      <c r="G668" s="31" t="n">
        <v>468699</v>
      </c>
      <c r="H668" s="36" t="n">
        <v>-0.0755555555555556</v>
      </c>
      <c r="I668" s="36" t="n">
        <v>-0.2630646589902569</v>
      </c>
      <c r="J668" s="31" t="n">
        <v>94050</v>
      </c>
      <c r="K668" s="31" t="n">
        <v>83511.66666666667</v>
      </c>
      <c r="L668" s="31" t="n">
        <v>71210</v>
      </c>
      <c r="M668" s="36" t="n">
        <v>1.101507630745991</v>
      </c>
      <c r="N668" s="36" t="n">
        <v>0.7985770875606162</v>
      </c>
      <c r="O668" s="36" t="n">
        <v>-0.2630646589902569</v>
      </c>
      <c r="P668" s="36" t="n">
        <v>0.2919254658385093</v>
      </c>
      <c r="Q668" s="36" t="n">
        <v>0.8696629213483147</v>
      </c>
      <c r="R668" s="36" t="n">
        <v>-0.1153641679957469</v>
      </c>
      <c r="S668" s="36" t="n">
        <v>-0.00373201349112906</v>
      </c>
      <c r="T668" s="36" t="n">
        <v>0.1683752281982867</v>
      </c>
      <c r="U668" s="31" t="n">
        <v>112900</v>
      </c>
      <c r="V668" s="31" t="n">
        <v>36750</v>
      </c>
      <c r="W668" s="36" t="n">
        <v>-0.2630646589902569</v>
      </c>
      <c r="X668" s="36" t="n">
        <v>1.263945578231293</v>
      </c>
      <c r="Y668" s="31" t="n">
        <v>43617167</v>
      </c>
      <c r="Z668" s="31" t="n">
        <v>3628948294400</v>
      </c>
      <c r="AA668" s="31" t="n">
        <v>38995756800</v>
      </c>
      <c r="AB668" s="31" t="n">
        <v>45292522760</v>
      </c>
      <c r="AC668" s="36" t="n">
        <v>0.01074574604994405</v>
      </c>
      <c r="AD668" s="29" t="inlineStr">
        <is>
          <t>yfinance_download</t>
        </is>
      </c>
      <c r="AE668" s="29" t="inlineStr">
        <is>
          <t>000990.KS</t>
        </is>
      </c>
    </row>
    <row r="669" ht="24" customHeight="1">
      <c r="A669" s="24" t="inlineStr">
        <is>
          <t>2026-03-10</t>
        </is>
      </c>
      <c r="B669" s="30" t="n">
        <v>86300</v>
      </c>
      <c r="C669" s="30" t="n">
        <v>90700</v>
      </c>
      <c r="D669" s="30" t="n">
        <v>85900</v>
      </c>
      <c r="E669" s="30" t="n">
        <v>87700</v>
      </c>
      <c r="F669" s="30" t="n">
        <v>87700</v>
      </c>
      <c r="G669" s="30" t="n">
        <v>356411</v>
      </c>
      <c r="H669" s="35" t="n">
        <v>0.05408653846153855</v>
      </c>
      <c r="I669" s="35" t="n">
        <v>-0.2232063773250664</v>
      </c>
      <c r="J669" s="30" t="n">
        <v>92895</v>
      </c>
      <c r="K669" s="30" t="n">
        <v>83893.33333333333</v>
      </c>
      <c r="L669" s="30" t="n">
        <v>71568.33333333333</v>
      </c>
      <c r="M669" s="35" t="n">
        <v>1.126528267134976</v>
      </c>
      <c r="N669" s="35" t="n">
        <v>0.804768183528194</v>
      </c>
      <c r="O669" s="35" t="n">
        <v>-0.2084837545126353</v>
      </c>
      <c r="P669" s="35" t="n">
        <v>0.353395061728395</v>
      </c>
      <c r="Q669" s="35" t="n">
        <v>0.9619686800894856</v>
      </c>
      <c r="R669" s="35" t="n">
        <v>-0.05592335432477524</v>
      </c>
      <c r="S669" s="35" t="n">
        <v>0.04537507946598862</v>
      </c>
      <c r="T669" s="35" t="n">
        <v>0.22540229617382</v>
      </c>
      <c r="U669" s="30" t="n">
        <v>112900</v>
      </c>
      <c r="V669" s="30" t="n">
        <v>36750</v>
      </c>
      <c r="W669" s="35" t="n">
        <v>-0.2232063773250664</v>
      </c>
      <c r="X669" s="35" t="n">
        <v>1.386394557823129</v>
      </c>
      <c r="Y669" s="30" t="n">
        <v>43617167</v>
      </c>
      <c r="Z669" s="30" t="n">
        <v>3825225545900</v>
      </c>
      <c r="AA669" s="30" t="n">
        <v>31257244700</v>
      </c>
      <c r="AB669" s="30" t="n">
        <v>44025115335</v>
      </c>
      <c r="AC669" s="35" t="n">
        <v>0.008171346846070952</v>
      </c>
      <c r="AD669" s="24" t="inlineStr">
        <is>
          <t>yfinance_download</t>
        </is>
      </c>
      <c r="AE669" s="24" t="inlineStr">
        <is>
          <t>000990.KS</t>
        </is>
      </c>
    </row>
    <row r="670" ht="24" customHeight="1">
      <c r="A670" s="29" t="inlineStr">
        <is>
          <t>2026-03-11</t>
        </is>
      </c>
      <c r="B670" s="31" t="n">
        <v>88500</v>
      </c>
      <c r="C670" s="31" t="n">
        <v>89400</v>
      </c>
      <c r="D670" s="31" t="n">
        <v>84000</v>
      </c>
      <c r="E670" s="31" t="n">
        <v>85000</v>
      </c>
      <c r="F670" s="31" t="n">
        <v>85000</v>
      </c>
      <c r="G670" s="31" t="n">
        <v>254826</v>
      </c>
      <c r="H670" s="36" t="n">
        <v>-0.03078677309007982</v>
      </c>
      <c r="I670" s="36" t="n">
        <v>-0.2471213463241807</v>
      </c>
      <c r="J670" s="31" t="n">
        <v>91925</v>
      </c>
      <c r="K670" s="31" t="n">
        <v>84208.33333333333</v>
      </c>
      <c r="L670" s="31" t="n">
        <v>71903.33333333333</v>
      </c>
      <c r="M670" s="36" t="n">
        <v>1.115165982449132</v>
      </c>
      <c r="N670" s="36" t="n">
        <v>0.8077890315108328</v>
      </c>
      <c r="O670" s="36" t="n">
        <v>-0.185823754789272</v>
      </c>
      <c r="P670" s="36" t="n">
        <v>0.285930408472012</v>
      </c>
      <c r="Q670" s="36" t="n">
        <v>0.8973214285714286</v>
      </c>
      <c r="R670" s="36" t="n">
        <v>-0.07533315202610824</v>
      </c>
      <c r="S670" s="36" t="n">
        <v>0.009401286491835803</v>
      </c>
      <c r="T670" s="36" t="n">
        <v>0.182142691576654</v>
      </c>
      <c r="U670" s="31" t="n">
        <v>112900</v>
      </c>
      <c r="V670" s="31" t="n">
        <v>36750</v>
      </c>
      <c r="W670" s="36" t="n">
        <v>-0.2471213463241807</v>
      </c>
      <c r="X670" s="36" t="n">
        <v>1.312925170068027</v>
      </c>
      <c r="Y670" s="31" t="n">
        <v>43617167</v>
      </c>
      <c r="Z670" s="31" t="n">
        <v>3707459195000</v>
      </c>
      <c r="AA670" s="31" t="n">
        <v>21660210000</v>
      </c>
      <c r="AB670" s="31" t="n">
        <v>41813173095</v>
      </c>
      <c r="AC670" s="36" t="n">
        <v>0.005842332676030976</v>
      </c>
      <c r="AD670" s="29" t="inlineStr">
        <is>
          <t>yfinance_download</t>
        </is>
      </c>
      <c r="AE670" s="29" t="inlineStr">
        <is>
          <t>000990.KS</t>
        </is>
      </c>
    </row>
    <row r="671" ht="24" customHeight="1">
      <c r="A671" s="24" t="inlineStr">
        <is>
          <t>2026-03-12</t>
        </is>
      </c>
      <c r="B671" s="30" t="n">
        <v>85100</v>
      </c>
      <c r="C671" s="30" t="n">
        <v>87500</v>
      </c>
      <c r="D671" s="30" t="n">
        <v>84300</v>
      </c>
      <c r="E671" s="30" t="n">
        <v>85900</v>
      </c>
      <c r="F671" s="30" t="n">
        <v>85900</v>
      </c>
      <c r="G671" s="30" t="n">
        <v>243918</v>
      </c>
      <c r="H671" s="35" t="n">
        <v>0.01058823529411757</v>
      </c>
      <c r="I671" s="35" t="n">
        <v>-0.2391496899911426</v>
      </c>
      <c r="J671" s="30" t="n">
        <v>91070</v>
      </c>
      <c r="K671" s="30" t="n">
        <v>84558.33333333333</v>
      </c>
      <c r="L671" s="30" t="n">
        <v>72243.33333333333</v>
      </c>
      <c r="M671" s="35" t="n">
        <v>1.116875145914201</v>
      </c>
      <c r="N671" s="35" t="n">
        <v>0.8063514257991836</v>
      </c>
      <c r="O671" s="35" t="n">
        <v>-0.1660194174757281</v>
      </c>
      <c r="P671" s="35" t="n">
        <v>0.3235747303543914</v>
      </c>
      <c r="Q671" s="35" t="n">
        <v>0.9046563192904655</v>
      </c>
      <c r="R671" s="35" t="n">
        <v>-0.05676951795322283</v>
      </c>
      <c r="S671" s="35" t="n">
        <v>0.01586675864787623</v>
      </c>
      <c r="T671" s="35" t="n">
        <v>0.1890370507082546</v>
      </c>
      <c r="U671" s="30" t="n">
        <v>112900</v>
      </c>
      <c r="V671" s="30" t="n">
        <v>36750</v>
      </c>
      <c r="W671" s="35" t="n">
        <v>-0.2391496899911426</v>
      </c>
      <c r="X671" s="35" t="n">
        <v>1.337414965986395</v>
      </c>
      <c r="Y671" s="30" t="n">
        <v>43617167</v>
      </c>
      <c r="Z671" s="30" t="n">
        <v>3746714645300</v>
      </c>
      <c r="AA671" s="30" t="n">
        <v>20952556200</v>
      </c>
      <c r="AB671" s="30" t="n">
        <v>40113986605</v>
      </c>
      <c r="AC671" s="35" t="n">
        <v>0.005592247657900386</v>
      </c>
      <c r="AD671" s="24" t="inlineStr">
        <is>
          <t>yfinance_download</t>
        </is>
      </c>
      <c r="AE671" s="24" t="inlineStr">
        <is>
          <t>000990.KS</t>
        </is>
      </c>
    </row>
    <row r="672" ht="24" customHeight="1">
      <c r="A672" s="29" t="inlineStr">
        <is>
          <t>2026-03-13</t>
        </is>
      </c>
      <c r="B672" s="31" t="n">
        <v>85000</v>
      </c>
      <c r="C672" s="31" t="n">
        <v>87100</v>
      </c>
      <c r="D672" s="31" t="n">
        <v>83300</v>
      </c>
      <c r="E672" s="31" t="n">
        <v>86500</v>
      </c>
      <c r="F672" s="31" t="n">
        <v>86500</v>
      </c>
      <c r="G672" s="31" t="n">
        <v>223757</v>
      </c>
      <c r="H672" s="36" t="n">
        <v>0.006984866123399325</v>
      </c>
      <c r="I672" s="36" t="n">
        <v>-0.2338352524357838</v>
      </c>
      <c r="J672" s="31" t="n">
        <v>90445</v>
      </c>
      <c r="K672" s="31" t="n">
        <v>84896.66666666667</v>
      </c>
      <c r="L672" s="31" t="n">
        <v>72577.5</v>
      </c>
      <c r="M672" s="36" t="n">
        <v>1.111274707952974</v>
      </c>
      <c r="N672" s="36" t="n">
        <v>0.8058185252128217</v>
      </c>
      <c r="O672" s="36" t="n">
        <v>-0.1262626262626263</v>
      </c>
      <c r="P672" s="36" t="n">
        <v>0.3066465256797584</v>
      </c>
      <c r="Q672" s="36" t="n">
        <v>0.8642241379310345</v>
      </c>
      <c r="R672" s="36" t="n">
        <v>-0.04361766819614132</v>
      </c>
      <c r="S672" s="36" t="n">
        <v>0.0188857041894066</v>
      </c>
      <c r="T672" s="36" t="n">
        <v>0.1918294237194722</v>
      </c>
      <c r="U672" s="31" t="n">
        <v>112900</v>
      </c>
      <c r="V672" s="31" t="n">
        <v>36750</v>
      </c>
      <c r="W672" s="36" t="n">
        <v>-0.2338352524357838</v>
      </c>
      <c r="X672" s="36" t="n">
        <v>1.353741496598639</v>
      </c>
      <c r="Y672" s="31" t="n">
        <v>43617167</v>
      </c>
      <c r="Z672" s="31" t="n">
        <v>3772884945500</v>
      </c>
      <c r="AA672" s="31" t="n">
        <v>19354980500</v>
      </c>
      <c r="AB672" s="31" t="n">
        <v>37304450030</v>
      </c>
      <c r="AC672" s="36" t="n">
        <v>0.005130021397309</v>
      </c>
      <c r="AD672" s="29" t="inlineStr">
        <is>
          <t>yfinance_download</t>
        </is>
      </c>
      <c r="AE672" s="29" t="inlineStr">
        <is>
          <t>000990.KS</t>
        </is>
      </c>
    </row>
    <row r="673" ht="24" customHeight="1">
      <c r="A673" s="24" t="inlineStr">
        <is>
          <t>2026-03-16</t>
        </is>
      </c>
      <c r="B673" s="30" t="n">
        <v>88500</v>
      </c>
      <c r="C673" s="30" t="n">
        <v>91000</v>
      </c>
      <c r="D673" s="30" t="n">
        <v>83400</v>
      </c>
      <c r="E673" s="30" t="n">
        <v>87900</v>
      </c>
      <c r="F673" s="30" t="n">
        <v>87900</v>
      </c>
      <c r="G673" s="30" t="n">
        <v>351389</v>
      </c>
      <c r="H673" s="35" t="n">
        <v>0.016184971098266</v>
      </c>
      <c r="I673" s="35" t="n">
        <v>-0.2214348981399469</v>
      </c>
      <c r="J673" s="30" t="n">
        <v>90000</v>
      </c>
      <c r="K673" s="30" t="n">
        <v>85253.33333333333</v>
      </c>
      <c r="L673" s="30" t="n">
        <v>72890</v>
      </c>
      <c r="M673" s="35" t="n">
        <v>1.11151942550035</v>
      </c>
      <c r="N673" s="35" t="n">
        <v>0.8061008259288515</v>
      </c>
      <c r="O673" s="35" t="n">
        <v>-0.09194214876033058</v>
      </c>
      <c r="P673" s="35" t="n">
        <v>0.3218045112781955</v>
      </c>
      <c r="Q673" s="35" t="n">
        <v>0.7440476190476191</v>
      </c>
      <c r="R673" s="35" t="n">
        <v>-0.02333333333333332</v>
      </c>
      <c r="S673" s="35" t="n">
        <v>0.03104472943384429</v>
      </c>
      <c r="T673" s="35" t="n">
        <v>0.2059267389216628</v>
      </c>
      <c r="U673" s="30" t="n">
        <v>112900</v>
      </c>
      <c r="V673" s="30" t="n">
        <v>36750</v>
      </c>
      <c r="W673" s="35" t="n">
        <v>-0.2214348981399469</v>
      </c>
      <c r="X673" s="35" t="n">
        <v>1.391836734693877</v>
      </c>
      <c r="Y673" s="30" t="n">
        <v>43617167</v>
      </c>
      <c r="Z673" s="30" t="n">
        <v>3833948979300</v>
      </c>
      <c r="AA673" s="30" t="n">
        <v>30887093100</v>
      </c>
      <c r="AB673" s="30" t="n">
        <v>37335181805</v>
      </c>
      <c r="AC673" s="35" t="n">
        <v>0.008056208694159343</v>
      </c>
      <c r="AD673" s="24" t="inlineStr">
        <is>
          <t>yfinance_download</t>
        </is>
      </c>
      <c r="AE673" s="24" t="inlineStr">
        <is>
          <t>000990.KS</t>
        </is>
      </c>
    </row>
    <row r="674" ht="24" customHeight="1">
      <c r="A674" s="29" t="inlineStr">
        <is>
          <t>2026-03-17</t>
        </is>
      </c>
      <c r="B674" s="31" t="n">
        <v>89500</v>
      </c>
      <c r="C674" s="31" t="n">
        <v>90600</v>
      </c>
      <c r="D674" s="31" t="n">
        <v>85700</v>
      </c>
      <c r="E674" s="31" t="n">
        <v>85700</v>
      </c>
      <c r="F674" s="31" t="n">
        <v>85700</v>
      </c>
      <c r="G674" s="31" t="n">
        <v>251591</v>
      </c>
      <c r="H674" s="36" t="n">
        <v>-0.02502844141069394</v>
      </c>
      <c r="I674" s="36" t="n">
        <v>-0.2409211691762622</v>
      </c>
      <c r="J674" s="31" t="n">
        <v>89595</v>
      </c>
      <c r="K674" s="31" t="n">
        <v>85555</v>
      </c>
      <c r="L674" s="31" t="n">
        <v>73176.66666666667</v>
      </c>
      <c r="M674" s="36" t="n">
        <v>1.109698683337381</v>
      </c>
      <c r="N674" s="36" t="n">
        <v>0.8082524107107114</v>
      </c>
      <c r="O674" s="36" t="n">
        <v>-0.0863539445628998</v>
      </c>
      <c r="P674" s="36" t="n">
        <v>0.2677514792899409</v>
      </c>
      <c r="Q674" s="36" t="n">
        <v>0.6705653021442495</v>
      </c>
      <c r="R674" s="36" t="n">
        <v>-0.04347340811429212</v>
      </c>
      <c r="S674" s="36" t="n">
        <v>0.001694816200105143</v>
      </c>
      <c r="T674" s="36" t="n">
        <v>0.1711383410012299</v>
      </c>
      <c r="U674" s="31" t="n">
        <v>112900</v>
      </c>
      <c r="V674" s="31" t="n">
        <v>36750</v>
      </c>
      <c r="W674" s="36" t="n">
        <v>-0.2409211691762622</v>
      </c>
      <c r="X674" s="36" t="n">
        <v>1.331972789115646</v>
      </c>
      <c r="Y674" s="31" t="n">
        <v>43617167</v>
      </c>
      <c r="Z674" s="31" t="n">
        <v>3737991211900</v>
      </c>
      <c r="AA674" s="31" t="n">
        <v>21561348700</v>
      </c>
      <c r="AB674" s="31" t="n">
        <v>37162224570</v>
      </c>
      <c r="AC674" s="36" t="n">
        <v>0.005768164631141679</v>
      </c>
      <c r="AD674" s="29" t="inlineStr">
        <is>
          <t>yfinance_download</t>
        </is>
      </c>
      <c r="AE674" s="29" t="inlineStr">
        <is>
          <t>000990.KS</t>
        </is>
      </c>
    </row>
    <row r="675" ht="24" customHeight="1">
      <c r="A675" s="24" t="inlineStr">
        <is>
          <t>2026-03-18</t>
        </is>
      </c>
      <c r="B675" s="30" t="n">
        <v>87400</v>
      </c>
      <c r="C675" s="30" t="n">
        <v>88100</v>
      </c>
      <c r="D675" s="30" t="n">
        <v>85800</v>
      </c>
      <c r="E675" s="30" t="n">
        <v>87900</v>
      </c>
      <c r="F675" s="30" t="n">
        <v>87900</v>
      </c>
      <c r="G675" s="30" t="n">
        <v>381609</v>
      </c>
      <c r="H675" s="35" t="n">
        <v>0.02567094515752633</v>
      </c>
      <c r="I675" s="35" t="n">
        <v>-0.2214348981399469</v>
      </c>
      <c r="J675" s="30" t="n">
        <v>89250</v>
      </c>
      <c r="K675" s="30" t="n">
        <v>85930</v>
      </c>
      <c r="L675" s="30" t="n">
        <v>73480</v>
      </c>
      <c r="M675" s="35" t="n">
        <v>1.113296078257743</v>
      </c>
      <c r="N675" s="35" t="n">
        <v>0.8054439485391216</v>
      </c>
      <c r="O675" s="35" t="n">
        <v>-0.07278481012658233</v>
      </c>
      <c r="P675" s="35" t="n">
        <v>0.3440366972477065</v>
      </c>
      <c r="Q675" s="35" t="n">
        <v>0.7067961165048544</v>
      </c>
      <c r="R675" s="35" t="n">
        <v>-0.01512605042016801</v>
      </c>
      <c r="S675" s="35" t="n">
        <v>0.02292563714651452</v>
      </c>
      <c r="T675" s="35" t="n">
        <v>0.1962438758845944</v>
      </c>
      <c r="U675" s="30" t="n">
        <v>112900</v>
      </c>
      <c r="V675" s="30" t="n">
        <v>36750</v>
      </c>
      <c r="W675" s="35" t="n">
        <v>-0.2214348981399469</v>
      </c>
      <c r="X675" s="35" t="n">
        <v>1.391836734693877</v>
      </c>
      <c r="Y675" s="30" t="n">
        <v>43617167</v>
      </c>
      <c r="Z675" s="30" t="n">
        <v>3833948979300</v>
      </c>
      <c r="AA675" s="30" t="n">
        <v>33543431100</v>
      </c>
      <c r="AB675" s="30" t="n">
        <v>37120553625</v>
      </c>
      <c r="AC675" s="35" t="n">
        <v>0.008749055159864004</v>
      </c>
      <c r="AD675" s="24" t="inlineStr">
        <is>
          <t>yfinance_download</t>
        </is>
      </c>
      <c r="AE675" s="24" t="inlineStr">
        <is>
          <t>000990.KS</t>
        </is>
      </c>
    </row>
    <row r="676" ht="24" customHeight="1">
      <c r="A676" s="29" t="inlineStr">
        <is>
          <t>2026-03-19</t>
        </is>
      </c>
      <c r="B676" s="31" t="n">
        <v>86500</v>
      </c>
      <c r="C676" s="31" t="n">
        <v>89300</v>
      </c>
      <c r="D676" s="31" t="n">
        <v>85600</v>
      </c>
      <c r="E676" s="31" t="n">
        <v>87900</v>
      </c>
      <c r="F676" s="31" t="n">
        <v>87900</v>
      </c>
      <c r="G676" s="31" t="n">
        <v>333706</v>
      </c>
      <c r="H676" s="36" t="n">
        <v>0</v>
      </c>
      <c r="I676" s="36" t="n">
        <v>-0.2214348981399469</v>
      </c>
      <c r="J676" s="31" t="n">
        <v>88995</v>
      </c>
      <c r="K676" s="31" t="n">
        <v>86306.66666666667</v>
      </c>
      <c r="L676" s="31" t="n">
        <v>73777.5</v>
      </c>
      <c r="M676" s="36" t="n">
        <v>1.111388753501918</v>
      </c>
      <c r="N676" s="36" t="n">
        <v>0.8053876827075799</v>
      </c>
      <c r="O676" s="36" t="n">
        <v>-0.05483870967741933</v>
      </c>
      <c r="P676" s="36" t="n">
        <v>0.3460949464012251</v>
      </c>
      <c r="Q676" s="36" t="n">
        <v>0.6839080459770115</v>
      </c>
      <c r="R676" s="36" t="n">
        <v>-0.01230406202595646</v>
      </c>
      <c r="S676" s="36" t="n">
        <v>0.01846130078788799</v>
      </c>
      <c r="T676" s="36" t="n">
        <v>0.1914201484192335</v>
      </c>
      <c r="U676" s="31" t="n">
        <v>112900</v>
      </c>
      <c r="V676" s="31" t="n">
        <v>36750</v>
      </c>
      <c r="W676" s="36" t="n">
        <v>-0.2214348981399469</v>
      </c>
      <c r="X676" s="36" t="n">
        <v>1.391836734693877</v>
      </c>
      <c r="Y676" s="31" t="n">
        <v>43617167</v>
      </c>
      <c r="Z676" s="31" t="n">
        <v>3833948979300</v>
      </c>
      <c r="AA676" s="31" t="n">
        <v>29332757400</v>
      </c>
      <c r="AB676" s="31" t="n">
        <v>37392745995</v>
      </c>
      <c r="AC676" s="36" t="n">
        <v>0.007650794926685633</v>
      </c>
      <c r="AD676" s="29" t="inlineStr">
        <is>
          <t>yfinance_download</t>
        </is>
      </c>
      <c r="AE676" s="29" t="inlineStr">
        <is>
          <t>000990.KS</t>
        </is>
      </c>
    </row>
    <row r="677" ht="24" customHeight="1">
      <c r="A677" s="24" t="inlineStr">
        <is>
          <t>2026-03-20</t>
        </is>
      </c>
      <c r="B677" s="30" t="n">
        <v>88700</v>
      </c>
      <c r="C677" s="30" t="n">
        <v>89900</v>
      </c>
      <c r="D677" s="30" t="n">
        <v>86700</v>
      </c>
      <c r="E677" s="30" t="n">
        <v>88100</v>
      </c>
      <c r="F677" s="30" t="n">
        <v>88100</v>
      </c>
      <c r="G677" s="30" t="n">
        <v>330959</v>
      </c>
      <c r="H677" s="35" t="n">
        <v>0.002275312855517742</v>
      </c>
      <c r="I677" s="35" t="n">
        <v>-0.2196634189548273</v>
      </c>
      <c r="J677" s="30" t="n">
        <v>88830</v>
      </c>
      <c r="K677" s="30" t="n">
        <v>86683.33333333333</v>
      </c>
      <c r="L677" s="30" t="n">
        <v>74036.66666666667</v>
      </c>
      <c r="M677" s="35" t="n">
        <v>1.109677140916153</v>
      </c>
      <c r="N677" s="35" t="n">
        <v>0.8054023475028252</v>
      </c>
      <c r="O677" s="35" t="n">
        <v>-0.03610503282275712</v>
      </c>
      <c r="P677" s="35" t="n">
        <v>0.3450381679389314</v>
      </c>
      <c r="Q677" s="35" t="n">
        <v>0.5456140350877192</v>
      </c>
      <c r="R677" s="35" t="n">
        <v>-0.00821794438815715</v>
      </c>
      <c r="S677" s="35" t="n">
        <v>0.01634301095943091</v>
      </c>
      <c r="T677" s="35" t="n">
        <v>0.1899509252172347</v>
      </c>
      <c r="U677" s="30" t="n">
        <v>112900</v>
      </c>
      <c r="V677" s="30" t="n">
        <v>36750</v>
      </c>
      <c r="W677" s="35" t="n">
        <v>-0.2196634189548273</v>
      </c>
      <c r="X677" s="35" t="n">
        <v>1.397278911564626</v>
      </c>
      <c r="Y677" s="30" t="n">
        <v>43617167</v>
      </c>
      <c r="Z677" s="30" t="n">
        <v>3842672412700</v>
      </c>
      <c r="AA677" s="30" t="n">
        <v>29157487900</v>
      </c>
      <c r="AB677" s="30" t="n">
        <v>36389085860</v>
      </c>
      <c r="AC677" s="35" t="n">
        <v>0.007587815137099573</v>
      </c>
      <c r="AD677" s="24" t="inlineStr">
        <is>
          <t>yfinance_download</t>
        </is>
      </c>
      <c r="AE677" s="24" t="inlineStr">
        <is>
          <t>000990.KS</t>
        </is>
      </c>
    </row>
    <row r="678" ht="24" customHeight="1">
      <c r="A678" s="29" t="inlineStr">
        <is>
          <t>2026-03-23</t>
        </is>
      </c>
      <c r="B678" s="31" t="n">
        <v>87600</v>
      </c>
      <c r="C678" s="31" t="n">
        <v>87600</v>
      </c>
      <c r="D678" s="31" t="n">
        <v>82700</v>
      </c>
      <c r="E678" s="31" t="n">
        <v>83500</v>
      </c>
      <c r="F678" s="31" t="n">
        <v>83500</v>
      </c>
      <c r="G678" s="31" t="n">
        <v>369594</v>
      </c>
      <c r="H678" s="36" t="n">
        <v>-0.05221339387060164</v>
      </c>
      <c r="I678" s="36" t="n">
        <v>-0.2604074402125776</v>
      </c>
      <c r="J678" s="31" t="n">
        <v>88355</v>
      </c>
      <c r="K678" s="31" t="n">
        <v>87008.33333333333</v>
      </c>
      <c r="L678" s="31" t="n">
        <v>74259.16666666667</v>
      </c>
      <c r="M678" s="36" t="n">
        <v>1.122923058169291</v>
      </c>
      <c r="N678" s="36" t="n">
        <v>0.8121342403570216</v>
      </c>
      <c r="O678" s="36" t="n">
        <v>-0.1021505376344086</v>
      </c>
      <c r="P678" s="36" t="n">
        <v>0.3046875</v>
      </c>
      <c r="Q678" s="36" t="n">
        <v>0.4700704225352113</v>
      </c>
      <c r="R678" s="36" t="n">
        <v>-0.05494878614679422</v>
      </c>
      <c r="S678" s="36" t="n">
        <v>-0.04032180825591414</v>
      </c>
      <c r="T678" s="36" t="n">
        <v>0.12444030478841</v>
      </c>
      <c r="U678" s="31" t="n">
        <v>112900</v>
      </c>
      <c r="V678" s="31" t="n">
        <v>36750</v>
      </c>
      <c r="W678" s="36" t="n">
        <v>-0.2604074402125776</v>
      </c>
      <c r="X678" s="36" t="n">
        <v>1.272108843537415</v>
      </c>
      <c r="Y678" s="31" t="n">
        <v>43617167</v>
      </c>
      <c r="Z678" s="31" t="n">
        <v>3642033444500</v>
      </c>
      <c r="AA678" s="31" t="n">
        <v>30861099000</v>
      </c>
      <c r="AB678" s="31" t="n">
        <v>36042018110</v>
      </c>
      <c r="AC678" s="36" t="n">
        <v>0.008473590226527092</v>
      </c>
      <c r="AD678" s="29" t="inlineStr">
        <is>
          <t>yfinance_download</t>
        </is>
      </c>
      <c r="AE678" s="29" t="inlineStr">
        <is>
          <t>000990.KS</t>
        </is>
      </c>
    </row>
    <row r="679" ht="24" customHeight="1">
      <c r="A679" s="24" t="inlineStr">
        <is>
          <t>2026-03-24</t>
        </is>
      </c>
      <c r="B679" s="30" t="n">
        <v>85600</v>
      </c>
      <c r="C679" s="30" t="n">
        <v>86700</v>
      </c>
      <c r="D679" s="30" t="n">
        <v>81200</v>
      </c>
      <c r="E679" s="30" t="n">
        <v>83400</v>
      </c>
      <c r="F679" s="30" t="n">
        <v>83400</v>
      </c>
      <c r="G679" s="30" t="n">
        <v>256382</v>
      </c>
      <c r="H679" s="35" t="n">
        <v>-0.001197604790419193</v>
      </c>
      <c r="I679" s="35" t="n">
        <v>-0.2612931798051373</v>
      </c>
      <c r="J679" s="30" t="n">
        <v>87875</v>
      </c>
      <c r="K679" s="30" t="n">
        <v>87310</v>
      </c>
      <c r="L679" s="30" t="n">
        <v>74475</v>
      </c>
      <c r="M679" s="35" t="n">
        <v>1.12288716496643</v>
      </c>
      <c r="N679" s="35" t="n">
        <v>0.8116758146295313</v>
      </c>
      <c r="O679" s="35" t="n">
        <v>-0.1032258064516129</v>
      </c>
      <c r="P679" s="35" t="n">
        <v>0.2771822358346094</v>
      </c>
      <c r="Q679" s="35" t="n">
        <v>0.4504347826086956</v>
      </c>
      <c r="R679" s="35" t="n">
        <v>-0.05092460881934568</v>
      </c>
      <c r="S679" s="35" t="n">
        <v>-0.04478295727866222</v>
      </c>
      <c r="T679" s="35" t="n">
        <v>0.1198388721047332</v>
      </c>
      <c r="U679" s="30" t="n">
        <v>112900</v>
      </c>
      <c r="V679" s="30" t="n">
        <v>36750</v>
      </c>
      <c r="W679" s="35" t="n">
        <v>-0.2612931798051373</v>
      </c>
      <c r="X679" s="35" t="n">
        <v>1.269387755102041</v>
      </c>
      <c r="Y679" s="30" t="n">
        <v>43617167</v>
      </c>
      <c r="Z679" s="30" t="n">
        <v>3637671727800</v>
      </c>
      <c r="AA679" s="30" t="n">
        <v>21382258800</v>
      </c>
      <c r="AB679" s="30" t="n">
        <v>35696526650</v>
      </c>
      <c r="AC679" s="35" t="n">
        <v>0.005878006703186386</v>
      </c>
      <c r="AD679" s="24" t="inlineStr">
        <is>
          <t>yfinance_download</t>
        </is>
      </c>
      <c r="AE679" s="24" t="inlineStr">
        <is>
          <t>000990.KS</t>
        </is>
      </c>
    </row>
    <row r="680" ht="24" customHeight="1">
      <c r="A680" s="29" t="inlineStr">
        <is>
          <t>2026-03-25</t>
        </is>
      </c>
      <c r="B680" s="31" t="n">
        <v>84800</v>
      </c>
      <c r="C680" s="31" t="n">
        <v>85600</v>
      </c>
      <c r="D680" s="31" t="n">
        <v>81700</v>
      </c>
      <c r="E680" s="31" t="n">
        <v>82400</v>
      </c>
      <c r="F680" s="31" t="n">
        <v>82400</v>
      </c>
      <c r="G680" s="31" t="n">
        <v>334790</v>
      </c>
      <c r="H680" s="36" t="n">
        <v>-0.01199040767386095</v>
      </c>
      <c r="I680" s="36" t="n">
        <v>-0.2701505757307352</v>
      </c>
      <c r="J680" s="31" t="n">
        <v>87425</v>
      </c>
      <c r="K680" s="31" t="n">
        <v>87545</v>
      </c>
      <c r="L680" s="31" t="n">
        <v>74675.83333333333</v>
      </c>
      <c r="M680" s="36" t="n">
        <v>1.122174925811826</v>
      </c>
      <c r="N680" s="36" t="n">
        <v>0.8079690743694788</v>
      </c>
      <c r="O680" s="36" t="n">
        <v>-0.09846827133479208</v>
      </c>
      <c r="P680" s="36" t="n">
        <v>0.2064421669106882</v>
      </c>
      <c r="Q680" s="36" t="n">
        <v>0.4133790737564322</v>
      </c>
      <c r="R680" s="36" t="n">
        <v>-0.05747783814698315</v>
      </c>
      <c r="S680" s="36" t="n">
        <v>-0.05876977554400598</v>
      </c>
      <c r="T680" s="36" t="n">
        <v>0.1034359621028669</v>
      </c>
      <c r="U680" s="31" t="n">
        <v>112900</v>
      </c>
      <c r="V680" s="31" t="n">
        <v>36750</v>
      </c>
      <c r="W680" s="36" t="n">
        <v>-0.2701505757307352</v>
      </c>
      <c r="X680" s="36" t="n">
        <v>1.242176870748299</v>
      </c>
      <c r="Y680" s="31" t="n">
        <v>43617167</v>
      </c>
      <c r="Z680" s="31" t="n">
        <v>3594054560800</v>
      </c>
      <c r="AA680" s="31" t="n">
        <v>27586696000</v>
      </c>
      <c r="AB680" s="31" t="n">
        <v>35339617910</v>
      </c>
      <c r="AC680" s="36" t="n">
        <v>0.007675647526580532</v>
      </c>
      <c r="AD680" s="29" t="inlineStr">
        <is>
          <t>yfinance_download</t>
        </is>
      </c>
      <c r="AE680" s="29" t="inlineStr">
        <is>
          <t>000990.KS</t>
        </is>
      </c>
    </row>
    <row r="681" ht="24" customHeight="1">
      <c r="A681" s="24" t="inlineStr">
        <is>
          <t>2026-03-26</t>
        </is>
      </c>
      <c r="B681" s="30" t="n">
        <v>82600</v>
      </c>
      <c r="C681" s="30" t="n">
        <v>83200</v>
      </c>
      <c r="D681" s="30" t="n">
        <v>77300</v>
      </c>
      <c r="E681" s="30" t="n">
        <v>77900</v>
      </c>
      <c r="F681" s="30" t="n">
        <v>77900</v>
      </c>
      <c r="G681" s="30" t="n">
        <v>419986</v>
      </c>
      <c r="H681" s="35" t="n">
        <v>-0.05461165048543692</v>
      </c>
      <c r="I681" s="35" t="n">
        <v>-0.3100088573959257</v>
      </c>
      <c r="J681" s="30" t="n">
        <v>86775</v>
      </c>
      <c r="K681" s="30" t="n">
        <v>87686.66666666667</v>
      </c>
      <c r="L681" s="30" t="n">
        <v>74850.83333333333</v>
      </c>
      <c r="M681" s="35" t="n">
        <v>1.13712237469508</v>
      </c>
      <c r="N681" s="35" t="n">
        <v>0.816531320846363</v>
      </c>
      <c r="O681" s="35" t="n">
        <v>-0.143014301430143</v>
      </c>
      <c r="P681" s="35" t="n">
        <v>0.122478386167147</v>
      </c>
      <c r="Q681" s="35" t="n">
        <v>0.3690685413005272</v>
      </c>
      <c r="R681" s="35" t="n">
        <v>-0.1022760011524056</v>
      </c>
      <c r="S681" s="35" t="n">
        <v>-0.1116095187409717</v>
      </c>
      <c r="T681" s="35" t="n">
        <v>0.04073657607909076</v>
      </c>
      <c r="U681" s="30" t="n">
        <v>112900</v>
      </c>
      <c r="V681" s="30" t="n">
        <v>36750</v>
      </c>
      <c r="W681" s="35" t="n">
        <v>-0.3100088573959257</v>
      </c>
      <c r="X681" s="35" t="n">
        <v>1.119727891156463</v>
      </c>
      <c r="Y681" s="30" t="n">
        <v>43617167</v>
      </c>
      <c r="Z681" s="30" t="n">
        <v>3397777309300</v>
      </c>
      <c r="AA681" s="30" t="n">
        <v>32716909400</v>
      </c>
      <c r="AB681" s="30" t="n">
        <v>35443780200</v>
      </c>
      <c r="AC681" s="35" t="n">
        <v>0.009628915147102516</v>
      </c>
      <c r="AD681" s="24" t="inlineStr">
        <is>
          <t>yfinance_download</t>
        </is>
      </c>
      <c r="AE681" s="24" t="inlineStr">
        <is>
          <t>000990.KS</t>
        </is>
      </c>
    </row>
    <row r="682" ht="24" customHeight="1">
      <c r="A682" s="29" t="inlineStr">
        <is>
          <t>2026-03-27</t>
        </is>
      </c>
      <c r="B682" s="31" t="n">
        <v>78600</v>
      </c>
      <c r="C682" s="31" t="n">
        <v>85300</v>
      </c>
      <c r="D682" s="31" t="n">
        <v>76300</v>
      </c>
      <c r="E682" s="31" t="n">
        <v>77900</v>
      </c>
      <c r="F682" s="31" t="n">
        <v>77900</v>
      </c>
      <c r="G682" s="31" t="n">
        <v>436469</v>
      </c>
      <c r="H682" s="36" t="n">
        <v>0</v>
      </c>
      <c r="I682" s="36" t="n">
        <v>-0.3100088573959257</v>
      </c>
      <c r="J682" s="31" t="n">
        <v>85970</v>
      </c>
      <c r="K682" s="31" t="n">
        <v>87843.33333333333</v>
      </c>
      <c r="L682" s="31" t="n">
        <v>75016.66666666667</v>
      </c>
      <c r="M682" s="36" t="n">
        <v>1.12782943677207</v>
      </c>
      <c r="N682" s="36" t="n">
        <v>0.8158679523129105</v>
      </c>
      <c r="O682" s="36" t="n">
        <v>-0.1712765957446809</v>
      </c>
      <c r="P682" s="36" t="n">
        <v>0.1372262773722628</v>
      </c>
      <c r="Q682" s="36" t="n">
        <v>0.3431034482758621</v>
      </c>
      <c r="R682" s="36" t="n">
        <v>-0.09386995463533787</v>
      </c>
      <c r="S682" s="36" t="n">
        <v>-0.1131939437635183</v>
      </c>
      <c r="T682" s="36" t="n">
        <v>0.03843590313263712</v>
      </c>
      <c r="U682" s="31" t="n">
        <v>112900</v>
      </c>
      <c r="V682" s="31" t="n">
        <v>36750</v>
      </c>
      <c r="W682" s="36" t="n">
        <v>-0.3100088573959257</v>
      </c>
      <c r="X682" s="36" t="n">
        <v>1.119727891156463</v>
      </c>
      <c r="Y682" s="31" t="n">
        <v>43617167</v>
      </c>
      <c r="Z682" s="31" t="n">
        <v>3397777309300</v>
      </c>
      <c r="AA682" s="31" t="n">
        <v>34000935100</v>
      </c>
      <c r="AB682" s="31" t="n">
        <v>34498037155</v>
      </c>
      <c r="AC682" s="36" t="n">
        <v>0.01000681681137154</v>
      </c>
      <c r="AD682" s="29" t="inlineStr">
        <is>
          <t>yfinance_download</t>
        </is>
      </c>
      <c r="AE682" s="29" t="inlineStr">
        <is>
          <t>000990.KS</t>
        </is>
      </c>
    </row>
    <row r="683" ht="24" customHeight="1">
      <c r="A683" s="24" t="inlineStr">
        <is>
          <t>2026-03-30</t>
        </is>
      </c>
      <c r="B683" s="30" t="n">
        <v>82900</v>
      </c>
      <c r="C683" s="30" t="n">
        <v>83700</v>
      </c>
      <c r="D683" s="30" t="n">
        <v>79600</v>
      </c>
      <c r="E683" s="30" t="n">
        <v>80800</v>
      </c>
      <c r="F683" s="30" t="n">
        <v>80800</v>
      </c>
      <c r="G683" s="30" t="n">
        <v>344651</v>
      </c>
      <c r="H683" s="35" t="n">
        <v>0.03722721437740684</v>
      </c>
      <c r="I683" s="35" t="n">
        <v>-0.2843224092116917</v>
      </c>
      <c r="J683" s="30" t="n">
        <v>85225</v>
      </c>
      <c r="K683" s="30" t="n">
        <v>88068.33333333333</v>
      </c>
      <c r="L683" s="30" t="n">
        <v>75214.16666666667</v>
      </c>
      <c r="M683" s="35" t="n">
        <v>1.135512206402962</v>
      </c>
      <c r="N683" s="35" t="n">
        <v>0.8175855419907605</v>
      </c>
      <c r="O683" s="35" t="n">
        <v>-0.1556948798328108</v>
      </c>
      <c r="P683" s="35" t="n">
        <v>0.200594353640416</v>
      </c>
      <c r="Q683" s="35" t="n">
        <v>0.415061295971979</v>
      </c>
      <c r="R683" s="35" t="n">
        <v>-0.05192138457025519</v>
      </c>
      <c r="S683" s="35" t="n">
        <v>-0.08253061070002454</v>
      </c>
      <c r="T683" s="35" t="n">
        <v>0.07426570792293119</v>
      </c>
      <c r="U683" s="30" t="n">
        <v>112900</v>
      </c>
      <c r="V683" s="30" t="n">
        <v>36750</v>
      </c>
      <c r="W683" s="35" t="n">
        <v>-0.2843224092116917</v>
      </c>
      <c r="X683" s="35" t="n">
        <v>1.198639455782313</v>
      </c>
      <c r="Y683" s="30" t="n">
        <v>43617167</v>
      </c>
      <c r="Z683" s="30" t="n">
        <v>3524267093600</v>
      </c>
      <c r="AA683" s="30" t="n">
        <v>27847800800</v>
      </c>
      <c r="AB683" s="30" t="n">
        <v>33239632895</v>
      </c>
      <c r="AC683" s="35" t="n">
        <v>0.007901728234665034</v>
      </c>
      <c r="AD683" s="24" t="inlineStr">
        <is>
          <t>yfinance_download</t>
        </is>
      </c>
      <c r="AE683" s="24" t="inlineStr">
        <is>
          <t>000990.KS</t>
        </is>
      </c>
    </row>
    <row r="684" ht="24" customHeight="1">
      <c r="A684" s="29" t="inlineStr">
        <is>
          <t>2026-03-31</t>
        </is>
      </c>
      <c r="B684" s="31" t="n">
        <v>81600</v>
      </c>
      <c r="C684" s="31" t="n">
        <v>85800</v>
      </c>
      <c r="D684" s="31" t="n">
        <v>78000</v>
      </c>
      <c r="E684" s="31" t="n">
        <v>78500</v>
      </c>
      <c r="F684" s="31" t="n">
        <v>78500</v>
      </c>
      <c r="G684" s="31" t="n">
        <v>366515</v>
      </c>
      <c r="H684" s="36" t="n">
        <v>-0.02846534653465349</v>
      </c>
      <c r="I684" s="36" t="n">
        <v>-0.3046944198405669</v>
      </c>
      <c r="J684" s="31" t="n">
        <v>84625</v>
      </c>
      <c r="K684" s="31" t="n">
        <v>88258.33333333333</v>
      </c>
      <c r="L684" s="31" t="n">
        <v>75399.16666666667</v>
      </c>
      <c r="M684" s="36" t="n">
        <v>1.124600192169221</v>
      </c>
      <c r="N684" s="36" t="n">
        <v>0.8202206361262361</v>
      </c>
      <c r="O684" s="36" t="n">
        <v>-0.1325966850828729</v>
      </c>
      <c r="P684" s="36" t="n">
        <v>0.1698956780923995</v>
      </c>
      <c r="Q684" s="36" t="n">
        <v>0.3943161634103018</v>
      </c>
      <c r="R684" s="36" t="n">
        <v>-0.07237813884785815</v>
      </c>
      <c r="S684" s="36" t="n">
        <v>-0.1105655745444245</v>
      </c>
      <c r="T684" s="36" t="n">
        <v>0.04112556504824316</v>
      </c>
      <c r="U684" s="31" t="n">
        <v>112900</v>
      </c>
      <c r="V684" s="31" t="n">
        <v>36750</v>
      </c>
      <c r="W684" s="36" t="n">
        <v>-0.3046944198405669</v>
      </c>
      <c r="X684" s="36" t="n">
        <v>1.136054421768708</v>
      </c>
      <c r="Y684" s="31" t="n">
        <v>43617167</v>
      </c>
      <c r="Z684" s="31" t="n">
        <v>3423947609500</v>
      </c>
      <c r="AA684" s="31" t="n">
        <v>28771427500</v>
      </c>
      <c r="AB684" s="31" t="n">
        <v>31448720820</v>
      </c>
      <c r="AC684" s="36" t="n">
        <v>0.008402998755054403</v>
      </c>
      <c r="AD684" s="29" t="inlineStr">
        <is>
          <t>yfinance_download</t>
        </is>
      </c>
      <c r="AE684" s="29" t="inlineStr">
        <is>
          <t>000990.KS</t>
        </is>
      </c>
    </row>
    <row r="685" ht="24" customHeight="1">
      <c r="A685" s="24" t="inlineStr">
        <is>
          <t>2026-04-01</t>
        </is>
      </c>
      <c r="B685" s="30" t="n">
        <v>82700</v>
      </c>
      <c r="C685" s="30" t="n">
        <v>86500</v>
      </c>
      <c r="D685" s="30" t="n">
        <v>80100</v>
      </c>
      <c r="E685" s="30" t="n">
        <v>86000</v>
      </c>
      <c r="F685" s="30" t="n">
        <v>86000</v>
      </c>
      <c r="G685" s="30" t="n">
        <v>425932</v>
      </c>
      <c r="H685" s="35" t="n">
        <v>0.09554140127388533</v>
      </c>
      <c r="I685" s="35" t="n">
        <v>-0.2382639503985828</v>
      </c>
      <c r="J685" s="30" t="n">
        <v>85060</v>
      </c>
      <c r="K685" s="30" t="n">
        <v>88565</v>
      </c>
      <c r="L685" s="30" t="n">
        <v>75640.83333333333</v>
      </c>
      <c r="M685" s="35" t="n">
        <v>1.0468207750767</v>
      </c>
      <c r="N685" s="35" t="n">
        <v>0.8414486426577461</v>
      </c>
      <c r="O685" s="35" t="n">
        <v>0.11254851228978</v>
      </c>
      <c r="P685" s="35" t="n">
        <v>0.2721893491124261</v>
      </c>
      <c r="Q685" s="35" t="n">
        <v>0.5087719298245614</v>
      </c>
      <c r="R685" s="35" t="n">
        <v>0.01105102280743009</v>
      </c>
      <c r="S685" s="35" t="n">
        <v>-0.02896177948399481</v>
      </c>
      <c r="T685" s="35" t="n">
        <v>0.1369520430984148</v>
      </c>
      <c r="U685" s="30" t="n">
        <v>112900</v>
      </c>
      <c r="V685" s="30" t="n">
        <v>36750</v>
      </c>
      <c r="W685" s="35" t="n">
        <v>-0.2382639503985828</v>
      </c>
      <c r="X685" s="35" t="n">
        <v>1.340136054421769</v>
      </c>
      <c r="Y685" s="30" t="n">
        <v>43617167</v>
      </c>
      <c r="Z685" s="30" t="n">
        <v>3751076362000</v>
      </c>
      <c r="AA685" s="30" t="n">
        <v>36630152000</v>
      </c>
      <c r="AB685" s="30" t="n">
        <v>30502228750</v>
      </c>
      <c r="AC685" s="35" t="n">
        <v>0.009765237618481732</v>
      </c>
      <c r="AD685" s="24" t="inlineStr">
        <is>
          <t>yfinance_download</t>
        </is>
      </c>
      <c r="AE685" s="24" t="inlineStr">
        <is>
          <t>000990.KS</t>
        </is>
      </c>
    </row>
    <row r="686" ht="24" customHeight="1">
      <c r="A686" s="29" t="inlineStr">
        <is>
          <t>2026-04-02</t>
        </is>
      </c>
      <c r="B686" s="31" t="n">
        <v>86800</v>
      </c>
      <c r="C686" s="31" t="n">
        <v>88300</v>
      </c>
      <c r="D686" s="31" t="n">
        <v>82600</v>
      </c>
      <c r="E686" s="31" t="n">
        <v>83300</v>
      </c>
      <c r="F686" s="31" t="n">
        <v>83300</v>
      </c>
      <c r="G686" s="31" t="n">
        <v>474132</v>
      </c>
      <c r="H686" s="36" t="n">
        <v>-0.03139534883720929</v>
      </c>
      <c r="I686" s="36" t="n">
        <v>-0.2621789193976971</v>
      </c>
      <c r="J686" s="31" t="n">
        <v>84475</v>
      </c>
      <c r="K686" s="31" t="n">
        <v>88725</v>
      </c>
      <c r="L686" s="31" t="n">
        <v>75861.66666666667</v>
      </c>
      <c r="M686" s="36" t="n">
        <v>0.6470257446516735</v>
      </c>
      <c r="N686" s="36" t="n">
        <v>0.825819271236124</v>
      </c>
      <c r="O686" s="36" t="n">
        <v>-0.1231578947368421</v>
      </c>
      <c r="P686" s="36" t="n">
        <v>0.130257801899593</v>
      </c>
      <c r="Q686" s="36" t="n">
        <v>0.466549295774648</v>
      </c>
      <c r="R686" s="36" t="n">
        <v>-0.01390944066291799</v>
      </c>
      <c r="S686" s="36" t="n">
        <v>-0.06114398422090728</v>
      </c>
      <c r="T686" s="36" t="n">
        <v>0.09805127754465359</v>
      </c>
      <c r="U686" s="31" t="n">
        <v>112900</v>
      </c>
      <c r="V686" s="31" t="n">
        <v>36750</v>
      </c>
      <c r="W686" s="36" t="n">
        <v>-0.2621789193976971</v>
      </c>
      <c r="X686" s="36" t="n">
        <v>1.266666666666667</v>
      </c>
      <c r="Y686" s="31" t="n">
        <v>43617167</v>
      </c>
      <c r="Z686" s="31" t="n">
        <v>3633310011100</v>
      </c>
      <c r="AA686" s="31" t="n">
        <v>39495195600</v>
      </c>
      <c r="AB686" s="31" t="n">
        <v>29931349530</v>
      </c>
      <c r="AC686" s="36" t="n">
        <v>0.01087030709720326</v>
      </c>
      <c r="AD686" s="29" t="inlineStr">
        <is>
          <t>yfinance_download</t>
        </is>
      </c>
      <c r="AE686" s="29" t="inlineStr">
        <is>
          <t>000990.KS</t>
        </is>
      </c>
    </row>
    <row r="687" ht="24" customHeight="1">
      <c r="A687" s="24" t="inlineStr">
        <is>
          <t>2026-04-03</t>
        </is>
      </c>
      <c r="B687" s="30" t="n">
        <v>85400</v>
      </c>
      <c r="C687" s="30" t="n">
        <v>91200</v>
      </c>
      <c r="D687" s="30" t="n">
        <v>85000</v>
      </c>
      <c r="E687" s="30" t="n">
        <v>90600</v>
      </c>
      <c r="F687" s="30" t="n">
        <v>90600</v>
      </c>
      <c r="G687" s="30" t="n">
        <v>428374</v>
      </c>
      <c r="H687" s="35" t="n">
        <v>0.08763505402160865</v>
      </c>
      <c r="I687" s="35" t="n">
        <v>-0.1975199291408326</v>
      </c>
      <c r="J687" s="30" t="n">
        <v>84505</v>
      </c>
      <c r="K687" s="30" t="n">
        <v>88981.66666666667</v>
      </c>
      <c r="L687" s="30" t="n">
        <v>76133.33333333333</v>
      </c>
      <c r="M687" s="35" t="n">
        <v>0.7015467416454536</v>
      </c>
      <c r="N687" s="35" t="n">
        <v>0.8430751821868214</v>
      </c>
      <c r="O687" s="35" t="n">
        <v>0.006666666666666599</v>
      </c>
      <c r="P687" s="35" t="n">
        <v>0.2047872340425532</v>
      </c>
      <c r="Q687" s="35" t="n">
        <v>0.5620689655172413</v>
      </c>
      <c r="R687" s="35" t="n">
        <v>0.07212590970948463</v>
      </c>
      <c r="S687" s="35" t="n">
        <v>0.01818726704002693</v>
      </c>
      <c r="T687" s="35" t="n">
        <v>0.1900175131348512</v>
      </c>
      <c r="U687" s="30" t="n">
        <v>112900</v>
      </c>
      <c r="V687" s="30" t="n">
        <v>36750</v>
      </c>
      <c r="W687" s="35" t="n">
        <v>-0.1975199291408326</v>
      </c>
      <c r="X687" s="35" t="n">
        <v>1.465306122448979</v>
      </c>
      <c r="Y687" s="30" t="n">
        <v>43617167</v>
      </c>
      <c r="Z687" s="30" t="n">
        <v>3951715330200</v>
      </c>
      <c r="AA687" s="30" t="n">
        <v>38810684400</v>
      </c>
      <c r="AB687" s="30" t="n">
        <v>29740301250</v>
      </c>
      <c r="AC687" s="35" t="n">
        <v>0.009821224748503266</v>
      </c>
      <c r="AD687" s="24" t="inlineStr">
        <is>
          <t>yfinance_download</t>
        </is>
      </c>
      <c r="AE687" s="24" t="inlineStr">
        <is>
          <t>000990.KS</t>
        </is>
      </c>
    </row>
    <row r="688" ht="24" customHeight="1">
      <c r="A688" s="29" t="inlineStr">
        <is>
          <t>2026-04-06</t>
        </is>
      </c>
      <c r="B688" s="31" t="n">
        <v>90500</v>
      </c>
      <c r="C688" s="31" t="n">
        <v>94800</v>
      </c>
      <c r="D688" s="31" t="n">
        <v>89700</v>
      </c>
      <c r="E688" s="31" t="n">
        <v>91600</v>
      </c>
      <c r="F688" s="31" t="n">
        <v>91600</v>
      </c>
      <c r="G688" s="31" t="n">
        <v>363977</v>
      </c>
      <c r="H688" s="36" t="n">
        <v>0.01103752759381904</v>
      </c>
      <c r="I688" s="36" t="n">
        <v>-0.1886625332152347</v>
      </c>
      <c r="J688" s="31" t="n">
        <v>84925</v>
      </c>
      <c r="K688" s="31" t="n">
        <v>89255</v>
      </c>
      <c r="L688" s="31" t="n">
        <v>76428.33333333333</v>
      </c>
      <c r="M688" s="36" t="n">
        <v>0.6404927166237224</v>
      </c>
      <c r="N688" s="36" t="n">
        <v>0.8431298647826959</v>
      </c>
      <c r="O688" s="36" t="n">
        <v>0.1009615384615385</v>
      </c>
      <c r="P688" s="36" t="n">
        <v>0.2180851063829787</v>
      </c>
      <c r="Q688" s="36" t="n">
        <v>0.6298932384341638</v>
      </c>
      <c r="R688" s="36" t="n">
        <v>0.07859876361495433</v>
      </c>
      <c r="S688" s="36" t="n">
        <v>0.02627303792504621</v>
      </c>
      <c r="T688" s="36" t="n">
        <v>0.1985084065682448</v>
      </c>
      <c r="U688" s="31" t="n">
        <v>112900</v>
      </c>
      <c r="V688" s="31" t="n">
        <v>36750</v>
      </c>
      <c r="W688" s="36" t="n">
        <v>-0.1886625332152347</v>
      </c>
      <c r="X688" s="36" t="n">
        <v>1.492517006802721</v>
      </c>
      <c r="Y688" s="31" t="n">
        <v>43617167</v>
      </c>
      <c r="Z688" s="31" t="n">
        <v>3995332497200</v>
      </c>
      <c r="AA688" s="31" t="n">
        <v>33340293200</v>
      </c>
      <c r="AB688" s="31" t="n">
        <v>29457528070</v>
      </c>
      <c r="AC688" s="36" t="n">
        <v>0.008344810656776494</v>
      </c>
      <c r="AD688" s="29" t="inlineStr">
        <is>
          <t>yfinance_download</t>
        </is>
      </c>
      <c r="AE688" s="29" t="inlineStr">
        <is>
          <t>000990.KS</t>
        </is>
      </c>
    </row>
    <row r="689" ht="24" customHeight="1">
      <c r="A689" s="24" t="inlineStr">
        <is>
          <t>2026-04-07</t>
        </is>
      </c>
      <c r="B689" s="30" t="n">
        <v>92600</v>
      </c>
      <c r="C689" s="30" t="n">
        <v>94100</v>
      </c>
      <c r="D689" s="30" t="n">
        <v>85400</v>
      </c>
      <c r="E689" s="30" t="n">
        <v>87800</v>
      </c>
      <c r="F689" s="30" t="n">
        <v>87800</v>
      </c>
      <c r="G689" s="30" t="n">
        <v>473544</v>
      </c>
      <c r="H689" s="35" t="n">
        <v>-0.04148471615720528</v>
      </c>
      <c r="I689" s="35" t="n">
        <v>-0.2223206377325067</v>
      </c>
      <c r="J689" s="30" t="n">
        <v>84930</v>
      </c>
      <c r="K689" s="30" t="n">
        <v>89481.66666666667</v>
      </c>
      <c r="L689" s="30" t="n">
        <v>76668.33333333333</v>
      </c>
      <c r="M689" s="35" t="n">
        <v>0.634301893988899</v>
      </c>
      <c r="N689" s="35" t="n">
        <v>0.8476569213101874</v>
      </c>
      <c r="O689" s="35" t="n">
        <v>0.001140250855188096</v>
      </c>
      <c r="P689" s="35" t="n">
        <v>0.1832884097035041</v>
      </c>
      <c r="Q689" s="35" t="n">
        <v>0.4881355932203391</v>
      </c>
      <c r="R689" s="35" t="n">
        <v>0.03379253502884727</v>
      </c>
      <c r="S689" s="35" t="n">
        <v>-0.01879342137123063</v>
      </c>
      <c r="T689" s="35" t="n">
        <v>0.1451924958153084</v>
      </c>
      <c r="U689" s="30" t="n">
        <v>112900</v>
      </c>
      <c r="V689" s="30" t="n">
        <v>36750</v>
      </c>
      <c r="W689" s="35" t="n">
        <v>-0.2223206377325067</v>
      </c>
      <c r="X689" s="35" t="n">
        <v>1.389115646258503</v>
      </c>
      <c r="Y689" s="30" t="n">
        <v>43617167</v>
      </c>
      <c r="Z689" s="30" t="n">
        <v>3829587262600</v>
      </c>
      <c r="AA689" s="30" t="n">
        <v>41577163200</v>
      </c>
      <c r="AB689" s="30" t="n">
        <v>29973523995</v>
      </c>
      <c r="AC689" s="35" t="n">
        <v>0.01085682616663297</v>
      </c>
      <c r="AD689" s="24" t="inlineStr">
        <is>
          <t>yfinance_download</t>
        </is>
      </c>
      <c r="AE689" s="24" t="inlineStr">
        <is>
          <t>000990.KS</t>
        </is>
      </c>
    </row>
    <row r="690" ht="24" customHeight="1">
      <c r="A690" s="29" t="inlineStr">
        <is>
          <t>2026-04-08</t>
        </is>
      </c>
      <c r="B690" s="31" t="n">
        <v>90900</v>
      </c>
      <c r="C690" s="31" t="n">
        <v>94500</v>
      </c>
      <c r="D690" s="31" t="n">
        <v>89200</v>
      </c>
      <c r="E690" s="31" t="n">
        <v>94400</v>
      </c>
      <c r="F690" s="31" t="n">
        <v>94400</v>
      </c>
      <c r="G690" s="31" t="n">
        <v>561440</v>
      </c>
      <c r="H690" s="36" t="n">
        <v>0.0751708428246014</v>
      </c>
      <c r="I690" s="36" t="n">
        <v>-0.1638618246235607</v>
      </c>
      <c r="J690" s="31" t="n">
        <v>85400</v>
      </c>
      <c r="K690" s="31" t="n">
        <v>89860</v>
      </c>
      <c r="L690" s="31" t="n">
        <v>76963.33333333333</v>
      </c>
      <c r="M690" s="36" t="n">
        <v>0.6745542323868765</v>
      </c>
      <c r="N690" s="36" t="n">
        <v>0.8562088171547964</v>
      </c>
      <c r="O690" s="36" t="n">
        <v>0.1105882352941177</v>
      </c>
      <c r="P690" s="36" t="n">
        <v>0.3165969316596933</v>
      </c>
      <c r="Q690" s="36" t="n">
        <v>0.6000000000000001</v>
      </c>
      <c r="R690" s="36" t="n">
        <v>0.1053864168618266</v>
      </c>
      <c r="S690" s="36" t="n">
        <v>0.05052303583351891</v>
      </c>
      <c r="T690" s="36" t="n">
        <v>0.2265581012603406</v>
      </c>
      <c r="U690" s="31" t="n">
        <v>112900</v>
      </c>
      <c r="V690" s="31" t="n">
        <v>36750</v>
      </c>
      <c r="W690" s="36" t="n">
        <v>-0.1638618246235607</v>
      </c>
      <c r="X690" s="36" t="n">
        <v>1.568707482993197</v>
      </c>
      <c r="Y690" s="31" t="n">
        <v>43617167</v>
      </c>
      <c r="Z690" s="31" t="n">
        <v>4117460564800</v>
      </c>
      <c r="AA690" s="31" t="n">
        <v>52999936000</v>
      </c>
      <c r="AB690" s="31" t="n">
        <v>31540510295</v>
      </c>
      <c r="AC690" s="36" t="n">
        <v>0.01287199601936549</v>
      </c>
      <c r="AD690" s="29" t="inlineStr">
        <is>
          <t>yfinance_download</t>
        </is>
      </c>
      <c r="AE690" s="29" t="inlineStr">
        <is>
          <t>000990.KS</t>
        </is>
      </c>
    </row>
    <row r="691" ht="24" customHeight="1">
      <c r="A691" s="24" t="inlineStr">
        <is>
          <t>2026-04-09</t>
        </is>
      </c>
      <c r="B691" s="30" t="n">
        <v>92700</v>
      </c>
      <c r="C691" s="30" t="n">
        <v>95000</v>
      </c>
      <c r="D691" s="30" t="n">
        <v>91200</v>
      </c>
      <c r="E691" s="30" t="n">
        <v>92600</v>
      </c>
      <c r="F691" s="30" t="n">
        <v>92600</v>
      </c>
      <c r="G691" s="30" t="n">
        <v>292732</v>
      </c>
      <c r="H691" s="35" t="n">
        <v>-0.01906779661016944</v>
      </c>
      <c r="I691" s="35" t="n">
        <v>-0.1798051372896369</v>
      </c>
      <c r="J691" s="30" t="n">
        <v>85735</v>
      </c>
      <c r="K691" s="30" t="n">
        <v>90205</v>
      </c>
      <c r="L691" s="30" t="n">
        <v>77274.16666666667</v>
      </c>
      <c r="M691" s="35" t="n">
        <v>0.6801259809443825</v>
      </c>
      <c r="N691" s="35" t="n">
        <v>0.8577268080024323</v>
      </c>
      <c r="O691" s="35" t="n">
        <v>0.07799767171129224</v>
      </c>
      <c r="P691" s="35" t="n">
        <v>0.2878998609179415</v>
      </c>
      <c r="Q691" s="35" t="n">
        <v>0.6745027124773961</v>
      </c>
      <c r="R691" s="35" t="n">
        <v>0.08007231585700114</v>
      </c>
      <c r="S691" s="35" t="n">
        <v>0.02655063466548424</v>
      </c>
      <c r="T691" s="35" t="n">
        <v>0.1983306193316006</v>
      </c>
      <c r="U691" s="30" t="n">
        <v>112900</v>
      </c>
      <c r="V691" s="30" t="n">
        <v>36750</v>
      </c>
      <c r="W691" s="35" t="n">
        <v>-0.1798051372896369</v>
      </c>
      <c r="X691" s="35" t="n">
        <v>1.519727891156462</v>
      </c>
      <c r="Y691" s="30" t="n">
        <v>43617167</v>
      </c>
      <c r="Z691" s="30" t="n">
        <v>4038949664200</v>
      </c>
      <c r="AA691" s="30" t="n">
        <v>27106983200</v>
      </c>
      <c r="AB691" s="30" t="n">
        <v>31848231645</v>
      </c>
      <c r="AC691" s="35" t="n">
        <v>0.006711394162761649</v>
      </c>
      <c r="AD691" s="24" t="inlineStr">
        <is>
          <t>yfinance_download</t>
        </is>
      </c>
      <c r="AE691" s="24" t="inlineStr">
        <is>
          <t>000990.KS</t>
        </is>
      </c>
    </row>
    <row r="692" ht="24" customHeight="1">
      <c r="A692" s="29" t="inlineStr">
        <is>
          <t>2026-04-10</t>
        </is>
      </c>
      <c r="B692" s="31" t="n">
        <v>95100</v>
      </c>
      <c r="C692" s="31" t="n">
        <v>95500</v>
      </c>
      <c r="D692" s="31" t="n">
        <v>92200</v>
      </c>
      <c r="E692" s="31" t="n">
        <v>94800</v>
      </c>
      <c r="F692" s="31" t="n">
        <v>94800</v>
      </c>
      <c r="G692" s="31" t="n">
        <v>482177</v>
      </c>
      <c r="H692" s="36" t="n">
        <v>0.02375809935205186</v>
      </c>
      <c r="I692" s="36" t="n">
        <v>-0.1603188662533215</v>
      </c>
      <c r="J692" s="31" t="n">
        <v>86150</v>
      </c>
      <c r="K692" s="31" t="n">
        <v>90551.66666666667</v>
      </c>
      <c r="L692" s="31" t="n">
        <v>77574.16666666667</v>
      </c>
      <c r="M692" s="36" t="n">
        <v>0.6834992842608845</v>
      </c>
      <c r="N692" s="36" t="n">
        <v>0.857159096995182</v>
      </c>
      <c r="O692" s="36" t="n">
        <v>0.09595375722543342</v>
      </c>
      <c r="P692" s="36" t="n">
        <v>0.2810810810810811</v>
      </c>
      <c r="Q692" s="36" t="n">
        <v>0.6122448979591837</v>
      </c>
      <c r="R692" s="36" t="n">
        <v>0.1004062681369704</v>
      </c>
      <c r="S692" s="36" t="n">
        <v>0.04691612523237199</v>
      </c>
      <c r="T692" s="36" t="n">
        <v>0.2220563117017047</v>
      </c>
      <c r="U692" s="31" t="n">
        <v>112900</v>
      </c>
      <c r="V692" s="31" t="n">
        <v>36750</v>
      </c>
      <c r="W692" s="36" t="n">
        <v>-0.1603188662533215</v>
      </c>
      <c r="X692" s="36" t="n">
        <v>1.579591836734694</v>
      </c>
      <c r="Y692" s="31" t="n">
        <v>43617167</v>
      </c>
      <c r="Z692" s="31" t="n">
        <v>4134907431600</v>
      </c>
      <c r="AA692" s="31" t="n">
        <v>45710379600</v>
      </c>
      <c r="AB692" s="31" t="n">
        <v>33166001600</v>
      </c>
      <c r="AC692" s="36" t="n">
        <v>0.01105475282243801</v>
      </c>
      <c r="AD692" s="29" t="inlineStr">
        <is>
          <t>yfinance_download</t>
        </is>
      </c>
      <c r="AE692" s="29" t="inlineStr">
        <is>
          <t>000990.KS</t>
        </is>
      </c>
    </row>
    <row r="693" ht="24" customHeight="1">
      <c r="A693" s="24" t="inlineStr">
        <is>
          <t>2026-04-13</t>
        </is>
      </c>
      <c r="B693" s="30" t="n">
        <v>92300</v>
      </c>
      <c r="C693" s="30" t="n">
        <v>97800</v>
      </c>
      <c r="D693" s="30" t="n">
        <v>91000</v>
      </c>
      <c r="E693" s="30" t="n">
        <v>96500</v>
      </c>
      <c r="F693" s="30" t="n">
        <v>96500</v>
      </c>
      <c r="G693" s="30" t="n">
        <v>273350</v>
      </c>
      <c r="H693" s="35" t="n">
        <v>0.01793248945147674</v>
      </c>
      <c r="I693" s="35" t="n">
        <v>-0.1452612931798052</v>
      </c>
      <c r="J693" s="30" t="n">
        <v>86580</v>
      </c>
      <c r="K693" s="30" t="n">
        <v>90886.66666666667</v>
      </c>
      <c r="L693" s="30" t="n">
        <v>77887.5</v>
      </c>
      <c r="M693" s="35" t="n">
        <v>0.6838912658872242</v>
      </c>
      <c r="N693" s="35" t="n">
        <v>0.8557286767327447</v>
      </c>
      <c r="O693" s="35" t="n">
        <v>0.09783845278725822</v>
      </c>
      <c r="P693" s="35" t="n">
        <v>0.2630890052356021</v>
      </c>
      <c r="Q693" s="35" t="n">
        <v>0.6383701188455009</v>
      </c>
      <c r="R693" s="35" t="n">
        <v>0.1145761145761146</v>
      </c>
      <c r="S693" s="35" t="n">
        <v>0.06176190126897962</v>
      </c>
      <c r="T693" s="35" t="n">
        <v>0.2389664580324184</v>
      </c>
      <c r="U693" s="30" t="n">
        <v>112900</v>
      </c>
      <c r="V693" s="30" t="n">
        <v>36750</v>
      </c>
      <c r="W693" s="35" t="n">
        <v>-0.1452612931798052</v>
      </c>
      <c r="X693" s="35" t="n">
        <v>1.625850340136054</v>
      </c>
      <c r="Y693" s="30" t="n">
        <v>43617167</v>
      </c>
      <c r="Z693" s="30" t="n">
        <v>4209056615500</v>
      </c>
      <c r="AA693" s="30" t="n">
        <v>26378275000</v>
      </c>
      <c r="AB693" s="30" t="n">
        <v>32940560695</v>
      </c>
      <c r="AC693" s="35" t="n">
        <v>0.006267027842500637</v>
      </c>
      <c r="AD693" s="24" t="inlineStr">
        <is>
          <t>yfinance_download</t>
        </is>
      </c>
      <c r="AE693" s="24" t="inlineStr">
        <is>
          <t>000990.KS</t>
        </is>
      </c>
    </row>
    <row r="694" ht="24" customHeight="1">
      <c r="A694" s="29" t="inlineStr">
        <is>
          <t>2026-04-14</t>
        </is>
      </c>
      <c r="B694" s="31" t="n">
        <v>96600</v>
      </c>
      <c r="C694" s="31" t="n">
        <v>100000</v>
      </c>
      <c r="D694" s="31" t="n">
        <v>95400</v>
      </c>
      <c r="E694" s="31" t="n">
        <v>96700</v>
      </c>
      <c r="F694" s="31" t="n">
        <v>96700</v>
      </c>
      <c r="G694" s="31" t="n">
        <v>349493</v>
      </c>
      <c r="H694" s="36" t="n">
        <v>0.002072538860103723</v>
      </c>
      <c r="I694" s="36" t="n">
        <v>-0.1434898139946855</v>
      </c>
      <c r="J694" s="31" t="n">
        <v>87130</v>
      </c>
      <c r="K694" s="31" t="n">
        <v>91133.33333333333</v>
      </c>
      <c r="L694" s="31" t="n">
        <v>78200.83333333333</v>
      </c>
      <c r="M694" s="36" t="n">
        <v>0.6745267874577933</v>
      </c>
      <c r="N694" s="36" t="n">
        <v>0.8443698496259504</v>
      </c>
      <c r="O694" s="36" t="n">
        <v>0.1283547257876312</v>
      </c>
      <c r="P694" s="36" t="n">
        <v>0.1807081807081807</v>
      </c>
      <c r="Q694" s="36" t="n">
        <v>0.6362098138747885</v>
      </c>
      <c r="R694" s="36" t="n">
        <v>0.109835877424538</v>
      </c>
      <c r="S694" s="36" t="n">
        <v>0.06108266276517926</v>
      </c>
      <c r="T694" s="36" t="n">
        <v>0.2365597127055339</v>
      </c>
      <c r="U694" s="31" t="n">
        <v>112900</v>
      </c>
      <c r="V694" s="31" t="n">
        <v>36750</v>
      </c>
      <c r="W694" s="36" t="n">
        <v>-0.1434898139946855</v>
      </c>
      <c r="X694" s="36" t="n">
        <v>1.631292517006803</v>
      </c>
      <c r="Y694" s="31" t="n">
        <v>43617167</v>
      </c>
      <c r="Z694" s="31" t="n">
        <v>4217780048900</v>
      </c>
      <c r="AA694" s="31" t="n">
        <v>33795973100</v>
      </c>
      <c r="AB694" s="31" t="n">
        <v>33552291915</v>
      </c>
      <c r="AC694" s="36" t="n">
        <v>0.008012739571095941</v>
      </c>
      <c r="AD694" s="29" t="inlineStr">
        <is>
          <t>yfinance_download</t>
        </is>
      </c>
      <c r="AE694" s="29" t="inlineStr">
        <is>
          <t>000990.KS</t>
        </is>
      </c>
    </row>
    <row r="695" ht="24" customHeight="1">
      <c r="A695" s="24" t="inlineStr">
        <is>
          <t>2026-04-15</t>
        </is>
      </c>
      <c r="B695" s="30" t="n">
        <v>96500</v>
      </c>
      <c r="C695" s="30" t="n">
        <v>101200</v>
      </c>
      <c r="D695" s="30" t="n">
        <v>93100</v>
      </c>
      <c r="E695" s="30" t="n">
        <v>98600</v>
      </c>
      <c r="F695" s="30" t="n">
        <v>98600</v>
      </c>
      <c r="G695" s="30" t="n">
        <v>653911</v>
      </c>
      <c r="H695" s="35" t="n">
        <v>0.01964839710444677</v>
      </c>
      <c r="I695" s="35" t="n">
        <v>-0.1266607617360496</v>
      </c>
      <c r="J695" s="30" t="n">
        <v>87665</v>
      </c>
      <c r="K695" s="30" t="n">
        <v>91411.66666666667</v>
      </c>
      <c r="L695" s="30" t="n">
        <v>78525.83333333333</v>
      </c>
      <c r="M695" s="35" t="n">
        <v>0.6726394233945304</v>
      </c>
      <c r="N695" s="35" t="n">
        <v>0.8449207971129593</v>
      </c>
      <c r="O695" s="35" t="n">
        <v>0.1217292377701935</v>
      </c>
      <c r="P695" s="35" t="n">
        <v>0.2039072039072038</v>
      </c>
      <c r="Q695" s="35" t="n">
        <v>0.6543624161073827</v>
      </c>
      <c r="R695" s="35" t="n">
        <v>0.1247362117150517</v>
      </c>
      <c r="S695" s="35" t="n">
        <v>0.07863693547504869</v>
      </c>
      <c r="T695" s="35" t="n">
        <v>0.2556377412953275</v>
      </c>
      <c r="U695" s="30" t="n">
        <v>112900</v>
      </c>
      <c r="V695" s="30" t="n">
        <v>36750</v>
      </c>
      <c r="W695" s="35" t="n">
        <v>-0.1266607617360496</v>
      </c>
      <c r="X695" s="35" t="n">
        <v>1.682993197278912</v>
      </c>
      <c r="Y695" s="30" t="n">
        <v>43617167</v>
      </c>
      <c r="Z695" s="30" t="n">
        <v>4300652666200</v>
      </c>
      <c r="AA695" s="30" t="n">
        <v>64475624600</v>
      </c>
      <c r="AB695" s="30" t="n">
        <v>35098901590</v>
      </c>
      <c r="AC695" s="35" t="n">
        <v>0.01499205576556588</v>
      </c>
      <c r="AD695" s="24" t="inlineStr">
        <is>
          <t>yfinance_download</t>
        </is>
      </c>
      <c r="AE695" s="24" t="inlineStr">
        <is>
          <t>000990.KS</t>
        </is>
      </c>
    </row>
    <row r="696" ht="24" customHeight="1">
      <c r="A696" s="29" t="inlineStr">
        <is>
          <t>2026-04-16</t>
        </is>
      </c>
      <c r="B696" s="31" t="n">
        <v>98500</v>
      </c>
      <c r="C696" s="31" t="n">
        <v>106300</v>
      </c>
      <c r="D696" s="31" t="n">
        <v>96200</v>
      </c>
      <c r="E696" s="31" t="n">
        <v>103500</v>
      </c>
      <c r="F696" s="31" t="n">
        <v>103500</v>
      </c>
      <c r="G696" s="31" t="n">
        <v>671339</v>
      </c>
      <c r="H696" s="36" t="n">
        <v>0.04969574036511148</v>
      </c>
      <c r="I696" s="36" t="n">
        <v>-0.08325952170062001</v>
      </c>
      <c r="J696" s="31" t="n">
        <v>88445</v>
      </c>
      <c r="K696" s="31" t="n">
        <v>91716.66666666667</v>
      </c>
      <c r="L696" s="31" t="n">
        <v>78915</v>
      </c>
      <c r="M696" s="36" t="n">
        <v>0.6891078095770143</v>
      </c>
      <c r="N696" s="36" t="n">
        <v>0.8468423795208958</v>
      </c>
      <c r="O696" s="36" t="n">
        <v>0.1774744027303754</v>
      </c>
      <c r="P696" s="36" t="n">
        <v>0.2147887323943662</v>
      </c>
      <c r="Q696" s="36" t="n">
        <v>0.8221830985915493</v>
      </c>
      <c r="R696" s="36" t="n">
        <v>0.1702187800327888</v>
      </c>
      <c r="S696" s="36" t="n">
        <v>0.1284753770670544</v>
      </c>
      <c r="T696" s="36" t="n">
        <v>0.3115377304694924</v>
      </c>
      <c r="U696" s="31" t="n">
        <v>112900</v>
      </c>
      <c r="V696" s="31" t="n">
        <v>36750</v>
      </c>
      <c r="W696" s="36" t="n">
        <v>-0.08325952170062001</v>
      </c>
      <c r="X696" s="36" t="n">
        <v>1.816326530612245</v>
      </c>
      <c r="Y696" s="31" t="n">
        <v>43617167</v>
      </c>
      <c r="Z696" s="31" t="n">
        <v>4514376784500</v>
      </c>
      <c r="AA696" s="31" t="n">
        <v>69483586500</v>
      </c>
      <c r="AB696" s="31" t="n">
        <v>37106443045</v>
      </c>
      <c r="AC696" s="36" t="n">
        <v>0.0153916232111086</v>
      </c>
      <c r="AD696" s="29" t="inlineStr">
        <is>
          <t>yfinance_download</t>
        </is>
      </c>
      <c r="AE696" s="29" t="inlineStr">
        <is>
          <t>000990.KS</t>
        </is>
      </c>
    </row>
    <row r="697" ht="24" customHeight="1">
      <c r="A697" s="24" t="inlineStr">
        <is>
          <t>2026-04-17</t>
        </is>
      </c>
      <c r="B697" s="30" t="n">
        <v>103000</v>
      </c>
      <c r="C697" s="30" t="n">
        <v>107000</v>
      </c>
      <c r="D697" s="30" t="n">
        <v>102100</v>
      </c>
      <c r="E697" s="30" t="n">
        <v>106900</v>
      </c>
      <c r="F697" s="30" t="n">
        <v>106900</v>
      </c>
      <c r="G697" s="30" t="n">
        <v>401280</v>
      </c>
      <c r="H697" s="35" t="n">
        <v>0.03285024154589378</v>
      </c>
      <c r="I697" s="35" t="n">
        <v>-0.0531443755535872</v>
      </c>
      <c r="J697" s="30" t="n">
        <v>89385</v>
      </c>
      <c r="K697" s="30" t="n">
        <v>92070</v>
      </c>
      <c r="L697" s="30" t="n">
        <v>79332.5</v>
      </c>
      <c r="M697" s="35" t="n">
        <v>0.6936359222103784</v>
      </c>
      <c r="N697" s="35" t="n">
        <v>0.8488180918737495</v>
      </c>
      <c r="O697" s="35" t="n">
        <v>0.2133938706015892</v>
      </c>
      <c r="P697" s="35" t="n">
        <v>0.2473745624270711</v>
      </c>
      <c r="Q697" s="35" t="n">
        <v>0.8820422535211268</v>
      </c>
      <c r="R697" s="35" t="n">
        <v>0.1959501034849247</v>
      </c>
      <c r="S697" s="35" t="n">
        <v>0.1610730965569676</v>
      </c>
      <c r="T697" s="35" t="n">
        <v>0.3474931459364068</v>
      </c>
      <c r="U697" s="30" t="n">
        <v>112900</v>
      </c>
      <c r="V697" s="30" t="n">
        <v>36750</v>
      </c>
      <c r="W697" s="35" t="n">
        <v>-0.0531443755535872</v>
      </c>
      <c r="X697" s="35" t="n">
        <v>1.908843537414966</v>
      </c>
      <c r="Y697" s="30" t="n">
        <v>43617167</v>
      </c>
      <c r="Z697" s="30" t="n">
        <v>4662675152300</v>
      </c>
      <c r="AA697" s="30" t="n">
        <v>42896832000</v>
      </c>
      <c r="AB697" s="30" t="n">
        <v>37793410250</v>
      </c>
      <c r="AC697" s="35" t="n">
        <v>0.00920004731164681</v>
      </c>
      <c r="AD697" s="24" t="inlineStr">
        <is>
          <t>yfinance_download</t>
        </is>
      </c>
      <c r="AE697" s="24" t="inlineStr">
        <is>
          <t>000990.KS</t>
        </is>
      </c>
    </row>
    <row r="698" ht="24" customHeight="1">
      <c r="A698" s="29" t="inlineStr">
        <is>
          <t>2026-04-20</t>
        </is>
      </c>
      <c r="B698" s="31" t="n">
        <v>106000</v>
      </c>
      <c r="C698" s="31" t="n">
        <v>128400</v>
      </c>
      <c r="D698" s="31" t="n">
        <v>105500</v>
      </c>
      <c r="E698" s="31" t="n">
        <v>126700</v>
      </c>
      <c r="F698" s="31" t="n">
        <v>126700</v>
      </c>
      <c r="G698" s="31" t="n">
        <v>1360694</v>
      </c>
      <c r="H698" s="36" t="n">
        <v>0.1852198316183349</v>
      </c>
      <c r="I698" s="36" t="n">
        <v>0</v>
      </c>
      <c r="J698" s="31" t="n">
        <v>91545</v>
      </c>
      <c r="K698" s="31" t="n">
        <v>92770</v>
      </c>
      <c r="L698" s="31" t="n">
        <v>79906.66666666667</v>
      </c>
      <c r="M698" s="36" t="n">
        <v>0.8920715840485919</v>
      </c>
      <c r="N698" s="36" t="n">
        <v>0.924763605406796</v>
      </c>
      <c r="O698" s="36" t="n">
        <v>0.5173652694610777</v>
      </c>
      <c r="P698" s="36" t="n">
        <v>0.4958677685950412</v>
      </c>
      <c r="Q698" s="36" t="n">
        <v>1.192041522491349</v>
      </c>
      <c r="R698" s="36" t="n">
        <v>0.3840187885739255</v>
      </c>
      <c r="S698" s="36" t="n">
        <v>0.3657432359599009</v>
      </c>
      <c r="T698" s="36" t="n">
        <v>0.5855998665109292</v>
      </c>
      <c r="U698" s="31" t="n">
        <v>126700</v>
      </c>
      <c r="V698" s="31" t="n">
        <v>36750</v>
      </c>
      <c r="W698" s="36" t="n">
        <v>0</v>
      </c>
      <c r="X698" s="36" t="n">
        <v>2.447619047619048</v>
      </c>
      <c r="Y698" s="31" t="n">
        <v>43617167</v>
      </c>
      <c r="Z698" s="31" t="n">
        <v>5526295058900</v>
      </c>
      <c r="AA698" s="31" t="n">
        <v>172399929800</v>
      </c>
      <c r="AB698" s="31" t="n">
        <v>44870351790</v>
      </c>
      <c r="AC698" s="36" t="n">
        <v>0.03119629479833021</v>
      </c>
      <c r="AD698" s="29" t="inlineStr">
        <is>
          <t>yfinance_download</t>
        </is>
      </c>
      <c r="AE698" s="29" t="inlineStr">
        <is>
          <t>000990.KS</t>
        </is>
      </c>
    </row>
    <row r="699" ht="24" customHeight="1">
      <c r="A699" s="24" t="inlineStr">
        <is>
          <t>2026-04-21</t>
        </is>
      </c>
      <c r="B699" s="30" t="n">
        <v>123700</v>
      </c>
      <c r="C699" s="30" t="n">
        <v>124700</v>
      </c>
      <c r="D699" s="30" t="n">
        <v>117700</v>
      </c>
      <c r="E699" s="30" t="n">
        <v>122000</v>
      </c>
      <c r="F699" s="30" t="n">
        <v>122000</v>
      </c>
      <c r="G699" s="30" t="n">
        <v>720299</v>
      </c>
      <c r="H699" s="35" t="n">
        <v>-0.03709550118389893</v>
      </c>
      <c r="I699" s="35" t="n">
        <v>-0.03709550118389893</v>
      </c>
      <c r="J699" s="30" t="n">
        <v>93475</v>
      </c>
      <c r="K699" s="30" t="n">
        <v>93298.33333333333</v>
      </c>
      <c r="L699" s="30" t="n">
        <v>80420.83333333333</v>
      </c>
      <c r="M699" s="35" t="n">
        <v>0.913550454375311</v>
      </c>
      <c r="N699" s="35" t="n">
        <v>0.9214017821774514</v>
      </c>
      <c r="O699" s="35" t="n">
        <v>0.4628297362110312</v>
      </c>
      <c r="P699" s="35" t="n">
        <v>0.3510520487264672</v>
      </c>
      <c r="Q699" s="35" t="n">
        <v>1.023217247097844</v>
      </c>
      <c r="R699" s="35" t="n">
        <v>0.3051618079700456</v>
      </c>
      <c r="S699" s="35" t="n">
        <v>0.3076332196002074</v>
      </c>
      <c r="T699" s="35" t="n">
        <v>0.5170198435314233</v>
      </c>
      <c r="U699" s="30" t="n">
        <v>126700</v>
      </c>
      <c r="V699" s="30" t="n">
        <v>36750</v>
      </c>
      <c r="W699" s="35" t="n">
        <v>-0.03709550118389893</v>
      </c>
      <c r="X699" s="35" t="n">
        <v>2.319727891156463</v>
      </c>
      <c r="Y699" s="30" t="n">
        <v>43617167</v>
      </c>
      <c r="Z699" s="30" t="n">
        <v>5321294374000</v>
      </c>
      <c r="AA699" s="30" t="n">
        <v>87876478000</v>
      </c>
      <c r="AB699" s="30" t="n">
        <v>48195062750</v>
      </c>
      <c r="AC699" s="35" t="n">
        <v>0.01651411702185977</v>
      </c>
      <c r="AD699" s="24" t="inlineStr">
        <is>
          <t>yfinance_download</t>
        </is>
      </c>
      <c r="AE699" s="24" t="inlineStr">
        <is>
          <t>000990.KS</t>
        </is>
      </c>
    </row>
    <row r="700" ht="24" customHeight="1">
      <c r="A700" s="29" t="inlineStr">
        <is>
          <t>2026-04-22</t>
        </is>
      </c>
      <c r="B700" s="31" t="n">
        <v>120800</v>
      </c>
      <c r="C700" s="31" t="n">
        <v>129200</v>
      </c>
      <c r="D700" s="31" t="n">
        <v>120500</v>
      </c>
      <c r="E700" s="31" t="n">
        <v>127900</v>
      </c>
      <c r="F700" s="31" t="n">
        <v>127900</v>
      </c>
      <c r="G700" s="31" t="n">
        <v>652748</v>
      </c>
      <c r="H700" s="36" t="n">
        <v>0.04836065573770498</v>
      </c>
      <c r="I700" s="36" t="n">
        <v>0</v>
      </c>
      <c r="J700" s="31" t="n">
        <v>95750</v>
      </c>
      <c r="K700" s="31" t="n">
        <v>93878.33333333333</v>
      </c>
      <c r="L700" s="31" t="n">
        <v>80980</v>
      </c>
      <c r="M700" s="36" t="n">
        <v>0.9100322672889043</v>
      </c>
      <c r="N700" s="36" t="n">
        <v>0.9240467968619654</v>
      </c>
      <c r="O700" s="36" t="n">
        <v>0.5521844660194175</v>
      </c>
      <c r="P700" s="36" t="n">
        <v>0.3737916219119226</v>
      </c>
      <c r="Q700" s="36" t="n">
        <v>1.103618421052631</v>
      </c>
      <c r="R700" s="36" t="n">
        <v>0.3357702349869451</v>
      </c>
      <c r="S700" s="36" t="n">
        <v>0.3624016901308431</v>
      </c>
      <c r="T700" s="36" t="n">
        <v>0.5794023215608792</v>
      </c>
      <c r="U700" s="31" t="n">
        <v>127900</v>
      </c>
      <c r="V700" s="31" t="n">
        <v>36750</v>
      </c>
      <c r="W700" s="36" t="n">
        <v>0</v>
      </c>
      <c r="X700" s="36" t="n">
        <v>2.480272108843538</v>
      </c>
      <c r="Y700" s="31" t="n">
        <v>43617167</v>
      </c>
      <c r="Z700" s="31" t="n">
        <v>5578635659300</v>
      </c>
      <c r="AA700" s="31" t="n">
        <v>83486469200</v>
      </c>
      <c r="AB700" s="31" t="n">
        <v>50990051410</v>
      </c>
      <c r="AC700" s="36" t="n">
        <v>0.01496539195221001</v>
      </c>
      <c r="AD700" s="29" t="inlineStr">
        <is>
          <t>yfinance_download</t>
        </is>
      </c>
      <c r="AE700" s="29" t="inlineStr">
        <is>
          <t>000990.KS</t>
        </is>
      </c>
    </row>
    <row r="701" ht="24" customHeight="1">
      <c r="A701" s="24" t="inlineStr">
        <is>
          <t>2026-04-23</t>
        </is>
      </c>
      <c r="B701" s="30" t="n">
        <v>132000</v>
      </c>
      <c r="C701" s="30" t="n">
        <v>138600</v>
      </c>
      <c r="D701" s="30" t="n">
        <v>126600</v>
      </c>
      <c r="E701" s="30" t="n">
        <v>137400</v>
      </c>
      <c r="F701" s="30" t="n">
        <v>137400</v>
      </c>
      <c r="G701" s="30" t="n">
        <v>1056574</v>
      </c>
      <c r="H701" s="35" t="n">
        <v>0.07427677873338556</v>
      </c>
      <c r="I701" s="35" t="n">
        <v>0</v>
      </c>
      <c r="J701" s="30" t="n">
        <v>98725</v>
      </c>
      <c r="K701" s="30" t="n">
        <v>94651.66666666667</v>
      </c>
      <c r="L701" s="30" t="n">
        <v>81630</v>
      </c>
      <c r="M701" s="35" t="n">
        <v>0.8773398776221784</v>
      </c>
      <c r="N701" s="35" t="n">
        <v>0.9321366783742683</v>
      </c>
      <c r="O701" s="35" t="n">
        <v>0.7637997432605905</v>
      </c>
      <c r="P701" s="35" t="n">
        <v>0.5098901098901099</v>
      </c>
      <c r="Q701" s="35" t="n">
        <v>1.313131313131313</v>
      </c>
      <c r="R701" s="35" t="n">
        <v>0.3917447455051912</v>
      </c>
      <c r="S701" s="35" t="n">
        <v>0.4516384638411015</v>
      </c>
      <c r="T701" s="35" t="n">
        <v>0.683204704152885</v>
      </c>
      <c r="U701" s="30" t="n">
        <v>137400</v>
      </c>
      <c r="V701" s="30" t="n">
        <v>38100</v>
      </c>
      <c r="W701" s="35" t="n">
        <v>0</v>
      </c>
      <c r="X701" s="35" t="n">
        <v>2.606299212598425</v>
      </c>
      <c r="Y701" s="30" t="n">
        <v>43617167</v>
      </c>
      <c r="Z701" s="30" t="n">
        <v>5992998745800</v>
      </c>
      <c r="AA701" s="30" t="n">
        <v>145173267600</v>
      </c>
      <c r="AB701" s="30" t="n">
        <v>56612869320</v>
      </c>
      <c r="AC701" s="35" t="n">
        <v>0.0242238107761561</v>
      </c>
      <c r="AD701" s="24" t="inlineStr">
        <is>
          <t>yfinance_download</t>
        </is>
      </c>
      <c r="AE701" s="24" t="inlineStr">
        <is>
          <t>000990.KS</t>
        </is>
      </c>
    </row>
    <row r="702" ht="24" customHeight="1">
      <c r="A702" s="29" t="inlineStr">
        <is>
          <t>2026-04-24</t>
        </is>
      </c>
      <c r="B702" s="31" t="n">
        <v>155600</v>
      </c>
      <c r="C702" s="31" t="n">
        <v>159200</v>
      </c>
      <c r="D702" s="31" t="n">
        <v>146100</v>
      </c>
      <c r="E702" s="31" t="n">
        <v>152000</v>
      </c>
      <c r="F702" s="31" t="n">
        <v>152000</v>
      </c>
      <c r="G702" s="31" t="n">
        <v>1072826</v>
      </c>
      <c r="H702" s="36" t="n">
        <v>0.1062590975254731</v>
      </c>
      <c r="I702" s="36" t="n">
        <v>0</v>
      </c>
      <c r="J702" s="31" t="n">
        <v>102430</v>
      </c>
      <c r="K702" s="31" t="n">
        <v>95673.33333333333</v>
      </c>
      <c r="L702" s="31" t="n">
        <v>82402.5</v>
      </c>
      <c r="M702" s="36" t="n">
        <v>0.909406773290677</v>
      </c>
      <c r="N702" s="36" t="n">
        <v>0.9530143098703255</v>
      </c>
      <c r="O702" s="36" t="n">
        <v>0.9512195121951219</v>
      </c>
      <c r="P702" s="36" t="n">
        <v>0.6758544652701213</v>
      </c>
      <c r="Q702" s="36" t="n">
        <v>1.563237774030354</v>
      </c>
      <c r="R702" s="36" t="n">
        <v>0.4839402518793323</v>
      </c>
      <c r="S702" s="36" t="n">
        <v>0.588739460664762</v>
      </c>
      <c r="T702" s="36" t="n">
        <v>0.8446042292406177</v>
      </c>
      <c r="U702" s="31" t="n">
        <v>152000</v>
      </c>
      <c r="V702" s="31" t="n">
        <v>38100</v>
      </c>
      <c r="W702" s="36" t="n">
        <v>0</v>
      </c>
      <c r="X702" s="36" t="n">
        <v>2.989501312335958</v>
      </c>
      <c r="Y702" s="31" t="n">
        <v>43617167</v>
      </c>
      <c r="Z702" s="31" t="n">
        <v>6629809384000</v>
      </c>
      <c r="AA702" s="31" t="n">
        <v>163069552000</v>
      </c>
      <c r="AB702" s="31" t="n">
        <v>63066300165</v>
      </c>
      <c r="AC702" s="36" t="n">
        <v>0.02459641636055822</v>
      </c>
      <c r="AD702" s="29" t="inlineStr">
        <is>
          <t>yfinance_download</t>
        </is>
      </c>
      <c r="AE702" s="29" t="inlineStr">
        <is>
          <t>000990.KS</t>
        </is>
      </c>
    </row>
    <row r="703" ht="24" customHeight="1">
      <c r="A703" s="24" t="inlineStr">
        <is>
          <t>2026-04-27</t>
        </is>
      </c>
      <c r="B703" s="30" t="n">
        <v>155500</v>
      </c>
      <c r="C703" s="30" t="n">
        <v>159000</v>
      </c>
      <c r="D703" s="30" t="n">
        <v>150800</v>
      </c>
      <c r="E703" s="30" t="n">
        <v>159000</v>
      </c>
      <c r="F703" s="30" t="n">
        <v>159000</v>
      </c>
      <c r="G703" s="30" t="n">
        <v>669705</v>
      </c>
      <c r="H703" s="35" t="n">
        <v>0.04605263157894735</v>
      </c>
      <c r="I703" s="35" t="n">
        <v>0</v>
      </c>
      <c r="J703" s="30" t="n">
        <v>106340</v>
      </c>
      <c r="K703" s="30" t="n">
        <v>96730</v>
      </c>
      <c r="L703" s="30" t="n">
        <v>83236.66666666667</v>
      </c>
      <c r="M703" s="35" t="n">
        <v>0.9101736372670072</v>
      </c>
      <c r="N703" s="35" t="n">
        <v>0.951592556244126</v>
      </c>
      <c r="O703" s="35" t="n">
        <v>0.9678217821782178</v>
      </c>
      <c r="P703" s="35" t="n">
        <v>0.6631799163179917</v>
      </c>
      <c r="Q703" s="35" t="n">
        <v>1.699490662139219</v>
      </c>
      <c r="R703" s="35" t="n">
        <v>0.4952040624412262</v>
      </c>
      <c r="S703" s="35" t="n">
        <v>0.6437506461283986</v>
      </c>
      <c r="T703" s="35" t="n">
        <v>0.9102158503864481</v>
      </c>
      <c r="U703" s="30" t="n">
        <v>159000</v>
      </c>
      <c r="V703" s="30" t="n">
        <v>38100</v>
      </c>
      <c r="W703" s="35" t="n">
        <v>0</v>
      </c>
      <c r="X703" s="35" t="n">
        <v>3.173228346456693</v>
      </c>
      <c r="Y703" s="30" t="n">
        <v>43617167</v>
      </c>
      <c r="Z703" s="30" t="n">
        <v>6935129553000</v>
      </c>
      <c r="AA703" s="30" t="n">
        <v>106483095000</v>
      </c>
      <c r="AB703" s="30" t="n">
        <v>66998064875</v>
      </c>
      <c r="AC703" s="35" t="n">
        <v>0.01535416089724488</v>
      </c>
      <c r="AD703" s="24" t="inlineStr">
        <is>
          <t>yfinance_download</t>
        </is>
      </c>
      <c r="AE703" s="24" t="inlineStr">
        <is>
          <t>000990.KS</t>
        </is>
      </c>
    </row>
    <row r="704" ht="24" customHeight="1">
      <c r="A704" s="29" t="inlineStr">
        <is>
          <t>2026-04-28</t>
        </is>
      </c>
      <c r="B704" s="31" t="n">
        <v>159700</v>
      </c>
      <c r="C704" s="31" t="n">
        <v>164500</v>
      </c>
      <c r="D704" s="31" t="n">
        <v>153500</v>
      </c>
      <c r="E704" s="31" t="n">
        <v>154700</v>
      </c>
      <c r="F704" s="31" t="n">
        <v>154700</v>
      </c>
      <c r="G704" s="31" t="n">
        <v>473547</v>
      </c>
      <c r="H704" s="36" t="n">
        <v>-0.0270440251572327</v>
      </c>
      <c r="I704" s="36" t="n">
        <v>-0.0270440251572327</v>
      </c>
      <c r="J704" s="31" t="n">
        <v>110150</v>
      </c>
      <c r="K704" s="31" t="n">
        <v>97563.33333333333</v>
      </c>
      <c r="L704" s="31" t="n">
        <v>84035.83333333333</v>
      </c>
      <c r="M704" s="36" t="n">
        <v>0.9088535468805546</v>
      </c>
      <c r="N704" s="36" t="n">
        <v>0.9378409449692878</v>
      </c>
      <c r="O704" s="36" t="n">
        <v>0.9707006369426752</v>
      </c>
      <c r="P704" s="36" t="n">
        <v>0.4775549188156638</v>
      </c>
      <c r="Q704" s="36" t="n">
        <v>1.630952380952381</v>
      </c>
      <c r="R704" s="36" t="n">
        <v>0.4044484793463459</v>
      </c>
      <c r="S704" s="36" t="n">
        <v>0.5856366804468893</v>
      </c>
      <c r="T704" s="36" t="n">
        <v>0.8408813700504747</v>
      </c>
      <c r="U704" s="31" t="n">
        <v>159000</v>
      </c>
      <c r="V704" s="31" t="n">
        <v>38100</v>
      </c>
      <c r="W704" s="36" t="n">
        <v>-0.0270440251572327</v>
      </c>
      <c r="X704" s="36" t="n">
        <v>3.060367454068241</v>
      </c>
      <c r="Y704" s="31" t="n">
        <v>43617167</v>
      </c>
      <c r="Z704" s="31" t="n">
        <v>6747575734900</v>
      </c>
      <c r="AA704" s="31" t="n">
        <v>73257720900</v>
      </c>
      <c r="AB704" s="31" t="n">
        <v>69222379545</v>
      </c>
      <c r="AC704" s="36" t="n">
        <v>0.01085689494689098</v>
      </c>
      <c r="AD704" s="29" t="inlineStr">
        <is>
          <t>yfinance_download</t>
        </is>
      </c>
      <c r="AE704" s="29" t="inlineStr">
        <is>
          <t>000990.KS</t>
        </is>
      </c>
    </row>
    <row r="705" ht="24" customHeight="1">
      <c r="A705" s="24" t="inlineStr">
        <is>
          <t>2026-04-29</t>
        </is>
      </c>
      <c r="B705" s="30" t="n">
        <v>149300</v>
      </c>
      <c r="C705" s="30" t="n">
        <v>160300</v>
      </c>
      <c r="D705" s="30" t="n">
        <v>148600</v>
      </c>
      <c r="E705" s="30" t="n">
        <v>152600</v>
      </c>
      <c r="F705" s="30" t="n">
        <v>152600</v>
      </c>
      <c r="G705" s="30" t="n">
        <v>620447</v>
      </c>
      <c r="H705" s="35" t="n">
        <v>-0.01357466063348411</v>
      </c>
      <c r="I705" s="35" t="n">
        <v>-0.04025157232704402</v>
      </c>
      <c r="J705" s="30" t="n">
        <v>113480</v>
      </c>
      <c r="K705" s="30" t="n">
        <v>98421.66666666667</v>
      </c>
      <c r="L705" s="30" t="n">
        <v>84816.66666666667</v>
      </c>
      <c r="M705" s="35" t="n">
        <v>0.8964438254835316</v>
      </c>
      <c r="N705" s="35" t="n">
        <v>0.9347727084110589</v>
      </c>
      <c r="O705" s="35" t="n">
        <v>0.7744186046511627</v>
      </c>
      <c r="P705" s="35" t="n">
        <v>0.5093966369930762</v>
      </c>
      <c r="Q705" s="35" t="n">
        <v>1.590831918505942</v>
      </c>
      <c r="R705" s="35" t="n">
        <v>0.3447303489601692</v>
      </c>
      <c r="S705" s="35" t="n">
        <v>0.5504716102484208</v>
      </c>
      <c r="T705" s="35" t="n">
        <v>0.7991746905089407</v>
      </c>
      <c r="U705" s="30" t="n">
        <v>159000</v>
      </c>
      <c r="V705" s="30" t="n">
        <v>38100</v>
      </c>
      <c r="W705" s="35" t="n">
        <v>-0.04025157232704402</v>
      </c>
      <c r="X705" s="35" t="n">
        <v>3.005249343832021</v>
      </c>
      <c r="Y705" s="30" t="n">
        <v>43617167</v>
      </c>
      <c r="Z705" s="30" t="n">
        <v>6655979684200</v>
      </c>
      <c r="AA705" s="30" t="n">
        <v>94680212200</v>
      </c>
      <c r="AB705" s="30" t="n">
        <v>72124882555</v>
      </c>
      <c r="AC705" s="35" t="n">
        <v>0.01422483491419789</v>
      </c>
      <c r="AD705" s="24" t="inlineStr">
        <is>
          <t>yfinance_download</t>
        </is>
      </c>
      <c r="AE705" s="24" t="inlineStr">
        <is>
          <t>000990.KS</t>
        </is>
      </c>
    </row>
    <row r="706" ht="24" customHeight="1">
      <c r="A706" s="29" t="inlineStr">
        <is>
          <t>2026-04-30</t>
        </is>
      </c>
      <c r="B706" s="31" t="n">
        <v>156600</v>
      </c>
      <c r="C706" s="31" t="n">
        <v>163900</v>
      </c>
      <c r="D706" s="31" t="n">
        <v>152500</v>
      </c>
      <c r="E706" s="31" t="n">
        <v>158500</v>
      </c>
      <c r="F706" s="31" t="n">
        <v>158500</v>
      </c>
      <c r="G706" s="31" t="n">
        <v>580177</v>
      </c>
      <c r="H706" s="36" t="n">
        <v>0.03866317169069466</v>
      </c>
      <c r="I706" s="36" t="n">
        <v>-0.003144654088050314</v>
      </c>
      <c r="J706" s="31" t="n">
        <v>117240</v>
      </c>
      <c r="K706" s="31" t="n">
        <v>99300</v>
      </c>
      <c r="L706" s="31" t="n">
        <v>85645.83333333333</v>
      </c>
      <c r="M706" s="36" t="n">
        <v>0.8662564433240534</v>
      </c>
      <c r="N706" s="36" t="n">
        <v>0.9335517364034742</v>
      </c>
      <c r="O706" s="36" t="n">
        <v>0.9027611044417767</v>
      </c>
      <c r="P706" s="36" t="n">
        <v>0.498109640831758</v>
      </c>
      <c r="Q706" s="36" t="n">
        <v>1.686440677966102</v>
      </c>
      <c r="R706" s="36" t="n">
        <v>0.3519276697372911</v>
      </c>
      <c r="S706" s="36" t="n">
        <v>0.596173212487412</v>
      </c>
      <c r="T706" s="36" t="n">
        <v>0.8506446120165412</v>
      </c>
      <c r="U706" s="31" t="n">
        <v>159000</v>
      </c>
      <c r="V706" s="31" t="n">
        <v>38100</v>
      </c>
      <c r="W706" s="36" t="n">
        <v>-0.003144654088050314</v>
      </c>
      <c r="X706" s="36" t="n">
        <v>3.16010498687664</v>
      </c>
      <c r="Y706" s="31" t="n">
        <v>43617167</v>
      </c>
      <c r="Z706" s="31" t="n">
        <v>6913320969500</v>
      </c>
      <c r="AA706" s="31" t="n">
        <v>91958054500</v>
      </c>
      <c r="AB706" s="31" t="n">
        <v>74748025500</v>
      </c>
      <c r="AC706" s="36" t="n">
        <v>0.01330157458415399</v>
      </c>
      <c r="AD706" s="29" t="inlineStr">
        <is>
          <t>yfinance_download</t>
        </is>
      </c>
      <c r="AE706" s="29" t="inlineStr">
        <is>
          <t>000990.KS</t>
        </is>
      </c>
    </row>
    <row r="707" ht="24" customHeight="1">
      <c r="A707" s="24" t="inlineStr">
        <is>
          <t>2026-05-04</t>
        </is>
      </c>
      <c r="B707" s="30" t="n">
        <v>168100</v>
      </c>
      <c r="C707" s="30" t="n">
        <v>168900</v>
      </c>
      <c r="D707" s="30" t="n">
        <v>156100</v>
      </c>
      <c r="E707" s="30" t="n">
        <v>161700</v>
      </c>
      <c r="F707" s="30" t="n">
        <v>161700</v>
      </c>
      <c r="G707" s="30" t="n">
        <v>566598</v>
      </c>
      <c r="H707" s="35" t="n">
        <v>0.02018927444794949</v>
      </c>
      <c r="I707" s="35" t="n">
        <v>0</v>
      </c>
      <c r="J707" s="30" t="n">
        <v>120795</v>
      </c>
      <c r="K707" s="30" t="n">
        <v>100278.3333333333</v>
      </c>
      <c r="L707" s="30" t="n">
        <v>86526.66666666667</v>
      </c>
      <c r="M707" s="35" t="n">
        <v>0.8436775009151587</v>
      </c>
      <c r="N707" s="35" t="n">
        <v>0.931005494640512</v>
      </c>
      <c r="O707" s="35" t="n">
        <v>0.7847682119205297</v>
      </c>
      <c r="P707" s="35" t="n">
        <v>0.5699029126213593</v>
      </c>
      <c r="Q707" s="35" t="n">
        <v>1.8875</v>
      </c>
      <c r="R707" s="35" t="n">
        <v>0.338631565876071</v>
      </c>
      <c r="S707" s="35" t="n">
        <v>0.6125118420396565</v>
      </c>
      <c r="T707" s="35" t="n">
        <v>0.8687880422220509</v>
      </c>
      <c r="U707" s="30" t="n">
        <v>161700</v>
      </c>
      <c r="V707" s="30" t="n">
        <v>38100</v>
      </c>
      <c r="W707" s="35" t="n">
        <v>0</v>
      </c>
      <c r="X707" s="35" t="n">
        <v>3.244094488188976</v>
      </c>
      <c r="Y707" s="30" t="n">
        <v>43617167</v>
      </c>
      <c r="Z707" s="30" t="n">
        <v>7052895903900</v>
      </c>
      <c r="AA707" s="30" t="n">
        <v>91618896600</v>
      </c>
      <c r="AB707" s="30" t="n">
        <v>77388436110</v>
      </c>
      <c r="AC707" s="35" t="n">
        <v>0.0129902522096403</v>
      </c>
      <c r="AD707" s="24" t="inlineStr">
        <is>
          <t>yfinance_download</t>
        </is>
      </c>
      <c r="AE707" s="24" t="inlineStr">
        <is>
          <t>000990.KS</t>
        </is>
      </c>
    </row>
    <row r="708" ht="24" customHeight="1">
      <c r="A708" s="29" t="inlineStr">
        <is>
          <t>2026-05-06</t>
        </is>
      </c>
      <c r="B708" s="31" t="n">
        <v>160100</v>
      </c>
      <c r="C708" s="31" t="n">
        <v>165000</v>
      </c>
      <c r="D708" s="31" t="n">
        <v>154000</v>
      </c>
      <c r="E708" s="31" t="n">
        <v>162000</v>
      </c>
      <c r="F708" s="31" t="n">
        <v>162000</v>
      </c>
      <c r="G708" s="31" t="n">
        <v>1256629</v>
      </c>
      <c r="H708" s="36" t="n">
        <v>0.001855287569573205</v>
      </c>
      <c r="I708" s="36" t="n">
        <v>0</v>
      </c>
      <c r="J708" s="31" t="n">
        <v>124315</v>
      </c>
      <c r="K708" s="31" t="n">
        <v>101096.6666666667</v>
      </c>
      <c r="L708" s="31" t="n">
        <v>87413.33333333333</v>
      </c>
      <c r="M708" s="36" t="n">
        <v>0.8471305323209751</v>
      </c>
      <c r="N708" s="36" t="n">
        <v>0.9132760442132773</v>
      </c>
      <c r="O708" s="36" t="n">
        <v>0.7685589519650655</v>
      </c>
      <c r="P708" s="36" t="n">
        <v>0.4348981399468557</v>
      </c>
      <c r="Q708" s="36" t="n">
        <v>1.913669064748202</v>
      </c>
      <c r="R708" s="36" t="n">
        <v>0.3031412138519085</v>
      </c>
      <c r="S708" s="36" t="n">
        <v>0.6024267203007023</v>
      </c>
      <c r="T708" s="36" t="n">
        <v>0.8532641854789507</v>
      </c>
      <c r="U708" s="31" t="n">
        <v>162000</v>
      </c>
      <c r="V708" s="31" t="n">
        <v>38100</v>
      </c>
      <c r="W708" s="36" t="n">
        <v>0</v>
      </c>
      <c r="X708" s="36" t="n">
        <v>3.251968503937008</v>
      </c>
      <c r="Y708" s="31" t="n">
        <v>43617167</v>
      </c>
      <c r="Z708" s="31" t="n">
        <v>7065981054000</v>
      </c>
      <c r="AA708" s="31" t="n">
        <v>203573898000</v>
      </c>
      <c r="AB708" s="31" t="n">
        <v>85900116350</v>
      </c>
      <c r="AC708" s="36" t="n">
        <v>0.02881042228166722</v>
      </c>
      <c r="AD708" s="29" t="inlineStr">
        <is>
          <t>yfinance_download</t>
        </is>
      </c>
      <c r="AE708" s="29" t="inlineStr">
        <is>
          <t>000990.KS</t>
        </is>
      </c>
    </row>
    <row r="709" ht="24" customHeight="1">
      <c r="A709" s="24" t="inlineStr">
        <is>
          <t>2026-05-07</t>
        </is>
      </c>
      <c r="B709" s="30" t="n">
        <v>162000</v>
      </c>
      <c r="C709" s="30" t="n">
        <v>162000</v>
      </c>
      <c r="D709" s="30" t="n">
        <v>147600</v>
      </c>
      <c r="E709" s="30" t="n">
        <v>157500</v>
      </c>
      <c r="F709" s="30" t="n">
        <v>157500</v>
      </c>
      <c r="G709" s="30" t="n">
        <v>783546</v>
      </c>
      <c r="H709" s="35" t="n">
        <v>-0.02777777777777779</v>
      </c>
      <c r="I709" s="35" t="n">
        <v>-0.02777777777777779</v>
      </c>
      <c r="J709" s="30" t="n">
        <v>127800</v>
      </c>
      <c r="K709" s="30" t="n">
        <v>101875</v>
      </c>
      <c r="L709" s="30" t="n">
        <v>88280.83333333333</v>
      </c>
      <c r="M709" s="35" t="n">
        <v>0.8330294178683554</v>
      </c>
      <c r="N709" s="35" t="n">
        <v>0.9145929561756602</v>
      </c>
      <c r="O709" s="35" t="n">
        <v>0.7938496583143508</v>
      </c>
      <c r="P709" s="35" t="n">
        <v>0.4214801444043321</v>
      </c>
      <c r="Q709" s="35" t="n">
        <v>1.949438202247191</v>
      </c>
      <c r="R709" s="35" t="n">
        <v>0.232394366197183</v>
      </c>
      <c r="S709" s="35" t="n">
        <v>0.5460122699386503</v>
      </c>
      <c r="T709" s="35" t="n">
        <v>0.7840792168930593</v>
      </c>
      <c r="U709" s="30" t="n">
        <v>162000</v>
      </c>
      <c r="V709" s="30" t="n">
        <v>38100</v>
      </c>
      <c r="W709" s="35" t="n">
        <v>-0.02777777777777779</v>
      </c>
      <c r="X709" s="35" t="n">
        <v>3.133858267716535</v>
      </c>
      <c r="Y709" s="30" t="n">
        <v>43617167</v>
      </c>
      <c r="Z709" s="30" t="n">
        <v>6869703802500</v>
      </c>
      <c r="AA709" s="30" t="n">
        <v>123408495000</v>
      </c>
      <c r="AB709" s="30" t="n">
        <v>89991682940</v>
      </c>
      <c r="AC709" s="35" t="n">
        <v>0.01796416534801538</v>
      </c>
      <c r="AD709" s="24" t="inlineStr">
        <is>
          <t>yfinance_download</t>
        </is>
      </c>
      <c r="AE709" s="24" t="inlineStr">
        <is>
          <t>000990.KS</t>
        </is>
      </c>
    </row>
    <row r="710" ht="24" customHeight="1">
      <c r="A710" s="29" t="inlineStr">
        <is>
          <t>2026-05-08</t>
        </is>
      </c>
      <c r="B710" s="31" t="n">
        <v>157000</v>
      </c>
      <c r="C710" s="31" t="n">
        <v>168500</v>
      </c>
      <c r="D710" s="31" t="n">
        <v>153600</v>
      </c>
      <c r="E710" s="31" t="n">
        <v>168100</v>
      </c>
      <c r="F710" s="31" t="n">
        <v>168100</v>
      </c>
      <c r="G710" s="31" t="n">
        <v>913243</v>
      </c>
      <c r="H710" s="36" t="n">
        <v>0.0673015873015872</v>
      </c>
      <c r="I710" s="36" t="n">
        <v>0</v>
      </c>
      <c r="J710" s="31" t="n">
        <v>131485</v>
      </c>
      <c r="K710" s="31" t="n">
        <v>102936.6666666667</v>
      </c>
      <c r="L710" s="31" t="n">
        <v>89166.66666666667</v>
      </c>
      <c r="M710" s="36" t="n">
        <v>0.8279319289428633</v>
      </c>
      <c r="N710" s="36" t="n">
        <v>0.9124225230404576</v>
      </c>
      <c r="O710" s="36" t="n">
        <v>0.7807203389830508</v>
      </c>
      <c r="P710" s="36" t="n">
        <v>0.6101532567049808</v>
      </c>
      <c r="Q710" s="36" t="n">
        <v>1.720064724919094</v>
      </c>
      <c r="R710" s="36" t="n">
        <v>0.2784728296003347</v>
      </c>
      <c r="S710" s="36" t="n">
        <v>0.6330429714063663</v>
      </c>
      <c r="T710" s="36" t="n">
        <v>0.885233644859813</v>
      </c>
      <c r="U710" s="31" t="n">
        <v>168100</v>
      </c>
      <c r="V710" s="31" t="n">
        <v>38100</v>
      </c>
      <c r="W710" s="36" t="n">
        <v>0</v>
      </c>
      <c r="X710" s="36" t="n">
        <v>3.412073490813648</v>
      </c>
      <c r="Y710" s="31" t="n">
        <v>43617167</v>
      </c>
      <c r="Z710" s="31" t="n">
        <v>7332045772700</v>
      </c>
      <c r="AA710" s="31" t="n">
        <v>153516148300</v>
      </c>
      <c r="AB710" s="31" t="n">
        <v>95017493555</v>
      </c>
      <c r="AC710" s="36" t="n">
        <v>0.02093769638913046</v>
      </c>
      <c r="AD710" s="29" t="inlineStr">
        <is>
          <t>yfinance_download</t>
        </is>
      </c>
      <c r="AE710" s="29" t="inlineStr">
        <is>
          <t>000990.KS</t>
        </is>
      </c>
    </row>
    <row r="711" ht="24" customHeight="1">
      <c r="A711" s="24" t="inlineStr">
        <is>
          <t>2026-05-11</t>
        </is>
      </c>
      <c r="B711" s="30" t="n">
        <v>167100</v>
      </c>
      <c r="C711" s="30" t="n">
        <v>199600</v>
      </c>
      <c r="D711" s="30" t="n">
        <v>167100</v>
      </c>
      <c r="E711" s="30" t="n">
        <v>186700</v>
      </c>
      <c r="F711" s="30" t="n">
        <v>186700</v>
      </c>
      <c r="G711" s="30" t="n">
        <v>1307405</v>
      </c>
      <c r="H711" s="35" t="n">
        <v>0.1106484235574063</v>
      </c>
      <c r="I711" s="35" t="n">
        <v>0</v>
      </c>
      <c r="J711" s="30" t="n">
        <v>136190</v>
      </c>
      <c r="K711" s="30" t="n">
        <v>104331.6666666667</v>
      </c>
      <c r="L711" s="30" t="n">
        <v>90146.66666666667</v>
      </c>
      <c r="M711" s="35" t="n">
        <v>0.8526418134946987</v>
      </c>
      <c r="N711" s="35" t="n">
        <v>0.934264779182582</v>
      </c>
      <c r="O711" s="35" t="n">
        <v>1.016198704103672</v>
      </c>
      <c r="P711" s="35" t="n">
        <v>0.8126213592233009</v>
      </c>
      <c r="Q711" s="35" t="n">
        <v>1.701881331403763</v>
      </c>
      <c r="R711" s="35" t="n">
        <v>0.3708789191570601</v>
      </c>
      <c r="S711" s="35" t="n">
        <v>0.7894854550392179</v>
      </c>
      <c r="T711" s="35" t="n">
        <v>1.071069368436622</v>
      </c>
      <c r="U711" s="30" t="n">
        <v>186700</v>
      </c>
      <c r="V711" s="30" t="n">
        <v>38100</v>
      </c>
      <c r="W711" s="35" t="n">
        <v>0</v>
      </c>
      <c r="X711" s="35" t="n">
        <v>3.900262467191601</v>
      </c>
      <c r="Y711" s="30" t="n">
        <v>43617167</v>
      </c>
      <c r="Z711" s="30" t="n">
        <v>8143325078900</v>
      </c>
      <c r="AA711" s="30" t="n">
        <v>244092513500</v>
      </c>
      <c r="AB711" s="30" t="n">
        <v>105866770070</v>
      </c>
      <c r="AC711" s="35" t="n">
        <v>0.02997455107526814</v>
      </c>
      <c r="AD711" s="24" t="inlineStr">
        <is>
          <t>yfinance_download</t>
        </is>
      </c>
      <c r="AE711" s="24" t="inlineStr">
        <is>
          <t>000990.KS</t>
        </is>
      </c>
    </row>
    <row r="712" ht="24" customHeight="1">
      <c r="A712" s="29" t="inlineStr">
        <is>
          <t>2026-05-12</t>
        </is>
      </c>
      <c r="B712" s="31" t="n">
        <v>184200</v>
      </c>
      <c r="C712" s="31" t="n">
        <v>184200</v>
      </c>
      <c r="D712" s="31" t="n">
        <v>162100</v>
      </c>
      <c r="E712" s="31" t="n">
        <v>165800</v>
      </c>
      <c r="F712" s="31" t="n">
        <v>165800</v>
      </c>
      <c r="G712" s="31" t="n">
        <v>1162235</v>
      </c>
      <c r="H712" s="36" t="n">
        <v>-0.111944295661489</v>
      </c>
      <c r="I712" s="36" t="n">
        <v>-0.111944295661489</v>
      </c>
      <c r="J712" s="31" t="n">
        <v>139740</v>
      </c>
      <c r="K712" s="31" t="n">
        <v>105445</v>
      </c>
      <c r="L712" s="31" t="n">
        <v>90932.5</v>
      </c>
      <c r="M712" s="36" t="n">
        <v>1.003278682002108</v>
      </c>
      <c r="N712" s="36" t="n">
        <v>0.9627005178135587</v>
      </c>
      <c r="O712" s="36" t="n">
        <v>0.748945147679325</v>
      </c>
      <c r="P712" s="36" t="n">
        <v>0.6747474747474747</v>
      </c>
      <c r="Q712" s="36" t="n">
        <v>1.318881118881119</v>
      </c>
      <c r="R712" s="36" t="n">
        <v>0.1864891942178331</v>
      </c>
      <c r="S712" s="36" t="n">
        <v>0.5723837071459055</v>
      </c>
      <c r="T712" s="36" t="n">
        <v>0.8233304923982074</v>
      </c>
      <c r="U712" s="31" t="n">
        <v>186700</v>
      </c>
      <c r="V712" s="31" t="n">
        <v>38100</v>
      </c>
      <c r="W712" s="36" t="n">
        <v>-0.111944295661489</v>
      </c>
      <c r="X712" s="36" t="n">
        <v>3.351706036745407</v>
      </c>
      <c r="Y712" s="31" t="n">
        <v>43617167</v>
      </c>
      <c r="Z712" s="31" t="n">
        <v>7231726288600</v>
      </c>
      <c r="AA712" s="31" t="n">
        <v>192698563000</v>
      </c>
      <c r="AB712" s="31" t="n">
        <v>113216179240</v>
      </c>
      <c r="AC712" s="36" t="n">
        <v>0.02664627439008132</v>
      </c>
      <c r="AD712" s="29" t="inlineStr">
        <is>
          <t>yfinance_download</t>
        </is>
      </c>
      <c r="AE712" s="29" t="inlineStr">
        <is>
          <t>000990.KS</t>
        </is>
      </c>
    </row>
    <row r="713" ht="24" customHeight="1">
      <c r="A713" s="24" t="inlineStr">
        <is>
          <t>2026-05-13</t>
        </is>
      </c>
      <c r="B713" s="30" t="n">
        <v>160500</v>
      </c>
      <c r="C713" s="30" t="n">
        <v>185600</v>
      </c>
      <c r="D713" s="30" t="n">
        <v>160000</v>
      </c>
      <c r="E713" s="30" t="n">
        <v>185600</v>
      </c>
      <c r="F713" s="30" t="n">
        <v>185600</v>
      </c>
      <c r="G713" s="30" t="n">
        <v>958991</v>
      </c>
      <c r="H713" s="35" t="n">
        <v>0.1194209891435465</v>
      </c>
      <c r="I713" s="35" t="n">
        <v>-0.005891805034815234</v>
      </c>
      <c r="J713" s="30" t="n">
        <v>144195</v>
      </c>
      <c r="K713" s="30" t="n">
        <v>106925</v>
      </c>
      <c r="L713" s="30" t="n">
        <v>91916.66666666667</v>
      </c>
      <c r="M713" s="35" t="n">
        <v>1.050417389537702</v>
      </c>
      <c r="N713" s="35" t="n">
        <v>0.9857062390729958</v>
      </c>
      <c r="O713" s="35" t="n">
        <v>0.9233160621761658</v>
      </c>
      <c r="P713" s="35" t="n">
        <v>0.9173553719008265</v>
      </c>
      <c r="Q713" s="35" t="n">
        <v>1.749629629629629</v>
      </c>
      <c r="R713" s="35" t="n">
        <v>0.2871458788446202</v>
      </c>
      <c r="S713" s="35" t="n">
        <v>0.7357961187748421</v>
      </c>
      <c r="T713" s="35" t="n">
        <v>1.019220308250226</v>
      </c>
      <c r="U713" s="30" t="n">
        <v>186700</v>
      </c>
      <c r="V713" s="30" t="n">
        <v>38100</v>
      </c>
      <c r="W713" s="35" t="n">
        <v>-0.005891805034815234</v>
      </c>
      <c r="X713" s="35" t="n">
        <v>3.871391076115485</v>
      </c>
      <c r="Y713" s="30" t="n">
        <v>43617167</v>
      </c>
      <c r="Z713" s="30" t="n">
        <v>8095346195200</v>
      </c>
      <c r="AA713" s="30" t="n">
        <v>177988729600</v>
      </c>
      <c r="AB713" s="30" t="n">
        <v>120796701970</v>
      </c>
      <c r="AC713" s="35" t="n">
        <v>0.02198654947030374</v>
      </c>
      <c r="AD713" s="24" t="inlineStr">
        <is>
          <t>yfinance_download</t>
        </is>
      </c>
      <c r="AE713" s="24" t="inlineStr">
        <is>
          <t>000990.KS</t>
        </is>
      </c>
    </row>
    <row r="714" ht="24" customHeight="1">
      <c r="A714" s="29" t="inlineStr">
        <is>
          <t>2026-05-14</t>
        </is>
      </c>
      <c r="B714" s="31" t="n">
        <v>180500</v>
      </c>
      <c r="C714" s="31" t="n">
        <v>187300</v>
      </c>
      <c r="D714" s="31" t="n">
        <v>178500</v>
      </c>
      <c r="E714" s="31" t="n">
        <v>182800</v>
      </c>
      <c r="F714" s="31" t="n">
        <v>182800</v>
      </c>
      <c r="G714" s="31" t="n">
        <v>460860</v>
      </c>
      <c r="H714" s="36" t="n">
        <v>-0.01508620689655171</v>
      </c>
      <c r="I714" s="36" t="n">
        <v>-0.0208891269416176</v>
      </c>
      <c r="J714" s="31" t="n">
        <v>148500</v>
      </c>
      <c r="K714" s="31" t="n">
        <v>108408.3333333333</v>
      </c>
      <c r="L714" s="31" t="n">
        <v>92876.66666666667</v>
      </c>
      <c r="M714" s="36" t="n">
        <v>1.059334318074735</v>
      </c>
      <c r="N714" s="36" t="n">
        <v>0.9832285116342454</v>
      </c>
      <c r="O714" s="36" t="n">
        <v>0.8903826266804551</v>
      </c>
      <c r="P714" s="36" t="n">
        <v>0.9488272921108742</v>
      </c>
      <c r="Q714" s="36" t="n">
        <v>1.704142011834319</v>
      </c>
      <c r="R714" s="36" t="n">
        <v>0.2309764309764311</v>
      </c>
      <c r="S714" s="36" t="n">
        <v>0.6862172342224615</v>
      </c>
      <c r="T714" s="36" t="n">
        <v>0.968201557621218</v>
      </c>
      <c r="U714" s="31" t="n">
        <v>186700</v>
      </c>
      <c r="V714" s="31" t="n">
        <v>38100</v>
      </c>
      <c r="W714" s="36" t="n">
        <v>-0.0208891269416176</v>
      </c>
      <c r="X714" s="36" t="n">
        <v>3.797900262467191</v>
      </c>
      <c r="Y714" s="31" t="n">
        <v>43617167</v>
      </c>
      <c r="Z714" s="31" t="n">
        <v>7973218127600</v>
      </c>
      <c r="AA714" s="31" t="n">
        <v>84245208000</v>
      </c>
      <c r="AB714" s="31" t="n">
        <v>123319163715</v>
      </c>
      <c r="AC714" s="36" t="n">
        <v>0.01056602323575944</v>
      </c>
      <c r="AD714" s="29" t="inlineStr">
        <is>
          <t>yfinance_download</t>
        </is>
      </c>
      <c r="AE714" s="29" t="inlineStr">
        <is>
          <t>000990.KS</t>
        </is>
      </c>
    </row>
    <row r="715" ht="24" customHeight="1">
      <c r="A715" s="24" t="inlineStr">
        <is>
          <t>2026-05-15</t>
        </is>
      </c>
      <c r="B715" s="30" t="n">
        <v>181000</v>
      </c>
      <c r="C715" s="30" t="n">
        <v>184000</v>
      </c>
      <c r="D715" s="30" t="n">
        <v>162100</v>
      </c>
      <c r="E715" s="30" t="n">
        <v>163500</v>
      </c>
      <c r="F715" s="30" t="n">
        <v>163500</v>
      </c>
      <c r="G715" s="30" t="n">
        <v>841608</v>
      </c>
      <c r="H715" s="35" t="n">
        <v>-0.1055798687089715</v>
      </c>
      <c r="I715" s="35" t="n">
        <v>-0.1242635243706481</v>
      </c>
      <c r="J715" s="30" t="n">
        <v>151745</v>
      </c>
      <c r="K715" s="30" t="n">
        <v>109553.3333333333</v>
      </c>
      <c r="L715" s="30" t="n">
        <v>93652.5</v>
      </c>
      <c r="M715" s="35" t="n">
        <v>1.16994575751583</v>
      </c>
      <c r="N715" s="35" t="n">
        <v>1.012822724199826</v>
      </c>
      <c r="O715" s="35" t="n">
        <v>0.6582150101419879</v>
      </c>
      <c r="P715" s="35" t="n">
        <v>0.7246835443037976</v>
      </c>
      <c r="Q715" s="35" t="n">
        <v>1.322443181818182</v>
      </c>
      <c r="R715" s="35" t="n">
        <v>0.07746548485946825</v>
      </c>
      <c r="S715" s="35" t="n">
        <v>0.4924237814154446</v>
      </c>
      <c r="T715" s="35" t="n">
        <v>0.7458156482742051</v>
      </c>
      <c r="U715" s="30" t="n">
        <v>186700</v>
      </c>
      <c r="V715" s="30" t="n">
        <v>38100</v>
      </c>
      <c r="W715" s="35" t="n">
        <v>-0.1242635243706481</v>
      </c>
      <c r="X715" s="35" t="n">
        <v>3.291338582677166</v>
      </c>
      <c r="Y715" s="30" t="n">
        <v>43617167</v>
      </c>
      <c r="Z715" s="30" t="n">
        <v>7131406804500</v>
      </c>
      <c r="AA715" s="30" t="n">
        <v>137602908000</v>
      </c>
      <c r="AB715" s="30" t="n">
        <v>126975527885</v>
      </c>
      <c r="AC715" s="35" t="n">
        <v>0.01929533846157409</v>
      </c>
      <c r="AD715" s="24" t="inlineStr">
        <is>
          <t>yfinance_download</t>
        </is>
      </c>
      <c r="AE715" s="24" t="inlineStr">
        <is>
          <t>000990.KS</t>
        </is>
      </c>
    </row>
    <row r="716" ht="24" customHeight="1">
      <c r="A716" s="29" t="inlineStr">
        <is>
          <t>2026-05-18</t>
        </is>
      </c>
      <c r="B716" s="31" t="n">
        <v>165100</v>
      </c>
      <c r="C716" s="31" t="n">
        <v>174600</v>
      </c>
      <c r="D716" s="31" t="n">
        <v>156800</v>
      </c>
      <c r="E716" s="31" t="n">
        <v>170900</v>
      </c>
      <c r="F716" s="31" t="n">
        <v>170900</v>
      </c>
      <c r="G716" s="31" t="n">
        <v>726476</v>
      </c>
      <c r="H716" s="36" t="n">
        <v>0.04525993883792045</v>
      </c>
      <c r="I716" s="36" t="n">
        <v>-0.08462774504552761</v>
      </c>
      <c r="J716" s="31" t="n">
        <v>155115</v>
      </c>
      <c r="K716" s="31" t="n">
        <v>110851.6666666667</v>
      </c>
      <c r="L716" s="31" t="n">
        <v>94514.16666666667</v>
      </c>
      <c r="M716" s="36" t="n">
        <v>1.168967061945959</v>
      </c>
      <c r="N716" s="36" t="n">
        <v>1.013239721626376</v>
      </c>
      <c r="O716" s="36" t="n">
        <v>0.651207729468599</v>
      </c>
      <c r="P716" s="36" t="n">
        <v>0.8376344086021505</v>
      </c>
      <c r="Q716" s="36" t="n">
        <v>1.531851851851852</v>
      </c>
      <c r="R716" s="36" t="n">
        <v>0.1017632079424944</v>
      </c>
      <c r="S716" s="36" t="n">
        <v>0.5416998691945694</v>
      </c>
      <c r="T716" s="36" t="n">
        <v>0.8081945387375788</v>
      </c>
      <c r="U716" s="31" t="n">
        <v>186700</v>
      </c>
      <c r="V716" s="31" t="n">
        <v>38100</v>
      </c>
      <c r="W716" s="36" t="n">
        <v>-0.08462774504552761</v>
      </c>
      <c r="X716" s="36" t="n">
        <v>3.485564304461942</v>
      </c>
      <c r="Y716" s="31" t="n">
        <v>43617167</v>
      </c>
      <c r="Z716" s="31" t="n">
        <v>7454173840300</v>
      </c>
      <c r="AA716" s="31" t="n">
        <v>124154748400</v>
      </c>
      <c r="AB716" s="31" t="n">
        <v>129709085980</v>
      </c>
      <c r="AC716" s="36" t="n">
        <v>0.01665573557310588</v>
      </c>
      <c r="AD716" s="29" t="inlineStr">
        <is>
          <t>yfinance_download</t>
        </is>
      </c>
      <c r="AE716" s="29" t="inlineStr">
        <is>
          <t>000990.KS</t>
        </is>
      </c>
    </row>
    <row r="717" ht="24" customHeight="1">
      <c r="A717" s="24" t="inlineStr">
        <is>
          <t>2026-05-19</t>
        </is>
      </c>
      <c r="B717" s="30" t="n">
        <v>169800</v>
      </c>
      <c r="C717" s="30" t="n">
        <v>174600</v>
      </c>
      <c r="D717" s="30" t="n">
        <v>157300</v>
      </c>
      <c r="E717" s="30" t="n">
        <v>157300</v>
      </c>
      <c r="F717" s="30" t="n">
        <v>157300</v>
      </c>
      <c r="G717" s="30" t="n">
        <v>385107</v>
      </c>
      <c r="H717" s="35" t="n">
        <v>-0.07957870099473374</v>
      </c>
      <c r="I717" s="35" t="n">
        <v>-0.1574718800214248</v>
      </c>
      <c r="J717" s="30" t="n">
        <v>157635</v>
      </c>
      <c r="K717" s="30" t="n">
        <v>111950</v>
      </c>
      <c r="L717" s="30" t="n">
        <v>95277.5</v>
      </c>
      <c r="M717" s="35" t="n">
        <v>1.229238071130607</v>
      </c>
      <c r="N717" s="35" t="n">
        <v>1.028895713217296</v>
      </c>
      <c r="O717" s="35" t="n">
        <v>0.4714686623012161</v>
      </c>
      <c r="P717" s="35" t="n">
        <v>0.7210065645514223</v>
      </c>
      <c r="Q717" s="35" t="n">
        <v>1.394216133942161</v>
      </c>
      <c r="R717" s="35" t="n">
        <v>-0.002125162559076355</v>
      </c>
      <c r="S717" s="35" t="n">
        <v>0.4050915587315767</v>
      </c>
      <c r="T717" s="35" t="n">
        <v>0.650966912439978</v>
      </c>
      <c r="U717" s="30" t="n">
        <v>186700</v>
      </c>
      <c r="V717" s="30" t="n">
        <v>38100</v>
      </c>
      <c r="W717" s="35" t="n">
        <v>-0.1574718800214248</v>
      </c>
      <c r="X717" s="35" t="n">
        <v>3.128608923884515</v>
      </c>
      <c r="Y717" s="30" t="n">
        <v>43617167</v>
      </c>
      <c r="Z717" s="30" t="n">
        <v>6860980369100</v>
      </c>
      <c r="AA717" s="30" t="n">
        <v>60577331100</v>
      </c>
      <c r="AB717" s="30" t="n">
        <v>130593110935</v>
      </c>
      <c r="AC717" s="35" t="n">
        <v>0.008829252940705664</v>
      </c>
      <c r="AD717" s="24" t="inlineStr">
        <is>
          <t>yfinance_download</t>
        </is>
      </c>
      <c r="AE717" s="24" t="inlineStr">
        <is>
          <t>000990.KS</t>
        </is>
      </c>
    </row>
    <row r="718" ht="24" customHeight="1">
      <c r="A718" s="29" t="inlineStr">
        <is>
          <t>2026-05-20</t>
        </is>
      </c>
      <c r="B718" s="31" t="n">
        <v>158500</v>
      </c>
      <c r="C718" s="31" t="n">
        <v>160500</v>
      </c>
      <c r="D718" s="31" t="n">
        <v>152200</v>
      </c>
      <c r="E718" s="31" t="n">
        <v>155800</v>
      </c>
      <c r="F718" s="31" t="n">
        <v>155800</v>
      </c>
      <c r="G718" s="31" t="n">
        <v>182720</v>
      </c>
      <c r="H718" s="36" t="n">
        <v>-0.009535918626827677</v>
      </c>
      <c r="I718" s="36" t="n">
        <v>-0.1655061596143546</v>
      </c>
      <c r="J718" s="31" t="n">
        <v>159090</v>
      </c>
      <c r="K718" s="31" t="n">
        <v>112996.6666666667</v>
      </c>
      <c r="L718" s="31" t="n">
        <v>96022.5</v>
      </c>
      <c r="M718" s="36" t="n">
        <v>1.071087419655887</v>
      </c>
      <c r="N718" s="36" t="n">
        <v>1.029668029706734</v>
      </c>
      <c r="O718" s="36" t="n">
        <v>0.2296764009471193</v>
      </c>
      <c r="P718" s="36" t="n">
        <v>0.6752688172043011</v>
      </c>
      <c r="Q718" s="36" t="n">
        <v>1.346385542168675</v>
      </c>
      <c r="R718" s="36" t="n">
        <v>-0.0206801181721038</v>
      </c>
      <c r="S718" s="36" t="n">
        <v>0.3788017345644414</v>
      </c>
      <c r="T718" s="36" t="n">
        <v>0.6225363847015022</v>
      </c>
      <c r="U718" s="31" t="n">
        <v>186700</v>
      </c>
      <c r="V718" s="31" t="n">
        <v>38100</v>
      </c>
      <c r="W718" s="36" t="n">
        <v>-0.1655061596143546</v>
      </c>
      <c r="X718" s="36" t="n">
        <v>3.089238845144357</v>
      </c>
      <c r="Y718" s="31" t="n">
        <v>43617167</v>
      </c>
      <c r="Z718" s="31" t="n">
        <v>6795554618600</v>
      </c>
      <c r="AA718" s="31" t="n">
        <v>28467776000</v>
      </c>
      <c r="AB718" s="31" t="n">
        <v>123396503245</v>
      </c>
      <c r="AC718" s="36" t="n">
        <v>0.00418917624796677</v>
      </c>
      <c r="AD718" s="29" t="inlineStr">
        <is>
          <t>yfinance_download</t>
        </is>
      </c>
      <c r="AE718" s="29" t="inlineStr">
        <is>
          <t>000990.KS</t>
        </is>
      </c>
    </row>
  </sheetData>
  <autoFilter ref="A18:AE718"/>
  <mergeCells count="4">
    <mergeCell ref="A2:L2"/>
    <mergeCell ref="A17:F17"/>
    <mergeCell ref="A1:L1"/>
    <mergeCell ref="A4:F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4" customHeight="1">
      <c r="A1" s="22" t="inlineStr">
        <is>
          <t>정규화 재무제표</t>
        </is>
      </c>
    </row>
    <row r="2" ht="24" customHeight="1">
      <c r="A2" s="25" t="inlineStr">
        <is>
          <t>연도</t>
        </is>
      </c>
      <c r="B2" s="25" t="inlineStr">
        <is>
          <t>매출액</t>
        </is>
      </c>
      <c r="C2" s="25" t="inlineStr">
        <is>
          <t>영업이익</t>
        </is>
      </c>
      <c r="D2" s="25" t="inlineStr">
        <is>
          <t>순이익</t>
        </is>
      </c>
      <c r="E2" s="25" t="inlineStr">
        <is>
          <t>자산총계</t>
        </is>
      </c>
      <c r="F2" s="25" t="inlineStr">
        <is>
          <t>부채총계</t>
        </is>
      </c>
      <c r="G2" s="25" t="inlineStr">
        <is>
          <t>자본총계</t>
        </is>
      </c>
      <c r="H2" s="25" t="inlineStr">
        <is>
          <t>현금성자산</t>
        </is>
      </c>
      <c r="I2" s="25" t="inlineStr">
        <is>
          <t>영업현금흐름</t>
        </is>
      </c>
      <c r="J2" s="25" t="inlineStr">
        <is>
          <t>CAPEX</t>
        </is>
      </c>
      <c r="K2" s="25" t="inlineStr">
        <is>
          <t>FCF</t>
        </is>
      </c>
      <c r="L2" s="25" t="inlineStr">
        <is>
          <t>투자현금흐름</t>
        </is>
      </c>
      <c r="M2" s="25" t="inlineStr">
        <is>
          <t>원천계정수</t>
        </is>
      </c>
      <c r="N2" s="25" t="inlineStr">
        <is>
          <t>매출 원천계정</t>
        </is>
      </c>
      <c r="O2" s="25" t="inlineStr">
        <is>
          <t>영업이익 원천계정</t>
        </is>
      </c>
      <c r="P2" s="25" t="inlineStr">
        <is>
          <t>순이익 원천계정</t>
        </is>
      </c>
      <c r="Q2" s="25" t="inlineStr">
        <is>
          <t>자산 원천계정</t>
        </is>
      </c>
      <c r="R2" s="25" t="inlineStr">
        <is>
          <t>부채 원천계정</t>
        </is>
      </c>
      <c r="S2" s="25" t="inlineStr">
        <is>
          <t>자본 원천계정</t>
        </is>
      </c>
      <c r="T2" s="25" t="inlineStr">
        <is>
          <t>영업현금흐름 원천계정</t>
        </is>
      </c>
      <c r="U2" s="25" t="inlineStr">
        <is>
          <t>CAPEX 원천계정</t>
        </is>
      </c>
      <c r="V2" s="25" t="inlineStr">
        <is>
          <t>현금 원천계정</t>
        </is>
      </c>
      <c r="W2" s="25" t="inlineStr">
        <is>
          <t>영업이익률</t>
        </is>
      </c>
      <c r="X2" s="25" t="inlineStr">
        <is>
          <t>순이익률</t>
        </is>
      </c>
      <c r="Y2" s="25" t="inlineStr">
        <is>
          <t>ROE</t>
        </is>
      </c>
      <c r="Z2" s="25" t="inlineStr">
        <is>
          <t>ROA</t>
        </is>
      </c>
      <c r="AA2" s="25" t="inlineStr">
        <is>
          <t>부채/자본</t>
        </is>
      </c>
      <c r="AB2" s="25" t="inlineStr">
        <is>
          <t>부채/자산</t>
        </is>
      </c>
      <c r="AC2" s="25" t="inlineStr">
        <is>
          <t>자본비율</t>
        </is>
      </c>
      <c r="AD2" s="25" t="inlineStr">
        <is>
          <t>현금/자산</t>
        </is>
      </c>
      <c r="AE2" s="25" t="inlineStr">
        <is>
          <t>CFO margin</t>
        </is>
      </c>
      <c r="AF2" s="25" t="inlineStr">
        <is>
          <t>CAPEX/매출</t>
        </is>
      </c>
      <c r="AG2" s="25" t="inlineStr">
        <is>
          <t>FCF margin</t>
        </is>
      </c>
      <c r="AH2" s="25" t="inlineStr">
        <is>
          <t>FCF 전환율</t>
        </is>
      </c>
      <c r="AI2" s="25" t="inlineStr">
        <is>
          <t>매출성장률</t>
        </is>
      </c>
      <c r="AJ2" s="25" t="inlineStr">
        <is>
          <t>영업이익성장률</t>
        </is>
      </c>
      <c r="AK2" s="25" t="inlineStr">
        <is>
          <t>자산성장률</t>
        </is>
      </c>
    </row>
    <row r="3" ht="24" customHeight="1">
      <c r="A3" s="30" t="n">
        <v>2021</v>
      </c>
      <c r="B3" s="30" t="n">
        <v>1214682040178</v>
      </c>
      <c r="C3" s="30" t="n">
        <v>399106778303</v>
      </c>
      <c r="D3" s="30" t="n">
        <v>316891852008</v>
      </c>
      <c r="E3" s="30" t="n">
        <v>1549937895854</v>
      </c>
      <c r="F3" s="30" t="n">
        <v>443888189808</v>
      </c>
      <c r="G3" s="30" t="n">
        <v>1106049706046</v>
      </c>
      <c r="H3" s="30" t="n">
        <v>183017846365</v>
      </c>
      <c r="I3" s="30" t="n">
        <v>393129114790</v>
      </c>
      <c r="J3" s="30" t="n">
        <v>133612138042</v>
      </c>
      <c r="K3" s="30" t="n">
        <v>259516976748</v>
      </c>
      <c r="L3" s="30" t="n">
        <v>-252766500051</v>
      </c>
      <c r="M3" s="30" t="n">
        <v>159</v>
      </c>
      <c r="N3" s="24" t="inlineStr">
        <is>
          <t>매출액</t>
        </is>
      </c>
      <c r="O3" s="24" t="inlineStr">
        <is>
          <t>영업이익(손실)</t>
        </is>
      </c>
      <c r="P3" s="24" t="inlineStr">
        <is>
          <t>당기순이익(손실)</t>
        </is>
      </c>
      <c r="Q3" s="24" t="inlineStr">
        <is>
          <t>자산총계</t>
        </is>
      </c>
      <c r="R3" s="24" t="inlineStr">
        <is>
          <t>부채총계</t>
        </is>
      </c>
      <c r="S3" s="24" t="inlineStr">
        <is>
          <t>자본총계</t>
        </is>
      </c>
      <c r="T3" s="24" t="inlineStr">
        <is>
          <t>영업활동현금흐름</t>
        </is>
      </c>
      <c r="U3" s="24" t="inlineStr">
        <is>
          <t>유형자산의 취득</t>
        </is>
      </c>
      <c r="V3" s="24" t="inlineStr">
        <is>
          <t>현금및현금성자산</t>
        </is>
      </c>
      <c r="W3" s="35" t="n">
        <v>0.3285689300588611</v>
      </c>
      <c r="X3" s="35" t="n">
        <v>0.2608846113848547</v>
      </c>
      <c r="Y3" s="35" t="n">
        <v>0.2865077855685634</v>
      </c>
      <c r="Z3" s="35" t="n">
        <v>0.2044545480536146</v>
      </c>
      <c r="AA3" s="35" t="n">
        <v>0.4013275238730898</v>
      </c>
      <c r="AB3" s="35" t="n">
        <v>0.2863909521764562</v>
      </c>
      <c r="AC3" s="35" t="n">
        <v>0.7136090478235438</v>
      </c>
      <c r="AD3" s="35" t="n">
        <v>0.1180807610773069</v>
      </c>
      <c r="AE3" s="35" t="n">
        <v>0.3236477545452065</v>
      </c>
      <c r="AF3" s="35" t="n">
        <v>0.1099976237587414</v>
      </c>
      <c r="AG3" s="35" t="n">
        <v>0.2136501307864651</v>
      </c>
      <c r="AH3" s="35" t="n">
        <v>0.6502444730492047</v>
      </c>
      <c r="AI3" s="24" t="inlineStr">
        <is>
          <t>해당 없음</t>
        </is>
      </c>
      <c r="AJ3" s="24" t="inlineStr">
        <is>
          <t>해당 없음</t>
        </is>
      </c>
      <c r="AK3" s="24" t="inlineStr">
        <is>
          <t>해당 없음</t>
        </is>
      </c>
    </row>
    <row r="4" ht="24" customHeight="1">
      <c r="A4" s="31" t="n">
        <v>2022</v>
      </c>
      <c r="B4" s="31" t="n">
        <v>1675287533666</v>
      </c>
      <c r="C4" s="31" t="n">
        <v>768746685740</v>
      </c>
      <c r="D4" s="31" t="n">
        <v>558836662217</v>
      </c>
      <c r="E4" s="31" t="n">
        <v>2122700474808</v>
      </c>
      <c r="F4" s="31" t="n">
        <v>484416396415</v>
      </c>
      <c r="G4" s="31" t="n">
        <v>1638284078393</v>
      </c>
      <c r="H4" s="31" t="n">
        <v>151311289546</v>
      </c>
      <c r="I4" s="31" t="n">
        <v>730063433619</v>
      </c>
      <c r="J4" s="31" t="n">
        <v>179939556916</v>
      </c>
      <c r="K4" s="31" t="n">
        <v>550123876703</v>
      </c>
      <c r="L4" s="31" t="n">
        <v>-710089080981</v>
      </c>
      <c r="M4" s="31" t="n">
        <v>154</v>
      </c>
      <c r="N4" s="29" t="inlineStr">
        <is>
          <t>매출액</t>
        </is>
      </c>
      <c r="O4" s="29" t="inlineStr">
        <is>
          <t>영업이익(손실)</t>
        </is>
      </c>
      <c r="P4" s="29" t="inlineStr">
        <is>
          <t>당기순이익(손실)</t>
        </is>
      </c>
      <c r="Q4" s="29" t="inlineStr">
        <is>
          <t>자산총계</t>
        </is>
      </c>
      <c r="R4" s="29" t="inlineStr">
        <is>
          <t>부채총계</t>
        </is>
      </c>
      <c r="S4" s="29" t="inlineStr">
        <is>
          <t>자본총계</t>
        </is>
      </c>
      <c r="T4" s="29" t="inlineStr">
        <is>
          <t>영업활동현금흐름</t>
        </is>
      </c>
      <c r="U4" s="29" t="inlineStr">
        <is>
          <t>유형자산의 취득</t>
        </is>
      </c>
      <c r="V4" s="29" t="inlineStr">
        <is>
          <t>현금및현금성자산</t>
        </is>
      </c>
      <c r="W4" s="36" t="n">
        <v>0.4588744739583695</v>
      </c>
      <c r="X4" s="36" t="n">
        <v>0.3335765658054581</v>
      </c>
      <c r="Y4" s="36" t="n">
        <v>0.3411109645679797</v>
      </c>
      <c r="Z4" s="36" t="n">
        <v>0.2632668475129762</v>
      </c>
      <c r="AA4" s="36" t="n">
        <v>0.2956852250497155</v>
      </c>
      <c r="AB4" s="36" t="n">
        <v>0.2282076073209603</v>
      </c>
      <c r="AC4" s="36" t="n">
        <v>0.7717923926790398</v>
      </c>
      <c r="AD4" s="36" t="n">
        <v>0.07128244956919144</v>
      </c>
      <c r="AE4" s="36" t="n">
        <v>0.43578395884163</v>
      </c>
      <c r="AF4" s="36" t="n">
        <v>0.1074081632555587</v>
      </c>
      <c r="AG4" s="36" t="n">
        <v>0.3283757955860713</v>
      </c>
      <c r="AH4" s="36" t="n">
        <v>0.715611380065265</v>
      </c>
      <c r="AI4" s="36" t="n">
        <v>0.3791984060458347</v>
      </c>
      <c r="AJ4" s="36" t="n">
        <v>0.9261679518666834</v>
      </c>
      <c r="AK4" s="36" t="n">
        <v>0.3695390508781733</v>
      </c>
    </row>
    <row r="5" ht="24" customHeight="1">
      <c r="A5" s="30" t="n">
        <v>2023</v>
      </c>
      <c r="B5" s="30" t="n">
        <v>1154223638940</v>
      </c>
      <c r="C5" s="30" t="n">
        <v>265437456373</v>
      </c>
      <c r="D5" s="30" t="n">
        <v>264149250979</v>
      </c>
      <c r="E5" s="30" t="n">
        <v>2043378694132</v>
      </c>
      <c r="F5" s="30" t="n">
        <v>303296256385</v>
      </c>
      <c r="G5" s="30" t="n">
        <v>1740082437747</v>
      </c>
      <c r="H5" s="30" t="n">
        <v>253329763803</v>
      </c>
      <c r="I5" s="30" t="n">
        <v>224258155766</v>
      </c>
      <c r="J5" s="30" t="n">
        <v>6287486130</v>
      </c>
      <c r="K5" s="30" t="n">
        <v>217970669636</v>
      </c>
      <c r="L5" s="30" t="n">
        <v>27488934945</v>
      </c>
      <c r="M5" s="30" t="n">
        <v>202</v>
      </c>
      <c r="N5" s="24" t="inlineStr">
        <is>
          <t>수익(매출액)</t>
        </is>
      </c>
      <c r="O5" s="24" t="inlineStr">
        <is>
          <t>영업이익(손실)</t>
        </is>
      </c>
      <c r="P5" s="24" t="inlineStr">
        <is>
          <t>당기순이익(손실)</t>
        </is>
      </c>
      <c r="Q5" s="24" t="inlineStr">
        <is>
          <t>자산총계</t>
        </is>
      </c>
      <c r="R5" s="24" t="inlineStr">
        <is>
          <t>부채총계</t>
        </is>
      </c>
      <c r="S5" s="24" t="inlineStr">
        <is>
          <t>자본총계</t>
        </is>
      </c>
      <c r="T5" s="24" t="inlineStr">
        <is>
          <t>영업활동현금흐름</t>
        </is>
      </c>
      <c r="U5" s="24" t="inlineStr">
        <is>
          <t>무형자산의 취득</t>
        </is>
      </c>
      <c r="V5" s="24" t="inlineStr">
        <is>
          <t>현금및현금성자산</t>
        </is>
      </c>
      <c r="W5" s="35" t="n">
        <v>0.2299705597927008</v>
      </c>
      <c r="X5" s="35" t="n">
        <v>0.2288544802475071</v>
      </c>
      <c r="Y5" s="35" t="n">
        <v>0.1518027222440171</v>
      </c>
      <c r="Z5" s="35" t="n">
        <v>0.1292708256856946</v>
      </c>
      <c r="AA5" s="35" t="n">
        <v>0.1742999353396715</v>
      </c>
      <c r="AB5" s="35" t="n">
        <v>0.148428804340566</v>
      </c>
      <c r="AC5" s="35" t="n">
        <v>0.851571195659434</v>
      </c>
      <c r="AD5" s="35" t="n">
        <v>0.123975925035575</v>
      </c>
      <c r="AE5" s="35" t="n">
        <v>0.1942935044823299</v>
      </c>
      <c r="AF5" s="35" t="n">
        <v>0.005447372517664094</v>
      </c>
      <c r="AG5" s="35" t="n">
        <v>0.1888461319646658</v>
      </c>
      <c r="AH5" s="35" t="n">
        <v>0.8211752501489528</v>
      </c>
      <c r="AI5" s="35" t="n">
        <v>-0.3110295303074128</v>
      </c>
      <c r="AJ5" s="35" t="n">
        <v>-0.6547140152968746</v>
      </c>
      <c r="AK5" s="35" t="n">
        <v>-0.03736833416555141</v>
      </c>
    </row>
    <row r="6" ht="24" customHeight="1">
      <c r="A6" s="31" t="n">
        <v>2024</v>
      </c>
      <c r="B6" s="31" t="n">
        <v>1131167709804</v>
      </c>
      <c r="C6" s="31" t="n">
        <v>190838683363</v>
      </c>
      <c r="D6" s="31" t="n">
        <v>229385888355</v>
      </c>
      <c r="E6" s="31" t="n">
        <v>2396851168578</v>
      </c>
      <c r="F6" s="31" t="n">
        <v>396162364261</v>
      </c>
      <c r="G6" s="31" t="n">
        <v>2000688804317</v>
      </c>
      <c r="H6" s="31" t="n">
        <v>297054100758</v>
      </c>
      <c r="I6" s="31" t="n">
        <v>382634373825</v>
      </c>
      <c r="J6" s="31" t="n">
        <v>6842584171</v>
      </c>
      <c r="K6" s="31" t="n">
        <v>375791789654</v>
      </c>
      <c r="L6" s="31" t="n">
        <v>-330981683566</v>
      </c>
      <c r="M6" s="31" t="n">
        <v>222</v>
      </c>
      <c r="N6" s="29" t="inlineStr">
        <is>
          <t>수익(매출액)</t>
        </is>
      </c>
      <c r="O6" s="29" t="inlineStr">
        <is>
          <t>영업이익(손실)</t>
        </is>
      </c>
      <c r="P6" s="29" t="inlineStr">
        <is>
          <t>당기순이익(손실)</t>
        </is>
      </c>
      <c r="Q6" s="29" t="inlineStr">
        <is>
          <t>자산총계</t>
        </is>
      </c>
      <c r="R6" s="29" t="inlineStr">
        <is>
          <t>부채총계</t>
        </is>
      </c>
      <c r="S6" s="29" t="inlineStr">
        <is>
          <t>자본총계</t>
        </is>
      </c>
      <c r="T6" s="29" t="inlineStr">
        <is>
          <t>영업활동현금흐름</t>
        </is>
      </c>
      <c r="U6" s="29" t="inlineStr">
        <is>
          <t>무형자산의 취득</t>
        </is>
      </c>
      <c r="V6" s="29" t="inlineStr">
        <is>
          <t>현금및현금성자산</t>
        </is>
      </c>
      <c r="W6" s="36" t="n">
        <v>0.1687094510468894</v>
      </c>
      <c r="X6" s="36" t="n">
        <v>0.2027868072672851</v>
      </c>
      <c r="Y6" s="36" t="n">
        <v>0.1146534572793335</v>
      </c>
      <c r="Z6" s="36" t="n">
        <v>0.09570301709266733</v>
      </c>
      <c r="AA6" s="36" t="n">
        <v>0.1980129860307</v>
      </c>
      <c r="AB6" s="36" t="n">
        <v>0.1652845072128674</v>
      </c>
      <c r="AC6" s="36" t="n">
        <v>0.8347154927871326</v>
      </c>
      <c r="AD6" s="36" t="n">
        <v>0.1239351465173517</v>
      </c>
      <c r="AE6" s="36" t="n">
        <v>0.3382649367628253</v>
      </c>
      <c r="AF6" s="36" t="n">
        <v>0.006049133220206251</v>
      </c>
      <c r="AG6" s="36" t="n">
        <v>0.3322158035426191</v>
      </c>
      <c r="AH6" s="36" t="n">
        <v>1.969159412712962</v>
      </c>
      <c r="AI6" s="36" t="n">
        <v>-0.0199752702666649</v>
      </c>
      <c r="AJ6" s="36" t="n">
        <v>-0.2810408675148385</v>
      </c>
      <c r="AK6" s="36" t="n">
        <v>0.1729843202638219</v>
      </c>
    </row>
    <row r="7" ht="24" customHeight="1">
      <c r="A7" s="30" t="n">
        <v>2025</v>
      </c>
      <c r="B7" s="30" t="n">
        <v>1397233307039</v>
      </c>
      <c r="C7" s="30" t="n">
        <v>277294561174</v>
      </c>
      <c r="D7" s="30" t="n">
        <v>252582440798</v>
      </c>
      <c r="E7" s="30" t="n">
        <v>2992581747645</v>
      </c>
      <c r="F7" s="30" t="n">
        <v>748586290599</v>
      </c>
      <c r="G7" s="30" t="n">
        <v>2243995457046</v>
      </c>
      <c r="H7" s="30" t="n">
        <v>323054472680</v>
      </c>
      <c r="I7" s="30" t="n">
        <v>356967025481</v>
      </c>
      <c r="J7" s="30" t="n">
        <v>8163875766</v>
      </c>
      <c r="K7" s="30" t="n">
        <v>348803149715</v>
      </c>
      <c r="L7" s="30" t="n">
        <v>-393629106750</v>
      </c>
      <c r="M7" s="30" t="n">
        <v>263</v>
      </c>
      <c r="N7" s="24" t="inlineStr">
        <is>
          <t>수익(매출액)</t>
        </is>
      </c>
      <c r="O7" s="24" t="inlineStr">
        <is>
          <t>영업이익(손실)</t>
        </is>
      </c>
      <c r="P7" s="24" t="inlineStr">
        <is>
          <t>당기순이익(손실)</t>
        </is>
      </c>
      <c r="Q7" s="24" t="inlineStr">
        <is>
          <t>자산총계</t>
        </is>
      </c>
      <c r="R7" s="24" t="inlineStr">
        <is>
          <t>부채총계</t>
        </is>
      </c>
      <c r="S7" s="24" t="inlineStr">
        <is>
          <t>자본총계</t>
        </is>
      </c>
      <c r="T7" s="24" t="inlineStr">
        <is>
          <t>영업활동현금흐름</t>
        </is>
      </c>
      <c r="U7" s="24" t="inlineStr">
        <is>
          <t>무형자산의 취득</t>
        </is>
      </c>
      <c r="V7" s="24" t="inlineStr">
        <is>
          <t>현금및현금성자산</t>
        </is>
      </c>
      <c r="W7" s="35" t="n">
        <v>0.1984597416745234</v>
      </c>
      <c r="X7" s="35" t="n">
        <v>0.1807732749609796</v>
      </c>
      <c r="Y7" s="35" t="n">
        <v>0.1125592478384515</v>
      </c>
      <c r="Z7" s="35" t="n">
        <v>0.08440285415653849</v>
      </c>
      <c r="AA7" s="35" t="n">
        <v>0.3335952790138178</v>
      </c>
      <c r="AB7" s="35" t="n">
        <v>0.2501473155037776</v>
      </c>
      <c r="AC7" s="35" t="n">
        <v>0.7498526844962224</v>
      </c>
      <c r="AD7" s="35" t="n">
        <v>0.1079517620309709</v>
      </c>
      <c r="AE7" s="35" t="n">
        <v>0.2554813313443552</v>
      </c>
      <c r="AF7" s="35" t="n">
        <v>0.00584288659944758</v>
      </c>
      <c r="AG7" s="35" t="n">
        <v>0.2496384447449077</v>
      </c>
      <c r="AH7" s="35" t="n">
        <v>1.257879520745915</v>
      </c>
      <c r="AI7" s="35" t="n">
        <v>0.2352132181010558</v>
      </c>
      <c r="AJ7" s="35" t="n">
        <v>0.4530312004225563</v>
      </c>
      <c r="AK7" s="35" t="n">
        <v>0.2485471717546961</v>
      </c>
    </row>
  </sheetData>
  <autoFilter ref="A2:AK7"/>
  <mergeCells count="1">
    <mergeCell ref="A1:F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수익성·안정성·현금흐름 핵심비율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영업이익성장률</t>
        </is>
      </c>
      <c r="D2" s="25" t="inlineStr">
        <is>
          <t>영업이익률</t>
        </is>
      </c>
      <c r="E2" s="25" t="inlineStr">
        <is>
          <t>순이익률</t>
        </is>
      </c>
      <c r="F2" s="25" t="inlineStr">
        <is>
          <t>ROE</t>
        </is>
      </c>
      <c r="G2" s="25" t="inlineStr">
        <is>
          <t>ROA</t>
        </is>
      </c>
      <c r="H2" s="25" t="inlineStr">
        <is>
          <t>부채/자본</t>
        </is>
      </c>
      <c r="I2" s="25" t="inlineStr">
        <is>
          <t>자본비율</t>
        </is>
      </c>
      <c r="J2" s="25" t="inlineStr">
        <is>
          <t>CFO margin</t>
        </is>
      </c>
      <c r="K2" s="25" t="inlineStr">
        <is>
          <t>FCF margin</t>
        </is>
      </c>
      <c r="L2" s="25" t="inlineStr">
        <is>
          <t>FCF 전환율</t>
        </is>
      </c>
    </row>
    <row r="3" ht="24" customHeight="1">
      <c r="A3" s="30" t="n">
        <v>2021</v>
      </c>
      <c r="B3" s="24" t="inlineStr">
        <is>
          <t>해당 없음</t>
        </is>
      </c>
      <c r="C3" s="24" t="inlineStr">
        <is>
          <t>해당 없음</t>
        </is>
      </c>
      <c r="D3" s="35" t="n">
        <v>0.3285689300588611</v>
      </c>
      <c r="E3" s="35" t="n">
        <v>0.2608846113848547</v>
      </c>
      <c r="F3" s="35" t="n">
        <v>0.2865077855685634</v>
      </c>
      <c r="G3" s="35" t="n">
        <v>0.2044545480536146</v>
      </c>
      <c r="H3" s="35" t="n">
        <v>0.4013275238730898</v>
      </c>
      <c r="I3" s="35" t="n">
        <v>0.7136090478235438</v>
      </c>
      <c r="J3" s="35" t="n">
        <v>0.3236477545452065</v>
      </c>
      <c r="K3" s="35" t="n">
        <v>0.2136501307864651</v>
      </c>
      <c r="L3" s="35" t="n">
        <v>0.6502444730492047</v>
      </c>
    </row>
    <row r="4" ht="24" customHeight="1">
      <c r="A4" s="31" t="n">
        <v>2022</v>
      </c>
      <c r="B4" s="36" t="n">
        <v>0.3791984060458347</v>
      </c>
      <c r="C4" s="36" t="n">
        <v>0.9261679518666834</v>
      </c>
      <c r="D4" s="36" t="n">
        <v>0.4588744739583695</v>
      </c>
      <c r="E4" s="36" t="n">
        <v>0.3335765658054581</v>
      </c>
      <c r="F4" s="36" t="n">
        <v>0.3411109645679797</v>
      </c>
      <c r="G4" s="36" t="n">
        <v>0.2632668475129762</v>
      </c>
      <c r="H4" s="36" t="n">
        <v>0.2956852250497155</v>
      </c>
      <c r="I4" s="36" t="n">
        <v>0.7717923926790398</v>
      </c>
      <c r="J4" s="36" t="n">
        <v>0.43578395884163</v>
      </c>
      <c r="K4" s="36" t="n">
        <v>0.3283757955860713</v>
      </c>
      <c r="L4" s="36" t="n">
        <v>0.715611380065265</v>
      </c>
    </row>
    <row r="5" ht="24" customHeight="1">
      <c r="A5" s="30" t="n">
        <v>2023</v>
      </c>
      <c r="B5" s="35" t="n">
        <v>-0.3110295303074128</v>
      </c>
      <c r="C5" s="35" t="n">
        <v>-0.6547140152968746</v>
      </c>
      <c r="D5" s="35" t="n">
        <v>0.2299705597927008</v>
      </c>
      <c r="E5" s="35" t="n">
        <v>0.2288544802475071</v>
      </c>
      <c r="F5" s="35" t="n">
        <v>0.1518027222440171</v>
      </c>
      <c r="G5" s="35" t="n">
        <v>0.1292708256856946</v>
      </c>
      <c r="H5" s="35" t="n">
        <v>0.1742999353396715</v>
      </c>
      <c r="I5" s="35" t="n">
        <v>0.851571195659434</v>
      </c>
      <c r="J5" s="35" t="n">
        <v>0.1942935044823299</v>
      </c>
      <c r="K5" s="35" t="n">
        <v>0.1888461319646658</v>
      </c>
      <c r="L5" s="35" t="n">
        <v>0.8211752501489528</v>
      </c>
    </row>
    <row r="6" ht="24" customHeight="1">
      <c r="A6" s="31" t="n">
        <v>2024</v>
      </c>
      <c r="B6" s="36" t="n">
        <v>-0.0199752702666649</v>
      </c>
      <c r="C6" s="36" t="n">
        <v>-0.2810408675148385</v>
      </c>
      <c r="D6" s="36" t="n">
        <v>0.1687094510468894</v>
      </c>
      <c r="E6" s="36" t="n">
        <v>0.2027868072672851</v>
      </c>
      <c r="F6" s="36" t="n">
        <v>0.1146534572793335</v>
      </c>
      <c r="G6" s="36" t="n">
        <v>0.09570301709266733</v>
      </c>
      <c r="H6" s="36" t="n">
        <v>0.1980129860307</v>
      </c>
      <c r="I6" s="36" t="n">
        <v>0.8347154927871326</v>
      </c>
      <c r="J6" s="36" t="n">
        <v>0.3382649367628253</v>
      </c>
      <c r="K6" s="36" t="n">
        <v>0.3322158035426191</v>
      </c>
      <c r="L6" s="36" t="n">
        <v>1.969159412712962</v>
      </c>
    </row>
    <row r="7" ht="24" customHeight="1">
      <c r="A7" s="30" t="n">
        <v>2025</v>
      </c>
      <c r="B7" s="35" t="n">
        <v>0.2352132181010558</v>
      </c>
      <c r="C7" s="35" t="n">
        <v>0.4530312004225563</v>
      </c>
      <c r="D7" s="35" t="n">
        <v>0.1984597416745234</v>
      </c>
      <c r="E7" s="35" t="n">
        <v>0.1807732749609796</v>
      </c>
      <c r="F7" s="35" t="n">
        <v>0.1125592478384515</v>
      </c>
      <c r="G7" s="35" t="n">
        <v>0.08440285415653849</v>
      </c>
      <c r="H7" s="35" t="n">
        <v>0.3335952790138178</v>
      </c>
      <c r="I7" s="35" t="n">
        <v>0.7498526844962224</v>
      </c>
      <c r="J7" s="35" t="n">
        <v>0.2554813313443552</v>
      </c>
      <c r="K7" s="35" t="n">
        <v>0.2496384447449077</v>
      </c>
      <c r="L7" s="35" t="n">
        <v>1.257879520745915</v>
      </c>
    </row>
  </sheetData>
  <autoFilter ref="A2:L7"/>
  <mergeCells count="1">
    <mergeCell ref="A1:F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8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WACC 산정</t>
        </is>
      </c>
    </row>
    <row r="2" ht="28" customHeight="1">
      <c r="A2" s="17" t="inlineStr">
        <is>
          <t>노란 셀은 사용자가 시나리오별로 조정 가능한 입력값입니다.</t>
        </is>
      </c>
    </row>
    <row r="3" ht="24" customHeight="1"/>
    <row r="4" ht="24" customHeight="1">
      <c r="A4" s="37" t="inlineStr">
        <is>
          <t>무위험수익률</t>
        </is>
      </c>
      <c r="B4" s="38" t="n">
        <v>0.035</v>
      </c>
      <c r="C4" s="26" t="inlineStr">
        <is>
          <t>valuation_assumptions.json 또는 기본값</t>
        </is>
      </c>
    </row>
    <row r="5" ht="24" customHeight="1">
      <c r="A5" s="37" t="inlineStr">
        <is>
          <t>Beta</t>
        </is>
      </c>
      <c r="B5" s="38" t="n">
        <v>1.8</v>
      </c>
      <c r="C5" s="26" t="inlineStr">
        <is>
          <t>주가 변동성 proxy 또는 사용자 가정</t>
        </is>
      </c>
    </row>
    <row r="6" ht="24" customHeight="1">
      <c r="A6" s="37" t="inlineStr">
        <is>
          <t>시장위험프리미엄</t>
        </is>
      </c>
      <c r="B6" s="39" t="n">
        <v>0.06</v>
      </c>
      <c r="C6" s="26" t="inlineStr">
        <is>
          <t>사용자 조정 가능</t>
        </is>
      </c>
    </row>
    <row r="7" ht="24" customHeight="1">
      <c r="A7" s="37" t="inlineStr">
        <is>
          <t>자기자본비용</t>
        </is>
      </c>
      <c r="B7" s="40">
        <f>B4+B5*B6</f>
        <v/>
      </c>
      <c r="C7" s="26" t="inlineStr">
        <is>
          <t>공식: Rf + Beta × MRP</t>
        </is>
      </c>
    </row>
    <row r="8" ht="24" customHeight="1">
      <c r="A8" s="37" t="inlineStr">
        <is>
          <t>세전 차입비용</t>
        </is>
      </c>
      <c r="B8" s="39" t="n">
        <v>0.055</v>
      </c>
      <c r="C8" s="26" t="inlineStr">
        <is>
          <t>사용자 조정 가능</t>
        </is>
      </c>
    </row>
    <row r="9" ht="24" customHeight="1">
      <c r="A9" s="37" t="inlineStr">
        <is>
          <t>법인세율</t>
        </is>
      </c>
      <c r="B9" s="38" t="n">
        <v>0.24</v>
      </c>
      <c r="C9" s="26" t="inlineStr">
        <is>
          <t>사용자 조정 가능</t>
        </is>
      </c>
    </row>
    <row r="10" ht="24" customHeight="1">
      <c r="A10" s="37" t="inlineStr">
        <is>
          <t>세후 차입비용</t>
        </is>
      </c>
      <c r="B10" s="40">
        <f>B8*(1-B9)</f>
        <v/>
      </c>
      <c r="C10" s="26" t="inlineStr">
        <is>
          <t>공식</t>
        </is>
      </c>
    </row>
    <row r="11" ht="24" customHeight="1">
      <c r="A11" s="37" t="inlineStr">
        <is>
          <t>자기자본 비중</t>
        </is>
      </c>
      <c r="B11" s="38" t="n">
        <v>0.9007724935670003</v>
      </c>
      <c r="C11" s="26" t="inlineStr">
        <is>
          <t>시장가치/장부가치 기반</t>
        </is>
      </c>
    </row>
    <row r="12" ht="24" customHeight="1">
      <c r="A12" s="37" t="inlineStr">
        <is>
          <t>부채 비중</t>
        </is>
      </c>
      <c r="B12" s="38" t="n">
        <v>0.0992275064329997</v>
      </c>
      <c r="C12" s="26" t="inlineStr">
        <is>
          <t>부채 proxy 기반</t>
        </is>
      </c>
    </row>
    <row r="13" ht="24" customHeight="1">
      <c r="A13" s="37" t="inlineStr">
        <is>
          <t>WACC</t>
        </is>
      </c>
      <c r="B13" s="41">
        <f>B11*B7+B12*B10</f>
        <v/>
      </c>
      <c r="C13" s="26" t="inlineStr">
        <is>
          <t>공식: E/V×Ke + D/V×Kd(1-T)</t>
        </is>
      </c>
    </row>
    <row r="14" ht="24" customHeight="1">
      <c r="A14" s="37" t="inlineStr">
        <is>
          <t>사용한 시가총액</t>
        </is>
      </c>
      <c r="B14" s="27" t="n">
        <v>6795554618600</v>
      </c>
      <c r="C14" s="26" t="inlineStr">
        <is>
          <t>발행주식 수 intake 가능 시 반영</t>
        </is>
      </c>
    </row>
    <row r="15" ht="24" customHeight="1">
      <c r="A15" s="37" t="inlineStr">
        <is>
          <t>부채 proxy</t>
        </is>
      </c>
      <c r="B15" s="27" t="n">
        <v>748586290599</v>
      </c>
      <c r="C15" s="26" t="inlineStr">
        <is>
          <t>상세 차입금 데이터 전까지 부채총계 보수 proxy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FCF 추정</t>
        </is>
      </c>
    </row>
    <row r="2" ht="24" customHeight="1">
      <c r="A2" s="25" t="inlineStr">
        <is>
          <t>연도</t>
        </is>
      </c>
      <c r="B2" s="25" t="inlineStr">
        <is>
          <t>매출성장률</t>
        </is>
      </c>
      <c r="C2" s="25" t="inlineStr">
        <is>
          <t>매출액</t>
        </is>
      </c>
      <c r="D2" s="25" t="inlineStr">
        <is>
          <t>영업이익률</t>
        </is>
      </c>
      <c r="E2" s="25" t="inlineStr">
        <is>
          <t>ebit</t>
        </is>
      </c>
      <c r="F2" s="25" t="inlineStr">
        <is>
          <t>nopat</t>
        </is>
      </c>
      <c r="G2" s="25" t="inlineStr">
        <is>
          <t>FCF margin</t>
        </is>
      </c>
      <c r="H2" s="25" t="inlineStr">
        <is>
          <t>FCF</t>
        </is>
      </c>
      <c r="I2" s="25" t="inlineStr">
        <is>
          <t>할인계수</t>
        </is>
      </c>
      <c r="J2" s="25" t="inlineStr">
        <is>
          <t>FCF 현재가치</t>
        </is>
      </c>
    </row>
    <row r="3" ht="24" customHeight="1">
      <c r="A3" s="30" t="n">
        <v>2026</v>
      </c>
      <c r="B3" s="35" t="n">
        <v>-0.02254442199280584</v>
      </c>
      <c r="C3" s="30" t="n">
        <v>1365733489742.709</v>
      </c>
      <c r="D3" s="35" t="n">
        <v>0.1990465841713712</v>
      </c>
      <c r="E3" s="30" t="n">
        <v>271844586021.7327</v>
      </c>
      <c r="F3" s="30" t="n">
        <v>206601885376.5169</v>
      </c>
      <c r="G3" s="35" t="n">
        <v>0.25</v>
      </c>
      <c r="H3" s="30" t="n">
        <v>341433372435.6773</v>
      </c>
      <c r="I3" s="35" t="n">
        <v>0.882645115129099</v>
      </c>
      <c r="J3" s="30" t="n">
        <v>301364498322.405</v>
      </c>
    </row>
    <row r="4" ht="24" customHeight="1">
      <c r="A4" s="31" t="n">
        <v>2027</v>
      </c>
      <c r="B4" s="36" t="n">
        <v>-0.01315831649460438</v>
      </c>
      <c r="C4" s="31" t="n">
        <v>1347762736237.394</v>
      </c>
      <c r="D4" s="36" t="n">
        <v>0.1990465841713712</v>
      </c>
      <c r="E4" s="31" t="n">
        <v>268267568921.514</v>
      </c>
      <c r="F4" s="31" t="n">
        <v>203883352380.3507</v>
      </c>
      <c r="G4" s="36" t="n">
        <v>0.25</v>
      </c>
      <c r="H4" s="31" t="n">
        <v>336940684059.3485</v>
      </c>
      <c r="I4" s="36" t="n">
        <v>0.7790623992612606</v>
      </c>
      <c r="J4" s="31" t="n">
        <v>262497817732.0064</v>
      </c>
    </row>
    <row r="5" ht="24" customHeight="1">
      <c r="A5" s="30" t="n">
        <v>2028</v>
      </c>
      <c r="B5" s="35" t="n">
        <v>-0.00377221099640292</v>
      </c>
      <c r="C5" s="30" t="n">
        <v>1342678690823.217</v>
      </c>
      <c r="D5" s="35" t="n">
        <v>0.1990465841713712</v>
      </c>
      <c r="E5" s="30" t="n">
        <v>267255607048.05</v>
      </c>
      <c r="F5" s="30" t="n">
        <v>203114261356.518</v>
      </c>
      <c r="G5" s="35" t="n">
        <v>0.25</v>
      </c>
      <c r="H5" s="30" t="n">
        <v>335669672705.8043</v>
      </c>
      <c r="I5" s="35" t="n">
        <v>0.6876356210887075</v>
      </c>
      <c r="J5" s="30" t="n">
        <v>230818423871.6989</v>
      </c>
    </row>
    <row r="6" ht="24" customHeight="1">
      <c r="A6" s="31" t="n">
        <v>2029</v>
      </c>
      <c r="B6" s="36" t="n">
        <v>0.005613894501798542</v>
      </c>
      <c r="C6" s="31" t="n">
        <v>1350216347343.312</v>
      </c>
      <c r="D6" s="36" t="n">
        <v>0.1990465841713712</v>
      </c>
      <c r="E6" s="31" t="n">
        <v>268755951831.0319</v>
      </c>
      <c r="F6" s="31" t="n">
        <v>204254523391.5843</v>
      </c>
      <c r="G6" s="36" t="n">
        <v>0.25</v>
      </c>
      <c r="H6" s="31" t="n">
        <v>337554086835.8279</v>
      </c>
      <c r="I6" s="36" t="n">
        <v>0.6069382219427119</v>
      </c>
      <c r="J6" s="31" t="n">
        <v>204874477273.6332</v>
      </c>
    </row>
    <row r="7" ht="24" customHeight="1">
      <c r="A7" s="30" t="n">
        <v>2030</v>
      </c>
      <c r="B7" s="35" t="n">
        <v>0.015</v>
      </c>
      <c r="C7" s="30" t="n">
        <v>1370469592553.461</v>
      </c>
      <c r="D7" s="35" t="n">
        <v>0.1990465841713712</v>
      </c>
      <c r="E7" s="30" t="n">
        <v>272787291108.4974</v>
      </c>
      <c r="F7" s="30" t="n">
        <v>207318341242.458</v>
      </c>
      <c r="G7" s="35" t="n">
        <v>0.25</v>
      </c>
      <c r="H7" s="30" t="n">
        <v>342617398138.3654</v>
      </c>
      <c r="I7" s="35" t="n">
        <v>0.5357110567828756</v>
      </c>
      <c r="J7" s="30" t="n">
        <v>183543928428.9029</v>
      </c>
    </row>
  </sheetData>
  <autoFilter ref="A2:J7"/>
  <mergeCells count="1"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DCF 가치평가</t>
        </is>
      </c>
    </row>
    <row r="2" ht="28" customHeight="1">
      <c r="A2" s="17" t="inlineStr">
        <is>
          <t>명시적 FCF + Terminal Value + 현금 - 부채 proxy</t>
        </is>
      </c>
    </row>
    <row r="3" ht="24" customHeight="1"/>
    <row r="4" ht="24" customHeight="1">
      <c r="A4" s="22" t="inlineStr">
        <is>
          <t>DCF 결과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  <c r="C5" s="25" t="inlineStr">
        <is>
          <t>비고</t>
        </is>
      </c>
    </row>
    <row r="6" ht="24" customHeight="1">
      <c r="A6" s="24" t="inlineStr">
        <is>
          <t>기준연도</t>
        </is>
      </c>
      <c r="B6" s="30" t="n">
        <v>2025</v>
      </c>
      <c r="C6" s="24" t="inlineStr">
        <is>
          <t>최근 정규화 재무제표 연도</t>
        </is>
      </c>
    </row>
    <row r="7" ht="24" customHeight="1">
      <c r="A7" s="29" t="inlineStr">
        <is>
          <t>기준 매출액</t>
        </is>
      </c>
      <c r="B7" s="31" t="n">
        <v>1397233307039</v>
      </c>
      <c r="C7" s="29" t="inlineStr">
        <is>
          <t>DART 기반</t>
        </is>
      </c>
    </row>
    <row r="8" ht="24" customHeight="1">
      <c r="A8" s="24" t="inlineStr">
        <is>
          <t>매출 CAGR</t>
        </is>
      </c>
      <c r="B8" s="30" t="n">
        <v>0.03562274443012292</v>
      </c>
      <c r="C8" s="24" t="inlineStr">
        <is>
          <t>과거 재무제표 기반</t>
        </is>
      </c>
    </row>
    <row r="9" ht="24" customHeight="1">
      <c r="A9" s="29" t="inlineStr">
        <is>
          <t>추정 매출성장률</t>
        </is>
      </c>
      <c r="B9" s="31" t="n">
        <v>-0.0319305274910073</v>
      </c>
      <c r="C9" s="29" t="inlineStr">
        <is>
          <t>최근 추세를 보수적으로 bounded</t>
        </is>
      </c>
    </row>
    <row r="10" ht="24" customHeight="1">
      <c r="A10" s="24" t="inlineStr">
        <is>
          <t>추정 FCF margin</t>
        </is>
      </c>
      <c r="B10" s="30" t="n">
        <v>0.25</v>
      </c>
      <c r="C10" s="24" t="inlineStr">
        <is>
          <t>최근 3년 평균 기반</t>
        </is>
      </c>
    </row>
    <row r="11" ht="24" customHeight="1">
      <c r="A11" s="29" t="inlineStr">
        <is>
          <t>WACC</t>
        </is>
      </c>
      <c r="B11" s="31" t="n">
        <v>0.1329581763489804</v>
      </c>
      <c r="C11" s="29" t="inlineStr">
        <is>
          <t>07_WACC 참조</t>
        </is>
      </c>
    </row>
    <row r="12" ht="24" customHeight="1">
      <c r="A12" s="24" t="inlineStr">
        <is>
          <t>영구성장률</t>
        </is>
      </c>
      <c r="B12" s="30" t="n">
        <v>0.015</v>
      </c>
      <c r="C12" s="24" t="inlineStr">
        <is>
          <t>valuation_assumptions.json</t>
        </is>
      </c>
    </row>
    <row r="13" ht="24" customHeight="1">
      <c r="A13" s="29" t="inlineStr">
        <is>
          <t>FCF 현재가치</t>
        </is>
      </c>
      <c r="B13" s="31" t="n">
        <v>1183099145628.646</v>
      </c>
      <c r="C13" s="29" t="inlineStr">
        <is>
          <t>명시적 기간 FCF 할인</t>
        </is>
      </c>
    </row>
    <row r="14" ht="24" customHeight="1">
      <c r="A14" s="24" t="inlineStr">
        <is>
          <t>Terminal Value</t>
        </is>
      </c>
      <c r="B14" s="30" t="n">
        <v>2948135261786.341</v>
      </c>
      <c r="C14" s="24" t="inlineStr">
        <is>
          <t>Gordon Growth</t>
        </is>
      </c>
    </row>
    <row r="15" ht="24" customHeight="1">
      <c r="A15" s="29" t="inlineStr">
        <is>
          <t>Terminal 현재가치</t>
        </is>
      </c>
      <c r="B15" s="31" t="n">
        <v>1579348656630.42</v>
      </c>
      <c r="C15" s="29" t="inlineStr">
        <is>
          <t>Terminal Value 할인</t>
        </is>
      </c>
    </row>
    <row r="16" ht="24" customHeight="1">
      <c r="A16" s="24" t="inlineStr">
        <is>
          <t>기업가치(EV)</t>
        </is>
      </c>
      <c r="B16" s="30" t="n">
        <v>2762447802259.066</v>
      </c>
      <c r="C16" s="24" t="inlineStr">
        <is>
          <t>PV FCF + PV Terminal</t>
        </is>
      </c>
    </row>
    <row r="17" ht="24" customHeight="1">
      <c r="A17" s="29" t="inlineStr">
        <is>
          <t>지분가치</t>
        </is>
      </c>
      <c r="B17" s="31" t="n">
        <v>2336915984340.066</v>
      </c>
      <c r="C17" s="29" t="inlineStr">
        <is>
          <t>EV + 현금 - 부채 proxy</t>
        </is>
      </c>
    </row>
    <row r="18" ht="24" customHeight="1">
      <c r="A18" s="24" t="inlineStr">
        <is>
          <t>발행주식 수</t>
        </is>
      </c>
      <c r="B18" s="30" t="n">
        <v>43617167</v>
      </c>
      <c r="C18" s="24" t="inlineStr">
        <is>
          <t>DART stockTotqySttus 또는 해당 없음</t>
        </is>
      </c>
    </row>
    <row r="19" ht="24" customHeight="1">
      <c r="A19" s="29" t="inlineStr">
        <is>
          <t>현재가</t>
        </is>
      </c>
      <c r="B19" s="31" t="n">
        <v>155800</v>
      </c>
      <c r="C19" s="29" t="inlineStr">
        <is>
          <t>주가 intake</t>
        </is>
      </c>
    </row>
    <row r="20" ht="24" customHeight="1">
      <c r="A20" s="24" t="inlineStr">
        <is>
          <t>DCF 내재주가</t>
        </is>
      </c>
      <c r="B20" s="30" t="n">
        <v>53577.89478486914</v>
      </c>
      <c r="C20" s="24" t="inlineStr">
        <is>
          <t>지분가치 / 발행주식 수</t>
        </is>
      </c>
    </row>
    <row r="21" ht="24" customHeight="1">
      <c r="A21" s="29" t="inlineStr">
        <is>
          <t>현재가 대비 괴리율</t>
        </is>
      </c>
      <c r="B21" s="31" t="n">
        <v>-0.6561110732678489</v>
      </c>
      <c r="C21" s="29" t="inlineStr">
        <is>
          <t>내재주가 / 현재가 - 1</t>
        </is>
      </c>
    </row>
  </sheetData>
  <autoFilter ref="A5:C21"/>
  <mergeCells count="3">
    <mergeCell ref="A2:E2"/>
    <mergeCell ref="A1:E1"/>
    <mergeCell ref="A4:F4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I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22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40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4" customHeight="1">
      <c r="A1" s="22" t="inlineStr">
        <is>
          <t>피어 비교 / 상대가치</t>
        </is>
      </c>
    </row>
    <row r="2" ht="24" customHeight="1">
      <c r="A2" s="25" t="inlineStr">
        <is>
          <t>기업코드</t>
        </is>
      </c>
      <c r="B2" s="25" t="inlineStr">
        <is>
          <t>기업명</t>
        </is>
      </c>
      <c r="C2" s="25" t="inlineStr">
        <is>
          <t>종목코드</t>
        </is>
      </c>
      <c r="D2" s="25" t="inlineStr">
        <is>
          <t>시장</t>
        </is>
      </c>
      <c r="E2" s="25" t="inlineStr">
        <is>
          <t>분석대상</t>
        </is>
      </c>
      <c r="F2" s="25" t="inlineStr">
        <is>
          <t>최근연도</t>
        </is>
      </c>
      <c r="G2" s="25" t="inlineStr">
        <is>
          <t>latest_close</t>
        </is>
      </c>
      <c r="H2" s="25" t="inlineStr">
        <is>
          <t>발행주식 수</t>
        </is>
      </c>
      <c r="I2" s="25" t="inlineStr">
        <is>
          <t>시가총액</t>
        </is>
      </c>
      <c r="J2" s="25" t="inlineStr">
        <is>
          <t>매출액</t>
        </is>
      </c>
      <c r="K2" s="25" t="inlineStr">
        <is>
          <t>영업이익</t>
        </is>
      </c>
      <c r="L2" s="25" t="inlineStr">
        <is>
          <t>순이익</t>
        </is>
      </c>
      <c r="M2" s="25" t="inlineStr">
        <is>
          <t>자산총계</t>
        </is>
      </c>
      <c r="N2" s="25" t="inlineStr">
        <is>
          <t>부채총계</t>
        </is>
      </c>
      <c r="O2" s="25" t="inlineStr">
        <is>
          <t>자본총계</t>
        </is>
      </c>
      <c r="P2" s="25" t="inlineStr">
        <is>
          <t>FCF</t>
        </is>
      </c>
      <c r="Q2" s="25" t="inlineStr">
        <is>
          <t>FCF margin</t>
        </is>
      </c>
      <c r="R2" s="25" t="inlineStr">
        <is>
          <t>1년 수익률</t>
        </is>
      </c>
      <c r="S2" s="25" t="inlineStr">
        <is>
          <t>연환산 변동성</t>
        </is>
      </c>
      <c r="T2" s="25" t="inlineStr">
        <is>
          <t>MDD</t>
        </is>
      </c>
      <c r="U2" s="25" t="inlineStr">
        <is>
          <t>52주 고가</t>
        </is>
      </c>
      <c r="V2" s="25" t="inlineStr">
        <is>
          <t>52주 저가</t>
        </is>
      </c>
      <c r="W2" s="25" t="inlineStr">
        <is>
          <t>data_status</t>
        </is>
      </c>
      <c r="X2" s="25" t="inlineStr">
        <is>
          <t>diagnostics</t>
        </is>
      </c>
      <c r="Y2" s="25" t="inlineStr">
        <is>
          <t>EV proxy</t>
        </is>
      </c>
      <c r="Z2" s="25" t="inlineStr">
        <is>
          <t>P/S</t>
        </is>
      </c>
      <c r="AA2" s="25" t="inlineStr">
        <is>
          <t>PER</t>
        </is>
      </c>
      <c r="AB2" s="25" t="inlineStr">
        <is>
          <t>PBR</t>
        </is>
      </c>
      <c r="AC2" s="25" t="inlineStr">
        <is>
          <t>EV/Sales</t>
        </is>
      </c>
      <c r="AD2" s="25" t="inlineStr">
        <is>
          <t>EV/EBIT</t>
        </is>
      </c>
      <c r="AE2" s="25" t="inlineStr">
        <is>
          <t>P/FCF</t>
        </is>
      </c>
      <c r="AF2" s="25" t="inlineStr">
        <is>
          <t>영업이익률</t>
        </is>
      </c>
      <c r="AG2" s="25" t="inlineStr">
        <is>
          <t>ROE</t>
        </is>
      </c>
      <c r="AH2" s="25" t="inlineStr">
        <is>
          <t>부채/자본</t>
        </is>
      </c>
      <c r="AI2" s="25" t="inlineStr">
        <is>
          <t>psr_data_quality</t>
        </is>
      </c>
    </row>
    <row r="3" ht="24" customHeight="1">
      <c r="A3" s="24" t="inlineStr">
        <is>
          <t>nepes</t>
        </is>
      </c>
      <c r="B3" s="24" t="inlineStr">
        <is>
          <t>네패스</t>
        </is>
      </c>
      <c r="C3" s="24" t="inlineStr">
        <is>
          <t>033640</t>
        </is>
      </c>
      <c r="D3" s="24" t="inlineStr">
        <is>
          <t>KOSDAQ</t>
        </is>
      </c>
      <c r="E3" s="24" t="b">
        <v>0</v>
      </c>
      <c r="F3" s="24" t="inlineStr">
        <is>
          <t>2025</t>
        </is>
      </c>
      <c r="G3" s="24" t="inlineStr">
        <is>
          <t>26850.0</t>
        </is>
      </c>
      <c r="H3" s="24" t="inlineStr">
        <is>
          <t>23059202.0</t>
        </is>
      </c>
      <c r="I3" s="30" t="n">
        <v>619139573700</v>
      </c>
      <c r="J3" s="24" t="inlineStr">
        <is>
          <t>521439287008.0</t>
        </is>
      </c>
      <c r="K3" s="24" t="inlineStr">
        <is>
          <t>23761125843.0</t>
        </is>
      </c>
      <c r="L3" s="24" t="inlineStr">
        <is>
          <t>20158821632.0</t>
        </is>
      </c>
      <c r="M3" s="24" t="inlineStr">
        <is>
          <t>696198458357.0</t>
        </is>
      </c>
      <c r="N3" s="24" t="inlineStr">
        <is>
          <t>450773427582.0</t>
        </is>
      </c>
      <c r="O3" s="24" t="inlineStr">
        <is>
          <t>245425030775.0</t>
        </is>
      </c>
      <c r="P3" s="24" t="inlineStr">
        <is>
          <t>103117228706.0</t>
        </is>
      </c>
      <c r="Q3" s="24" t="inlineStr">
        <is>
          <t>0.19775500480158098</t>
        </is>
      </c>
      <c r="R3" s="24" t="inlineStr">
        <is>
          <t>2.4511568123393315</t>
        </is>
      </c>
      <c r="S3" s="24" t="inlineStr">
        <is>
          <t>0.6270713970587045</t>
        </is>
      </c>
      <c r="T3" s="24" t="inlineStr">
        <is>
          <t>-0.7436559139784946</t>
        </is>
      </c>
      <c r="U3" s="24" t="inlineStr">
        <is>
          <t>34800.0</t>
        </is>
      </c>
      <c r="V3" s="24" t="inlineStr">
        <is>
          <t>6890.0</t>
        </is>
      </c>
      <c r="W3" s="24" t="inlineStr">
        <is>
          <t>OK</t>
        </is>
      </c>
      <c r="X3" s="24" t="inlineStr">
        <is>
          <t>yfinance price rows for 033640.KQ: 728 | price provider selected: yfinance, rows=728 | DART corp_code resolved from cache for 네패스/033640.</t>
        </is>
      </c>
      <c r="Y3" s="30" t="n">
        <v>1069913001282</v>
      </c>
      <c r="Z3" s="42" t="n">
        <v>1.187366562371241</v>
      </c>
      <c r="AA3" s="42" t="n">
        <v>30.71308358208703</v>
      </c>
      <c r="AB3" s="42" t="n">
        <v>2.522723830348066</v>
      </c>
      <c r="AC3" s="42" t="n">
        <v>2.051845781358598</v>
      </c>
      <c r="AD3" s="42" t="n">
        <v>45.0278748722336</v>
      </c>
      <c r="AE3" s="42" t="n">
        <v>6.004230151153923</v>
      </c>
      <c r="AF3" s="35" t="n">
        <v>0.0455683459896942</v>
      </c>
      <c r="AG3" s="35" t="n">
        <v>0.0821384093070814</v>
      </c>
      <c r="AH3" s="35" t="n">
        <v>1.836705189191801</v>
      </c>
      <c r="AI3" s="24" t="inlineStr">
        <is>
          <t>OK</t>
        </is>
      </c>
    </row>
    <row r="4" ht="24" customHeight="1">
      <c r="A4" s="29" t="inlineStr">
        <is>
          <t>hanmi</t>
        </is>
      </c>
      <c r="B4" s="29" t="inlineStr">
        <is>
          <t>한미반도체</t>
        </is>
      </c>
      <c r="C4" s="29" t="inlineStr">
        <is>
          <t>042700</t>
        </is>
      </c>
      <c r="D4" s="29" t="inlineStr">
        <is>
          <t>KOSPI</t>
        </is>
      </c>
      <c r="E4" s="29" t="b">
        <v>0</v>
      </c>
      <c r="F4" s="29" t="inlineStr">
        <is>
          <t>2025</t>
        </is>
      </c>
      <c r="G4" s="29" t="inlineStr">
        <is>
          <t>292500.0</t>
        </is>
      </c>
      <c r="H4" s="29" t="inlineStr">
        <is>
          <t>95312200.0</t>
        </is>
      </c>
      <c r="I4" s="31" t="n">
        <v>27878818500000</v>
      </c>
      <c r="J4" s="29" t="inlineStr">
        <is>
          <t>576684619527.0</t>
        </is>
      </c>
      <c r="K4" s="29" t="inlineStr">
        <is>
          <t>251390142142.0</t>
        </is>
      </c>
      <c r="L4" s="29" t="inlineStr">
        <is>
          <t>214007548411.0</t>
        </is>
      </c>
      <c r="M4" s="29" t="inlineStr">
        <is>
          <t>813331626120.0</t>
        </is>
      </c>
      <c r="N4" s="29" t="inlineStr">
        <is>
          <t>123004106583.0</t>
        </is>
      </c>
      <c r="O4" s="29" t="inlineStr">
        <is>
          <t>690327519537.0</t>
        </is>
      </c>
      <c r="P4" s="29" t="inlineStr">
        <is>
          <t>209512898063.0</t>
        </is>
      </c>
      <c r="Q4" s="29" t="inlineStr">
        <is>
          <t>0.36330585378684743</t>
        </is>
      </c>
      <c r="R4" s="29" t="inlineStr">
        <is>
          <t>2.5714285714285716</t>
        </is>
      </c>
      <c r="S4" s="29" t="inlineStr">
        <is>
          <t>0.7592269923101923</t>
        </is>
      </c>
      <c r="T4" s="29" t="inlineStr">
        <is>
          <t>-0.6814814814814815</t>
        </is>
      </c>
      <c r="U4" s="29" t="inlineStr">
        <is>
          <t>409500.0</t>
        </is>
      </c>
      <c r="V4" s="29" t="inlineStr">
        <is>
          <t>77400.0</t>
        </is>
      </c>
      <c r="W4" s="29" t="inlineStr">
        <is>
          <t>OK</t>
        </is>
      </c>
      <c r="X4" s="29" t="inlineStr">
        <is>
          <t>yfinance price rows for 042700.KS: 728 | price provider selected: yfinance, rows=728 | DART corp_code resolved from cache for 한미반도체/042700.</t>
        </is>
      </c>
      <c r="Y4" s="31" t="n">
        <v>28001822606583</v>
      </c>
      <c r="Z4" s="43" t="n">
        <v>48.34326693655601</v>
      </c>
      <c r="AA4" s="43" t="n">
        <v>130.2702577876315</v>
      </c>
      <c r="AB4" s="43" t="n">
        <v>40.38491543651369</v>
      </c>
      <c r="AC4" s="43" t="n">
        <v>48.5565622151502</v>
      </c>
      <c r="AD4" s="43" t="n">
        <v>111.3879103133882</v>
      </c>
      <c r="AE4" s="43" t="n">
        <v>133.0649270653347</v>
      </c>
      <c r="AF4" s="36" t="n">
        <v>0.4359230914606178</v>
      </c>
      <c r="AG4" s="36" t="n">
        <v>0.3100087166661616</v>
      </c>
      <c r="AH4" s="36" t="n">
        <v>0.1781822440824876</v>
      </c>
      <c r="AI4" s="29" t="inlineStr">
        <is>
          <t>OK</t>
        </is>
      </c>
    </row>
    <row r="5" ht="24" customHeight="1">
      <c r="A5" s="24" t="inlineStr">
        <is>
          <t>hansol</t>
        </is>
      </c>
      <c r="B5" s="24" t="inlineStr">
        <is>
          <t>한솔케미칼</t>
        </is>
      </c>
      <c r="C5" s="24" t="inlineStr">
        <is>
          <t>014680</t>
        </is>
      </c>
      <c r="D5" s="24" t="inlineStr">
        <is>
          <t>KOSPI</t>
        </is>
      </c>
      <c r="E5" s="24" t="b">
        <v>0</v>
      </c>
      <c r="F5" s="24" t="inlineStr">
        <is>
          <t>2025</t>
        </is>
      </c>
      <c r="G5" s="24" t="inlineStr">
        <is>
          <t>275750.0</t>
        </is>
      </c>
      <c r="H5" s="24" t="inlineStr">
        <is>
          <t>11335195.0</t>
        </is>
      </c>
      <c r="I5" s="30" t="n">
        <v>3125680021250</v>
      </c>
      <c r="J5" s="24" t="inlineStr">
        <is>
          <t>883968714104.0</t>
        </is>
      </c>
      <c r="K5" s="24" t="inlineStr">
        <is>
          <t>156233146521.0</t>
        </is>
      </c>
      <c r="L5" s="24" t="inlineStr">
        <is>
          <t>148134823618.0</t>
        </is>
      </c>
      <c r="M5" s="24" t="inlineStr">
        <is>
          <t>1600348080121.0</t>
        </is>
      </c>
      <c r="N5" s="24" t="inlineStr">
        <is>
          <t>423081692446.0</t>
        </is>
      </c>
      <c r="O5" s="24" t="inlineStr">
        <is>
          <t>1177266387675.0</t>
        </is>
      </c>
      <c r="P5" s="24" t="inlineStr">
        <is>
          <t>200066983741.0</t>
        </is>
      </c>
      <c r="Q5" s="24" t="inlineStr">
        <is>
          <t>0.226328127397348</t>
        </is>
      </c>
      <c r="R5" s="24" t="inlineStr">
        <is>
          <t>1.1798418972332017</t>
        </is>
      </c>
      <c r="S5" s="24" t="inlineStr">
        <is>
          <t>0.48359873243834894</t>
        </is>
      </c>
      <c r="T5" s="24" t="inlineStr">
        <is>
          <t>-0.6348547717842323</t>
        </is>
      </c>
      <c r="U5" s="24" t="inlineStr">
        <is>
          <t>338000.0</t>
        </is>
      </c>
      <c r="V5" s="24" t="inlineStr">
        <is>
          <t>112100.0</t>
        </is>
      </c>
      <c r="W5" s="24" t="inlineStr">
        <is>
          <t>OK</t>
        </is>
      </c>
      <c r="X5" s="24" t="inlineStr">
        <is>
          <t>yfinance price rows for 014680.KS: 728 | price provider selected: yfinance, rows=728 | DART corp_code resolved from cache for 한솔케미칼/014680.</t>
        </is>
      </c>
      <c r="Y5" s="30" t="n">
        <v>3548761713696</v>
      </c>
      <c r="Z5" s="42" t="n">
        <v>3.535962270359559</v>
      </c>
      <c r="AA5" s="42" t="n">
        <v>21.10023791104171</v>
      </c>
      <c r="AB5" s="42" t="n">
        <v>2.655032075979804</v>
      </c>
      <c r="AC5" s="42" t="n">
        <v>4.0145784087993</v>
      </c>
      <c r="AD5" s="42" t="n">
        <v>22.71452500778377</v>
      </c>
      <c r="AE5" s="42" t="n">
        <v>15.62316761518433</v>
      </c>
      <c r="AF5" s="35" t="n">
        <v>0.1767405837200467</v>
      </c>
      <c r="AG5" s="35" t="n">
        <v>0.1258294852964872</v>
      </c>
      <c r="AH5" s="35" t="n">
        <v>0.3593763458086576</v>
      </c>
      <c r="AI5" s="24" t="inlineStr">
        <is>
          <t>OK</t>
        </is>
      </c>
    </row>
    <row r="6" ht="24" customHeight="1">
      <c r="A6" s="29" t="inlineStr">
        <is>
          <t>duksan</t>
        </is>
      </c>
      <c r="B6" s="29" t="inlineStr">
        <is>
          <t>덕산테코피아</t>
        </is>
      </c>
      <c r="C6" s="29" t="inlineStr">
        <is>
          <t>317330</t>
        </is>
      </c>
      <c r="D6" s="29" t="inlineStr">
        <is>
          <t>KOSDAQ</t>
        </is>
      </c>
      <c r="E6" s="29" t="b">
        <v>0</v>
      </c>
      <c r="F6" s="29" t="inlineStr">
        <is>
          <t>2025</t>
        </is>
      </c>
      <c r="G6" s="29" t="inlineStr">
        <is>
          <t>20600.0</t>
        </is>
      </c>
      <c r="H6" s="29" t="inlineStr">
        <is>
          <t>20476584.0</t>
        </is>
      </c>
      <c r="I6" s="31" t="n">
        <v>421817630400</v>
      </c>
      <c r="J6" s="29" t="inlineStr">
        <is>
          <t>112078954483.0</t>
        </is>
      </c>
      <c r="K6" s="29" t="inlineStr">
        <is>
          <t>-43026410473.0</t>
        </is>
      </c>
      <c r="L6" s="29" t="inlineStr">
        <is>
          <t>-105550462258.0</t>
        </is>
      </c>
      <c r="M6" s="29" t="inlineStr">
        <is>
          <t>646705781509.0</t>
        </is>
      </c>
      <c r="N6" s="29" t="inlineStr">
        <is>
          <t>540230144773.0</t>
        </is>
      </c>
      <c r="O6" s="29" t="inlineStr">
        <is>
          <t>106475636736.0</t>
        </is>
      </c>
      <c r="P6" s="29" t="inlineStr">
        <is>
          <t>-21599848348.0</t>
        </is>
      </c>
      <c r="Q6" s="29" t="inlineStr">
        <is>
          <t>-0.19271993076341767</t>
        </is>
      </c>
      <c r="R6" s="29" t="inlineStr">
        <is>
          <t>0.030515257628814352</t>
        </is>
      </c>
      <c r="S6" s="29" t="inlineStr">
        <is>
          <t>0.7375859462050088</t>
        </is>
      </c>
      <c r="T6" s="29" t="inlineStr">
        <is>
          <t>-0.7666123778501629</t>
        </is>
      </c>
      <c r="U6" s="29" t="inlineStr">
        <is>
          <t>31250.0</t>
        </is>
      </c>
      <c r="V6" s="29" t="inlineStr">
        <is>
          <t>14330.0</t>
        </is>
      </c>
      <c r="W6" s="29" t="inlineStr">
        <is>
          <t>OK</t>
        </is>
      </c>
      <c r="X6" s="29" t="inlineStr">
        <is>
          <t>yfinance price rows for 317330.KQ: 728 | price provider selected: yfinance, rows=728 | DART corp_code resolved from cache for 덕산테코피아/317330.</t>
        </is>
      </c>
      <c r="Y6" s="31" t="n">
        <v>962047775173</v>
      </c>
      <c r="Z6" s="43" t="n">
        <v>3.763575707373152</v>
      </c>
      <c r="AA6" s="43" t="n">
        <v>-3.996359858367452</v>
      </c>
      <c r="AB6" s="43" t="n">
        <v>3.961635199664236</v>
      </c>
      <c r="AC6" s="43" t="n">
        <v>8.583661219992218</v>
      </c>
      <c r="AD6" s="43" t="n">
        <v>-22.35947095276994</v>
      </c>
      <c r="AE6" s="43" t="n">
        <v>-19.52873110977455</v>
      </c>
      <c r="AF6" s="36" t="n">
        <v>-0.3838937530375178</v>
      </c>
      <c r="AG6" s="36" t="n">
        <v>-0.9913109279609765</v>
      </c>
      <c r="AH6" s="36" t="n">
        <v>5.073744204155064</v>
      </c>
      <c r="AI6" s="29" t="inlineStr">
        <is>
          <t>OK</t>
        </is>
      </c>
    </row>
    <row r="7" ht="24" customHeight="1">
      <c r="A7" s="24" t="inlineStr">
        <is>
          <t>ltc</t>
        </is>
      </c>
      <c r="B7" s="24" t="inlineStr">
        <is>
          <t>엘티씨</t>
        </is>
      </c>
      <c r="C7" s="24" t="inlineStr">
        <is>
          <t>170920</t>
        </is>
      </c>
      <c r="D7" s="24" t="inlineStr">
        <is>
          <t>KOSDAQ</t>
        </is>
      </c>
      <c r="E7" s="24" t="b">
        <v>0</v>
      </c>
      <c r="F7" s="24" t="inlineStr">
        <is>
          <t>2025</t>
        </is>
      </c>
      <c r="G7" s="24" t="inlineStr">
        <is>
          <t>40200.0</t>
        </is>
      </c>
      <c r="H7" s="24" t="inlineStr">
        <is>
          <t>10564126.0</t>
        </is>
      </c>
      <c r="I7" s="30" t="n">
        <v>424677865200</v>
      </c>
      <c r="J7" s="24" t="inlineStr">
        <is>
          <t>310384726014.0</t>
        </is>
      </c>
      <c r="K7" s="24" t="inlineStr">
        <is>
          <t>29629435023.0</t>
        </is>
      </c>
      <c r="L7" s="24" t="inlineStr">
        <is>
          <t>18189648458.0</t>
        </is>
      </c>
      <c r="M7" s="24" t="inlineStr">
        <is>
          <t>383387868522.0</t>
        </is>
      </c>
      <c r="N7" s="24" t="inlineStr">
        <is>
          <t>159648759353.0</t>
        </is>
      </c>
      <c r="O7" s="24" t="inlineStr">
        <is>
          <t>223739109169.0</t>
        </is>
      </c>
      <c r="P7" s="24" t="inlineStr">
        <is>
          <t>24709885929.0</t>
        </is>
      </c>
      <c r="Q7" s="24" t="inlineStr">
        <is>
          <t>0.07961050869457234</t>
        </is>
      </c>
      <c r="R7" s="24" t="inlineStr">
        <is>
          <t>2.5356200527704487</t>
        </is>
      </c>
      <c r="S7" s="24" t="inlineStr">
        <is>
          <t>0.6764188338479861</t>
        </is>
      </c>
      <c r="T7" s="24" t="inlineStr">
        <is>
          <t>-0.5848765432098766</t>
        </is>
      </c>
      <c r="U7" s="24" t="inlineStr">
        <is>
          <t>49650.0</t>
        </is>
      </c>
      <c r="V7" s="24" t="inlineStr">
        <is>
          <t>9260.0</t>
        </is>
      </c>
      <c r="W7" s="24" t="inlineStr">
        <is>
          <t>OK</t>
        </is>
      </c>
      <c r="X7" s="24" t="inlineStr">
        <is>
          <t>yfinance price rows for 170920.KQ: 727 | price provider selected: yfinance, rows=727 | DART corp_code resolved from cache for 엘티씨/170920.</t>
        </is>
      </c>
      <c r="Y7" s="30" t="n">
        <v>584326624553</v>
      </c>
      <c r="Z7" s="42" t="n">
        <v>1.368230552623407</v>
      </c>
      <c r="AA7" s="42" t="n">
        <v>23.34722774772605</v>
      </c>
      <c r="AB7" s="42" t="n">
        <v>1.898094020206463</v>
      </c>
      <c r="AC7" s="42" t="n">
        <v>1.882588206117603</v>
      </c>
      <c r="AD7" s="42" t="n">
        <v>19.72115310667968</v>
      </c>
      <c r="AE7" s="42" t="n">
        <v>17.18655708975126</v>
      </c>
      <c r="AF7" s="35" t="n">
        <v>0.09546035142742029</v>
      </c>
      <c r="AG7" s="35" t="n">
        <v>0.08129847537857388</v>
      </c>
      <c r="AH7" s="35" t="n">
        <v>0.7135487396278595</v>
      </c>
      <c r="AI7" s="24" t="inlineStr">
        <is>
          <t>OK</t>
        </is>
      </c>
    </row>
  </sheetData>
  <autoFilter ref="A2:AI7"/>
  <mergeCells count="1"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ML 보조판단 요인</t>
        </is>
      </c>
    </row>
    <row r="2" ht="24" customHeight="1">
      <c r="A2" s="25" t="inlineStr">
        <is>
          <t>요인</t>
        </is>
      </c>
      <c r="B2" s="25" t="inlineStr">
        <is>
          <t>요인 코드</t>
        </is>
      </c>
      <c r="C2" s="25" t="inlineStr">
        <is>
          <t>점수</t>
        </is>
      </c>
      <c r="D2" s="25" t="inlineStr">
        <is>
          <t>해석</t>
        </is>
      </c>
    </row>
    <row r="3" ht="24" customHeight="1">
      <c r="A3" s="24" t="inlineStr">
        <is>
          <t>영업이익률 peer percentile</t>
        </is>
      </c>
      <c r="B3" s="24" t="inlineStr">
        <is>
          <t>operating_margin_percentile</t>
        </is>
      </c>
      <c r="C3" s="30" t="n">
        <v>80</v>
      </c>
      <c r="D3" s="24" t="inlineStr">
        <is>
          <t>높을수록 우수</t>
        </is>
      </c>
    </row>
    <row r="4" ht="24" customHeight="1">
      <c r="A4" s="29" t="inlineStr">
        <is>
          <t>ROE peer percentile</t>
        </is>
      </c>
      <c r="B4" s="29" t="inlineStr">
        <is>
          <t>roe_percentile</t>
        </is>
      </c>
      <c r="C4" s="31" t="n">
        <v>60</v>
      </c>
      <c r="D4" s="29" t="inlineStr">
        <is>
          <t>높을수록 우수</t>
        </is>
      </c>
    </row>
    <row r="5" ht="24" customHeight="1">
      <c r="A5" s="24" t="inlineStr">
        <is>
          <t>FCF margin peer percentile</t>
        </is>
      </c>
      <c r="B5" s="24" t="inlineStr">
        <is>
          <t>fcf_margin_percentile</t>
        </is>
      </c>
      <c r="C5" s="30" t="n">
        <v>80</v>
      </c>
      <c r="D5" s="24" t="inlineStr">
        <is>
          <t>높을수록 우수</t>
        </is>
      </c>
    </row>
    <row r="6" ht="24" customHeight="1">
      <c r="A6" s="29" t="inlineStr">
        <is>
          <t>부채비율 안정성</t>
        </is>
      </c>
      <c r="B6" s="29" t="inlineStr">
        <is>
          <t>debt_ratio_inverse_percentile</t>
        </is>
      </c>
      <c r="C6" s="31" t="n">
        <v>80</v>
      </c>
      <c r="D6" s="29" t="inlineStr">
        <is>
          <t>낮을수록 우수</t>
        </is>
      </c>
    </row>
    <row r="7" ht="24" customHeight="1">
      <c r="A7" s="24" t="inlineStr">
        <is>
          <t>PSR 상대 매력도</t>
        </is>
      </c>
      <c r="B7" s="24" t="inlineStr">
        <is>
          <t>psr_inverse_percentile</t>
        </is>
      </c>
      <c r="C7" s="30" t="n">
        <v>100</v>
      </c>
      <c r="D7" s="24" t="inlineStr">
        <is>
          <t>낮은 PSR일수록 상대가치 부담이 낮음</t>
        </is>
      </c>
    </row>
    <row r="8" ht="24" customHeight="1">
      <c r="A8" s="29" t="inlineStr">
        <is>
          <t>변동성 안정성</t>
        </is>
      </c>
      <c r="B8" s="29" t="inlineStr">
        <is>
          <t>volatility_inverse_score</t>
        </is>
      </c>
      <c r="C8" s="31" t="n">
        <v>15.43064069680261</v>
      </c>
      <c r="D8" s="29" t="inlineStr">
        <is>
          <t>낮을수록 우수</t>
        </is>
      </c>
    </row>
    <row r="9" ht="24" customHeight="1">
      <c r="A9" s="24" t="inlineStr">
        <is>
          <t>MDD 방어력</t>
        </is>
      </c>
      <c r="B9" s="24" t="inlineStr">
        <is>
          <t>mdd_resilience_score</t>
        </is>
      </c>
      <c r="C9" s="30" t="n">
        <v>8.150765606595996</v>
      </c>
      <c r="D9" s="24" t="inlineStr">
        <is>
          <t>낙폭이 작을수록 우수</t>
        </is>
      </c>
    </row>
    <row r="10" ht="24" customHeight="1">
      <c r="A10" s="29" t="inlineStr">
        <is>
          <t>208개 반도체 valuation proxy percentile</t>
        </is>
      </c>
      <c r="B10" s="29" t="inlineStr">
        <is>
          <t>reference_208_valuation_proxy_percentile</t>
        </is>
      </c>
      <c r="C10" s="31" t="n">
        <v>84.13</v>
      </c>
      <c r="D10" s="29" t="inlineStr">
        <is>
          <t>높을수록 universe 내 가치평가 proxy 우호</t>
        </is>
      </c>
    </row>
    <row r="11" ht="24" customHeight="1">
      <c r="A11" s="24" t="inlineStr">
        <is>
          <t>208개 반도체 credit risk inverse percentile</t>
        </is>
      </c>
      <c r="B11" s="24" t="inlineStr">
        <is>
          <t>reference_208_credit_risk_inverse_percentile</t>
        </is>
      </c>
      <c r="C11" s="30" t="n">
        <v>100</v>
      </c>
      <c r="D11" s="24" t="inlineStr">
        <is>
          <t>낮은 신용위험 proxy일수록 우수</t>
        </is>
      </c>
    </row>
    <row r="12" ht="24" customHeight="1">
      <c r="A12" s="29" t="inlineStr">
        <is>
          <t>208개 universe confidence</t>
        </is>
      </c>
      <c r="B12" s="29" t="inlineStr">
        <is>
          <t>reference_208_confidence_score</t>
        </is>
      </c>
      <c r="C12" s="31" t="n">
        <v>94.92585574201708</v>
      </c>
      <c r="D12" s="29" t="inlineStr">
        <is>
          <t>높을수록 보조판단 신뢰도 우수</t>
        </is>
      </c>
    </row>
    <row r="13" ht="24" customHeight="1"/>
    <row r="14" ht="24" customHeight="1"/>
    <row r="15" ht="24" customHeight="1">
      <c r="A15" s="22" t="inlineStr">
        <is>
          <t>ML 보조판단 요약</t>
        </is>
      </c>
    </row>
    <row r="16" ht="24" customHeight="1">
      <c r="A16" s="25" t="inlineStr">
        <is>
          <t>항목</t>
        </is>
      </c>
      <c r="B16" s="25" t="inlineStr">
        <is>
          <t>값</t>
        </is>
      </c>
    </row>
    <row r="17" ht="24" customHeight="1">
      <c r="A17" s="24" t="inlineStr">
        <is>
          <t>방법</t>
        </is>
      </c>
      <c r="B17" s="24" t="inlineStr">
        <is>
          <t>실시간 DART·주가 기반 PSR/Peer + 208개 반도체 reference universe 보조판단</t>
        </is>
      </c>
    </row>
    <row r="18" ht="24" customHeight="1">
      <c r="A18" s="29" t="inlineStr">
        <is>
          <t>종합점수</t>
        </is>
      </c>
      <c r="B18" s="31" t="n">
        <v>71.45999999999999</v>
      </c>
    </row>
    <row r="19" ht="24" customHeight="1">
      <c r="A19" s="24" t="inlineStr">
        <is>
          <t>라벨</t>
        </is>
      </c>
      <c r="B19" s="24" t="inlineStr">
        <is>
          <t>가치평가 보조근거 우호</t>
        </is>
      </c>
    </row>
    <row r="20" ht="24" customHeight="1">
      <c r="A20" s="29" t="inlineStr">
        <is>
          <t>클러스터</t>
        </is>
      </c>
      <c r="B20" s="29" t="inlineStr">
        <is>
          <t>IDM/제조/메모리</t>
        </is>
      </c>
    </row>
    <row r="21" ht="24" customHeight="1">
      <c r="A21" s="24" t="inlineStr">
        <is>
          <t>주의</t>
        </is>
      </c>
      <c r="B21" s="24" t="inlineStr">
        <is>
          <t>미래수익률 예측모델이 아니라 대시보드/Chair용 설명가능 보조 가치평가 점수입니다.</t>
        </is>
      </c>
    </row>
  </sheetData>
  <autoFilter ref="A16:B21"/>
  <mergeCells count="2">
    <mergeCell ref="A1:F1"/>
    <mergeCell ref="A15:F15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WACC × 영구성장률 민감도</t>
        </is>
      </c>
    </row>
    <row r="2" ht="24" customHeight="1">
      <c r="A2" s="25" t="inlineStr">
        <is>
          <t>WACC</t>
        </is>
      </c>
      <c r="B2" s="25" t="inlineStr">
        <is>
          <t>영구성장률</t>
        </is>
      </c>
      <c r="C2" s="25" t="inlineStr">
        <is>
          <t>기업가치(EV)</t>
        </is>
      </c>
    </row>
    <row r="3" ht="24" customHeight="1">
      <c r="A3" s="35" t="n">
        <v>0.1179581763489804</v>
      </c>
      <c r="B3" s="35" t="n">
        <v>0.004999999999999999</v>
      </c>
      <c r="C3" s="30" t="n">
        <v>2928640005442.347</v>
      </c>
    </row>
    <row r="4" ht="24" customHeight="1">
      <c r="A4" s="36" t="n">
        <v>0.1179581763489804</v>
      </c>
      <c r="B4" s="36" t="n">
        <v>0.009999999999999998</v>
      </c>
      <c r="C4" s="31" t="n">
        <v>3018569878148.171</v>
      </c>
    </row>
    <row r="5" ht="24" customHeight="1">
      <c r="A5" s="35" t="n">
        <v>0.1179581763489804</v>
      </c>
      <c r="B5" s="35" t="n">
        <v>0.015</v>
      </c>
      <c r="C5" s="30" t="n">
        <v>3117234353184.266</v>
      </c>
    </row>
    <row r="6" ht="24" customHeight="1">
      <c r="A6" s="36" t="n">
        <v>0.1179581763489804</v>
      </c>
      <c r="B6" s="36" t="n">
        <v>0.02</v>
      </c>
      <c r="C6" s="31" t="n">
        <v>3225970930286.104</v>
      </c>
    </row>
    <row r="7" ht="24" customHeight="1">
      <c r="A7" s="35" t="n">
        <v>0.1179581763489804</v>
      </c>
      <c r="B7" s="35" t="n">
        <v>0.025</v>
      </c>
      <c r="C7" s="30" t="n">
        <v>3346404872953.033</v>
      </c>
    </row>
    <row r="8" ht="24" customHeight="1">
      <c r="A8" s="36" t="n">
        <v>0.1279581763489804</v>
      </c>
      <c r="B8" s="36" t="n">
        <v>0.004999999999999999</v>
      </c>
      <c r="C8" s="31" t="n">
        <v>2716843854877.325</v>
      </c>
    </row>
    <row r="9" ht="24" customHeight="1">
      <c r="A9" s="35" t="n">
        <v>0.1279581763489804</v>
      </c>
      <c r="B9" s="35" t="n">
        <v>0.009999999999999998</v>
      </c>
      <c r="C9" s="30" t="n">
        <v>2789810094857.721</v>
      </c>
    </row>
    <row r="10" ht="24" customHeight="1">
      <c r="A10" s="36" t="n">
        <v>0.1279581763489804</v>
      </c>
      <c r="B10" s="36" t="n">
        <v>0.015</v>
      </c>
      <c r="C10" s="31" t="n">
        <v>2869235915041.94</v>
      </c>
    </row>
    <row r="11" ht="24" customHeight="1">
      <c r="A11" s="35" t="n">
        <v>0.1279581763489804</v>
      </c>
      <c r="B11" s="35" t="n">
        <v>0.02</v>
      </c>
      <c r="C11" s="30" t="n">
        <v>2956018826913.915</v>
      </c>
    </row>
    <row r="12" ht="24" customHeight="1">
      <c r="A12" s="36" t="n">
        <v>0.1279581763489804</v>
      </c>
      <c r="B12" s="36" t="n">
        <v>0.025</v>
      </c>
      <c r="C12" s="31" t="n">
        <v>3051230686825.704</v>
      </c>
    </row>
    <row r="13" ht="24" customHeight="1">
      <c r="A13" s="35" t="n">
        <v>0.1329581763489804</v>
      </c>
      <c r="B13" s="35" t="n">
        <v>0.004999999999999999</v>
      </c>
      <c r="C13" s="30" t="n">
        <v>2624676802752.839</v>
      </c>
    </row>
    <row r="14" ht="24" customHeight="1">
      <c r="A14" s="36" t="n">
        <v>0.1329581763489804</v>
      </c>
      <c r="B14" s="36" t="n">
        <v>0.009999999999999998</v>
      </c>
      <c r="C14" s="31" t="n">
        <v>2690761126455.749</v>
      </c>
    </row>
    <row r="15" ht="24" customHeight="1">
      <c r="A15" s="35" t="n">
        <v>0.1329581763489804</v>
      </c>
      <c r="B15" s="35" t="n">
        <v>0.015</v>
      </c>
      <c r="C15" s="30" t="n">
        <v>2762447802259.066</v>
      </c>
    </row>
    <row r="16" ht="24" customHeight="1">
      <c r="A16" s="36" t="n">
        <v>0.1329581763489804</v>
      </c>
      <c r="B16" s="36" t="n">
        <v>0.02</v>
      </c>
      <c r="C16" s="31" t="n">
        <v>2840480780571.896</v>
      </c>
    </row>
    <row r="17" ht="24" customHeight="1">
      <c r="A17" s="35" t="n">
        <v>0.1329581763489804</v>
      </c>
      <c r="B17" s="35" t="n">
        <v>0.025</v>
      </c>
      <c r="C17" s="30" t="n">
        <v>2925741833769.999</v>
      </c>
    </row>
    <row r="18" ht="24" customHeight="1">
      <c r="A18" s="36" t="n">
        <v>0.1379581763489804</v>
      </c>
      <c r="B18" s="36" t="n">
        <v>0.004999999999999999</v>
      </c>
      <c r="C18" s="31" t="n">
        <v>2540252491217.136</v>
      </c>
    </row>
    <row r="19" ht="24" customHeight="1">
      <c r="A19" s="35" t="n">
        <v>0.1379581763489804</v>
      </c>
      <c r="B19" s="35" t="n">
        <v>0.009999999999999998</v>
      </c>
      <c r="C19" s="30" t="n">
        <v>2600299464720.26</v>
      </c>
    </row>
    <row r="20" ht="24" customHeight="1">
      <c r="A20" s="36" t="n">
        <v>0.1379581763489804</v>
      </c>
      <c r="B20" s="36" t="n">
        <v>0.015</v>
      </c>
      <c r="C20" s="31" t="n">
        <v>2665229966532.449</v>
      </c>
    </row>
    <row r="21" ht="24" customHeight="1">
      <c r="A21" s="35" t="n">
        <v>0.1379581763489804</v>
      </c>
      <c r="B21" s="35" t="n">
        <v>0.02</v>
      </c>
      <c r="C21" s="30" t="n">
        <v>2735665004259.138</v>
      </c>
    </row>
    <row r="22" ht="24" customHeight="1">
      <c r="A22" s="36" t="n">
        <v>0.1379581763489804</v>
      </c>
      <c r="B22" s="36" t="n">
        <v>0.025</v>
      </c>
      <c r="C22" s="31" t="n">
        <v>2812335539052.376</v>
      </c>
    </row>
    <row r="23" ht="24" customHeight="1">
      <c r="A23" s="35" t="n">
        <v>0.1479581763489805</v>
      </c>
      <c r="B23" s="35" t="n">
        <v>0.004999999999999999</v>
      </c>
      <c r="C23" s="30" t="n">
        <v>2391291676848.464</v>
      </c>
    </row>
    <row r="24" ht="24" customHeight="1">
      <c r="A24" s="36" t="n">
        <v>0.1479581763489805</v>
      </c>
      <c r="B24" s="36" t="n">
        <v>0.009999999999999998</v>
      </c>
      <c r="C24" s="31" t="n">
        <v>2441308800161.55</v>
      </c>
    </row>
    <row r="25" ht="24" customHeight="1">
      <c r="A25" s="35" t="n">
        <v>0.1479581763489805</v>
      </c>
      <c r="B25" s="35" t="n">
        <v>0.015</v>
      </c>
      <c r="C25" s="30" t="n">
        <v>2495087792408.652</v>
      </c>
    </row>
    <row r="26" ht="24" customHeight="1">
      <c r="A26" s="36" t="n">
        <v>0.1479581763489805</v>
      </c>
      <c r="B26" s="36" t="n">
        <v>0.02</v>
      </c>
      <c r="C26" s="31" t="n">
        <v>2553069641697.14</v>
      </c>
    </row>
    <row r="27" ht="24" customHeight="1">
      <c r="A27" s="35" t="n">
        <v>0.1479581763489805</v>
      </c>
      <c r="B27" s="35" t="n">
        <v>0.025</v>
      </c>
      <c r="C27" s="30" t="n">
        <v>2615767065907.942</v>
      </c>
    </row>
  </sheetData>
  <autoFilter ref="A2:C27"/>
  <mergeCells count="1">
    <mergeCell ref="A1:F1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검증 체크</t>
        </is>
      </c>
    </row>
    <row r="2" ht="24" customHeight="1">
      <c r="A2" s="25" t="inlineStr">
        <is>
          <t>중요도</t>
        </is>
      </c>
      <c r="B2" s="25" t="inlineStr">
        <is>
          <t>코드</t>
        </is>
      </c>
      <c r="C2" s="25" t="inlineStr">
        <is>
          <t>메시지</t>
        </is>
      </c>
    </row>
    <row r="3" ht="24" customHeight="1">
      <c r="A3" s="24" t="inlineStr">
        <is>
          <t>INFO</t>
        </is>
      </c>
      <c r="B3" s="24" t="inlineStr">
        <is>
          <t>NO_MAJOR_WARNINGS</t>
        </is>
      </c>
      <c r="C3" s="24" t="inlineStr">
        <is>
          <t>주요 validation warning 없음</t>
        </is>
      </c>
    </row>
  </sheetData>
  <autoFilter ref="A2:C3"/>
  <mergeCells count="1">
    <mergeCell ref="A1:F1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0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대시보드 JSON 내보내기</t>
        </is>
      </c>
    </row>
    <row r="2" ht="24" customHeight="1">
      <c r="A2" s="25" t="inlineStr">
        <is>
          <t>구분</t>
        </is>
      </c>
      <c r="B2" s="25" t="inlineStr">
        <is>
          <t>항목</t>
        </is>
      </c>
      <c r="C2" s="25" t="inlineStr">
        <is>
          <t>값</t>
        </is>
      </c>
      <c r="D2" s="25" t="inlineStr">
        <is>
          <t>설명</t>
        </is>
      </c>
    </row>
    <row r="3" ht="24" customHeight="1">
      <c r="A3" s="24" t="inlineStr">
        <is>
          <t>agent</t>
        </is>
      </c>
      <c r="B3" s="24" t="inlineStr">
        <is>
          <t>값</t>
        </is>
      </c>
      <c r="C3" s="24" t="inlineStr">
        <is>
          <t>valuation</t>
        </is>
      </c>
      <c r="D3" s="24" t="inlineStr">
        <is>
          <t>대시보드 기본값</t>
        </is>
      </c>
    </row>
    <row r="4" ht="24" customHeight="1">
      <c r="A4" s="29" t="inlineStr">
        <is>
          <t>기업코드</t>
        </is>
      </c>
      <c r="B4" s="29" t="inlineStr">
        <is>
          <t>값</t>
        </is>
      </c>
      <c r="C4" s="29" t="inlineStr">
        <is>
          <t>dbhitek</t>
        </is>
      </c>
      <c r="D4" s="29" t="inlineStr">
        <is>
          <t>대시보드 기본값</t>
        </is>
      </c>
    </row>
    <row r="5" ht="24" customHeight="1">
      <c r="A5" s="24" t="inlineStr">
        <is>
          <t>기업명</t>
        </is>
      </c>
      <c r="B5" s="24" t="inlineStr">
        <is>
          <t>값</t>
        </is>
      </c>
      <c r="C5" s="24" t="inlineStr">
        <is>
          <t>DB하이텍</t>
        </is>
      </c>
      <c r="D5" s="24" t="inlineStr">
        <is>
          <t>대시보드 기본값</t>
        </is>
      </c>
    </row>
    <row r="6" ht="24" customHeight="1">
      <c r="A6" s="29" t="inlineStr">
        <is>
          <t>상태</t>
        </is>
      </c>
      <c r="B6" s="29" t="inlineStr">
        <is>
          <t>값</t>
        </is>
      </c>
      <c r="C6" s="29" t="inlineStr">
        <is>
          <t>PASS</t>
        </is>
      </c>
      <c r="D6" s="29" t="inlineStr">
        <is>
          <t>대시보드 기본값</t>
        </is>
      </c>
    </row>
    <row r="7" ht="24" customHeight="1">
      <c r="A7" s="24" t="inlineStr">
        <is>
          <t>korean_label</t>
        </is>
      </c>
      <c r="B7" s="24" t="inlineStr">
        <is>
          <t>값</t>
        </is>
      </c>
      <c r="C7" s="24" t="inlineStr">
        <is>
          <t>독립 가치평가 에이전트</t>
        </is>
      </c>
      <c r="D7" s="24" t="inlineStr">
        <is>
          <t>대시보드 기본값</t>
        </is>
      </c>
    </row>
    <row r="8" ht="24" customHeight="1">
      <c r="A8" s="29" t="inlineStr">
        <is>
          <t>요약 카드</t>
        </is>
      </c>
      <c r="B8" s="29" t="inlineStr">
        <is>
          <t>상위 블록</t>
        </is>
      </c>
      <c r="C8" s="29" t="inlineStr">
        <is>
          <t>31개 항목</t>
        </is>
      </c>
      <c r="D8" s="29" t="inlineStr">
        <is>
          <t>대시보드에서 객체로 사용</t>
        </is>
      </c>
    </row>
    <row r="9" ht="24" customHeight="1">
      <c r="A9" s="24" t="inlineStr">
        <is>
          <t>요약 카드</t>
        </is>
      </c>
      <c r="B9" s="24" t="inlineStr">
        <is>
          <t>WACC</t>
        </is>
      </c>
      <c r="C9" s="24" t="inlineStr">
        <is>
          <t>WACC</t>
        </is>
      </c>
      <c r="D9" s="24" t="inlineStr">
        <is>
          <t>JSON 상세는 dashboard_payload 파일 참조</t>
        </is>
      </c>
    </row>
    <row r="10" ht="24" customHeight="1">
      <c r="A10" s="29" t="inlineStr">
        <is>
          <t>요약 카드</t>
        </is>
      </c>
      <c r="B10" s="29" t="inlineStr">
        <is>
          <t>기업가치(EV)</t>
        </is>
      </c>
      <c r="C10" s="29" t="inlineStr">
        <is>
          <t>DCF 기업가치</t>
        </is>
      </c>
      <c r="D10" s="29" t="inlineStr">
        <is>
          <t>JSON 상세는 dashboard_payload 파일 참조</t>
        </is>
      </c>
    </row>
    <row r="11" ht="24" customHeight="1">
      <c r="A11" s="24" t="inlineStr">
        <is>
          <t>요약 카드</t>
        </is>
      </c>
      <c r="B11" s="24" t="inlineStr">
        <is>
          <t>equity_value</t>
        </is>
      </c>
      <c r="C11" s="24" t="inlineStr">
        <is>
          <t>DCF 지분가치</t>
        </is>
      </c>
      <c r="D11" s="24" t="inlineStr">
        <is>
          <t>JSON 상세는 dashboard_payload 파일 참조</t>
        </is>
      </c>
    </row>
    <row r="12" ht="24" customHeight="1">
      <c r="A12" s="29" t="inlineStr">
        <is>
          <t>요약 카드</t>
        </is>
      </c>
      <c r="B12" s="29" t="inlineStr">
        <is>
          <t>latest_close</t>
        </is>
      </c>
      <c r="C12" s="29" t="inlineStr">
        <is>
          <t>현재가</t>
        </is>
      </c>
      <c r="D12" s="29" t="inlineStr">
        <is>
          <t>JSON 상세는 dashboard_payload 파일 참조</t>
        </is>
      </c>
    </row>
    <row r="13" ht="24" customHeight="1">
      <c r="A13" s="24" t="inlineStr">
        <is>
          <t>요약 카드</t>
        </is>
      </c>
      <c r="B13" s="24" t="inlineStr">
        <is>
          <t>implied_price</t>
        </is>
      </c>
      <c r="C13" s="24" t="inlineStr">
        <is>
          <t>DCF 내재주가</t>
        </is>
      </c>
      <c r="D13" s="24" t="inlineStr">
        <is>
          <t>JSON 상세는 dashboard_payload 파일 참조</t>
        </is>
      </c>
    </row>
    <row r="14" ht="24" customHeight="1">
      <c r="A14" s="29" t="inlineStr">
        <is>
          <t>요약 카드</t>
        </is>
      </c>
      <c r="B14" s="29" t="inlineStr">
        <is>
          <t>현재가 대비</t>
        </is>
      </c>
      <c r="C14" s="29" t="inlineStr">
        <is>
          <t>현재가 대비 괴리율</t>
        </is>
      </c>
      <c r="D14" s="29" t="inlineStr">
        <is>
          <t>JSON 상세는 dashboard_payload 파일 참조</t>
        </is>
      </c>
    </row>
    <row r="15" ht="24" customHeight="1">
      <c r="A15" s="24" t="inlineStr">
        <is>
          <t>요약 카드</t>
        </is>
      </c>
      <c r="B15" s="24" t="inlineStr">
        <is>
          <t>분석대상 P/S</t>
        </is>
      </c>
      <c r="C15" s="24" t="inlineStr">
        <is>
          <t>P/S</t>
        </is>
      </c>
      <c r="D15" s="24" t="inlineStr">
        <is>
          <t>JSON 상세는 dashboard_payload 파일 참조</t>
        </is>
      </c>
    </row>
    <row r="16" ht="24" customHeight="1">
      <c r="A16" s="29" t="inlineStr">
        <is>
          <t>요약 카드</t>
        </is>
      </c>
      <c r="B16" s="29" t="inlineStr">
        <is>
          <t>Peer P/S 중앙값</t>
        </is>
      </c>
      <c r="C16" s="29" t="inlineStr">
        <is>
          <t>비교기업 P/S 중앙값</t>
        </is>
      </c>
      <c r="D16" s="29" t="inlineStr">
        <is>
          <t>JSON 상세는 dashboard_payload 파일 참조</t>
        </is>
      </c>
    </row>
    <row r="17" ht="24" customHeight="1">
      <c r="A17" s="24" t="inlineStr">
        <is>
          <t>요약 카드</t>
        </is>
      </c>
      <c r="B17" s="24" t="inlineStr">
        <is>
          <t>psr_gap</t>
        </is>
      </c>
      <c r="C17" s="24" t="inlineStr">
        <is>
          <t>P/S 중앙값 대비</t>
        </is>
      </c>
      <c r="D17" s="24" t="inlineStr">
        <is>
          <t>JSON 상세는 dashboard_payload 파일 참조</t>
        </is>
      </c>
    </row>
    <row r="18" ht="24" customHeight="1">
      <c r="A18" s="29" t="inlineStr">
        <is>
          <t>요약 카드</t>
        </is>
      </c>
      <c r="B18" s="29" t="inlineStr">
        <is>
          <t>reference_rows</t>
        </is>
      </c>
      <c r="C18" s="29" t="inlineStr">
        <is>
          <t>208개 반도체 비교군</t>
        </is>
      </c>
      <c r="D18" s="29" t="inlineStr">
        <is>
          <t>JSON 상세는 dashboard_payload 파일 참조</t>
        </is>
      </c>
    </row>
    <row r="19" ht="24" customHeight="1">
      <c r="A19" s="24" t="inlineStr">
        <is>
          <t>요약 카드</t>
        </is>
      </c>
      <c r="B19" s="24" t="inlineStr">
        <is>
          <t>reference_peer_group</t>
        </is>
      </c>
      <c r="C19" s="24" t="inlineStr">
        <is>
          <t>기준 비교군 그룹</t>
        </is>
      </c>
      <c r="D19" s="24" t="inlineStr">
        <is>
          <t>JSON 상세는 dashboard_payload 파일 참조</t>
        </is>
      </c>
    </row>
    <row r="20" ht="24" customHeight="1">
      <c r="A20" s="29" t="inlineStr">
        <is>
          <t>요약 카드</t>
        </is>
      </c>
      <c r="B20" s="29" t="inlineStr">
        <is>
          <t>1년 수익률</t>
        </is>
      </c>
      <c r="C20" s="29" t="inlineStr">
        <is>
          <t>1년 수익률</t>
        </is>
      </c>
      <c r="D20" s="29" t="inlineStr">
        <is>
          <t>JSON 상세는 dashboard_payload 파일 참조</t>
        </is>
      </c>
    </row>
    <row r="21" ht="24" customHeight="1">
      <c r="A21" s="24" t="inlineStr">
        <is>
          <t>요약 카드</t>
        </is>
      </c>
      <c r="B21" s="24" t="inlineStr">
        <is>
          <t>MDD</t>
        </is>
      </c>
      <c r="C21" s="24" t="inlineStr">
        <is>
          <t>MDD</t>
        </is>
      </c>
      <c r="D21" s="24" t="inlineStr">
        <is>
          <t>JSON 상세는 dashboard_payload 파일 참조</t>
        </is>
      </c>
    </row>
    <row r="22" ht="24" customHeight="1">
      <c r="A22" s="29" t="inlineStr">
        <is>
          <t>요약 카드</t>
        </is>
      </c>
      <c r="B22" s="29" t="inlineStr">
        <is>
          <t>volatility</t>
        </is>
      </c>
      <c r="C22" s="29" t="inlineStr">
        <is>
          <t>연환산 변동성</t>
        </is>
      </c>
      <c r="D22" s="29" t="inlineStr">
        <is>
          <t>JSON 상세는 dashboard_payload 파일 참조</t>
        </is>
      </c>
    </row>
    <row r="23" ht="24" customHeight="1">
      <c r="A23" s="24" t="inlineStr">
        <is>
          <t>요약 카드</t>
        </is>
      </c>
      <c r="B23" s="24" t="inlineStr">
        <is>
          <t>시가총액</t>
        </is>
      </c>
      <c r="C23" s="24" t="inlineStr">
        <is>
          <t>시가총액</t>
        </is>
      </c>
      <c r="D23" s="24" t="inlineStr">
        <is>
          <t>JSON 상세는 dashboard_payload 파일 참조</t>
        </is>
      </c>
    </row>
    <row r="24" ht="24" customHeight="1">
      <c r="A24" s="29" t="inlineStr">
        <is>
          <t>요약 카드</t>
        </is>
      </c>
      <c r="B24" s="29" t="inlineStr">
        <is>
          <t>발행주식 수</t>
        </is>
      </c>
      <c r="C24" s="29" t="inlineStr">
        <is>
          <t>발행주식 수</t>
        </is>
      </c>
      <c r="D24" s="29" t="inlineStr">
        <is>
          <t>JSON 상세는 dashboard_payload 파일 참조</t>
        </is>
      </c>
    </row>
    <row r="25" ht="24" customHeight="1">
      <c r="A25" s="24" t="inlineStr">
        <is>
          <t>요약 카드</t>
        </is>
      </c>
      <c r="B25" s="24" t="inlineStr">
        <is>
          <t>20일 평균 거래대금</t>
        </is>
      </c>
      <c r="C25" s="24" t="inlineStr">
        <is>
          <t>20일 평균 거래대금</t>
        </is>
      </c>
      <c r="D25" s="24" t="inlineStr">
        <is>
          <t>JSON 상세는 dashboard_payload 파일 참조</t>
        </is>
      </c>
    </row>
    <row r="26" ht="24" customHeight="1">
      <c r="A26" s="29" t="inlineStr">
        <is>
          <t>요약 카드</t>
        </is>
      </c>
      <c r="B26" s="29" t="inlineStr">
        <is>
          <t>최근 거래회전율</t>
        </is>
      </c>
      <c r="C26" s="29" t="inlineStr">
        <is>
          <t>최근 거래회전율</t>
        </is>
      </c>
      <c r="D26" s="29" t="inlineStr">
        <is>
          <t>JSON 상세는 dashboard_payload 파일 참조</t>
        </is>
      </c>
    </row>
    <row r="27" ht="24" customHeight="1">
      <c r="A27" s="24" t="inlineStr">
        <is>
          <t>latest_financials</t>
        </is>
      </c>
      <c r="B27" s="24" t="inlineStr">
        <is>
          <t>상위 블록</t>
        </is>
      </c>
      <c r="C27" s="24" t="inlineStr">
        <is>
          <t>37개 항목</t>
        </is>
      </c>
      <c r="D27" s="24" t="inlineStr">
        <is>
          <t>대시보드에서 객체로 사용</t>
        </is>
      </c>
    </row>
    <row r="28" ht="24" customHeight="1">
      <c r="A28" s="29" t="inlineStr">
        <is>
          <t>latest_financials</t>
        </is>
      </c>
      <c r="B28" s="29" t="inlineStr">
        <is>
          <t>연도</t>
        </is>
      </c>
      <c r="C28" s="31" t="n">
        <v>2025</v>
      </c>
      <c r="D28" s="29" t="inlineStr">
        <is>
          <t>JSON 상세는 dashboard_payload 파일 참조</t>
        </is>
      </c>
    </row>
    <row r="29" ht="24" customHeight="1">
      <c r="A29" s="24" t="inlineStr">
        <is>
          <t>latest_financials</t>
        </is>
      </c>
      <c r="B29" s="24" t="inlineStr">
        <is>
          <t>매출액</t>
        </is>
      </c>
      <c r="C29" s="30" t="n">
        <v>1397233307039</v>
      </c>
      <c r="D29" s="24" t="inlineStr">
        <is>
          <t>JSON 상세는 dashboard_payload 파일 참조</t>
        </is>
      </c>
    </row>
    <row r="30" ht="24" customHeight="1">
      <c r="A30" s="29" t="inlineStr">
        <is>
          <t>latest_financials</t>
        </is>
      </c>
      <c r="B30" s="29" t="inlineStr">
        <is>
          <t>영업이익</t>
        </is>
      </c>
      <c r="C30" s="31" t="n">
        <v>277294561174</v>
      </c>
      <c r="D30" s="29" t="inlineStr">
        <is>
          <t>JSON 상세는 dashboard_payload 파일 참조</t>
        </is>
      </c>
    </row>
    <row r="31" ht="24" customHeight="1">
      <c r="A31" s="24" t="inlineStr">
        <is>
          <t>latest_financials</t>
        </is>
      </c>
      <c r="B31" s="24" t="inlineStr">
        <is>
          <t>순이익</t>
        </is>
      </c>
      <c r="C31" s="30" t="n">
        <v>252582440798</v>
      </c>
      <c r="D31" s="24" t="inlineStr">
        <is>
          <t>JSON 상세는 dashboard_payload 파일 참조</t>
        </is>
      </c>
    </row>
    <row r="32" ht="24" customHeight="1">
      <c r="A32" s="29" t="inlineStr">
        <is>
          <t>latest_financials</t>
        </is>
      </c>
      <c r="B32" s="29" t="inlineStr">
        <is>
          <t>자산총계</t>
        </is>
      </c>
      <c r="C32" s="31" t="n">
        <v>2992581747645</v>
      </c>
      <c r="D32" s="29" t="inlineStr">
        <is>
          <t>JSON 상세는 dashboard_payload 파일 참조</t>
        </is>
      </c>
    </row>
    <row r="33" ht="24" customHeight="1">
      <c r="A33" s="24" t="inlineStr">
        <is>
          <t>latest_financials</t>
        </is>
      </c>
      <c r="B33" s="24" t="inlineStr">
        <is>
          <t>부채총계</t>
        </is>
      </c>
      <c r="C33" s="30" t="n">
        <v>748586290599</v>
      </c>
      <c r="D33" s="24" t="inlineStr">
        <is>
          <t>JSON 상세는 dashboard_payload 파일 참조</t>
        </is>
      </c>
    </row>
    <row r="34" ht="24" customHeight="1">
      <c r="A34" s="29" t="inlineStr">
        <is>
          <t>latest_financials</t>
        </is>
      </c>
      <c r="B34" s="29" t="inlineStr">
        <is>
          <t>자본총계</t>
        </is>
      </c>
      <c r="C34" s="31" t="n">
        <v>2243995457046</v>
      </c>
      <c r="D34" s="29" t="inlineStr">
        <is>
          <t>JSON 상세는 dashboard_payload 파일 참조</t>
        </is>
      </c>
    </row>
    <row r="35" ht="24" customHeight="1">
      <c r="A35" s="24" t="inlineStr">
        <is>
          <t>latest_financials</t>
        </is>
      </c>
      <c r="B35" s="24" t="inlineStr">
        <is>
          <t>현금성자산</t>
        </is>
      </c>
      <c r="C35" s="30" t="n">
        <v>323054472680</v>
      </c>
      <c r="D35" s="24" t="inlineStr">
        <is>
          <t>JSON 상세는 dashboard_payload 파일 참조</t>
        </is>
      </c>
    </row>
    <row r="36" ht="24" customHeight="1">
      <c r="A36" s="29" t="inlineStr">
        <is>
          <t>latest_financials</t>
        </is>
      </c>
      <c r="B36" s="29" t="inlineStr">
        <is>
          <t>영업현금흐름</t>
        </is>
      </c>
      <c r="C36" s="31" t="n">
        <v>356967025481</v>
      </c>
      <c r="D36" s="29" t="inlineStr">
        <is>
          <t>JSON 상세는 dashboard_payload 파일 참조</t>
        </is>
      </c>
    </row>
    <row r="37" ht="24" customHeight="1">
      <c r="A37" s="24" t="inlineStr">
        <is>
          <t>latest_financials</t>
        </is>
      </c>
      <c r="B37" s="24" t="inlineStr">
        <is>
          <t>CAPEX</t>
        </is>
      </c>
      <c r="C37" s="30" t="n">
        <v>8163875766</v>
      </c>
      <c r="D37" s="24" t="inlineStr">
        <is>
          <t>JSON 상세는 dashboard_payload 파일 참조</t>
        </is>
      </c>
    </row>
    <row r="38" ht="24" customHeight="1">
      <c r="A38" s="29" t="inlineStr">
        <is>
          <t>latest_financials</t>
        </is>
      </c>
      <c r="B38" s="29" t="inlineStr">
        <is>
          <t>FCF</t>
        </is>
      </c>
      <c r="C38" s="31" t="n">
        <v>348803149715</v>
      </c>
      <c r="D38" s="29" t="inlineStr">
        <is>
          <t>JSON 상세는 dashboard_payload 파일 참조</t>
        </is>
      </c>
    </row>
    <row r="39" ht="24" customHeight="1">
      <c r="A39" s="24" t="inlineStr">
        <is>
          <t>latest_financials</t>
        </is>
      </c>
      <c r="B39" s="24" t="inlineStr">
        <is>
          <t>투자현금흐름</t>
        </is>
      </c>
      <c r="C39" s="30" t="n">
        <v>-393629106750</v>
      </c>
      <c r="D39" s="24" t="inlineStr">
        <is>
          <t>JSON 상세는 dashboard_payload 파일 참조</t>
        </is>
      </c>
    </row>
    <row r="40" ht="24" customHeight="1">
      <c r="A40" s="29" t="inlineStr">
        <is>
          <t>latest_financials</t>
        </is>
      </c>
      <c r="B40" s="29" t="inlineStr">
        <is>
          <t>원천계정수</t>
        </is>
      </c>
      <c r="C40" s="31" t="n">
        <v>263</v>
      </c>
      <c r="D40" s="29" t="inlineStr">
        <is>
          <t>JSON 상세는 dashboard_payload 파일 참조</t>
        </is>
      </c>
    </row>
    <row r="41" ht="24" customHeight="1">
      <c r="A41" s="24" t="inlineStr">
        <is>
          <t>latest_financials</t>
        </is>
      </c>
      <c r="B41" s="24" t="inlineStr">
        <is>
          <t>매출 원천계정</t>
        </is>
      </c>
      <c r="C41" s="24" t="inlineStr">
        <is>
          <t>수익(매출액)</t>
        </is>
      </c>
      <c r="D41" s="24" t="inlineStr">
        <is>
          <t>JSON 상세는 dashboard_payload 파일 참조</t>
        </is>
      </c>
    </row>
    <row r="42" ht="24" customHeight="1">
      <c r="A42" s="29" t="inlineStr">
        <is>
          <t>latest_financials</t>
        </is>
      </c>
      <c r="B42" s="29" t="inlineStr">
        <is>
          <t>영업이익 원천계정</t>
        </is>
      </c>
      <c r="C42" s="29" t="inlineStr">
        <is>
          <t>영업이익(손실)</t>
        </is>
      </c>
      <c r="D42" s="29" t="inlineStr">
        <is>
          <t>JSON 상세는 dashboard_payload 파일 참조</t>
        </is>
      </c>
    </row>
    <row r="43" ht="24" customHeight="1">
      <c r="A43" s="24" t="inlineStr">
        <is>
          <t>latest_financials</t>
        </is>
      </c>
      <c r="B43" s="24" t="inlineStr">
        <is>
          <t>순이익 원천계정</t>
        </is>
      </c>
      <c r="C43" s="24" t="inlineStr">
        <is>
          <t>당기순이익(손실)</t>
        </is>
      </c>
      <c r="D43" s="24" t="inlineStr">
        <is>
          <t>JSON 상세는 dashboard_payload 파일 참조</t>
        </is>
      </c>
    </row>
    <row r="44" ht="24" customHeight="1">
      <c r="A44" s="29" t="inlineStr">
        <is>
          <t>latest_financials</t>
        </is>
      </c>
      <c r="B44" s="29" t="inlineStr">
        <is>
          <t>자산 원천계정</t>
        </is>
      </c>
      <c r="C44" s="29" t="inlineStr">
        <is>
          <t>자산총계</t>
        </is>
      </c>
      <c r="D44" s="29" t="inlineStr">
        <is>
          <t>JSON 상세는 dashboard_payload 파일 참조</t>
        </is>
      </c>
    </row>
    <row r="45" ht="24" customHeight="1">
      <c r="A45" s="24" t="inlineStr">
        <is>
          <t>latest_financials</t>
        </is>
      </c>
      <c r="B45" s="24" t="inlineStr">
        <is>
          <t>부채 원천계정</t>
        </is>
      </c>
      <c r="C45" s="24" t="inlineStr">
        <is>
          <t>부채총계</t>
        </is>
      </c>
      <c r="D45" s="24" t="inlineStr">
        <is>
          <t>JSON 상세는 dashboard_payload 파일 참조</t>
        </is>
      </c>
    </row>
    <row r="46" ht="24" customHeight="1">
      <c r="A46" s="29" t="inlineStr">
        <is>
          <t>주가 요약</t>
        </is>
      </c>
      <c r="B46" s="29" t="inlineStr">
        <is>
          <t>상위 블록</t>
        </is>
      </c>
      <c r="C46" s="29" t="inlineStr">
        <is>
          <t>19개 항목</t>
        </is>
      </c>
      <c r="D46" s="29" t="inlineStr">
        <is>
          <t>대시보드에서 객체로 사용</t>
        </is>
      </c>
    </row>
    <row r="47" ht="24" customHeight="1">
      <c r="A47" s="24" t="inlineStr">
        <is>
          <t>주가 요약</t>
        </is>
      </c>
      <c r="B47" s="24" t="inlineStr">
        <is>
          <t>latest_close</t>
        </is>
      </c>
      <c r="C47" s="30" t="n">
        <v>155800</v>
      </c>
      <c r="D47" s="24" t="inlineStr">
        <is>
          <t>JSON 상세는 dashboard_payload 파일 참조</t>
        </is>
      </c>
    </row>
    <row r="48" ht="24" customHeight="1">
      <c r="A48" s="29" t="inlineStr">
        <is>
          <t>주가 요약</t>
        </is>
      </c>
      <c r="B48" s="29" t="inlineStr">
        <is>
          <t>first_close</t>
        </is>
      </c>
      <c r="C48" s="31" t="n">
        <v>52500</v>
      </c>
      <c r="D48" s="29" t="inlineStr">
        <is>
          <t>JSON 상세는 dashboard_payload 파일 참조</t>
        </is>
      </c>
    </row>
    <row r="49" ht="24" customHeight="1">
      <c r="A49" s="24" t="inlineStr">
        <is>
          <t>주가 요약</t>
        </is>
      </c>
      <c r="B49" s="24" t="inlineStr">
        <is>
          <t>return_total</t>
        </is>
      </c>
      <c r="C49" s="30" t="n">
        <v>1.967619047619048</v>
      </c>
      <c r="D49" s="24" t="inlineStr">
        <is>
          <t>JSON 상세는 dashboard_payload 파일 참조</t>
        </is>
      </c>
    </row>
    <row r="50" ht="24" customHeight="1">
      <c r="A50" s="29" t="inlineStr">
        <is>
          <t>주가 요약</t>
        </is>
      </c>
      <c r="B50" s="29" t="inlineStr">
        <is>
          <t>1년 수익률</t>
        </is>
      </c>
      <c r="C50" s="31" t="n">
        <v>2.954314720812183</v>
      </c>
      <c r="D50" s="29" t="inlineStr">
        <is>
          <t>JSON 상세는 dashboard_payload 파일 참조</t>
        </is>
      </c>
    </row>
    <row r="51" ht="24" customHeight="1">
      <c r="A51" s="24" t="inlineStr">
        <is>
          <t>주가 요약</t>
        </is>
      </c>
      <c r="B51" s="24" t="inlineStr">
        <is>
          <t>연환산 변동성</t>
        </is>
      </c>
      <c r="C51" s="30" t="n">
        <v>0.5285584956449837</v>
      </c>
      <c r="D51" s="24" t="inlineStr">
        <is>
          <t>JSON 상세는 dashboard_payload 파일 참조</t>
        </is>
      </c>
    </row>
    <row r="52" ht="24" customHeight="1">
      <c r="A52" s="29" t="inlineStr">
        <is>
          <t>주가 요약</t>
        </is>
      </c>
      <c r="B52" s="29" t="inlineStr">
        <is>
          <t>MDD</t>
        </is>
      </c>
      <c r="C52" s="31" t="n">
        <v>-0.6560659599528857</v>
      </c>
      <c r="D52" s="29" t="inlineStr">
        <is>
          <t>JSON 상세는 dashboard_payload 파일 참조</t>
        </is>
      </c>
    </row>
    <row r="53" ht="24" customHeight="1">
      <c r="A53" s="24" t="inlineStr">
        <is>
          <t>주가 요약</t>
        </is>
      </c>
      <c r="B53" s="24" t="inlineStr">
        <is>
          <t>52주 고가</t>
        </is>
      </c>
      <c r="C53" s="30" t="n">
        <v>186700</v>
      </c>
      <c r="D53" s="24" t="inlineStr">
        <is>
          <t>JSON 상세는 dashboard_payload 파일 참조</t>
        </is>
      </c>
    </row>
    <row r="54" ht="24" customHeight="1">
      <c r="A54" s="29" t="inlineStr">
        <is>
          <t>주가 요약</t>
        </is>
      </c>
      <c r="B54" s="29" t="inlineStr">
        <is>
          <t>52주 저가</t>
        </is>
      </c>
      <c r="C54" s="31" t="n">
        <v>38100</v>
      </c>
      <c r="D54" s="29" t="inlineStr">
        <is>
          <t>JSON 상세는 dashboard_payload 파일 참조</t>
        </is>
      </c>
    </row>
    <row r="55" ht="24" customHeight="1">
      <c r="A55" s="24" t="inlineStr">
        <is>
          <t>주가 요약</t>
        </is>
      </c>
      <c r="B55" s="24" t="inlineStr">
        <is>
          <t>발행주식 수</t>
        </is>
      </c>
      <c r="C55" s="30" t="n">
        <v>43617167</v>
      </c>
      <c r="D55" s="24" t="inlineStr">
        <is>
          <t>JSON 상세는 dashboard_payload 파일 참조</t>
        </is>
      </c>
    </row>
    <row r="56" ht="24" customHeight="1">
      <c r="A56" s="29" t="inlineStr">
        <is>
          <t>주가 요약</t>
        </is>
      </c>
      <c r="B56" s="29" t="inlineStr">
        <is>
          <t>시가총액</t>
        </is>
      </c>
      <c r="C56" s="31" t="n">
        <v>6795554618600</v>
      </c>
      <c r="D56" s="29" t="inlineStr">
        <is>
          <t>JSON 상세는 dashboard_payload 파일 참조</t>
        </is>
      </c>
    </row>
    <row r="57" ht="24" customHeight="1">
      <c r="A57" s="24" t="inlineStr">
        <is>
          <t>주가 요약</t>
        </is>
      </c>
      <c r="B57" s="24" t="inlineStr">
        <is>
          <t>최근 거래량</t>
        </is>
      </c>
      <c r="C57" s="30" t="n">
        <v>182720</v>
      </c>
      <c r="D57" s="24" t="inlineStr">
        <is>
          <t>JSON 상세는 dashboard_payload 파일 참조</t>
        </is>
      </c>
    </row>
    <row r="58" ht="24" customHeight="1">
      <c r="A58" s="29" t="inlineStr">
        <is>
          <t>주가 요약</t>
        </is>
      </c>
      <c r="B58" s="29" t="inlineStr">
        <is>
          <t>최근 거래대금</t>
        </is>
      </c>
      <c r="C58" s="31" t="n">
        <v>28467776000</v>
      </c>
      <c r="D58" s="29" t="inlineStr">
        <is>
          <t>JSON 상세는 dashboard_payload 파일 참조</t>
        </is>
      </c>
    </row>
    <row r="59" ht="24" customHeight="1">
      <c r="A59" s="24" t="inlineStr">
        <is>
          <t>주가 요약</t>
        </is>
      </c>
      <c r="B59" s="24" t="inlineStr">
        <is>
          <t>20일 평균 거래대금</t>
        </is>
      </c>
      <c r="C59" s="30" t="n">
        <v>123396503245</v>
      </c>
      <c r="D59" s="24" t="inlineStr">
        <is>
          <t>JSON 상세는 dashboard_payload 파일 참조</t>
        </is>
      </c>
    </row>
    <row r="60" ht="24" customHeight="1">
      <c r="A60" s="29" t="inlineStr">
        <is>
          <t>주가 요약</t>
        </is>
      </c>
      <c r="B60" s="29" t="inlineStr">
        <is>
          <t>20일 평균 거래량</t>
        </is>
      </c>
      <c r="C60" s="31" t="n">
        <v>769587.05</v>
      </c>
      <c r="D60" s="29" t="inlineStr">
        <is>
          <t>JSON 상세는 dashboard_payload 파일 참조</t>
        </is>
      </c>
    </row>
    <row r="61" ht="24" customHeight="1">
      <c r="A61" s="24" t="inlineStr">
        <is>
          <t>주가 요약</t>
        </is>
      </c>
      <c r="B61" s="24" t="inlineStr">
        <is>
          <t>최근 거래회전율</t>
        </is>
      </c>
      <c r="C61" s="30" t="n">
        <v>0.00418917624796677</v>
      </c>
      <c r="D61" s="24" t="inlineStr">
        <is>
          <t>JSON 상세는 dashboard_payload 파일 참조</t>
        </is>
      </c>
    </row>
    <row r="62" ht="24" customHeight="1">
      <c r="A62" s="29" t="inlineStr">
        <is>
          <t>주가 요약</t>
        </is>
      </c>
      <c r="B62" s="29" t="inlineStr">
        <is>
          <t>20일 평균 거래회전율</t>
        </is>
      </c>
      <c r="C62" s="31" t="n">
        <v>0.01764413195382451</v>
      </c>
      <c r="D62" s="29" t="inlineStr">
        <is>
          <t>JSON 상세는 dashboard_payload 파일 참조</t>
        </is>
      </c>
    </row>
    <row r="63" ht="24" customHeight="1">
      <c r="A63" s="24" t="inlineStr">
        <is>
          <t>주가 요약</t>
        </is>
      </c>
      <c r="B63" s="24" t="inlineStr">
        <is>
          <t>price_rows</t>
        </is>
      </c>
      <c r="C63" s="30" t="n">
        <v>1222</v>
      </c>
      <c r="D63" s="24" t="inlineStr">
        <is>
          <t>JSON 상세는 dashboard_payload 파일 참조</t>
        </is>
      </c>
    </row>
    <row r="64" ht="24" customHeight="1">
      <c r="A64" s="29" t="inlineStr">
        <is>
          <t>주가 요약</t>
        </is>
      </c>
      <c r="B64" s="29" t="inlineStr">
        <is>
          <t>price_start</t>
        </is>
      </c>
      <c r="C64" s="29" t="inlineStr">
        <is>
          <t>2021-05-20</t>
        </is>
      </c>
      <c r="D64" s="29" t="inlineStr">
        <is>
          <t>JSON 상세는 dashboard_payload 파일 참조</t>
        </is>
      </c>
    </row>
    <row r="65" ht="24" customHeight="1">
      <c r="A65" s="24" t="inlineStr">
        <is>
          <t>WACC</t>
        </is>
      </c>
      <c r="B65" s="24" t="inlineStr">
        <is>
          <t>상위 블록</t>
        </is>
      </c>
      <c r="C65" s="24" t="inlineStr">
        <is>
          <t>14개 항목</t>
        </is>
      </c>
      <c r="D65" s="24" t="inlineStr">
        <is>
          <t>대시보드에서 객체로 사용</t>
        </is>
      </c>
    </row>
    <row r="66" ht="24" customHeight="1">
      <c r="A66" s="29" t="inlineStr">
        <is>
          <t>WACC</t>
        </is>
      </c>
      <c r="B66" s="29" t="inlineStr">
        <is>
          <t>risk_free_rate</t>
        </is>
      </c>
      <c r="C66" s="31" t="n">
        <v>0.035</v>
      </c>
      <c r="D66" s="29" t="inlineStr">
        <is>
          <t>JSON 상세는 dashboard_payload 파일 참조</t>
        </is>
      </c>
    </row>
    <row r="67" ht="24" customHeight="1">
      <c r="A67" s="24" t="inlineStr">
        <is>
          <t>WACC</t>
        </is>
      </c>
      <c r="B67" s="24" t="inlineStr">
        <is>
          <t>market_risk_premium</t>
        </is>
      </c>
      <c r="C67" s="30" t="n">
        <v>0.06</v>
      </c>
      <c r="D67" s="24" t="inlineStr">
        <is>
          <t>JSON 상세는 dashboard_payload 파일 참조</t>
        </is>
      </c>
    </row>
    <row r="68" ht="24" customHeight="1">
      <c r="A68" s="29" t="inlineStr">
        <is>
          <t>WACC</t>
        </is>
      </c>
      <c r="B68" s="29" t="inlineStr">
        <is>
          <t>beta</t>
        </is>
      </c>
      <c r="C68" s="31" t="n">
        <v>1.8</v>
      </c>
      <c r="D68" s="29" t="inlineStr">
        <is>
          <t>JSON 상세는 dashboard_payload 파일 참조</t>
        </is>
      </c>
    </row>
    <row r="69" ht="24" customHeight="1">
      <c r="A69" s="24" t="inlineStr">
        <is>
          <t>WACC</t>
        </is>
      </c>
      <c r="B69" s="24" t="inlineStr">
        <is>
          <t>cost_of_equity</t>
        </is>
      </c>
      <c r="C69" s="30" t="n">
        <v>0.143</v>
      </c>
      <c r="D69" s="24" t="inlineStr">
        <is>
          <t>JSON 상세는 dashboard_payload 파일 참조</t>
        </is>
      </c>
    </row>
    <row r="70" ht="24" customHeight="1">
      <c r="A70" s="29" t="inlineStr">
        <is>
          <t>WACC</t>
        </is>
      </c>
      <c r="B70" s="29" t="inlineStr">
        <is>
          <t>pre_tax_cost_of_debt</t>
        </is>
      </c>
      <c r="C70" s="31" t="n">
        <v>0.055</v>
      </c>
      <c r="D70" s="29" t="inlineStr">
        <is>
          <t>JSON 상세는 dashboard_payload 파일 참조</t>
        </is>
      </c>
    </row>
    <row r="71" ht="24" customHeight="1">
      <c r="A71" s="24" t="inlineStr">
        <is>
          <t>WACC</t>
        </is>
      </c>
      <c r="B71" s="24" t="inlineStr">
        <is>
          <t>tax_rate</t>
        </is>
      </c>
      <c r="C71" s="30" t="n">
        <v>0.24</v>
      </c>
      <c r="D71" s="24" t="inlineStr">
        <is>
          <t>JSON 상세는 dashboard_payload 파일 참조</t>
        </is>
      </c>
    </row>
    <row r="72" ht="24" customHeight="1">
      <c r="A72" s="29" t="inlineStr">
        <is>
          <t>WACC</t>
        </is>
      </c>
      <c r="B72" s="29" t="inlineStr">
        <is>
          <t>after_tax_cost_of_debt</t>
        </is>
      </c>
      <c r="C72" s="31" t="n">
        <v>0.0418</v>
      </c>
      <c r="D72" s="29" t="inlineStr">
        <is>
          <t>JSON 상세는 dashboard_payload 파일 참조</t>
        </is>
      </c>
    </row>
    <row r="73" ht="24" customHeight="1">
      <c r="A73" s="24" t="inlineStr">
        <is>
          <t>WACC</t>
        </is>
      </c>
      <c r="B73" s="24" t="inlineStr">
        <is>
          <t>debt_weight</t>
        </is>
      </c>
      <c r="C73" s="30" t="n">
        <v>0.0992275064329997</v>
      </c>
      <c r="D73" s="24" t="inlineStr">
        <is>
          <t>JSON 상세는 dashboard_payload 파일 참조</t>
        </is>
      </c>
    </row>
    <row r="74" ht="24" customHeight="1">
      <c r="A74" s="29" t="inlineStr">
        <is>
          <t>WACC</t>
        </is>
      </c>
      <c r="B74" s="29" t="inlineStr">
        <is>
          <t>equity_weight</t>
        </is>
      </c>
      <c r="C74" s="31" t="n">
        <v>0.9007724935670003</v>
      </c>
      <c r="D74" s="29" t="inlineStr">
        <is>
          <t>JSON 상세는 dashboard_payload 파일 참조</t>
        </is>
      </c>
    </row>
    <row r="75" ht="24" customHeight="1">
      <c r="A75" s="24" t="inlineStr">
        <is>
          <t>WACC</t>
        </is>
      </c>
      <c r="B75" s="24" t="inlineStr">
        <is>
          <t>book_equity</t>
        </is>
      </c>
      <c r="C75" s="30" t="n">
        <v>2243995457046</v>
      </c>
      <c r="D75" s="24" t="inlineStr">
        <is>
          <t>JSON 상세는 dashboard_payload 파일 참조</t>
        </is>
      </c>
    </row>
    <row r="76" ht="24" customHeight="1">
      <c r="A76" s="29" t="inlineStr">
        <is>
          <t>WACC</t>
        </is>
      </c>
      <c r="B76" s="29" t="inlineStr">
        <is>
          <t>market_cap_used_for_equity_weight</t>
        </is>
      </c>
      <c r="C76" s="31" t="n">
        <v>6795554618600</v>
      </c>
      <c r="D76" s="29" t="inlineStr">
        <is>
          <t>JSON 상세는 dashboard_payload 파일 참조</t>
        </is>
      </c>
    </row>
    <row r="77" ht="24" customHeight="1">
      <c r="A77" s="24" t="inlineStr">
        <is>
          <t>WACC</t>
        </is>
      </c>
      <c r="B77" s="24" t="inlineStr">
        <is>
          <t>debt_proxy_liabilities</t>
        </is>
      </c>
      <c r="C77" s="30" t="n">
        <v>748586290599</v>
      </c>
      <c r="D77" s="24" t="inlineStr">
        <is>
          <t>JSON 상세는 dashboard_payload 파일 참조</t>
        </is>
      </c>
    </row>
    <row r="78" ht="24" customHeight="1">
      <c r="A78" s="29" t="inlineStr">
        <is>
          <t>WACC</t>
        </is>
      </c>
      <c r="B78" s="29" t="inlineStr">
        <is>
          <t>WACC</t>
        </is>
      </c>
      <c r="C78" s="31" t="n">
        <v>0.1329581763489804</v>
      </c>
      <c r="D78" s="29" t="inlineStr">
        <is>
          <t>JSON 상세는 dashboard_payload 파일 참조</t>
        </is>
      </c>
    </row>
    <row r="79" ht="24" customHeight="1">
      <c r="A79" s="24" t="inlineStr">
        <is>
          <t>WACC</t>
        </is>
      </c>
      <c r="B79" s="24" t="inlineStr">
        <is>
          <t>weighting_note</t>
        </is>
      </c>
      <c r="C79" s="24" t="inlineStr">
        <is>
          <t>Uses market cap when share-count intake is available; otherwise uses book equity.</t>
        </is>
      </c>
      <c r="D79" s="24" t="inlineStr">
        <is>
          <t>JSON 상세는 dashboard_payload 파일 참조</t>
        </is>
      </c>
    </row>
    <row r="80" ht="24" customHeight="1">
      <c r="A80" s="29" t="inlineStr">
        <is>
          <t>dcf</t>
        </is>
      </c>
      <c r="B80" s="29" t="inlineStr">
        <is>
          <t>상위 블록</t>
        </is>
      </c>
      <c r="C80" s="29" t="inlineStr">
        <is>
          <t>23개 항목</t>
        </is>
      </c>
      <c r="D80" s="29" t="inlineStr">
        <is>
          <t>대시보드에서 객체로 사용</t>
        </is>
      </c>
    </row>
    <row r="81" ht="24" customHeight="1">
      <c r="A81" s="24" t="inlineStr">
        <is>
          <t>dcf</t>
        </is>
      </c>
      <c r="B81" s="24" t="inlineStr">
        <is>
          <t>상태</t>
        </is>
      </c>
      <c r="C81" s="24" t="inlineStr">
        <is>
          <t>OK</t>
        </is>
      </c>
      <c r="D81" s="24" t="inlineStr">
        <is>
          <t>JSON 상세는 dashboard_payload 파일 참조</t>
        </is>
      </c>
    </row>
    <row r="82" ht="24" customHeight="1">
      <c r="A82" s="29" t="inlineStr">
        <is>
          <t>dcf</t>
        </is>
      </c>
      <c r="B82" s="29" t="inlineStr">
        <is>
          <t>base_year</t>
        </is>
      </c>
      <c r="C82" s="31" t="n">
        <v>2025</v>
      </c>
      <c r="D82" s="29" t="inlineStr">
        <is>
          <t>JSON 상세는 dashboard_payload 파일 참조</t>
        </is>
      </c>
    </row>
    <row r="83" ht="24" customHeight="1">
      <c r="A83" s="24" t="inlineStr">
        <is>
          <t>dcf</t>
        </is>
      </c>
      <c r="B83" s="24" t="inlineStr">
        <is>
          <t>base_revenue</t>
        </is>
      </c>
      <c r="C83" s="30" t="n">
        <v>1397233307039</v>
      </c>
      <c r="D83" s="24" t="inlineStr">
        <is>
          <t>JSON 상세는 dashboard_payload 파일 참조</t>
        </is>
      </c>
    </row>
    <row r="84" ht="24" customHeight="1">
      <c r="A84" s="29" t="inlineStr">
        <is>
          <t>dcf</t>
        </is>
      </c>
      <c r="B84" s="29" t="inlineStr">
        <is>
          <t>historical_revenue_cagr</t>
        </is>
      </c>
      <c r="C84" s="31" t="n">
        <v>0.03562274443012292</v>
      </c>
      <c r="D84" s="29" t="inlineStr">
        <is>
          <t>JSON 상세는 dashboard_payload 파일 참조</t>
        </is>
      </c>
    </row>
    <row r="85" ht="24" customHeight="1">
      <c r="A85" s="24" t="inlineStr">
        <is>
          <t>dcf</t>
        </is>
      </c>
      <c r="B85" s="24" t="inlineStr">
        <is>
          <t>assumed_revenue_growth</t>
        </is>
      </c>
      <c r="C85" s="30" t="n">
        <v>-0.0319305274910073</v>
      </c>
      <c r="D85" s="24" t="inlineStr">
        <is>
          <t>JSON 상세는 dashboard_payload 파일 참조</t>
        </is>
      </c>
    </row>
    <row r="86" ht="24" customHeight="1">
      <c r="A86" s="29" t="inlineStr">
        <is>
          <t>dcf</t>
        </is>
      </c>
      <c r="B86" s="29" t="inlineStr">
        <is>
          <t>assumed_op_margin</t>
        </is>
      </c>
      <c r="C86" s="31" t="n">
        <v>0.1990465841713712</v>
      </c>
      <c r="D86" s="29" t="inlineStr">
        <is>
          <t>JSON 상세는 dashboard_payload 파일 참조</t>
        </is>
      </c>
    </row>
    <row r="87" ht="24" customHeight="1">
      <c r="A87" s="24" t="inlineStr">
        <is>
          <t>dcf</t>
        </is>
      </c>
      <c r="B87" s="24" t="inlineStr">
        <is>
          <t>assumed_fcf_margin</t>
        </is>
      </c>
      <c r="C87" s="30" t="n">
        <v>0.25</v>
      </c>
      <c r="D87" s="24" t="inlineStr">
        <is>
          <t>JSON 상세는 dashboard_payload 파일 참조</t>
        </is>
      </c>
    </row>
    <row r="88" ht="24" customHeight="1">
      <c r="A88" s="29" t="inlineStr">
        <is>
          <t>dcf</t>
        </is>
      </c>
      <c r="B88" s="29" t="inlineStr">
        <is>
          <t>WACC</t>
        </is>
      </c>
      <c r="C88" s="31" t="n">
        <v>0.1329581763489804</v>
      </c>
      <c r="D88" s="29" t="inlineStr">
        <is>
          <t>JSON 상세는 dashboard_payload 파일 참조</t>
        </is>
      </c>
    </row>
    <row r="89" ht="24" customHeight="1">
      <c r="A89" s="24" t="inlineStr">
        <is>
          <t>dcf</t>
        </is>
      </c>
      <c r="B89" s="24" t="inlineStr">
        <is>
          <t>terminal_growth_rate</t>
        </is>
      </c>
      <c r="C89" s="30" t="n">
        <v>0.015</v>
      </c>
      <c r="D89" s="24" t="inlineStr">
        <is>
          <t>JSON 상세는 dashboard_payload 파일 참조</t>
        </is>
      </c>
    </row>
    <row r="90" ht="24" customHeight="1">
      <c r="A90" s="29" t="inlineStr">
        <is>
          <t>dcf</t>
        </is>
      </c>
      <c r="B90" s="29" t="inlineStr">
        <is>
          <t>projection_years</t>
        </is>
      </c>
      <c r="C90" s="31" t="n">
        <v>5</v>
      </c>
      <c r="D90" s="29" t="inlineStr">
        <is>
          <t>JSON 상세는 dashboard_payload 파일 참조</t>
        </is>
      </c>
    </row>
    <row r="91" ht="24" customHeight="1">
      <c r="A91" s="24" t="inlineStr">
        <is>
          <t>dcf</t>
        </is>
      </c>
      <c r="B91" s="24" t="inlineStr">
        <is>
          <t>FCF 현재가치</t>
        </is>
      </c>
      <c r="C91" s="30" t="n">
        <v>1183099145628.646</v>
      </c>
      <c r="D91" s="24" t="inlineStr">
        <is>
          <t>JSON 상세는 dashboard_payload 파일 참조</t>
        </is>
      </c>
    </row>
    <row r="92" ht="24" customHeight="1">
      <c r="A92" s="29" t="inlineStr">
        <is>
          <t>dcf</t>
        </is>
      </c>
      <c r="B92" s="29" t="inlineStr">
        <is>
          <t>terminal_value</t>
        </is>
      </c>
      <c r="C92" s="31" t="n">
        <v>2948135261786.341</v>
      </c>
      <c r="D92" s="29" t="inlineStr">
        <is>
          <t>JSON 상세는 dashboard_payload 파일 참조</t>
        </is>
      </c>
    </row>
    <row r="93" ht="24" customHeight="1">
      <c r="A93" s="24" t="inlineStr">
        <is>
          <t>dcf</t>
        </is>
      </c>
      <c r="B93" s="24" t="inlineStr">
        <is>
          <t>Terminal 현재가치</t>
        </is>
      </c>
      <c r="C93" s="30" t="n">
        <v>1579348656630.42</v>
      </c>
      <c r="D93" s="24" t="inlineStr">
        <is>
          <t>JSON 상세는 dashboard_payload 파일 참조</t>
        </is>
      </c>
    </row>
    <row r="94" ht="24" customHeight="1">
      <c r="A94" s="29" t="inlineStr">
        <is>
          <t>dcf</t>
        </is>
      </c>
      <c r="B94" s="29" t="inlineStr">
        <is>
          <t>기업가치(EV)</t>
        </is>
      </c>
      <c r="C94" s="31" t="n">
        <v>2762447802259.066</v>
      </c>
      <c r="D94" s="29" t="inlineStr">
        <is>
          <t>JSON 상세는 dashboard_payload 파일 참조</t>
        </is>
      </c>
    </row>
    <row r="95" ht="24" customHeight="1">
      <c r="A95" s="24" t="inlineStr">
        <is>
          <t>dcf</t>
        </is>
      </c>
      <c r="B95" s="24" t="inlineStr">
        <is>
          <t>현금성자산</t>
        </is>
      </c>
      <c r="C95" s="30" t="n">
        <v>323054472680</v>
      </c>
      <c r="D95" s="24" t="inlineStr">
        <is>
          <t>JSON 상세는 dashboard_payload 파일 참조</t>
        </is>
      </c>
    </row>
    <row r="96" ht="24" customHeight="1">
      <c r="A96" s="29" t="inlineStr">
        <is>
          <t>dcf</t>
        </is>
      </c>
      <c r="B96" s="29" t="inlineStr">
        <is>
          <t>debt_proxy_liabilities</t>
        </is>
      </c>
      <c r="C96" s="31" t="n">
        <v>748586290599</v>
      </c>
      <c r="D96" s="29" t="inlineStr">
        <is>
          <t>JSON 상세는 dashboard_payload 파일 참조</t>
        </is>
      </c>
    </row>
    <row r="97" ht="24" customHeight="1">
      <c r="A97" s="24" t="inlineStr">
        <is>
          <t>dcf</t>
        </is>
      </c>
      <c r="B97" s="24" t="inlineStr">
        <is>
          <t>equity_value</t>
        </is>
      </c>
      <c r="C97" s="30" t="n">
        <v>2336915984340.066</v>
      </c>
      <c r="D97" s="24" t="inlineStr">
        <is>
          <t>JSON 상세는 dashboard_payload 파일 참조</t>
        </is>
      </c>
    </row>
    <row r="98" ht="24" customHeight="1">
      <c r="A98" s="29" t="inlineStr">
        <is>
          <t>dcf</t>
        </is>
      </c>
      <c r="B98" s="29" t="inlineStr">
        <is>
          <t>발행주식 수</t>
        </is>
      </c>
      <c r="C98" s="31" t="n">
        <v>43617167</v>
      </c>
      <c r="D98" s="29" t="inlineStr">
        <is>
          <t>JSON 상세는 dashboard_payload 파일 참조</t>
        </is>
      </c>
    </row>
    <row r="99" ht="24" customHeight="1">
      <c r="A99" s="24" t="inlineStr">
        <is>
          <t>chart_series</t>
        </is>
      </c>
      <c r="B99" s="24" t="inlineStr">
        <is>
          <t>상위 블록</t>
        </is>
      </c>
      <c r="C99" s="24" t="inlineStr">
        <is>
          <t>5개 항목</t>
        </is>
      </c>
      <c r="D99" s="24" t="inlineStr">
        <is>
          <t>대시보드에서 객체로 사용</t>
        </is>
      </c>
    </row>
    <row r="100" ht="24" customHeight="1">
      <c r="A100" s="29" t="inlineStr">
        <is>
          <t>chart_series</t>
        </is>
      </c>
      <c r="B100" s="29" t="inlineStr">
        <is>
          <t>historical_financials</t>
        </is>
      </c>
      <c r="C100" s="29" t="inlineStr">
        <is>
          <t>5개 행</t>
        </is>
      </c>
      <c r="D100" s="29" t="inlineStr">
        <is>
          <t>JSON 상세는 dashboard_payload 파일 참조</t>
        </is>
      </c>
    </row>
    <row r="101" ht="24" customHeight="1">
      <c r="A101" s="24" t="inlineStr">
        <is>
          <t>chart_series</t>
        </is>
      </c>
      <c r="B101" s="24" t="inlineStr">
        <is>
          <t>price_history</t>
        </is>
      </c>
      <c r="C101" s="24" t="inlineStr">
        <is>
          <t>260개 행</t>
        </is>
      </c>
      <c r="D101" s="24" t="inlineStr">
        <is>
          <t>JSON 상세는 dashboard_payload 파일 참조</t>
        </is>
      </c>
    </row>
    <row r="102" ht="24" customHeight="1">
      <c r="A102" s="29" t="inlineStr">
        <is>
          <t>chart_series</t>
        </is>
      </c>
      <c r="B102" s="29" t="inlineStr">
        <is>
          <t>fcf_projection</t>
        </is>
      </c>
      <c r="C102" s="29" t="inlineStr">
        <is>
          <t>5개 행</t>
        </is>
      </c>
      <c r="D102" s="29" t="inlineStr">
        <is>
          <t>JSON 상세는 dashboard_payload 파일 참조</t>
        </is>
      </c>
    </row>
    <row r="103" ht="24" customHeight="1">
      <c r="A103" s="24" t="inlineStr">
        <is>
          <t>chart_series</t>
        </is>
      </c>
      <c r="B103" s="24" t="inlineStr">
        <is>
          <t>peer_multiples</t>
        </is>
      </c>
      <c r="C103" s="24" t="inlineStr">
        <is>
          <t>5개 행</t>
        </is>
      </c>
      <c r="D103" s="24" t="inlineStr">
        <is>
          <t>JSON 상세는 dashboard_payload 파일 참조</t>
        </is>
      </c>
    </row>
    <row r="104" ht="24" customHeight="1">
      <c r="A104" s="29" t="inlineStr">
        <is>
          <t>chart_series</t>
        </is>
      </c>
      <c r="B104" s="29" t="inlineStr">
        <is>
          <t>reference_universe_focus</t>
        </is>
      </c>
      <c r="C104" s="29" t="inlineStr">
        <is>
          <t>40개 행</t>
        </is>
      </c>
      <c r="D104" s="29" t="inlineStr">
        <is>
          <t>JSON 상세는 dashboard_payload 파일 참조</t>
        </is>
      </c>
    </row>
    <row r="105" ht="24" customHeight="1">
      <c r="A105" s="24" t="inlineStr">
        <is>
          <t>peer_comps</t>
        </is>
      </c>
      <c r="B105" s="24" t="inlineStr">
        <is>
          <t>상위 블록</t>
        </is>
      </c>
      <c r="C105" s="24" t="inlineStr">
        <is>
          <t>23개 항목</t>
        </is>
      </c>
      <c r="D105" s="24" t="inlineStr">
        <is>
          <t>대시보드에서 객체로 사용</t>
        </is>
      </c>
    </row>
    <row r="106" ht="24" customHeight="1">
      <c r="A106" s="29" t="inlineStr">
        <is>
          <t>peer_comps</t>
        </is>
      </c>
      <c r="B106" s="29" t="inlineStr">
        <is>
          <t>peer_rows</t>
        </is>
      </c>
      <c r="C106" s="29" t="inlineStr">
        <is>
          <t>5개 행</t>
        </is>
      </c>
      <c r="D106" s="29" t="inlineStr">
        <is>
          <t>JSON 상세는 dashboard_payload 파일 참조</t>
        </is>
      </c>
    </row>
    <row r="107" ht="24" customHeight="1">
      <c r="A107" s="24" t="inlineStr">
        <is>
          <t>peer_comps</t>
        </is>
      </c>
      <c r="B107" s="24" t="inlineStr">
        <is>
          <t>target_row</t>
        </is>
      </c>
      <c r="C107" s="24" t="inlineStr">
        <is>
          <t>35개 항목</t>
        </is>
      </c>
      <c r="D107" s="24" t="inlineStr">
        <is>
          <t>JSON 상세는 dashboard_payload 파일 참조</t>
        </is>
      </c>
    </row>
    <row r="108" ht="24" customHeight="1">
      <c r="A108" s="29" t="inlineStr">
        <is>
          <t>peer_comps</t>
        </is>
      </c>
      <c r="B108" s="29" t="inlineStr">
        <is>
          <t>target_company_key</t>
        </is>
      </c>
      <c r="C108" s="29" t="inlineStr">
        <is>
          <t>nepes</t>
        </is>
      </c>
      <c r="D108" s="29" t="inlineStr">
        <is>
          <t>JSON 상세는 dashboard_payload 파일 참조</t>
        </is>
      </c>
    </row>
    <row r="109" ht="24" customHeight="1">
      <c r="A109" s="24" t="inlineStr">
        <is>
          <t>peer_comps</t>
        </is>
      </c>
      <c r="B109" s="24" t="inlineStr">
        <is>
          <t>분석대상 P/S</t>
        </is>
      </c>
      <c r="C109" s="30" t="n">
        <v>1.187366562371241</v>
      </c>
      <c r="D109" s="24" t="inlineStr">
        <is>
          <t>JSON 상세는 dashboard_payload 파일 참조</t>
        </is>
      </c>
    </row>
    <row r="110" ht="24" customHeight="1">
      <c r="A110" s="29" t="inlineStr">
        <is>
          <t>peer_comps</t>
        </is>
      </c>
      <c r="B110" s="29" t="inlineStr">
        <is>
          <t>target_per</t>
        </is>
      </c>
      <c r="C110" s="31" t="n">
        <v>30.71308358208703</v>
      </c>
      <c r="D110" s="29" t="inlineStr">
        <is>
          <t>JSON 상세는 dashboard_payload 파일 참조</t>
        </is>
      </c>
    </row>
    <row r="111" ht="24" customHeight="1">
      <c r="A111" s="24" t="inlineStr">
        <is>
          <t>peer_comps</t>
        </is>
      </c>
      <c r="B111" s="24" t="inlineStr">
        <is>
          <t>target_pbr</t>
        </is>
      </c>
      <c r="C111" s="30" t="n">
        <v>2.522723830348066</v>
      </c>
      <c r="D111" s="24" t="inlineStr">
        <is>
          <t>JSON 상세는 dashboard_payload 파일 참조</t>
        </is>
      </c>
    </row>
    <row r="112" ht="24" customHeight="1">
      <c r="A112" s="29" t="inlineStr">
        <is>
          <t>peer_comps</t>
        </is>
      </c>
      <c r="B112" s="29" t="inlineStr">
        <is>
          <t>target_ev_sales</t>
        </is>
      </c>
      <c r="C112" s="31" t="n">
        <v>2.051845781358598</v>
      </c>
      <c r="D112" s="29" t="inlineStr">
        <is>
          <t>JSON 상세는 dashboard_payload 파일 참조</t>
        </is>
      </c>
    </row>
    <row r="113" ht="24" customHeight="1">
      <c r="A113" s="24" t="inlineStr">
        <is>
          <t>peer_comps</t>
        </is>
      </c>
      <c r="B113" s="24" t="inlineStr">
        <is>
          <t>target_market_cap</t>
        </is>
      </c>
      <c r="C113" s="30" t="n">
        <v>619139573700</v>
      </c>
      <c r="D113" s="24" t="inlineStr">
        <is>
          <t>JSON 상세는 dashboard_payload 파일 참조</t>
        </is>
      </c>
    </row>
    <row r="114" ht="24" customHeight="1">
      <c r="A114" s="29" t="inlineStr">
        <is>
          <t>peer_comps</t>
        </is>
      </c>
      <c r="B114" s="29" t="inlineStr">
        <is>
          <t>target_revenue</t>
        </is>
      </c>
      <c r="C114" s="31" t="n">
        <v>521439287008</v>
      </c>
      <c r="D114" s="29" t="inlineStr">
        <is>
          <t>JSON 상세는 dashboard_payload 파일 참조</t>
        </is>
      </c>
    </row>
    <row r="115" ht="24" customHeight="1">
      <c r="A115" s="24" t="inlineStr">
        <is>
          <t>peer_comps</t>
        </is>
      </c>
      <c r="B115" s="24" t="inlineStr">
        <is>
          <t>Peer P/S 중앙값</t>
        </is>
      </c>
      <c r="C115" s="30" t="n">
        <v>3.535962270359559</v>
      </c>
      <c r="D115" s="24" t="inlineStr">
        <is>
          <t>JSON 상세는 dashboard_payload 파일 참조</t>
        </is>
      </c>
    </row>
    <row r="116" ht="24" customHeight="1">
      <c r="A116" s="29" t="inlineStr">
        <is>
          <t>peer_comps</t>
        </is>
      </c>
      <c r="B116" s="29" t="inlineStr">
        <is>
          <t>median_per</t>
        </is>
      </c>
      <c r="C116" s="31" t="n">
        <v>23.34722774772605</v>
      </c>
      <c r="D116" s="29" t="inlineStr">
        <is>
          <t>JSON 상세는 dashboard_payload 파일 참조</t>
        </is>
      </c>
    </row>
    <row r="117" ht="24" customHeight="1">
      <c r="A117" s="24" t="inlineStr">
        <is>
          <t>peer_comps</t>
        </is>
      </c>
      <c r="B117" s="24" t="inlineStr">
        <is>
          <t>median_pbr</t>
        </is>
      </c>
      <c r="C117" s="30" t="n">
        <v>2.655032075979804</v>
      </c>
      <c r="D117" s="24" t="inlineStr">
        <is>
          <t>JSON 상세는 dashboard_payload 파일 참조</t>
        </is>
      </c>
    </row>
    <row r="118" ht="24" customHeight="1">
      <c r="A118" s="29" t="inlineStr">
        <is>
          <t>peer_comps</t>
        </is>
      </c>
      <c r="B118" s="29" t="inlineStr">
        <is>
          <t>median_ev_sales</t>
        </is>
      </c>
      <c r="C118" s="31" t="n">
        <v>4.0145784087993</v>
      </c>
      <c r="D118" s="29" t="inlineStr">
        <is>
          <t>JSON 상세는 dashboard_payload 파일 참조</t>
        </is>
      </c>
    </row>
    <row r="119" ht="24" customHeight="1">
      <c r="A119" s="24" t="inlineStr">
        <is>
          <t>peer_comps</t>
        </is>
      </c>
      <c r="B119" s="24" t="inlineStr">
        <is>
          <t>median_ev_ebit</t>
        </is>
      </c>
      <c r="C119" s="30" t="n">
        <v>22.71452500778377</v>
      </c>
      <c r="D119" s="24" t="inlineStr">
        <is>
          <t>JSON 상세는 dashboard_payload 파일 참조</t>
        </is>
      </c>
    </row>
    <row r="120" ht="24" customHeight="1">
      <c r="A120" s="29" t="inlineStr">
        <is>
          <t>peer_comps</t>
        </is>
      </c>
      <c r="B120" s="29" t="inlineStr">
        <is>
          <t>median_p_fcf</t>
        </is>
      </c>
      <c r="C120" s="31" t="n">
        <v>15.62316761518433</v>
      </c>
      <c r="D120" s="29" t="inlineStr">
        <is>
          <t>JSON 상세는 dashboard_payload 파일 참조</t>
        </is>
      </c>
    </row>
    <row r="121" ht="24" customHeight="1">
      <c r="A121" s="24" t="inlineStr">
        <is>
          <t>peer_comps</t>
        </is>
      </c>
      <c r="B121" s="24" t="inlineStr">
        <is>
          <t>median_op_margin</t>
        </is>
      </c>
      <c r="C121" s="30" t="n">
        <v>0.09546035142742029</v>
      </c>
      <c r="D121" s="24" t="inlineStr">
        <is>
          <t>JSON 상세는 dashboard_payload 파일 참조</t>
        </is>
      </c>
    </row>
    <row r="122" ht="24" customHeight="1">
      <c r="A122" s="29" t="inlineStr">
        <is>
          <t>peer_comps</t>
        </is>
      </c>
      <c r="B122" s="29" t="inlineStr">
        <is>
          <t>median_roe</t>
        </is>
      </c>
      <c r="C122" s="31" t="n">
        <v>0.0821384093070814</v>
      </c>
      <c r="D122" s="29" t="inlineStr">
        <is>
          <t>JSON 상세는 dashboard_payload 파일 참조</t>
        </is>
      </c>
    </row>
    <row r="123" ht="24" customHeight="1">
      <c r="A123" s="24" t="inlineStr">
        <is>
          <t>peer_comps</t>
        </is>
      </c>
      <c r="B123" s="24" t="inlineStr">
        <is>
          <t>P/S 중앙값 대비</t>
        </is>
      </c>
      <c r="C123" s="30" t="n">
        <v>-0.6642027059156086</v>
      </c>
      <c r="D123" s="24" t="inlineStr">
        <is>
          <t>JSON 상세는 dashboard_payload 파일 참조</t>
        </is>
      </c>
    </row>
    <row r="124" ht="24" customHeight="1">
      <c r="A124" s="29" t="inlineStr">
        <is>
          <t>reference_universe_summary</t>
        </is>
      </c>
      <c r="B124" s="29" t="inlineStr">
        <is>
          <t>상위 블록</t>
        </is>
      </c>
      <c r="C124" s="29" t="inlineStr">
        <is>
          <t>14개 항목</t>
        </is>
      </c>
      <c r="D124" s="29" t="inlineStr">
        <is>
          <t>대시보드에서 객체로 사용</t>
        </is>
      </c>
    </row>
    <row r="125" ht="24" customHeight="1">
      <c r="A125" s="24" t="inlineStr">
        <is>
          <t>reference_universe_summary</t>
        </is>
      </c>
      <c r="B125" s="24" t="inlineStr">
        <is>
          <t>상태</t>
        </is>
      </c>
      <c r="C125" s="24" t="inlineStr">
        <is>
          <t>OK</t>
        </is>
      </c>
      <c r="D125" s="24" t="inlineStr">
        <is>
          <t>JSON 상세는 dashboard_payload 파일 참조</t>
        </is>
      </c>
    </row>
    <row r="126" ht="24" customHeight="1">
      <c r="A126" s="29" t="inlineStr">
        <is>
          <t>reference_universe_summary</t>
        </is>
      </c>
      <c r="B126" s="29" t="inlineStr">
        <is>
          <t>created_at</t>
        </is>
      </c>
      <c r="C126" s="29" t="inlineStr">
        <is>
          <t>2026-05-20T11:12:37</t>
        </is>
      </c>
      <c r="D126" s="29" t="inlineStr">
        <is>
          <t>JSON 상세는 dashboard_payload 파일 참조</t>
        </is>
      </c>
    </row>
    <row r="127" ht="24" customHeight="1">
      <c r="A127" s="24" t="inlineStr">
        <is>
          <t>reference_universe_summary</t>
        </is>
      </c>
      <c r="B127" s="24" t="inlineStr">
        <is>
          <t>reference_universe_rows</t>
        </is>
      </c>
      <c r="C127" s="30" t="n">
        <v>208</v>
      </c>
      <c r="D127" s="24" t="inlineStr">
        <is>
          <t>JSON 상세는 dashboard_payload 파일 참조</t>
        </is>
      </c>
    </row>
    <row r="128" ht="24" customHeight="1">
      <c r="A128" s="29" t="inlineStr">
        <is>
          <t>reference_universe_summary</t>
        </is>
      </c>
      <c r="B128" s="29" t="inlineStr">
        <is>
          <t>focus_rows</t>
        </is>
      </c>
      <c r="C128" s="31" t="n">
        <v>40</v>
      </c>
      <c r="D128" s="29" t="inlineStr">
        <is>
          <t>JSON 상세는 dashboard_payload 파일 참조</t>
        </is>
      </c>
    </row>
    <row r="129" ht="24" customHeight="1">
      <c r="A129" s="24" t="inlineStr">
        <is>
          <t>reference_universe_summary</t>
        </is>
      </c>
      <c r="B129" s="24" t="inlineStr">
        <is>
          <t>focal_5_rows</t>
        </is>
      </c>
      <c r="C129" s="30" t="n">
        <v>5</v>
      </c>
      <c r="D129" s="24" t="inlineStr">
        <is>
          <t>JSON 상세는 dashboard_payload 파일 참조</t>
        </is>
      </c>
    </row>
    <row r="130" ht="24" customHeight="1">
      <c r="A130" s="29" t="inlineStr">
        <is>
          <t>reference_universe_summary</t>
        </is>
      </c>
      <c r="B130" s="29" t="inlineStr">
        <is>
          <t>target_company</t>
        </is>
      </c>
      <c r="C130" s="29" t="inlineStr">
        <is>
          <t>DB하이텍</t>
        </is>
      </c>
      <c r="D130" s="29" t="inlineStr">
        <is>
          <t>JSON 상세는 dashboard_payload 파일 참조</t>
        </is>
      </c>
    </row>
    <row r="131" ht="24" customHeight="1">
      <c r="A131" s="24" t="inlineStr">
        <is>
          <t>reference_universe_summary</t>
        </is>
      </c>
      <c r="B131" s="24" t="inlineStr">
        <is>
          <t>target_peer_group</t>
        </is>
      </c>
      <c r="C131" s="24" t="inlineStr">
        <is>
          <t>IDM/제조/메모리</t>
        </is>
      </c>
      <c r="D131" s="24" t="inlineStr">
        <is>
          <t>JSON 상세는 dashboard_payload 파일 참조</t>
        </is>
      </c>
    </row>
    <row r="132" ht="24" customHeight="1">
      <c r="A132" s="29" t="inlineStr">
        <is>
          <t>reference_universe_summary</t>
        </is>
      </c>
      <c r="B132" s="29" t="inlineStr">
        <is>
          <t>target_peer_group_size</t>
        </is>
      </c>
      <c r="C132" s="31" t="n">
        <v>40</v>
      </c>
      <c r="D132" s="29" t="inlineStr">
        <is>
          <t>JSON 상세는 dashboard_payload 파일 참조</t>
        </is>
      </c>
    </row>
    <row r="133" ht="24" customHeight="1">
      <c r="A133" s="24" t="inlineStr">
        <is>
          <t>reference_universe_summary</t>
        </is>
      </c>
      <c r="B133" s="24" t="inlineStr">
        <is>
          <t>attractive_rows</t>
        </is>
      </c>
      <c r="C133" s="30" t="n">
        <v>43</v>
      </c>
      <c r="D133" s="24" t="inlineStr">
        <is>
          <t>JSON 상세는 dashboard_payload 파일 참조</t>
        </is>
      </c>
    </row>
    <row r="134" ht="24" customHeight="1">
      <c r="A134" s="29" t="inlineStr">
        <is>
          <t>reference_universe_summary</t>
        </is>
      </c>
      <c r="B134" s="29" t="inlineStr">
        <is>
          <t>high_risk_rows</t>
        </is>
      </c>
      <c r="C134" s="31" t="n">
        <v>67</v>
      </c>
      <c r="D134" s="29" t="inlineStr">
        <is>
          <t>JSON 상세는 dashboard_payload 파일 참조</t>
        </is>
      </c>
    </row>
    <row r="135" ht="24" customHeight="1">
      <c r="A135" s="24" t="inlineStr">
        <is>
          <t>reference_universe_summary</t>
        </is>
      </c>
      <c r="B135" s="24" t="inlineStr">
        <is>
          <t>target_reference_row</t>
        </is>
      </c>
      <c r="C135" s="24" t="inlineStr">
        <is>
          <t>32개 항목</t>
        </is>
      </c>
      <c r="D135" s="24" t="inlineStr">
        <is>
          <t>JSON 상세는 dashboard_payload 파일 참조</t>
        </is>
      </c>
    </row>
    <row r="136" ht="24" customHeight="1">
      <c r="A136" s="29" t="inlineStr">
        <is>
          <t>reference_universe_summary</t>
        </is>
      </c>
      <c r="B136" s="29" t="inlineStr">
        <is>
          <t>비고</t>
        </is>
      </c>
      <c r="C136" s="29" t="inlineStr">
        <is>
          <t>Valuation Agent는 live DCF/PSR 산출과 별도로 208개 반도체 universe의 proxy score를 활용해 상대 위치를 보조 판단합니다.</t>
        </is>
      </c>
      <c r="D136" s="29" t="inlineStr">
        <is>
          <t>JSON 상세는 dashboard_payload 파일 참조</t>
        </is>
      </c>
    </row>
    <row r="137" ht="24" customHeight="1">
      <c r="A137" s="24" t="inlineStr">
        <is>
          <t>reference_universe_summary</t>
        </is>
      </c>
      <c r="B137" s="24" t="inlineStr">
        <is>
          <t>source_path</t>
        </is>
      </c>
      <c r="C137" s="24" t="inlineStr">
        <is>
          <t>data/반도체/_sector_common/ml_universe/valuation_credit_ml_overlay_candidate.csv</t>
        </is>
      </c>
      <c r="D137" s="24" t="inlineStr">
        <is>
          <t>JSON 상세는 dashboard_payload 파일 참조</t>
        </is>
      </c>
    </row>
    <row r="138" ht="24" customHeight="1">
      <c r="A138" s="29" t="inlineStr">
        <is>
          <t>reference_universe_summary</t>
        </is>
      </c>
      <c r="B138" s="29" t="inlineStr">
        <is>
          <t>exported_at</t>
        </is>
      </c>
      <c r="C138" s="29" t="inlineStr">
        <is>
          <t>2026-05-20T11:12:37</t>
        </is>
      </c>
      <c r="D138" s="29" t="inlineStr">
        <is>
          <t>JSON 상세는 dashboard_payload 파일 참조</t>
        </is>
      </c>
    </row>
    <row r="139" ht="24" customHeight="1">
      <c r="A139" s="24" t="inlineStr">
        <is>
          <t>reference_universe_focus_rows</t>
        </is>
      </c>
      <c r="B139" s="24" t="inlineStr">
        <is>
          <t>목록</t>
        </is>
      </c>
      <c r="C139" s="24" t="inlineStr">
        <is>
          <t>40개 행</t>
        </is>
      </c>
      <c r="D139" s="24" t="inlineStr">
        <is>
          <t>대시보드 표/차트 원천</t>
        </is>
      </c>
    </row>
    <row r="140" ht="24" customHeight="1">
      <c r="A140" s="29" t="inlineStr">
        <is>
          <t>ml_overlay</t>
        </is>
      </c>
      <c r="B140" s="29" t="inlineStr">
        <is>
          <t>상위 블록</t>
        </is>
      </c>
      <c r="C140" s="29" t="inlineStr">
        <is>
          <t>12개 항목</t>
        </is>
      </c>
      <c r="D140" s="29" t="inlineStr">
        <is>
          <t>대시보드에서 객체로 사용</t>
        </is>
      </c>
    </row>
    <row r="141" ht="24" customHeight="1">
      <c r="A141" s="24" t="inlineStr">
        <is>
          <t>ml_overlay</t>
        </is>
      </c>
      <c r="B141" s="24" t="inlineStr">
        <is>
          <t>산출 방식</t>
        </is>
      </c>
      <c r="C141" s="24" t="inlineStr">
        <is>
          <t>deterministic_live_peer_psr_plus_208_reference_universe_overlay</t>
        </is>
      </c>
      <c r="D141" s="24" t="inlineStr">
        <is>
          <t>JSON 상세는 dashboard_payload 파일 참조</t>
        </is>
      </c>
    </row>
    <row r="142" ht="24" customHeight="1">
      <c r="A142" s="29" t="inlineStr">
        <is>
          <t>ml_overlay</t>
        </is>
      </c>
      <c r="B142" s="29" t="inlineStr">
        <is>
          <t>가치평가 방법</t>
        </is>
      </c>
      <c r="C142" s="29" t="inlineStr">
        <is>
          <t>실시간 DART·주가 기반 PSR/Peer + 208개 반도체 reference universe 보조판단</t>
        </is>
      </c>
      <c r="D142" s="29" t="inlineStr">
        <is>
          <t>JSON 상세는 dashboard_payload 파일 참조</t>
        </is>
      </c>
    </row>
    <row r="143" ht="24" customHeight="1">
      <c r="A143" s="24" t="inlineStr">
        <is>
          <t>ml_overlay</t>
        </is>
      </c>
      <c r="B143" s="24" t="inlineStr">
        <is>
          <t>종합 점수</t>
        </is>
      </c>
      <c r="C143" s="30" t="n">
        <v>71.45999999999999</v>
      </c>
      <c r="D143" s="24" t="inlineStr">
        <is>
          <t>JSON 상세는 dashboard_payload 파일 참조</t>
        </is>
      </c>
    </row>
    <row r="144" ht="24" customHeight="1">
      <c r="A144" s="29" t="inlineStr">
        <is>
          <t>ml_overlay</t>
        </is>
      </c>
      <c r="B144" s="29" t="inlineStr">
        <is>
          <t>라벨</t>
        </is>
      </c>
      <c r="C144" s="29" t="inlineStr">
        <is>
          <t>VALUATION_SUPPORTIVE</t>
        </is>
      </c>
      <c r="D144" s="29" t="inlineStr">
        <is>
          <t>JSON 상세는 dashboard_payload 파일 참조</t>
        </is>
      </c>
    </row>
    <row r="145" ht="24" customHeight="1">
      <c r="A145" s="24" t="inlineStr">
        <is>
          <t>ml_overlay</t>
        </is>
      </c>
      <c r="B145" s="24" t="inlineStr">
        <is>
          <t>한글 라벨</t>
        </is>
      </c>
      <c r="C145" s="24" t="inlineStr">
        <is>
          <t>가치평가 보조근거 우호</t>
        </is>
      </c>
      <c r="D145" s="24" t="inlineStr">
        <is>
          <t>JSON 상세는 dashboard_payload 파일 참조</t>
        </is>
      </c>
    </row>
    <row r="146" ht="24" customHeight="1">
      <c r="A146" s="29" t="inlineStr">
        <is>
          <t>ml_overlay</t>
        </is>
      </c>
      <c r="B146" s="29" t="inlineStr">
        <is>
          <t>factors</t>
        </is>
      </c>
      <c r="C146" s="29" t="inlineStr">
        <is>
          <t>10개 행</t>
        </is>
      </c>
      <c r="D146" s="29" t="inlineStr">
        <is>
          <t>JSON 상세는 dashboard_payload 파일 참조</t>
        </is>
      </c>
    </row>
    <row r="147" ht="24" customHeight="1">
      <c r="A147" s="24" t="inlineStr">
        <is>
          <t>ml_overlay</t>
        </is>
      </c>
      <c r="B147" s="24" t="inlineStr">
        <is>
          <t>kmeans_peer_cluster</t>
        </is>
      </c>
      <c r="C147" s="24" t="inlineStr">
        <is>
          <t>IDM/제조/메모리</t>
        </is>
      </c>
      <c r="D147" s="24" t="inlineStr">
        <is>
          <t>JSON 상세는 dashboard_payload 파일 참조</t>
        </is>
      </c>
    </row>
    <row r="148" ht="24" customHeight="1">
      <c r="A148" s="29" t="inlineStr">
        <is>
          <t>ml_overlay</t>
        </is>
      </c>
      <c r="B148" s="29" t="inlineStr">
        <is>
          <t>reference_cluster</t>
        </is>
      </c>
      <c r="C148" s="29" t="inlineStr">
        <is>
          <t>6개 항목</t>
        </is>
      </c>
      <c r="D148" s="29" t="inlineStr">
        <is>
          <t>JSON 상세는 dashboard_payload 파일 참조</t>
        </is>
      </c>
    </row>
    <row r="149" ht="24" customHeight="1">
      <c r="A149" s="24" t="inlineStr">
        <is>
          <t>ml_overlay</t>
        </is>
      </c>
      <c r="B149" s="24" t="inlineStr">
        <is>
          <t>reference_universe_summary</t>
        </is>
      </c>
      <c r="C149" s="24" t="inlineStr">
        <is>
          <t>4개 항목</t>
        </is>
      </c>
      <c r="D149" s="24" t="inlineStr">
        <is>
          <t>JSON 상세는 dashboard_payload 파일 참조</t>
        </is>
      </c>
    </row>
    <row r="150" ht="24" customHeight="1">
      <c r="A150" s="29" t="inlineStr">
        <is>
          <t>ml_overlay</t>
        </is>
      </c>
      <c r="B150" s="29" t="inlineStr">
        <is>
          <t>psr_overlay</t>
        </is>
      </c>
      <c r="C150" s="29" t="inlineStr">
        <is>
          <t>5개 항목</t>
        </is>
      </c>
      <c r="D150" s="29" t="inlineStr">
        <is>
          <t>JSON 상세는 dashboard_payload 파일 참조</t>
        </is>
      </c>
    </row>
    <row r="151" ht="24" customHeight="1">
      <c r="A151" s="24" t="inlineStr">
        <is>
          <t>ml_overlay</t>
        </is>
      </c>
      <c r="B151" s="24" t="inlineStr">
        <is>
          <t>비고</t>
        </is>
      </c>
      <c r="C151" s="24" t="inlineStr">
        <is>
          <t>This overlay is a deterministic decision-quality helper, not a realized-return predictor.</t>
        </is>
      </c>
      <c r="D151" s="24" t="inlineStr">
        <is>
          <t>JSON 상세는 dashboard_payload 파일 참조</t>
        </is>
      </c>
    </row>
    <row r="152" ht="24" customHeight="1">
      <c r="A152" s="29" t="inlineStr">
        <is>
          <t>ml_overlay</t>
        </is>
      </c>
      <c r="B152" s="29" t="inlineStr">
        <is>
          <t>note_kr</t>
        </is>
      </c>
      <c r="C152" s="29" t="inlineStr">
        <is>
          <t>미래수익률 예측모델이 아니라 대시보드/Chair용 설명가능 보조 가치평가 점수입니다.</t>
        </is>
      </c>
      <c r="D152" s="29" t="inlineStr">
        <is>
          <t>JSON 상세는 dashboard_payload 파일 참조</t>
        </is>
      </c>
    </row>
    <row r="153" ht="24" customHeight="1">
      <c r="A153" s="24" t="inlineStr">
        <is>
          <t>valuation_scorecard</t>
        </is>
      </c>
      <c r="B153" s="24" t="inlineStr">
        <is>
          <t>상위 블록</t>
        </is>
      </c>
      <c r="C153" s="24" t="inlineStr">
        <is>
          <t>8개 항목</t>
        </is>
      </c>
      <c r="D153" s="24" t="inlineStr">
        <is>
          <t>대시보드에서 객체로 사용</t>
        </is>
      </c>
    </row>
    <row r="154" ht="24" customHeight="1">
      <c r="A154" s="29" t="inlineStr">
        <is>
          <t>valuation_scorecard</t>
        </is>
      </c>
      <c r="B154" s="29" t="inlineStr">
        <is>
          <t>산출 방식</t>
        </is>
      </c>
      <c r="C154" s="29" t="inlineStr">
        <is>
          <t>DCF_25_PSR_15_QUALITY_15_REFERENCE_10_ADVANCED_20_LIQUIDITY_10_VALIDATION_5</t>
        </is>
      </c>
      <c r="D154" s="29" t="inlineStr">
        <is>
          <t>JSON 상세는 dashboard_payload 파일 참조</t>
        </is>
      </c>
    </row>
    <row r="155" ht="24" customHeight="1">
      <c r="A155" s="24" t="inlineStr">
        <is>
          <t>valuation_scorecard</t>
        </is>
      </c>
      <c r="B155" s="24" t="inlineStr">
        <is>
          <t>가치평가 방법</t>
        </is>
      </c>
      <c r="C155" s="24" t="inlineStr">
        <is>
          <t>DCF 25% + Peer P/S 15% + 품질 ML 15% + 208개 Universe 10% + 가치범위표/역산 DCF/오너 이익 20% + 유동성/리스크 10% + 검증 5%</t>
        </is>
      </c>
      <c r="D155" s="24" t="inlineStr">
        <is>
          <t>JSON 상세는 dashboard_payload 파일 참조</t>
        </is>
      </c>
    </row>
    <row r="156" ht="24" customHeight="1">
      <c r="A156" s="29" t="inlineStr">
        <is>
          <t>valuation_scorecard</t>
        </is>
      </c>
      <c r="B156" s="29" t="inlineStr">
        <is>
          <t>점수</t>
        </is>
      </c>
      <c r="C156" s="31" t="n">
        <v>53.4</v>
      </c>
      <c r="D156" s="29" t="inlineStr">
        <is>
          <t>JSON 상세는 dashboard_payload 파일 참조</t>
        </is>
      </c>
    </row>
    <row r="157" ht="24" customHeight="1">
      <c r="A157" s="24" t="inlineStr">
        <is>
          <t>valuation_scorecard</t>
        </is>
      </c>
      <c r="B157" s="24" t="inlineStr">
        <is>
          <t>라벨</t>
        </is>
      </c>
      <c r="C157" s="24" t="inlineStr">
        <is>
          <t>VALUATION_NEUTRAL</t>
        </is>
      </c>
      <c r="D157" s="24" t="inlineStr">
        <is>
          <t>JSON 상세는 dashboard_payload 파일 참조</t>
        </is>
      </c>
    </row>
    <row r="158" ht="24" customHeight="1">
      <c r="A158" s="29" t="inlineStr">
        <is>
          <t>valuation_scorecard</t>
        </is>
      </c>
      <c r="B158" s="29" t="inlineStr">
        <is>
          <t>한글 라벨</t>
        </is>
      </c>
      <c r="C158" s="29" t="inlineStr">
        <is>
          <t>중립</t>
        </is>
      </c>
      <c r="D158" s="29" t="inlineStr">
        <is>
          <t>JSON 상세는 dashboard_payload 파일 참조</t>
        </is>
      </c>
    </row>
    <row r="159" ht="24" customHeight="1">
      <c r="A159" s="24" t="inlineStr">
        <is>
          <t>valuation_scorecard</t>
        </is>
      </c>
      <c r="B159" s="24" t="inlineStr">
        <is>
          <t>종합 해석</t>
        </is>
      </c>
      <c r="C159" s="24" t="inlineStr">
        <is>
          <t>현 가격과 내재가치·상대가치가 크게 벌어지지 않은 구간입니다.</t>
        </is>
      </c>
      <c r="D159" s="24" t="inlineStr">
        <is>
          <t>JSON 상세는 dashboard_payload 파일 참조</t>
        </is>
      </c>
    </row>
    <row r="160" ht="24" customHeight="1">
      <c r="A160" s="29" t="inlineStr">
        <is>
          <t>valuation_scorecard</t>
        </is>
      </c>
      <c r="B160" s="29" t="inlineStr">
        <is>
          <t>factors</t>
        </is>
      </c>
      <c r="C160" s="29" t="inlineStr">
        <is>
          <t>7개 행</t>
        </is>
      </c>
      <c r="D160" s="29" t="inlineStr">
        <is>
          <t>JSON 상세는 dashboard_payload 파일 참조</t>
        </is>
      </c>
    </row>
    <row r="161" ht="24" customHeight="1">
      <c r="A161" s="24" t="inlineStr">
        <is>
          <t>valuation_scorecard</t>
        </is>
      </c>
      <c r="B161" s="24" t="inlineStr">
        <is>
          <t>dashboard_note_kr</t>
        </is>
      </c>
      <c r="C161" s="24" t="inlineStr">
        <is>
          <t>Chair 최종 가중합을 대체하지 않는 보조 밸류에이션 스코어입니다. DCF 단일값보다 다중 방법 검증을 우선합니다. 대시보드/엑셀 다운로드/투자자 요약에서 사용합니다.</t>
        </is>
      </c>
      <c r="D161" s="24" t="inlineStr">
        <is>
          <t>JSON 상세는 dashboard_payload 파일 참조</t>
        </is>
      </c>
    </row>
    <row r="162" ht="24" customHeight="1">
      <c r="A162" s="29" t="inlineStr">
        <is>
          <t>종합 가치평가</t>
        </is>
      </c>
      <c r="B162" s="29" t="inlineStr">
        <is>
          <t>상위 블록</t>
        </is>
      </c>
      <c r="C162" s="29" t="inlineStr">
        <is>
          <t>12개 항목</t>
        </is>
      </c>
      <c r="D162" s="29" t="inlineStr">
        <is>
          <t>대시보드에서 객체로 사용</t>
        </is>
      </c>
    </row>
    <row r="163" ht="24" customHeight="1">
      <c r="A163" s="24" t="inlineStr">
        <is>
          <t>종합 가치평가</t>
        </is>
      </c>
      <c r="B163" s="24" t="inlineStr">
        <is>
          <t>가치평가 방법</t>
        </is>
      </c>
      <c r="C163" s="24" t="inlineStr">
        <is>
          <t>DCF + 피어 멀티플 가치범위표 + 역산 DCF + 오너 이익/EPV + 시장내재 배수 + 데이터 커버리지</t>
        </is>
      </c>
      <c r="D163" s="24" t="inlineStr">
        <is>
          <t>JSON 상세는 dashboard_payload 파일 참조</t>
        </is>
      </c>
    </row>
    <row r="164" ht="24" customHeight="1">
      <c r="A164" s="29" t="inlineStr">
        <is>
          <t>종합 가치평가</t>
        </is>
      </c>
      <c r="B164" s="29" t="inlineStr">
        <is>
          <t>종합 가치평가 점수</t>
        </is>
      </c>
      <c r="C164" s="31" t="n">
        <v>47.15</v>
      </c>
      <c r="D164" s="29" t="inlineStr">
        <is>
          <t>JSON 상세는 dashboard_payload 파일 참조</t>
        </is>
      </c>
    </row>
    <row r="165" ht="24" customHeight="1">
      <c r="A165" s="24" t="inlineStr">
        <is>
          <t>종합 가치평가</t>
        </is>
      </c>
      <c r="B165" s="24" t="inlineStr">
        <is>
          <t>신뢰도 등급</t>
        </is>
      </c>
      <c r="C165" s="24" t="inlineStr">
        <is>
          <t>보통</t>
        </is>
      </c>
      <c r="D165" s="24" t="inlineStr">
        <is>
          <t>JSON 상세는 dashboard_payload 파일 참조</t>
        </is>
      </c>
    </row>
    <row r="166" ht="24" customHeight="1">
      <c r="A166" s="29" t="inlineStr">
        <is>
          <t>종합 가치평가</t>
        </is>
      </c>
      <c r="B166" s="29" t="inlineStr">
        <is>
          <t>가치범위표</t>
        </is>
      </c>
      <c r="C166" s="29" t="inlineStr">
        <is>
          <t>7개 항목</t>
        </is>
      </c>
      <c r="D166" s="29" t="inlineStr">
        <is>
          <t>JSON 상세는 dashboard_payload 파일 참조</t>
        </is>
      </c>
    </row>
    <row r="167" ht="24" customHeight="1">
      <c r="A167" s="24" t="inlineStr">
        <is>
          <t>종합 가치평가</t>
        </is>
      </c>
      <c r="B167" s="24" t="inlineStr">
        <is>
          <t>가치평가 방법</t>
        </is>
      </c>
      <c r="C167" s="24" t="inlineStr">
        <is>
          <t>7개 행</t>
        </is>
      </c>
      <c r="D167" s="24" t="inlineStr">
        <is>
          <t>JSON 상세는 dashboard_payload 파일 참조</t>
        </is>
      </c>
    </row>
    <row r="168" ht="24" customHeight="1">
      <c r="A168" s="29" t="inlineStr">
        <is>
          <t>종합 가치평가</t>
        </is>
      </c>
      <c r="B168" s="29" t="inlineStr">
        <is>
          <t>역산 DCF</t>
        </is>
      </c>
      <c r="C168" s="29" t="inlineStr">
        <is>
          <t>9개 항목</t>
        </is>
      </c>
      <c r="D168" s="29" t="inlineStr">
        <is>
          <t>JSON 상세는 dashboard_payload 파일 참조</t>
        </is>
      </c>
    </row>
    <row r="169" ht="24" customHeight="1">
      <c r="A169" s="24" t="inlineStr">
        <is>
          <t>종합 가치평가</t>
        </is>
      </c>
      <c r="B169" s="24" t="inlineStr">
        <is>
          <t>오너 이익</t>
        </is>
      </c>
      <c r="C169" s="24" t="inlineStr">
        <is>
          <t>11개 항목</t>
        </is>
      </c>
      <c r="D169" s="24" t="inlineStr">
        <is>
          <t>JSON 상세는 dashboard_payload 파일 참조</t>
        </is>
      </c>
    </row>
    <row r="170" ht="24" customHeight="1">
      <c r="A170" s="29" t="inlineStr">
        <is>
          <t>종합 가치평가</t>
        </is>
      </c>
      <c r="B170" s="29" t="inlineStr">
        <is>
          <t>시장내재 배수</t>
        </is>
      </c>
      <c r="C170" s="29" t="inlineStr">
        <is>
          <t>14개 항목</t>
        </is>
      </c>
      <c r="D170" s="29" t="inlineStr">
        <is>
          <t>JSON 상세는 dashboard_payload 파일 참조</t>
        </is>
      </c>
    </row>
    <row r="171" ht="24" customHeight="1">
      <c r="A171" s="24" t="inlineStr">
        <is>
          <t>종합 가치평가</t>
        </is>
      </c>
      <c r="B171" s="24" t="inlineStr">
        <is>
          <t>품질 진단</t>
        </is>
      </c>
      <c r="C171" s="24" t="inlineStr">
        <is>
          <t>8개 행</t>
        </is>
      </c>
      <c r="D171" s="24" t="inlineStr">
        <is>
          <t>JSON 상세는 dashboard_payload 파일 참조</t>
        </is>
      </c>
    </row>
    <row r="172" ht="24" customHeight="1">
      <c r="A172" s="29" t="inlineStr">
        <is>
          <t>종합 가치평가</t>
        </is>
      </c>
      <c r="B172" s="29" t="inlineStr">
        <is>
          <t>source_completion_plan</t>
        </is>
      </c>
      <c r="C172" s="29" t="inlineStr">
        <is>
          <t>6개 행</t>
        </is>
      </c>
      <c r="D172" s="29" t="inlineStr">
        <is>
          <t>JSON 상세는 dashboard_payload 파일 참조</t>
        </is>
      </c>
    </row>
    <row r="173" ht="24" customHeight="1">
      <c r="A173" s="24" t="inlineStr">
        <is>
          <t>종합 가치평가</t>
        </is>
      </c>
      <c r="B173" s="24" t="inlineStr">
        <is>
          <t>market_snapshot</t>
        </is>
      </c>
      <c r="C173" s="24" t="inlineStr">
        <is>
          <t>32개 항목</t>
        </is>
      </c>
      <c r="D173" s="24" t="inlineStr">
        <is>
          <t>JSON 상세는 dashboard_payload 파일 참조</t>
        </is>
      </c>
    </row>
    <row r="174" ht="24" customHeight="1">
      <c r="A174" s="29" t="inlineStr">
        <is>
          <t>종합 가치평가</t>
        </is>
      </c>
      <c r="B174" s="29" t="inlineStr">
        <is>
          <t>dashboard_note_kr</t>
        </is>
      </c>
      <c r="C174" s="29" t="inlineStr">
        <is>
          <t>투자은행식 valuation pack에서 자주 쓰는 DCF·Comps·역산 DCF·오너 이익·시장내재배수 교차검증을 제공합니다.</t>
        </is>
      </c>
      <c r="D174" s="29" t="inlineStr">
        <is>
          <t>JSON 상세는 dashboard_payload 파일 참조</t>
        </is>
      </c>
    </row>
    <row r="175" ht="24" customHeight="1">
      <c r="A175" s="24" t="inlineStr">
        <is>
          <t>시장내재 배수</t>
        </is>
      </c>
      <c r="B175" s="24" t="inlineStr">
        <is>
          <t>상위 블록</t>
        </is>
      </c>
      <c r="C175" s="24" t="inlineStr">
        <is>
          <t>14개 항목</t>
        </is>
      </c>
      <c r="D175" s="24" t="inlineStr">
        <is>
          <t>대시보드에서 객체로 사용</t>
        </is>
      </c>
    </row>
    <row r="176" ht="24" customHeight="1">
      <c r="A176" s="29" t="inlineStr">
        <is>
          <t>시장내재 배수</t>
        </is>
      </c>
      <c r="B176" s="29" t="inlineStr">
        <is>
          <t>latest_close</t>
        </is>
      </c>
      <c r="C176" s="31" t="n">
        <v>155800</v>
      </c>
      <c r="D176" s="29" t="inlineStr">
        <is>
          <t>JSON 상세는 dashboard_payload 파일 참조</t>
        </is>
      </c>
    </row>
    <row r="177" ht="24" customHeight="1">
      <c r="A177" s="24" t="inlineStr">
        <is>
          <t>시장내재 배수</t>
        </is>
      </c>
      <c r="B177" s="24" t="inlineStr">
        <is>
          <t>시가총액</t>
        </is>
      </c>
      <c r="C177" s="30" t="n">
        <v>6795554618600</v>
      </c>
      <c r="D177" s="24" t="inlineStr">
        <is>
          <t>JSON 상세는 dashboard_payload 파일 참조</t>
        </is>
      </c>
    </row>
    <row r="178" ht="24" customHeight="1">
      <c r="A178" s="29" t="inlineStr">
        <is>
          <t>시장내재 배수</t>
        </is>
      </c>
      <c r="B178" s="29" t="inlineStr">
        <is>
          <t>EV proxy</t>
        </is>
      </c>
      <c r="C178" s="31" t="n">
        <v>7221086436519</v>
      </c>
      <c r="D178" s="29" t="inlineStr">
        <is>
          <t>JSON 상세는 dashboard_payload 파일 참조</t>
        </is>
      </c>
    </row>
    <row r="179" ht="24" customHeight="1">
      <c r="A179" s="24" t="inlineStr">
        <is>
          <t>시장내재 배수</t>
        </is>
      </c>
      <c r="B179" s="24" t="inlineStr">
        <is>
          <t>psr_market</t>
        </is>
      </c>
      <c r="C179" s="30" t="n">
        <v>4.863579034628839</v>
      </c>
      <c r="D179" s="24" t="inlineStr">
        <is>
          <t>JSON 상세는 dashboard_payload 파일 참조</t>
        </is>
      </c>
    </row>
    <row r="180" ht="24" customHeight="1">
      <c r="A180" s="29" t="inlineStr">
        <is>
          <t>시장내재 배수</t>
        </is>
      </c>
      <c r="B180" s="29" t="inlineStr">
        <is>
          <t>pbr_market</t>
        </is>
      </c>
      <c r="C180" s="31" t="n">
        <v>3.028328153366977</v>
      </c>
      <c r="D180" s="29" t="inlineStr">
        <is>
          <t>JSON 상세는 dashboard_payload 파일 참조</t>
        </is>
      </c>
    </row>
    <row r="181" ht="24" customHeight="1">
      <c r="A181" s="24" t="inlineStr">
        <is>
          <t>시장내재 배수</t>
        </is>
      </c>
      <c r="B181" s="24" t="inlineStr">
        <is>
          <t>per_market</t>
        </is>
      </c>
      <c r="C181" s="30" t="n">
        <v>26.90430339151988</v>
      </c>
      <c r="D181" s="24" t="inlineStr">
        <is>
          <t>JSON 상세는 dashboard_payload 파일 참조</t>
        </is>
      </c>
    </row>
    <row r="182" ht="24" customHeight="1">
      <c r="A182" s="29" t="inlineStr">
        <is>
          <t>시장내재 배수</t>
        </is>
      </c>
      <c r="B182" s="29" t="inlineStr">
        <is>
          <t>p_fcf_market</t>
        </is>
      </c>
      <c r="C182" s="31" t="n">
        <v>19.48249212816028</v>
      </c>
      <c r="D182" s="29" t="inlineStr">
        <is>
          <t>JSON 상세는 dashboard_payload 파일 참조</t>
        </is>
      </c>
    </row>
    <row r="183" ht="24" customHeight="1">
      <c r="A183" s="24" t="inlineStr">
        <is>
          <t>시장내재 배수</t>
        </is>
      </c>
      <c r="B183" s="24" t="inlineStr">
        <is>
          <t>ev_sales_market</t>
        </is>
      </c>
      <c r="C183" s="30" t="n">
        <v>5.168132193915302</v>
      </c>
      <c r="D183" s="24" t="inlineStr">
        <is>
          <t>JSON 상세는 dashboard_payload 파일 참조</t>
        </is>
      </c>
    </row>
    <row r="184" ht="24" customHeight="1">
      <c r="A184" s="29" t="inlineStr">
        <is>
          <t>시장내재 배수</t>
        </is>
      </c>
      <c r="B184" s="29" t="inlineStr">
        <is>
          <t>ev_ebit_market</t>
        </is>
      </c>
      <c r="C184" s="31" t="n">
        <v>26.0412119370341</v>
      </c>
      <c r="D184" s="29" t="inlineStr">
        <is>
          <t>JSON 상세는 dashboard_payload 파일 참조</t>
        </is>
      </c>
    </row>
    <row r="185" ht="24" customHeight="1">
      <c r="A185" s="24" t="inlineStr">
        <is>
          <t>시장내재 배수</t>
        </is>
      </c>
      <c r="B185" s="24" t="inlineStr">
        <is>
          <t>eps_derived</t>
        </is>
      </c>
      <c r="C185" s="30" t="n">
        <v>5790.895149104938</v>
      </c>
      <c r="D185" s="24" t="inlineStr">
        <is>
          <t>JSON 상세는 dashboard_payload 파일 참조</t>
        </is>
      </c>
    </row>
    <row r="186" ht="24" customHeight="1">
      <c r="A186" s="29" t="inlineStr">
        <is>
          <t>시장내재 배수</t>
        </is>
      </c>
      <c r="B186" s="29" t="inlineStr">
        <is>
          <t>bps_derived</t>
        </is>
      </c>
      <c r="C186" s="31" t="n">
        <v>51447.52883757902</v>
      </c>
      <c r="D186" s="29" t="inlineStr">
        <is>
          <t>JSON 상세는 dashboard_payload 파일 참조</t>
        </is>
      </c>
    </row>
    <row r="187" ht="24" customHeight="1">
      <c r="A187" s="24" t="inlineStr">
        <is>
          <t>시장내재 배수</t>
        </is>
      </c>
      <c r="B187" s="24" t="inlineStr">
        <is>
          <t>fcf_yield_market</t>
        </is>
      </c>
      <c r="C187" s="30" t="n">
        <v>0.05132813571394109</v>
      </c>
      <c r="D187" s="24" t="inlineStr">
        <is>
          <t>JSON 상세는 dashboard_payload 파일 참조</t>
        </is>
      </c>
    </row>
    <row r="188" ht="24" customHeight="1">
      <c r="A188" s="29" t="inlineStr">
        <is>
          <t>시장내재 배수</t>
        </is>
      </c>
      <c r="B188" s="29" t="inlineStr">
        <is>
          <t>sales_yield_market</t>
        </is>
      </c>
      <c r="C188" s="31" t="n">
        <v>0.205609900215452</v>
      </c>
      <c r="D188" s="29" t="inlineStr">
        <is>
          <t>JSON 상세는 dashboard_payload 파일 참조</t>
        </is>
      </c>
    </row>
    <row r="189" ht="24" customHeight="1">
      <c r="A189" s="24" t="inlineStr">
        <is>
          <t>시장내재 배수</t>
        </is>
      </c>
      <c r="B189" s="24" t="inlineStr">
        <is>
          <t>source_kr</t>
        </is>
      </c>
      <c r="C189" s="24" t="inlineStr">
        <is>
          <t>DART 정규화 재무제표 + Valuation Agent 주가/발행주식 수 intake로 자동 산출</t>
        </is>
      </c>
      <c r="D189" s="24" t="inlineStr">
        <is>
          <t>JSON 상세는 dashboard_payload 파일 참조</t>
        </is>
      </c>
    </row>
    <row r="190" ht="24" customHeight="1">
      <c r="A190" s="29" t="inlineStr">
        <is>
          <t>품질 진단</t>
        </is>
      </c>
      <c r="B190" s="29" t="inlineStr">
        <is>
          <t>목록</t>
        </is>
      </c>
      <c r="C190" s="29" t="inlineStr">
        <is>
          <t>8개 행</t>
        </is>
      </c>
      <c r="D190" s="29" t="inlineStr">
        <is>
          <t>대시보드 표/차트 원천</t>
        </is>
      </c>
    </row>
    <row r="191" ht="24" customHeight="1">
      <c r="A191" s="24" t="inlineStr">
        <is>
          <t>검증 결과</t>
        </is>
      </c>
      <c r="B191" s="24" t="inlineStr">
        <is>
          <t>상위 블록</t>
        </is>
      </c>
      <c r="C191" s="24" t="inlineStr">
        <is>
          <t>4개 항목</t>
        </is>
      </c>
      <c r="D191" s="24" t="inlineStr">
        <is>
          <t>대시보드에서 객체로 사용</t>
        </is>
      </c>
    </row>
    <row r="192" ht="24" customHeight="1">
      <c r="A192" s="29" t="inlineStr">
        <is>
          <t>검증 결과</t>
        </is>
      </c>
      <c r="B192" s="29" t="inlineStr">
        <is>
          <t>상태</t>
        </is>
      </c>
      <c r="C192" s="29" t="inlineStr">
        <is>
          <t>PASS</t>
        </is>
      </c>
      <c r="D192" s="29" t="inlineStr">
        <is>
          <t>JSON 상세는 dashboard_payload 파일 참조</t>
        </is>
      </c>
    </row>
    <row r="193" ht="24" customHeight="1">
      <c r="A193" s="24" t="inlineStr">
        <is>
          <t>검증 결과</t>
        </is>
      </c>
      <c r="B193" s="24" t="inlineStr">
        <is>
          <t>issues</t>
        </is>
      </c>
      <c r="C193" s="24" t="inlineStr">
        <is>
          <t>1개 행</t>
        </is>
      </c>
      <c r="D193" s="24" t="inlineStr">
        <is>
          <t>JSON 상세는 dashboard_payload 파일 참조</t>
        </is>
      </c>
    </row>
    <row r="194" ht="24" customHeight="1">
      <c r="A194" s="29" t="inlineStr">
        <is>
          <t>검증 결과</t>
        </is>
      </c>
      <c r="B194" s="29" t="inlineStr">
        <is>
          <t>audit_trail</t>
        </is>
      </c>
      <c r="C194" s="29" t="inlineStr">
        <is>
          <t>6개 행</t>
        </is>
      </c>
      <c r="D194" s="29" t="inlineStr">
        <is>
          <t>JSON 상세는 dashboard_payload 파일 참조</t>
        </is>
      </c>
    </row>
    <row r="195" ht="24" customHeight="1">
      <c r="A195" s="24" t="inlineStr">
        <is>
          <t>검증 결과</t>
        </is>
      </c>
      <c r="B195" s="24" t="inlineStr">
        <is>
          <t>principle</t>
        </is>
      </c>
      <c r="C195" s="24" t="inlineStr">
        <is>
          <t>valuation_agent 자체 데이터/모델 일관성 검증; 기존 web-auditor 의존 없음</t>
        </is>
      </c>
      <c r="D195" s="24" t="inlineStr">
        <is>
          <t>JSON 상세는 dashboard_payload 파일 참조</t>
        </is>
      </c>
    </row>
    <row r="196" ht="24" customHeight="1">
      <c r="A196" s="29" t="inlineStr">
        <is>
          <t>display_labels_kr</t>
        </is>
      </c>
      <c r="B196" s="29" t="inlineStr">
        <is>
          <t>상위 블록</t>
        </is>
      </c>
      <c r="C196" s="29" t="inlineStr">
        <is>
          <t>8개 항목</t>
        </is>
      </c>
      <c r="D196" s="29" t="inlineStr">
        <is>
          <t>대시보드에서 객체로 사용</t>
        </is>
      </c>
    </row>
    <row r="197" ht="24" customHeight="1">
      <c r="A197" s="24" t="inlineStr">
        <is>
          <t>display_labels_kr</t>
        </is>
      </c>
      <c r="B197" s="24" t="inlineStr">
        <is>
          <t>summary_cards</t>
        </is>
      </c>
      <c r="C197" s="24" t="inlineStr">
        <is>
          <t>핵심 요약 카드</t>
        </is>
      </c>
      <c r="D197" s="24" t="inlineStr">
        <is>
          <t>JSON 상세는 dashboard_payload 파일 참조</t>
        </is>
      </c>
    </row>
    <row r="198" ht="24" customHeight="1">
      <c r="A198" s="29" t="inlineStr">
        <is>
          <t>display_labels_kr</t>
        </is>
      </c>
      <c r="B198" s="29" t="inlineStr">
        <is>
          <t>price_history</t>
        </is>
      </c>
      <c r="C198" s="29" t="inlineStr">
        <is>
          <t>주가 차트</t>
        </is>
      </c>
      <c r="D198" s="29" t="inlineStr">
        <is>
          <t>JSON 상세는 dashboard_payload 파일 참조</t>
        </is>
      </c>
    </row>
    <row r="199" ht="24" customHeight="1">
      <c r="A199" s="24" t="inlineStr">
        <is>
          <t>display_labels_kr</t>
        </is>
      </c>
      <c r="B199" s="24" t="inlineStr">
        <is>
          <t>historical_financials</t>
        </is>
      </c>
      <c r="C199" s="24" t="inlineStr">
        <is>
          <t>재무 추이</t>
        </is>
      </c>
      <c r="D199" s="24" t="inlineStr">
        <is>
          <t>JSON 상세는 dashboard_payload 파일 참조</t>
        </is>
      </c>
    </row>
    <row r="200" ht="24" customHeight="1">
      <c r="A200" s="29" t="inlineStr">
        <is>
          <t>display_labels_kr</t>
        </is>
      </c>
      <c r="B200" s="29" t="inlineStr">
        <is>
          <t>fcf_projection</t>
        </is>
      </c>
      <c r="C200" s="29" t="inlineStr">
        <is>
          <t>FCF 추정</t>
        </is>
      </c>
      <c r="D200" s="29" t="inlineStr">
        <is>
          <t>JSON 상세는 dashboard_payload 파일 참조</t>
        </is>
      </c>
    </row>
    <row r="201" ht="24" customHeight="1">
      <c r="A201" s="24" t="inlineStr">
        <is>
          <t>display_labels_kr</t>
        </is>
      </c>
      <c r="B201" s="24" t="inlineStr">
        <is>
          <t>peer_multiples</t>
        </is>
      </c>
      <c r="C201" s="24" t="inlineStr">
        <is>
          <t>비교기업 멀티플 비교</t>
        </is>
      </c>
      <c r="D201" s="24" t="inlineStr">
        <is>
          <t>JSON 상세는 dashboard_payload 파일 참조</t>
        </is>
      </c>
    </row>
    <row r="202" ht="24" customHeight="1">
      <c r="A202" s="29" t="inlineStr">
        <is>
          <t>display_labels_kr</t>
        </is>
      </c>
      <c r="B202" s="29" t="inlineStr">
        <is>
          <t>reference_universe_focus</t>
        </is>
      </c>
      <c r="C202" s="29" t="inlineStr">
        <is>
          <t>208개 반도체 비교군 상대위치</t>
        </is>
      </c>
      <c r="D202" s="29" t="inlineStr">
        <is>
          <t>JSON 상세는 dashboard_payload 파일 참조</t>
        </is>
      </c>
    </row>
    <row r="203" ht="24" customHeight="1">
      <c r="A203" s="24" t="inlineStr">
        <is>
          <t>display_labels_kr</t>
        </is>
      </c>
      <c r="B203" s="24" t="inlineStr">
        <is>
          <t>advanced_valuation</t>
        </is>
      </c>
      <c r="C203" s="24" t="inlineStr">
        <is>
          <t>종합 가치평가</t>
        </is>
      </c>
      <c r="D203" s="24" t="inlineStr">
        <is>
          <t>JSON 상세는 dashboard_payload 파일 참조</t>
        </is>
      </c>
    </row>
    <row r="204" ht="24" customHeight="1">
      <c r="A204" s="29" t="inlineStr">
        <is>
          <t>display_labels_kr</t>
        </is>
      </c>
      <c r="B204" s="29" t="inlineStr">
        <is>
          <t>download_workbook</t>
        </is>
      </c>
      <c r="C204" s="29" t="inlineStr">
        <is>
          <t>엑셀 다운로드</t>
        </is>
      </c>
      <c r="D204" s="29" t="inlineStr">
        <is>
          <t>JSON 상세는 dashboard_payload 파일 참조</t>
        </is>
      </c>
    </row>
    <row r="205" ht="24" customHeight="1">
      <c r="A205" s="24" t="inlineStr">
        <is>
          <t>dashboard_usage_note</t>
        </is>
      </c>
      <c r="B205" s="24" t="inlineStr">
        <is>
          <t>값</t>
        </is>
      </c>
      <c r="C205" s="24" t="inlineStr">
        <is>
          <t>Streamlit/React 대시보드에서 한국어 카드, 주가 차트, DCF·P/S·P/B·PER·가치범위표, 208개 기준 비교군 표/산점도, 검증 배지, 엑셀 다운로드 버튼에 바로 연결할 수 있습니다.</t>
        </is>
      </c>
      <c r="D205" s="24" t="inlineStr">
        <is>
          <t>대시보드 기본값</t>
        </is>
      </c>
    </row>
  </sheetData>
  <autoFilter ref="A2:D205"/>
  <mergeCells count="1">
    <mergeCell ref="A1:F1"/>
  </mergeCells>
  <pageMargins left="0.75" right="0.75" top="1" bottom="1" header="0.5" footer="0.5"/>
  <pageSetup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감사 추적</t>
        </is>
      </c>
    </row>
    <row r="2" ht="24" customHeight="1">
      <c r="A2" s="25" t="inlineStr">
        <is>
          <t>단계</t>
        </is>
      </c>
      <c r="B2" s="25" t="inlineStr">
        <is>
          <t>상태</t>
        </is>
      </c>
      <c r="C2" s="25" t="inlineStr">
        <is>
          <t>rows</t>
        </is>
      </c>
      <c r="D2" s="25" t="inlineStr">
        <is>
          <t>발행주식 수</t>
        </is>
      </c>
      <c r="E2" s="25" t="inlineStr">
        <is>
          <t>시가총액</t>
        </is>
      </c>
      <c r="F2" s="25" t="inlineStr">
        <is>
          <t>20일 평균 거래대금</t>
        </is>
      </c>
    </row>
    <row r="3" ht="24" customHeight="1">
      <c r="A3" s="24" t="inlineStr">
        <is>
          <t>normalized_financials</t>
        </is>
      </c>
      <c r="B3" s="24" t="inlineStr">
        <is>
          <t>OK</t>
        </is>
      </c>
      <c r="C3" s="30" t="n">
        <v>5</v>
      </c>
      <c r="D3" s="24" t="inlineStr">
        <is>
          <t>해당 없음</t>
        </is>
      </c>
      <c r="E3" s="24" t="inlineStr">
        <is>
          <t>해당 없음</t>
        </is>
      </c>
      <c r="F3" s="24" t="inlineStr">
        <is>
          <t>해당 없음</t>
        </is>
      </c>
    </row>
    <row r="4" ht="24" customHeight="1">
      <c r="A4" s="29" t="inlineStr">
        <is>
          <t>price_history</t>
        </is>
      </c>
      <c r="B4" s="29" t="inlineStr">
        <is>
          <t>OK</t>
        </is>
      </c>
      <c r="C4" s="31" t="n">
        <v>1222</v>
      </c>
      <c r="D4" s="29" t="inlineStr">
        <is>
          <t>해당 없음</t>
        </is>
      </c>
      <c r="E4" s="29" t="inlineStr">
        <is>
          <t>해당 없음</t>
        </is>
      </c>
      <c r="F4" s="29" t="inlineStr">
        <is>
          <t>해당 없음</t>
        </is>
      </c>
    </row>
    <row r="5" ht="24" customHeight="1">
      <c r="A5" s="24" t="inlineStr">
        <is>
          <t>share_count</t>
        </is>
      </c>
      <c r="B5" s="24" t="inlineStr">
        <is>
          <t>OK</t>
        </is>
      </c>
      <c r="C5" s="24" t="inlineStr">
        <is>
          <t>해당 없음</t>
        </is>
      </c>
      <c r="D5" s="30" t="n">
        <v>43617167</v>
      </c>
      <c r="E5" s="24" t="inlineStr">
        <is>
          <t>해당 없음</t>
        </is>
      </c>
      <c r="F5" s="24" t="inlineStr">
        <is>
          <t>해당 없음</t>
        </is>
      </c>
    </row>
    <row r="6" ht="24" customHeight="1">
      <c r="A6" s="29" t="inlineStr">
        <is>
          <t>reference_universe</t>
        </is>
      </c>
      <c r="B6" s="29" t="inlineStr">
        <is>
          <t>OK</t>
        </is>
      </c>
      <c r="C6" s="31" t="n">
        <v>208</v>
      </c>
      <c r="D6" s="29" t="inlineStr">
        <is>
          <t>해당 없음</t>
        </is>
      </c>
      <c r="E6" s="29" t="inlineStr">
        <is>
          <t>해당 없음</t>
        </is>
      </c>
      <c r="F6" s="29" t="inlineStr">
        <is>
          <t>해당 없음</t>
        </is>
      </c>
    </row>
    <row r="7" ht="24" customHeight="1">
      <c r="A7" s="24" t="inlineStr">
        <is>
          <t>market_cap</t>
        </is>
      </c>
      <c r="B7" s="24" t="inlineStr">
        <is>
          <t>OK</t>
        </is>
      </c>
      <c r="C7" s="24" t="inlineStr">
        <is>
          <t>해당 없음</t>
        </is>
      </c>
      <c r="D7" s="24" t="inlineStr">
        <is>
          <t>해당 없음</t>
        </is>
      </c>
      <c r="E7" s="30" t="n">
        <v>6795554618600</v>
      </c>
      <c r="F7" s="24" t="inlineStr">
        <is>
          <t>해당 없음</t>
        </is>
      </c>
    </row>
    <row r="8" ht="24" customHeight="1">
      <c r="A8" s="29" t="inlineStr">
        <is>
          <t>liquidity_proxy</t>
        </is>
      </c>
      <c r="B8" s="29" t="inlineStr">
        <is>
          <t>OK</t>
        </is>
      </c>
      <c r="C8" s="29" t="inlineStr">
        <is>
          <t>해당 없음</t>
        </is>
      </c>
      <c r="D8" s="29" t="inlineStr">
        <is>
          <t>해당 없음</t>
        </is>
      </c>
      <c r="E8" s="29" t="inlineStr">
        <is>
          <t>해당 없음</t>
        </is>
      </c>
      <c r="F8" s="31" t="n">
        <v>123396503245</v>
      </c>
    </row>
  </sheetData>
  <autoFilter ref="A2:F8"/>
  <mergeCells count="1">
    <mergeCell ref="A1:F1"/>
  </mergeCells>
  <pageMargins left="0.75" right="0.75" top="1" bottom="1" header="0.5" footer="0.5"/>
  <pageSetup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24" customHeight="1">
      <c r="A1" s="22" t="inlineStr">
        <is>
          <t>업로드 파이낸셜 모델링 파일에서 추출한 설계 archetype</t>
        </is>
      </c>
    </row>
    <row r="2" ht="24" customHeight="1">
      <c r="A2" s="25" t="inlineStr">
        <is>
          <t>모델 유형</t>
        </is>
      </c>
      <c r="B2" s="25" t="inlineStr">
        <is>
          <t>설명</t>
        </is>
      </c>
      <c r="C2" s="25" t="inlineStr">
        <is>
          <t>참조 파일 패턴</t>
        </is>
      </c>
      <c r="D2" s="25" t="inlineStr">
        <is>
          <t>관찰된 시트</t>
        </is>
      </c>
      <c r="E2" s="25" t="inlineStr">
        <is>
          <t>권장 시트</t>
        </is>
      </c>
      <c r="F2" s="25" t="inlineStr">
        <is>
          <t>필요 데이터</t>
        </is>
      </c>
      <c r="G2" s="25" t="inlineStr">
        <is>
          <t>키워드</t>
        </is>
      </c>
    </row>
    <row r="3" ht="24" customHeight="1">
      <c r="A3" s="24" t="inlineStr">
        <is>
          <t>DCF_CORE</t>
        </is>
      </c>
      <c r="B3" s="24" t="inlineStr">
        <is>
          <t>DCF 핵심 모델: 가정, 정규화 재무제표, WACC, FCF 추정, DCF, 검증체크.</t>
        </is>
      </c>
      <c r="C3" s="24" t="inlineStr">
        <is>
          <t>파이낸셜 모델링 플레이북 / DCF, Value, Valuation, FCF, WACC 실습형 파일</t>
        </is>
      </c>
      <c r="D3" s="24" t="inlineStr">
        <is>
          <t>DCF | Summary | Sales | COGS | SG&amp;A | CAPEX Dep. | WC | Debt | FCF | WACC | Value</t>
        </is>
      </c>
      <c r="E3" s="24" t="inlineStr">
        <is>
          <t>01_ReadMe | 02_Assumptions | 03_Raw_Financials | 04_Normalized_FS | 05_Key_Ratios | 06_WACC | 07_FCF_Projection | 08_DCF | 09_Sensitivity | 10_Checks</t>
        </is>
      </c>
      <c r="F3" s="24" t="inlineStr">
        <is>
          <t>financial_statements | price_history | capital_structure | macro_assumptions | shares_outstanding</t>
        </is>
      </c>
      <c r="G3" s="24" t="inlineStr">
        <is>
          <t>dcf | wacc | fcf | valuation | value | capex | debt</t>
        </is>
      </c>
    </row>
    <row r="4" ht="24" customHeight="1">
      <c r="A4" s="29" t="inlineStr">
        <is>
          <t>THREE_STATEMENT_MODEL</t>
        </is>
      </c>
      <c r="B4" s="29" t="inlineStr">
        <is>
          <t>Three-statement style model: PL/BS/CF raw data normalization and operating driver projection.</t>
        </is>
      </c>
      <c r="C4" s="29" t="inlineStr">
        <is>
          <t>재무모델링/재무기획 자료 중 FS, BS, PL, CF, Raw data, Normalized 형태</t>
        </is>
      </c>
      <c r="D4" s="29" t="inlineStr">
        <is>
          <t>FS | BS | PL | CF | Raw data | Input | Output | Check</t>
        </is>
      </c>
      <c r="E4" s="29" t="inlineStr">
        <is>
          <t>01_ReadMe | 02_Source_Map | 03_Raw_Financials | 04_Normalized_FS | 05_Ratio_Drivers | 06_Projection | 07_Checks</t>
        </is>
      </c>
      <c r="F4" s="29" t="inlineStr">
        <is>
          <t>financial_statements | account_mapping | historical_ratios | projection_drivers</t>
        </is>
      </c>
      <c r="G4" s="29" t="inlineStr">
        <is>
          <t>fs | bs | pl | cf | raw | normalized | projection</t>
        </is>
      </c>
    </row>
    <row r="5" ht="24" customHeight="1">
      <c r="A5" s="24" t="inlineStr">
        <is>
          <t>PEER_COMPS</t>
        </is>
      </c>
      <c r="B5" s="24" t="inlineStr">
        <is>
          <t>Comparable-company workbook for peer multiples and relative valuation.</t>
        </is>
      </c>
      <c r="C5" s="24" t="inlineStr">
        <is>
          <t>Peer Analysis, 시장/산업 비교, valuation multiple 관련 시트</t>
        </is>
      </c>
      <c r="D5" s="24" t="inlineStr">
        <is>
          <t>Peer Analysis | Comps | Market | Industry | Output</t>
        </is>
      </c>
      <c r="E5" s="24" t="inlineStr">
        <is>
          <t>01_ReadMe | 02_Peer_Universe | 03_Peer_Raw_Data | 04_Peer_Multiples | 05_Relative_Value | 06_Checks</t>
        </is>
      </c>
      <c r="F5" s="24" t="inlineStr">
        <is>
          <t>peer_financials | peer_prices | market_cap | revenue | net_income | equity</t>
        </is>
      </c>
      <c r="G5" s="24" t="inlineStr">
        <is>
          <t>peer | comps | multiple | per | pbr | psr | ev</t>
        </is>
      </c>
    </row>
    <row r="6" ht="24" customHeight="1">
      <c r="A6" s="29" t="inlineStr">
        <is>
          <t>SCENARIO_SENSITIVITY</t>
        </is>
      </c>
      <c r="B6" s="29" t="inlineStr">
        <is>
          <t>Scenario workbook: base/bull/bear assumptions and DCF sensitivity table.</t>
        </is>
      </c>
      <c r="C6" s="29" t="inlineStr">
        <is>
          <t>Scenario, Sensitivity, 가정별 변화 보기, Check 관련 시트</t>
        </is>
      </c>
      <c r="D6" s="29" t="inlineStr">
        <is>
          <t>Scenario | Sensitivity | Input | Check | Output</t>
        </is>
      </c>
      <c r="E6" s="29" t="inlineStr">
        <is>
          <t>01_ReadMe | 02_Assumptions | 03_Scenario_Setup | 04_DCF_Base | 05_Sensitivity | 06_Checks</t>
        </is>
      </c>
      <c r="F6" s="29" t="inlineStr">
        <is>
          <t>base_assumptions | wacc_range | terminal_growth_range | growth_scenarios</t>
        </is>
      </c>
      <c r="G6" s="29" t="inlineStr">
        <is>
          <t>scenario | sensitivity | case | bear | bull | check</t>
        </is>
      </c>
    </row>
    <row r="7" ht="24" customHeight="1">
      <c r="A7" s="24" t="inlineStr">
        <is>
          <t>MANUFACTURING_DRIVER_MODEL</t>
        </is>
      </c>
      <c r="B7" s="24" t="inlineStr">
        <is>
          <t>Manufacturing-style driver model inferred from sheets such as Sales, COGS, CAPEX, SG&amp;A, WC, TAX, DEBT and Backdata.</t>
        </is>
      </c>
      <c r="C7" s="24" t="inlineStr">
        <is>
          <t>제조업/DCF Valuation_after_22ver/DCF+CoCo Valuation+reporting 등 driver-based workbook</t>
        </is>
      </c>
      <c r="D7" s="24" t="inlineStr">
        <is>
          <t>DCF Results | Output☞ | Report | CoCo | DCF | FCST BS | FCST IS | FCST CF | WP☞ | Assumption | Sales | COGS | CAPEX | Payroll | SG&amp;A | DEBT | TAX | WC | WACC | Backdata☞</t>
        </is>
      </c>
      <c r="E7" s="24" t="inlineStr">
        <is>
          <t>01_ReadMe | 02_Assumptions | 03_Raw_Financials | 04_Driver_Input | 05_Revenue_COGS_SGA | 06_CAPEX_WC_Tax | 07_Forecast_FS | 08_WACC | 09_DCF | 10_CoCo | 11_Report</t>
        </is>
      </c>
      <c r="F7" s="24" t="inlineStr">
        <is>
          <t>historical_fs | sales_driver | margin_driver | capex_driver | working_capital_driver | tax_assumption | debt_assumption</t>
        </is>
      </c>
      <c r="G7" s="24" t="inlineStr">
        <is>
          <t>manufacturing | driver | sales | cogs | capex | wc | tax | coco</t>
        </is>
      </c>
    </row>
    <row r="8" ht="24" customHeight="1">
      <c r="A8" s="29" t="inlineStr">
        <is>
          <t>FPNA_BUDGET_FORECAST</t>
        </is>
      </c>
      <c r="B8" s="29" t="inlineStr">
        <is>
          <t>FP&amp;A budget/forecast model inferred from Legend, Scenario, Input, Inventory, Cost, Working Capital and Financial Statement sheets.</t>
        </is>
      </c>
      <c r="C8" s="29" t="inlineStr">
        <is>
          <t>FP&amp;A / Budget &amp; Forecast xlsm examples</t>
        </is>
      </c>
      <c r="D8" s="29" t="inlineStr">
        <is>
          <t>Legend | Scenario | Input | Inventory | Cost | Working capital | Dep &amp; Tax | Debt &amp; Equity | Financial Statement | Valuation | Check | Actual</t>
        </is>
      </c>
      <c r="E8" s="29" t="inlineStr">
        <is>
          <t>01_ReadMe | 02_Scenario | 03_Input | 04_Actual | 05_Budget_Forecast | 06_Working_Capital | 07_Debt_Equity | 08_Financial_Statement | 09_Valuation | 10_Check</t>
        </is>
      </c>
      <c r="F8" s="29" t="inlineStr">
        <is>
          <t>actual_fs | budget_assumptions | scenario_assumptions | inventory_driver | cost_driver | debt_equity_driver</t>
        </is>
      </c>
      <c r="G8" s="29" t="inlineStr">
        <is>
          <t>fp&amp;a | budget | forecast | scenario | inventory | cost | working capital</t>
        </is>
      </c>
    </row>
    <row r="9" ht="24" customHeight="1">
      <c r="A9" s="24" t="inlineStr">
        <is>
          <t>M_AND_A_DEAL_STRUCTURING</t>
        </is>
      </c>
      <c r="B9" s="24" t="inlineStr">
        <is>
          <t>M&amp;A/deal structuring workbook pattern for merger, secondary sale, rights offering and CB issuance outputs.</t>
        </is>
      </c>
      <c r="C9" s="24" t="inlineStr">
        <is>
          <t>M&amp;A modeling pack / deal structuring exercise</t>
        </is>
      </c>
      <c r="D9" s="24" t="inlineStr">
        <is>
          <t>합병 | 구주매각 | 유상증자 | CB발행 | Peer Analysis | FS (dart) | Peer data (CapIQ) | 참고) Peer List (네이버증권)</t>
        </is>
      </c>
      <c r="E9" s="24" t="inlineStr">
        <is>
          <t>01_ReadMe | 02_Deal_Assumptions | 03_Target_FS | 04_Peer_Comps | 05_Merger | 06_Equity_Issuance | 07_CB_Issuance | 08_Value_Impact | 09_Checks</t>
        </is>
      </c>
      <c r="F9" s="24" t="inlineStr">
        <is>
          <t>target_fs | peer_multiples | deal_assumptions | share_price | capital_structure</t>
        </is>
      </c>
      <c r="G9" s="24" t="inlineStr">
        <is>
          <t>m&amp;a | deal | merger | cb | issuance | peer analysis</t>
        </is>
      </c>
    </row>
    <row r="10" ht="24" customHeight="1">
      <c r="A10" s="29" t="inlineStr">
        <is>
          <t>LBO_CREDIT_CASE</t>
        </is>
      </c>
      <c r="B10" s="29" t="inlineStr">
        <is>
          <t>LBO/debt capacity style model inferred from assumptions, covenants, FCFF, debt and country/rate sheets.</t>
        </is>
      </c>
      <c r="C10" s="29" t="inlineStr">
        <is>
          <t>part10 LBO modeling pack</t>
        </is>
      </c>
      <c r="D10" s="29" t="inlineStr">
        <is>
          <t>Assumptions | Covenants | FCFF (Hold Co) | FCFF(Op) | 추정PL | Sales | PL | BS | Summary | 채권수익률</t>
        </is>
      </c>
      <c r="E10" s="29" t="inlineStr">
        <is>
          <t>01_ReadMe | 02_Assumptions | 03_FCFF | 04_Debt_Schedule | 05_Covenants | 06_Returns | 07_Credit_Checks</t>
        </is>
      </c>
      <c r="F10" s="29" t="inlineStr">
        <is>
          <t>fcff | debt_assumption | interest_rate | covenant_threshold | exit_multiple</t>
        </is>
      </c>
      <c r="G10" s="29" t="inlineStr">
        <is>
          <t>lbo | covenant | debt | fcff | exit | credit</t>
        </is>
      </c>
    </row>
    <row r="11" ht="24" customHeight="1">
      <c r="A11" s="24" t="inlineStr">
        <is>
          <t>RISK_DASHBOARD_EXPORT</t>
        </is>
      </c>
      <c r="B11" s="24" t="inlineStr">
        <is>
          <t>Dashboard/export workbook for investor-facing outputs, risk checks and downloadable payloads.</t>
        </is>
      </c>
      <c r="C11" s="24" t="inlineStr">
        <is>
          <t>ChatGPT로 완성하는 파이낸셜 모델링 및 재무기획 / 수업개요, 엑셀함수, 데이터베이스 스키마, Dashboard/Output</t>
        </is>
      </c>
      <c r="D11" s="24" t="inlineStr">
        <is>
          <t>수업개요 | 엑셀함수소개 | Sheet1 | Dashboard | Output</t>
        </is>
      </c>
      <c r="E11" s="24" t="inlineStr">
        <is>
          <t>01_ReadMe | 02_Raw_Data | 03_Normalized | 04_Output | 05_Dashboard_Export | 06_Checks</t>
        </is>
      </c>
      <c r="F11" s="24" t="inlineStr">
        <is>
          <t>valuation_metrics | risk_flags | chart_series | dashboard_payload | validation_status</t>
        </is>
      </c>
      <c r="G11" s="24" t="inlineStr">
        <is>
          <t>dashboard | output | export | risk | schema | check</t>
        </is>
      </c>
    </row>
  </sheetData>
  <autoFilter ref="A2:G11"/>
  <mergeCells count="1">
    <mergeCell ref="A1:F1"/>
  </mergeCells>
  <pageMargins left="0.75" right="0.75" top="1" bottom="1" header="0.5" footer="0.5"/>
  <pageSetup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45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DB하이텍 투자자용 요약</t>
        </is>
      </c>
    </row>
    <row r="2" ht="28" customHeight="1">
      <c r="A2" s="17" t="inlineStr">
        <is>
          <t>Valuation Agent 단독 산출: 재무 원천·주가·DCF·Peer·ML 보조판단을 한 장으로 요약</t>
        </is>
      </c>
    </row>
    <row r="3" ht="24" customHeight="1"/>
    <row r="4" ht="24" customHeight="1">
      <c r="A4" s="22" t="inlineStr">
        <is>
          <t>투자자 핵심 요약</t>
        </is>
      </c>
    </row>
    <row r="5" ht="24" customHeight="1">
      <c r="A5" s="25" t="inlineStr">
        <is>
          <t>구분</t>
        </is>
      </c>
      <c r="B5" s="25" t="inlineStr">
        <is>
          <t>핵심값</t>
        </is>
      </c>
      <c r="C5" s="25" t="inlineStr">
        <is>
          <t>해석</t>
        </is>
      </c>
    </row>
    <row r="6" ht="24" customHeight="1">
      <c r="A6" s="24" t="inlineStr">
        <is>
          <t>데이터 상태</t>
        </is>
      </c>
      <c r="B6" s="24" t="inlineStr">
        <is>
          <t>PASS</t>
        </is>
      </c>
      <c r="C6" s="24" t="inlineStr">
        <is>
          <t>PASS이면 workbook/dashboard용 주요 입력값이 준비된 상태</t>
        </is>
      </c>
    </row>
    <row r="7" ht="24" customHeight="1">
      <c r="A7" s="29" t="inlineStr">
        <is>
          <t>현재가</t>
        </is>
      </c>
      <c r="B7" s="31" t="n">
        <v>155800</v>
      </c>
      <c r="C7" s="29" t="inlineStr">
        <is>
          <t>주가 intake 기준 최근 종가</t>
        </is>
      </c>
    </row>
    <row r="8" ht="24" customHeight="1">
      <c r="A8" s="24" t="inlineStr">
        <is>
          <t>시가총액</t>
        </is>
      </c>
      <c r="B8" s="30" t="n">
        <v>6795554618600</v>
      </c>
      <c r="C8" s="24" t="inlineStr">
        <is>
          <t>현재가 × 발행주식 수</t>
        </is>
      </c>
    </row>
    <row r="9" ht="24" customHeight="1">
      <c r="A9" s="29" t="inlineStr">
        <is>
          <t>최근 매출액</t>
        </is>
      </c>
      <c r="B9" s="31" t="n">
        <v>1397233307039</v>
      </c>
      <c r="C9" s="29" t="inlineStr">
        <is>
          <t>DART 기반 정규화 재무제표</t>
        </is>
      </c>
    </row>
    <row r="10" ht="24" customHeight="1">
      <c r="A10" s="24" t="inlineStr">
        <is>
          <t>최근 영업이익률</t>
        </is>
      </c>
      <c r="B10" s="30" t="n">
        <v>0.1984597416745234</v>
      </c>
      <c r="C10" s="24" t="inlineStr">
        <is>
          <t>영업이익 / 매출액</t>
        </is>
      </c>
    </row>
    <row r="11" ht="24" customHeight="1">
      <c r="A11" s="29" t="inlineStr">
        <is>
          <t>최근 FCF margin</t>
        </is>
      </c>
      <c r="B11" s="31" t="n">
        <v>0.2496384447449077</v>
      </c>
      <c r="C11" s="29" t="inlineStr">
        <is>
          <t>FCF / 매출액</t>
        </is>
      </c>
    </row>
    <row r="12" ht="24" customHeight="1">
      <c r="A12" s="24" t="inlineStr">
        <is>
          <t>WACC</t>
        </is>
      </c>
      <c r="B12" s="30" t="n">
        <v>0.1329581763489804</v>
      </c>
      <c r="C12" s="24" t="inlineStr">
        <is>
          <t>DCF 할인율</t>
        </is>
      </c>
    </row>
    <row r="13" ht="24" customHeight="1">
      <c r="A13" s="29" t="inlineStr">
        <is>
          <t>DCF 기업가치</t>
        </is>
      </c>
      <c r="B13" s="31" t="n">
        <v>2762447802259.066</v>
      </c>
      <c r="C13" s="29" t="inlineStr">
        <is>
          <t>명시기간 FCF + Terminal Value 현재가치</t>
        </is>
      </c>
    </row>
    <row r="14" ht="24" customHeight="1">
      <c r="A14" s="24" t="inlineStr">
        <is>
          <t>DCF 내재주가</t>
        </is>
      </c>
      <c r="B14" s="30" t="n">
        <v>53577.89478486914</v>
      </c>
      <c r="C14" s="24" t="inlineStr">
        <is>
          <t>지분가치 / 발행주식 수</t>
        </is>
      </c>
    </row>
    <row r="15" ht="24" customHeight="1">
      <c r="A15" s="29" t="inlineStr">
        <is>
          <t>현재가 대비 괴리율</t>
        </is>
      </c>
      <c r="B15" s="31" t="n">
        <v>-0.6561110732678489</v>
      </c>
      <c r="C15" s="29" t="inlineStr">
        <is>
          <t>내재주가 / 현재가 - 1</t>
        </is>
      </c>
    </row>
    <row r="16" ht="24" customHeight="1">
      <c r="A16" s="24" t="inlineStr">
        <is>
          <t>P/S</t>
        </is>
      </c>
      <c r="B16" s="30" t="n">
        <v>1.187366562371241</v>
      </c>
      <c r="C16" s="24" t="inlineStr">
        <is>
          <t>피어 대비 저PSR 구간: 상대 저평가 가능성</t>
        </is>
      </c>
    </row>
    <row r="17" ht="24" customHeight="1">
      <c r="A17" s="29" t="inlineStr">
        <is>
          <t>Peer P/S 중앙값</t>
        </is>
      </c>
      <c r="B17" s="31" t="n">
        <v>3.535962270359559</v>
      </c>
      <c r="C17" s="29" t="inlineStr">
        <is>
          <t>5개 live peer 기준 상대가치 비교</t>
        </is>
      </c>
    </row>
    <row r="18" ht="24" customHeight="1">
      <c r="A18" s="24" t="inlineStr">
        <is>
          <t>208개 Universe</t>
        </is>
      </c>
      <c r="B18" s="30" t="n">
        <v>208</v>
      </c>
      <c r="C18" s="24" t="inlineStr">
        <is>
          <t>IDM/제조/메모리</t>
        </is>
      </c>
    </row>
    <row r="19" ht="24" customHeight="1">
      <c r="A19" s="29" t="inlineStr">
        <is>
          <t>1년 수익률</t>
        </is>
      </c>
      <c r="B19" s="31" t="n">
        <v>2.954314720812183</v>
      </c>
      <c r="C19" s="29" t="inlineStr">
        <is>
          <t>최근 약 1년 주가 변화</t>
        </is>
      </c>
    </row>
    <row r="20" ht="24" customHeight="1">
      <c r="A20" s="24" t="inlineStr">
        <is>
          <t>MDD</t>
        </is>
      </c>
      <c r="B20" s="30" t="n">
        <v>-0.6560659599528857</v>
      </c>
      <c r="C20" s="24" t="inlineStr">
        <is>
          <t>수집 기간 중 최대 낙폭</t>
        </is>
      </c>
    </row>
    <row r="21" ht="24" customHeight="1">
      <c r="A21" s="29" t="inlineStr">
        <is>
          <t>20일 평균 거래대금</t>
        </is>
      </c>
      <c r="B21" s="31" t="n">
        <v>123396503245</v>
      </c>
      <c r="C21" s="29" t="inlineStr">
        <is>
          <t>거래 유동성 proxy</t>
        </is>
      </c>
    </row>
    <row r="22" ht="24" customHeight="1">
      <c r="A22" s="22" t="inlineStr">
        <is>
          <t>활용 체크포인트</t>
        </is>
      </c>
      <c r="B22" s="32" t="n"/>
      <c r="C22" s="32" t="n"/>
      <c r="D22" s="32" t="n"/>
      <c r="E22" s="32" t="n"/>
      <c r="F22" s="33" t="n"/>
    </row>
    <row r="23" ht="24" customHeight="1">
      <c r="A23" s="25" t="inlineStr">
        <is>
          <t>체크포인트</t>
        </is>
      </c>
      <c r="B23" s="34" t="inlineStr">
        <is>
          <t>내용</t>
        </is>
      </c>
      <c r="C23" s="29" t="inlineStr">
        <is>
          <t>반도체 5개 focal universe</t>
        </is>
      </c>
    </row>
    <row r="24" ht="24" customHeight="1">
      <c r="A24" s="24" t="inlineStr">
        <is>
          <t>가중합 반영</t>
        </is>
      </c>
      <c r="B24" s="24" t="inlineStr">
        <is>
          <t>기존 Chair 5개 에이전트 가중합에는 미반영. 보조 가치평가·다운로드 산출물로 사용</t>
        </is>
      </c>
    </row>
    <row r="25" ht="24" customHeight="1">
      <c r="A25" s="29" t="inlineStr">
        <is>
          <t>Finance와 중복 방지</t>
        </is>
      </c>
      <c r="B25" s="29" t="inlineStr">
        <is>
          <t>finance_agent 산출물을 읽지 않고 valuation/intake 산출물만 사용</t>
        </is>
      </c>
    </row>
    <row r="26" ht="24" customHeight="1">
      <c r="A26" s="24" t="inlineStr">
        <is>
          <t>대시보드 연결</t>
        </is>
      </c>
      <c r="B26" s="24" t="inlineStr">
        <is>
          <t>dashboard_payload.json과 workbook 시트를 그대로 Streamlit/React 다운로드 영역에 연결 가능</t>
        </is>
      </c>
    </row>
    <row r="27" ht="24" customHeight="1">
      <c r="A27" s="29" t="inlineStr">
        <is>
          <t>PSR/208개 Universe</t>
        </is>
      </c>
      <c r="B27" s="29" t="inlineStr">
        <is>
          <t>P/S와 208개 반도체 reference universe를 함께 보여줘 단순 DCF보다 비교 설명력을 강화</t>
        </is>
      </c>
    </row>
    <row r="28" ht="24" customHeight="1">
      <c r="A28" s="24" t="inlineStr">
        <is>
          <t>해석 주의</t>
        </is>
      </c>
      <c r="B28" s="24" t="inlineStr">
        <is>
          <t>DCF는 가정 민감도가 크므로 WACC·성장률·FCF margin 민감도 시트와 함께 확인</t>
        </is>
      </c>
    </row>
  </sheetData>
  <autoFilter ref="A23:B28"/>
  <mergeCells count="4">
    <mergeCell ref="A1:J1"/>
    <mergeCell ref="A22:F22"/>
    <mergeCell ref="A4:F4"/>
    <mergeCell ref="A2:J2"/>
  </mergeCells>
  <pageMargins left="0.75" right="0.75" top="1" bottom="1" header="0.5" footer="0.5"/>
  <pageSetup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AH2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4" customWidth="1" min="1" max="1"/>
    <col width="14" customWidth="1" min="2" max="2"/>
    <col width="14" customWidth="1" min="3" max="3"/>
    <col width="14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30" customHeight="1">
      <c r="A1" s="16" t="inlineStr">
        <is>
          <t>208개 반도체 Reference Universe</t>
        </is>
      </c>
    </row>
    <row r="2" ht="28" customHeight="1">
      <c r="A2" s="17" t="inlineStr">
        <is>
          <t>Tech의 대규모 반도체 universe와 같은 축을 Valuation Agent가 자체 intake로 복제해 PSR/ML 보조판단에 활용</t>
        </is>
      </c>
    </row>
    <row r="3" ht="24" customHeight="1"/>
    <row r="4" ht="24" customHeight="1">
      <c r="A4" s="22" t="inlineStr">
        <is>
          <t>Universe 요약</t>
        </is>
      </c>
    </row>
    <row r="5" ht="24" customHeight="1">
      <c r="A5" s="25" t="inlineStr">
        <is>
          <t>항목</t>
        </is>
      </c>
      <c r="B5" s="25" t="inlineStr">
        <is>
          <t>값</t>
        </is>
      </c>
    </row>
    <row r="6" ht="24" customHeight="1">
      <c r="A6" s="24" t="inlineStr">
        <is>
          <t>status</t>
        </is>
      </c>
      <c r="B6" s="24" t="inlineStr">
        <is>
          <t>OK</t>
        </is>
      </c>
    </row>
    <row r="7" ht="24" customHeight="1">
      <c r="A7" s="29" t="inlineStr">
        <is>
          <t>created_at</t>
        </is>
      </c>
      <c r="B7" s="29" t="inlineStr">
        <is>
          <t>2026-05-20T11:12:37</t>
        </is>
      </c>
    </row>
    <row r="8" ht="24" customHeight="1">
      <c r="A8" s="24" t="inlineStr">
        <is>
          <t>reference_universe_rows</t>
        </is>
      </c>
      <c r="B8" s="30" t="n">
        <v>208</v>
      </c>
    </row>
    <row r="9" ht="24" customHeight="1">
      <c r="A9" s="29" t="inlineStr">
        <is>
          <t>focus_rows</t>
        </is>
      </c>
      <c r="B9" s="31" t="n">
        <v>40</v>
      </c>
    </row>
    <row r="10" ht="24" customHeight="1">
      <c r="A10" s="24" t="inlineStr">
        <is>
          <t>focal_5_rows</t>
        </is>
      </c>
      <c r="B10" s="30" t="n">
        <v>5</v>
      </c>
    </row>
    <row r="11" ht="24" customHeight="1">
      <c r="A11" s="29" t="inlineStr">
        <is>
          <t>target_company</t>
        </is>
      </c>
      <c r="B11" s="29" t="inlineStr">
        <is>
          <t>DB하이텍</t>
        </is>
      </c>
    </row>
    <row r="12" ht="24" customHeight="1">
      <c r="A12" s="24" t="inlineStr">
        <is>
          <t>target_peer_group</t>
        </is>
      </c>
      <c r="B12" s="24" t="inlineStr">
        <is>
          <t>IDM/제조/메모리</t>
        </is>
      </c>
    </row>
    <row r="13" ht="24" customHeight="1">
      <c r="A13" s="29" t="inlineStr">
        <is>
          <t>target_peer_group_size</t>
        </is>
      </c>
      <c r="B13" s="31" t="n">
        <v>40</v>
      </c>
    </row>
    <row r="14" ht="24" customHeight="1">
      <c r="A14" s="24" t="inlineStr">
        <is>
          <t>attractive_rows</t>
        </is>
      </c>
      <c r="B14" s="30" t="n">
        <v>43</v>
      </c>
    </row>
    <row r="15" ht="24" customHeight="1">
      <c r="A15" s="29" t="inlineStr">
        <is>
          <t>high_risk_rows</t>
        </is>
      </c>
      <c r="B15" s="31" t="n">
        <v>67</v>
      </c>
    </row>
    <row r="16" ht="24" customHeight="1">
      <c r="A16" s="24" t="inlineStr">
        <is>
          <t>note</t>
        </is>
      </c>
      <c r="B16" s="24" t="inlineStr">
        <is>
          <t>Valuation Agent는 live DCF/PSR 산출과 별도로 208개 반도체 universe의 proxy score를 활용해 상대 위치를 보조 판단합니다.</t>
        </is>
      </c>
    </row>
    <row r="17" ht="24" customHeight="1">
      <c r="A17" s="29" t="inlineStr">
        <is>
          <t>source_path</t>
        </is>
      </c>
      <c r="B17" s="29" t="inlineStr">
        <is>
          <t>data/반도체/_sector_common/ml_universe/valuation_credit_ml_overlay_candidate.csv</t>
        </is>
      </c>
    </row>
    <row r="18" ht="24" customHeight="1">
      <c r="A18" s="24" t="inlineStr">
        <is>
          <t>exported_at</t>
        </is>
      </c>
      <c r="B18" s="24" t="inlineStr">
        <is>
          <t>2026-05-20T11:12:37</t>
        </is>
      </c>
    </row>
    <row r="19" ht="24" customHeight="1"/>
    <row r="20" ht="24" customHeight="1"/>
    <row r="21" ht="24" customHeight="1">
      <c r="A21" s="22" t="inlineStr">
        <is>
          <t>Target 중심 비교군</t>
        </is>
      </c>
    </row>
    <row r="22" ht="24" customHeight="1">
      <c r="A22" s="25" t="inlineStr">
        <is>
          <t>Universe 순번</t>
        </is>
      </c>
      <c r="B22" s="25" t="inlineStr">
        <is>
          <t>기업코드</t>
        </is>
      </c>
      <c r="C22" s="25" t="inlineStr">
        <is>
          <t>기업명</t>
        </is>
      </c>
      <c r="D22" s="25" t="inlineStr">
        <is>
          <t>종목코드</t>
        </is>
      </c>
      <c r="E22" s="25" t="inlineStr">
        <is>
          <t>시장</t>
        </is>
      </c>
      <c r="F22" s="25" t="inlineStr">
        <is>
          <t>피어 그룹</t>
        </is>
      </c>
      <c r="G22" s="25" t="inlineStr">
        <is>
          <t>반도체 세부군</t>
        </is>
      </c>
      <c r="H22" s="25" t="inlineStr">
        <is>
          <t>5개 핵심기업</t>
        </is>
      </c>
      <c r="I22" s="25" t="inlineStr">
        <is>
          <t>market_data_available</t>
        </is>
      </c>
      <c r="J22" s="25" t="inlineStr">
        <is>
          <t>데이터 품질</t>
        </is>
      </c>
      <c r="K22" s="25" t="inlineStr">
        <is>
          <t>데이터 품질 해석</t>
        </is>
      </c>
      <c r="L22" s="25" t="inlineStr">
        <is>
          <t>수동검토 우선순위</t>
        </is>
      </c>
      <c r="M22" s="25" t="inlineStr">
        <is>
          <t>수동검토 우선순위 해석</t>
        </is>
      </c>
      <c r="N22" s="25" t="inlineStr">
        <is>
          <t>Valuation Proxy 점수</t>
        </is>
      </c>
      <c r="O22" s="25" t="inlineStr">
        <is>
          <t>Valuation Proxy 라벨</t>
        </is>
      </c>
      <c r="P22" s="25" t="inlineStr">
        <is>
          <t>가치 라벨</t>
        </is>
      </c>
      <c r="Q22" s="25" t="inlineStr">
        <is>
          <t>valuation_pred_label</t>
        </is>
      </c>
      <c r="R22" s="25" t="inlineStr">
        <is>
          <t>Valuation 신뢰도</t>
        </is>
      </c>
      <c r="S22" s="25" t="inlineStr">
        <is>
          <t>valuation_confidence_bucket</t>
        </is>
      </c>
      <c r="T22" s="25" t="inlineStr">
        <is>
          <t>valuation_confidence_bucket_kr</t>
        </is>
      </c>
      <c r="U22" s="25" t="inlineStr">
        <is>
          <t>Credit Risk 점수</t>
        </is>
      </c>
      <c r="V22" s="25" t="inlineStr">
        <is>
          <t>Credit Risk 라벨</t>
        </is>
      </c>
      <c r="W22" s="25" t="inlineStr">
        <is>
          <t>신용위험 라벨</t>
        </is>
      </c>
      <c r="X22" s="25" t="inlineStr">
        <is>
          <t>credit_pred_label</t>
        </is>
      </c>
      <c r="Y22" s="25" t="inlineStr">
        <is>
          <t>Credit 신뢰도</t>
        </is>
      </c>
      <c r="Z22" s="25" t="inlineStr">
        <is>
          <t>credit_confidence_bucket</t>
        </is>
      </c>
      <c r="AA22" s="25" t="inlineStr">
        <is>
          <t>credit_confidence_bucket_kr</t>
        </is>
      </c>
      <c r="AB22" s="25" t="inlineStr">
        <is>
          <t>Credit 이상치 점수</t>
        </is>
      </c>
      <c r="AC22" s="25" t="inlineStr">
        <is>
          <t>credit_anomaly_flag_top15pct</t>
        </is>
      </c>
      <c r="AD22" s="25" t="inlineStr">
        <is>
          <t>auditor_requires_human_review</t>
        </is>
      </c>
      <c r="AE22" s="25" t="inlineStr">
        <is>
          <t>출처 유형</t>
        </is>
      </c>
      <c r="AF22" s="25" t="inlineStr">
        <is>
          <t>출처 설명</t>
        </is>
      </c>
      <c r="AG22" s="25" t="inlineStr">
        <is>
          <t>포함 사유</t>
        </is>
      </c>
      <c r="AH22" s="25" t="inlineStr">
        <is>
          <t>분석대상</t>
        </is>
      </c>
    </row>
    <row r="23" ht="24" customHeight="1">
      <c r="A23" s="24" t="inlineStr">
        <is>
          <t>1</t>
        </is>
      </c>
      <c r="B23" s="24" t="inlineStr">
        <is>
          <t>해당 없음</t>
        </is>
      </c>
      <c r="C23" s="24" t="inlineStr">
        <is>
          <t>DB하이텍</t>
        </is>
      </c>
      <c r="D23" s="24" t="inlineStr">
        <is>
          <t>000990</t>
        </is>
      </c>
      <c r="E23" s="24" t="inlineStr">
        <is>
          <t>KOSPI</t>
        </is>
      </c>
      <c r="F23" s="24" t="inlineStr">
        <is>
          <t>IDM/제조/메모리</t>
        </is>
      </c>
      <c r="G23" s="24" t="inlineStr">
        <is>
          <t>IDM/제조/메모리</t>
        </is>
      </c>
      <c r="H23" s="24" t="inlineStr">
        <is>
          <t>False</t>
        </is>
      </c>
      <c r="I23" s="24" t="inlineStr">
        <is>
          <t>True</t>
        </is>
      </c>
      <c r="J23" s="24" t="inlineStr">
        <is>
          <t>OK</t>
        </is>
      </c>
      <c r="K23" s="24" t="inlineStr">
        <is>
          <t>데이터 사용 가능</t>
        </is>
      </c>
      <c r="L23" s="24" t="inlineStr">
        <is>
          <t>LOW</t>
        </is>
      </c>
      <c r="M23" s="24" t="inlineStr">
        <is>
          <t>LOW</t>
        </is>
      </c>
      <c r="N23" s="24" t="inlineStr">
        <is>
          <t>0.6653333333333333</t>
        </is>
      </c>
      <c r="O23" s="24" t="inlineStr">
        <is>
          <t>ATTRACTIVE</t>
        </is>
      </c>
      <c r="P23" s="24" t="inlineStr">
        <is>
          <t>가치 매력</t>
        </is>
      </c>
      <c r="Q23" s="24" t="inlineStr">
        <is>
          <t>ATTRACTIVE</t>
        </is>
      </c>
      <c r="R23" s="24" t="inlineStr">
        <is>
          <t>0.9104444876024207</t>
        </is>
      </c>
      <c r="S23" s="24" t="inlineStr">
        <is>
          <t>HIGH</t>
        </is>
      </c>
      <c r="T23" s="24" t="inlineStr">
        <is>
          <t>HIGH</t>
        </is>
      </c>
      <c r="U23" s="24" t="inlineStr">
        <is>
          <t>0.0</t>
        </is>
      </c>
      <c r="V23" s="24" t="inlineStr">
        <is>
          <t>LOW_RISK</t>
        </is>
      </c>
      <c r="W23" s="24" t="inlineStr">
        <is>
          <t>저위험</t>
        </is>
      </c>
      <c r="X23" s="24" t="inlineStr">
        <is>
          <t>LOW_RISK</t>
        </is>
      </c>
      <c r="Y23" s="24" t="inlineStr">
        <is>
          <t>0.9880726272379208</t>
        </is>
      </c>
      <c r="Z23" s="24" t="inlineStr">
        <is>
          <t>HIGH</t>
        </is>
      </c>
      <c r="AA23" s="24" t="inlineStr">
        <is>
          <t>HIGH</t>
        </is>
      </c>
      <c r="AB23" s="24" t="inlineStr">
        <is>
          <t>0.04988685023425709</t>
        </is>
      </c>
      <c r="AC23" s="24" t="inlineStr">
        <is>
          <t>False</t>
        </is>
      </c>
      <c r="AD23" s="24" t="inlineStr">
        <is>
          <t>False</t>
        </is>
      </c>
      <c r="AE23" s="24" t="inlineStr">
        <is>
          <t>valuation_credit_ml_overlay_candidate.csv</t>
        </is>
      </c>
      <c r="AF23" s="24" t="inlineStr">
        <is>
          <t>208개 반도체 reference universe. Valuation Agent가 자체 intake 폴더로 복제해 Peer/ML/대시보드 비교에 사용.</t>
        </is>
      </c>
      <c r="AG23" s="24" t="inlineStr">
        <is>
          <t>TARGET</t>
        </is>
      </c>
      <c r="AH23" s="24" t="inlineStr">
        <is>
          <t>True</t>
        </is>
      </c>
    </row>
    <row r="24" ht="24" customHeight="1">
      <c r="A24" s="29" t="inlineStr">
        <is>
          <t>10</t>
        </is>
      </c>
      <c r="B24" s="29" t="inlineStr">
        <is>
          <t>해당 없음</t>
        </is>
      </c>
      <c r="C24" s="29" t="inlineStr">
        <is>
          <t>미코</t>
        </is>
      </c>
      <c r="D24" s="29" t="inlineStr">
        <is>
          <t>059090</t>
        </is>
      </c>
      <c r="E24" s="29" t="inlineStr">
        <is>
          <t>KOSDAQ</t>
        </is>
      </c>
      <c r="F24" s="29" t="inlineStr">
        <is>
          <t>IDM/제조/메모리</t>
        </is>
      </c>
      <c r="G24" s="29" t="inlineStr">
        <is>
          <t>IDM/제조/메모리</t>
        </is>
      </c>
      <c r="H24" s="29" t="inlineStr">
        <is>
          <t>False</t>
        </is>
      </c>
      <c r="I24" s="29" t="inlineStr">
        <is>
          <t>True</t>
        </is>
      </c>
      <c r="J24" s="29" t="inlineStr">
        <is>
          <t>OK</t>
        </is>
      </c>
      <c r="K24" s="29" t="inlineStr">
        <is>
          <t>데이터 사용 가능</t>
        </is>
      </c>
      <c r="L24" s="29" t="inlineStr">
        <is>
          <t>LOW</t>
        </is>
      </c>
      <c r="M24" s="29" t="inlineStr">
        <is>
          <t>LOW</t>
        </is>
      </c>
      <c r="N24" s="29" t="inlineStr">
        <is>
          <t>0.7733333333333334</t>
        </is>
      </c>
      <c r="O24" s="29" t="inlineStr">
        <is>
          <t>FAIR</t>
        </is>
      </c>
      <c r="P24" s="29" t="inlineStr">
        <is>
          <t>FAIR</t>
        </is>
      </c>
      <c r="Q24" s="29" t="inlineStr">
        <is>
          <t>FAIR</t>
        </is>
      </c>
      <c r="R24" s="29" t="inlineStr">
        <is>
          <t>0.9066669659525092</t>
        </is>
      </c>
      <c r="S24" s="29" t="inlineStr">
        <is>
          <t>HIGH</t>
        </is>
      </c>
      <c r="T24" s="29" t="inlineStr">
        <is>
          <t>HIGH</t>
        </is>
      </c>
      <c r="U24" s="29" t="inlineStr">
        <is>
          <t>0.2142857142857142</t>
        </is>
      </c>
      <c r="V24" s="29" t="inlineStr">
        <is>
          <t>MEDIUM_RISK</t>
        </is>
      </c>
      <c r="W24" s="29" t="inlineStr">
        <is>
          <t>중위험</t>
        </is>
      </c>
      <c r="X24" s="29" t="inlineStr">
        <is>
          <t>MEDIUM_RISK</t>
        </is>
      </c>
      <c r="Y24" s="29" t="inlineStr">
        <is>
          <t>0.6769145960065608</t>
        </is>
      </c>
      <c r="Z24" s="29" t="inlineStr">
        <is>
          <t>MEDIUM</t>
        </is>
      </c>
      <c r="AA24" s="29" t="inlineStr">
        <is>
          <t>MEDIUM</t>
        </is>
      </c>
      <c r="AB24" s="29" t="inlineStr">
        <is>
          <t>0.10646038380774528</t>
        </is>
      </c>
      <c r="AC24" s="29" t="inlineStr">
        <is>
          <t>False</t>
        </is>
      </c>
      <c r="AD24" s="29" t="inlineStr">
        <is>
          <t>False</t>
        </is>
      </c>
      <c r="AE24" s="29" t="inlineStr">
        <is>
          <t>valuation_credit_ml_overlay_candidate.csv</t>
        </is>
      </c>
      <c r="AF24" s="29" t="inlineStr">
        <is>
          <t>208개 반도체 reference universe. Valuation Agent가 자체 intake 폴더로 복제해 Peer/ML/대시보드 비교에 사용.</t>
        </is>
      </c>
      <c r="AG24" s="29" t="inlineStr">
        <is>
          <t>SAME_PEER_GROUP</t>
        </is>
      </c>
      <c r="AH24" s="29" t="inlineStr">
        <is>
          <t>False</t>
        </is>
      </c>
    </row>
    <row r="25" ht="24" customHeight="1">
      <c r="A25" s="24" t="inlineStr">
        <is>
          <t>22</t>
        </is>
      </c>
      <c r="B25" s="24" t="inlineStr">
        <is>
          <t>해당 없음</t>
        </is>
      </c>
      <c r="C25" s="24" t="inlineStr">
        <is>
          <t>엘디티</t>
        </is>
      </c>
      <c r="D25" s="24" t="inlineStr">
        <is>
          <t>096870</t>
        </is>
      </c>
      <c r="E25" s="24" t="inlineStr">
        <is>
          <t>KOSDAQ</t>
        </is>
      </c>
      <c r="F25" s="24" t="inlineStr">
        <is>
          <t>IDM/제조/메모리</t>
        </is>
      </c>
      <c r="G25" s="24" t="inlineStr">
        <is>
          <t>IDM/제조/메모리</t>
        </is>
      </c>
      <c r="H25" s="24" t="inlineStr">
        <is>
          <t>False</t>
        </is>
      </c>
      <c r="I25" s="24" t="inlineStr">
        <is>
          <t>True</t>
        </is>
      </c>
      <c r="J25" s="24" t="inlineStr">
        <is>
          <t>OK</t>
        </is>
      </c>
      <c r="K25" s="24" t="inlineStr">
        <is>
          <t>데이터 사용 가능</t>
        </is>
      </c>
      <c r="L25" s="24" t="inlineStr">
        <is>
          <t>LOW</t>
        </is>
      </c>
      <c r="M25" s="24" t="inlineStr">
        <is>
          <t>LOW</t>
        </is>
      </c>
      <c r="N25" s="24" t="inlineStr">
        <is>
          <t>0.7518333333333332</t>
        </is>
      </c>
      <c r="O25" s="24" t="inlineStr">
        <is>
          <t>ATTRACTIVE</t>
        </is>
      </c>
      <c r="P25" s="24" t="inlineStr">
        <is>
          <t>가치 매력</t>
        </is>
      </c>
      <c r="Q25" s="24" t="inlineStr">
        <is>
          <t>ATTRACTIVE</t>
        </is>
      </c>
      <c r="R25" s="24" t="inlineStr">
        <is>
          <t>0.8817908899004964</t>
        </is>
      </c>
      <c r="S25" s="24" t="inlineStr">
        <is>
          <t>HIGH</t>
        </is>
      </c>
      <c r="T25" s="24" t="inlineStr">
        <is>
          <t>HIGH</t>
        </is>
      </c>
      <c r="U25" s="24" t="inlineStr">
        <is>
          <t>0.0714285714285714</t>
        </is>
      </c>
      <c r="V25" s="24" t="inlineStr">
        <is>
          <t>LOW_RISK</t>
        </is>
      </c>
      <c r="W25" s="24" t="inlineStr">
        <is>
          <t>저위험</t>
        </is>
      </c>
      <c r="X25" s="24" t="inlineStr">
        <is>
          <t>LOW_RISK</t>
        </is>
      </c>
      <c r="Y25" s="24" t="inlineStr">
        <is>
          <t>0.8068970516192283</t>
        </is>
      </c>
      <c r="Z25" s="24" t="inlineStr">
        <is>
          <t>HIGH</t>
        </is>
      </c>
      <c r="AA25" s="24" t="inlineStr">
        <is>
          <t>HIGH</t>
        </is>
      </c>
      <c r="AB25" s="24" t="inlineStr">
        <is>
          <t>0.2312715560027526</t>
        </is>
      </c>
      <c r="AC25" s="24" t="inlineStr">
        <is>
          <t>False</t>
        </is>
      </c>
      <c r="AD25" s="24" t="inlineStr">
        <is>
          <t>False</t>
        </is>
      </c>
      <c r="AE25" s="24" t="inlineStr">
        <is>
          <t>valuation_credit_ml_overlay_candidate.csv</t>
        </is>
      </c>
      <c r="AF25" s="24" t="inlineStr">
        <is>
          <t>208개 반도체 reference universe. Valuation Agent가 자체 intake 폴더로 복제해 Peer/ML/대시보드 비교에 사용.</t>
        </is>
      </c>
      <c r="AG25" s="24" t="inlineStr">
        <is>
          <t>SAME_PEER_GROUP</t>
        </is>
      </c>
      <c r="AH25" s="24" t="inlineStr">
        <is>
          <t>False</t>
        </is>
      </c>
    </row>
    <row r="26" ht="24" customHeight="1">
      <c r="A26" s="29" t="inlineStr">
        <is>
          <t>9</t>
        </is>
      </c>
      <c r="B26" s="29" t="inlineStr">
        <is>
          <t>해당 없음</t>
        </is>
      </c>
      <c r="C26" s="29" t="inlineStr">
        <is>
          <t>메카로</t>
        </is>
      </c>
      <c r="D26" s="29" t="inlineStr">
        <is>
          <t>241770</t>
        </is>
      </c>
      <c r="E26" s="29" t="inlineStr">
        <is>
          <t>KOSDAQ</t>
        </is>
      </c>
      <c r="F26" s="29" t="inlineStr">
        <is>
          <t>IDM/제조/메모리</t>
        </is>
      </c>
      <c r="G26" s="29" t="inlineStr">
        <is>
          <t>IDM/제조/메모리</t>
        </is>
      </c>
      <c r="H26" s="29" t="inlineStr">
        <is>
          <t>False</t>
        </is>
      </c>
      <c r="I26" s="29" t="inlineStr">
        <is>
          <t>True</t>
        </is>
      </c>
      <c r="J26" s="29" t="inlineStr">
        <is>
          <t>OK</t>
        </is>
      </c>
      <c r="K26" s="29" t="inlineStr">
        <is>
          <t>데이터 사용 가능</t>
        </is>
      </c>
      <c r="L26" s="29" t="inlineStr">
        <is>
          <t>LOW</t>
        </is>
      </c>
      <c r="M26" s="29" t="inlineStr">
        <is>
          <t>LOW</t>
        </is>
      </c>
      <c r="N26" s="29" t="inlineStr">
        <is>
          <t>0.7476666666666667</t>
        </is>
      </c>
      <c r="O26" s="29" t="inlineStr">
        <is>
          <t>ATTRACTIVE</t>
        </is>
      </c>
      <c r="P26" s="29" t="inlineStr">
        <is>
          <t>가치 매력</t>
        </is>
      </c>
      <c r="Q26" s="29" t="inlineStr">
        <is>
          <t>ATTRACTIVE</t>
        </is>
      </c>
      <c r="R26" s="29" t="inlineStr">
        <is>
          <t>0.9154158498128573</t>
        </is>
      </c>
      <c r="S26" s="29" t="inlineStr">
        <is>
          <t>HIGH</t>
        </is>
      </c>
      <c r="T26" s="29" t="inlineStr">
        <is>
          <t>HIGH</t>
        </is>
      </c>
      <c r="U26" s="29" t="inlineStr">
        <is>
          <t>0.0</t>
        </is>
      </c>
      <c r="V26" s="29" t="inlineStr">
        <is>
          <t>LOW_RISK</t>
        </is>
      </c>
      <c r="W26" s="29" t="inlineStr">
        <is>
          <t>저위험</t>
        </is>
      </c>
      <c r="X26" s="29" t="inlineStr">
        <is>
          <t>LOW_RISK</t>
        </is>
      </c>
      <c r="Y26" s="29" t="inlineStr">
        <is>
          <t>0.9196609311939408</t>
        </is>
      </c>
      <c r="Z26" s="29" t="inlineStr">
        <is>
          <t>HIGH</t>
        </is>
      </c>
      <c r="AA26" s="29" t="inlineStr">
        <is>
          <t>HIGH</t>
        </is>
      </c>
      <c r="AB26" s="29" t="inlineStr">
        <is>
          <t>0.12775877727770685</t>
        </is>
      </c>
      <c r="AC26" s="29" t="inlineStr">
        <is>
          <t>False</t>
        </is>
      </c>
      <c r="AD26" s="29" t="inlineStr">
        <is>
          <t>False</t>
        </is>
      </c>
      <c r="AE26" s="29" t="inlineStr">
        <is>
          <t>valuation_credit_ml_overlay_candidate.csv</t>
        </is>
      </c>
      <c r="AF26" s="29" t="inlineStr">
        <is>
          <t>208개 반도체 reference universe. Valuation Agent가 자체 intake 폴더로 복제해 Peer/ML/대시보드 비교에 사용.</t>
        </is>
      </c>
      <c r="AG26" s="29" t="inlineStr">
        <is>
          <t>SAME_PEER_GROUP</t>
        </is>
      </c>
      <c r="AH26" s="29" t="inlineStr">
        <is>
          <t>False</t>
        </is>
      </c>
    </row>
    <row r="27" ht="24" customHeight="1">
      <c r="A27" s="24" t="inlineStr">
        <is>
          <t>12</t>
        </is>
      </c>
      <c r="B27" s="24" t="inlineStr">
        <is>
          <t>해당 없음</t>
        </is>
      </c>
      <c r="C27" s="24" t="inlineStr">
        <is>
          <t>삼성전자</t>
        </is>
      </c>
      <c r="D27" s="24" t="inlineStr">
        <is>
          <t>005930</t>
        </is>
      </c>
      <c r="E27" s="24" t="inlineStr">
        <is>
          <t>KOSPI</t>
        </is>
      </c>
      <c r="F27" s="24" t="inlineStr">
        <is>
          <t>IDM/제조/메모리</t>
        </is>
      </c>
      <c r="G27" s="24" t="inlineStr">
        <is>
          <t>IDM/제조/메모리</t>
        </is>
      </c>
      <c r="H27" s="24" t="inlineStr">
        <is>
          <t>False</t>
        </is>
      </c>
      <c r="I27" s="24" t="inlineStr">
        <is>
          <t>True</t>
        </is>
      </c>
      <c r="J27" s="24" t="inlineStr">
        <is>
          <t>OK</t>
        </is>
      </c>
      <c r="K27" s="24" t="inlineStr">
        <is>
          <t>데이터 사용 가능</t>
        </is>
      </c>
      <c r="L27" s="24" t="inlineStr">
        <is>
          <t>LOW</t>
        </is>
      </c>
      <c r="M27" s="24" t="inlineStr">
        <is>
          <t>LOW</t>
        </is>
      </c>
      <c r="N27" s="24" t="inlineStr">
        <is>
          <t>0.7078333333333333</t>
        </is>
      </c>
      <c r="O27" s="24" t="inlineStr">
        <is>
          <t>ATTRACTIVE</t>
        </is>
      </c>
      <c r="P27" s="24" t="inlineStr">
        <is>
          <t>가치 매력</t>
        </is>
      </c>
      <c r="Q27" s="24" t="inlineStr">
        <is>
          <t>ATTRACTIVE</t>
        </is>
      </c>
      <c r="R27" s="24" t="inlineStr">
        <is>
          <t>0.9371541027950523</t>
        </is>
      </c>
      <c r="S27" s="24" t="inlineStr">
        <is>
          <t>HIGH</t>
        </is>
      </c>
      <c r="T27" s="24" t="inlineStr">
        <is>
          <t>HIGH</t>
        </is>
      </c>
      <c r="U27" s="24" t="inlineStr">
        <is>
          <t>0.0</t>
        </is>
      </c>
      <c r="V27" s="24" t="inlineStr">
        <is>
          <t>LOW_RISK</t>
        </is>
      </c>
      <c r="W27" s="24" t="inlineStr">
        <is>
          <t>저위험</t>
        </is>
      </c>
      <c r="X27" s="24" t="inlineStr">
        <is>
          <t>LOW_RISK</t>
        </is>
      </c>
      <c r="Y27" s="24" t="inlineStr">
        <is>
          <t>0.9760796731366836</t>
        </is>
      </c>
      <c r="Z27" s="24" t="inlineStr">
        <is>
          <t>HIGH</t>
        </is>
      </c>
      <c r="AA27" s="24" t="inlineStr">
        <is>
          <t>HIGH</t>
        </is>
      </c>
      <c r="AB27" s="24" t="inlineStr">
        <is>
          <t>0.4140062883705867</t>
        </is>
      </c>
      <c r="AC27" s="24" t="inlineStr">
        <is>
          <t>True</t>
        </is>
      </c>
      <c r="AD27" s="24" t="inlineStr">
        <is>
          <t>True</t>
        </is>
      </c>
      <c r="AE27" s="24" t="inlineStr">
        <is>
          <t>valuation_credit_ml_overlay_candidate.csv</t>
        </is>
      </c>
      <c r="AF27" s="24" t="inlineStr">
        <is>
          <t>208개 반도체 reference universe. Valuation Agent가 자체 intake 폴더로 복제해 Peer/ML/대시보드 비교에 사용.</t>
        </is>
      </c>
      <c r="AG27" s="24" t="inlineStr">
        <is>
          <t>SAME_PEER_GROUP</t>
        </is>
      </c>
      <c r="AH27" s="24" t="inlineStr">
        <is>
          <t>False</t>
        </is>
      </c>
    </row>
    <row r="28" ht="24" customHeight="1">
      <c r="A28" s="29" t="inlineStr">
        <is>
          <t>4</t>
        </is>
      </c>
      <c r="B28" s="29" t="inlineStr">
        <is>
          <t>해당 없음</t>
        </is>
      </c>
      <c r="C28" s="29" t="inlineStr">
        <is>
          <t>SK하이닉스</t>
        </is>
      </c>
      <c r="D28" s="29" t="inlineStr">
        <is>
          <t>000660</t>
        </is>
      </c>
      <c r="E28" s="29" t="inlineStr">
        <is>
          <t>KOSPI</t>
        </is>
      </c>
      <c r="F28" s="29" t="inlineStr">
        <is>
          <t>IDM/제조/메모리</t>
        </is>
      </c>
      <c r="G28" s="29" t="inlineStr">
        <is>
          <t>IDM/제조/메모리</t>
        </is>
      </c>
      <c r="H28" s="29" t="inlineStr">
        <is>
          <t>False</t>
        </is>
      </c>
      <c r="I28" s="29" t="inlineStr">
        <is>
          <t>True</t>
        </is>
      </c>
      <c r="J28" s="29" t="inlineStr">
        <is>
          <t>OK</t>
        </is>
      </c>
      <c r="K28" s="29" t="inlineStr">
        <is>
          <t>데이터 사용 가능</t>
        </is>
      </c>
      <c r="L28" s="29" t="inlineStr">
        <is>
          <t>LOW</t>
        </is>
      </c>
      <c r="M28" s="29" t="inlineStr">
        <is>
          <t>LOW</t>
        </is>
      </c>
      <c r="N28" s="29" t="inlineStr">
        <is>
          <t>0.6933333333333334</t>
        </is>
      </c>
      <c r="O28" s="29" t="inlineStr">
        <is>
          <t>ATTRACTIVE</t>
        </is>
      </c>
      <c r="P28" s="29" t="inlineStr">
        <is>
          <t>가치 매력</t>
        </is>
      </c>
      <c r="Q28" s="29" t="inlineStr">
        <is>
          <t>ATTRACTIVE</t>
        </is>
      </c>
      <c r="R28" s="29" t="inlineStr">
        <is>
          <t>0.8582250965188642</t>
        </is>
      </c>
      <c r="S28" s="29" t="inlineStr">
        <is>
          <t>HIGH</t>
        </is>
      </c>
      <c r="T28" s="29" t="inlineStr">
        <is>
          <t>HIGH</t>
        </is>
      </c>
      <c r="U28" s="29" t="inlineStr">
        <is>
          <t>0.0</t>
        </is>
      </c>
      <c r="V28" s="29" t="inlineStr">
        <is>
          <t>LOW_RISK</t>
        </is>
      </c>
      <c r="W28" s="29" t="inlineStr">
        <is>
          <t>저위험</t>
        </is>
      </c>
      <c r="X28" s="29" t="inlineStr">
        <is>
          <t>LOW_RISK</t>
        </is>
      </c>
      <c r="Y28" s="29" t="inlineStr">
        <is>
          <t>0.9246810687108324</t>
        </is>
      </c>
      <c r="Z28" s="29" t="inlineStr">
        <is>
          <t>HIGH</t>
        </is>
      </c>
      <c r="AA28" s="29" t="inlineStr">
        <is>
          <t>HIGH</t>
        </is>
      </c>
      <c r="AB28" s="29" t="inlineStr">
        <is>
          <t>0.4530741670429333</t>
        </is>
      </c>
      <c r="AC28" s="29" t="inlineStr">
        <is>
          <t>True</t>
        </is>
      </c>
      <c r="AD28" s="29" t="inlineStr">
        <is>
          <t>True</t>
        </is>
      </c>
      <c r="AE28" s="29" t="inlineStr">
        <is>
          <t>valuation_credit_ml_overlay_candidate.csv</t>
        </is>
      </c>
      <c r="AF28" s="29" t="inlineStr">
        <is>
          <t>208개 반도체 reference universe. Valuation Agent가 자체 intake 폴더로 복제해 Peer/ML/대시보드 비교에 사용.</t>
        </is>
      </c>
      <c r="AG28" s="29" t="inlineStr">
        <is>
          <t>SAME_PEER_GROUP</t>
        </is>
      </c>
      <c r="AH28" s="29" t="inlineStr">
        <is>
          <t>False</t>
        </is>
      </c>
    </row>
    <row r="29" ht="24" customHeight="1">
      <c r="A29" s="24" t="inlineStr">
        <is>
          <t>32</t>
        </is>
      </c>
      <c r="B29" s="24" t="inlineStr">
        <is>
          <t>해당 없음</t>
        </is>
      </c>
      <c r="C29" s="24" t="inlineStr">
        <is>
          <t>케이엔제이</t>
        </is>
      </c>
      <c r="D29" s="24" t="inlineStr">
        <is>
          <t>272110</t>
        </is>
      </c>
      <c r="E29" s="24" t="inlineStr">
        <is>
          <t>KOSDAQ</t>
        </is>
      </c>
      <c r="F29" s="24" t="inlineStr">
        <is>
          <t>IDM/제조/메모리</t>
        </is>
      </c>
      <c r="G29" s="24" t="inlineStr">
        <is>
          <t>IDM/제조/메모리</t>
        </is>
      </c>
      <c r="H29" s="24" t="inlineStr">
        <is>
          <t>False</t>
        </is>
      </c>
      <c r="I29" s="24" t="inlineStr">
        <is>
          <t>True</t>
        </is>
      </c>
      <c r="J29" s="24" t="inlineStr">
        <is>
          <t>OK</t>
        </is>
      </c>
      <c r="K29" s="24" t="inlineStr">
        <is>
          <t>데이터 사용 가능</t>
        </is>
      </c>
      <c r="L29" s="24" t="inlineStr">
        <is>
          <t>LOW</t>
        </is>
      </c>
      <c r="M29" s="24" t="inlineStr">
        <is>
          <t>LOW</t>
        </is>
      </c>
      <c r="N29" s="24" t="inlineStr">
        <is>
          <t>0.69</t>
        </is>
      </c>
      <c r="O29" s="24" t="inlineStr">
        <is>
          <t>FAIR</t>
        </is>
      </c>
      <c r="P29" s="24" t="inlineStr">
        <is>
          <t>FAIR</t>
        </is>
      </c>
      <c r="Q29" s="24" t="inlineStr">
        <is>
          <t>FAIR</t>
        </is>
      </c>
      <c r="R29" s="24" t="inlineStr">
        <is>
          <t>0.8941431334693103</t>
        </is>
      </c>
      <c r="S29" s="24" t="inlineStr">
        <is>
          <t>HIGH</t>
        </is>
      </c>
      <c r="T29" s="24" t="inlineStr">
        <is>
          <t>HIGH</t>
        </is>
      </c>
      <c r="U29" s="24" t="inlineStr">
        <is>
          <t>0.3571428571428571</t>
        </is>
      </c>
      <c r="V29" s="24" t="inlineStr">
        <is>
          <t>MEDIUM_RISK</t>
        </is>
      </c>
      <c r="W29" s="24" t="inlineStr">
        <is>
          <t>중위험</t>
        </is>
      </c>
      <c r="X29" s="24" t="inlineStr">
        <is>
          <t>MEDIUM_RISK</t>
        </is>
      </c>
      <c r="Y29" s="24" t="inlineStr">
        <is>
          <t>0.6916505304322266</t>
        </is>
      </c>
      <c r="Z29" s="24" t="inlineStr">
        <is>
          <t>MEDIUM</t>
        </is>
      </c>
      <c r="AA29" s="24" t="inlineStr">
        <is>
          <t>MEDIUM</t>
        </is>
      </c>
      <c r="AB29" s="24" t="inlineStr">
        <is>
          <t>0.08026450343217886</t>
        </is>
      </c>
      <c r="AC29" s="24" t="inlineStr">
        <is>
          <t>False</t>
        </is>
      </c>
      <c r="AD29" s="24" t="inlineStr">
        <is>
          <t>False</t>
        </is>
      </c>
      <c r="AE29" s="24" t="inlineStr">
        <is>
          <t>valuation_credit_ml_overlay_candidate.csv</t>
        </is>
      </c>
      <c r="AF29" s="24" t="inlineStr">
        <is>
          <t>208개 반도체 reference universe. Valuation Agent가 자체 intake 폴더로 복제해 Peer/ML/대시보드 비교에 사용.</t>
        </is>
      </c>
      <c r="AG29" s="24" t="inlineStr">
        <is>
          <t>SAME_PEER_GROUP</t>
        </is>
      </c>
      <c r="AH29" s="24" t="inlineStr">
        <is>
          <t>False</t>
        </is>
      </c>
    </row>
    <row r="30" ht="24" customHeight="1">
      <c r="A30" s="29" t="inlineStr">
        <is>
          <t>40</t>
        </is>
      </c>
      <c r="B30" s="29" t="inlineStr">
        <is>
          <t>해당 없음</t>
        </is>
      </c>
      <c r="C30" s="29" t="inlineStr">
        <is>
          <t>한양디지텍</t>
        </is>
      </c>
      <c r="D30" s="29" t="inlineStr">
        <is>
          <t>078350</t>
        </is>
      </c>
      <c r="E30" s="29" t="inlineStr">
        <is>
          <t>KOSDAQ</t>
        </is>
      </c>
      <c r="F30" s="29" t="inlineStr">
        <is>
          <t>IDM/제조/메모리</t>
        </is>
      </c>
      <c r="G30" s="29" t="inlineStr">
        <is>
          <t>IDM/제조/메모리</t>
        </is>
      </c>
      <c r="H30" s="29" t="inlineStr">
        <is>
          <t>False</t>
        </is>
      </c>
      <c r="I30" s="29" t="inlineStr">
        <is>
          <t>True</t>
        </is>
      </c>
      <c r="J30" s="29" t="inlineStr">
        <is>
          <t>OK</t>
        </is>
      </c>
      <c r="K30" s="29" t="inlineStr">
        <is>
          <t>데이터 사용 가능</t>
        </is>
      </c>
      <c r="L30" s="29" t="inlineStr">
        <is>
          <t>LOW</t>
        </is>
      </c>
      <c r="M30" s="29" t="inlineStr">
        <is>
          <t>LOW</t>
        </is>
      </c>
      <c r="N30" s="29" t="inlineStr">
        <is>
          <t>0.6805000000000001</t>
        </is>
      </c>
      <c r="O30" s="29" t="inlineStr">
        <is>
          <t>ATTRACTIVE</t>
        </is>
      </c>
      <c r="P30" s="29" t="inlineStr">
        <is>
          <t>가치 매력</t>
        </is>
      </c>
      <c r="Q30" s="29" t="inlineStr">
        <is>
          <t>ATTRACTIVE</t>
        </is>
      </c>
      <c r="R30" s="29" t="inlineStr">
        <is>
          <t>0.8705426081647281</t>
        </is>
      </c>
      <c r="S30" s="29" t="inlineStr">
        <is>
          <t>HIGH</t>
        </is>
      </c>
      <c r="T30" s="29" t="inlineStr">
        <is>
          <t>HIGH</t>
        </is>
      </c>
      <c r="U30" s="29" t="inlineStr">
        <is>
          <t>0.0714285714285714</t>
        </is>
      </c>
      <c r="V30" s="29" t="inlineStr">
        <is>
          <t>LOW_RISK</t>
        </is>
      </c>
      <c r="W30" s="29" t="inlineStr">
        <is>
          <t>저위험</t>
        </is>
      </c>
      <c r="X30" s="29" t="inlineStr">
        <is>
          <t>LOW_RISK</t>
        </is>
      </c>
      <c r="Y30" s="29" t="inlineStr">
        <is>
          <t>0.7978732006060483</t>
        </is>
      </c>
      <c r="Z30" s="29" t="inlineStr">
        <is>
          <t>HIGH</t>
        </is>
      </c>
      <c r="AA30" s="29" t="inlineStr">
        <is>
          <t>HIGH</t>
        </is>
      </c>
      <c r="AB30" s="29" t="inlineStr">
        <is>
          <t>0.008155150389343335</t>
        </is>
      </c>
      <c r="AC30" s="29" t="inlineStr">
        <is>
          <t>False</t>
        </is>
      </c>
      <c r="AD30" s="29" t="inlineStr">
        <is>
          <t>False</t>
        </is>
      </c>
      <c r="AE30" s="29" t="inlineStr">
        <is>
          <t>valuation_credit_ml_overlay_candidate.csv</t>
        </is>
      </c>
      <c r="AF30" s="29" t="inlineStr">
        <is>
          <t>208개 반도체 reference universe. Valuation Agent가 자체 intake 폴더로 복제해 Peer/ML/대시보드 비교에 사용.</t>
        </is>
      </c>
      <c r="AG30" s="29" t="inlineStr">
        <is>
          <t>SAME_PEER_GROUP</t>
        </is>
      </c>
      <c r="AH30" s="29" t="inlineStr">
        <is>
          <t>False</t>
        </is>
      </c>
    </row>
    <row r="31" ht="24" customHeight="1">
      <c r="A31" s="24" t="inlineStr">
        <is>
          <t>24</t>
        </is>
      </c>
      <c r="B31" s="24" t="inlineStr">
        <is>
          <t>해당 없음</t>
        </is>
      </c>
      <c r="C31" s="24" t="inlineStr">
        <is>
          <t>오디텍</t>
        </is>
      </c>
      <c r="D31" s="24" t="inlineStr">
        <is>
          <t>080520</t>
        </is>
      </c>
      <c r="E31" s="24" t="inlineStr">
        <is>
          <t>KOSDAQ</t>
        </is>
      </c>
      <c r="F31" s="24" t="inlineStr">
        <is>
          <t>IDM/제조/메모리</t>
        </is>
      </c>
      <c r="G31" s="24" t="inlineStr">
        <is>
          <t>IDM/제조/메모리</t>
        </is>
      </c>
      <c r="H31" s="24" t="inlineStr">
        <is>
          <t>False</t>
        </is>
      </c>
      <c r="I31" s="24" t="inlineStr">
        <is>
          <t>True</t>
        </is>
      </c>
      <c r="J31" s="24" t="inlineStr">
        <is>
          <t>OK</t>
        </is>
      </c>
      <c r="K31" s="24" t="inlineStr">
        <is>
          <t>데이터 사용 가능</t>
        </is>
      </c>
      <c r="L31" s="24" t="inlineStr">
        <is>
          <t>LOW</t>
        </is>
      </c>
      <c r="M31" s="24" t="inlineStr">
        <is>
          <t>LOW</t>
        </is>
      </c>
      <c r="N31" s="24" t="inlineStr">
        <is>
          <t>0.6083333333333334</t>
        </is>
      </c>
      <c r="O31" s="24" t="inlineStr">
        <is>
          <t>FAIR</t>
        </is>
      </c>
      <c r="P31" s="24" t="inlineStr">
        <is>
          <t>FAIR</t>
        </is>
      </c>
      <c r="Q31" s="24" t="inlineStr">
        <is>
          <t>FAIR</t>
        </is>
      </c>
      <c r="R31" s="24" t="inlineStr">
        <is>
          <t>0.8328575689014174</t>
        </is>
      </c>
      <c r="S31" s="24" t="inlineStr">
        <is>
          <t>HIGH</t>
        </is>
      </c>
      <c r="T31" s="24" t="inlineStr">
        <is>
          <t>HIGH</t>
        </is>
      </c>
      <c r="U31" s="24" t="inlineStr">
        <is>
          <t>0.4285714285714285</t>
        </is>
      </c>
      <c r="V31" s="24" t="inlineStr">
        <is>
          <t>HIGH_RISK</t>
        </is>
      </c>
      <c r="W31" s="24" t="inlineStr">
        <is>
          <t>고위험</t>
        </is>
      </c>
      <c r="X31" s="24" t="inlineStr">
        <is>
          <t>HIGH_RISK</t>
        </is>
      </c>
      <c r="Y31" s="24" t="inlineStr">
        <is>
          <t>0.5607063964580236</t>
        </is>
      </c>
      <c r="Z31" s="24" t="inlineStr">
        <is>
          <t>MEDIUM</t>
        </is>
      </c>
      <c r="AA31" s="24" t="inlineStr">
        <is>
          <t>MEDIUM</t>
        </is>
      </c>
      <c r="AB31" s="24" t="inlineStr">
        <is>
          <t>0.4397907707686155</t>
        </is>
      </c>
      <c r="AC31" s="24" t="inlineStr">
        <is>
          <t>True</t>
        </is>
      </c>
      <c r="AD31" s="24" t="inlineStr">
        <is>
          <t>True</t>
        </is>
      </c>
      <c r="AE31" s="24" t="inlineStr">
        <is>
          <t>valuation_credit_ml_overlay_candidate.csv</t>
        </is>
      </c>
      <c r="AF31" s="24" t="inlineStr">
        <is>
          <t>208개 반도체 reference universe. Valuation Agent가 자체 intake 폴더로 복제해 Peer/ML/대시보드 비교에 사용.</t>
        </is>
      </c>
      <c r="AG31" s="24" t="inlineStr">
        <is>
          <t>SAME_PEER_GROUP</t>
        </is>
      </c>
      <c r="AH31" s="24" t="inlineStr">
        <is>
          <t>False</t>
        </is>
      </c>
    </row>
    <row r="32" ht="24" customHeight="1">
      <c r="A32" s="29" t="inlineStr">
        <is>
          <t>6</t>
        </is>
      </c>
      <c r="B32" s="29" t="inlineStr">
        <is>
          <t>해당 없음</t>
        </is>
      </c>
      <c r="C32" s="29" t="inlineStr">
        <is>
          <t>그린리소스</t>
        </is>
      </c>
      <c r="D32" s="29" t="inlineStr">
        <is>
          <t>402490</t>
        </is>
      </c>
      <c r="E32" s="29" t="inlineStr">
        <is>
          <t>KOSDAQ</t>
        </is>
      </c>
      <c r="F32" s="29" t="inlineStr">
        <is>
          <t>IDM/제조/메모리</t>
        </is>
      </c>
      <c r="G32" s="29" t="inlineStr">
        <is>
          <t>IDM/제조/메모리</t>
        </is>
      </c>
      <c r="H32" s="29" t="inlineStr">
        <is>
          <t>False</t>
        </is>
      </c>
      <c r="I32" s="29" t="inlineStr">
        <is>
          <t>True</t>
        </is>
      </c>
      <c r="J32" s="29" t="inlineStr">
        <is>
          <t>OK_LIMITED_HISTORY_OR_GROWTH_NA</t>
        </is>
      </c>
      <c r="K32" s="29" t="inlineStr">
        <is>
          <t>데이터 사용 가능</t>
        </is>
      </c>
      <c r="L32" s="29" t="inlineStr">
        <is>
          <t>LOW</t>
        </is>
      </c>
      <c r="M32" s="29" t="inlineStr">
        <is>
          <t>LOW</t>
        </is>
      </c>
      <c r="N32" s="29" t="inlineStr">
        <is>
          <t>0.6021666666666667</t>
        </is>
      </c>
      <c r="O32" s="29" t="inlineStr">
        <is>
          <t>FAIR</t>
        </is>
      </c>
      <c r="P32" s="29" t="inlineStr">
        <is>
          <t>FAIR</t>
        </is>
      </c>
      <c r="Q32" s="29" t="inlineStr">
        <is>
          <t>FAIR</t>
        </is>
      </c>
      <c r="R32" s="29" t="inlineStr">
        <is>
          <t>0.7869051998623771</t>
        </is>
      </c>
      <c r="S32" s="29" t="inlineStr">
        <is>
          <t>HIGH</t>
        </is>
      </c>
      <c r="T32" s="29" t="inlineStr">
        <is>
          <t>HIGH</t>
        </is>
      </c>
      <c r="U32" s="29" t="inlineStr">
        <is>
          <t>0.4285714285714285</t>
        </is>
      </c>
      <c r="V32" s="29" t="inlineStr">
        <is>
          <t>HIGH_RISK</t>
        </is>
      </c>
      <c r="W32" s="29" t="inlineStr">
        <is>
          <t>고위험</t>
        </is>
      </c>
      <c r="X32" s="29" t="inlineStr">
        <is>
          <t>HIGH_RISK</t>
        </is>
      </c>
      <c r="Y32" s="29" t="inlineStr">
        <is>
          <t>0.5860253292011965</t>
        </is>
      </c>
      <c r="Z32" s="29" t="inlineStr">
        <is>
          <t>MEDIUM</t>
        </is>
      </c>
      <c r="AA32" s="29" t="inlineStr">
        <is>
          <t>MEDIUM</t>
        </is>
      </c>
      <c r="AB32" s="29" t="inlineStr">
        <is>
          <t>0.04512954873345755</t>
        </is>
      </c>
      <c r="AC32" s="29" t="inlineStr">
        <is>
          <t>False</t>
        </is>
      </c>
      <c r="AD32" s="29" t="inlineStr">
        <is>
          <t>True</t>
        </is>
      </c>
      <c r="AE32" s="29" t="inlineStr">
        <is>
          <t>valuation_credit_ml_overlay_candidate.csv</t>
        </is>
      </c>
      <c r="AF32" s="29" t="inlineStr">
        <is>
          <t>208개 반도체 reference universe. Valuation Agent가 자체 intake 폴더로 복제해 Peer/ML/대시보드 비교에 사용.</t>
        </is>
      </c>
      <c r="AG32" s="29" t="inlineStr">
        <is>
          <t>SAME_PEER_GROUP</t>
        </is>
      </c>
      <c r="AH32" s="29" t="inlineStr">
        <is>
          <t>False</t>
        </is>
      </c>
    </row>
    <row r="33" ht="24" customHeight="1">
      <c r="A33" s="24" t="inlineStr">
        <is>
          <t>8</t>
        </is>
      </c>
      <c r="B33" s="24" t="inlineStr">
        <is>
          <t>해당 없음</t>
        </is>
      </c>
      <c r="C33" s="24" t="inlineStr">
        <is>
          <t>루멘스</t>
        </is>
      </c>
      <c r="D33" s="24" t="inlineStr">
        <is>
          <t>038060</t>
        </is>
      </c>
      <c r="E33" s="24" t="inlineStr">
        <is>
          <t>KOSDAQ</t>
        </is>
      </c>
      <c r="F33" s="24" t="inlineStr">
        <is>
          <t>IDM/제조/메모리</t>
        </is>
      </c>
      <c r="G33" s="24" t="inlineStr">
        <is>
          <t>IDM/제조/메모리</t>
        </is>
      </c>
      <c r="H33" s="24" t="inlineStr">
        <is>
          <t>False</t>
        </is>
      </c>
      <c r="I33" s="24" t="inlineStr">
        <is>
          <t>True</t>
        </is>
      </c>
      <c r="J33" s="24" t="inlineStr">
        <is>
          <t>OK</t>
        </is>
      </c>
      <c r="K33" s="24" t="inlineStr">
        <is>
          <t>데이터 사용 가능</t>
        </is>
      </c>
      <c r="L33" s="24" t="inlineStr">
        <is>
          <t>LOW</t>
        </is>
      </c>
      <c r="M33" s="24" t="inlineStr">
        <is>
          <t>LOW</t>
        </is>
      </c>
      <c r="N33" s="24" t="inlineStr">
        <is>
          <t>0.5970000000000001</t>
        </is>
      </c>
      <c r="O33" s="24" t="inlineStr">
        <is>
          <t>FAIR</t>
        </is>
      </c>
      <c r="P33" s="24" t="inlineStr">
        <is>
          <t>FAIR</t>
        </is>
      </c>
      <c r="Q33" s="24" t="inlineStr">
        <is>
          <t>FAIR</t>
        </is>
      </c>
      <c r="R33" s="24" t="inlineStr">
        <is>
          <t>0.8437683700786414</t>
        </is>
      </c>
      <c r="S33" s="24" t="inlineStr">
        <is>
          <t>HIGH</t>
        </is>
      </c>
      <c r="T33" s="24" t="inlineStr">
        <is>
          <t>HIGH</t>
        </is>
      </c>
      <c r="U33" s="24" t="inlineStr">
        <is>
          <t>0.3571428571428571</t>
        </is>
      </c>
      <c r="V33" s="24" t="inlineStr">
        <is>
          <t>MEDIUM_RISK</t>
        </is>
      </c>
      <c r="W33" s="24" t="inlineStr">
        <is>
          <t>중위험</t>
        </is>
      </c>
      <c r="X33" s="24" t="inlineStr">
        <is>
          <t>MEDIUM_RISK</t>
        </is>
      </c>
      <c r="Y33" s="24" t="inlineStr">
        <is>
          <t>0.7365544810444915</t>
        </is>
      </c>
      <c r="Z33" s="24" t="inlineStr">
        <is>
          <t>HIGH</t>
        </is>
      </c>
      <c r="AA33" s="24" t="inlineStr">
        <is>
          <t>HIGH</t>
        </is>
      </c>
      <c r="AB33" s="24" t="inlineStr">
        <is>
          <t>0.0791711120821534</t>
        </is>
      </c>
      <c r="AC33" s="24" t="inlineStr">
        <is>
          <t>False</t>
        </is>
      </c>
      <c r="AD33" s="24" t="inlineStr">
        <is>
          <t>False</t>
        </is>
      </c>
      <c r="AE33" s="24" t="inlineStr">
        <is>
          <t>valuation_credit_ml_overlay_candidate.csv</t>
        </is>
      </c>
      <c r="AF33" s="24" t="inlineStr">
        <is>
          <t>208개 반도체 reference universe. Valuation Agent가 자체 intake 폴더로 복제해 Peer/ML/대시보드 비교에 사용.</t>
        </is>
      </c>
      <c r="AG33" s="24" t="inlineStr">
        <is>
          <t>SAME_PEER_GROUP</t>
        </is>
      </c>
      <c r="AH33" s="24" t="inlineStr">
        <is>
          <t>False</t>
        </is>
      </c>
    </row>
    <row r="34" ht="24" customHeight="1">
      <c r="A34" s="29" t="inlineStr">
        <is>
          <t>37</t>
        </is>
      </c>
      <c r="B34" s="29" t="inlineStr">
        <is>
          <t>해당 없음</t>
        </is>
      </c>
      <c r="C34" s="29" t="inlineStr">
        <is>
          <t>피델릭스</t>
        </is>
      </c>
      <c r="D34" s="29" t="inlineStr">
        <is>
          <t>032580</t>
        </is>
      </c>
      <c r="E34" s="29" t="inlineStr">
        <is>
          <t>KOSDAQ</t>
        </is>
      </c>
      <c r="F34" s="29" t="inlineStr">
        <is>
          <t>IDM/제조/메모리</t>
        </is>
      </c>
      <c r="G34" s="29" t="inlineStr">
        <is>
          <t>IDM/제조/메모리</t>
        </is>
      </c>
      <c r="H34" s="29" t="inlineStr">
        <is>
          <t>False</t>
        </is>
      </c>
      <c r="I34" s="29" t="inlineStr">
        <is>
          <t>True</t>
        </is>
      </c>
      <c r="J34" s="29" t="inlineStr">
        <is>
          <t>OK</t>
        </is>
      </c>
      <c r="K34" s="29" t="inlineStr">
        <is>
          <t>데이터 사용 가능</t>
        </is>
      </c>
      <c r="L34" s="29" t="inlineStr">
        <is>
          <t>LOW</t>
        </is>
      </c>
      <c r="M34" s="29" t="inlineStr">
        <is>
          <t>LOW</t>
        </is>
      </c>
      <c r="N34" s="29" t="inlineStr">
        <is>
          <t>0.5873333333333334</t>
        </is>
      </c>
      <c r="O34" s="29" t="inlineStr">
        <is>
          <t>FAIR</t>
        </is>
      </c>
      <c r="P34" s="29" t="inlineStr">
        <is>
          <t>FAIR</t>
        </is>
      </c>
      <c r="Q34" s="29" t="inlineStr">
        <is>
          <t>FAIR</t>
        </is>
      </c>
      <c r="R34" s="29" t="inlineStr">
        <is>
          <t>0.8604826019551013</t>
        </is>
      </c>
      <c r="S34" s="29" t="inlineStr">
        <is>
          <t>HIGH</t>
        </is>
      </c>
      <c r="T34" s="29" t="inlineStr">
        <is>
          <t>HIGH</t>
        </is>
      </c>
      <c r="U34" s="29" t="inlineStr">
        <is>
          <t>0.5</t>
        </is>
      </c>
      <c r="V34" s="29" t="inlineStr">
        <is>
          <t>HIGH_RISK</t>
        </is>
      </c>
      <c r="W34" s="29" t="inlineStr">
        <is>
          <t>고위험</t>
        </is>
      </c>
      <c r="X34" s="29" t="inlineStr">
        <is>
          <t>HIGH_RISK</t>
        </is>
      </c>
      <c r="Y34" s="29" t="inlineStr">
        <is>
          <t>0.9138628953549666</t>
        </is>
      </c>
      <c r="Z34" s="29" t="inlineStr">
        <is>
          <t>HIGH</t>
        </is>
      </c>
      <c r="AA34" s="29" t="inlineStr">
        <is>
          <t>HIGH</t>
        </is>
      </c>
      <c r="AB34" s="29" t="inlineStr">
        <is>
          <t>0.0765288896391056</t>
        </is>
      </c>
      <c r="AC34" s="29" t="inlineStr">
        <is>
          <t>False</t>
        </is>
      </c>
      <c r="AD34" s="29" t="inlineStr">
        <is>
          <t>False</t>
        </is>
      </c>
      <c r="AE34" s="29" t="inlineStr">
        <is>
          <t>valuation_credit_ml_overlay_candidate.csv</t>
        </is>
      </c>
      <c r="AF34" s="29" t="inlineStr">
        <is>
          <t>208개 반도체 reference universe. Valuation Agent가 자체 intake 폴더로 복제해 Peer/ML/대시보드 비교에 사용.</t>
        </is>
      </c>
      <c r="AG34" s="29" t="inlineStr">
        <is>
          <t>SAME_PEER_GROUP</t>
        </is>
      </c>
      <c r="AH34" s="29" t="inlineStr">
        <is>
          <t>False</t>
        </is>
      </c>
    </row>
    <row r="35" ht="24" customHeight="1">
      <c r="A35" s="24" t="inlineStr">
        <is>
          <t>21</t>
        </is>
      </c>
      <c r="B35" s="24" t="inlineStr">
        <is>
          <t>해당 없음</t>
        </is>
      </c>
      <c r="C35" s="24" t="inlineStr">
        <is>
          <t>엔시트론</t>
        </is>
      </c>
      <c r="D35" s="24" t="inlineStr">
        <is>
          <t>101400</t>
        </is>
      </c>
      <c r="E35" s="24" t="inlineStr">
        <is>
          <t>KOSDAQ</t>
        </is>
      </c>
      <c r="F35" s="24" t="inlineStr">
        <is>
          <t>IDM/제조/메모리</t>
        </is>
      </c>
      <c r="G35" s="24" t="inlineStr">
        <is>
          <t>IDM/제조/메모리</t>
        </is>
      </c>
      <c r="H35" s="24" t="inlineStr">
        <is>
          <t>False</t>
        </is>
      </c>
      <c r="I35" s="24" t="inlineStr">
        <is>
          <t>True</t>
        </is>
      </c>
      <c r="J35" s="24" t="inlineStr">
        <is>
          <t>OK</t>
        </is>
      </c>
      <c r="K35" s="24" t="inlineStr">
        <is>
          <t>데이터 사용 가능</t>
        </is>
      </c>
      <c r="L35" s="24" t="inlineStr">
        <is>
          <t>LOW</t>
        </is>
      </c>
      <c r="M35" s="24" t="inlineStr">
        <is>
          <t>LOW</t>
        </is>
      </c>
      <c r="N35" s="24" t="inlineStr">
        <is>
          <t>0.5773333333333333</t>
        </is>
      </c>
      <c r="O35" s="24" t="inlineStr">
        <is>
          <t>FAIR</t>
        </is>
      </c>
      <c r="P35" s="24" t="inlineStr">
        <is>
          <t>FAIR</t>
        </is>
      </c>
      <c r="Q35" s="24" t="inlineStr">
        <is>
          <t>FAIR</t>
        </is>
      </c>
      <c r="R35" s="24" t="inlineStr">
        <is>
          <t>0.8173941540342667</t>
        </is>
      </c>
      <c r="S35" s="24" t="inlineStr">
        <is>
          <t>HIGH</t>
        </is>
      </c>
      <c r="T35" s="24" t="inlineStr">
        <is>
          <t>HIGH</t>
        </is>
      </c>
      <c r="U35" s="24" t="inlineStr">
        <is>
          <t>0.3571428571428571</t>
        </is>
      </c>
      <c r="V35" s="24" t="inlineStr">
        <is>
          <t>MEDIUM_RISK</t>
        </is>
      </c>
      <c r="W35" s="24" t="inlineStr">
        <is>
          <t>중위험</t>
        </is>
      </c>
      <c r="X35" s="24" t="inlineStr">
        <is>
          <t>MEDIUM_RISK</t>
        </is>
      </c>
      <c r="Y35" s="24" t="inlineStr">
        <is>
          <t>0.7799614337035685</t>
        </is>
      </c>
      <c r="Z35" s="24" t="inlineStr">
        <is>
          <t>HIGH</t>
        </is>
      </c>
      <c r="AA35" s="24" t="inlineStr">
        <is>
          <t>HIGH</t>
        </is>
      </c>
      <c r="AB35" s="24" t="inlineStr">
        <is>
          <t>0.08202020185637905</t>
        </is>
      </c>
      <c r="AC35" s="24" t="inlineStr">
        <is>
          <t>False</t>
        </is>
      </c>
      <c r="AD35" s="24" t="inlineStr">
        <is>
          <t>False</t>
        </is>
      </c>
      <c r="AE35" s="24" t="inlineStr">
        <is>
          <t>valuation_credit_ml_overlay_candidate.csv</t>
        </is>
      </c>
      <c r="AF35" s="24" t="inlineStr">
        <is>
          <t>208개 반도체 reference universe. Valuation Agent가 자체 intake 폴더로 복제해 Peer/ML/대시보드 비교에 사용.</t>
        </is>
      </c>
      <c r="AG35" s="24" t="inlineStr">
        <is>
          <t>SAME_PEER_GROUP</t>
        </is>
      </c>
      <c r="AH35" s="24" t="inlineStr">
        <is>
          <t>False</t>
        </is>
      </c>
    </row>
    <row r="36" ht="24" customHeight="1">
      <c r="A36" s="29" t="inlineStr">
        <is>
          <t>13</t>
        </is>
      </c>
      <c r="B36" s="29" t="inlineStr">
        <is>
          <t>해당 없음</t>
        </is>
      </c>
      <c r="C36" s="29" t="inlineStr">
        <is>
          <t>서울바이오시스</t>
        </is>
      </c>
      <c r="D36" s="29" t="inlineStr">
        <is>
          <t>092190</t>
        </is>
      </c>
      <c r="E36" s="29" t="inlineStr">
        <is>
          <t>KOSDAQ</t>
        </is>
      </c>
      <c r="F36" s="29" t="inlineStr">
        <is>
          <t>IDM/제조/메모리</t>
        </is>
      </c>
      <c r="G36" s="29" t="inlineStr">
        <is>
          <t>IDM/제조/메모리</t>
        </is>
      </c>
      <c r="H36" s="29" t="inlineStr">
        <is>
          <t>False</t>
        </is>
      </c>
      <c r="I36" s="29" t="inlineStr">
        <is>
          <t>True</t>
        </is>
      </c>
      <c r="J36" s="29" t="inlineStr">
        <is>
          <t>OK</t>
        </is>
      </c>
      <c r="K36" s="29" t="inlineStr">
        <is>
          <t>데이터 사용 가능</t>
        </is>
      </c>
      <c r="L36" s="29" t="inlineStr">
        <is>
          <t>LOW</t>
        </is>
      </c>
      <c r="M36" s="29" t="inlineStr">
        <is>
          <t>LOW</t>
        </is>
      </c>
      <c r="N36" s="29" t="inlineStr">
        <is>
          <t>0.5655</t>
        </is>
      </c>
      <c r="O36" s="29" t="inlineStr">
        <is>
          <t>FAIR</t>
        </is>
      </c>
      <c r="P36" s="29" t="inlineStr">
        <is>
          <t>FAIR</t>
        </is>
      </c>
      <c r="Q36" s="29" t="inlineStr">
        <is>
          <t>FAIR</t>
        </is>
      </c>
      <c r="R36" s="29" t="inlineStr">
        <is>
          <t>0.7336783523450653</t>
        </is>
      </c>
      <c r="S36" s="29" t="inlineStr">
        <is>
          <t>HIGH</t>
        </is>
      </c>
      <c r="T36" s="29" t="inlineStr">
        <is>
          <t>HIGH</t>
        </is>
      </c>
      <c r="U36" s="29" t="inlineStr">
        <is>
          <t>0.4285714285714285</t>
        </is>
      </c>
      <c r="V36" s="29" t="inlineStr">
        <is>
          <t>HIGH_RISK</t>
        </is>
      </c>
      <c r="W36" s="29" t="inlineStr">
        <is>
          <t>고위험</t>
        </is>
      </c>
      <c r="X36" s="29" t="inlineStr">
        <is>
          <t>MEDIUM_RISK</t>
        </is>
      </c>
      <c r="Y36" s="29" t="inlineStr">
        <is>
          <t>0.420701328500417</t>
        </is>
      </c>
      <c r="Z36" s="29" t="inlineStr">
        <is>
          <t>LOW</t>
        </is>
      </c>
      <c r="AA36" s="29" t="inlineStr">
        <is>
          <t>LOW</t>
        </is>
      </c>
      <c r="AB36" s="29" t="inlineStr">
        <is>
          <t>0.22867438374329632</t>
        </is>
      </c>
      <c r="AC36" s="29" t="inlineStr">
        <is>
          <t>False</t>
        </is>
      </c>
      <c r="AD36" s="29" t="inlineStr">
        <is>
          <t>True</t>
        </is>
      </c>
      <c r="AE36" s="29" t="inlineStr">
        <is>
          <t>valuation_credit_ml_overlay_candidate.csv</t>
        </is>
      </c>
      <c r="AF36" s="29" t="inlineStr">
        <is>
          <t>208개 반도체 reference universe. Valuation Agent가 자체 intake 폴더로 복제해 Peer/ML/대시보드 비교에 사용.</t>
        </is>
      </c>
      <c r="AG36" s="29" t="inlineStr">
        <is>
          <t>SAME_PEER_GROUP</t>
        </is>
      </c>
      <c r="AH36" s="29" t="inlineStr">
        <is>
          <t>False</t>
        </is>
      </c>
    </row>
    <row r="37" ht="24" customHeight="1">
      <c r="A37" s="24" t="inlineStr">
        <is>
          <t>34</t>
        </is>
      </c>
      <c r="B37" s="24" t="inlineStr">
        <is>
          <t>해당 없음</t>
        </is>
      </c>
      <c r="C37" s="24" t="inlineStr">
        <is>
          <t>큐에스아이</t>
        </is>
      </c>
      <c r="D37" s="24" t="inlineStr">
        <is>
          <t>066310</t>
        </is>
      </c>
      <c r="E37" s="24" t="inlineStr">
        <is>
          <t>KOSDAQ</t>
        </is>
      </c>
      <c r="F37" s="24" t="inlineStr">
        <is>
          <t>IDM/제조/메모리</t>
        </is>
      </c>
      <c r="G37" s="24" t="inlineStr">
        <is>
          <t>IDM/제조/메모리</t>
        </is>
      </c>
      <c r="H37" s="24" t="inlineStr">
        <is>
          <t>False</t>
        </is>
      </c>
      <c r="I37" s="24" t="inlineStr">
        <is>
          <t>True</t>
        </is>
      </c>
      <c r="J37" s="24" t="inlineStr">
        <is>
          <t>OK</t>
        </is>
      </c>
      <c r="K37" s="24" t="inlineStr">
        <is>
          <t>데이터 사용 가능</t>
        </is>
      </c>
      <c r="L37" s="24" t="inlineStr">
        <is>
          <t>LOW</t>
        </is>
      </c>
      <c r="M37" s="24" t="inlineStr">
        <is>
          <t>LOW</t>
        </is>
      </c>
      <c r="N37" s="24" t="inlineStr">
        <is>
          <t>0.5423333333333333</t>
        </is>
      </c>
      <c r="O37" s="24" t="inlineStr">
        <is>
          <t>FAIR</t>
        </is>
      </c>
      <c r="P37" s="24" t="inlineStr">
        <is>
          <t>FAIR</t>
        </is>
      </c>
      <c r="Q37" s="24" t="inlineStr">
        <is>
          <t>FAIR</t>
        </is>
      </c>
      <c r="R37" s="24" t="inlineStr">
        <is>
          <t>0.5496283015517583</t>
        </is>
      </c>
      <c r="S37" s="24" t="inlineStr">
        <is>
          <t>MEDIUM</t>
        </is>
      </c>
      <c r="T37" s="24" t="inlineStr">
        <is>
          <t>MEDIUM</t>
        </is>
      </c>
      <c r="U37" s="24" t="inlineStr">
        <is>
          <t>0.0714285714285714</t>
        </is>
      </c>
      <c r="V37" s="24" t="inlineStr">
        <is>
          <t>LOW_RISK</t>
        </is>
      </c>
      <c r="W37" s="24" t="inlineStr">
        <is>
          <t>저위험</t>
        </is>
      </c>
      <c r="X37" s="24" t="inlineStr">
        <is>
          <t>LOW_RISK</t>
        </is>
      </c>
      <c r="Y37" s="24" t="inlineStr">
        <is>
          <t>0.8341403016587674</t>
        </is>
      </c>
      <c r="Z37" s="24" t="inlineStr">
        <is>
          <t>HIGH</t>
        </is>
      </c>
      <c r="AA37" s="24" t="inlineStr">
        <is>
          <t>HIGH</t>
        </is>
      </c>
      <c r="AB37" s="24" t="inlineStr">
        <is>
          <t>0.21446147407494193</t>
        </is>
      </c>
      <c r="AC37" s="24" t="inlineStr">
        <is>
          <t>False</t>
        </is>
      </c>
      <c r="AD37" s="24" t="inlineStr">
        <is>
          <t>False</t>
        </is>
      </c>
      <c r="AE37" s="24" t="inlineStr">
        <is>
          <t>valuation_credit_ml_overlay_candidate.csv</t>
        </is>
      </c>
      <c r="AF37" s="24" t="inlineStr">
        <is>
          <t>208개 반도체 reference universe. Valuation Agent가 자체 intake 폴더로 복제해 Peer/ML/대시보드 비교에 사용.</t>
        </is>
      </c>
      <c r="AG37" s="24" t="inlineStr">
        <is>
          <t>SAME_PEER_GROUP</t>
        </is>
      </c>
      <c r="AH37" s="24" t="inlineStr">
        <is>
          <t>False</t>
        </is>
      </c>
    </row>
    <row r="38" ht="24" customHeight="1">
      <c r="A38" s="29" t="inlineStr">
        <is>
          <t>23</t>
        </is>
      </c>
      <c r="B38" s="29" t="inlineStr">
        <is>
          <t>해당 없음</t>
        </is>
      </c>
      <c r="C38" s="29" t="inlineStr">
        <is>
          <t>엘오티베큠</t>
        </is>
      </c>
      <c r="D38" s="29" t="inlineStr">
        <is>
          <t>083310</t>
        </is>
      </c>
      <c r="E38" s="29" t="inlineStr">
        <is>
          <t>KOSDAQ</t>
        </is>
      </c>
      <c r="F38" s="29" t="inlineStr">
        <is>
          <t>IDM/제조/메모리</t>
        </is>
      </c>
      <c r="G38" s="29" t="inlineStr">
        <is>
          <t>IDM/제조/메모리</t>
        </is>
      </c>
      <c r="H38" s="29" t="inlineStr">
        <is>
          <t>False</t>
        </is>
      </c>
      <c r="I38" s="29" t="inlineStr">
        <is>
          <t>True</t>
        </is>
      </c>
      <c r="J38" s="29" t="inlineStr">
        <is>
          <t>OK</t>
        </is>
      </c>
      <c r="K38" s="29" t="inlineStr">
        <is>
          <t>데이터 사용 가능</t>
        </is>
      </c>
      <c r="L38" s="29" t="inlineStr">
        <is>
          <t>LOW</t>
        </is>
      </c>
      <c r="M38" s="29" t="inlineStr">
        <is>
          <t>LOW</t>
        </is>
      </c>
      <c r="N38" s="29" t="inlineStr">
        <is>
          <t>0.538</t>
        </is>
      </c>
      <c r="O38" s="29" t="inlineStr">
        <is>
          <t>FAIR</t>
        </is>
      </c>
      <c r="P38" s="29" t="inlineStr">
        <is>
          <t>FAIR</t>
        </is>
      </c>
      <c r="Q38" s="29" t="inlineStr">
        <is>
          <t>FAIR</t>
        </is>
      </c>
      <c r="R38" s="29" t="inlineStr">
        <is>
          <t>0.860578291373445</t>
        </is>
      </c>
      <c r="S38" s="29" t="inlineStr">
        <is>
          <t>HIGH</t>
        </is>
      </c>
      <c r="T38" s="29" t="inlineStr">
        <is>
          <t>HIGH</t>
        </is>
      </c>
      <c r="U38" s="29" t="inlineStr">
        <is>
          <t>0.2142857142857142</t>
        </is>
      </c>
      <c r="V38" s="29" t="inlineStr">
        <is>
          <t>MEDIUM_RISK</t>
        </is>
      </c>
      <c r="W38" s="29" t="inlineStr">
        <is>
          <t>중위험</t>
        </is>
      </c>
      <c r="X38" s="29" t="inlineStr">
        <is>
          <t>MEDIUM_RISK</t>
        </is>
      </c>
      <c r="Y38" s="29" t="inlineStr">
        <is>
          <t>0.8356274138697954</t>
        </is>
      </c>
      <c r="Z38" s="29" t="inlineStr">
        <is>
          <t>HIGH</t>
        </is>
      </c>
      <c r="AA38" s="29" t="inlineStr">
        <is>
          <t>HIGH</t>
        </is>
      </c>
      <c r="AB38" s="29" t="inlineStr">
        <is>
          <t>0.04088276425948358</t>
        </is>
      </c>
      <c r="AC38" s="29" t="inlineStr">
        <is>
          <t>False</t>
        </is>
      </c>
      <c r="AD38" s="29" t="inlineStr">
        <is>
          <t>False</t>
        </is>
      </c>
      <c r="AE38" s="29" t="inlineStr">
        <is>
          <t>valuation_credit_ml_overlay_candidate.csv</t>
        </is>
      </c>
      <c r="AF38" s="29" t="inlineStr">
        <is>
          <t>208개 반도체 reference universe. Valuation Agent가 자체 intake 폴더로 복제해 Peer/ML/대시보드 비교에 사용.</t>
        </is>
      </c>
      <c r="AG38" s="29" t="inlineStr">
        <is>
          <t>SAME_PEER_GROUP</t>
        </is>
      </c>
      <c r="AH38" s="29" t="inlineStr">
        <is>
          <t>False</t>
        </is>
      </c>
    </row>
    <row r="39" ht="24" customHeight="1">
      <c r="A39" s="24" t="inlineStr">
        <is>
          <t>11</t>
        </is>
      </c>
      <c r="B39" s="24" t="inlineStr">
        <is>
          <t>해당 없음</t>
        </is>
      </c>
      <c r="C39" s="24" t="inlineStr">
        <is>
          <t>비씨엔씨</t>
        </is>
      </c>
      <c r="D39" s="24" t="inlineStr">
        <is>
          <t>146320</t>
        </is>
      </c>
      <c r="E39" s="24" t="inlineStr">
        <is>
          <t>KOSDAQ</t>
        </is>
      </c>
      <c r="F39" s="24" t="inlineStr">
        <is>
          <t>IDM/제조/메모리</t>
        </is>
      </c>
      <c r="G39" s="24" t="inlineStr">
        <is>
          <t>IDM/제조/메모리</t>
        </is>
      </c>
      <c r="H39" s="24" t="inlineStr">
        <is>
          <t>False</t>
        </is>
      </c>
      <c r="I39" s="24" t="inlineStr">
        <is>
          <t>True</t>
        </is>
      </c>
      <c r="J39" s="24" t="inlineStr">
        <is>
          <t>KEY_ACCOUNT_PARTIAL_MISSING</t>
        </is>
      </c>
      <c r="K39" s="24" t="inlineStr">
        <is>
          <t>데이터 사용 가능</t>
        </is>
      </c>
      <c r="L39" s="24" t="inlineStr">
        <is>
          <t>MEDIUM</t>
        </is>
      </c>
      <c r="M39" s="24" t="inlineStr">
        <is>
          <t>MEDIUM</t>
        </is>
      </c>
      <c r="N39" s="24" t="inlineStr">
        <is>
          <t>0.5365833333333333</t>
        </is>
      </c>
      <c r="O39" s="24" t="inlineStr">
        <is>
          <t>FAIR</t>
        </is>
      </c>
      <c r="P39" s="24" t="inlineStr">
        <is>
          <t>FAIR</t>
        </is>
      </c>
      <c r="Q39" s="24" t="inlineStr">
        <is>
          <t>FAIR</t>
        </is>
      </c>
      <c r="R39" s="24" t="inlineStr">
        <is>
          <t>0.7033805368548921</t>
        </is>
      </c>
      <c r="S39" s="24" t="inlineStr">
        <is>
          <t>HIGH</t>
        </is>
      </c>
      <c r="T39" s="24" t="inlineStr">
        <is>
          <t>HIGH</t>
        </is>
      </c>
      <c r="U39" s="24" t="inlineStr">
        <is>
          <t>0.2857142857142857</t>
        </is>
      </c>
      <c r="V39" s="24" t="inlineStr">
        <is>
          <t>MEDIUM_RISK</t>
        </is>
      </c>
      <c r="W39" s="24" t="inlineStr">
        <is>
          <t>중위험</t>
        </is>
      </c>
      <c r="X39" s="24" t="inlineStr">
        <is>
          <t>MEDIUM_RISK</t>
        </is>
      </c>
      <c r="Y39" s="24" t="inlineStr">
        <is>
          <t>0.7333342608471988</t>
        </is>
      </c>
      <c r="Z39" s="24" t="inlineStr">
        <is>
          <t>HIGH</t>
        </is>
      </c>
      <c r="AA39" s="24" t="inlineStr">
        <is>
          <t>HIGH</t>
        </is>
      </c>
      <c r="AB39" s="24" t="inlineStr">
        <is>
          <t>0.031762409510830696</t>
        </is>
      </c>
      <c r="AC39" s="24" t="inlineStr">
        <is>
          <t>False</t>
        </is>
      </c>
      <c r="AD39" s="24" t="inlineStr">
        <is>
          <t>True</t>
        </is>
      </c>
      <c r="AE39" s="24" t="inlineStr">
        <is>
          <t>valuation_credit_ml_overlay_candidate.csv</t>
        </is>
      </c>
      <c r="AF39" s="24" t="inlineStr">
        <is>
          <t>208개 반도체 reference universe. Valuation Agent가 자체 intake 폴더로 복제해 Peer/ML/대시보드 비교에 사용.</t>
        </is>
      </c>
      <c r="AG39" s="24" t="inlineStr">
        <is>
          <t>SAME_PEER_GROUP</t>
        </is>
      </c>
      <c r="AH39" s="24" t="inlineStr">
        <is>
          <t>False</t>
        </is>
      </c>
    </row>
    <row r="40" ht="24" customHeight="1">
      <c r="A40" s="29" t="inlineStr">
        <is>
          <t>36</t>
        </is>
      </c>
      <c r="B40" s="29" t="inlineStr">
        <is>
          <t>해당 없음</t>
        </is>
      </c>
      <c r="C40" s="29" t="inlineStr">
        <is>
          <t>티엘비</t>
        </is>
      </c>
      <c r="D40" s="29" t="inlineStr">
        <is>
          <t>356860</t>
        </is>
      </c>
      <c r="E40" s="29" t="inlineStr">
        <is>
          <t>KOSDAQ</t>
        </is>
      </c>
      <c r="F40" s="29" t="inlineStr">
        <is>
          <t>IDM/제조/메모리</t>
        </is>
      </c>
      <c r="G40" s="29" t="inlineStr">
        <is>
          <t>IDM/제조/메모리</t>
        </is>
      </c>
      <c r="H40" s="29" t="inlineStr">
        <is>
          <t>False</t>
        </is>
      </c>
      <c r="I40" s="29" t="inlineStr">
        <is>
          <t>True</t>
        </is>
      </c>
      <c r="J40" s="29" t="inlineStr">
        <is>
          <t>OK</t>
        </is>
      </c>
      <c r="K40" s="29" t="inlineStr">
        <is>
          <t>데이터 사용 가능</t>
        </is>
      </c>
      <c r="L40" s="29" t="inlineStr">
        <is>
          <t>LOW</t>
        </is>
      </c>
      <c r="M40" s="29" t="inlineStr">
        <is>
          <t>LOW</t>
        </is>
      </c>
      <c r="N40" s="29" t="inlineStr">
        <is>
          <t>0.5361666666666667</t>
        </is>
      </c>
      <c r="O40" s="29" t="inlineStr">
        <is>
          <t>FAIR</t>
        </is>
      </c>
      <c r="P40" s="29" t="inlineStr">
        <is>
          <t>FAIR</t>
        </is>
      </c>
      <c r="Q40" s="29" t="inlineStr">
        <is>
          <t>FAIR</t>
        </is>
      </c>
      <c r="R40" s="29" t="inlineStr">
        <is>
          <t>0.8509295904965918</t>
        </is>
      </c>
      <c r="S40" s="29" t="inlineStr">
        <is>
          <t>HIGH</t>
        </is>
      </c>
      <c r="T40" s="29" t="inlineStr">
        <is>
          <t>HIGH</t>
        </is>
      </c>
      <c r="U40" s="29" t="inlineStr">
        <is>
          <t>0.0714285714285714</t>
        </is>
      </c>
      <c r="V40" s="29" t="inlineStr">
        <is>
          <t>LOW_RISK</t>
        </is>
      </c>
      <c r="W40" s="29" t="inlineStr">
        <is>
          <t>저위험</t>
        </is>
      </c>
      <c r="X40" s="29" t="inlineStr">
        <is>
          <t>LOW_RISK</t>
        </is>
      </c>
      <c r="Y40" s="29" t="inlineStr">
        <is>
          <t>0.6625834729097503</t>
        </is>
      </c>
      <c r="Z40" s="29" t="inlineStr">
        <is>
          <t>MEDIUM</t>
        </is>
      </c>
      <c r="AA40" s="29" t="inlineStr">
        <is>
          <t>MEDIUM</t>
        </is>
      </c>
      <c r="AB40" s="29" t="inlineStr">
        <is>
          <t>0.01843936297746685</t>
        </is>
      </c>
      <c r="AC40" s="29" t="inlineStr">
        <is>
          <t>False</t>
        </is>
      </c>
      <c r="AD40" s="29" t="inlineStr">
        <is>
          <t>False</t>
        </is>
      </c>
      <c r="AE40" s="29" t="inlineStr">
        <is>
          <t>valuation_credit_ml_overlay_candidate.csv</t>
        </is>
      </c>
      <c r="AF40" s="29" t="inlineStr">
        <is>
          <t>208개 반도체 reference universe. Valuation Agent가 자체 intake 폴더로 복제해 Peer/ML/대시보드 비교에 사용.</t>
        </is>
      </c>
      <c r="AG40" s="29" t="inlineStr">
        <is>
          <t>SAME_PEER_GROUP</t>
        </is>
      </c>
      <c r="AH40" s="29" t="inlineStr">
        <is>
          <t>False</t>
        </is>
      </c>
    </row>
    <row r="41" ht="24" customHeight="1">
      <c r="A41" s="24" t="inlineStr">
        <is>
          <t>38</t>
        </is>
      </c>
      <c r="B41" s="24" t="inlineStr">
        <is>
          <t>해당 없음</t>
        </is>
      </c>
      <c r="C41" s="24" t="inlineStr">
        <is>
          <t>하나머티리얼즈</t>
        </is>
      </c>
      <c r="D41" s="24" t="inlineStr">
        <is>
          <t>166090</t>
        </is>
      </c>
      <c r="E41" s="24" t="inlineStr">
        <is>
          <t>KOSDAQ GLOBAL</t>
        </is>
      </c>
      <c r="F41" s="24" t="inlineStr">
        <is>
          <t>IDM/제조/메모리</t>
        </is>
      </c>
      <c r="G41" s="24" t="inlineStr">
        <is>
          <t>IDM/제조/메모리</t>
        </is>
      </c>
      <c r="H41" s="24" t="inlineStr">
        <is>
          <t>False</t>
        </is>
      </c>
      <c r="I41" s="24" t="inlineStr">
        <is>
          <t>True</t>
        </is>
      </c>
      <c r="J41" s="24" t="inlineStr">
        <is>
          <t>OK</t>
        </is>
      </c>
      <c r="K41" s="24" t="inlineStr">
        <is>
          <t>데이터 사용 가능</t>
        </is>
      </c>
      <c r="L41" s="24" t="inlineStr">
        <is>
          <t>LOW</t>
        </is>
      </c>
      <c r="M41" s="24" t="inlineStr">
        <is>
          <t>LOW</t>
        </is>
      </c>
      <c r="N41" s="24" t="inlineStr">
        <is>
          <t>0.5321666666666667</t>
        </is>
      </c>
      <c r="O41" s="24" t="inlineStr">
        <is>
          <t>FAIR</t>
        </is>
      </c>
      <c r="P41" s="24" t="inlineStr">
        <is>
          <t>FAIR</t>
        </is>
      </c>
      <c r="Q41" s="24" t="inlineStr">
        <is>
          <t>ATTRACTIVE</t>
        </is>
      </c>
      <c r="R41" s="24" t="inlineStr">
        <is>
          <t>0.6425667923365267</t>
        </is>
      </c>
      <c r="S41" s="24" t="inlineStr">
        <is>
          <t>MEDIUM</t>
        </is>
      </c>
      <c r="T41" s="24" t="inlineStr">
        <is>
          <t>MEDIUM</t>
        </is>
      </c>
      <c r="U41" s="24" t="inlineStr">
        <is>
          <t>0.0</t>
        </is>
      </c>
      <c r="V41" s="24" t="inlineStr">
        <is>
          <t>LOW_RISK</t>
        </is>
      </c>
      <c r="W41" s="24" t="inlineStr">
        <is>
          <t>저위험</t>
        </is>
      </c>
      <c r="X41" s="24" t="inlineStr">
        <is>
          <t>LOW_RISK</t>
        </is>
      </c>
      <c r="Y41" s="24" t="inlineStr">
        <is>
          <t>0.9093779024453453</t>
        </is>
      </c>
      <c r="Z41" s="24" t="inlineStr">
        <is>
          <t>HIGH</t>
        </is>
      </c>
      <c r="AA41" s="24" t="inlineStr">
        <is>
          <t>HIGH</t>
        </is>
      </c>
      <c r="AB41" s="24" t="inlineStr">
        <is>
          <t>0.030620686282363033</t>
        </is>
      </c>
      <c r="AC41" s="24" t="inlineStr">
        <is>
          <t>False</t>
        </is>
      </c>
      <c r="AD41" s="24" t="inlineStr">
        <is>
          <t>False</t>
        </is>
      </c>
      <c r="AE41" s="24" t="inlineStr">
        <is>
          <t>valuation_credit_ml_overlay_candidate.csv</t>
        </is>
      </c>
      <c r="AF41" s="24" t="inlineStr">
        <is>
          <t>208개 반도체 reference universe. Valuation Agent가 자체 intake 폴더로 복제해 Peer/ML/대시보드 비교에 사용.</t>
        </is>
      </c>
      <c r="AG41" s="24" t="inlineStr">
        <is>
          <t>SAME_PEER_GROUP</t>
        </is>
      </c>
      <c r="AH41" s="24" t="inlineStr">
        <is>
          <t>False</t>
        </is>
      </c>
    </row>
    <row r="42" ht="24" customHeight="1">
      <c r="A42" s="29" t="inlineStr">
        <is>
          <t>26</t>
        </is>
      </c>
      <c r="B42" s="29" t="inlineStr">
        <is>
          <t>해당 없음</t>
        </is>
      </c>
      <c r="C42" s="29" t="inlineStr">
        <is>
          <t>웰킵스하이텍</t>
        </is>
      </c>
      <c r="D42" s="29" t="inlineStr">
        <is>
          <t>043590</t>
        </is>
      </c>
      <c r="E42" s="29" t="inlineStr">
        <is>
          <t>KOSDAQ</t>
        </is>
      </c>
      <c r="F42" s="29" t="inlineStr">
        <is>
          <t>IDM/제조/메모리</t>
        </is>
      </c>
      <c r="G42" s="29" t="inlineStr">
        <is>
          <t>IDM/제조/메모리</t>
        </is>
      </c>
      <c r="H42" s="29" t="inlineStr">
        <is>
          <t>False</t>
        </is>
      </c>
      <c r="I42" s="29" t="inlineStr">
        <is>
          <t>True</t>
        </is>
      </c>
      <c r="J42" s="29" t="inlineStr">
        <is>
          <t>OK</t>
        </is>
      </c>
      <c r="K42" s="29" t="inlineStr">
        <is>
          <t>데이터 사용 가능</t>
        </is>
      </c>
      <c r="L42" s="29" t="inlineStr">
        <is>
          <t>LOW</t>
        </is>
      </c>
      <c r="M42" s="29" t="inlineStr">
        <is>
          <t>LOW</t>
        </is>
      </c>
      <c r="N42" s="29" t="inlineStr">
        <is>
          <t>0.5086666666666667</t>
        </is>
      </c>
      <c r="O42" s="29" t="inlineStr">
        <is>
          <t>FAIR</t>
        </is>
      </c>
      <c r="P42" s="29" t="inlineStr">
        <is>
          <t>FAIR</t>
        </is>
      </c>
      <c r="Q42" s="29" t="inlineStr">
        <is>
          <t>FAIR</t>
        </is>
      </c>
      <c r="R42" s="29" t="inlineStr">
        <is>
          <t>0.7753200487478359</t>
        </is>
      </c>
      <c r="S42" s="29" t="inlineStr">
        <is>
          <t>HIGH</t>
        </is>
      </c>
      <c r="T42" s="29" t="inlineStr">
        <is>
          <t>HIGH</t>
        </is>
      </c>
      <c r="U42" s="29" t="inlineStr">
        <is>
          <t>0.7142857142857143</t>
        </is>
      </c>
      <c r="V42" s="29" t="inlineStr">
        <is>
          <t>HIGH_RISK</t>
        </is>
      </c>
      <c r="W42" s="29" t="inlineStr">
        <is>
          <t>고위험</t>
        </is>
      </c>
      <c r="X42" s="29" t="inlineStr">
        <is>
          <t>HIGH_RISK</t>
        </is>
      </c>
      <c r="Y42" s="29" t="inlineStr">
        <is>
          <t>0.947839296487721</t>
        </is>
      </c>
      <c r="Z42" s="29" t="inlineStr">
        <is>
          <t>HIGH</t>
        </is>
      </c>
      <c r="AA42" s="29" t="inlineStr">
        <is>
          <t>HIGH</t>
        </is>
      </c>
      <c r="AB42" s="29" t="inlineStr">
        <is>
          <t>0.081041930024575</t>
        </is>
      </c>
      <c r="AC42" s="29" t="inlineStr">
        <is>
          <t>False</t>
        </is>
      </c>
      <c r="AD42" s="29" t="inlineStr">
        <is>
          <t>False</t>
        </is>
      </c>
      <c r="AE42" s="29" t="inlineStr">
        <is>
          <t>valuation_credit_ml_overlay_candidate.csv</t>
        </is>
      </c>
      <c r="AF42" s="29" t="inlineStr">
        <is>
          <t>208개 반도체 reference universe. Valuation Agent가 자체 intake 폴더로 복제해 Peer/ML/대시보드 비교에 사용.</t>
        </is>
      </c>
      <c r="AG42" s="29" t="inlineStr">
        <is>
          <t>SAME_PEER_GROUP</t>
        </is>
      </c>
      <c r="AH42" s="29" t="inlineStr">
        <is>
          <t>False</t>
        </is>
      </c>
    </row>
    <row r="43" ht="24" customHeight="1">
      <c r="A43" s="24" t="inlineStr">
        <is>
          <t>35</t>
        </is>
      </c>
      <c r="B43" s="24" t="inlineStr">
        <is>
          <t>해당 없음</t>
        </is>
      </c>
      <c r="C43" s="24" t="inlineStr">
        <is>
          <t>테크엘</t>
        </is>
      </c>
      <c r="D43" s="24" t="inlineStr">
        <is>
          <t>064520</t>
        </is>
      </c>
      <c r="E43" s="24" t="inlineStr">
        <is>
          <t>KOSDAQ</t>
        </is>
      </c>
      <c r="F43" s="24" t="inlineStr">
        <is>
          <t>IDM/제조/메모리</t>
        </is>
      </c>
      <c r="G43" s="24" t="inlineStr">
        <is>
          <t>IDM/제조/메모리</t>
        </is>
      </c>
      <c r="H43" s="24" t="inlineStr">
        <is>
          <t>False</t>
        </is>
      </c>
      <c r="I43" s="24" t="inlineStr">
        <is>
          <t>True</t>
        </is>
      </c>
      <c r="J43" s="24" t="inlineStr">
        <is>
          <t>OK</t>
        </is>
      </c>
      <c r="K43" s="24" t="inlineStr">
        <is>
          <t>데이터 사용 가능</t>
        </is>
      </c>
      <c r="L43" s="24" t="inlineStr">
        <is>
          <t>LOW</t>
        </is>
      </c>
      <c r="M43" s="24" t="inlineStr">
        <is>
          <t>LOW</t>
        </is>
      </c>
      <c r="N43" s="24" t="inlineStr">
        <is>
          <t>0.4756666666666667</t>
        </is>
      </c>
      <c r="O43" s="24" t="inlineStr">
        <is>
          <t>FAIR</t>
        </is>
      </c>
      <c r="P43" s="24" t="inlineStr">
        <is>
          <t>FAIR</t>
        </is>
      </c>
      <c r="Q43" s="24" t="inlineStr">
        <is>
          <t>FAIR</t>
        </is>
      </c>
      <c r="R43" s="24" t="inlineStr">
        <is>
          <t>0.7806095936743286</t>
        </is>
      </c>
      <c r="S43" s="24" t="inlineStr">
        <is>
          <t>HIGH</t>
        </is>
      </c>
      <c r="T43" s="24" t="inlineStr">
        <is>
          <t>HIGH</t>
        </is>
      </c>
      <c r="U43" s="24" t="inlineStr">
        <is>
          <t>0.5</t>
        </is>
      </c>
      <c r="V43" s="24" t="inlineStr">
        <is>
          <t>HIGH_RISK</t>
        </is>
      </c>
      <c r="W43" s="24" t="inlineStr">
        <is>
          <t>고위험</t>
        </is>
      </c>
      <c r="X43" s="24" t="inlineStr">
        <is>
          <t>HIGH_RISK</t>
        </is>
      </c>
      <c r="Y43" s="24" t="inlineStr">
        <is>
          <t>0.8561648968032103</t>
        </is>
      </c>
      <c r="Z43" s="24" t="inlineStr">
        <is>
          <t>HIGH</t>
        </is>
      </c>
      <c r="AA43" s="24" t="inlineStr">
        <is>
          <t>HIGH</t>
        </is>
      </c>
      <c r="AB43" s="24" t="inlineStr">
        <is>
          <t>0.5330742789427354</t>
        </is>
      </c>
      <c r="AC43" s="24" t="inlineStr">
        <is>
          <t>True</t>
        </is>
      </c>
      <c r="AD43" s="24" t="inlineStr">
        <is>
          <t>True</t>
        </is>
      </c>
      <c r="AE43" s="24" t="inlineStr">
        <is>
          <t>valuation_credit_ml_overlay_candidate.csv</t>
        </is>
      </c>
      <c r="AF43" s="24" t="inlineStr">
        <is>
          <t>208개 반도체 reference universe. Valuation Agent가 자체 intake 폴더로 복제해 Peer/ML/대시보드 비교에 사용.</t>
        </is>
      </c>
      <c r="AG43" s="24" t="inlineStr">
        <is>
          <t>SAME_PEER_GROUP</t>
        </is>
      </c>
      <c r="AH43" s="24" t="inlineStr">
        <is>
          <t>False</t>
        </is>
      </c>
    </row>
    <row r="44" ht="24" customHeight="1">
      <c r="A44" s="29" t="inlineStr">
        <is>
          <t>148</t>
        </is>
      </c>
      <c r="B44" s="29" t="inlineStr">
        <is>
          <t>hansol</t>
        </is>
      </c>
      <c r="C44" s="29" t="inlineStr">
        <is>
          <t>한솔케미칼</t>
        </is>
      </c>
      <c r="D44" s="29" t="inlineStr">
        <is>
          <t>014680</t>
        </is>
      </c>
      <c r="E44" s="29" t="inlineStr">
        <is>
          <t>KOSPI</t>
        </is>
      </c>
      <c r="F44" s="29" t="inlineStr">
        <is>
          <t>소재</t>
        </is>
      </c>
      <c r="G44" s="29" t="inlineStr">
        <is>
          <t>소재</t>
        </is>
      </c>
      <c r="H44" s="29" t="inlineStr">
        <is>
          <t>True</t>
        </is>
      </c>
      <c r="I44" s="29" t="inlineStr">
        <is>
          <t>True</t>
        </is>
      </c>
      <c r="J44" s="29" t="inlineStr">
        <is>
          <t>OK</t>
        </is>
      </c>
      <c r="K44" s="29" t="inlineStr">
        <is>
          <t>데이터 사용 가능</t>
        </is>
      </c>
      <c r="L44" s="29" t="inlineStr">
        <is>
          <t>LOW</t>
        </is>
      </c>
      <c r="M44" s="29" t="inlineStr">
        <is>
          <t>LOW</t>
        </is>
      </c>
      <c r="N44" s="29" t="inlineStr">
        <is>
          <t>0.6330769230769231</t>
        </is>
      </c>
      <c r="O44" s="29" t="inlineStr">
        <is>
          <t>ATTRACTIVE</t>
        </is>
      </c>
      <c r="P44" s="29" t="inlineStr">
        <is>
          <t>가치 매력</t>
        </is>
      </c>
      <c r="Q44" s="29" t="inlineStr">
        <is>
          <t>ATTRACTIVE</t>
        </is>
      </c>
      <c r="R44" s="29" t="inlineStr">
        <is>
          <t>0.8364696976606926</t>
        </is>
      </c>
      <c r="S44" s="29" t="inlineStr">
        <is>
          <t>HIGH</t>
        </is>
      </c>
      <c r="T44" s="29" t="inlineStr">
        <is>
          <t>HIGH</t>
        </is>
      </c>
      <c r="U44" s="29" t="inlineStr">
        <is>
          <t>0.0</t>
        </is>
      </c>
      <c r="V44" s="29" t="inlineStr">
        <is>
          <t>LOW_RISK</t>
        </is>
      </c>
      <c r="W44" s="29" t="inlineStr">
        <is>
          <t>저위험</t>
        </is>
      </c>
      <c r="X44" s="29" t="inlineStr">
        <is>
          <t>LOW_RISK</t>
        </is>
      </c>
      <c r="Y44" s="29" t="inlineStr">
        <is>
          <t>0.9711543901439185</t>
        </is>
      </c>
      <c r="Z44" s="29" t="inlineStr">
        <is>
          <t>HIGH</t>
        </is>
      </c>
      <c r="AA44" s="29" t="inlineStr">
        <is>
          <t>HIGH</t>
        </is>
      </c>
      <c r="AB44" s="29" t="inlineStr">
        <is>
          <t>0.058190310497948615</t>
        </is>
      </c>
      <c r="AC44" s="29" t="inlineStr">
        <is>
          <t>False</t>
        </is>
      </c>
      <c r="AD44" s="29" t="inlineStr">
        <is>
          <t>False</t>
        </is>
      </c>
      <c r="AE44" s="29" t="inlineStr">
        <is>
          <t>valuation_credit_ml_overlay_candidate.csv</t>
        </is>
      </c>
      <c r="AF44" s="29" t="inlineStr">
        <is>
          <t>208개 반도체 reference universe. Valuation Agent가 자체 intake 폴더로 복제해 Peer/ML/대시보드 비교에 사용.</t>
        </is>
      </c>
      <c r="AG44" s="29" t="inlineStr">
        <is>
          <t>FOCAL_5</t>
        </is>
      </c>
      <c r="AH44" s="29" t="inlineStr">
        <is>
          <t>False</t>
        </is>
      </c>
    </row>
    <row r="45" ht="24" customHeight="1">
      <c r="A45" s="24" t="inlineStr">
        <is>
          <t>133</t>
        </is>
      </c>
      <c r="B45" s="24" t="inlineStr">
        <is>
          <t>ltc</t>
        </is>
      </c>
      <c r="C45" s="24" t="inlineStr">
        <is>
          <t>엘티씨</t>
        </is>
      </c>
      <c r="D45" s="24" t="inlineStr">
        <is>
          <t>170920</t>
        </is>
      </c>
      <c r="E45" s="24" t="inlineStr">
        <is>
          <t>KOSDAQ</t>
        </is>
      </c>
      <c r="F45" s="24" t="inlineStr">
        <is>
          <t>소재</t>
        </is>
      </c>
      <c r="G45" s="24" t="inlineStr">
        <is>
          <t>소재</t>
        </is>
      </c>
      <c r="H45" s="24" t="inlineStr">
        <is>
          <t>True</t>
        </is>
      </c>
      <c r="I45" s="24" t="inlineStr">
        <is>
          <t>True</t>
        </is>
      </c>
      <c r="J45" s="24" t="inlineStr">
        <is>
          <t>OK</t>
        </is>
      </c>
      <c r="K45" s="24" t="inlineStr">
        <is>
          <t>데이터 사용 가능</t>
        </is>
      </c>
      <c r="L45" s="24" t="inlineStr">
        <is>
          <t>LOW</t>
        </is>
      </c>
      <c r="M45" s="24" t="inlineStr">
        <is>
          <t>LOW</t>
        </is>
      </c>
      <c r="N45" s="24" t="inlineStr">
        <is>
          <t>0.5838461538461538</t>
        </is>
      </c>
      <c r="O45" s="24" t="inlineStr">
        <is>
          <t>FAIR</t>
        </is>
      </c>
      <c r="P45" s="24" t="inlineStr">
        <is>
          <t>FAIR</t>
        </is>
      </c>
      <c r="Q45" s="24" t="inlineStr">
        <is>
          <t>ATTRACTIVE</t>
        </is>
      </c>
      <c r="R45" s="24" t="inlineStr">
        <is>
          <t>0.6353016273848794</t>
        </is>
      </c>
      <c r="S45" s="24" t="inlineStr">
        <is>
          <t>MEDIUM</t>
        </is>
      </c>
      <c r="T45" s="24" t="inlineStr">
        <is>
          <t>MEDIUM</t>
        </is>
      </c>
      <c r="U45" s="24" t="inlineStr">
        <is>
          <t>0.0</t>
        </is>
      </c>
      <c r="V45" s="24" t="inlineStr">
        <is>
          <t>LOW_RISK</t>
        </is>
      </c>
      <c r="W45" s="24" t="inlineStr">
        <is>
          <t>저위험</t>
        </is>
      </c>
      <c r="X45" s="24" t="inlineStr">
        <is>
          <t>LOW_RISK</t>
        </is>
      </c>
      <c r="Y45" s="24" t="inlineStr">
        <is>
          <t>0.9205018564538214</t>
        </is>
      </c>
      <c r="Z45" s="24" t="inlineStr">
        <is>
          <t>HIGH</t>
        </is>
      </c>
      <c r="AA45" s="24" t="inlineStr">
        <is>
          <t>HIGH</t>
        </is>
      </c>
      <c r="AB45" s="24" t="inlineStr">
        <is>
          <t>0.0038993876391341673</t>
        </is>
      </c>
      <c r="AC45" s="24" t="inlineStr">
        <is>
          <t>False</t>
        </is>
      </c>
      <c r="AD45" s="24" t="inlineStr">
        <is>
          <t>False</t>
        </is>
      </c>
      <c r="AE45" s="24" t="inlineStr">
        <is>
          <t>valuation_credit_ml_overlay_candidate.csv</t>
        </is>
      </c>
      <c r="AF45" s="24" t="inlineStr">
        <is>
          <t>208개 반도체 reference universe. Valuation Agent가 자체 intake 폴더로 복제해 Peer/ML/대시보드 비교에 사용.</t>
        </is>
      </c>
      <c r="AG45" s="24" t="inlineStr">
        <is>
          <t>FOCAL_5</t>
        </is>
      </c>
      <c r="AH45" s="24" t="inlineStr">
        <is>
          <t>False</t>
        </is>
      </c>
    </row>
    <row r="46" ht="24" customHeight="1">
      <c r="A46" s="29" t="inlineStr">
        <is>
          <t>125</t>
        </is>
      </c>
      <c r="B46" s="29" t="inlineStr">
        <is>
          <t>duksan</t>
        </is>
      </c>
      <c r="C46" s="29" t="inlineStr">
        <is>
          <t>덕산테코피아</t>
        </is>
      </c>
      <c r="D46" s="29" t="inlineStr">
        <is>
          <t>317330</t>
        </is>
      </c>
      <c r="E46" s="29" t="inlineStr">
        <is>
          <t>KOSDAQ</t>
        </is>
      </c>
      <c r="F46" s="29" t="inlineStr">
        <is>
          <t>소재</t>
        </is>
      </c>
      <c r="G46" s="29" t="inlineStr">
        <is>
          <t>소재</t>
        </is>
      </c>
      <c r="H46" s="29" t="inlineStr">
        <is>
          <t>True</t>
        </is>
      </c>
      <c r="I46" s="29" t="inlineStr">
        <is>
          <t>True</t>
        </is>
      </c>
      <c r="J46" s="29" t="inlineStr">
        <is>
          <t>OK</t>
        </is>
      </c>
      <c r="K46" s="29" t="inlineStr">
        <is>
          <t>데이터 사용 가능</t>
        </is>
      </c>
      <c r="L46" s="29" t="inlineStr">
        <is>
          <t>LOW</t>
        </is>
      </c>
      <c r="M46" s="29" t="inlineStr">
        <is>
          <t>LOW</t>
        </is>
      </c>
      <c r="N46" s="29" t="inlineStr">
        <is>
          <t>0.251025641025641</t>
        </is>
      </c>
      <c r="O46" s="29" t="inlineStr">
        <is>
          <t>EXPENSIVE</t>
        </is>
      </c>
      <c r="P46" s="29" t="inlineStr">
        <is>
          <t>EXPENSIVE</t>
        </is>
      </c>
      <c r="Q46" s="29" t="inlineStr">
        <is>
          <t>EXPENSIVE</t>
        </is>
      </c>
      <c r="R46" s="29" t="inlineStr">
        <is>
          <t>0.9683283970250778</t>
        </is>
      </c>
      <c r="S46" s="29" t="inlineStr">
        <is>
          <t>HIGH</t>
        </is>
      </c>
      <c r="T46" s="29" t="inlineStr">
        <is>
          <t>HIGH</t>
        </is>
      </c>
      <c r="U46" s="29" t="inlineStr">
        <is>
          <t>0.7142857142857143</t>
        </is>
      </c>
      <c r="V46" s="29" t="inlineStr">
        <is>
          <t>HIGH_RISK</t>
        </is>
      </c>
      <c r="W46" s="29" t="inlineStr">
        <is>
          <t>고위험</t>
        </is>
      </c>
      <c r="X46" s="29" t="inlineStr">
        <is>
          <t>HIGH_RISK</t>
        </is>
      </c>
      <c r="Y46" s="29" t="inlineStr">
        <is>
          <t>0.9663044353705786</t>
        </is>
      </c>
      <c r="Z46" s="29" t="inlineStr">
        <is>
          <t>HIGH</t>
        </is>
      </c>
      <c r="AA46" s="29" t="inlineStr">
        <is>
          <t>HIGH</t>
        </is>
      </c>
      <c r="AB46" s="29" t="inlineStr">
        <is>
          <t>0.3843555232614074</t>
        </is>
      </c>
      <c r="AC46" s="29" t="inlineStr">
        <is>
          <t>True</t>
        </is>
      </c>
      <c r="AD46" s="29" t="inlineStr">
        <is>
          <t>True</t>
        </is>
      </c>
      <c r="AE46" s="29" t="inlineStr">
        <is>
          <t>valuation_credit_ml_overlay_candidate.csv</t>
        </is>
      </c>
      <c r="AF46" s="29" t="inlineStr">
        <is>
          <t>208개 반도체 reference universe. Valuation Agent가 자체 intake 폴더로 복제해 Peer/ML/대시보드 비교에 사용.</t>
        </is>
      </c>
      <c r="AG46" s="29" t="inlineStr">
        <is>
          <t>FOCAL_5</t>
        </is>
      </c>
      <c r="AH46" s="29" t="inlineStr">
        <is>
          <t>False</t>
        </is>
      </c>
    </row>
    <row r="47" ht="24" customHeight="1">
      <c r="A47" s="24" t="inlineStr">
        <is>
          <t>157</t>
        </is>
      </c>
      <c r="B47" s="24" t="inlineStr">
        <is>
          <t>nepes</t>
        </is>
      </c>
      <c r="C47" s="24" t="inlineStr">
        <is>
          <t>네패스</t>
        </is>
      </c>
      <c r="D47" s="24" t="inlineStr">
        <is>
          <t>033640</t>
        </is>
      </c>
      <c r="E47" s="24" t="inlineStr">
        <is>
          <t>KOSDAQ</t>
        </is>
      </c>
      <c r="F47" s="24" t="inlineStr">
        <is>
          <t>후공정/패키징/테스트</t>
        </is>
      </c>
      <c r="G47" s="24" t="inlineStr">
        <is>
          <t>후공정/패키징/테스트</t>
        </is>
      </c>
      <c r="H47" s="24" t="inlineStr">
        <is>
          <t>True</t>
        </is>
      </c>
      <c r="I47" s="24" t="inlineStr">
        <is>
          <t>True</t>
        </is>
      </c>
      <c r="J47" s="24" t="inlineStr">
        <is>
          <t>OK</t>
        </is>
      </c>
      <c r="K47" s="24" t="inlineStr">
        <is>
          <t>데이터 사용 가능</t>
        </is>
      </c>
      <c r="L47" s="24" t="inlineStr">
        <is>
          <t>LOW</t>
        </is>
      </c>
      <c r="M47" s="24" t="inlineStr">
        <is>
          <t>LOW</t>
        </is>
      </c>
      <c r="N47" s="24" t="inlineStr">
        <is>
          <t>0.6385185185185186</t>
        </is>
      </c>
      <c r="O47" s="24" t="inlineStr">
        <is>
          <t>ATTRACTIVE</t>
        </is>
      </c>
      <c r="P47" s="24" t="inlineStr">
        <is>
          <t>가치 매력</t>
        </is>
      </c>
      <c r="Q47" s="24" t="inlineStr">
        <is>
          <t>ATTRACTIVE</t>
        </is>
      </c>
      <c r="R47" s="24" t="inlineStr">
        <is>
          <t>0.8763685947958789</t>
        </is>
      </c>
      <c r="S47" s="24" t="inlineStr">
        <is>
          <t>HIGH</t>
        </is>
      </c>
      <c r="T47" s="24" t="inlineStr">
        <is>
          <t>HIGH</t>
        </is>
      </c>
      <c r="U47" s="24" t="inlineStr">
        <is>
          <t>0.2857142857142857</t>
        </is>
      </c>
      <c r="V47" s="24" t="inlineStr">
        <is>
          <t>MEDIUM_RISK</t>
        </is>
      </c>
      <c r="W47" s="24" t="inlineStr">
        <is>
          <t>중위험</t>
        </is>
      </c>
      <c r="X47" s="24" t="inlineStr">
        <is>
          <t>MEDIUM_RISK</t>
        </is>
      </c>
      <c r="Y47" s="24" t="inlineStr">
        <is>
          <t>0.5963458259503356</t>
        </is>
      </c>
      <c r="Z47" s="24" t="inlineStr">
        <is>
          <t>MEDIUM</t>
        </is>
      </c>
      <c r="AA47" s="24" t="inlineStr">
        <is>
          <t>MEDIUM</t>
        </is>
      </c>
      <c r="AB47" s="24" t="inlineStr">
        <is>
          <t>0.07896643996759804</t>
        </is>
      </c>
      <c r="AC47" s="24" t="inlineStr">
        <is>
          <t>False</t>
        </is>
      </c>
      <c r="AD47" s="24" t="inlineStr">
        <is>
          <t>False</t>
        </is>
      </c>
      <c r="AE47" s="24" t="inlineStr">
        <is>
          <t>valuation_credit_ml_overlay_candidate.csv</t>
        </is>
      </c>
      <c r="AF47" s="24" t="inlineStr">
        <is>
          <t>208개 반도체 reference universe. Valuation Agent가 자체 intake 폴더로 복제해 Peer/ML/대시보드 비교에 사용.</t>
        </is>
      </c>
      <c r="AG47" s="24" t="inlineStr">
        <is>
          <t>FOCAL_5</t>
        </is>
      </c>
      <c r="AH47" s="24" t="inlineStr">
        <is>
          <t>False</t>
        </is>
      </c>
    </row>
    <row r="48" ht="24" customHeight="1">
      <c r="A48" s="29" t="inlineStr">
        <is>
          <t>192</t>
        </is>
      </c>
      <c r="B48" s="29" t="inlineStr">
        <is>
          <t>hanmi</t>
        </is>
      </c>
      <c r="C48" s="29" t="inlineStr">
        <is>
          <t>한미반도체</t>
        </is>
      </c>
      <c r="D48" s="29" t="inlineStr">
        <is>
          <t>042700</t>
        </is>
      </c>
      <c r="E48" s="29" t="inlineStr">
        <is>
          <t>KOSPI</t>
        </is>
      </c>
      <c r="F48" s="29" t="inlineStr">
        <is>
          <t>후공정/패키징/테스트</t>
        </is>
      </c>
      <c r="G48" s="29" t="inlineStr">
        <is>
          <t>후공정/패키징/테스트</t>
        </is>
      </c>
      <c r="H48" s="29" t="inlineStr">
        <is>
          <t>True</t>
        </is>
      </c>
      <c r="I48" s="29" t="inlineStr">
        <is>
          <t>True</t>
        </is>
      </c>
      <c r="J48" s="29" t="inlineStr">
        <is>
          <t>OK</t>
        </is>
      </c>
      <c r="K48" s="29" t="inlineStr">
        <is>
          <t>데이터 사용 가능</t>
        </is>
      </c>
      <c r="L48" s="29" t="inlineStr">
        <is>
          <t>LOW</t>
        </is>
      </c>
      <c r="M48" s="29" t="inlineStr">
        <is>
          <t>LOW</t>
        </is>
      </c>
      <c r="N48" s="29" t="inlineStr">
        <is>
          <t>0.4712592592592592</t>
        </is>
      </c>
      <c r="O48" s="29" t="inlineStr">
        <is>
          <t>FAIR</t>
        </is>
      </c>
      <c r="P48" s="29" t="inlineStr">
        <is>
          <t>FAIR</t>
        </is>
      </c>
      <c r="Q48" s="29" t="inlineStr">
        <is>
          <t>FAIR</t>
        </is>
      </c>
      <c r="R48" s="29" t="inlineStr">
        <is>
          <t>0.618072727307107</t>
        </is>
      </c>
      <c r="S48" s="29" t="inlineStr">
        <is>
          <t>MEDIUM</t>
        </is>
      </c>
      <c r="T48" s="29" t="inlineStr">
        <is>
          <t>MEDIUM</t>
        </is>
      </c>
      <c r="U48" s="29" t="inlineStr">
        <is>
          <t>0.0</t>
        </is>
      </c>
      <c r="V48" s="29" t="inlineStr">
        <is>
          <t>LOW_RISK</t>
        </is>
      </c>
      <c r="W48" s="29" t="inlineStr">
        <is>
          <t>저위험</t>
        </is>
      </c>
      <c r="X48" s="29" t="inlineStr">
        <is>
          <t>LOW_RISK</t>
        </is>
      </c>
      <c r="Y48" s="29" t="inlineStr">
        <is>
          <t>0.9350232170644448</t>
        </is>
      </c>
      <c r="Z48" s="29" t="inlineStr">
        <is>
          <t>HIGH</t>
        </is>
      </c>
      <c r="AA48" s="29" t="inlineStr">
        <is>
          <t>HIGH</t>
        </is>
      </c>
      <c r="AB48" s="29" t="inlineStr">
        <is>
          <t>0.2707179947680644</t>
        </is>
      </c>
      <c r="AC48" s="29" t="inlineStr">
        <is>
          <t>True</t>
        </is>
      </c>
      <c r="AD48" s="29" t="inlineStr">
        <is>
          <t>True</t>
        </is>
      </c>
      <c r="AE48" s="29" t="inlineStr">
        <is>
          <t>valuation_credit_ml_overlay_candidate.csv</t>
        </is>
      </c>
      <c r="AF48" s="29" t="inlineStr">
        <is>
          <t>208개 반도체 reference universe. Valuation Agent가 자체 intake 폴더로 복제해 Peer/ML/대시보드 비교에 사용.</t>
        </is>
      </c>
      <c r="AG48" s="29" t="inlineStr">
        <is>
          <t>FOCAL_5</t>
        </is>
      </c>
      <c r="AH48" s="29" t="inlineStr">
        <is>
          <t>False</t>
        </is>
      </c>
    </row>
    <row r="49" ht="24" customHeight="1">
      <c r="A49" s="24" t="inlineStr">
        <is>
          <t>99</t>
        </is>
      </c>
      <c r="B49" s="24" t="inlineStr">
        <is>
          <t>해당 없음</t>
        </is>
      </c>
      <c r="C49" s="24" t="inlineStr">
        <is>
          <t>엔투텍</t>
        </is>
      </c>
      <c r="D49" s="24" t="inlineStr">
        <is>
          <t>227950</t>
        </is>
      </c>
      <c r="E49" s="24" t="inlineStr">
        <is>
          <t>KOSDAQ</t>
        </is>
      </c>
      <c r="F49" s="24" t="inlineStr">
        <is>
          <t>장비</t>
        </is>
      </c>
      <c r="G49" s="24" t="inlineStr">
        <is>
          <t>장비</t>
        </is>
      </c>
      <c r="H49" s="24" t="inlineStr">
        <is>
          <t>False</t>
        </is>
      </c>
      <c r="I49" s="24" t="inlineStr">
        <is>
          <t>True</t>
        </is>
      </c>
      <c r="J49" s="24" t="inlineStr">
        <is>
          <t>OK</t>
        </is>
      </c>
      <c r="K49" s="24" t="inlineStr">
        <is>
          <t>데이터 사용 가능</t>
        </is>
      </c>
      <c r="L49" s="24" t="inlineStr">
        <is>
          <t>LOW</t>
        </is>
      </c>
      <c r="M49" s="24" t="inlineStr">
        <is>
          <t>LOW</t>
        </is>
      </c>
      <c r="N49" s="24" t="inlineStr">
        <is>
          <t>0.8128666666666667</t>
        </is>
      </c>
      <c r="O49" s="24" t="inlineStr">
        <is>
          <t>ATTRACTIVE</t>
        </is>
      </c>
      <c r="P49" s="24" t="inlineStr">
        <is>
          <t>가치 매력</t>
        </is>
      </c>
      <c r="Q49" s="24" t="inlineStr">
        <is>
          <t>ATTRACTIVE</t>
        </is>
      </c>
      <c r="R49" s="24" t="inlineStr">
        <is>
          <t>0.8347222629406851</t>
        </is>
      </c>
      <c r="S49" s="24" t="inlineStr">
        <is>
          <t>HIGH</t>
        </is>
      </c>
      <c r="T49" s="24" t="inlineStr">
        <is>
          <t>HIGH</t>
        </is>
      </c>
      <c r="U49" s="24" t="inlineStr">
        <is>
          <t>0.2142857142857142</t>
        </is>
      </c>
      <c r="V49" s="24" t="inlineStr">
        <is>
          <t>MEDIUM_RISK</t>
        </is>
      </c>
      <c r="W49" s="24" t="inlineStr">
        <is>
          <t>중위험</t>
        </is>
      </c>
      <c r="X49" s="24" t="inlineStr">
        <is>
          <t>MEDIUM_RISK</t>
        </is>
      </c>
      <c r="Y49" s="24" t="inlineStr">
        <is>
          <t>0.5142933547274794</t>
        </is>
      </c>
      <c r="Z49" s="24" t="inlineStr">
        <is>
          <t>MEDIUM</t>
        </is>
      </c>
      <c r="AA49" s="24" t="inlineStr">
        <is>
          <t>MEDIUM</t>
        </is>
      </c>
      <c r="AB49" s="24" t="inlineStr">
        <is>
          <t>0.21193857896314997</t>
        </is>
      </c>
      <c r="AC49" s="24" t="inlineStr">
        <is>
          <t>False</t>
        </is>
      </c>
      <c r="AD49" s="24" t="inlineStr">
        <is>
          <t>False</t>
        </is>
      </c>
      <c r="AE49" s="24" t="inlineStr">
        <is>
          <t>valuation_credit_ml_overlay_candidate.csv</t>
        </is>
      </c>
      <c r="AF49" s="24" t="inlineStr">
        <is>
          <t>208개 반도체 reference universe. Valuation Agent가 자체 intake 폴더로 복제해 Peer/ML/대시보드 비교에 사용.</t>
        </is>
      </c>
      <c r="AG49" s="24" t="inlineStr">
        <is>
          <t>TOP_REFERENCE</t>
        </is>
      </c>
      <c r="AH49" s="24" t="inlineStr">
        <is>
          <t>False</t>
        </is>
      </c>
    </row>
    <row r="50" ht="24" customHeight="1">
      <c r="A50" s="29" t="inlineStr">
        <is>
          <t>62</t>
        </is>
      </c>
      <c r="B50" s="29" t="inlineStr">
        <is>
          <t>해당 없음</t>
        </is>
      </c>
      <c r="C50" s="29" t="inlineStr">
        <is>
          <t>에스에이엠티</t>
        </is>
      </c>
      <c r="D50" s="29" t="inlineStr">
        <is>
          <t>031330</t>
        </is>
      </c>
      <c r="E50" s="29" t="inlineStr">
        <is>
          <t>KOSDAQ</t>
        </is>
      </c>
      <c r="F50" s="29" t="inlineStr">
        <is>
          <t>팹리스/설계</t>
        </is>
      </c>
      <c r="G50" s="29" t="inlineStr">
        <is>
          <t>팹리스/설계</t>
        </is>
      </c>
      <c r="H50" s="29" t="inlineStr">
        <is>
          <t>False</t>
        </is>
      </c>
      <c r="I50" s="29" t="inlineStr">
        <is>
          <t>True</t>
        </is>
      </c>
      <c r="J50" s="29" t="inlineStr">
        <is>
          <t>OK</t>
        </is>
      </c>
      <c r="K50" s="29" t="inlineStr">
        <is>
          <t>데이터 사용 가능</t>
        </is>
      </c>
      <c r="L50" s="29" t="inlineStr">
        <is>
          <t>LOW</t>
        </is>
      </c>
      <c r="M50" s="29" t="inlineStr">
        <is>
          <t>LOW</t>
        </is>
      </c>
      <c r="N50" s="29" t="inlineStr">
        <is>
          <t>0.7838383838383839</t>
        </is>
      </c>
      <c r="O50" s="29" t="inlineStr">
        <is>
          <t>FAIR</t>
        </is>
      </c>
      <c r="P50" s="29" t="inlineStr">
        <is>
          <t>FAIR</t>
        </is>
      </c>
      <c r="Q50" s="29" t="inlineStr">
        <is>
          <t>FAIR</t>
        </is>
      </c>
      <c r="R50" s="29" t="inlineStr">
        <is>
          <t>0.8575928985222669</t>
        </is>
      </c>
      <c r="S50" s="29" t="inlineStr">
        <is>
          <t>HIGH</t>
        </is>
      </c>
      <c r="T50" s="29" t="inlineStr">
        <is>
          <t>HIGH</t>
        </is>
      </c>
      <c r="U50" s="29" t="inlineStr">
        <is>
          <t>0.5</t>
        </is>
      </c>
      <c r="V50" s="29" t="inlineStr">
        <is>
          <t>HIGH_RISK</t>
        </is>
      </c>
      <c r="W50" s="29" t="inlineStr">
        <is>
          <t>고위험</t>
        </is>
      </c>
      <c r="X50" s="29" t="inlineStr">
        <is>
          <t>HIGH_RISK</t>
        </is>
      </c>
      <c r="Y50" s="29" t="inlineStr">
        <is>
          <t>0.5021487096911619</t>
        </is>
      </c>
      <c r="Z50" s="29" t="inlineStr">
        <is>
          <t>MEDIUM</t>
        </is>
      </c>
      <c r="AA50" s="29" t="inlineStr">
        <is>
          <t>MEDIUM</t>
        </is>
      </c>
      <c r="AB50" s="29" t="inlineStr">
        <is>
          <t>0.11372149345925425</t>
        </is>
      </c>
      <c r="AC50" s="29" t="inlineStr">
        <is>
          <t>False</t>
        </is>
      </c>
      <c r="AD50" s="29" t="inlineStr">
        <is>
          <t>False</t>
        </is>
      </c>
      <c r="AE50" s="29" t="inlineStr">
        <is>
          <t>valuation_credit_ml_overlay_candidate.csv</t>
        </is>
      </c>
      <c r="AF50" s="29" t="inlineStr">
        <is>
          <t>208개 반도체 reference universe. Valuation Agent가 자체 intake 폴더로 복제해 Peer/ML/대시보드 비교에 사용.</t>
        </is>
      </c>
      <c r="AG50" s="29" t="inlineStr">
        <is>
          <t>TOP_REFERENCE</t>
        </is>
      </c>
      <c r="AH50" s="29" t="inlineStr">
        <is>
          <t>False</t>
        </is>
      </c>
    </row>
    <row r="51" ht="24" customHeight="1">
      <c r="A51" s="24" t="inlineStr">
        <is>
          <t>168</t>
        </is>
      </c>
      <c r="B51" s="24" t="inlineStr">
        <is>
          <t>해당 없음</t>
        </is>
      </c>
      <c r="C51" s="24" t="inlineStr">
        <is>
          <t>성우테크론</t>
        </is>
      </c>
      <c r="D51" s="24" t="inlineStr">
        <is>
          <t>045300</t>
        </is>
      </c>
      <c r="E51" s="24" t="inlineStr">
        <is>
          <t>KOSDAQ</t>
        </is>
      </c>
      <c r="F51" s="24" t="inlineStr">
        <is>
          <t>후공정/패키징/테스트</t>
        </is>
      </c>
      <c r="G51" s="24" t="inlineStr">
        <is>
          <t>후공정/패키징/테스트</t>
        </is>
      </c>
      <c r="H51" s="24" t="inlineStr">
        <is>
          <t>False</t>
        </is>
      </c>
      <c r="I51" s="24" t="inlineStr">
        <is>
          <t>True</t>
        </is>
      </c>
      <c r="J51" s="24" t="inlineStr">
        <is>
          <t>OK</t>
        </is>
      </c>
      <c r="K51" s="24" t="inlineStr">
        <is>
          <t>데이터 사용 가능</t>
        </is>
      </c>
      <c r="L51" s="24" t="inlineStr">
        <is>
          <t>LOW</t>
        </is>
      </c>
      <c r="M51" s="24" t="inlineStr">
        <is>
          <t>LOW</t>
        </is>
      </c>
      <c r="N51" s="24" t="inlineStr">
        <is>
          <t>0.7764444444444445</t>
        </is>
      </c>
      <c r="O51" s="24" t="inlineStr">
        <is>
          <t>ATTRACTIVE</t>
        </is>
      </c>
      <c r="P51" s="24" t="inlineStr">
        <is>
          <t>가치 매력</t>
        </is>
      </c>
      <c r="Q51" s="24" t="inlineStr">
        <is>
          <t>ATTRACTIVE</t>
        </is>
      </c>
      <c r="R51" s="24" t="inlineStr">
        <is>
          <t>0.9526864248076319</t>
        </is>
      </c>
      <c r="S51" s="24" t="inlineStr">
        <is>
          <t>HIGH</t>
        </is>
      </c>
      <c r="T51" s="24" t="inlineStr">
        <is>
          <t>HIGH</t>
        </is>
      </c>
      <c r="U51" s="24" t="inlineStr">
        <is>
          <t>0.0714285714285714</t>
        </is>
      </c>
      <c r="V51" s="24" t="inlineStr">
        <is>
          <t>LOW_RISK</t>
        </is>
      </c>
      <c r="W51" s="24" t="inlineStr">
        <is>
          <t>저위험</t>
        </is>
      </c>
      <c r="X51" s="24" t="inlineStr">
        <is>
          <t>LOW_RISK</t>
        </is>
      </c>
      <c r="Y51" s="24" t="inlineStr">
        <is>
          <t>0.869939352370702</t>
        </is>
      </c>
      <c r="Z51" s="24" t="inlineStr">
        <is>
          <t>HIGH</t>
        </is>
      </c>
      <c r="AA51" s="24" t="inlineStr">
        <is>
          <t>HIGH</t>
        </is>
      </c>
      <c r="AB51" s="24" t="inlineStr">
        <is>
          <t>0.10286671144812394</t>
        </is>
      </c>
      <c r="AC51" s="24" t="inlineStr">
        <is>
          <t>False</t>
        </is>
      </c>
      <c r="AD51" s="24" t="inlineStr">
        <is>
          <t>False</t>
        </is>
      </c>
      <c r="AE51" s="24" t="inlineStr">
        <is>
          <t>valuation_credit_ml_overlay_candidate.csv</t>
        </is>
      </c>
      <c r="AF51" s="24" t="inlineStr">
        <is>
          <t>208개 반도체 reference universe. Valuation Agent가 자체 intake 폴더로 복제해 Peer/ML/대시보드 비교에 사용.</t>
        </is>
      </c>
      <c r="AG51" s="24" t="inlineStr">
        <is>
          <t>TOP_REFERENCE</t>
        </is>
      </c>
      <c r="AH51" s="24" t="inlineStr">
        <is>
          <t>False</t>
        </is>
      </c>
    </row>
    <row r="52" ht="24" customHeight="1">
      <c r="A52" s="29" t="inlineStr">
        <is>
          <t>165</t>
        </is>
      </c>
      <c r="B52" s="29" t="inlineStr">
        <is>
          <t>해당 없음</t>
        </is>
      </c>
      <c r="C52" s="29" t="inlineStr">
        <is>
          <t>미래산업</t>
        </is>
      </c>
      <c r="D52" s="29" t="inlineStr">
        <is>
          <t>025560</t>
        </is>
      </c>
      <c r="E52" s="29" t="inlineStr">
        <is>
          <t>KOSPI</t>
        </is>
      </c>
      <c r="F52" s="29" t="inlineStr">
        <is>
          <t>후공정/패키징/테스트</t>
        </is>
      </c>
      <c r="G52" s="29" t="inlineStr">
        <is>
          <t>후공정/패키징/테스트</t>
        </is>
      </c>
      <c r="H52" s="29" t="inlineStr">
        <is>
          <t>False</t>
        </is>
      </c>
      <c r="I52" s="29" t="inlineStr">
        <is>
          <t>True</t>
        </is>
      </c>
      <c r="J52" s="29" t="inlineStr">
        <is>
          <t>OK</t>
        </is>
      </c>
      <c r="K52" s="29" t="inlineStr">
        <is>
          <t>데이터 사용 가능</t>
        </is>
      </c>
      <c r="L52" s="29" t="inlineStr">
        <is>
          <t>LOW</t>
        </is>
      </c>
      <c r="M52" s="29" t="inlineStr">
        <is>
          <t>LOW</t>
        </is>
      </c>
      <c r="N52" s="29" t="inlineStr">
        <is>
          <t>0.7748148148148148</t>
        </is>
      </c>
      <c r="O52" s="29" t="inlineStr">
        <is>
          <t>FAIR</t>
        </is>
      </c>
      <c r="P52" s="29" t="inlineStr">
        <is>
          <t>FAIR</t>
        </is>
      </c>
      <c r="Q52" s="29" t="inlineStr">
        <is>
          <t>FAIR</t>
        </is>
      </c>
      <c r="R52" s="29" t="inlineStr">
        <is>
          <t>0.883291104654336</t>
        </is>
      </c>
      <c r="S52" s="29" t="inlineStr">
        <is>
          <t>HIGH</t>
        </is>
      </c>
      <c r="T52" s="29" t="inlineStr">
        <is>
          <t>HIGH</t>
        </is>
      </c>
      <c r="U52" s="29" t="inlineStr">
        <is>
          <t>0.2857142857142857</t>
        </is>
      </c>
      <c r="V52" s="29" t="inlineStr">
        <is>
          <t>MEDIUM_RISK</t>
        </is>
      </c>
      <c r="W52" s="29" t="inlineStr">
        <is>
          <t>중위험</t>
        </is>
      </c>
      <c r="X52" s="29" t="inlineStr">
        <is>
          <t>MEDIUM_RISK</t>
        </is>
      </c>
      <c r="Y52" s="29" t="inlineStr">
        <is>
          <t>0.695536763680257</t>
        </is>
      </c>
      <c r="Z52" s="29" t="inlineStr">
        <is>
          <t>MEDIUM</t>
        </is>
      </c>
      <c r="AA52" s="29" t="inlineStr">
        <is>
          <t>MEDIUM</t>
        </is>
      </c>
      <c r="AB52" s="29" t="inlineStr">
        <is>
          <t>0.08100242357773374</t>
        </is>
      </c>
      <c r="AC52" s="29" t="inlineStr">
        <is>
          <t>False</t>
        </is>
      </c>
      <c r="AD52" s="29" t="inlineStr">
        <is>
          <t>False</t>
        </is>
      </c>
      <c r="AE52" s="29" t="inlineStr">
        <is>
          <t>valuation_credit_ml_overlay_candidate.csv</t>
        </is>
      </c>
      <c r="AF52" s="29" t="inlineStr">
        <is>
          <t>208개 반도체 reference universe. Valuation Agent가 자체 intake 폴더로 복제해 Peer/ML/대시보드 비교에 사용.</t>
        </is>
      </c>
      <c r="AG52" s="29" t="inlineStr">
        <is>
          <t>TOP_REFERENCE</t>
        </is>
      </c>
      <c r="AH52" s="29" t="inlineStr">
        <is>
          <t>False</t>
        </is>
      </c>
    </row>
    <row r="53" ht="24" customHeight="1">
      <c r="A53" s="24" t="inlineStr">
        <is>
          <t>163</t>
        </is>
      </c>
      <c r="B53" s="24" t="inlineStr">
        <is>
          <t>해당 없음</t>
        </is>
      </c>
      <c r="C53" s="24" t="inlineStr">
        <is>
          <t>링크제니시스</t>
        </is>
      </c>
      <c r="D53" s="24" t="inlineStr">
        <is>
          <t>219420</t>
        </is>
      </c>
      <c r="E53" s="24" t="inlineStr">
        <is>
          <t>KOSDAQ</t>
        </is>
      </c>
      <c r="F53" s="24" t="inlineStr">
        <is>
          <t>후공정/패키징/테스트</t>
        </is>
      </c>
      <c r="G53" s="24" t="inlineStr">
        <is>
          <t>후공정/패키징/테스트</t>
        </is>
      </c>
      <c r="H53" s="24" t="inlineStr">
        <is>
          <t>False</t>
        </is>
      </c>
      <c r="I53" s="24" t="inlineStr">
        <is>
          <t>True</t>
        </is>
      </c>
      <c r="J53" s="24" t="inlineStr">
        <is>
          <t>OK</t>
        </is>
      </c>
      <c r="K53" s="24" t="inlineStr">
        <is>
          <t>데이터 사용 가능</t>
        </is>
      </c>
      <c r="L53" s="24" t="inlineStr">
        <is>
          <t>LOW</t>
        </is>
      </c>
      <c r="M53" s="24" t="inlineStr">
        <is>
          <t>LOW</t>
        </is>
      </c>
      <c r="N53" s="24" t="inlineStr">
        <is>
          <t>0.7522962962962964</t>
        </is>
      </c>
      <c r="O53" s="24" t="inlineStr">
        <is>
          <t>ATTRACTIVE</t>
        </is>
      </c>
      <c r="P53" s="24" t="inlineStr">
        <is>
          <t>가치 매력</t>
        </is>
      </c>
      <c r="Q53" s="24" t="inlineStr">
        <is>
          <t>ATTRACTIVE</t>
        </is>
      </c>
      <c r="R53" s="24" t="inlineStr">
        <is>
          <t>0.8724992666433111</t>
        </is>
      </c>
      <c r="S53" s="24" t="inlineStr">
        <is>
          <t>HIGH</t>
        </is>
      </c>
      <c r="T53" s="24" t="inlineStr">
        <is>
          <t>HIGH</t>
        </is>
      </c>
      <c r="U53" s="24" t="inlineStr">
        <is>
          <t>0.0714285714285714</t>
        </is>
      </c>
      <c r="V53" s="24" t="inlineStr">
        <is>
          <t>LOW_RISK</t>
        </is>
      </c>
      <c r="W53" s="24" t="inlineStr">
        <is>
          <t>저위험</t>
        </is>
      </c>
      <c r="X53" s="24" t="inlineStr">
        <is>
          <t>LOW_RISK</t>
        </is>
      </c>
      <c r="Y53" s="24" t="inlineStr">
        <is>
          <t>0.8663667518810074</t>
        </is>
      </c>
      <c r="Z53" s="24" t="inlineStr">
        <is>
          <t>HIGH</t>
        </is>
      </c>
      <c r="AA53" s="24" t="inlineStr">
        <is>
          <t>HIGH</t>
        </is>
      </c>
      <c r="AB53" s="24" t="inlineStr">
        <is>
          <t>0.1247344063934745</t>
        </is>
      </c>
      <c r="AC53" s="24" t="inlineStr">
        <is>
          <t>False</t>
        </is>
      </c>
      <c r="AD53" s="24" t="inlineStr">
        <is>
          <t>False</t>
        </is>
      </c>
      <c r="AE53" s="24" t="inlineStr">
        <is>
          <t>valuation_credit_ml_overlay_candidate.csv</t>
        </is>
      </c>
      <c r="AF53" s="24" t="inlineStr">
        <is>
          <t>208개 반도체 reference universe. Valuation Agent가 자체 intake 폴더로 복제해 Peer/ML/대시보드 비교에 사용.</t>
        </is>
      </c>
      <c r="AG53" s="24" t="inlineStr">
        <is>
          <t>TOP_REFERENCE</t>
        </is>
      </c>
      <c r="AH53" s="24" t="inlineStr">
        <is>
          <t>False</t>
        </is>
      </c>
    </row>
    <row r="54" ht="24" customHeight="1">
      <c r="A54" s="29" t="inlineStr">
        <is>
          <t>65</t>
        </is>
      </c>
      <c r="B54" s="29" t="inlineStr">
        <is>
          <t>해당 없음</t>
        </is>
      </c>
      <c r="C54" s="29" t="inlineStr">
        <is>
          <t>유니트론텍</t>
        </is>
      </c>
      <c r="D54" s="29" t="inlineStr">
        <is>
          <t>142210</t>
        </is>
      </c>
      <c r="E54" s="29" t="inlineStr">
        <is>
          <t>KOSDAQ</t>
        </is>
      </c>
      <c r="F54" s="29" t="inlineStr">
        <is>
          <t>팹리스/설계</t>
        </is>
      </c>
      <c r="G54" s="29" t="inlineStr">
        <is>
          <t>팹리스/설계</t>
        </is>
      </c>
      <c r="H54" s="29" t="inlineStr">
        <is>
          <t>False</t>
        </is>
      </c>
      <c r="I54" s="29" t="inlineStr">
        <is>
          <t>True</t>
        </is>
      </c>
      <c r="J54" s="29" t="inlineStr">
        <is>
          <t>OK</t>
        </is>
      </c>
      <c r="K54" s="29" t="inlineStr">
        <is>
          <t>데이터 사용 가능</t>
        </is>
      </c>
      <c r="L54" s="29" t="inlineStr">
        <is>
          <t>LOW</t>
        </is>
      </c>
      <c r="M54" s="29" t="inlineStr">
        <is>
          <t>LOW</t>
        </is>
      </c>
      <c r="N54" s="29" t="inlineStr">
        <is>
          <t>0.7478787878787879</t>
        </is>
      </c>
      <c r="O54" s="29" t="inlineStr">
        <is>
          <t>FAIR</t>
        </is>
      </c>
      <c r="P54" s="29" t="inlineStr">
        <is>
          <t>FAIR</t>
        </is>
      </c>
      <c r="Q54" s="29" t="inlineStr">
        <is>
          <t>FAIR</t>
        </is>
      </c>
      <c r="R54" s="29" t="inlineStr">
        <is>
          <t>0.8593164302034415</t>
        </is>
      </c>
      <c r="S54" s="29" t="inlineStr">
        <is>
          <t>HIGH</t>
        </is>
      </c>
      <c r="T54" s="29" t="inlineStr">
        <is>
          <t>HIGH</t>
        </is>
      </c>
      <c r="U54" s="29" t="inlineStr">
        <is>
          <t>0.3571428571428571</t>
        </is>
      </c>
      <c r="V54" s="29" t="inlineStr">
        <is>
          <t>MEDIUM_RISK</t>
        </is>
      </c>
      <c r="W54" s="29" t="inlineStr">
        <is>
          <t>중위험</t>
        </is>
      </c>
      <c r="X54" s="29" t="inlineStr">
        <is>
          <t>MEDIUM_RISK</t>
        </is>
      </c>
      <c r="Y54" s="29" t="inlineStr">
        <is>
          <t>0.6687746551665015</t>
        </is>
      </c>
      <c r="Z54" s="29" t="inlineStr">
        <is>
          <t>MEDIUM</t>
        </is>
      </c>
      <c r="AA54" s="29" t="inlineStr">
        <is>
          <t>MEDIUM</t>
        </is>
      </c>
      <c r="AB54" s="29" t="inlineStr">
        <is>
          <t>0.05354194050015521</t>
        </is>
      </c>
      <c r="AC54" s="29" t="inlineStr">
        <is>
          <t>False</t>
        </is>
      </c>
      <c r="AD54" s="29" t="inlineStr">
        <is>
          <t>False</t>
        </is>
      </c>
      <c r="AE54" s="29" t="inlineStr">
        <is>
          <t>valuation_credit_ml_overlay_candidate.csv</t>
        </is>
      </c>
      <c r="AF54" s="29" t="inlineStr">
        <is>
          <t>208개 반도체 reference universe. Valuation Agent가 자체 intake 폴더로 복제해 Peer/ML/대시보드 비교에 사용.</t>
        </is>
      </c>
      <c r="AG54" s="29" t="inlineStr">
        <is>
          <t>TOP_REFERENCE</t>
        </is>
      </c>
      <c r="AH54" s="29" t="inlineStr">
        <is>
          <t>False</t>
        </is>
      </c>
    </row>
    <row r="55" ht="24" customHeight="1">
      <c r="A55" s="24" t="inlineStr">
        <is>
          <t>139</t>
        </is>
      </c>
      <c r="B55" s="24" t="inlineStr">
        <is>
          <t>해당 없음</t>
        </is>
      </c>
      <c r="C55" s="24" t="inlineStr">
        <is>
          <t>월덱스</t>
        </is>
      </c>
      <c r="D55" s="24" t="inlineStr">
        <is>
          <t>101160</t>
        </is>
      </c>
      <c r="E55" s="24" t="inlineStr">
        <is>
          <t>KOSDAQ</t>
        </is>
      </c>
      <c r="F55" s="24" t="inlineStr">
        <is>
          <t>소재</t>
        </is>
      </c>
      <c r="G55" s="24" t="inlineStr">
        <is>
          <t>소재</t>
        </is>
      </c>
      <c r="H55" s="24" t="inlineStr">
        <is>
          <t>False</t>
        </is>
      </c>
      <c r="I55" s="24" t="inlineStr">
        <is>
          <t>True</t>
        </is>
      </c>
      <c r="J55" s="24" t="inlineStr">
        <is>
          <t>OK</t>
        </is>
      </c>
      <c r="K55" s="24" t="inlineStr">
        <is>
          <t>데이터 사용 가능</t>
        </is>
      </c>
      <c r="L55" s="24" t="inlineStr">
        <is>
          <t>LOW</t>
        </is>
      </c>
      <c r="M55" s="24" t="inlineStr">
        <is>
          <t>LOW</t>
        </is>
      </c>
      <c r="N55" s="24" t="inlineStr">
        <is>
          <t>0.745897435897436</t>
        </is>
      </c>
      <c r="O55" s="24" t="inlineStr">
        <is>
          <t>ATTRACTIVE</t>
        </is>
      </c>
      <c r="P55" s="24" t="inlineStr">
        <is>
          <t>가치 매력</t>
        </is>
      </c>
      <c r="Q55" s="24" t="inlineStr">
        <is>
          <t>ATTRACTIVE</t>
        </is>
      </c>
      <c r="R55" s="24" t="inlineStr">
        <is>
          <t>0.9476922450763601</t>
        </is>
      </c>
      <c r="S55" s="24" t="inlineStr">
        <is>
          <t>HIGH</t>
        </is>
      </c>
      <c r="T55" s="24" t="inlineStr">
        <is>
          <t>HIGH</t>
        </is>
      </c>
      <c r="U55" s="24" t="inlineStr">
        <is>
          <t>0.0</t>
        </is>
      </c>
      <c r="V55" s="24" t="inlineStr">
        <is>
          <t>LOW_RISK</t>
        </is>
      </c>
      <c r="W55" s="24" t="inlineStr">
        <is>
          <t>저위험</t>
        </is>
      </c>
      <c r="X55" s="24" t="inlineStr">
        <is>
          <t>LOW_RISK</t>
        </is>
      </c>
      <c r="Y55" s="24" t="inlineStr">
        <is>
          <t>0.9681016473230849</t>
        </is>
      </c>
      <c r="Z55" s="24" t="inlineStr">
        <is>
          <t>HIGH</t>
        </is>
      </c>
      <c r="AA55" s="24" t="inlineStr">
        <is>
          <t>HIGH</t>
        </is>
      </c>
      <c r="AB55" s="24" t="inlineStr">
        <is>
          <t>0.15527064195126172</t>
        </is>
      </c>
      <c r="AC55" s="24" t="inlineStr">
        <is>
          <t>False</t>
        </is>
      </c>
      <c r="AD55" s="24" t="inlineStr">
        <is>
          <t>False</t>
        </is>
      </c>
      <c r="AE55" s="24" t="inlineStr">
        <is>
          <t>valuation_credit_ml_overlay_candidate.csv</t>
        </is>
      </c>
      <c r="AF55" s="24" t="inlineStr">
        <is>
          <t>208개 반도체 reference universe. Valuation Agent가 자체 intake 폴더로 복제해 Peer/ML/대시보드 비교에 사용.</t>
        </is>
      </c>
      <c r="AG55" s="24" t="inlineStr">
        <is>
          <t>TOP_REFERENCE</t>
        </is>
      </c>
      <c r="AH55" s="24" t="inlineStr">
        <is>
          <t>False</t>
        </is>
      </c>
    </row>
    <row r="56" ht="24" customHeight="1">
      <c r="A56" s="29" t="inlineStr">
        <is>
          <t>60</t>
        </is>
      </c>
      <c r="B56" s="29" t="inlineStr">
        <is>
          <t>해당 없음</t>
        </is>
      </c>
      <c r="C56" s="29" t="inlineStr">
        <is>
          <t>앤씨앤</t>
        </is>
      </c>
      <c r="D56" s="29" t="inlineStr">
        <is>
          <t>092600</t>
        </is>
      </c>
      <c r="E56" s="29" t="inlineStr">
        <is>
          <t>KOSDAQ</t>
        </is>
      </c>
      <c r="F56" s="29" t="inlineStr">
        <is>
          <t>팹리스/설계</t>
        </is>
      </c>
      <c r="G56" s="29" t="inlineStr">
        <is>
          <t>팹리스/설계</t>
        </is>
      </c>
      <c r="H56" s="29" t="inlineStr">
        <is>
          <t>False</t>
        </is>
      </c>
      <c r="I56" s="29" t="inlineStr">
        <is>
          <t>True</t>
        </is>
      </c>
      <c r="J56" s="29" t="inlineStr">
        <is>
          <t>OK</t>
        </is>
      </c>
      <c r="K56" s="29" t="inlineStr">
        <is>
          <t>데이터 사용 가능</t>
        </is>
      </c>
      <c r="L56" s="29" t="inlineStr">
        <is>
          <t>LOW</t>
        </is>
      </c>
      <c r="M56" s="29" t="inlineStr">
        <is>
          <t>LOW</t>
        </is>
      </c>
      <c r="N56" s="29" t="inlineStr">
        <is>
          <t>0.7450505050505051</t>
        </is>
      </c>
      <c r="O56" s="29" t="inlineStr">
        <is>
          <t>FAIR</t>
        </is>
      </c>
      <c r="P56" s="29" t="inlineStr">
        <is>
          <t>FAIR</t>
        </is>
      </c>
      <c r="Q56" s="29" t="inlineStr">
        <is>
          <t>FAIR</t>
        </is>
      </c>
      <c r="R56" s="29" t="inlineStr">
        <is>
          <t>0.8450252323777523</t>
        </is>
      </c>
      <c r="S56" s="29" t="inlineStr">
        <is>
          <t>HIGH</t>
        </is>
      </c>
      <c r="T56" s="29" t="inlineStr">
        <is>
          <t>HIGH</t>
        </is>
      </c>
      <c r="U56" s="29" t="inlineStr">
        <is>
          <t>0.5</t>
        </is>
      </c>
      <c r="V56" s="29" t="inlineStr">
        <is>
          <t>HIGH_RISK</t>
        </is>
      </c>
      <c r="W56" s="29" t="inlineStr">
        <is>
          <t>고위험</t>
        </is>
      </c>
      <c r="X56" s="29" t="inlineStr">
        <is>
          <t>HIGH_RISK</t>
        </is>
      </c>
      <c r="Y56" s="29" t="inlineStr">
        <is>
          <t>0.6852720703017778</t>
        </is>
      </c>
      <c r="Z56" s="29" t="inlineStr">
        <is>
          <t>MEDIUM</t>
        </is>
      </c>
      <c r="AA56" s="29" t="inlineStr">
        <is>
          <t>MEDIUM</t>
        </is>
      </c>
      <c r="AB56" s="29" t="inlineStr">
        <is>
          <t>0.05126917274476802</t>
        </is>
      </c>
      <c r="AC56" s="29" t="inlineStr">
        <is>
          <t>False</t>
        </is>
      </c>
      <c r="AD56" s="29" t="inlineStr">
        <is>
          <t>False</t>
        </is>
      </c>
      <c r="AE56" s="29" t="inlineStr">
        <is>
          <t>valuation_credit_ml_overlay_candidate.csv</t>
        </is>
      </c>
      <c r="AF56" s="29" t="inlineStr">
        <is>
          <t>208개 반도체 reference universe. Valuation Agent가 자체 intake 폴더로 복제해 Peer/ML/대시보드 비교에 사용.</t>
        </is>
      </c>
      <c r="AG56" s="29" t="inlineStr">
        <is>
          <t>TOP_REFERENCE</t>
        </is>
      </c>
      <c r="AH56" s="29" t="inlineStr">
        <is>
          <t>False</t>
        </is>
      </c>
    </row>
    <row r="57" ht="24" customHeight="1">
      <c r="A57" s="24" t="inlineStr">
        <is>
          <t>147</t>
        </is>
      </c>
      <c r="B57" s="24" t="inlineStr">
        <is>
          <t>해당 없음</t>
        </is>
      </c>
      <c r="C57" s="24" t="inlineStr">
        <is>
          <t>퓨릿</t>
        </is>
      </c>
      <c r="D57" s="24" t="inlineStr">
        <is>
          <t>445180</t>
        </is>
      </c>
      <c r="E57" s="24" t="inlineStr">
        <is>
          <t>KOSDAQ</t>
        </is>
      </c>
      <c r="F57" s="24" t="inlineStr">
        <is>
          <t>소재</t>
        </is>
      </c>
      <c r="G57" s="24" t="inlineStr">
        <is>
          <t>소재</t>
        </is>
      </c>
      <c r="H57" s="24" t="inlineStr">
        <is>
          <t>False</t>
        </is>
      </c>
      <c r="I57" s="24" t="inlineStr">
        <is>
          <t>True</t>
        </is>
      </c>
      <c r="J57" s="24" t="inlineStr">
        <is>
          <t>OK_LIMITED_HISTORY_OR_GROWTH_NA</t>
        </is>
      </c>
      <c r="K57" s="24" t="inlineStr">
        <is>
          <t>데이터 사용 가능</t>
        </is>
      </c>
      <c r="L57" s="24" t="inlineStr">
        <is>
          <t>LOW</t>
        </is>
      </c>
      <c r="M57" s="24" t="inlineStr">
        <is>
          <t>LOW</t>
        </is>
      </c>
      <c r="N57" s="24" t="inlineStr">
        <is>
          <t>0.7448717948717948</t>
        </is>
      </c>
      <c r="O57" s="24" t="inlineStr">
        <is>
          <t>ATTRACTIVE</t>
        </is>
      </c>
      <c r="P57" s="24" t="inlineStr">
        <is>
          <t>가치 매력</t>
        </is>
      </c>
      <c r="Q57" s="24" t="inlineStr">
        <is>
          <t>ATTRACTIVE</t>
        </is>
      </c>
      <c r="R57" s="24" t="inlineStr">
        <is>
          <t>0.8817607106455689</t>
        </is>
      </c>
      <c r="S57" s="24" t="inlineStr">
        <is>
          <t>HIGH</t>
        </is>
      </c>
      <c r="T57" s="24" t="inlineStr">
        <is>
          <t>HIGH</t>
        </is>
      </c>
      <c r="U57" s="24" t="inlineStr">
        <is>
          <t>0.0714285714285714</t>
        </is>
      </c>
      <c r="V57" s="24" t="inlineStr">
        <is>
          <t>LOW_RISK</t>
        </is>
      </c>
      <c r="W57" s="24" t="inlineStr">
        <is>
          <t>저위험</t>
        </is>
      </c>
      <c r="X57" s="24" t="inlineStr">
        <is>
          <t>LOW_RISK</t>
        </is>
      </c>
      <c r="Y57" s="24" t="inlineStr">
        <is>
          <t>0.9587686707140917</t>
        </is>
      </c>
      <c r="Z57" s="24" t="inlineStr">
        <is>
          <t>HIGH</t>
        </is>
      </c>
      <c r="AA57" s="24" t="inlineStr">
        <is>
          <t>HIGH</t>
        </is>
      </c>
      <c r="AB57" s="24" t="inlineStr">
        <is>
          <t>0.09055441585311619</t>
        </is>
      </c>
      <c r="AC57" s="24" t="inlineStr">
        <is>
          <t>False</t>
        </is>
      </c>
      <c r="AD57" s="24" t="inlineStr">
        <is>
          <t>True</t>
        </is>
      </c>
      <c r="AE57" s="24" t="inlineStr">
        <is>
          <t>valuation_credit_ml_overlay_candidate.csv</t>
        </is>
      </c>
      <c r="AF57" s="24" t="inlineStr">
        <is>
          <t>208개 반도체 reference universe. Valuation Agent가 자체 intake 폴더로 복제해 Peer/ML/대시보드 비교에 사용.</t>
        </is>
      </c>
      <c r="AG57" s="24" t="inlineStr">
        <is>
          <t>TOP_REFERENCE</t>
        </is>
      </c>
      <c r="AH57" s="24" t="inlineStr">
        <is>
          <t>False</t>
        </is>
      </c>
    </row>
    <row r="58" ht="24" customHeight="1">
      <c r="A58" s="29" t="inlineStr">
        <is>
          <t>47</t>
        </is>
      </c>
      <c r="B58" s="29" t="inlineStr">
        <is>
          <t>해당 없음</t>
        </is>
      </c>
      <c r="C58" s="29" t="inlineStr">
        <is>
          <t>마이크로컨텍솔</t>
        </is>
      </c>
      <c r="D58" s="29" t="inlineStr">
        <is>
          <t>098120</t>
        </is>
      </c>
      <c r="E58" s="29" t="inlineStr">
        <is>
          <t>KOSDAQ</t>
        </is>
      </c>
      <c r="F58" s="29" t="inlineStr">
        <is>
          <t>팹리스/설계</t>
        </is>
      </c>
      <c r="G58" s="29" t="inlineStr">
        <is>
          <t>팹리스/설계</t>
        </is>
      </c>
      <c r="H58" s="29" t="inlineStr">
        <is>
          <t>False</t>
        </is>
      </c>
      <c r="I58" s="29" t="inlineStr">
        <is>
          <t>True</t>
        </is>
      </c>
      <c r="J58" s="29" t="inlineStr">
        <is>
          <t>OK</t>
        </is>
      </c>
      <c r="K58" s="29" t="inlineStr">
        <is>
          <t>데이터 사용 가능</t>
        </is>
      </c>
      <c r="L58" s="29" t="inlineStr">
        <is>
          <t>LOW</t>
        </is>
      </c>
      <c r="M58" s="29" t="inlineStr">
        <is>
          <t>LOW</t>
        </is>
      </c>
      <c r="N58" s="29" t="inlineStr">
        <is>
          <t>0.7383838383838384</t>
        </is>
      </c>
      <c r="O58" s="29" t="inlineStr">
        <is>
          <t>ATTRACTIVE</t>
        </is>
      </c>
      <c r="P58" s="29" t="inlineStr">
        <is>
          <t>가치 매력</t>
        </is>
      </c>
      <c r="Q58" s="29" t="inlineStr">
        <is>
          <t>ATTRACTIVE</t>
        </is>
      </c>
      <c r="R58" s="29" t="inlineStr">
        <is>
          <t>0.8262966149459129</t>
        </is>
      </c>
      <c r="S58" s="29" t="inlineStr">
        <is>
          <t>HIGH</t>
        </is>
      </c>
      <c r="T58" s="29" t="inlineStr">
        <is>
          <t>HIGH</t>
        </is>
      </c>
      <c r="U58" s="29" t="inlineStr">
        <is>
          <t>0.1428571428571428</t>
        </is>
      </c>
      <c r="V58" s="29" t="inlineStr">
        <is>
          <t>LOW_RISK</t>
        </is>
      </c>
      <c r="W58" s="29" t="inlineStr">
        <is>
          <t>저위험</t>
        </is>
      </c>
      <c r="X58" s="29" t="inlineStr">
        <is>
          <t>LOW_RISK</t>
        </is>
      </c>
      <c r="Y58" s="29" t="inlineStr">
        <is>
          <t>0.7491981695245683</t>
        </is>
      </c>
      <c r="Z58" s="29" t="inlineStr">
        <is>
          <t>HIGH</t>
        </is>
      </c>
      <c r="AA58" s="29" t="inlineStr">
        <is>
          <t>HIGH</t>
        </is>
      </c>
      <c r="AB58" s="29" t="inlineStr">
        <is>
          <t>0.08427857084894262</t>
        </is>
      </c>
      <c r="AC58" s="29" t="inlineStr">
        <is>
          <t>False</t>
        </is>
      </c>
      <c r="AD58" s="29" t="inlineStr">
        <is>
          <t>False</t>
        </is>
      </c>
      <c r="AE58" s="29" t="inlineStr">
        <is>
          <t>valuation_credit_ml_overlay_candidate.csv</t>
        </is>
      </c>
      <c r="AF58" s="29" t="inlineStr">
        <is>
          <t>208개 반도체 reference universe. Valuation Agent가 자체 intake 폴더로 복제해 Peer/ML/대시보드 비교에 사용.</t>
        </is>
      </c>
      <c r="AG58" s="29" t="inlineStr">
        <is>
          <t>TOP_REFERENCE</t>
        </is>
      </c>
      <c r="AH58" s="29" t="inlineStr">
        <is>
          <t>False</t>
        </is>
      </c>
    </row>
    <row r="59" ht="24" customHeight="1">
      <c r="A59" s="24" t="inlineStr">
        <is>
          <t>189</t>
        </is>
      </c>
      <c r="B59" s="24" t="inlineStr">
        <is>
          <t>해당 없음</t>
        </is>
      </c>
      <c r="C59" s="24" t="inlineStr">
        <is>
          <t>프로텍</t>
        </is>
      </c>
      <c r="D59" s="24" t="inlineStr">
        <is>
          <t>053610</t>
        </is>
      </c>
      <c r="E59" s="24" t="inlineStr">
        <is>
          <t>KOSDAQ</t>
        </is>
      </c>
      <c r="F59" s="24" t="inlineStr">
        <is>
          <t>후공정/패키징/테스트</t>
        </is>
      </c>
      <c r="G59" s="24" t="inlineStr">
        <is>
          <t>후공정/패키징/테스트</t>
        </is>
      </c>
      <c r="H59" s="24" t="inlineStr">
        <is>
          <t>False</t>
        </is>
      </c>
      <c r="I59" s="24" t="inlineStr">
        <is>
          <t>True</t>
        </is>
      </c>
      <c r="J59" s="24" t="inlineStr">
        <is>
          <t>OK</t>
        </is>
      </c>
      <c r="K59" s="24" t="inlineStr">
        <is>
          <t>데이터 사용 가능</t>
        </is>
      </c>
      <c r="L59" s="24" t="inlineStr">
        <is>
          <t>LOW</t>
        </is>
      </c>
      <c r="M59" s="24" t="inlineStr">
        <is>
          <t>LOW</t>
        </is>
      </c>
      <c r="N59" s="24" t="inlineStr">
        <is>
          <t>0.7342222222222222</t>
        </is>
      </c>
      <c r="O59" s="24" t="inlineStr">
        <is>
          <t>FAIR</t>
        </is>
      </c>
      <c r="P59" s="24" t="inlineStr">
        <is>
          <t>FAIR</t>
        </is>
      </c>
      <c r="Q59" s="24" t="inlineStr">
        <is>
          <t>FAIR</t>
        </is>
      </c>
      <c r="R59" s="24" t="inlineStr">
        <is>
          <t>0.8971257561900263</t>
        </is>
      </c>
      <c r="S59" s="24" t="inlineStr">
        <is>
          <t>HIGH</t>
        </is>
      </c>
      <c r="T59" s="24" t="inlineStr">
        <is>
          <t>HIGH</t>
        </is>
      </c>
      <c r="U59" s="24" t="inlineStr">
        <is>
          <t>0.0714285714285714</t>
        </is>
      </c>
      <c r="V59" s="24" t="inlineStr">
        <is>
          <t>LOW_RISK</t>
        </is>
      </c>
      <c r="W59" s="24" t="inlineStr">
        <is>
          <t>저위험</t>
        </is>
      </c>
      <c r="X59" s="24" t="inlineStr">
        <is>
          <t>LOW_RISK</t>
        </is>
      </c>
      <c r="Y59" s="24" t="inlineStr">
        <is>
          <t>0.9163768919768406</t>
        </is>
      </c>
      <c r="Z59" s="24" t="inlineStr">
        <is>
          <t>HIGH</t>
        </is>
      </c>
      <c r="AA59" s="24" t="inlineStr">
        <is>
          <t>HIGH</t>
        </is>
      </c>
      <c r="AB59" s="24" t="inlineStr">
        <is>
          <t>0.04594870251712977</t>
        </is>
      </c>
      <c r="AC59" s="24" t="inlineStr">
        <is>
          <t>False</t>
        </is>
      </c>
      <c r="AD59" s="24" t="inlineStr">
        <is>
          <t>False</t>
        </is>
      </c>
      <c r="AE59" s="24" t="inlineStr">
        <is>
          <t>valuation_credit_ml_overlay_candidate.csv</t>
        </is>
      </c>
      <c r="AF59" s="24" t="inlineStr">
        <is>
          <t>208개 반도체 reference universe. Valuation Agent가 자체 intake 폴더로 복제해 Peer/ML/대시보드 비교에 사용.</t>
        </is>
      </c>
      <c r="AG59" s="24" t="inlineStr">
        <is>
          <t>TOP_REFERENCE</t>
        </is>
      </c>
      <c r="AH59" s="24" t="inlineStr">
        <is>
          <t>False</t>
        </is>
      </c>
    </row>
    <row r="60" ht="24" customHeight="1">
      <c r="A60" s="29" t="inlineStr">
        <is>
          <t>55</t>
        </is>
      </c>
      <c r="B60" s="29" t="inlineStr">
        <is>
          <t>해당 없음</t>
        </is>
      </c>
      <c r="C60" s="29" t="inlineStr">
        <is>
          <t>아이앤씨</t>
        </is>
      </c>
      <c r="D60" s="29" t="inlineStr">
        <is>
          <t>052860</t>
        </is>
      </c>
      <c r="E60" s="29" t="inlineStr">
        <is>
          <t>KOSDAQ</t>
        </is>
      </c>
      <c r="F60" s="29" t="inlineStr">
        <is>
          <t>팹리스/설계</t>
        </is>
      </c>
      <c r="G60" s="29" t="inlineStr">
        <is>
          <t>팹리스/설계</t>
        </is>
      </c>
      <c r="H60" s="29" t="inlineStr">
        <is>
          <t>False</t>
        </is>
      </c>
      <c r="I60" s="29" t="inlineStr">
        <is>
          <t>True</t>
        </is>
      </c>
      <c r="J60" s="29" t="inlineStr">
        <is>
          <t>OK</t>
        </is>
      </c>
      <c r="K60" s="29" t="inlineStr">
        <is>
          <t>데이터 사용 가능</t>
        </is>
      </c>
      <c r="L60" s="29" t="inlineStr">
        <is>
          <t>LOW</t>
        </is>
      </c>
      <c r="M60" s="29" t="inlineStr">
        <is>
          <t>LOW</t>
        </is>
      </c>
      <c r="N60" s="29" t="inlineStr">
        <is>
          <t>0.7325252525252526</t>
        </is>
      </c>
      <c r="O60" s="29" t="inlineStr">
        <is>
          <t>ATTRACTIVE</t>
        </is>
      </c>
      <c r="P60" s="29" t="inlineStr">
        <is>
          <t>가치 매력</t>
        </is>
      </c>
      <c r="Q60" s="29" t="inlineStr">
        <is>
          <t>ATTRACTIVE</t>
        </is>
      </c>
      <c r="R60" s="29" t="inlineStr">
        <is>
          <t>0.9267130449922303</t>
        </is>
      </c>
      <c r="S60" s="29" t="inlineStr">
        <is>
          <t>HIGH</t>
        </is>
      </c>
      <c r="T60" s="29" t="inlineStr">
        <is>
          <t>HIGH</t>
        </is>
      </c>
      <c r="U60" s="29" t="inlineStr">
        <is>
          <t>0.0</t>
        </is>
      </c>
      <c r="V60" s="29" t="inlineStr">
        <is>
          <t>LOW_RISK</t>
        </is>
      </c>
      <c r="W60" s="29" t="inlineStr">
        <is>
          <t>저위험</t>
        </is>
      </c>
      <c r="X60" s="29" t="inlineStr">
        <is>
          <t>LOW_RISK</t>
        </is>
      </c>
      <c r="Y60" s="29" t="inlineStr">
        <is>
          <t>0.8920304728976969</t>
        </is>
      </c>
      <c r="Z60" s="29" t="inlineStr">
        <is>
          <t>HIGH</t>
        </is>
      </c>
      <c r="AA60" s="29" t="inlineStr">
        <is>
          <t>HIGH</t>
        </is>
      </c>
      <c r="AB60" s="29" t="inlineStr">
        <is>
          <t>0.022475117759514655</t>
        </is>
      </c>
      <c r="AC60" s="29" t="inlineStr">
        <is>
          <t>False</t>
        </is>
      </c>
      <c r="AD60" s="29" t="inlineStr">
        <is>
          <t>False</t>
        </is>
      </c>
      <c r="AE60" s="29" t="inlineStr">
        <is>
          <t>valuation_credit_ml_overlay_candidate.csv</t>
        </is>
      </c>
      <c r="AF60" s="29" t="inlineStr">
        <is>
          <t>208개 반도체 reference universe. Valuation Agent가 자체 intake 폴더로 복제해 Peer/ML/대시보드 비교에 사용.</t>
        </is>
      </c>
      <c r="AG60" s="29" t="inlineStr">
        <is>
          <t>TOP_REFERENCE</t>
        </is>
      </c>
      <c r="AH60" s="29" t="inlineStr">
        <is>
          <t>False</t>
        </is>
      </c>
    </row>
    <row r="61" ht="24" customHeight="1">
      <c r="A61" s="24" t="inlineStr">
        <is>
          <t>88</t>
        </is>
      </c>
      <c r="B61" s="24" t="inlineStr">
        <is>
          <t>해당 없음</t>
        </is>
      </c>
      <c r="C61" s="24" t="inlineStr">
        <is>
          <t>비아트론</t>
        </is>
      </c>
      <c r="D61" s="24" t="inlineStr">
        <is>
          <t>141000</t>
        </is>
      </c>
      <c r="E61" s="24" t="inlineStr">
        <is>
          <t>KOSDAQ</t>
        </is>
      </c>
      <c r="F61" s="24" t="inlineStr">
        <is>
          <t>장비</t>
        </is>
      </c>
      <c r="G61" s="24" t="inlineStr">
        <is>
          <t>장비</t>
        </is>
      </c>
      <c r="H61" s="24" t="inlineStr">
        <is>
          <t>False</t>
        </is>
      </c>
      <c r="I61" s="24" t="inlineStr">
        <is>
          <t>True</t>
        </is>
      </c>
      <c r="J61" s="24" t="inlineStr">
        <is>
          <t>OK</t>
        </is>
      </c>
      <c r="K61" s="24" t="inlineStr">
        <is>
          <t>데이터 사용 가능</t>
        </is>
      </c>
      <c r="L61" s="24" t="inlineStr">
        <is>
          <t>LOW</t>
        </is>
      </c>
      <c r="M61" s="24" t="inlineStr">
        <is>
          <t>LOW</t>
        </is>
      </c>
      <c r="N61" s="24" t="inlineStr">
        <is>
          <t>0.7105333333333335</t>
        </is>
      </c>
      <c r="O61" s="24" t="inlineStr">
        <is>
          <t>ATTRACTIVE</t>
        </is>
      </c>
      <c r="P61" s="24" t="inlineStr">
        <is>
          <t>가치 매력</t>
        </is>
      </c>
      <c r="Q61" s="24" t="inlineStr">
        <is>
          <t>ATTRACTIVE</t>
        </is>
      </c>
      <c r="R61" s="24" t="inlineStr">
        <is>
          <t>0.934708213344448</t>
        </is>
      </c>
      <c r="S61" s="24" t="inlineStr">
        <is>
          <t>HIGH</t>
        </is>
      </c>
      <c r="T61" s="24" t="inlineStr">
        <is>
          <t>HIGH</t>
        </is>
      </c>
      <c r="U61" s="24" t="inlineStr">
        <is>
          <t>0.0</t>
        </is>
      </c>
      <c r="V61" s="24" t="inlineStr">
        <is>
          <t>LOW_RISK</t>
        </is>
      </c>
      <c r="W61" s="24" t="inlineStr">
        <is>
          <t>저위험</t>
        </is>
      </c>
      <c r="X61" s="24" t="inlineStr">
        <is>
          <t>LOW_RISK</t>
        </is>
      </c>
      <c r="Y61" s="24" t="inlineStr">
        <is>
          <t>0.9411184099481913</t>
        </is>
      </c>
      <c r="Z61" s="24" t="inlineStr">
        <is>
          <t>HIGH</t>
        </is>
      </c>
      <c r="AA61" s="24" t="inlineStr">
        <is>
          <t>HIGH</t>
        </is>
      </c>
      <c r="AB61" s="24" t="inlineStr">
        <is>
          <t>0.11715633071246634</t>
        </is>
      </c>
      <c r="AC61" s="24" t="inlineStr">
        <is>
          <t>False</t>
        </is>
      </c>
      <c r="AD61" s="24" t="inlineStr">
        <is>
          <t>False</t>
        </is>
      </c>
      <c r="AE61" s="24" t="inlineStr">
        <is>
          <t>valuation_credit_ml_overlay_candidate.csv</t>
        </is>
      </c>
      <c r="AF61" s="24" t="inlineStr">
        <is>
          <t>208개 반도체 reference universe. Valuation Agent가 자체 intake 폴더로 복제해 Peer/ML/대시보드 비교에 사용.</t>
        </is>
      </c>
      <c r="AG61" s="24" t="inlineStr">
        <is>
          <t>TOP_REFERENCE</t>
        </is>
      </c>
      <c r="AH61" s="24" t="inlineStr">
        <is>
          <t>False</t>
        </is>
      </c>
    </row>
    <row r="62" ht="24" customHeight="1">
      <c r="A62" s="29" t="inlineStr">
        <is>
          <t>203</t>
        </is>
      </c>
      <c r="B62" s="29" t="inlineStr">
        <is>
          <t>해당 없음</t>
        </is>
      </c>
      <c r="C62" s="29" t="inlineStr">
        <is>
          <t>인터플렉스</t>
        </is>
      </c>
      <c r="D62" s="29" t="inlineStr">
        <is>
          <t>051370</t>
        </is>
      </c>
      <c r="E62" s="29" t="inlineStr">
        <is>
          <t>KOSDAQ</t>
        </is>
      </c>
      <c r="F62" s="29" t="inlineStr">
        <is>
          <t>부품/기판</t>
        </is>
      </c>
      <c r="G62" s="29" t="inlineStr">
        <is>
          <t>부품/기판</t>
        </is>
      </c>
      <c r="H62" s="29" t="inlineStr">
        <is>
          <t>False</t>
        </is>
      </c>
      <c r="I62" s="29" t="inlineStr">
        <is>
          <t>True</t>
        </is>
      </c>
      <c r="J62" s="29" t="inlineStr">
        <is>
          <t>OK</t>
        </is>
      </c>
      <c r="K62" s="29" t="inlineStr">
        <is>
          <t>데이터 사용 가능</t>
        </is>
      </c>
      <c r="L62" s="29" t="inlineStr">
        <is>
          <t>LOW</t>
        </is>
      </c>
      <c r="M62" s="29" t="inlineStr">
        <is>
          <t>LOW</t>
        </is>
      </c>
      <c r="N62" s="29" t="inlineStr">
        <is>
          <t>0.709047619047619</t>
        </is>
      </c>
      <c r="O62" s="29" t="inlineStr">
        <is>
          <t>FAIR</t>
        </is>
      </c>
      <c r="P62" s="29" t="inlineStr">
        <is>
          <t>FAIR</t>
        </is>
      </c>
      <c r="Q62" s="29" t="inlineStr">
        <is>
          <t>FAIR</t>
        </is>
      </c>
      <c r="R62" s="29" t="inlineStr">
        <is>
          <t>0.904555257888918</t>
        </is>
      </c>
      <c r="S62" s="29" t="inlineStr">
        <is>
          <t>HIGH</t>
        </is>
      </c>
      <c r="T62" s="29" t="inlineStr">
        <is>
          <t>HIGH</t>
        </is>
      </c>
      <c r="U62" s="29" t="inlineStr">
        <is>
          <t>0.0714285714285714</t>
        </is>
      </c>
      <c r="V62" s="29" t="inlineStr">
        <is>
          <t>LOW_RISK</t>
        </is>
      </c>
      <c r="W62" s="29" t="inlineStr">
        <is>
          <t>저위험</t>
        </is>
      </c>
      <c r="X62" s="29" t="inlineStr">
        <is>
          <t>LOW_RISK</t>
        </is>
      </c>
      <c r="Y62" s="29" t="inlineStr">
        <is>
          <t>0.8421993774288782</t>
        </is>
      </c>
      <c r="Z62" s="29" t="inlineStr">
        <is>
          <t>HIGH</t>
        </is>
      </c>
      <c r="AA62" s="29" t="inlineStr">
        <is>
          <t>HIGH</t>
        </is>
      </c>
      <c r="AB62" s="29" t="inlineStr">
        <is>
          <t>0.04875174090091772</t>
        </is>
      </c>
      <c r="AC62" s="29" t="inlineStr">
        <is>
          <t>False</t>
        </is>
      </c>
      <c r="AD62" s="29" t="inlineStr">
        <is>
          <t>False</t>
        </is>
      </c>
      <c r="AE62" s="29" t="inlineStr">
        <is>
          <t>valuation_credit_ml_overlay_candidate.csv</t>
        </is>
      </c>
      <c r="AF62" s="29" t="inlineStr">
        <is>
          <t>208개 반도체 reference universe. Valuation Agent가 자체 intake 폴더로 복제해 Peer/ML/대시보드 비교에 사용.</t>
        </is>
      </c>
      <c r="AG62" s="29" t="inlineStr">
        <is>
          <t>TOP_REFERENCE</t>
        </is>
      </c>
      <c r="AH62" s="29" t="inlineStr">
        <is>
          <t>False</t>
        </is>
      </c>
    </row>
    <row r="63" ht="24" customHeight="1"/>
    <row r="64" ht="24" customHeight="1"/>
    <row r="65" ht="24" customHeight="1">
      <c r="A65" s="22" t="inlineStr">
        <is>
          <t>208개 전체 Universe</t>
        </is>
      </c>
    </row>
    <row r="66" ht="24" customHeight="1">
      <c r="A66" s="25" t="inlineStr">
        <is>
          <t>Universe 순번</t>
        </is>
      </c>
      <c r="B66" s="25" t="inlineStr">
        <is>
          <t>기업코드</t>
        </is>
      </c>
      <c r="C66" s="25" t="inlineStr">
        <is>
          <t>기업명</t>
        </is>
      </c>
      <c r="D66" s="25" t="inlineStr">
        <is>
          <t>종목코드</t>
        </is>
      </c>
      <c r="E66" s="25" t="inlineStr">
        <is>
          <t>시장</t>
        </is>
      </c>
      <c r="F66" s="25" t="inlineStr">
        <is>
          <t>피어 그룹</t>
        </is>
      </c>
      <c r="G66" s="25" t="inlineStr">
        <is>
          <t>반도체 세부군</t>
        </is>
      </c>
      <c r="H66" s="25" t="inlineStr">
        <is>
          <t>5개 핵심기업</t>
        </is>
      </c>
      <c r="I66" s="25" t="inlineStr">
        <is>
          <t>market_data_available</t>
        </is>
      </c>
      <c r="J66" s="25" t="inlineStr">
        <is>
          <t>데이터 품질</t>
        </is>
      </c>
      <c r="K66" s="25" t="inlineStr">
        <is>
          <t>데이터 품질 해석</t>
        </is>
      </c>
      <c r="L66" s="25" t="inlineStr">
        <is>
          <t>수동검토 우선순위</t>
        </is>
      </c>
      <c r="M66" s="25" t="inlineStr">
        <is>
          <t>수동검토 우선순위 해석</t>
        </is>
      </c>
      <c r="N66" s="25" t="inlineStr">
        <is>
          <t>Valuation Proxy 점수</t>
        </is>
      </c>
      <c r="O66" s="25" t="inlineStr">
        <is>
          <t>Valuation Proxy 라벨</t>
        </is>
      </c>
      <c r="P66" s="25" t="inlineStr">
        <is>
          <t>가치 라벨</t>
        </is>
      </c>
      <c r="Q66" s="25" t="inlineStr">
        <is>
          <t>valuation_pred_label</t>
        </is>
      </c>
      <c r="R66" s="25" t="inlineStr">
        <is>
          <t>Valuation 신뢰도</t>
        </is>
      </c>
      <c r="S66" s="25" t="inlineStr">
        <is>
          <t>valuation_confidence_bucket</t>
        </is>
      </c>
      <c r="T66" s="25" t="inlineStr">
        <is>
          <t>valuation_confidence_bucket_kr</t>
        </is>
      </c>
      <c r="U66" s="25" t="inlineStr">
        <is>
          <t>Credit Risk 점수</t>
        </is>
      </c>
      <c r="V66" s="25" t="inlineStr">
        <is>
          <t>Credit Risk 라벨</t>
        </is>
      </c>
      <c r="W66" s="25" t="inlineStr">
        <is>
          <t>신용위험 라벨</t>
        </is>
      </c>
      <c r="X66" s="25" t="inlineStr">
        <is>
          <t>credit_pred_label</t>
        </is>
      </c>
      <c r="Y66" s="25" t="inlineStr">
        <is>
          <t>Credit 신뢰도</t>
        </is>
      </c>
      <c r="Z66" s="25" t="inlineStr">
        <is>
          <t>credit_confidence_bucket</t>
        </is>
      </c>
      <c r="AA66" s="25" t="inlineStr">
        <is>
          <t>credit_confidence_bucket_kr</t>
        </is>
      </c>
      <c r="AB66" s="25" t="inlineStr">
        <is>
          <t>Credit 이상치 점수</t>
        </is>
      </c>
      <c r="AC66" s="25" t="inlineStr">
        <is>
          <t>credit_anomaly_flag_top15pct</t>
        </is>
      </c>
      <c r="AD66" s="25" t="inlineStr">
        <is>
          <t>auditor_requires_human_review</t>
        </is>
      </c>
      <c r="AE66" s="25" t="inlineStr">
        <is>
          <t>출처 유형</t>
        </is>
      </c>
      <c r="AF66" s="25" t="inlineStr">
        <is>
          <t>출처 설명</t>
        </is>
      </c>
    </row>
    <row r="67" ht="24" customHeight="1">
      <c r="A67" s="24" t="inlineStr">
        <is>
          <t>10</t>
        </is>
      </c>
      <c r="B67" s="24" t="inlineStr">
        <is>
          <t>해당 없음</t>
        </is>
      </c>
      <c r="C67" s="24" t="inlineStr">
        <is>
          <t>미코</t>
        </is>
      </c>
      <c r="D67" s="24" t="inlineStr">
        <is>
          <t>059090</t>
        </is>
      </c>
      <c r="E67" s="24" t="inlineStr">
        <is>
          <t>KOSDAQ</t>
        </is>
      </c>
      <c r="F67" s="24" t="inlineStr">
        <is>
          <t>IDM/제조/메모리</t>
        </is>
      </c>
      <c r="G67" s="24" t="inlineStr">
        <is>
          <t>IDM/제조/메모리</t>
        </is>
      </c>
      <c r="H67" s="24" t="inlineStr">
        <is>
          <t>False</t>
        </is>
      </c>
      <c r="I67" s="24" t="inlineStr">
        <is>
          <t>True</t>
        </is>
      </c>
      <c r="J67" s="24" t="inlineStr">
        <is>
          <t>OK</t>
        </is>
      </c>
      <c r="K67" s="24" t="inlineStr">
        <is>
          <t>데이터 사용 가능</t>
        </is>
      </c>
      <c r="L67" s="24" t="inlineStr">
        <is>
          <t>LOW</t>
        </is>
      </c>
      <c r="M67" s="24" t="inlineStr">
        <is>
          <t>LOW</t>
        </is>
      </c>
      <c r="N67" s="24" t="inlineStr">
        <is>
          <t>0.7733333333333334</t>
        </is>
      </c>
      <c r="O67" s="24" t="inlineStr">
        <is>
          <t>FAIR</t>
        </is>
      </c>
      <c r="P67" s="24" t="inlineStr">
        <is>
          <t>FAIR</t>
        </is>
      </c>
      <c r="Q67" s="24" t="inlineStr">
        <is>
          <t>FAIR</t>
        </is>
      </c>
      <c r="R67" s="24" t="inlineStr">
        <is>
          <t>0.9066669659525092</t>
        </is>
      </c>
      <c r="S67" s="24" t="inlineStr">
        <is>
          <t>HIGH</t>
        </is>
      </c>
      <c r="T67" s="24" t="inlineStr">
        <is>
          <t>HIGH</t>
        </is>
      </c>
      <c r="U67" s="24" t="inlineStr">
        <is>
          <t>0.2142857142857142</t>
        </is>
      </c>
      <c r="V67" s="24" t="inlineStr">
        <is>
          <t>MEDIUM_RISK</t>
        </is>
      </c>
      <c r="W67" s="24" t="inlineStr">
        <is>
          <t>중위험</t>
        </is>
      </c>
      <c r="X67" s="24" t="inlineStr">
        <is>
          <t>MEDIUM_RISK</t>
        </is>
      </c>
      <c r="Y67" s="24" t="inlineStr">
        <is>
          <t>0.6769145960065608</t>
        </is>
      </c>
      <c r="Z67" s="24" t="inlineStr">
        <is>
          <t>MEDIUM</t>
        </is>
      </c>
      <c r="AA67" s="24" t="inlineStr">
        <is>
          <t>MEDIUM</t>
        </is>
      </c>
      <c r="AB67" s="24" t="inlineStr">
        <is>
          <t>0.10646038380774528</t>
        </is>
      </c>
      <c r="AC67" s="24" t="inlineStr">
        <is>
          <t>False</t>
        </is>
      </c>
      <c r="AD67" s="24" t="inlineStr">
        <is>
          <t>False</t>
        </is>
      </c>
      <c r="AE67" s="24" t="inlineStr">
        <is>
          <t>valuation_credit_ml_overlay_candidate.csv</t>
        </is>
      </c>
      <c r="AF67" s="24" t="inlineStr">
        <is>
          <t>208개 반도체 reference universe. Valuation Agent가 자체 intake 폴더로 복제해 Peer/ML/대시보드 비교에 사용.</t>
        </is>
      </c>
    </row>
    <row r="68" ht="24" customHeight="1">
      <c r="A68" s="29" t="inlineStr">
        <is>
          <t>22</t>
        </is>
      </c>
      <c r="B68" s="29" t="inlineStr">
        <is>
          <t>해당 없음</t>
        </is>
      </c>
      <c r="C68" s="29" t="inlineStr">
        <is>
          <t>엘디티</t>
        </is>
      </c>
      <c r="D68" s="29" t="inlineStr">
        <is>
          <t>096870</t>
        </is>
      </c>
      <c r="E68" s="29" t="inlineStr">
        <is>
          <t>KOSDAQ</t>
        </is>
      </c>
      <c r="F68" s="29" t="inlineStr">
        <is>
          <t>IDM/제조/메모리</t>
        </is>
      </c>
      <c r="G68" s="29" t="inlineStr">
        <is>
          <t>IDM/제조/메모리</t>
        </is>
      </c>
      <c r="H68" s="29" t="inlineStr">
        <is>
          <t>False</t>
        </is>
      </c>
      <c r="I68" s="29" t="inlineStr">
        <is>
          <t>True</t>
        </is>
      </c>
      <c r="J68" s="29" t="inlineStr">
        <is>
          <t>OK</t>
        </is>
      </c>
      <c r="K68" s="29" t="inlineStr">
        <is>
          <t>데이터 사용 가능</t>
        </is>
      </c>
      <c r="L68" s="29" t="inlineStr">
        <is>
          <t>LOW</t>
        </is>
      </c>
      <c r="M68" s="29" t="inlineStr">
        <is>
          <t>LOW</t>
        </is>
      </c>
      <c r="N68" s="29" t="inlineStr">
        <is>
          <t>0.7518333333333332</t>
        </is>
      </c>
      <c r="O68" s="29" t="inlineStr">
        <is>
          <t>ATTRACTIVE</t>
        </is>
      </c>
      <c r="P68" s="29" t="inlineStr">
        <is>
          <t>가치 매력</t>
        </is>
      </c>
      <c r="Q68" s="29" t="inlineStr">
        <is>
          <t>ATTRACTIVE</t>
        </is>
      </c>
      <c r="R68" s="29" t="inlineStr">
        <is>
          <t>0.8817908899004964</t>
        </is>
      </c>
      <c r="S68" s="29" t="inlineStr">
        <is>
          <t>HIGH</t>
        </is>
      </c>
      <c r="T68" s="29" t="inlineStr">
        <is>
          <t>HIGH</t>
        </is>
      </c>
      <c r="U68" s="29" t="inlineStr">
        <is>
          <t>0.0714285714285714</t>
        </is>
      </c>
      <c r="V68" s="29" t="inlineStr">
        <is>
          <t>LOW_RISK</t>
        </is>
      </c>
      <c r="W68" s="29" t="inlineStr">
        <is>
          <t>저위험</t>
        </is>
      </c>
      <c r="X68" s="29" t="inlineStr">
        <is>
          <t>LOW_RISK</t>
        </is>
      </c>
      <c r="Y68" s="29" t="inlineStr">
        <is>
          <t>0.8068970516192283</t>
        </is>
      </c>
      <c r="Z68" s="29" t="inlineStr">
        <is>
          <t>HIGH</t>
        </is>
      </c>
      <c r="AA68" s="29" t="inlineStr">
        <is>
          <t>HIGH</t>
        </is>
      </c>
      <c r="AB68" s="29" t="inlineStr">
        <is>
          <t>0.2312715560027526</t>
        </is>
      </c>
      <c r="AC68" s="29" t="inlineStr">
        <is>
          <t>False</t>
        </is>
      </c>
      <c r="AD68" s="29" t="inlineStr">
        <is>
          <t>False</t>
        </is>
      </c>
      <c r="AE68" s="29" t="inlineStr">
        <is>
          <t>valuation_credit_ml_overlay_candidate.csv</t>
        </is>
      </c>
      <c r="AF68" s="29" t="inlineStr">
        <is>
          <t>208개 반도체 reference universe. Valuation Agent가 자체 intake 폴더로 복제해 Peer/ML/대시보드 비교에 사용.</t>
        </is>
      </c>
    </row>
    <row r="69" ht="24" customHeight="1">
      <c r="A69" s="24" t="inlineStr">
        <is>
          <t>9</t>
        </is>
      </c>
      <c r="B69" s="24" t="inlineStr">
        <is>
          <t>해당 없음</t>
        </is>
      </c>
      <c r="C69" s="24" t="inlineStr">
        <is>
          <t>메카로</t>
        </is>
      </c>
      <c r="D69" s="24" t="inlineStr">
        <is>
          <t>241770</t>
        </is>
      </c>
      <c r="E69" s="24" t="inlineStr">
        <is>
          <t>KOSDAQ</t>
        </is>
      </c>
      <c r="F69" s="24" t="inlineStr">
        <is>
          <t>IDM/제조/메모리</t>
        </is>
      </c>
      <c r="G69" s="24" t="inlineStr">
        <is>
          <t>IDM/제조/메모리</t>
        </is>
      </c>
      <c r="H69" s="24" t="inlineStr">
        <is>
          <t>False</t>
        </is>
      </c>
      <c r="I69" s="24" t="inlineStr">
        <is>
          <t>True</t>
        </is>
      </c>
      <c r="J69" s="24" t="inlineStr">
        <is>
          <t>OK</t>
        </is>
      </c>
      <c r="K69" s="24" t="inlineStr">
        <is>
          <t>데이터 사용 가능</t>
        </is>
      </c>
      <c r="L69" s="24" t="inlineStr">
        <is>
          <t>LOW</t>
        </is>
      </c>
      <c r="M69" s="24" t="inlineStr">
        <is>
          <t>LOW</t>
        </is>
      </c>
      <c r="N69" s="24" t="inlineStr">
        <is>
          <t>0.7476666666666667</t>
        </is>
      </c>
      <c r="O69" s="24" t="inlineStr">
        <is>
          <t>ATTRACTIVE</t>
        </is>
      </c>
      <c r="P69" s="24" t="inlineStr">
        <is>
          <t>가치 매력</t>
        </is>
      </c>
      <c r="Q69" s="24" t="inlineStr">
        <is>
          <t>ATTRACTIVE</t>
        </is>
      </c>
      <c r="R69" s="24" t="inlineStr">
        <is>
          <t>0.9154158498128573</t>
        </is>
      </c>
      <c r="S69" s="24" t="inlineStr">
        <is>
          <t>HIGH</t>
        </is>
      </c>
      <c r="T69" s="24" t="inlineStr">
        <is>
          <t>HIGH</t>
        </is>
      </c>
      <c r="U69" s="24" t="inlineStr">
        <is>
          <t>0.0</t>
        </is>
      </c>
      <c r="V69" s="24" t="inlineStr">
        <is>
          <t>LOW_RISK</t>
        </is>
      </c>
      <c r="W69" s="24" t="inlineStr">
        <is>
          <t>저위험</t>
        </is>
      </c>
      <c r="X69" s="24" t="inlineStr">
        <is>
          <t>LOW_RISK</t>
        </is>
      </c>
      <c r="Y69" s="24" t="inlineStr">
        <is>
          <t>0.9196609311939408</t>
        </is>
      </c>
      <c r="Z69" s="24" t="inlineStr">
        <is>
          <t>HIGH</t>
        </is>
      </c>
      <c r="AA69" s="24" t="inlineStr">
        <is>
          <t>HIGH</t>
        </is>
      </c>
      <c r="AB69" s="24" t="inlineStr">
        <is>
          <t>0.12775877727770685</t>
        </is>
      </c>
      <c r="AC69" s="24" t="inlineStr">
        <is>
          <t>False</t>
        </is>
      </c>
      <c r="AD69" s="24" t="inlineStr">
        <is>
          <t>False</t>
        </is>
      </c>
      <c r="AE69" s="24" t="inlineStr">
        <is>
          <t>valuation_credit_ml_overlay_candidate.csv</t>
        </is>
      </c>
      <c r="AF69" s="24" t="inlineStr">
        <is>
          <t>208개 반도체 reference universe. Valuation Agent가 자체 intake 폴더로 복제해 Peer/ML/대시보드 비교에 사용.</t>
        </is>
      </c>
    </row>
    <row r="70" ht="24" customHeight="1">
      <c r="A70" s="29" t="inlineStr">
        <is>
          <t>12</t>
        </is>
      </c>
      <c r="B70" s="29" t="inlineStr">
        <is>
          <t>해당 없음</t>
        </is>
      </c>
      <c r="C70" s="29" t="inlineStr">
        <is>
          <t>삼성전자</t>
        </is>
      </c>
      <c r="D70" s="29" t="inlineStr">
        <is>
          <t>005930</t>
        </is>
      </c>
      <c r="E70" s="29" t="inlineStr">
        <is>
          <t>KOSPI</t>
        </is>
      </c>
      <c r="F70" s="29" t="inlineStr">
        <is>
          <t>IDM/제조/메모리</t>
        </is>
      </c>
      <c r="G70" s="29" t="inlineStr">
        <is>
          <t>IDM/제조/메모리</t>
        </is>
      </c>
      <c r="H70" s="29" t="inlineStr">
        <is>
          <t>False</t>
        </is>
      </c>
      <c r="I70" s="29" t="inlineStr">
        <is>
          <t>True</t>
        </is>
      </c>
      <c r="J70" s="29" t="inlineStr">
        <is>
          <t>OK</t>
        </is>
      </c>
      <c r="K70" s="29" t="inlineStr">
        <is>
          <t>데이터 사용 가능</t>
        </is>
      </c>
      <c r="L70" s="29" t="inlineStr">
        <is>
          <t>LOW</t>
        </is>
      </c>
      <c r="M70" s="29" t="inlineStr">
        <is>
          <t>LOW</t>
        </is>
      </c>
      <c r="N70" s="29" t="inlineStr">
        <is>
          <t>0.7078333333333333</t>
        </is>
      </c>
      <c r="O70" s="29" t="inlineStr">
        <is>
          <t>ATTRACTIVE</t>
        </is>
      </c>
      <c r="P70" s="29" t="inlineStr">
        <is>
          <t>가치 매력</t>
        </is>
      </c>
      <c r="Q70" s="29" t="inlineStr">
        <is>
          <t>ATTRACTIVE</t>
        </is>
      </c>
      <c r="R70" s="29" t="inlineStr">
        <is>
          <t>0.9371541027950523</t>
        </is>
      </c>
      <c r="S70" s="29" t="inlineStr">
        <is>
          <t>HIGH</t>
        </is>
      </c>
      <c r="T70" s="29" t="inlineStr">
        <is>
          <t>HIGH</t>
        </is>
      </c>
      <c r="U70" s="29" t="inlineStr">
        <is>
          <t>0.0</t>
        </is>
      </c>
      <c r="V70" s="29" t="inlineStr">
        <is>
          <t>LOW_RISK</t>
        </is>
      </c>
      <c r="W70" s="29" t="inlineStr">
        <is>
          <t>저위험</t>
        </is>
      </c>
      <c r="X70" s="29" t="inlineStr">
        <is>
          <t>LOW_RISK</t>
        </is>
      </c>
      <c r="Y70" s="29" t="inlineStr">
        <is>
          <t>0.9760796731366836</t>
        </is>
      </c>
      <c r="Z70" s="29" t="inlineStr">
        <is>
          <t>HIGH</t>
        </is>
      </c>
      <c r="AA70" s="29" t="inlineStr">
        <is>
          <t>HIGH</t>
        </is>
      </c>
      <c r="AB70" s="29" t="inlineStr">
        <is>
          <t>0.4140062883705867</t>
        </is>
      </c>
      <c r="AC70" s="29" t="inlineStr">
        <is>
          <t>True</t>
        </is>
      </c>
      <c r="AD70" s="29" t="inlineStr">
        <is>
          <t>True</t>
        </is>
      </c>
      <c r="AE70" s="29" t="inlineStr">
        <is>
          <t>valuation_credit_ml_overlay_candidate.csv</t>
        </is>
      </c>
      <c r="AF70" s="29" t="inlineStr">
        <is>
          <t>208개 반도체 reference universe. Valuation Agent가 자체 intake 폴더로 복제해 Peer/ML/대시보드 비교에 사용.</t>
        </is>
      </c>
    </row>
    <row r="71" ht="24" customHeight="1">
      <c r="A71" s="24" t="inlineStr">
        <is>
          <t>4</t>
        </is>
      </c>
      <c r="B71" s="24" t="inlineStr">
        <is>
          <t>해당 없음</t>
        </is>
      </c>
      <c r="C71" s="24" t="inlineStr">
        <is>
          <t>SK하이닉스</t>
        </is>
      </c>
      <c r="D71" s="24" t="inlineStr">
        <is>
          <t>000660</t>
        </is>
      </c>
      <c r="E71" s="24" t="inlineStr">
        <is>
          <t>KOSPI</t>
        </is>
      </c>
      <c r="F71" s="24" t="inlineStr">
        <is>
          <t>IDM/제조/메모리</t>
        </is>
      </c>
      <c r="G71" s="24" t="inlineStr">
        <is>
          <t>IDM/제조/메모리</t>
        </is>
      </c>
      <c r="H71" s="24" t="inlineStr">
        <is>
          <t>False</t>
        </is>
      </c>
      <c r="I71" s="24" t="inlineStr">
        <is>
          <t>True</t>
        </is>
      </c>
      <c r="J71" s="24" t="inlineStr">
        <is>
          <t>OK</t>
        </is>
      </c>
      <c r="K71" s="24" t="inlineStr">
        <is>
          <t>데이터 사용 가능</t>
        </is>
      </c>
      <c r="L71" s="24" t="inlineStr">
        <is>
          <t>LOW</t>
        </is>
      </c>
      <c r="M71" s="24" t="inlineStr">
        <is>
          <t>LOW</t>
        </is>
      </c>
      <c r="N71" s="24" t="inlineStr">
        <is>
          <t>0.6933333333333334</t>
        </is>
      </c>
      <c r="O71" s="24" t="inlineStr">
        <is>
          <t>ATTRACTIVE</t>
        </is>
      </c>
      <c r="P71" s="24" t="inlineStr">
        <is>
          <t>가치 매력</t>
        </is>
      </c>
      <c r="Q71" s="24" t="inlineStr">
        <is>
          <t>ATTRACTIVE</t>
        </is>
      </c>
      <c r="R71" s="24" t="inlineStr">
        <is>
          <t>0.8582250965188642</t>
        </is>
      </c>
      <c r="S71" s="24" t="inlineStr">
        <is>
          <t>HIGH</t>
        </is>
      </c>
      <c r="T71" s="24" t="inlineStr">
        <is>
          <t>HIGH</t>
        </is>
      </c>
      <c r="U71" s="24" t="inlineStr">
        <is>
          <t>0.0</t>
        </is>
      </c>
      <c r="V71" s="24" t="inlineStr">
        <is>
          <t>LOW_RISK</t>
        </is>
      </c>
      <c r="W71" s="24" t="inlineStr">
        <is>
          <t>저위험</t>
        </is>
      </c>
      <c r="X71" s="24" t="inlineStr">
        <is>
          <t>LOW_RISK</t>
        </is>
      </c>
      <c r="Y71" s="24" t="inlineStr">
        <is>
          <t>0.9246810687108324</t>
        </is>
      </c>
      <c r="Z71" s="24" t="inlineStr">
        <is>
          <t>HIGH</t>
        </is>
      </c>
      <c r="AA71" s="24" t="inlineStr">
        <is>
          <t>HIGH</t>
        </is>
      </c>
      <c r="AB71" s="24" t="inlineStr">
        <is>
          <t>0.4530741670429333</t>
        </is>
      </c>
      <c r="AC71" s="24" t="inlineStr">
        <is>
          <t>True</t>
        </is>
      </c>
      <c r="AD71" s="24" t="inlineStr">
        <is>
          <t>True</t>
        </is>
      </c>
      <c r="AE71" s="24" t="inlineStr">
        <is>
          <t>valuation_credit_ml_overlay_candidate.csv</t>
        </is>
      </c>
      <c r="AF71" s="24" t="inlineStr">
        <is>
          <t>208개 반도체 reference universe. Valuation Agent가 자체 intake 폴더로 복제해 Peer/ML/대시보드 비교에 사용.</t>
        </is>
      </c>
    </row>
    <row r="72" ht="24" customHeight="1">
      <c r="A72" s="29" t="inlineStr">
        <is>
          <t>32</t>
        </is>
      </c>
      <c r="B72" s="29" t="inlineStr">
        <is>
          <t>해당 없음</t>
        </is>
      </c>
      <c r="C72" s="29" t="inlineStr">
        <is>
          <t>케이엔제이</t>
        </is>
      </c>
      <c r="D72" s="29" t="inlineStr">
        <is>
          <t>272110</t>
        </is>
      </c>
      <c r="E72" s="29" t="inlineStr">
        <is>
          <t>KOSDAQ</t>
        </is>
      </c>
      <c r="F72" s="29" t="inlineStr">
        <is>
          <t>IDM/제조/메모리</t>
        </is>
      </c>
      <c r="G72" s="29" t="inlineStr">
        <is>
          <t>IDM/제조/메모리</t>
        </is>
      </c>
      <c r="H72" s="29" t="inlineStr">
        <is>
          <t>False</t>
        </is>
      </c>
      <c r="I72" s="29" t="inlineStr">
        <is>
          <t>True</t>
        </is>
      </c>
      <c r="J72" s="29" t="inlineStr">
        <is>
          <t>OK</t>
        </is>
      </c>
      <c r="K72" s="29" t="inlineStr">
        <is>
          <t>데이터 사용 가능</t>
        </is>
      </c>
      <c r="L72" s="29" t="inlineStr">
        <is>
          <t>LOW</t>
        </is>
      </c>
      <c r="M72" s="29" t="inlineStr">
        <is>
          <t>LOW</t>
        </is>
      </c>
      <c r="N72" s="29" t="inlineStr">
        <is>
          <t>0.69</t>
        </is>
      </c>
      <c r="O72" s="29" t="inlineStr">
        <is>
          <t>FAIR</t>
        </is>
      </c>
      <c r="P72" s="29" t="inlineStr">
        <is>
          <t>FAIR</t>
        </is>
      </c>
      <c r="Q72" s="29" t="inlineStr">
        <is>
          <t>FAIR</t>
        </is>
      </c>
      <c r="R72" s="29" t="inlineStr">
        <is>
          <t>0.8941431334693103</t>
        </is>
      </c>
      <c r="S72" s="29" t="inlineStr">
        <is>
          <t>HIGH</t>
        </is>
      </c>
      <c r="T72" s="29" t="inlineStr">
        <is>
          <t>HIGH</t>
        </is>
      </c>
      <c r="U72" s="29" t="inlineStr">
        <is>
          <t>0.3571428571428571</t>
        </is>
      </c>
      <c r="V72" s="29" t="inlineStr">
        <is>
          <t>MEDIUM_RISK</t>
        </is>
      </c>
      <c r="W72" s="29" t="inlineStr">
        <is>
          <t>중위험</t>
        </is>
      </c>
      <c r="X72" s="29" t="inlineStr">
        <is>
          <t>MEDIUM_RISK</t>
        </is>
      </c>
      <c r="Y72" s="29" t="inlineStr">
        <is>
          <t>0.6916505304322266</t>
        </is>
      </c>
      <c r="Z72" s="29" t="inlineStr">
        <is>
          <t>MEDIUM</t>
        </is>
      </c>
      <c r="AA72" s="29" t="inlineStr">
        <is>
          <t>MEDIUM</t>
        </is>
      </c>
      <c r="AB72" s="29" t="inlineStr">
        <is>
          <t>0.08026450343217886</t>
        </is>
      </c>
      <c r="AC72" s="29" t="inlineStr">
        <is>
          <t>False</t>
        </is>
      </c>
      <c r="AD72" s="29" t="inlineStr">
        <is>
          <t>False</t>
        </is>
      </c>
      <c r="AE72" s="29" t="inlineStr">
        <is>
          <t>valuation_credit_ml_overlay_candidate.csv</t>
        </is>
      </c>
      <c r="AF72" s="29" t="inlineStr">
        <is>
          <t>208개 반도체 reference universe. Valuation Agent가 자체 intake 폴더로 복제해 Peer/ML/대시보드 비교에 사용.</t>
        </is>
      </c>
    </row>
    <row r="73" ht="24" customHeight="1">
      <c r="A73" s="24" t="inlineStr">
        <is>
          <t>40</t>
        </is>
      </c>
      <c r="B73" s="24" t="inlineStr">
        <is>
          <t>해당 없음</t>
        </is>
      </c>
      <c r="C73" s="24" t="inlineStr">
        <is>
          <t>한양디지텍</t>
        </is>
      </c>
      <c r="D73" s="24" t="inlineStr">
        <is>
          <t>078350</t>
        </is>
      </c>
      <c r="E73" s="24" t="inlineStr">
        <is>
          <t>KOSDAQ</t>
        </is>
      </c>
      <c r="F73" s="24" t="inlineStr">
        <is>
          <t>IDM/제조/메모리</t>
        </is>
      </c>
      <c r="G73" s="24" t="inlineStr">
        <is>
          <t>IDM/제조/메모리</t>
        </is>
      </c>
      <c r="H73" s="24" t="inlineStr">
        <is>
          <t>False</t>
        </is>
      </c>
      <c r="I73" s="24" t="inlineStr">
        <is>
          <t>True</t>
        </is>
      </c>
      <c r="J73" s="24" t="inlineStr">
        <is>
          <t>OK</t>
        </is>
      </c>
      <c r="K73" s="24" t="inlineStr">
        <is>
          <t>데이터 사용 가능</t>
        </is>
      </c>
      <c r="L73" s="24" t="inlineStr">
        <is>
          <t>LOW</t>
        </is>
      </c>
      <c r="M73" s="24" t="inlineStr">
        <is>
          <t>LOW</t>
        </is>
      </c>
      <c r="N73" s="24" t="inlineStr">
        <is>
          <t>0.6805000000000001</t>
        </is>
      </c>
      <c r="O73" s="24" t="inlineStr">
        <is>
          <t>ATTRACTIVE</t>
        </is>
      </c>
      <c r="P73" s="24" t="inlineStr">
        <is>
          <t>가치 매력</t>
        </is>
      </c>
      <c r="Q73" s="24" t="inlineStr">
        <is>
          <t>ATTRACTIVE</t>
        </is>
      </c>
      <c r="R73" s="24" t="inlineStr">
        <is>
          <t>0.8705426081647281</t>
        </is>
      </c>
      <c r="S73" s="24" t="inlineStr">
        <is>
          <t>HIGH</t>
        </is>
      </c>
      <c r="T73" s="24" t="inlineStr">
        <is>
          <t>HIGH</t>
        </is>
      </c>
      <c r="U73" s="24" t="inlineStr">
        <is>
          <t>0.0714285714285714</t>
        </is>
      </c>
      <c r="V73" s="24" t="inlineStr">
        <is>
          <t>LOW_RISK</t>
        </is>
      </c>
      <c r="W73" s="24" t="inlineStr">
        <is>
          <t>저위험</t>
        </is>
      </c>
      <c r="X73" s="24" t="inlineStr">
        <is>
          <t>LOW_RISK</t>
        </is>
      </c>
      <c r="Y73" s="24" t="inlineStr">
        <is>
          <t>0.7978732006060483</t>
        </is>
      </c>
      <c r="Z73" s="24" t="inlineStr">
        <is>
          <t>HIGH</t>
        </is>
      </c>
      <c r="AA73" s="24" t="inlineStr">
        <is>
          <t>HIGH</t>
        </is>
      </c>
      <c r="AB73" s="24" t="inlineStr">
        <is>
          <t>0.008155150389343335</t>
        </is>
      </c>
      <c r="AC73" s="24" t="inlineStr">
        <is>
          <t>False</t>
        </is>
      </c>
      <c r="AD73" s="24" t="inlineStr">
        <is>
          <t>False</t>
        </is>
      </c>
      <c r="AE73" s="24" t="inlineStr">
        <is>
          <t>valuation_credit_ml_overlay_candidate.csv</t>
        </is>
      </c>
      <c r="AF73" s="24" t="inlineStr">
        <is>
          <t>208개 반도체 reference universe. Valuation Agent가 자체 intake 폴더로 복제해 Peer/ML/대시보드 비교에 사용.</t>
        </is>
      </c>
    </row>
    <row r="74" ht="24" customHeight="1">
      <c r="A74" s="29" t="inlineStr">
        <is>
          <t>1</t>
        </is>
      </c>
      <c r="B74" s="29" t="inlineStr">
        <is>
          <t>해당 없음</t>
        </is>
      </c>
      <c r="C74" s="29" t="inlineStr">
        <is>
          <t>DB하이텍</t>
        </is>
      </c>
      <c r="D74" s="29" t="inlineStr">
        <is>
          <t>000990</t>
        </is>
      </c>
      <c r="E74" s="29" t="inlineStr">
        <is>
          <t>KOSPI</t>
        </is>
      </c>
      <c r="F74" s="29" t="inlineStr">
        <is>
          <t>IDM/제조/메모리</t>
        </is>
      </c>
      <c r="G74" s="29" t="inlineStr">
        <is>
          <t>IDM/제조/메모리</t>
        </is>
      </c>
      <c r="H74" s="29" t="inlineStr">
        <is>
          <t>False</t>
        </is>
      </c>
      <c r="I74" s="29" t="inlineStr">
        <is>
          <t>True</t>
        </is>
      </c>
      <c r="J74" s="29" t="inlineStr">
        <is>
          <t>OK</t>
        </is>
      </c>
      <c r="K74" s="29" t="inlineStr">
        <is>
          <t>데이터 사용 가능</t>
        </is>
      </c>
      <c r="L74" s="29" t="inlineStr">
        <is>
          <t>LOW</t>
        </is>
      </c>
      <c r="M74" s="29" t="inlineStr">
        <is>
          <t>LOW</t>
        </is>
      </c>
      <c r="N74" s="29" t="inlineStr">
        <is>
          <t>0.6653333333333333</t>
        </is>
      </c>
      <c r="O74" s="29" t="inlineStr">
        <is>
          <t>ATTRACTIVE</t>
        </is>
      </c>
      <c r="P74" s="29" t="inlineStr">
        <is>
          <t>가치 매력</t>
        </is>
      </c>
      <c r="Q74" s="29" t="inlineStr">
        <is>
          <t>ATTRACTIVE</t>
        </is>
      </c>
      <c r="R74" s="29" t="inlineStr">
        <is>
          <t>0.9104444876024207</t>
        </is>
      </c>
      <c r="S74" s="29" t="inlineStr">
        <is>
          <t>HIGH</t>
        </is>
      </c>
      <c r="T74" s="29" t="inlineStr">
        <is>
          <t>HIGH</t>
        </is>
      </c>
      <c r="U74" s="29" t="inlineStr">
        <is>
          <t>0.0</t>
        </is>
      </c>
      <c r="V74" s="29" t="inlineStr">
        <is>
          <t>LOW_RISK</t>
        </is>
      </c>
      <c r="W74" s="29" t="inlineStr">
        <is>
          <t>저위험</t>
        </is>
      </c>
      <c r="X74" s="29" t="inlineStr">
        <is>
          <t>LOW_RISK</t>
        </is>
      </c>
      <c r="Y74" s="29" t="inlineStr">
        <is>
          <t>0.9880726272379208</t>
        </is>
      </c>
      <c r="Z74" s="29" t="inlineStr">
        <is>
          <t>HIGH</t>
        </is>
      </c>
      <c r="AA74" s="29" t="inlineStr">
        <is>
          <t>HIGH</t>
        </is>
      </c>
      <c r="AB74" s="29" t="inlineStr">
        <is>
          <t>0.04988685023425709</t>
        </is>
      </c>
      <c r="AC74" s="29" t="inlineStr">
        <is>
          <t>False</t>
        </is>
      </c>
      <c r="AD74" s="29" t="inlineStr">
        <is>
          <t>False</t>
        </is>
      </c>
      <c r="AE74" s="29" t="inlineStr">
        <is>
          <t>valuation_credit_ml_overlay_candidate.csv</t>
        </is>
      </c>
      <c r="AF74" s="29" t="inlineStr">
        <is>
          <t>208개 반도체 reference universe. Valuation Agent가 자체 intake 폴더로 복제해 Peer/ML/대시보드 비교에 사용.</t>
        </is>
      </c>
    </row>
    <row r="75" ht="24" customHeight="1">
      <c r="A75" s="24" t="inlineStr">
        <is>
          <t>24</t>
        </is>
      </c>
      <c r="B75" s="24" t="inlineStr">
        <is>
          <t>해당 없음</t>
        </is>
      </c>
      <c r="C75" s="24" t="inlineStr">
        <is>
          <t>오디텍</t>
        </is>
      </c>
      <c r="D75" s="24" t="inlineStr">
        <is>
          <t>080520</t>
        </is>
      </c>
      <c r="E75" s="24" t="inlineStr">
        <is>
          <t>KOSDAQ</t>
        </is>
      </c>
      <c r="F75" s="24" t="inlineStr">
        <is>
          <t>IDM/제조/메모리</t>
        </is>
      </c>
      <c r="G75" s="24" t="inlineStr">
        <is>
          <t>IDM/제조/메모리</t>
        </is>
      </c>
      <c r="H75" s="24" t="inlineStr">
        <is>
          <t>False</t>
        </is>
      </c>
      <c r="I75" s="24" t="inlineStr">
        <is>
          <t>True</t>
        </is>
      </c>
      <c r="J75" s="24" t="inlineStr">
        <is>
          <t>OK</t>
        </is>
      </c>
      <c r="K75" s="24" t="inlineStr">
        <is>
          <t>데이터 사용 가능</t>
        </is>
      </c>
      <c r="L75" s="24" t="inlineStr">
        <is>
          <t>LOW</t>
        </is>
      </c>
      <c r="M75" s="24" t="inlineStr">
        <is>
          <t>LOW</t>
        </is>
      </c>
      <c r="N75" s="24" t="inlineStr">
        <is>
          <t>0.6083333333333334</t>
        </is>
      </c>
      <c r="O75" s="24" t="inlineStr">
        <is>
          <t>FAIR</t>
        </is>
      </c>
      <c r="P75" s="24" t="inlineStr">
        <is>
          <t>FAIR</t>
        </is>
      </c>
      <c r="Q75" s="24" t="inlineStr">
        <is>
          <t>FAIR</t>
        </is>
      </c>
      <c r="R75" s="24" t="inlineStr">
        <is>
          <t>0.8328575689014174</t>
        </is>
      </c>
      <c r="S75" s="24" t="inlineStr">
        <is>
          <t>HIGH</t>
        </is>
      </c>
      <c r="T75" s="24" t="inlineStr">
        <is>
          <t>HIGH</t>
        </is>
      </c>
      <c r="U75" s="24" t="inlineStr">
        <is>
          <t>0.4285714285714285</t>
        </is>
      </c>
      <c r="V75" s="24" t="inlineStr">
        <is>
          <t>HIGH_RISK</t>
        </is>
      </c>
      <c r="W75" s="24" t="inlineStr">
        <is>
          <t>고위험</t>
        </is>
      </c>
      <c r="X75" s="24" t="inlineStr">
        <is>
          <t>HIGH_RISK</t>
        </is>
      </c>
      <c r="Y75" s="24" t="inlineStr">
        <is>
          <t>0.5607063964580236</t>
        </is>
      </c>
      <c r="Z75" s="24" t="inlineStr">
        <is>
          <t>MEDIUM</t>
        </is>
      </c>
      <c r="AA75" s="24" t="inlineStr">
        <is>
          <t>MEDIUM</t>
        </is>
      </c>
      <c r="AB75" s="24" t="inlineStr">
        <is>
          <t>0.4397907707686155</t>
        </is>
      </c>
      <c r="AC75" s="24" t="inlineStr">
        <is>
          <t>True</t>
        </is>
      </c>
      <c r="AD75" s="24" t="inlineStr">
        <is>
          <t>True</t>
        </is>
      </c>
      <c r="AE75" s="24" t="inlineStr">
        <is>
          <t>valuation_credit_ml_overlay_candidate.csv</t>
        </is>
      </c>
      <c r="AF75" s="24" t="inlineStr">
        <is>
          <t>208개 반도체 reference universe. Valuation Agent가 자체 intake 폴더로 복제해 Peer/ML/대시보드 비교에 사용.</t>
        </is>
      </c>
    </row>
    <row r="76" ht="24" customHeight="1">
      <c r="A76" s="29" t="inlineStr">
        <is>
          <t>6</t>
        </is>
      </c>
      <c r="B76" s="29" t="inlineStr">
        <is>
          <t>해당 없음</t>
        </is>
      </c>
      <c r="C76" s="29" t="inlineStr">
        <is>
          <t>그린리소스</t>
        </is>
      </c>
      <c r="D76" s="29" t="inlineStr">
        <is>
          <t>402490</t>
        </is>
      </c>
      <c r="E76" s="29" t="inlineStr">
        <is>
          <t>KOSDAQ</t>
        </is>
      </c>
      <c r="F76" s="29" t="inlineStr">
        <is>
          <t>IDM/제조/메모리</t>
        </is>
      </c>
      <c r="G76" s="29" t="inlineStr">
        <is>
          <t>IDM/제조/메모리</t>
        </is>
      </c>
      <c r="H76" s="29" t="inlineStr">
        <is>
          <t>False</t>
        </is>
      </c>
      <c r="I76" s="29" t="inlineStr">
        <is>
          <t>True</t>
        </is>
      </c>
      <c r="J76" s="29" t="inlineStr">
        <is>
          <t>OK_LIMITED_HISTORY_OR_GROWTH_NA</t>
        </is>
      </c>
      <c r="K76" s="29" t="inlineStr">
        <is>
          <t>데이터 사용 가능</t>
        </is>
      </c>
      <c r="L76" s="29" t="inlineStr">
        <is>
          <t>LOW</t>
        </is>
      </c>
      <c r="M76" s="29" t="inlineStr">
        <is>
          <t>LOW</t>
        </is>
      </c>
      <c r="N76" s="29" t="inlineStr">
        <is>
          <t>0.6021666666666667</t>
        </is>
      </c>
      <c r="O76" s="29" t="inlineStr">
        <is>
          <t>FAIR</t>
        </is>
      </c>
      <c r="P76" s="29" t="inlineStr">
        <is>
          <t>FAIR</t>
        </is>
      </c>
      <c r="Q76" s="29" t="inlineStr">
        <is>
          <t>FAIR</t>
        </is>
      </c>
      <c r="R76" s="29" t="inlineStr">
        <is>
          <t>0.7869051998623771</t>
        </is>
      </c>
      <c r="S76" s="29" t="inlineStr">
        <is>
          <t>HIGH</t>
        </is>
      </c>
      <c r="T76" s="29" t="inlineStr">
        <is>
          <t>HIGH</t>
        </is>
      </c>
      <c r="U76" s="29" t="inlineStr">
        <is>
          <t>0.4285714285714285</t>
        </is>
      </c>
      <c r="V76" s="29" t="inlineStr">
        <is>
          <t>HIGH_RISK</t>
        </is>
      </c>
      <c r="W76" s="29" t="inlineStr">
        <is>
          <t>고위험</t>
        </is>
      </c>
      <c r="X76" s="29" t="inlineStr">
        <is>
          <t>HIGH_RISK</t>
        </is>
      </c>
      <c r="Y76" s="29" t="inlineStr">
        <is>
          <t>0.5860253292011965</t>
        </is>
      </c>
      <c r="Z76" s="29" t="inlineStr">
        <is>
          <t>MEDIUM</t>
        </is>
      </c>
      <c r="AA76" s="29" t="inlineStr">
        <is>
          <t>MEDIUM</t>
        </is>
      </c>
      <c r="AB76" s="29" t="inlineStr">
        <is>
          <t>0.04512954873345755</t>
        </is>
      </c>
      <c r="AC76" s="29" t="inlineStr">
        <is>
          <t>False</t>
        </is>
      </c>
      <c r="AD76" s="29" t="inlineStr">
        <is>
          <t>True</t>
        </is>
      </c>
      <c r="AE76" s="29" t="inlineStr">
        <is>
          <t>valuation_credit_ml_overlay_candidate.csv</t>
        </is>
      </c>
      <c r="AF76" s="29" t="inlineStr">
        <is>
          <t>208개 반도체 reference universe. Valuation Agent가 자체 intake 폴더로 복제해 Peer/ML/대시보드 비교에 사용.</t>
        </is>
      </c>
    </row>
    <row r="77" ht="24" customHeight="1">
      <c r="A77" s="24" t="inlineStr">
        <is>
          <t>8</t>
        </is>
      </c>
      <c r="B77" s="24" t="inlineStr">
        <is>
          <t>해당 없음</t>
        </is>
      </c>
      <c r="C77" s="24" t="inlineStr">
        <is>
          <t>루멘스</t>
        </is>
      </c>
      <c r="D77" s="24" t="inlineStr">
        <is>
          <t>038060</t>
        </is>
      </c>
      <c r="E77" s="24" t="inlineStr">
        <is>
          <t>KOSDAQ</t>
        </is>
      </c>
      <c r="F77" s="24" t="inlineStr">
        <is>
          <t>IDM/제조/메모리</t>
        </is>
      </c>
      <c r="G77" s="24" t="inlineStr">
        <is>
          <t>IDM/제조/메모리</t>
        </is>
      </c>
      <c r="H77" s="24" t="inlineStr">
        <is>
          <t>False</t>
        </is>
      </c>
      <c r="I77" s="24" t="inlineStr">
        <is>
          <t>True</t>
        </is>
      </c>
      <c r="J77" s="24" t="inlineStr">
        <is>
          <t>OK</t>
        </is>
      </c>
      <c r="K77" s="24" t="inlineStr">
        <is>
          <t>데이터 사용 가능</t>
        </is>
      </c>
      <c r="L77" s="24" t="inlineStr">
        <is>
          <t>LOW</t>
        </is>
      </c>
      <c r="M77" s="24" t="inlineStr">
        <is>
          <t>LOW</t>
        </is>
      </c>
      <c r="N77" s="24" t="inlineStr">
        <is>
          <t>0.5970000000000001</t>
        </is>
      </c>
      <c r="O77" s="24" t="inlineStr">
        <is>
          <t>FAIR</t>
        </is>
      </c>
      <c r="P77" s="24" t="inlineStr">
        <is>
          <t>FAIR</t>
        </is>
      </c>
      <c r="Q77" s="24" t="inlineStr">
        <is>
          <t>FAIR</t>
        </is>
      </c>
      <c r="R77" s="24" t="inlineStr">
        <is>
          <t>0.8437683700786414</t>
        </is>
      </c>
      <c r="S77" s="24" t="inlineStr">
        <is>
          <t>HIGH</t>
        </is>
      </c>
      <c r="T77" s="24" t="inlineStr">
        <is>
          <t>HIGH</t>
        </is>
      </c>
      <c r="U77" s="24" t="inlineStr">
        <is>
          <t>0.3571428571428571</t>
        </is>
      </c>
      <c r="V77" s="24" t="inlineStr">
        <is>
          <t>MEDIUM_RISK</t>
        </is>
      </c>
      <c r="W77" s="24" t="inlineStr">
        <is>
          <t>중위험</t>
        </is>
      </c>
      <c r="X77" s="24" t="inlineStr">
        <is>
          <t>MEDIUM_RISK</t>
        </is>
      </c>
      <c r="Y77" s="24" t="inlineStr">
        <is>
          <t>0.7365544810444915</t>
        </is>
      </c>
      <c r="Z77" s="24" t="inlineStr">
        <is>
          <t>HIGH</t>
        </is>
      </c>
      <c r="AA77" s="24" t="inlineStr">
        <is>
          <t>HIGH</t>
        </is>
      </c>
      <c r="AB77" s="24" t="inlineStr">
        <is>
          <t>0.0791711120821534</t>
        </is>
      </c>
      <c r="AC77" s="24" t="inlineStr">
        <is>
          <t>False</t>
        </is>
      </c>
      <c r="AD77" s="24" t="inlineStr">
        <is>
          <t>False</t>
        </is>
      </c>
      <c r="AE77" s="24" t="inlineStr">
        <is>
          <t>valuation_credit_ml_overlay_candidate.csv</t>
        </is>
      </c>
      <c r="AF77" s="24" t="inlineStr">
        <is>
          <t>208개 반도체 reference universe. Valuation Agent가 자체 intake 폴더로 복제해 Peer/ML/대시보드 비교에 사용.</t>
        </is>
      </c>
    </row>
    <row r="78" ht="24" customHeight="1">
      <c r="A78" s="29" t="inlineStr">
        <is>
          <t>37</t>
        </is>
      </c>
      <c r="B78" s="29" t="inlineStr">
        <is>
          <t>해당 없음</t>
        </is>
      </c>
      <c r="C78" s="29" t="inlineStr">
        <is>
          <t>피델릭스</t>
        </is>
      </c>
      <c r="D78" s="29" t="inlineStr">
        <is>
          <t>032580</t>
        </is>
      </c>
      <c r="E78" s="29" t="inlineStr">
        <is>
          <t>KOSDAQ</t>
        </is>
      </c>
      <c r="F78" s="29" t="inlineStr">
        <is>
          <t>IDM/제조/메모리</t>
        </is>
      </c>
      <c r="G78" s="29" t="inlineStr">
        <is>
          <t>IDM/제조/메모리</t>
        </is>
      </c>
      <c r="H78" s="29" t="inlineStr">
        <is>
          <t>False</t>
        </is>
      </c>
      <c r="I78" s="29" t="inlineStr">
        <is>
          <t>True</t>
        </is>
      </c>
      <c r="J78" s="29" t="inlineStr">
        <is>
          <t>OK</t>
        </is>
      </c>
      <c r="K78" s="29" t="inlineStr">
        <is>
          <t>데이터 사용 가능</t>
        </is>
      </c>
      <c r="L78" s="29" t="inlineStr">
        <is>
          <t>LOW</t>
        </is>
      </c>
      <c r="M78" s="29" t="inlineStr">
        <is>
          <t>LOW</t>
        </is>
      </c>
      <c r="N78" s="29" t="inlineStr">
        <is>
          <t>0.5873333333333334</t>
        </is>
      </c>
      <c r="O78" s="29" t="inlineStr">
        <is>
          <t>FAIR</t>
        </is>
      </c>
      <c r="P78" s="29" t="inlineStr">
        <is>
          <t>FAIR</t>
        </is>
      </c>
      <c r="Q78" s="29" t="inlineStr">
        <is>
          <t>FAIR</t>
        </is>
      </c>
      <c r="R78" s="29" t="inlineStr">
        <is>
          <t>0.8604826019551013</t>
        </is>
      </c>
      <c r="S78" s="29" t="inlineStr">
        <is>
          <t>HIGH</t>
        </is>
      </c>
      <c r="T78" s="29" t="inlineStr">
        <is>
          <t>HIGH</t>
        </is>
      </c>
      <c r="U78" s="29" t="inlineStr">
        <is>
          <t>0.5</t>
        </is>
      </c>
      <c r="V78" s="29" t="inlineStr">
        <is>
          <t>HIGH_RISK</t>
        </is>
      </c>
      <c r="W78" s="29" t="inlineStr">
        <is>
          <t>고위험</t>
        </is>
      </c>
      <c r="X78" s="29" t="inlineStr">
        <is>
          <t>HIGH_RISK</t>
        </is>
      </c>
      <c r="Y78" s="29" t="inlineStr">
        <is>
          <t>0.9138628953549666</t>
        </is>
      </c>
      <c r="Z78" s="29" t="inlineStr">
        <is>
          <t>HIGH</t>
        </is>
      </c>
      <c r="AA78" s="29" t="inlineStr">
        <is>
          <t>HIGH</t>
        </is>
      </c>
      <c r="AB78" s="29" t="inlineStr">
        <is>
          <t>0.0765288896391056</t>
        </is>
      </c>
      <c r="AC78" s="29" t="inlineStr">
        <is>
          <t>False</t>
        </is>
      </c>
      <c r="AD78" s="29" t="inlineStr">
        <is>
          <t>False</t>
        </is>
      </c>
      <c r="AE78" s="29" t="inlineStr">
        <is>
          <t>valuation_credit_ml_overlay_candidate.csv</t>
        </is>
      </c>
      <c r="AF78" s="29" t="inlineStr">
        <is>
          <t>208개 반도체 reference universe. Valuation Agent가 자체 intake 폴더로 복제해 Peer/ML/대시보드 비교에 사용.</t>
        </is>
      </c>
    </row>
    <row r="79" ht="24" customHeight="1">
      <c r="A79" s="24" t="inlineStr">
        <is>
          <t>21</t>
        </is>
      </c>
      <c r="B79" s="24" t="inlineStr">
        <is>
          <t>해당 없음</t>
        </is>
      </c>
      <c r="C79" s="24" t="inlineStr">
        <is>
          <t>엔시트론</t>
        </is>
      </c>
      <c r="D79" s="24" t="inlineStr">
        <is>
          <t>101400</t>
        </is>
      </c>
      <c r="E79" s="24" t="inlineStr">
        <is>
          <t>KOSDAQ</t>
        </is>
      </c>
      <c r="F79" s="24" t="inlineStr">
        <is>
          <t>IDM/제조/메모리</t>
        </is>
      </c>
      <c r="G79" s="24" t="inlineStr">
        <is>
          <t>IDM/제조/메모리</t>
        </is>
      </c>
      <c r="H79" s="24" t="inlineStr">
        <is>
          <t>False</t>
        </is>
      </c>
      <c r="I79" s="24" t="inlineStr">
        <is>
          <t>True</t>
        </is>
      </c>
      <c r="J79" s="24" t="inlineStr">
        <is>
          <t>OK</t>
        </is>
      </c>
      <c r="K79" s="24" t="inlineStr">
        <is>
          <t>데이터 사용 가능</t>
        </is>
      </c>
      <c r="L79" s="24" t="inlineStr">
        <is>
          <t>LOW</t>
        </is>
      </c>
      <c r="M79" s="24" t="inlineStr">
        <is>
          <t>LOW</t>
        </is>
      </c>
      <c r="N79" s="24" t="inlineStr">
        <is>
          <t>0.5773333333333333</t>
        </is>
      </c>
      <c r="O79" s="24" t="inlineStr">
        <is>
          <t>FAIR</t>
        </is>
      </c>
      <c r="P79" s="24" t="inlineStr">
        <is>
          <t>FAIR</t>
        </is>
      </c>
      <c r="Q79" s="24" t="inlineStr">
        <is>
          <t>FAIR</t>
        </is>
      </c>
      <c r="R79" s="24" t="inlineStr">
        <is>
          <t>0.8173941540342667</t>
        </is>
      </c>
      <c r="S79" s="24" t="inlineStr">
        <is>
          <t>HIGH</t>
        </is>
      </c>
      <c r="T79" s="24" t="inlineStr">
        <is>
          <t>HIGH</t>
        </is>
      </c>
      <c r="U79" s="24" t="inlineStr">
        <is>
          <t>0.3571428571428571</t>
        </is>
      </c>
      <c r="V79" s="24" t="inlineStr">
        <is>
          <t>MEDIUM_RISK</t>
        </is>
      </c>
      <c r="W79" s="24" t="inlineStr">
        <is>
          <t>중위험</t>
        </is>
      </c>
      <c r="X79" s="24" t="inlineStr">
        <is>
          <t>MEDIUM_RISK</t>
        </is>
      </c>
      <c r="Y79" s="24" t="inlineStr">
        <is>
          <t>0.7799614337035685</t>
        </is>
      </c>
      <c r="Z79" s="24" t="inlineStr">
        <is>
          <t>HIGH</t>
        </is>
      </c>
      <c r="AA79" s="24" t="inlineStr">
        <is>
          <t>HIGH</t>
        </is>
      </c>
      <c r="AB79" s="24" t="inlineStr">
        <is>
          <t>0.08202020185637905</t>
        </is>
      </c>
      <c r="AC79" s="24" t="inlineStr">
        <is>
          <t>False</t>
        </is>
      </c>
      <c r="AD79" s="24" t="inlineStr">
        <is>
          <t>False</t>
        </is>
      </c>
      <c r="AE79" s="24" t="inlineStr">
        <is>
          <t>valuation_credit_ml_overlay_candidate.csv</t>
        </is>
      </c>
      <c r="AF79" s="24" t="inlineStr">
        <is>
          <t>208개 반도체 reference universe. Valuation Agent가 자체 intake 폴더로 복제해 Peer/ML/대시보드 비교에 사용.</t>
        </is>
      </c>
    </row>
    <row r="80" ht="24" customHeight="1">
      <c r="A80" s="29" t="inlineStr">
        <is>
          <t>13</t>
        </is>
      </c>
      <c r="B80" s="29" t="inlineStr">
        <is>
          <t>해당 없음</t>
        </is>
      </c>
      <c r="C80" s="29" t="inlineStr">
        <is>
          <t>서울바이오시스</t>
        </is>
      </c>
      <c r="D80" s="29" t="inlineStr">
        <is>
          <t>092190</t>
        </is>
      </c>
      <c r="E80" s="29" t="inlineStr">
        <is>
          <t>KOSDAQ</t>
        </is>
      </c>
      <c r="F80" s="29" t="inlineStr">
        <is>
          <t>IDM/제조/메모리</t>
        </is>
      </c>
      <c r="G80" s="29" t="inlineStr">
        <is>
          <t>IDM/제조/메모리</t>
        </is>
      </c>
      <c r="H80" s="29" t="inlineStr">
        <is>
          <t>False</t>
        </is>
      </c>
      <c r="I80" s="29" t="inlineStr">
        <is>
          <t>True</t>
        </is>
      </c>
      <c r="J80" s="29" t="inlineStr">
        <is>
          <t>OK</t>
        </is>
      </c>
      <c r="K80" s="29" t="inlineStr">
        <is>
          <t>데이터 사용 가능</t>
        </is>
      </c>
      <c r="L80" s="29" t="inlineStr">
        <is>
          <t>LOW</t>
        </is>
      </c>
      <c r="M80" s="29" t="inlineStr">
        <is>
          <t>LOW</t>
        </is>
      </c>
      <c r="N80" s="29" t="inlineStr">
        <is>
          <t>0.5655</t>
        </is>
      </c>
      <c r="O80" s="29" t="inlineStr">
        <is>
          <t>FAIR</t>
        </is>
      </c>
      <c r="P80" s="29" t="inlineStr">
        <is>
          <t>FAIR</t>
        </is>
      </c>
      <c r="Q80" s="29" t="inlineStr">
        <is>
          <t>FAIR</t>
        </is>
      </c>
      <c r="R80" s="29" t="inlineStr">
        <is>
          <t>0.7336783523450653</t>
        </is>
      </c>
      <c r="S80" s="29" t="inlineStr">
        <is>
          <t>HIGH</t>
        </is>
      </c>
      <c r="T80" s="29" t="inlineStr">
        <is>
          <t>HIGH</t>
        </is>
      </c>
      <c r="U80" s="29" t="inlineStr">
        <is>
          <t>0.4285714285714285</t>
        </is>
      </c>
      <c r="V80" s="29" t="inlineStr">
        <is>
          <t>HIGH_RISK</t>
        </is>
      </c>
      <c r="W80" s="29" t="inlineStr">
        <is>
          <t>고위험</t>
        </is>
      </c>
      <c r="X80" s="29" t="inlineStr">
        <is>
          <t>MEDIUM_RISK</t>
        </is>
      </c>
      <c r="Y80" s="29" t="inlineStr">
        <is>
          <t>0.420701328500417</t>
        </is>
      </c>
      <c r="Z80" s="29" t="inlineStr">
        <is>
          <t>LOW</t>
        </is>
      </c>
      <c r="AA80" s="29" t="inlineStr">
        <is>
          <t>LOW</t>
        </is>
      </c>
      <c r="AB80" s="29" t="inlineStr">
        <is>
          <t>0.22867438374329632</t>
        </is>
      </c>
      <c r="AC80" s="29" t="inlineStr">
        <is>
          <t>False</t>
        </is>
      </c>
      <c r="AD80" s="29" t="inlineStr">
        <is>
          <t>True</t>
        </is>
      </c>
      <c r="AE80" s="29" t="inlineStr">
        <is>
          <t>valuation_credit_ml_overlay_candidate.csv</t>
        </is>
      </c>
      <c r="AF80" s="29" t="inlineStr">
        <is>
          <t>208개 반도체 reference universe. Valuation Agent가 자체 intake 폴더로 복제해 Peer/ML/대시보드 비교에 사용.</t>
        </is>
      </c>
    </row>
    <row r="81" ht="24" customHeight="1">
      <c r="A81" s="24" t="inlineStr">
        <is>
          <t>34</t>
        </is>
      </c>
      <c r="B81" s="24" t="inlineStr">
        <is>
          <t>해당 없음</t>
        </is>
      </c>
      <c r="C81" s="24" t="inlineStr">
        <is>
          <t>큐에스아이</t>
        </is>
      </c>
      <c r="D81" s="24" t="inlineStr">
        <is>
          <t>066310</t>
        </is>
      </c>
      <c r="E81" s="24" t="inlineStr">
        <is>
          <t>KOSDAQ</t>
        </is>
      </c>
      <c r="F81" s="24" t="inlineStr">
        <is>
          <t>IDM/제조/메모리</t>
        </is>
      </c>
      <c r="G81" s="24" t="inlineStr">
        <is>
          <t>IDM/제조/메모리</t>
        </is>
      </c>
      <c r="H81" s="24" t="inlineStr">
        <is>
          <t>False</t>
        </is>
      </c>
      <c r="I81" s="24" t="inlineStr">
        <is>
          <t>True</t>
        </is>
      </c>
      <c r="J81" s="24" t="inlineStr">
        <is>
          <t>OK</t>
        </is>
      </c>
      <c r="K81" s="24" t="inlineStr">
        <is>
          <t>데이터 사용 가능</t>
        </is>
      </c>
      <c r="L81" s="24" t="inlineStr">
        <is>
          <t>LOW</t>
        </is>
      </c>
      <c r="M81" s="24" t="inlineStr">
        <is>
          <t>LOW</t>
        </is>
      </c>
      <c r="N81" s="24" t="inlineStr">
        <is>
          <t>0.5423333333333333</t>
        </is>
      </c>
      <c r="O81" s="24" t="inlineStr">
        <is>
          <t>FAIR</t>
        </is>
      </c>
      <c r="P81" s="24" t="inlineStr">
        <is>
          <t>FAIR</t>
        </is>
      </c>
      <c r="Q81" s="24" t="inlineStr">
        <is>
          <t>FAIR</t>
        </is>
      </c>
      <c r="R81" s="24" t="inlineStr">
        <is>
          <t>0.5496283015517583</t>
        </is>
      </c>
      <c r="S81" s="24" t="inlineStr">
        <is>
          <t>MEDIUM</t>
        </is>
      </c>
      <c r="T81" s="24" t="inlineStr">
        <is>
          <t>MEDIUM</t>
        </is>
      </c>
      <c r="U81" s="24" t="inlineStr">
        <is>
          <t>0.0714285714285714</t>
        </is>
      </c>
      <c r="V81" s="24" t="inlineStr">
        <is>
          <t>LOW_RISK</t>
        </is>
      </c>
      <c r="W81" s="24" t="inlineStr">
        <is>
          <t>저위험</t>
        </is>
      </c>
      <c r="X81" s="24" t="inlineStr">
        <is>
          <t>LOW_RISK</t>
        </is>
      </c>
      <c r="Y81" s="24" t="inlineStr">
        <is>
          <t>0.8341403016587674</t>
        </is>
      </c>
      <c r="Z81" s="24" t="inlineStr">
        <is>
          <t>HIGH</t>
        </is>
      </c>
      <c r="AA81" s="24" t="inlineStr">
        <is>
          <t>HIGH</t>
        </is>
      </c>
      <c r="AB81" s="24" t="inlineStr">
        <is>
          <t>0.21446147407494193</t>
        </is>
      </c>
      <c r="AC81" s="24" t="inlineStr">
        <is>
          <t>False</t>
        </is>
      </c>
      <c r="AD81" s="24" t="inlineStr">
        <is>
          <t>False</t>
        </is>
      </c>
      <c r="AE81" s="24" t="inlineStr">
        <is>
          <t>valuation_credit_ml_overlay_candidate.csv</t>
        </is>
      </c>
      <c r="AF81" s="24" t="inlineStr">
        <is>
          <t>208개 반도체 reference universe. Valuation Agent가 자체 intake 폴더로 복제해 Peer/ML/대시보드 비교에 사용.</t>
        </is>
      </c>
    </row>
    <row r="82" ht="24" customHeight="1">
      <c r="A82" s="29" t="inlineStr">
        <is>
          <t>23</t>
        </is>
      </c>
      <c r="B82" s="29" t="inlineStr">
        <is>
          <t>해당 없음</t>
        </is>
      </c>
      <c r="C82" s="29" t="inlineStr">
        <is>
          <t>엘오티베큠</t>
        </is>
      </c>
      <c r="D82" s="29" t="inlineStr">
        <is>
          <t>083310</t>
        </is>
      </c>
      <c r="E82" s="29" t="inlineStr">
        <is>
          <t>KOSDAQ</t>
        </is>
      </c>
      <c r="F82" s="29" t="inlineStr">
        <is>
          <t>IDM/제조/메모리</t>
        </is>
      </c>
      <c r="G82" s="29" t="inlineStr">
        <is>
          <t>IDM/제조/메모리</t>
        </is>
      </c>
      <c r="H82" s="29" t="inlineStr">
        <is>
          <t>False</t>
        </is>
      </c>
      <c r="I82" s="29" t="inlineStr">
        <is>
          <t>True</t>
        </is>
      </c>
      <c r="J82" s="29" t="inlineStr">
        <is>
          <t>OK</t>
        </is>
      </c>
      <c r="K82" s="29" t="inlineStr">
        <is>
          <t>데이터 사용 가능</t>
        </is>
      </c>
      <c r="L82" s="29" t="inlineStr">
        <is>
          <t>LOW</t>
        </is>
      </c>
      <c r="M82" s="29" t="inlineStr">
        <is>
          <t>LOW</t>
        </is>
      </c>
      <c r="N82" s="29" t="inlineStr">
        <is>
          <t>0.538</t>
        </is>
      </c>
      <c r="O82" s="29" t="inlineStr">
        <is>
          <t>FAIR</t>
        </is>
      </c>
      <c r="P82" s="29" t="inlineStr">
        <is>
          <t>FAIR</t>
        </is>
      </c>
      <c r="Q82" s="29" t="inlineStr">
        <is>
          <t>FAIR</t>
        </is>
      </c>
      <c r="R82" s="29" t="inlineStr">
        <is>
          <t>0.860578291373445</t>
        </is>
      </c>
      <c r="S82" s="29" t="inlineStr">
        <is>
          <t>HIGH</t>
        </is>
      </c>
      <c r="T82" s="29" t="inlineStr">
        <is>
          <t>HIGH</t>
        </is>
      </c>
      <c r="U82" s="29" t="inlineStr">
        <is>
          <t>0.2142857142857142</t>
        </is>
      </c>
      <c r="V82" s="29" t="inlineStr">
        <is>
          <t>MEDIUM_RISK</t>
        </is>
      </c>
      <c r="W82" s="29" t="inlineStr">
        <is>
          <t>중위험</t>
        </is>
      </c>
      <c r="X82" s="29" t="inlineStr">
        <is>
          <t>MEDIUM_RISK</t>
        </is>
      </c>
      <c r="Y82" s="29" t="inlineStr">
        <is>
          <t>0.8356274138697954</t>
        </is>
      </c>
      <c r="Z82" s="29" t="inlineStr">
        <is>
          <t>HIGH</t>
        </is>
      </c>
      <c r="AA82" s="29" t="inlineStr">
        <is>
          <t>HIGH</t>
        </is>
      </c>
      <c r="AB82" s="29" t="inlineStr">
        <is>
          <t>0.04088276425948358</t>
        </is>
      </c>
      <c r="AC82" s="29" t="inlineStr">
        <is>
          <t>False</t>
        </is>
      </c>
      <c r="AD82" s="29" t="inlineStr">
        <is>
          <t>False</t>
        </is>
      </c>
      <c r="AE82" s="29" t="inlineStr">
        <is>
          <t>valuation_credit_ml_overlay_candidate.csv</t>
        </is>
      </c>
      <c r="AF82" s="29" t="inlineStr">
        <is>
          <t>208개 반도체 reference universe. Valuation Agent가 자체 intake 폴더로 복제해 Peer/ML/대시보드 비교에 사용.</t>
        </is>
      </c>
    </row>
    <row r="83" ht="24" customHeight="1">
      <c r="A83" s="24" t="inlineStr">
        <is>
          <t>11</t>
        </is>
      </c>
      <c r="B83" s="24" t="inlineStr">
        <is>
          <t>해당 없음</t>
        </is>
      </c>
      <c r="C83" s="24" t="inlineStr">
        <is>
          <t>비씨엔씨</t>
        </is>
      </c>
      <c r="D83" s="24" t="inlineStr">
        <is>
          <t>146320</t>
        </is>
      </c>
      <c r="E83" s="24" t="inlineStr">
        <is>
          <t>KOSDAQ</t>
        </is>
      </c>
      <c r="F83" s="24" t="inlineStr">
        <is>
          <t>IDM/제조/메모리</t>
        </is>
      </c>
      <c r="G83" s="24" t="inlineStr">
        <is>
          <t>IDM/제조/메모리</t>
        </is>
      </c>
      <c r="H83" s="24" t="inlineStr">
        <is>
          <t>False</t>
        </is>
      </c>
      <c r="I83" s="24" t="inlineStr">
        <is>
          <t>True</t>
        </is>
      </c>
      <c r="J83" s="24" t="inlineStr">
        <is>
          <t>KEY_ACCOUNT_PARTIAL_MISSING</t>
        </is>
      </c>
      <c r="K83" s="24" t="inlineStr">
        <is>
          <t>데이터 사용 가능</t>
        </is>
      </c>
      <c r="L83" s="24" t="inlineStr">
        <is>
          <t>MEDIUM</t>
        </is>
      </c>
      <c r="M83" s="24" t="inlineStr">
        <is>
          <t>MEDIUM</t>
        </is>
      </c>
      <c r="N83" s="24" t="inlineStr">
        <is>
          <t>0.5365833333333333</t>
        </is>
      </c>
      <c r="O83" s="24" t="inlineStr">
        <is>
          <t>FAIR</t>
        </is>
      </c>
      <c r="P83" s="24" t="inlineStr">
        <is>
          <t>FAIR</t>
        </is>
      </c>
      <c r="Q83" s="24" t="inlineStr">
        <is>
          <t>FAIR</t>
        </is>
      </c>
      <c r="R83" s="24" t="inlineStr">
        <is>
          <t>0.7033805368548921</t>
        </is>
      </c>
      <c r="S83" s="24" t="inlineStr">
        <is>
          <t>HIGH</t>
        </is>
      </c>
      <c r="T83" s="24" t="inlineStr">
        <is>
          <t>HIGH</t>
        </is>
      </c>
      <c r="U83" s="24" t="inlineStr">
        <is>
          <t>0.2857142857142857</t>
        </is>
      </c>
      <c r="V83" s="24" t="inlineStr">
        <is>
          <t>MEDIUM_RISK</t>
        </is>
      </c>
      <c r="W83" s="24" t="inlineStr">
        <is>
          <t>중위험</t>
        </is>
      </c>
      <c r="X83" s="24" t="inlineStr">
        <is>
          <t>MEDIUM_RISK</t>
        </is>
      </c>
      <c r="Y83" s="24" t="inlineStr">
        <is>
          <t>0.7333342608471988</t>
        </is>
      </c>
      <c r="Z83" s="24" t="inlineStr">
        <is>
          <t>HIGH</t>
        </is>
      </c>
      <c r="AA83" s="24" t="inlineStr">
        <is>
          <t>HIGH</t>
        </is>
      </c>
      <c r="AB83" s="24" t="inlineStr">
        <is>
          <t>0.031762409510830696</t>
        </is>
      </c>
      <c r="AC83" s="24" t="inlineStr">
        <is>
          <t>False</t>
        </is>
      </c>
      <c r="AD83" s="24" t="inlineStr">
        <is>
          <t>True</t>
        </is>
      </c>
      <c r="AE83" s="24" t="inlineStr">
        <is>
          <t>valuation_credit_ml_overlay_candidate.csv</t>
        </is>
      </c>
      <c r="AF83" s="24" t="inlineStr">
        <is>
          <t>208개 반도체 reference universe. Valuation Agent가 자체 intake 폴더로 복제해 Peer/ML/대시보드 비교에 사용.</t>
        </is>
      </c>
    </row>
    <row r="84" ht="24" customHeight="1">
      <c r="A84" s="29" t="inlineStr">
        <is>
          <t>36</t>
        </is>
      </c>
      <c r="B84" s="29" t="inlineStr">
        <is>
          <t>해당 없음</t>
        </is>
      </c>
      <c r="C84" s="29" t="inlineStr">
        <is>
          <t>티엘비</t>
        </is>
      </c>
      <c r="D84" s="29" t="inlineStr">
        <is>
          <t>356860</t>
        </is>
      </c>
      <c r="E84" s="29" t="inlineStr">
        <is>
          <t>KOSDAQ</t>
        </is>
      </c>
      <c r="F84" s="29" t="inlineStr">
        <is>
          <t>IDM/제조/메모리</t>
        </is>
      </c>
      <c r="G84" s="29" t="inlineStr">
        <is>
          <t>IDM/제조/메모리</t>
        </is>
      </c>
      <c r="H84" s="29" t="inlineStr">
        <is>
          <t>False</t>
        </is>
      </c>
      <c r="I84" s="29" t="inlineStr">
        <is>
          <t>True</t>
        </is>
      </c>
      <c r="J84" s="29" t="inlineStr">
        <is>
          <t>OK</t>
        </is>
      </c>
      <c r="K84" s="29" t="inlineStr">
        <is>
          <t>데이터 사용 가능</t>
        </is>
      </c>
      <c r="L84" s="29" t="inlineStr">
        <is>
          <t>LOW</t>
        </is>
      </c>
      <c r="M84" s="29" t="inlineStr">
        <is>
          <t>LOW</t>
        </is>
      </c>
      <c r="N84" s="29" t="inlineStr">
        <is>
          <t>0.5361666666666667</t>
        </is>
      </c>
      <c r="O84" s="29" t="inlineStr">
        <is>
          <t>FAIR</t>
        </is>
      </c>
      <c r="P84" s="29" t="inlineStr">
        <is>
          <t>FAIR</t>
        </is>
      </c>
      <c r="Q84" s="29" t="inlineStr">
        <is>
          <t>FAIR</t>
        </is>
      </c>
      <c r="R84" s="29" t="inlineStr">
        <is>
          <t>0.8509295904965918</t>
        </is>
      </c>
      <c r="S84" s="29" t="inlineStr">
        <is>
          <t>HIGH</t>
        </is>
      </c>
      <c r="T84" s="29" t="inlineStr">
        <is>
          <t>HIGH</t>
        </is>
      </c>
      <c r="U84" s="29" t="inlineStr">
        <is>
          <t>0.0714285714285714</t>
        </is>
      </c>
      <c r="V84" s="29" t="inlineStr">
        <is>
          <t>LOW_RISK</t>
        </is>
      </c>
      <c r="W84" s="29" t="inlineStr">
        <is>
          <t>저위험</t>
        </is>
      </c>
      <c r="X84" s="29" t="inlineStr">
        <is>
          <t>LOW_RISK</t>
        </is>
      </c>
      <c r="Y84" s="29" t="inlineStr">
        <is>
          <t>0.6625834729097503</t>
        </is>
      </c>
      <c r="Z84" s="29" t="inlineStr">
        <is>
          <t>MEDIUM</t>
        </is>
      </c>
      <c r="AA84" s="29" t="inlineStr">
        <is>
          <t>MEDIUM</t>
        </is>
      </c>
      <c r="AB84" s="29" t="inlineStr">
        <is>
          <t>0.01843936297746685</t>
        </is>
      </c>
      <c r="AC84" s="29" t="inlineStr">
        <is>
          <t>False</t>
        </is>
      </c>
      <c r="AD84" s="29" t="inlineStr">
        <is>
          <t>False</t>
        </is>
      </c>
      <c r="AE84" s="29" t="inlineStr">
        <is>
          <t>valuation_credit_ml_overlay_candidate.csv</t>
        </is>
      </c>
      <c r="AF84" s="29" t="inlineStr">
        <is>
          <t>208개 반도체 reference universe. Valuation Agent가 자체 intake 폴더로 복제해 Peer/ML/대시보드 비교에 사용.</t>
        </is>
      </c>
    </row>
    <row r="85" ht="24" customHeight="1">
      <c r="A85" s="24" t="inlineStr">
        <is>
          <t>38</t>
        </is>
      </c>
      <c r="B85" s="24" t="inlineStr">
        <is>
          <t>해당 없음</t>
        </is>
      </c>
      <c r="C85" s="24" t="inlineStr">
        <is>
          <t>하나머티리얼즈</t>
        </is>
      </c>
      <c r="D85" s="24" t="inlineStr">
        <is>
          <t>166090</t>
        </is>
      </c>
      <c r="E85" s="24" t="inlineStr">
        <is>
          <t>KOSDAQ GLOBAL</t>
        </is>
      </c>
      <c r="F85" s="24" t="inlineStr">
        <is>
          <t>IDM/제조/메모리</t>
        </is>
      </c>
      <c r="G85" s="24" t="inlineStr">
        <is>
          <t>IDM/제조/메모리</t>
        </is>
      </c>
      <c r="H85" s="24" t="inlineStr">
        <is>
          <t>False</t>
        </is>
      </c>
      <c r="I85" s="24" t="inlineStr">
        <is>
          <t>True</t>
        </is>
      </c>
      <c r="J85" s="24" t="inlineStr">
        <is>
          <t>OK</t>
        </is>
      </c>
      <c r="K85" s="24" t="inlineStr">
        <is>
          <t>데이터 사용 가능</t>
        </is>
      </c>
      <c r="L85" s="24" t="inlineStr">
        <is>
          <t>LOW</t>
        </is>
      </c>
      <c r="M85" s="24" t="inlineStr">
        <is>
          <t>LOW</t>
        </is>
      </c>
      <c r="N85" s="24" t="inlineStr">
        <is>
          <t>0.5321666666666667</t>
        </is>
      </c>
      <c r="O85" s="24" t="inlineStr">
        <is>
          <t>FAIR</t>
        </is>
      </c>
      <c r="P85" s="24" t="inlineStr">
        <is>
          <t>FAIR</t>
        </is>
      </c>
      <c r="Q85" s="24" t="inlineStr">
        <is>
          <t>ATTRACTIVE</t>
        </is>
      </c>
      <c r="R85" s="24" t="inlineStr">
        <is>
          <t>0.6425667923365267</t>
        </is>
      </c>
      <c r="S85" s="24" t="inlineStr">
        <is>
          <t>MEDIUM</t>
        </is>
      </c>
      <c r="T85" s="24" t="inlineStr">
        <is>
          <t>MEDIUM</t>
        </is>
      </c>
      <c r="U85" s="24" t="inlineStr">
        <is>
          <t>0.0</t>
        </is>
      </c>
      <c r="V85" s="24" t="inlineStr">
        <is>
          <t>LOW_RISK</t>
        </is>
      </c>
      <c r="W85" s="24" t="inlineStr">
        <is>
          <t>저위험</t>
        </is>
      </c>
      <c r="X85" s="24" t="inlineStr">
        <is>
          <t>LOW_RISK</t>
        </is>
      </c>
      <c r="Y85" s="24" t="inlineStr">
        <is>
          <t>0.9093779024453453</t>
        </is>
      </c>
      <c r="Z85" s="24" t="inlineStr">
        <is>
          <t>HIGH</t>
        </is>
      </c>
      <c r="AA85" s="24" t="inlineStr">
        <is>
          <t>HIGH</t>
        </is>
      </c>
      <c r="AB85" s="24" t="inlineStr">
        <is>
          <t>0.030620686282363033</t>
        </is>
      </c>
      <c r="AC85" s="24" t="inlineStr">
        <is>
          <t>False</t>
        </is>
      </c>
      <c r="AD85" s="24" t="inlineStr">
        <is>
          <t>False</t>
        </is>
      </c>
      <c r="AE85" s="24" t="inlineStr">
        <is>
          <t>valuation_credit_ml_overlay_candidate.csv</t>
        </is>
      </c>
      <c r="AF85" s="24" t="inlineStr">
        <is>
          <t>208개 반도체 reference universe. Valuation Agent가 자체 intake 폴더로 복제해 Peer/ML/대시보드 비교에 사용.</t>
        </is>
      </c>
    </row>
    <row r="86" ht="24" customHeight="1">
      <c r="A86" s="29" t="inlineStr">
        <is>
          <t>26</t>
        </is>
      </c>
      <c r="B86" s="29" t="inlineStr">
        <is>
          <t>해당 없음</t>
        </is>
      </c>
      <c r="C86" s="29" t="inlineStr">
        <is>
          <t>웰킵스하이텍</t>
        </is>
      </c>
      <c r="D86" s="29" t="inlineStr">
        <is>
          <t>043590</t>
        </is>
      </c>
      <c r="E86" s="29" t="inlineStr">
        <is>
          <t>KOSDAQ</t>
        </is>
      </c>
      <c r="F86" s="29" t="inlineStr">
        <is>
          <t>IDM/제조/메모리</t>
        </is>
      </c>
      <c r="G86" s="29" t="inlineStr">
        <is>
          <t>IDM/제조/메모리</t>
        </is>
      </c>
      <c r="H86" s="29" t="inlineStr">
        <is>
          <t>False</t>
        </is>
      </c>
      <c r="I86" s="29" t="inlineStr">
        <is>
          <t>True</t>
        </is>
      </c>
      <c r="J86" s="29" t="inlineStr">
        <is>
          <t>OK</t>
        </is>
      </c>
      <c r="K86" s="29" t="inlineStr">
        <is>
          <t>데이터 사용 가능</t>
        </is>
      </c>
      <c r="L86" s="29" t="inlineStr">
        <is>
          <t>LOW</t>
        </is>
      </c>
      <c r="M86" s="29" t="inlineStr">
        <is>
          <t>LOW</t>
        </is>
      </c>
      <c r="N86" s="29" t="inlineStr">
        <is>
          <t>0.5086666666666667</t>
        </is>
      </c>
      <c r="O86" s="29" t="inlineStr">
        <is>
          <t>FAIR</t>
        </is>
      </c>
      <c r="P86" s="29" t="inlineStr">
        <is>
          <t>FAIR</t>
        </is>
      </c>
      <c r="Q86" s="29" t="inlineStr">
        <is>
          <t>FAIR</t>
        </is>
      </c>
      <c r="R86" s="29" t="inlineStr">
        <is>
          <t>0.7753200487478359</t>
        </is>
      </c>
      <c r="S86" s="29" t="inlineStr">
        <is>
          <t>HIGH</t>
        </is>
      </c>
      <c r="T86" s="29" t="inlineStr">
        <is>
          <t>HIGH</t>
        </is>
      </c>
      <c r="U86" s="29" t="inlineStr">
        <is>
          <t>0.7142857142857143</t>
        </is>
      </c>
      <c r="V86" s="29" t="inlineStr">
        <is>
          <t>HIGH_RISK</t>
        </is>
      </c>
      <c r="W86" s="29" t="inlineStr">
        <is>
          <t>고위험</t>
        </is>
      </c>
      <c r="X86" s="29" t="inlineStr">
        <is>
          <t>HIGH_RISK</t>
        </is>
      </c>
      <c r="Y86" s="29" t="inlineStr">
        <is>
          <t>0.947839296487721</t>
        </is>
      </c>
      <c r="Z86" s="29" t="inlineStr">
        <is>
          <t>HIGH</t>
        </is>
      </c>
      <c r="AA86" s="29" t="inlineStr">
        <is>
          <t>HIGH</t>
        </is>
      </c>
      <c r="AB86" s="29" t="inlineStr">
        <is>
          <t>0.081041930024575</t>
        </is>
      </c>
      <c r="AC86" s="29" t="inlineStr">
        <is>
          <t>False</t>
        </is>
      </c>
      <c r="AD86" s="29" t="inlineStr">
        <is>
          <t>False</t>
        </is>
      </c>
      <c r="AE86" s="29" t="inlineStr">
        <is>
          <t>valuation_credit_ml_overlay_candidate.csv</t>
        </is>
      </c>
      <c r="AF86" s="29" t="inlineStr">
        <is>
          <t>208개 반도체 reference universe. Valuation Agent가 자체 intake 폴더로 복제해 Peer/ML/대시보드 비교에 사용.</t>
        </is>
      </c>
    </row>
    <row r="87" ht="24" customHeight="1">
      <c r="A87" s="24" t="inlineStr">
        <is>
          <t>35</t>
        </is>
      </c>
      <c r="B87" s="24" t="inlineStr">
        <is>
          <t>해당 없음</t>
        </is>
      </c>
      <c r="C87" s="24" t="inlineStr">
        <is>
          <t>테크엘</t>
        </is>
      </c>
      <c r="D87" s="24" t="inlineStr">
        <is>
          <t>064520</t>
        </is>
      </c>
      <c r="E87" s="24" t="inlineStr">
        <is>
          <t>KOSDAQ</t>
        </is>
      </c>
      <c r="F87" s="24" t="inlineStr">
        <is>
          <t>IDM/제조/메모리</t>
        </is>
      </c>
      <c r="G87" s="24" t="inlineStr">
        <is>
          <t>IDM/제조/메모리</t>
        </is>
      </c>
      <c r="H87" s="24" t="inlineStr">
        <is>
          <t>False</t>
        </is>
      </c>
      <c r="I87" s="24" t="inlineStr">
        <is>
          <t>True</t>
        </is>
      </c>
      <c r="J87" s="24" t="inlineStr">
        <is>
          <t>OK</t>
        </is>
      </c>
      <c r="K87" s="24" t="inlineStr">
        <is>
          <t>데이터 사용 가능</t>
        </is>
      </c>
      <c r="L87" s="24" t="inlineStr">
        <is>
          <t>LOW</t>
        </is>
      </c>
      <c r="M87" s="24" t="inlineStr">
        <is>
          <t>LOW</t>
        </is>
      </c>
      <c r="N87" s="24" t="inlineStr">
        <is>
          <t>0.4756666666666667</t>
        </is>
      </c>
      <c r="O87" s="24" t="inlineStr">
        <is>
          <t>FAIR</t>
        </is>
      </c>
      <c r="P87" s="24" t="inlineStr">
        <is>
          <t>FAIR</t>
        </is>
      </c>
      <c r="Q87" s="24" t="inlineStr">
        <is>
          <t>FAIR</t>
        </is>
      </c>
      <c r="R87" s="24" t="inlineStr">
        <is>
          <t>0.7806095936743286</t>
        </is>
      </c>
      <c r="S87" s="24" t="inlineStr">
        <is>
          <t>HIGH</t>
        </is>
      </c>
      <c r="T87" s="24" t="inlineStr">
        <is>
          <t>HIGH</t>
        </is>
      </c>
      <c r="U87" s="24" t="inlineStr">
        <is>
          <t>0.5</t>
        </is>
      </c>
      <c r="V87" s="24" t="inlineStr">
        <is>
          <t>HIGH_RISK</t>
        </is>
      </c>
      <c r="W87" s="24" t="inlineStr">
        <is>
          <t>고위험</t>
        </is>
      </c>
      <c r="X87" s="24" t="inlineStr">
        <is>
          <t>HIGH_RISK</t>
        </is>
      </c>
      <c r="Y87" s="24" t="inlineStr">
        <is>
          <t>0.8561648968032103</t>
        </is>
      </c>
      <c r="Z87" s="24" t="inlineStr">
        <is>
          <t>HIGH</t>
        </is>
      </c>
      <c r="AA87" s="24" t="inlineStr">
        <is>
          <t>HIGH</t>
        </is>
      </c>
      <c r="AB87" s="24" t="inlineStr">
        <is>
          <t>0.5330742789427354</t>
        </is>
      </c>
      <c r="AC87" s="24" t="inlineStr">
        <is>
          <t>True</t>
        </is>
      </c>
      <c r="AD87" s="24" t="inlineStr">
        <is>
          <t>True</t>
        </is>
      </c>
      <c r="AE87" s="24" t="inlineStr">
        <is>
          <t>valuation_credit_ml_overlay_candidate.csv</t>
        </is>
      </c>
      <c r="AF87" s="24" t="inlineStr">
        <is>
          <t>208개 반도체 reference universe. Valuation Agent가 자체 intake 폴더로 복제해 Peer/ML/대시보드 비교에 사용.</t>
        </is>
      </c>
    </row>
    <row r="88" ht="24" customHeight="1">
      <c r="A88" s="29" t="inlineStr">
        <is>
          <t>14</t>
        </is>
      </c>
      <c r="B88" s="29" t="inlineStr">
        <is>
          <t>해당 없음</t>
        </is>
      </c>
      <c r="C88" s="29" t="inlineStr">
        <is>
          <t>서울반도체</t>
        </is>
      </c>
      <c r="D88" s="29" t="inlineStr">
        <is>
          <t>046890</t>
        </is>
      </c>
      <c r="E88" s="29" t="inlineStr">
        <is>
          <t>KOSDAQ GLOBAL</t>
        </is>
      </c>
      <c r="F88" s="29" t="inlineStr">
        <is>
          <t>IDM/제조/메모리</t>
        </is>
      </c>
      <c r="G88" s="29" t="inlineStr">
        <is>
          <t>IDM/제조/메모리</t>
        </is>
      </c>
      <c r="H88" s="29" t="inlineStr">
        <is>
          <t>False</t>
        </is>
      </c>
      <c r="I88" s="29" t="inlineStr">
        <is>
          <t>True</t>
        </is>
      </c>
      <c r="J88" s="29" t="inlineStr">
        <is>
          <t>OK</t>
        </is>
      </c>
      <c r="K88" s="29" t="inlineStr">
        <is>
          <t>데이터 사용 가능</t>
        </is>
      </c>
      <c r="L88" s="29" t="inlineStr">
        <is>
          <t>LOW</t>
        </is>
      </c>
      <c r="M88" s="29" t="inlineStr">
        <is>
          <t>LOW</t>
        </is>
      </c>
      <c r="N88" s="29" t="inlineStr">
        <is>
          <t>0.4713333333333333</t>
        </is>
      </c>
      <c r="O88" s="29" t="inlineStr">
        <is>
          <t>FAIR</t>
        </is>
      </c>
      <c r="P88" s="29" t="inlineStr">
        <is>
          <t>FAIR</t>
        </is>
      </c>
      <c r="Q88" s="29" t="inlineStr">
        <is>
          <t>FAIR</t>
        </is>
      </c>
      <c r="R88" s="29" t="inlineStr">
        <is>
          <t>0.8223266790603506</t>
        </is>
      </c>
      <c r="S88" s="29" t="inlineStr">
        <is>
          <t>HIGH</t>
        </is>
      </c>
      <c r="T88" s="29" t="inlineStr">
        <is>
          <t>HIGH</t>
        </is>
      </c>
      <c r="U88" s="29" t="inlineStr">
        <is>
          <t>0.4285714285714285</t>
        </is>
      </c>
      <c r="V88" s="29" t="inlineStr">
        <is>
          <t>HIGH_RISK</t>
        </is>
      </c>
      <c r="W88" s="29" t="inlineStr">
        <is>
          <t>고위험</t>
        </is>
      </c>
      <c r="X88" s="29" t="inlineStr">
        <is>
          <t>HIGH_RISK</t>
        </is>
      </c>
      <c r="Y88" s="29" t="inlineStr">
        <is>
          <t>0.4638497062404094</t>
        </is>
      </c>
      <c r="Z88" s="29" t="inlineStr">
        <is>
          <t>LOW</t>
        </is>
      </c>
      <c r="AA88" s="29" t="inlineStr">
        <is>
          <t>LOW</t>
        </is>
      </c>
      <c r="AB88" s="29" t="inlineStr">
        <is>
          <t>0.03475805140959721</t>
        </is>
      </c>
      <c r="AC88" s="29" t="inlineStr">
        <is>
          <t>False</t>
        </is>
      </c>
      <c r="AD88" s="29" t="inlineStr">
        <is>
          <t>True</t>
        </is>
      </c>
      <c r="AE88" s="29" t="inlineStr">
        <is>
          <t>valuation_credit_ml_overlay_candidate.csv</t>
        </is>
      </c>
      <c r="AF88" s="29" t="inlineStr">
        <is>
          <t>208개 반도체 reference universe. Valuation Agent가 자체 intake 폴더로 복제해 Peer/ML/대시보드 비교에 사용.</t>
        </is>
      </c>
    </row>
    <row r="89" ht="24" customHeight="1">
      <c r="A89" s="24" t="inlineStr">
        <is>
          <t>2</t>
        </is>
      </c>
      <c r="B89" s="24" t="inlineStr">
        <is>
          <t>해당 없음</t>
        </is>
      </c>
      <c r="C89" s="24" t="inlineStr">
        <is>
          <t>HD현대에너지솔루션</t>
        </is>
      </c>
      <c r="D89" s="24" t="inlineStr">
        <is>
          <t>322000</t>
        </is>
      </c>
      <c r="E89" s="24" t="inlineStr">
        <is>
          <t>KOSPI</t>
        </is>
      </c>
      <c r="F89" s="24" t="inlineStr">
        <is>
          <t>IDM/제조/메모리</t>
        </is>
      </c>
      <c r="G89" s="24" t="inlineStr">
        <is>
          <t>IDM/제조/메모리</t>
        </is>
      </c>
      <c r="H89" s="24" t="inlineStr">
        <is>
          <t>False</t>
        </is>
      </c>
      <c r="I89" s="24" t="inlineStr">
        <is>
          <t>True</t>
        </is>
      </c>
      <c r="J89" s="24" t="inlineStr">
        <is>
          <t>OK</t>
        </is>
      </c>
      <c r="K89" s="24" t="inlineStr">
        <is>
          <t>데이터 사용 가능</t>
        </is>
      </c>
      <c r="L89" s="24" t="inlineStr">
        <is>
          <t>LOW</t>
        </is>
      </c>
      <c r="M89" s="24" t="inlineStr">
        <is>
          <t>LOW</t>
        </is>
      </c>
      <c r="N89" s="24" t="inlineStr">
        <is>
          <t>0.465</t>
        </is>
      </c>
      <c r="O89" s="24" t="inlineStr">
        <is>
          <t>FAIR</t>
        </is>
      </c>
      <c r="P89" s="24" t="inlineStr">
        <is>
          <t>FAIR</t>
        </is>
      </c>
      <c r="Q89" s="24" t="inlineStr">
        <is>
          <t>FAIR</t>
        </is>
      </c>
      <c r="R89" s="24" t="inlineStr">
        <is>
          <t>0.6226975287022534</t>
        </is>
      </c>
      <c r="S89" s="24" t="inlineStr">
        <is>
          <t>MEDIUM</t>
        </is>
      </c>
      <c r="T89" s="24" t="inlineStr">
        <is>
          <t>MEDIUM</t>
        </is>
      </c>
      <c r="U89" s="24" t="inlineStr">
        <is>
          <t>0.1428571428571428</t>
        </is>
      </c>
      <c r="V89" s="24" t="inlineStr">
        <is>
          <t>LOW_RISK</t>
        </is>
      </c>
      <c r="W89" s="24" t="inlineStr">
        <is>
          <t>저위험</t>
        </is>
      </c>
      <c r="X89" s="24" t="inlineStr">
        <is>
          <t>LOW_RISK</t>
        </is>
      </c>
      <c r="Y89" s="24" t="inlineStr">
        <is>
          <t>0.7991918320073205</t>
        </is>
      </c>
      <c r="Z89" s="24" t="inlineStr">
        <is>
          <t>HIGH</t>
        </is>
      </c>
      <c r="AA89" s="24" t="inlineStr">
        <is>
          <t>HIGH</t>
        </is>
      </c>
      <c r="AB89" s="24" t="inlineStr">
        <is>
          <t>0.09437249653360377</t>
        </is>
      </c>
      <c r="AC89" s="24" t="inlineStr">
        <is>
          <t>False</t>
        </is>
      </c>
      <c r="AD89" s="24" t="inlineStr">
        <is>
          <t>False</t>
        </is>
      </c>
      <c r="AE89" s="24" t="inlineStr">
        <is>
          <t>valuation_credit_ml_overlay_candidate.csv</t>
        </is>
      </c>
      <c r="AF89" s="24" t="inlineStr">
        <is>
          <t>208개 반도체 reference universe. Valuation Agent가 자체 intake 폴더로 복제해 Peer/ML/대시보드 비교에 사용.</t>
        </is>
      </c>
    </row>
    <row r="90" ht="24" customHeight="1">
      <c r="A90" s="29" t="inlineStr">
        <is>
          <t>25</t>
        </is>
      </c>
      <c r="B90" s="29" t="inlineStr">
        <is>
          <t>해당 없음</t>
        </is>
      </c>
      <c r="C90" s="29" t="inlineStr">
        <is>
          <t>와이투솔루션</t>
        </is>
      </c>
      <c r="D90" s="29" t="inlineStr">
        <is>
          <t>011690</t>
        </is>
      </c>
      <c r="E90" s="29" t="inlineStr">
        <is>
          <t>KOSPI</t>
        </is>
      </c>
      <c r="F90" s="29" t="inlineStr">
        <is>
          <t>IDM/제조/메모리</t>
        </is>
      </c>
      <c r="G90" s="29" t="inlineStr">
        <is>
          <t>IDM/제조/메모리</t>
        </is>
      </c>
      <c r="H90" s="29" t="inlineStr">
        <is>
          <t>False</t>
        </is>
      </c>
      <c r="I90" s="29" t="inlineStr">
        <is>
          <t>True</t>
        </is>
      </c>
      <c r="J90" s="29" t="inlineStr">
        <is>
          <t>OK</t>
        </is>
      </c>
      <c r="K90" s="29" t="inlineStr">
        <is>
          <t>데이터 사용 가능</t>
        </is>
      </c>
      <c r="L90" s="29" t="inlineStr">
        <is>
          <t>LOW</t>
        </is>
      </c>
      <c r="M90" s="29" t="inlineStr">
        <is>
          <t>LOW</t>
        </is>
      </c>
      <c r="N90" s="29" t="inlineStr">
        <is>
          <t>0.4601666666666666</t>
        </is>
      </c>
      <c r="O90" s="29" t="inlineStr">
        <is>
          <t>FAIR</t>
        </is>
      </c>
      <c r="P90" s="29" t="inlineStr">
        <is>
          <t>FAIR</t>
        </is>
      </c>
      <c r="Q90" s="29" t="inlineStr">
        <is>
          <t>FAIR</t>
        </is>
      </c>
      <c r="R90" s="29" t="inlineStr">
        <is>
          <t>0.7379153959384467</t>
        </is>
      </c>
      <c r="S90" s="29" t="inlineStr">
        <is>
          <t>HIGH</t>
        </is>
      </c>
      <c r="T90" s="29" t="inlineStr">
        <is>
          <t>HIGH</t>
        </is>
      </c>
      <c r="U90" s="29" t="inlineStr">
        <is>
          <t>0.5714285714285714</t>
        </is>
      </c>
      <c r="V90" s="29" t="inlineStr">
        <is>
          <t>HIGH_RISK</t>
        </is>
      </c>
      <c r="W90" s="29" t="inlineStr">
        <is>
          <t>고위험</t>
        </is>
      </c>
      <c r="X90" s="29" t="inlineStr">
        <is>
          <t>HIGH_RISK</t>
        </is>
      </c>
      <c r="Y90" s="29" t="inlineStr">
        <is>
          <t>0.8423633310679534</t>
        </is>
      </c>
      <c r="Z90" s="29" t="inlineStr">
        <is>
          <t>HIGH</t>
        </is>
      </c>
      <c r="AA90" s="29" t="inlineStr">
        <is>
          <t>HIGH</t>
        </is>
      </c>
      <c r="AB90" s="29" t="inlineStr">
        <is>
          <t>0.03670855345736708</t>
        </is>
      </c>
      <c r="AC90" s="29" t="inlineStr">
        <is>
          <t>False</t>
        </is>
      </c>
      <c r="AD90" s="29" t="inlineStr">
        <is>
          <t>False</t>
        </is>
      </c>
      <c r="AE90" s="29" t="inlineStr">
        <is>
          <t>valuation_credit_ml_overlay_candidate.csv</t>
        </is>
      </c>
      <c r="AF90" s="29" t="inlineStr">
        <is>
          <t>208개 반도체 reference universe. Valuation Agent가 자체 intake 폴더로 복제해 Peer/ML/대시보드 비교에 사용.</t>
        </is>
      </c>
    </row>
    <row r="91" ht="24" customHeight="1">
      <c r="A91" s="24" t="inlineStr">
        <is>
          <t>16</t>
        </is>
      </c>
      <c r="B91" s="24" t="inlineStr">
        <is>
          <t>해당 없음</t>
        </is>
      </c>
      <c r="C91" s="24" t="inlineStr">
        <is>
          <t>신성이엔지</t>
        </is>
      </c>
      <c r="D91" s="24" t="inlineStr">
        <is>
          <t>011930</t>
        </is>
      </c>
      <c r="E91" s="24" t="inlineStr">
        <is>
          <t>KOSPI</t>
        </is>
      </c>
      <c r="F91" s="24" t="inlineStr">
        <is>
          <t>IDM/제조/메모리</t>
        </is>
      </c>
      <c r="G91" s="24" t="inlineStr">
        <is>
          <t>IDM/제조/메모리</t>
        </is>
      </c>
      <c r="H91" s="24" t="inlineStr">
        <is>
          <t>False</t>
        </is>
      </c>
      <c r="I91" s="24" t="inlineStr">
        <is>
          <t>True</t>
        </is>
      </c>
      <c r="J91" s="24" t="inlineStr">
        <is>
          <t>OK</t>
        </is>
      </c>
      <c r="K91" s="24" t="inlineStr">
        <is>
          <t>데이터 사용 가능</t>
        </is>
      </c>
      <c r="L91" s="24" t="inlineStr">
        <is>
          <t>LOW</t>
        </is>
      </c>
      <c r="M91" s="24" t="inlineStr">
        <is>
          <t>LOW</t>
        </is>
      </c>
      <c r="N91" s="24" t="inlineStr">
        <is>
          <t>0.4551666666666667</t>
        </is>
      </c>
      <c r="O91" s="24" t="inlineStr">
        <is>
          <t>FAIR</t>
        </is>
      </c>
      <c r="P91" s="24" t="inlineStr">
        <is>
          <t>FAIR</t>
        </is>
      </c>
      <c r="Q91" s="24" t="inlineStr">
        <is>
          <t>FAIR</t>
        </is>
      </c>
      <c r="R91" s="24" t="inlineStr">
        <is>
          <t>0.7610157176994289</t>
        </is>
      </c>
      <c r="S91" s="24" t="inlineStr">
        <is>
          <t>HIGH</t>
        </is>
      </c>
      <c r="T91" s="24" t="inlineStr">
        <is>
          <t>HIGH</t>
        </is>
      </c>
      <c r="U91" s="24" t="inlineStr">
        <is>
          <t>0.5714285714285714</t>
        </is>
      </c>
      <c r="V91" s="24" t="inlineStr">
        <is>
          <t>HIGH_RISK</t>
        </is>
      </c>
      <c r="W91" s="24" t="inlineStr">
        <is>
          <t>고위험</t>
        </is>
      </c>
      <c r="X91" s="24" t="inlineStr">
        <is>
          <t>HIGH_RISK</t>
        </is>
      </c>
      <c r="Y91" s="24" t="inlineStr">
        <is>
          <t>0.8294308064443926</t>
        </is>
      </c>
      <c r="Z91" s="24" t="inlineStr">
        <is>
          <t>HIGH</t>
        </is>
      </c>
      <c r="AA91" s="24" t="inlineStr">
        <is>
          <t>HIGH</t>
        </is>
      </c>
      <c r="AB91" s="24" t="inlineStr">
        <is>
          <t>0.06151448502214275</t>
        </is>
      </c>
      <c r="AC91" s="24" t="inlineStr">
        <is>
          <t>False</t>
        </is>
      </c>
      <c r="AD91" s="24" t="inlineStr">
        <is>
          <t>False</t>
        </is>
      </c>
      <c r="AE91" s="24" t="inlineStr">
        <is>
          <t>valuation_credit_ml_overlay_candidate.csv</t>
        </is>
      </c>
      <c r="AF91" s="24" t="inlineStr">
        <is>
          <t>208개 반도체 reference universe. Valuation Agent가 자체 intake 폴더로 복제해 Peer/ML/대시보드 비교에 사용.</t>
        </is>
      </c>
    </row>
    <row r="92" ht="24" customHeight="1">
      <c r="A92" s="29" t="inlineStr">
        <is>
          <t>3</t>
        </is>
      </c>
      <c r="B92" s="29" t="inlineStr">
        <is>
          <t>해당 없음</t>
        </is>
      </c>
      <c r="C92" s="29" t="inlineStr">
        <is>
          <t>KEC</t>
        </is>
      </c>
      <c r="D92" s="29" t="inlineStr">
        <is>
          <t>092220</t>
        </is>
      </c>
      <c r="E92" s="29" t="inlineStr">
        <is>
          <t>KOSPI</t>
        </is>
      </c>
      <c r="F92" s="29" t="inlineStr">
        <is>
          <t>IDM/제조/메모리</t>
        </is>
      </c>
      <c r="G92" s="29" t="inlineStr">
        <is>
          <t>IDM/제조/메모리</t>
        </is>
      </c>
      <c r="H92" s="29" t="inlineStr">
        <is>
          <t>False</t>
        </is>
      </c>
      <c r="I92" s="29" t="inlineStr">
        <is>
          <t>True</t>
        </is>
      </c>
      <c r="J92" s="29" t="inlineStr">
        <is>
          <t>OK</t>
        </is>
      </c>
      <c r="K92" s="29" t="inlineStr">
        <is>
          <t>데이터 사용 가능</t>
        </is>
      </c>
      <c r="L92" s="29" t="inlineStr">
        <is>
          <t>LOW</t>
        </is>
      </c>
      <c r="M92" s="29" t="inlineStr">
        <is>
          <t>LOW</t>
        </is>
      </c>
      <c r="N92" s="29" t="inlineStr">
        <is>
          <t>0.4550000000000001</t>
        </is>
      </c>
      <c r="O92" s="29" t="inlineStr">
        <is>
          <t>FAIR</t>
        </is>
      </c>
      <c r="P92" s="29" t="inlineStr">
        <is>
          <t>FAIR</t>
        </is>
      </c>
      <c r="Q92" s="29" t="inlineStr">
        <is>
          <t>FAIR</t>
        </is>
      </c>
      <c r="R92" s="29" t="inlineStr">
        <is>
          <t>0.7937660338126779</t>
        </is>
      </c>
      <c r="S92" s="29" t="inlineStr">
        <is>
          <t>HIGH</t>
        </is>
      </c>
      <c r="T92" s="29" t="inlineStr">
        <is>
          <t>HIGH</t>
        </is>
      </c>
      <c r="U92" s="29" t="inlineStr">
        <is>
          <t>0.5</t>
        </is>
      </c>
      <c r="V92" s="29" t="inlineStr">
        <is>
          <t>HIGH_RISK</t>
        </is>
      </c>
      <c r="W92" s="29" t="inlineStr">
        <is>
          <t>고위험</t>
        </is>
      </c>
      <c r="X92" s="29" t="inlineStr">
        <is>
          <t>HIGH_RISK</t>
        </is>
      </c>
      <c r="Y92" s="29" t="inlineStr">
        <is>
          <t>0.7303610104178266</t>
        </is>
      </c>
      <c r="Z92" s="29" t="inlineStr">
        <is>
          <t>HIGH</t>
        </is>
      </c>
      <c r="AA92" s="29" t="inlineStr">
        <is>
          <t>HIGH</t>
        </is>
      </c>
      <c r="AB92" s="29" t="inlineStr">
        <is>
          <t>0.053989845114113894</t>
        </is>
      </c>
      <c r="AC92" s="29" t="inlineStr">
        <is>
          <t>False</t>
        </is>
      </c>
      <c r="AD92" s="29" t="inlineStr">
        <is>
          <t>False</t>
        </is>
      </c>
      <c r="AE92" s="29" t="inlineStr">
        <is>
          <t>valuation_credit_ml_overlay_candidate.csv</t>
        </is>
      </c>
      <c r="AF92" s="29" t="inlineStr">
        <is>
          <t>208개 반도체 reference universe. Valuation Agent가 자체 intake 폴더로 복제해 Peer/ML/대시보드 비교에 사용.</t>
        </is>
      </c>
    </row>
    <row r="93" ht="24" customHeight="1">
      <c r="A93" s="24" t="inlineStr">
        <is>
          <t>28</t>
        </is>
      </c>
      <c r="B93" s="24" t="inlineStr">
        <is>
          <t>해당 없음</t>
        </is>
      </c>
      <c r="C93" s="24" t="inlineStr">
        <is>
          <t>일진디스플</t>
        </is>
      </c>
      <c r="D93" s="24" t="inlineStr">
        <is>
          <t>020760</t>
        </is>
      </c>
      <c r="E93" s="24" t="inlineStr">
        <is>
          <t>KOSPI</t>
        </is>
      </c>
      <c r="F93" s="24" t="inlineStr">
        <is>
          <t>IDM/제조/메모리</t>
        </is>
      </c>
      <c r="G93" s="24" t="inlineStr">
        <is>
          <t>IDM/제조/메모리</t>
        </is>
      </c>
      <c r="H93" s="24" t="inlineStr">
        <is>
          <t>False</t>
        </is>
      </c>
      <c r="I93" s="24" t="inlineStr">
        <is>
          <t>True</t>
        </is>
      </c>
      <c r="J93" s="24" t="inlineStr">
        <is>
          <t>OK</t>
        </is>
      </c>
      <c r="K93" s="24" t="inlineStr">
        <is>
          <t>데이터 사용 가능</t>
        </is>
      </c>
      <c r="L93" s="24" t="inlineStr">
        <is>
          <t>LOW</t>
        </is>
      </c>
      <c r="M93" s="24" t="inlineStr">
        <is>
          <t>LOW</t>
        </is>
      </c>
      <c r="N93" s="24" t="inlineStr">
        <is>
          <t>0.4335</t>
        </is>
      </c>
      <c r="O93" s="24" t="inlineStr">
        <is>
          <t>FAIR</t>
        </is>
      </c>
      <c r="P93" s="24" t="inlineStr">
        <is>
          <t>FAIR</t>
        </is>
      </c>
      <c r="Q93" s="24" t="inlineStr">
        <is>
          <t>FAIR</t>
        </is>
      </c>
      <c r="R93" s="24" t="inlineStr">
        <is>
          <t>0.7887205359697603</t>
        </is>
      </c>
      <c r="S93" s="24" t="inlineStr">
        <is>
          <t>HIGH</t>
        </is>
      </c>
      <c r="T93" s="24" t="inlineStr">
        <is>
          <t>HIGH</t>
        </is>
      </c>
      <c r="U93" s="24" t="inlineStr">
        <is>
          <t>0.6428571428571429</t>
        </is>
      </c>
      <c r="V93" s="24" t="inlineStr">
        <is>
          <t>HIGH_RISK</t>
        </is>
      </c>
      <c r="W93" s="24" t="inlineStr">
        <is>
          <t>고위험</t>
        </is>
      </c>
      <c r="X93" s="24" t="inlineStr">
        <is>
          <t>HIGH_RISK</t>
        </is>
      </c>
      <c r="Y93" s="24" t="inlineStr">
        <is>
          <t>0.8165793827285804</t>
        </is>
      </c>
      <c r="Z93" s="24" t="inlineStr">
        <is>
          <t>HIGH</t>
        </is>
      </c>
      <c r="AA93" s="24" t="inlineStr">
        <is>
          <t>HIGH</t>
        </is>
      </c>
      <c r="AB93" s="24" t="inlineStr">
        <is>
          <t>0.21528045597611217</t>
        </is>
      </c>
      <c r="AC93" s="24" t="inlineStr">
        <is>
          <t>False</t>
        </is>
      </c>
      <c r="AD93" s="24" t="inlineStr">
        <is>
          <t>False</t>
        </is>
      </c>
      <c r="AE93" s="24" t="inlineStr">
        <is>
          <t>valuation_credit_ml_overlay_candidate.csv</t>
        </is>
      </c>
      <c r="AF93" s="24" t="inlineStr">
        <is>
          <t>208개 반도체 reference universe. Valuation Agent가 자체 intake 폴더로 복제해 Peer/ML/대시보드 비교에 사용.</t>
        </is>
      </c>
    </row>
    <row r="94" ht="24" customHeight="1">
      <c r="A94" s="29" t="inlineStr">
        <is>
          <t>7</t>
        </is>
      </c>
      <c r="B94" s="29" t="inlineStr">
        <is>
          <t>해당 없음</t>
        </is>
      </c>
      <c r="C94" s="29" t="inlineStr">
        <is>
          <t>덕산하이메탈</t>
        </is>
      </c>
      <c r="D94" s="29" t="inlineStr">
        <is>
          <t>077360</t>
        </is>
      </c>
      <c r="E94" s="29" t="inlineStr">
        <is>
          <t>KOSDAQ</t>
        </is>
      </c>
      <c r="F94" s="29" t="inlineStr">
        <is>
          <t>IDM/제조/메모리</t>
        </is>
      </c>
      <c r="G94" s="29" t="inlineStr">
        <is>
          <t>IDM/제조/메모리</t>
        </is>
      </c>
      <c r="H94" s="29" t="inlineStr">
        <is>
          <t>False</t>
        </is>
      </c>
      <c r="I94" s="29" t="inlineStr">
        <is>
          <t>True</t>
        </is>
      </c>
      <c r="J94" s="29" t="inlineStr">
        <is>
          <t>OK</t>
        </is>
      </c>
      <c r="K94" s="29" t="inlineStr">
        <is>
          <t>데이터 사용 가능</t>
        </is>
      </c>
      <c r="L94" s="29" t="inlineStr">
        <is>
          <t>LOW</t>
        </is>
      </c>
      <c r="M94" s="29" t="inlineStr">
        <is>
          <t>LOW</t>
        </is>
      </c>
      <c r="N94" s="29" t="inlineStr">
        <is>
          <t>0.4333333333333333</t>
        </is>
      </c>
      <c r="O94" s="29" t="inlineStr">
        <is>
          <t>FAIR</t>
        </is>
      </c>
      <c r="P94" s="29" t="inlineStr">
        <is>
          <t>FAIR</t>
        </is>
      </c>
      <c r="Q94" s="29" t="inlineStr">
        <is>
          <t>FAIR</t>
        </is>
      </c>
      <c r="R94" s="29" t="inlineStr">
        <is>
          <t>0.6698541971057747</t>
        </is>
      </c>
      <c r="S94" s="29" t="inlineStr">
        <is>
          <t>MEDIUM</t>
        </is>
      </c>
      <c r="T94" s="29" t="inlineStr">
        <is>
          <t>MEDIUM</t>
        </is>
      </c>
      <c r="U94" s="29" t="inlineStr">
        <is>
          <t>0.2857142857142857</t>
        </is>
      </c>
      <c r="V94" s="29" t="inlineStr">
        <is>
          <t>MEDIUM_RISK</t>
        </is>
      </c>
      <c r="W94" s="29" t="inlineStr">
        <is>
          <t>중위험</t>
        </is>
      </c>
      <c r="X94" s="29" t="inlineStr">
        <is>
          <t>MEDIUM_RISK</t>
        </is>
      </c>
      <c r="Y94" s="29" t="inlineStr">
        <is>
          <t>0.6576042698954024</t>
        </is>
      </c>
      <c r="Z94" s="29" t="inlineStr">
        <is>
          <t>MEDIUM</t>
        </is>
      </c>
      <c r="AA94" s="29" t="inlineStr">
        <is>
          <t>MEDIUM</t>
        </is>
      </c>
      <c r="AB94" s="29" t="inlineStr">
        <is>
          <t>0.07260471392088348</t>
        </is>
      </c>
      <c r="AC94" s="29" t="inlineStr">
        <is>
          <t>False</t>
        </is>
      </c>
      <c r="AD94" s="29" t="inlineStr">
        <is>
          <t>False</t>
        </is>
      </c>
      <c r="AE94" s="29" t="inlineStr">
        <is>
          <t>valuation_credit_ml_overlay_candidate.csv</t>
        </is>
      </c>
      <c r="AF94" s="29" t="inlineStr">
        <is>
          <t>208개 반도체 reference universe. Valuation Agent가 자체 intake 폴더로 복제해 Peer/ML/대시보드 비교에 사용.</t>
        </is>
      </c>
    </row>
    <row r="95" ht="24" customHeight="1">
      <c r="A95" s="24" t="inlineStr">
        <is>
          <t>20</t>
        </is>
      </c>
      <c r="B95" s="24" t="inlineStr">
        <is>
          <t>해당 없음</t>
        </is>
      </c>
      <c r="C95" s="24" t="inlineStr">
        <is>
          <t>에이디테크놀로지</t>
        </is>
      </c>
      <c r="D95" s="24" t="inlineStr">
        <is>
          <t>200710</t>
        </is>
      </c>
      <c r="E95" s="24" t="inlineStr">
        <is>
          <t>KOSDAQ</t>
        </is>
      </c>
      <c r="F95" s="24" t="inlineStr">
        <is>
          <t>IDM/제조/메모리</t>
        </is>
      </c>
      <c r="G95" s="24" t="inlineStr">
        <is>
          <t>IDM/제조/메모리</t>
        </is>
      </c>
      <c r="H95" s="24" t="inlineStr">
        <is>
          <t>False</t>
        </is>
      </c>
      <c r="I95" s="24" t="inlineStr">
        <is>
          <t>True</t>
        </is>
      </c>
      <c r="J95" s="24" t="inlineStr">
        <is>
          <t>OK</t>
        </is>
      </c>
      <c r="K95" s="24" t="inlineStr">
        <is>
          <t>데이터 사용 가능</t>
        </is>
      </c>
      <c r="L95" s="24" t="inlineStr">
        <is>
          <t>LOW</t>
        </is>
      </c>
      <c r="M95" s="24" t="inlineStr">
        <is>
          <t>LOW</t>
        </is>
      </c>
      <c r="N95" s="24" t="inlineStr">
        <is>
          <t>0.4271666666666666</t>
        </is>
      </c>
      <c r="O95" s="24" t="inlineStr">
        <is>
          <t>FAIR</t>
        </is>
      </c>
      <c r="P95" s="24" t="inlineStr">
        <is>
          <t>FAIR</t>
        </is>
      </c>
      <c r="Q95" s="24" t="inlineStr">
        <is>
          <t>FAIR</t>
        </is>
      </c>
      <c r="R95" s="24" t="inlineStr">
        <is>
          <t>0.6637416757093363</t>
        </is>
      </c>
      <c r="S95" s="24" t="inlineStr">
        <is>
          <t>MEDIUM</t>
        </is>
      </c>
      <c r="T95" s="24" t="inlineStr">
        <is>
          <t>MEDIUM</t>
        </is>
      </c>
      <c r="U95" s="24" t="inlineStr">
        <is>
          <t>0.2857142857142857</t>
        </is>
      </c>
      <c r="V95" s="24" t="inlineStr">
        <is>
          <t>MEDIUM_RISK</t>
        </is>
      </c>
      <c r="W95" s="24" t="inlineStr">
        <is>
          <t>중위험</t>
        </is>
      </c>
      <c r="X95" s="24" t="inlineStr">
        <is>
          <t>MEDIUM_RISK</t>
        </is>
      </c>
      <c r="Y95" s="24" t="inlineStr">
        <is>
          <t>0.4528354914042248</t>
        </is>
      </c>
      <c r="Z95" s="24" t="inlineStr">
        <is>
          <t>LOW</t>
        </is>
      </c>
      <c r="AA95" s="24" t="inlineStr">
        <is>
          <t>LOW</t>
        </is>
      </c>
      <c r="AB95" s="24" t="inlineStr">
        <is>
          <t>0.0588627097981607</t>
        </is>
      </c>
      <c r="AC95" s="24" t="inlineStr">
        <is>
          <t>False</t>
        </is>
      </c>
      <c r="AD95" s="24" t="inlineStr">
        <is>
          <t>True</t>
        </is>
      </c>
      <c r="AE95" s="24" t="inlineStr">
        <is>
          <t>valuation_credit_ml_overlay_candidate.csv</t>
        </is>
      </c>
      <c r="AF95" s="24" t="inlineStr">
        <is>
          <t>208개 반도체 reference universe. Valuation Agent가 자체 intake 폴더로 복제해 Peer/ML/대시보드 비교에 사용.</t>
        </is>
      </c>
    </row>
    <row r="96" ht="24" customHeight="1">
      <c r="A96" s="29" t="inlineStr">
        <is>
          <t>5</t>
        </is>
      </c>
      <c r="B96" s="29" t="inlineStr">
        <is>
          <t>해당 없음</t>
        </is>
      </c>
      <c r="C96" s="29" t="inlineStr">
        <is>
          <t>광전자</t>
        </is>
      </c>
      <c r="D96" s="29" t="inlineStr">
        <is>
          <t>017900</t>
        </is>
      </c>
      <c r="E96" s="29" t="inlineStr">
        <is>
          <t>KOSPI</t>
        </is>
      </c>
      <c r="F96" s="29" t="inlineStr">
        <is>
          <t>IDM/제조/메모리</t>
        </is>
      </c>
      <c r="G96" s="29" t="inlineStr">
        <is>
          <t>IDM/제조/메모리</t>
        </is>
      </c>
      <c r="H96" s="29" t="inlineStr">
        <is>
          <t>False</t>
        </is>
      </c>
      <c r="I96" s="29" t="inlineStr">
        <is>
          <t>True</t>
        </is>
      </c>
      <c r="J96" s="29" t="inlineStr">
        <is>
          <t>OK</t>
        </is>
      </c>
      <c r="K96" s="29" t="inlineStr">
        <is>
          <t>데이터 사용 가능</t>
        </is>
      </c>
      <c r="L96" s="29" t="inlineStr">
        <is>
          <t>LOW</t>
        </is>
      </c>
      <c r="M96" s="29" t="inlineStr">
        <is>
          <t>LOW</t>
        </is>
      </c>
      <c r="N96" s="29" t="inlineStr">
        <is>
          <t>0.4184166666666666</t>
        </is>
      </c>
      <c r="O96" s="29" t="inlineStr">
        <is>
          <t>EXPENSIVE</t>
        </is>
      </c>
      <c r="P96" s="29" t="inlineStr">
        <is>
          <t>EXPENSIVE</t>
        </is>
      </c>
      <c r="Q96" s="29" t="inlineStr">
        <is>
          <t>EXPENSIVE</t>
        </is>
      </c>
      <c r="R96" s="29" t="inlineStr">
        <is>
          <t>0.6817751829328556</t>
        </is>
      </c>
      <c r="S96" s="29" t="inlineStr">
        <is>
          <t>MEDIUM</t>
        </is>
      </c>
      <c r="T96" s="29" t="inlineStr">
        <is>
          <t>MEDIUM</t>
        </is>
      </c>
      <c r="U96" s="29" t="inlineStr">
        <is>
          <t>0.2142857142857142</t>
        </is>
      </c>
      <c r="V96" s="29" t="inlineStr">
        <is>
          <t>MEDIUM_RISK</t>
        </is>
      </c>
      <c r="W96" s="29" t="inlineStr">
        <is>
          <t>중위험</t>
        </is>
      </c>
      <c r="X96" s="29" t="inlineStr">
        <is>
          <t>LOW_RISK</t>
        </is>
      </c>
      <c r="Y96" s="29" t="inlineStr">
        <is>
          <t>0.4656539331033742</t>
        </is>
      </c>
      <c r="Z96" s="29" t="inlineStr">
        <is>
          <t>LOW</t>
        </is>
      </c>
      <c r="AA96" s="29" t="inlineStr">
        <is>
          <t>LOW</t>
        </is>
      </c>
      <c r="AB96" s="29" t="inlineStr">
        <is>
          <t>0.24789843408919227</t>
        </is>
      </c>
      <c r="AC96" s="29" t="inlineStr">
        <is>
          <t>True</t>
        </is>
      </c>
      <c r="AD96" s="29" t="inlineStr">
        <is>
          <t>True</t>
        </is>
      </c>
      <c r="AE96" s="29" t="inlineStr">
        <is>
          <t>valuation_credit_ml_overlay_candidate.csv</t>
        </is>
      </c>
      <c r="AF96" s="29" t="inlineStr">
        <is>
          <t>208개 반도체 reference universe. Valuation Agent가 자체 intake 폴더로 복제해 Peer/ML/대시보드 비교에 사용.</t>
        </is>
      </c>
    </row>
    <row r="97" ht="24" customHeight="1">
      <c r="A97" s="24" t="inlineStr">
        <is>
          <t>19</t>
        </is>
      </c>
      <c r="B97" s="24" t="inlineStr">
        <is>
          <t>해당 없음</t>
        </is>
      </c>
      <c r="C97" s="24" t="inlineStr">
        <is>
          <t>아진엑스텍</t>
        </is>
      </c>
      <c r="D97" s="24" t="inlineStr">
        <is>
          <t>059120</t>
        </is>
      </c>
      <c r="E97" s="24" t="inlineStr">
        <is>
          <t>KOSDAQ</t>
        </is>
      </c>
      <c r="F97" s="24" t="inlineStr">
        <is>
          <t>IDM/제조/메모리</t>
        </is>
      </c>
      <c r="G97" s="24" t="inlineStr">
        <is>
          <t>IDM/제조/메모리</t>
        </is>
      </c>
      <c r="H97" s="24" t="inlineStr">
        <is>
          <t>False</t>
        </is>
      </c>
      <c r="I97" s="24" t="inlineStr">
        <is>
          <t>True</t>
        </is>
      </c>
      <c r="J97" s="24" t="inlineStr">
        <is>
          <t>OK</t>
        </is>
      </c>
      <c r="K97" s="24" t="inlineStr">
        <is>
          <t>데이터 사용 가능</t>
        </is>
      </c>
      <c r="L97" s="24" t="inlineStr">
        <is>
          <t>LOW</t>
        </is>
      </c>
      <c r="M97" s="24" t="inlineStr">
        <is>
          <t>LOW</t>
        </is>
      </c>
      <c r="N97" s="24" t="inlineStr">
        <is>
          <t>0.4128333333333333</t>
        </is>
      </c>
      <c r="O97" s="24" t="inlineStr">
        <is>
          <t>EXPENSIVE</t>
        </is>
      </c>
      <c r="P97" s="24" t="inlineStr">
        <is>
          <t>EXPENSIVE</t>
        </is>
      </c>
      <c r="Q97" s="24" t="inlineStr">
        <is>
          <t>EXPENSIVE</t>
        </is>
      </c>
      <c r="R97" s="24" t="inlineStr">
        <is>
          <t>0.6635799672057409</t>
        </is>
      </c>
      <c r="S97" s="24" t="inlineStr">
        <is>
          <t>MEDIUM</t>
        </is>
      </c>
      <c r="T97" s="24" t="inlineStr">
        <is>
          <t>MEDIUM</t>
        </is>
      </c>
      <c r="U97" s="24" t="inlineStr">
        <is>
          <t>0.0714285714285714</t>
        </is>
      </c>
      <c r="V97" s="24" t="inlineStr">
        <is>
          <t>LOW_RISK</t>
        </is>
      </c>
      <c r="W97" s="24" t="inlineStr">
        <is>
          <t>저위험</t>
        </is>
      </c>
      <c r="X97" s="24" t="inlineStr">
        <is>
          <t>LOW_RISK</t>
        </is>
      </c>
      <c r="Y97" s="24" t="inlineStr">
        <is>
          <t>0.8000764213249202</t>
        </is>
      </c>
      <c r="Z97" s="24" t="inlineStr">
        <is>
          <t>HIGH</t>
        </is>
      </c>
      <c r="AA97" s="24" t="inlineStr">
        <is>
          <t>HIGH</t>
        </is>
      </c>
      <c r="AB97" s="24" t="inlineStr">
        <is>
          <t>0.21158533556078782</t>
        </is>
      </c>
      <c r="AC97" s="24" t="inlineStr">
        <is>
          <t>False</t>
        </is>
      </c>
      <c r="AD97" s="24" t="inlineStr">
        <is>
          <t>False</t>
        </is>
      </c>
      <c r="AE97" s="24" t="inlineStr">
        <is>
          <t>valuation_credit_ml_overlay_candidate.csv</t>
        </is>
      </c>
      <c r="AF97" s="24" t="inlineStr">
        <is>
          <t>208개 반도체 reference universe. Valuation Agent가 자체 intake 폴더로 복제해 Peer/ML/대시보드 비교에 사용.</t>
        </is>
      </c>
    </row>
    <row r="98" ht="24" customHeight="1">
      <c r="A98" s="29" t="inlineStr">
        <is>
          <t>33</t>
        </is>
      </c>
      <c r="B98" s="29" t="inlineStr">
        <is>
          <t>해당 없음</t>
        </is>
      </c>
      <c r="C98" s="29" t="inlineStr">
        <is>
          <t>코스텍시스</t>
        </is>
      </c>
      <c r="D98" s="29" t="inlineStr">
        <is>
          <t>355150</t>
        </is>
      </c>
      <c r="E98" s="29" t="inlineStr">
        <is>
          <t>KOSDAQ</t>
        </is>
      </c>
      <c r="F98" s="29" t="inlineStr">
        <is>
          <t>IDM/제조/메모리</t>
        </is>
      </c>
      <c r="G98" s="29" t="inlineStr">
        <is>
          <t>IDM/제조/메모리</t>
        </is>
      </c>
      <c r="H98" s="29" t="inlineStr">
        <is>
          <t>False</t>
        </is>
      </c>
      <c r="I98" s="29" t="inlineStr">
        <is>
          <t>True</t>
        </is>
      </c>
      <c r="J98" s="29" t="inlineStr">
        <is>
          <t>OK_LIMITED_HISTORY_OR_GROWTH_NA</t>
        </is>
      </c>
      <c r="K98" s="29" t="inlineStr">
        <is>
          <t>데이터 사용 가능</t>
        </is>
      </c>
      <c r="L98" s="29" t="inlineStr">
        <is>
          <t>LOW</t>
        </is>
      </c>
      <c r="M98" s="29" t="inlineStr">
        <is>
          <t>LOW</t>
        </is>
      </c>
      <c r="N98" s="29" t="inlineStr">
        <is>
          <t>0.4096666666666666</t>
        </is>
      </c>
      <c r="O98" s="29" t="inlineStr">
        <is>
          <t>EXPENSIVE</t>
        </is>
      </c>
      <c r="P98" s="29" t="inlineStr">
        <is>
          <t>EXPENSIVE</t>
        </is>
      </c>
      <c r="Q98" s="29" t="inlineStr">
        <is>
          <t>EXPENSIVE</t>
        </is>
      </c>
      <c r="R98" s="29" t="inlineStr">
        <is>
          <t>0.7518748972741711</t>
        </is>
      </c>
      <c r="S98" s="29" t="inlineStr">
        <is>
          <t>HIGH</t>
        </is>
      </c>
      <c r="T98" s="29" t="inlineStr">
        <is>
          <t>HIGH</t>
        </is>
      </c>
      <c r="U98" s="29" t="inlineStr">
        <is>
          <t>0.5</t>
        </is>
      </c>
      <c r="V98" s="29" t="inlineStr">
        <is>
          <t>HIGH_RISK</t>
        </is>
      </c>
      <c r="W98" s="29" t="inlineStr">
        <is>
          <t>고위험</t>
        </is>
      </c>
      <c r="X98" s="29" t="inlineStr">
        <is>
          <t>MEDIUM_RISK</t>
        </is>
      </c>
      <c r="Y98" s="29" t="inlineStr">
        <is>
          <t>0.4364687611213146</t>
        </is>
      </c>
      <c r="Z98" s="29" t="inlineStr">
        <is>
          <t>LOW</t>
        </is>
      </c>
      <c r="AA98" s="29" t="inlineStr">
        <is>
          <t>LOW</t>
        </is>
      </c>
      <c r="AB98" s="29" t="inlineStr">
        <is>
          <t>0.06817918975036392</t>
        </is>
      </c>
      <c r="AC98" s="29" t="inlineStr">
        <is>
          <t>False</t>
        </is>
      </c>
      <c r="AD98" s="29" t="inlineStr">
        <is>
          <t>True</t>
        </is>
      </c>
      <c r="AE98" s="29" t="inlineStr">
        <is>
          <t>valuation_credit_ml_overlay_candidate.csv</t>
        </is>
      </c>
      <c r="AF98" s="29" t="inlineStr">
        <is>
          <t>208개 반도체 reference universe. Valuation Agent가 자체 intake 폴더로 복제해 Peer/ML/대시보드 비교에 사용.</t>
        </is>
      </c>
    </row>
    <row r="99" ht="24" customHeight="1">
      <c r="A99" s="24" t="inlineStr">
        <is>
          <t>27</t>
        </is>
      </c>
      <c r="B99" s="24" t="inlineStr">
        <is>
          <t>해당 없음</t>
        </is>
      </c>
      <c r="C99" s="24" t="inlineStr">
        <is>
          <t>이미지스</t>
        </is>
      </c>
      <c r="D99" s="24" t="inlineStr">
        <is>
          <t>115610</t>
        </is>
      </c>
      <c r="E99" s="24" t="inlineStr">
        <is>
          <t>KOSDAQ</t>
        </is>
      </c>
      <c r="F99" s="24" t="inlineStr">
        <is>
          <t>IDM/제조/메모리</t>
        </is>
      </c>
      <c r="G99" s="24" t="inlineStr">
        <is>
          <t>IDM/제조/메모리</t>
        </is>
      </c>
      <c r="H99" s="24" t="inlineStr">
        <is>
          <t>False</t>
        </is>
      </c>
      <c r="I99" s="24" t="inlineStr">
        <is>
          <t>True</t>
        </is>
      </c>
      <c r="J99" s="24" t="inlineStr">
        <is>
          <t>OK</t>
        </is>
      </c>
      <c r="K99" s="24" t="inlineStr">
        <is>
          <t>데이터 사용 가능</t>
        </is>
      </c>
      <c r="L99" s="24" t="inlineStr">
        <is>
          <t>LOW</t>
        </is>
      </c>
      <c r="M99" s="24" t="inlineStr">
        <is>
          <t>LOW</t>
        </is>
      </c>
      <c r="N99" s="24" t="inlineStr">
        <is>
          <t>0.3633333333333334</t>
        </is>
      </c>
      <c r="O99" s="24" t="inlineStr">
        <is>
          <t>EXPENSIVE</t>
        </is>
      </c>
      <c r="P99" s="24" t="inlineStr">
        <is>
          <t>EXPENSIVE</t>
        </is>
      </c>
      <c r="Q99" s="24" t="inlineStr">
        <is>
          <t>EXPENSIVE</t>
        </is>
      </c>
      <c r="R99" s="24" t="inlineStr">
        <is>
          <t>0.7470098487547145</t>
        </is>
      </c>
      <c r="S99" s="24" t="inlineStr">
        <is>
          <t>HIGH</t>
        </is>
      </c>
      <c r="T99" s="24" t="inlineStr">
        <is>
          <t>HIGH</t>
        </is>
      </c>
      <c r="U99" s="24" t="inlineStr">
        <is>
          <t>0.6428571428571429</t>
        </is>
      </c>
      <c r="V99" s="24" t="inlineStr">
        <is>
          <t>HIGH_RISK</t>
        </is>
      </c>
      <c r="W99" s="24" t="inlineStr">
        <is>
          <t>고위험</t>
        </is>
      </c>
      <c r="X99" s="24" t="inlineStr">
        <is>
          <t>HIGH_RISK</t>
        </is>
      </c>
      <c r="Y99" s="24" t="inlineStr">
        <is>
          <t>0.935919815850912</t>
        </is>
      </c>
      <c r="Z99" s="24" t="inlineStr">
        <is>
          <t>HIGH</t>
        </is>
      </c>
      <c r="AA99" s="24" t="inlineStr">
        <is>
          <t>HIGH</t>
        </is>
      </c>
      <c r="AB99" s="24" t="inlineStr">
        <is>
          <t>0.1192433333650954</t>
        </is>
      </c>
      <c r="AC99" s="24" t="inlineStr">
        <is>
          <t>False</t>
        </is>
      </c>
      <c r="AD99" s="24" t="inlineStr">
        <is>
          <t>False</t>
        </is>
      </c>
      <c r="AE99" s="24" t="inlineStr">
        <is>
          <t>valuation_credit_ml_overlay_candidate.csv</t>
        </is>
      </c>
      <c r="AF99" s="24" t="inlineStr">
        <is>
          <t>208개 반도체 reference universe. Valuation Agent가 자체 intake 폴더로 복제해 Peer/ML/대시보드 비교에 사용.</t>
        </is>
      </c>
    </row>
    <row r="100" ht="24" customHeight="1">
      <c r="A100" s="29" t="inlineStr">
        <is>
          <t>15</t>
        </is>
      </c>
      <c r="B100" s="29" t="inlineStr">
        <is>
          <t>해당 없음</t>
        </is>
      </c>
      <c r="C100" s="29" t="inlineStr">
        <is>
          <t>시지트로닉스</t>
        </is>
      </c>
      <c r="D100" s="29" t="inlineStr">
        <is>
          <t>429270</t>
        </is>
      </c>
      <c r="E100" s="29" t="inlineStr">
        <is>
          <t>KOSDAQ</t>
        </is>
      </c>
      <c r="F100" s="29" t="inlineStr">
        <is>
          <t>IDM/제조/메모리</t>
        </is>
      </c>
      <c r="G100" s="29" t="inlineStr">
        <is>
          <t>IDM/제조/메모리</t>
        </is>
      </c>
      <c r="H100" s="29" t="inlineStr">
        <is>
          <t>False</t>
        </is>
      </c>
      <c r="I100" s="29" t="inlineStr">
        <is>
          <t>True</t>
        </is>
      </c>
      <c r="J100" s="29" t="inlineStr">
        <is>
          <t>OK_LIMITED_HISTORY_OR_GROWTH_NA</t>
        </is>
      </c>
      <c r="K100" s="29" t="inlineStr">
        <is>
          <t>데이터 사용 가능</t>
        </is>
      </c>
      <c r="L100" s="29" t="inlineStr">
        <is>
          <t>LOW</t>
        </is>
      </c>
      <c r="M100" s="29" t="inlineStr">
        <is>
          <t>LOW</t>
        </is>
      </c>
      <c r="N100" s="29" t="inlineStr">
        <is>
          <t>0.3513333333333333</t>
        </is>
      </c>
      <c r="O100" s="29" t="inlineStr">
        <is>
          <t>EXPENSIVE</t>
        </is>
      </c>
      <c r="P100" s="29" t="inlineStr">
        <is>
          <t>EXPENSIVE</t>
        </is>
      </c>
      <c r="Q100" s="29" t="inlineStr">
        <is>
          <t>EXPENSIVE</t>
        </is>
      </c>
      <c r="R100" s="29" t="inlineStr">
        <is>
          <t>0.8423539115807104</t>
        </is>
      </c>
      <c r="S100" s="29" t="inlineStr">
        <is>
          <t>HIGH</t>
        </is>
      </c>
      <c r="T100" s="29" t="inlineStr">
        <is>
          <t>HIGH</t>
        </is>
      </c>
      <c r="U100" s="29" t="inlineStr">
        <is>
          <t>0.7142857142857143</t>
        </is>
      </c>
      <c r="V100" s="29" t="inlineStr">
        <is>
          <t>HIGH_RISK</t>
        </is>
      </c>
      <c r="W100" s="29" t="inlineStr">
        <is>
          <t>고위험</t>
        </is>
      </c>
      <c r="X100" s="29" t="inlineStr">
        <is>
          <t>HIGH_RISK</t>
        </is>
      </c>
      <c r="Y100" s="29" t="inlineStr">
        <is>
          <t>0.981613431413146</t>
        </is>
      </c>
      <c r="Z100" s="29" t="inlineStr">
        <is>
          <t>HIGH</t>
        </is>
      </c>
      <c r="AA100" s="29" t="inlineStr">
        <is>
          <t>HIGH</t>
        </is>
      </c>
      <c r="AB100" s="29" t="inlineStr">
        <is>
          <t>0.19555712998632233</t>
        </is>
      </c>
      <c r="AC100" s="29" t="inlineStr">
        <is>
          <t>False</t>
        </is>
      </c>
      <c r="AD100" s="29" t="inlineStr">
        <is>
          <t>True</t>
        </is>
      </c>
      <c r="AE100" s="29" t="inlineStr">
        <is>
          <t>valuation_credit_ml_overlay_candidate.csv</t>
        </is>
      </c>
      <c r="AF100" s="29" t="inlineStr">
        <is>
          <t>208개 반도체 reference universe. Valuation Agent가 자체 intake 폴더로 복제해 Peer/ML/대시보드 비교에 사용.</t>
        </is>
      </c>
    </row>
    <row r="101" ht="24" customHeight="1">
      <c r="A101" s="24" t="inlineStr">
        <is>
          <t>30</t>
        </is>
      </c>
      <c r="B101" s="24" t="inlineStr">
        <is>
          <t>해당 없음</t>
        </is>
      </c>
      <c r="C101" s="24" t="inlineStr">
        <is>
          <t>지니틱스</t>
        </is>
      </c>
      <c r="D101" s="24" t="inlineStr">
        <is>
          <t>303030</t>
        </is>
      </c>
      <c r="E101" s="24" t="inlineStr">
        <is>
          <t>KOSDAQ</t>
        </is>
      </c>
      <c r="F101" s="24" t="inlineStr">
        <is>
          <t>IDM/제조/메모리</t>
        </is>
      </c>
      <c r="G101" s="24" t="inlineStr">
        <is>
          <t>IDM/제조/메모리</t>
        </is>
      </c>
      <c r="H101" s="24" t="inlineStr">
        <is>
          <t>False</t>
        </is>
      </c>
      <c r="I101" s="24" t="inlineStr">
        <is>
          <t>True</t>
        </is>
      </c>
      <c r="J101" s="24" t="inlineStr">
        <is>
          <t>OK</t>
        </is>
      </c>
      <c r="K101" s="24" t="inlineStr">
        <is>
          <t>데이터 사용 가능</t>
        </is>
      </c>
      <c r="L101" s="24" t="inlineStr">
        <is>
          <t>LOW</t>
        </is>
      </c>
      <c r="M101" s="24" t="inlineStr">
        <is>
          <t>LOW</t>
        </is>
      </c>
      <c r="N101" s="24" t="inlineStr">
        <is>
          <t>0.3293333333333333</t>
        </is>
      </c>
      <c r="O101" s="24" t="inlineStr">
        <is>
          <t>EXPENSIVE</t>
        </is>
      </c>
      <c r="P101" s="24" t="inlineStr">
        <is>
          <t>EXPENSIVE</t>
        </is>
      </c>
      <c r="Q101" s="24" t="inlineStr">
        <is>
          <t>EXPENSIVE</t>
        </is>
      </c>
      <c r="R101" s="24" t="inlineStr">
        <is>
          <t>0.6029464801919612</t>
        </is>
      </c>
      <c r="S101" s="24" t="inlineStr">
        <is>
          <t>MEDIUM</t>
        </is>
      </c>
      <c r="T101" s="24" t="inlineStr">
        <is>
          <t>MEDIUM</t>
        </is>
      </c>
      <c r="U101" s="24" t="inlineStr">
        <is>
          <t>0.7142857142857143</t>
        </is>
      </c>
      <c r="V101" s="24" t="inlineStr">
        <is>
          <t>HIGH_RISK</t>
        </is>
      </c>
      <c r="W101" s="24" t="inlineStr">
        <is>
          <t>고위험</t>
        </is>
      </c>
      <c r="X101" s="24" t="inlineStr">
        <is>
          <t>HIGH_RISK</t>
        </is>
      </c>
      <c r="Y101" s="24" t="inlineStr">
        <is>
          <t>0.9659545889371735</t>
        </is>
      </c>
      <c r="Z101" s="24" t="inlineStr">
        <is>
          <t>HIGH</t>
        </is>
      </c>
      <c r="AA101" s="24" t="inlineStr">
        <is>
          <t>HIGH</t>
        </is>
      </c>
      <c r="AB101" s="24" t="inlineStr">
        <is>
          <t>0.16363869698938038</t>
        </is>
      </c>
      <c r="AC101" s="24" t="inlineStr">
        <is>
          <t>False</t>
        </is>
      </c>
      <c r="AD101" s="24" t="inlineStr">
        <is>
          <t>False</t>
        </is>
      </c>
      <c r="AE101" s="24" t="inlineStr">
        <is>
          <t>valuation_credit_ml_overlay_candidate.csv</t>
        </is>
      </c>
      <c r="AF101" s="24" t="inlineStr">
        <is>
          <t>208개 반도체 reference universe. Valuation Agent가 자체 intake 폴더로 복제해 Peer/ML/대시보드 비교에 사용.</t>
        </is>
      </c>
    </row>
    <row r="102" ht="24" customHeight="1">
      <c r="A102" s="29" t="inlineStr">
        <is>
          <t>18</t>
        </is>
      </c>
      <c r="B102" s="29" t="inlineStr">
        <is>
          <t>해당 없음</t>
        </is>
      </c>
      <c r="C102" s="29" t="inlineStr">
        <is>
          <t>아이에스티이</t>
        </is>
      </c>
      <c r="D102" s="29" t="inlineStr">
        <is>
          <t>212710</t>
        </is>
      </c>
      <c r="E102" s="29" t="inlineStr">
        <is>
          <t>KOSDAQ</t>
        </is>
      </c>
      <c r="F102" s="29" t="inlineStr">
        <is>
          <t>IDM/제조/메모리</t>
        </is>
      </c>
      <c r="G102" s="29" t="inlineStr">
        <is>
          <t>IDM/제조/메모리</t>
        </is>
      </c>
      <c r="H102" s="29" t="inlineStr">
        <is>
          <t>False</t>
        </is>
      </c>
      <c r="I102" s="29" t="inlineStr">
        <is>
          <t>True</t>
        </is>
      </c>
      <c r="J102" s="29" t="inlineStr">
        <is>
          <t>OK_LIMITED_HISTORY_OR_GROWTH_NA</t>
        </is>
      </c>
      <c r="K102" s="29" t="inlineStr">
        <is>
          <t>데이터 사용 가능</t>
        </is>
      </c>
      <c r="L102" s="29" t="inlineStr">
        <is>
          <t>LOW</t>
        </is>
      </c>
      <c r="M102" s="29" t="inlineStr">
        <is>
          <t>LOW</t>
        </is>
      </c>
      <c r="N102" s="29" t="inlineStr">
        <is>
          <t>0.3126666666666666</t>
        </is>
      </c>
      <c r="O102" s="29" t="inlineStr">
        <is>
          <t>EXPENSIVE</t>
        </is>
      </c>
      <c r="P102" s="29" t="inlineStr">
        <is>
          <t>EXPENSIVE</t>
        </is>
      </c>
      <c r="Q102" s="29" t="inlineStr">
        <is>
          <t>EXPENSIVE</t>
        </is>
      </c>
      <c r="R102" s="29" t="inlineStr">
        <is>
          <t>0.6642993493743579</t>
        </is>
      </c>
      <c r="S102" s="29" t="inlineStr">
        <is>
          <t>MEDIUM</t>
        </is>
      </c>
      <c r="T102" s="29" t="inlineStr">
        <is>
          <t>MEDIUM</t>
        </is>
      </c>
      <c r="U102" s="29" t="inlineStr">
        <is>
          <t>0.7142857142857143</t>
        </is>
      </c>
      <c r="V102" s="29" t="inlineStr">
        <is>
          <t>HIGH_RISK</t>
        </is>
      </c>
      <c r="W102" s="29" t="inlineStr">
        <is>
          <t>고위험</t>
        </is>
      </c>
      <c r="X102" s="29" t="inlineStr">
        <is>
          <t>HIGH_RISK</t>
        </is>
      </c>
      <c r="Y102" s="29" t="inlineStr">
        <is>
          <t>0.7912115569930538</t>
        </is>
      </c>
      <c r="Z102" s="29" t="inlineStr">
        <is>
          <t>HIGH</t>
        </is>
      </c>
      <c r="AA102" s="29" t="inlineStr">
        <is>
          <t>HIGH</t>
        </is>
      </c>
      <c r="AB102" s="29" t="inlineStr">
        <is>
          <t>0.13664093420882184</t>
        </is>
      </c>
      <c r="AC102" s="29" t="inlineStr">
        <is>
          <t>False</t>
        </is>
      </c>
      <c r="AD102" s="29" t="inlineStr">
        <is>
          <t>True</t>
        </is>
      </c>
      <c r="AE102" s="29" t="inlineStr">
        <is>
          <t>valuation_credit_ml_overlay_candidate.csv</t>
        </is>
      </c>
      <c r="AF102" s="29" t="inlineStr">
        <is>
          <t>208개 반도체 reference universe. Valuation Agent가 자체 intake 폴더로 복제해 Peer/ML/대시보드 비교에 사용.</t>
        </is>
      </c>
    </row>
    <row r="103" ht="24" customHeight="1">
      <c r="A103" s="24" t="inlineStr">
        <is>
          <t>31</t>
        </is>
      </c>
      <c r="B103" s="24" t="inlineStr">
        <is>
          <t>해당 없음</t>
        </is>
      </c>
      <c r="C103" s="24" t="inlineStr">
        <is>
          <t>케이알엠</t>
        </is>
      </c>
      <c r="D103" s="24" t="inlineStr">
        <is>
          <t>093640</t>
        </is>
      </c>
      <c r="E103" s="24" t="inlineStr">
        <is>
          <t>KOSDAQ</t>
        </is>
      </c>
      <c r="F103" s="24" t="inlineStr">
        <is>
          <t>IDM/제조/메모리</t>
        </is>
      </c>
      <c r="G103" s="24" t="inlineStr">
        <is>
          <t>IDM/제조/메모리</t>
        </is>
      </c>
      <c r="H103" s="24" t="inlineStr">
        <is>
          <t>False</t>
        </is>
      </c>
      <c r="I103" s="24" t="inlineStr">
        <is>
          <t>True</t>
        </is>
      </c>
      <c r="J103" s="24" t="inlineStr">
        <is>
          <t>OK</t>
        </is>
      </c>
      <c r="K103" s="24" t="inlineStr">
        <is>
          <t>데이터 사용 가능</t>
        </is>
      </c>
      <c r="L103" s="24" t="inlineStr">
        <is>
          <t>LOW</t>
        </is>
      </c>
      <c r="M103" s="24" t="inlineStr">
        <is>
          <t>LOW</t>
        </is>
      </c>
      <c r="N103" s="24" t="inlineStr">
        <is>
          <t>0.301</t>
        </is>
      </c>
      <c r="O103" s="24" t="inlineStr">
        <is>
          <t>EXPENSIVE</t>
        </is>
      </c>
      <c r="P103" s="24" t="inlineStr">
        <is>
          <t>EXPENSIVE</t>
        </is>
      </c>
      <c r="Q103" s="24" t="inlineStr">
        <is>
          <t>EXPENSIVE</t>
        </is>
      </c>
      <c r="R103" s="24" t="inlineStr">
        <is>
          <t>0.7957205872008264</t>
        </is>
      </c>
      <c r="S103" s="24" t="inlineStr">
        <is>
          <t>HIGH</t>
        </is>
      </c>
      <c r="T103" s="24" t="inlineStr">
        <is>
          <t>HIGH</t>
        </is>
      </c>
      <c r="U103" s="24" t="inlineStr">
        <is>
          <t>0.4285714285714285</t>
        </is>
      </c>
      <c r="V103" s="24" t="inlineStr">
        <is>
          <t>HIGH_RISK</t>
        </is>
      </c>
      <c r="W103" s="24" t="inlineStr">
        <is>
          <t>고위험</t>
        </is>
      </c>
      <c r="X103" s="24" t="inlineStr">
        <is>
          <t>HIGH_RISK</t>
        </is>
      </c>
      <c r="Y103" s="24" t="inlineStr">
        <is>
          <t>0.9569765609780977</t>
        </is>
      </c>
      <c r="Z103" s="24" t="inlineStr">
        <is>
          <t>HIGH</t>
        </is>
      </c>
      <c r="AA103" s="24" t="inlineStr">
        <is>
          <t>HIGH</t>
        </is>
      </c>
      <c r="AB103" s="24" t="inlineStr">
        <is>
          <t>0.2926124347647049</t>
        </is>
      </c>
      <c r="AC103" s="24" t="inlineStr">
        <is>
          <t>True</t>
        </is>
      </c>
      <c r="AD103" s="24" t="inlineStr">
        <is>
          <t>True</t>
        </is>
      </c>
      <c r="AE103" s="24" t="inlineStr">
        <is>
          <t>valuation_credit_ml_overlay_candidate.csv</t>
        </is>
      </c>
      <c r="AF103" s="24" t="inlineStr">
        <is>
          <t>208개 반도체 reference universe. Valuation Agent가 자체 intake 폴더로 복제해 Peer/ML/대시보드 비교에 사용.</t>
        </is>
      </c>
    </row>
    <row r="104" ht="24" customHeight="1">
      <c r="A104" s="29" t="inlineStr">
        <is>
          <t>17</t>
        </is>
      </c>
      <c r="B104" s="29" t="inlineStr">
        <is>
          <t>해당 없음</t>
        </is>
      </c>
      <c r="C104" s="29" t="inlineStr">
        <is>
          <t>쏘닉스</t>
        </is>
      </c>
      <c r="D104" s="29" t="inlineStr">
        <is>
          <t>088280</t>
        </is>
      </c>
      <c r="E104" s="29" t="inlineStr">
        <is>
          <t>KOSDAQ</t>
        </is>
      </c>
      <c r="F104" s="29" t="inlineStr">
        <is>
          <t>IDM/제조/메모리</t>
        </is>
      </c>
      <c r="G104" s="29" t="inlineStr">
        <is>
          <t>IDM/제조/메모리</t>
        </is>
      </c>
      <c r="H104" s="29" t="inlineStr">
        <is>
          <t>False</t>
        </is>
      </c>
      <c r="I104" s="29" t="inlineStr">
        <is>
          <t>True</t>
        </is>
      </c>
      <c r="J104" s="29" t="inlineStr">
        <is>
          <t>OK_LIMITED_HISTORY_OR_GROWTH_NA</t>
        </is>
      </c>
      <c r="K104" s="29" t="inlineStr">
        <is>
          <t>데이터 사용 가능</t>
        </is>
      </c>
      <c r="L104" s="29" t="inlineStr">
        <is>
          <t>LOW</t>
        </is>
      </c>
      <c r="M104" s="29" t="inlineStr">
        <is>
          <t>LOW</t>
        </is>
      </c>
      <c r="N104" s="29" t="inlineStr">
        <is>
          <t>0.2925</t>
        </is>
      </c>
      <c r="O104" s="29" t="inlineStr">
        <is>
          <t>EXPENSIVE</t>
        </is>
      </c>
      <c r="P104" s="29" t="inlineStr">
        <is>
          <t>EXPENSIVE</t>
        </is>
      </c>
      <c r="Q104" s="29" t="inlineStr">
        <is>
          <t>EXPENSIVE</t>
        </is>
      </c>
      <c r="R104" s="29" t="inlineStr">
        <is>
          <t>0.9167677788852596</t>
        </is>
      </c>
      <c r="S104" s="29" t="inlineStr">
        <is>
          <t>HIGH</t>
        </is>
      </c>
      <c r="T104" s="29" t="inlineStr">
        <is>
          <t>HIGH</t>
        </is>
      </c>
      <c r="U104" s="29" t="inlineStr">
        <is>
          <t>0.5714285714285714</t>
        </is>
      </c>
      <c r="V104" s="29" t="inlineStr">
        <is>
          <t>HIGH_RISK</t>
        </is>
      </c>
      <c r="W104" s="29" t="inlineStr">
        <is>
          <t>고위험</t>
        </is>
      </c>
      <c r="X104" s="29" t="inlineStr">
        <is>
          <t>HIGH_RISK</t>
        </is>
      </c>
      <c r="Y104" s="29" t="inlineStr">
        <is>
          <t>0.9751947390683402</t>
        </is>
      </c>
      <c r="Z104" s="29" t="inlineStr">
        <is>
          <t>HIGH</t>
        </is>
      </c>
      <c r="AA104" s="29" t="inlineStr">
        <is>
          <t>HIGH</t>
        </is>
      </c>
      <c r="AB104" s="29" t="inlineStr">
        <is>
          <t>0.11312412490832129</t>
        </is>
      </c>
      <c r="AC104" s="29" t="inlineStr">
        <is>
          <t>False</t>
        </is>
      </c>
      <c r="AD104" s="29" t="inlineStr">
        <is>
          <t>True</t>
        </is>
      </c>
      <c r="AE104" s="29" t="inlineStr">
        <is>
          <t>valuation_credit_ml_overlay_candidate.csv</t>
        </is>
      </c>
      <c r="AF104" s="29" t="inlineStr">
        <is>
          <t>208개 반도체 reference universe. Valuation Agent가 자체 intake 폴더로 복제해 Peer/ML/대시보드 비교에 사용.</t>
        </is>
      </c>
    </row>
    <row r="105" ht="24" customHeight="1">
      <c r="A105" s="24" t="inlineStr">
        <is>
          <t>29</t>
        </is>
      </c>
      <c r="B105" s="24" t="inlineStr">
        <is>
          <t>해당 없음</t>
        </is>
      </c>
      <c r="C105" s="24" t="inlineStr">
        <is>
          <t>자람테크놀로지</t>
        </is>
      </c>
      <c r="D105" s="24" t="inlineStr">
        <is>
          <t>389020</t>
        </is>
      </c>
      <c r="E105" s="24" t="inlineStr">
        <is>
          <t>KOSDAQ</t>
        </is>
      </c>
      <c r="F105" s="24" t="inlineStr">
        <is>
          <t>IDM/제조/메모리</t>
        </is>
      </c>
      <c r="G105" s="24" t="inlineStr">
        <is>
          <t>IDM/제조/메모리</t>
        </is>
      </c>
      <c r="H105" s="24" t="inlineStr">
        <is>
          <t>False</t>
        </is>
      </c>
      <c r="I105" s="24" t="inlineStr">
        <is>
          <t>True</t>
        </is>
      </c>
      <c r="J105" s="24" t="inlineStr">
        <is>
          <t>OK</t>
        </is>
      </c>
      <c r="K105" s="24" t="inlineStr">
        <is>
          <t>데이터 사용 가능</t>
        </is>
      </c>
      <c r="L105" s="24" t="inlineStr">
        <is>
          <t>LOW</t>
        </is>
      </c>
      <c r="M105" s="24" t="inlineStr">
        <is>
          <t>LOW</t>
        </is>
      </c>
      <c r="N105" s="24" t="inlineStr">
        <is>
          <t>0.1995</t>
        </is>
      </c>
      <c r="O105" s="24" t="inlineStr">
        <is>
          <t>EXPENSIVE</t>
        </is>
      </c>
      <c r="P105" s="24" t="inlineStr">
        <is>
          <t>EXPENSIVE</t>
        </is>
      </c>
      <c r="Q105" s="24" t="inlineStr">
        <is>
          <t>EXPENSIVE</t>
        </is>
      </c>
      <c r="R105" s="24" t="inlineStr">
        <is>
          <t>0.6873284389381621</t>
        </is>
      </c>
      <c r="S105" s="24" t="inlineStr">
        <is>
          <t>MEDIUM</t>
        </is>
      </c>
      <c r="T105" s="24" t="inlineStr">
        <is>
          <t>MEDIUM</t>
        </is>
      </c>
      <c r="U105" s="24" t="inlineStr">
        <is>
          <t>0.2142857142857142</t>
        </is>
      </c>
      <c r="V105" s="24" t="inlineStr">
        <is>
          <t>MEDIUM_RISK</t>
        </is>
      </c>
      <c r="W105" s="24" t="inlineStr">
        <is>
          <t>중위험</t>
        </is>
      </c>
      <c r="X105" s="24" t="inlineStr">
        <is>
          <t>MEDIUM_RISK</t>
        </is>
      </c>
      <c r="Y105" s="24" t="inlineStr">
        <is>
          <t>0.7087592263635621</t>
        </is>
      </c>
      <c r="Z105" s="24" t="inlineStr">
        <is>
          <t>HIGH</t>
        </is>
      </c>
      <c r="AA105" s="24" t="inlineStr">
        <is>
          <t>HIGH</t>
        </is>
      </c>
      <c r="AB105" s="24" t="inlineStr">
        <is>
          <t>0.14222896108498048</t>
        </is>
      </c>
      <c r="AC105" s="24" t="inlineStr">
        <is>
          <t>False</t>
        </is>
      </c>
      <c r="AD105" s="24" t="inlineStr">
        <is>
          <t>False</t>
        </is>
      </c>
      <c r="AE105" s="24" t="inlineStr">
        <is>
          <t>valuation_credit_ml_overlay_candidate.csv</t>
        </is>
      </c>
      <c r="AF105" s="24" t="inlineStr">
        <is>
          <t>208개 반도체 reference universe. Valuation Agent가 자체 intake 폴더로 복제해 Peer/ML/대시보드 비교에 사용.</t>
        </is>
      </c>
    </row>
    <row r="106" ht="24" customHeight="1">
      <c r="A106" s="29" t="inlineStr">
        <is>
          <t>39</t>
        </is>
      </c>
      <c r="B106" s="29" t="inlineStr">
        <is>
          <t>해당 없음</t>
        </is>
      </c>
      <c r="C106" s="29" t="inlineStr">
        <is>
          <t>하이딥</t>
        </is>
      </c>
      <c r="D106" s="29" t="inlineStr">
        <is>
          <t>365590</t>
        </is>
      </c>
      <c r="E106" s="29" t="inlineStr">
        <is>
          <t>KOSDAQ</t>
        </is>
      </c>
      <c r="F106" s="29" t="inlineStr">
        <is>
          <t>IDM/제조/메모리</t>
        </is>
      </c>
      <c r="G106" s="29" t="inlineStr">
        <is>
          <t>IDM/제조/메모리</t>
        </is>
      </c>
      <c r="H106" s="29" t="inlineStr">
        <is>
          <t>False</t>
        </is>
      </c>
      <c r="I106" s="29" t="inlineStr">
        <is>
          <t>True</t>
        </is>
      </c>
      <c r="J106" s="29" t="inlineStr">
        <is>
          <t>OK</t>
        </is>
      </c>
      <c r="K106" s="29" t="inlineStr">
        <is>
          <t>데이터 사용 가능</t>
        </is>
      </c>
      <c r="L106" s="29" t="inlineStr">
        <is>
          <t>LOW</t>
        </is>
      </c>
      <c r="M106" s="29" t="inlineStr">
        <is>
          <t>LOW</t>
        </is>
      </c>
      <c r="N106" s="29" t="inlineStr">
        <is>
          <t>0.125</t>
        </is>
      </c>
      <c r="O106" s="29" t="inlineStr">
        <is>
          <t>EXPENSIVE</t>
        </is>
      </c>
      <c r="P106" s="29" t="inlineStr">
        <is>
          <t>EXPENSIVE</t>
        </is>
      </c>
      <c r="Q106" s="29" t="inlineStr">
        <is>
          <t>EXPENSIVE</t>
        </is>
      </c>
      <c r="R106" s="29" t="inlineStr">
        <is>
          <t>0.93355514861914</t>
        </is>
      </c>
      <c r="S106" s="29" t="inlineStr">
        <is>
          <t>HIGH</t>
        </is>
      </c>
      <c r="T106" s="29" t="inlineStr">
        <is>
          <t>HIGH</t>
        </is>
      </c>
      <c r="U106" s="29" t="inlineStr">
        <is>
          <t>0.8571428571428571</t>
        </is>
      </c>
      <c r="V106" s="29" t="inlineStr">
        <is>
          <t>HIGH_RISK</t>
        </is>
      </c>
      <c r="W106" s="29" t="inlineStr">
        <is>
          <t>고위험</t>
        </is>
      </c>
      <c r="X106" s="29" t="inlineStr">
        <is>
          <t>HIGH_RISK</t>
        </is>
      </c>
      <c r="Y106" s="29" t="inlineStr">
        <is>
          <t>0.9622719553866781</t>
        </is>
      </c>
      <c r="Z106" s="29" t="inlineStr">
        <is>
          <t>HIGH</t>
        </is>
      </c>
      <c r="AA106" s="29" t="inlineStr">
        <is>
          <t>HIGH</t>
        </is>
      </c>
      <c r="AB106" s="29" t="inlineStr">
        <is>
          <t>0.9999999977412558</t>
        </is>
      </c>
      <c r="AC106" s="29" t="inlineStr">
        <is>
          <t>True</t>
        </is>
      </c>
      <c r="AD106" s="29" t="inlineStr">
        <is>
          <t>True</t>
        </is>
      </c>
      <c r="AE106" s="29" t="inlineStr">
        <is>
          <t>valuation_credit_ml_overlay_candidate.csv</t>
        </is>
      </c>
      <c r="AF106" s="29" t="inlineStr">
        <is>
          <t>208개 반도체 reference universe. Valuation Agent가 자체 intake 폴더로 복제해 Peer/ML/대시보드 비교에 사용.</t>
        </is>
      </c>
    </row>
    <row r="107" ht="24" customHeight="1">
      <c r="A107" s="24" t="inlineStr">
        <is>
          <t>203</t>
        </is>
      </c>
      <c r="B107" s="24" t="inlineStr">
        <is>
          <t>해당 없음</t>
        </is>
      </c>
      <c r="C107" s="24" t="inlineStr">
        <is>
          <t>인터플렉스</t>
        </is>
      </c>
      <c r="D107" s="24" t="inlineStr">
        <is>
          <t>051370</t>
        </is>
      </c>
      <c r="E107" s="24" t="inlineStr">
        <is>
          <t>KOSDAQ</t>
        </is>
      </c>
      <c r="F107" s="24" t="inlineStr">
        <is>
          <t>부품/기판</t>
        </is>
      </c>
      <c r="G107" s="24" t="inlineStr">
        <is>
          <t>부품/기판</t>
        </is>
      </c>
      <c r="H107" s="24" t="inlineStr">
        <is>
          <t>False</t>
        </is>
      </c>
      <c r="I107" s="24" t="inlineStr">
        <is>
          <t>True</t>
        </is>
      </c>
      <c r="J107" s="24" t="inlineStr">
        <is>
          <t>OK</t>
        </is>
      </c>
      <c r="K107" s="24" t="inlineStr">
        <is>
          <t>데이터 사용 가능</t>
        </is>
      </c>
      <c r="L107" s="24" t="inlineStr">
        <is>
          <t>LOW</t>
        </is>
      </c>
      <c r="M107" s="24" t="inlineStr">
        <is>
          <t>LOW</t>
        </is>
      </c>
      <c r="N107" s="24" t="inlineStr">
        <is>
          <t>0.709047619047619</t>
        </is>
      </c>
      <c r="O107" s="24" t="inlineStr">
        <is>
          <t>FAIR</t>
        </is>
      </c>
      <c r="P107" s="24" t="inlineStr">
        <is>
          <t>FAIR</t>
        </is>
      </c>
      <c r="Q107" s="24" t="inlineStr">
        <is>
          <t>FAIR</t>
        </is>
      </c>
      <c r="R107" s="24" t="inlineStr">
        <is>
          <t>0.904555257888918</t>
        </is>
      </c>
      <c r="S107" s="24" t="inlineStr">
        <is>
          <t>HIGH</t>
        </is>
      </c>
      <c r="T107" s="24" t="inlineStr">
        <is>
          <t>HIGH</t>
        </is>
      </c>
      <c r="U107" s="24" t="inlineStr">
        <is>
          <t>0.0714285714285714</t>
        </is>
      </c>
      <c r="V107" s="24" t="inlineStr">
        <is>
          <t>LOW_RISK</t>
        </is>
      </c>
      <c r="W107" s="24" t="inlineStr">
        <is>
          <t>저위험</t>
        </is>
      </c>
      <c r="X107" s="24" t="inlineStr">
        <is>
          <t>LOW_RISK</t>
        </is>
      </c>
      <c r="Y107" s="24" t="inlineStr">
        <is>
          <t>0.8421993774288782</t>
        </is>
      </c>
      <c r="Z107" s="24" t="inlineStr">
        <is>
          <t>HIGH</t>
        </is>
      </c>
      <c r="AA107" s="24" t="inlineStr">
        <is>
          <t>HIGH</t>
        </is>
      </c>
      <c r="AB107" s="24" t="inlineStr">
        <is>
          <t>0.04875174090091772</t>
        </is>
      </c>
      <c r="AC107" s="24" t="inlineStr">
        <is>
          <t>False</t>
        </is>
      </c>
      <c r="AD107" s="24" t="inlineStr">
        <is>
          <t>False</t>
        </is>
      </c>
      <c r="AE107" s="24" t="inlineStr">
        <is>
          <t>valuation_credit_ml_overlay_candidate.csv</t>
        </is>
      </c>
      <c r="AF107" s="24" t="inlineStr">
        <is>
          <t>208개 반도체 reference universe. Valuation Agent가 자체 intake 폴더로 복제해 Peer/ML/대시보드 비교에 사용.</t>
        </is>
      </c>
    </row>
    <row r="108" ht="24" customHeight="1">
      <c r="A108" s="29" t="inlineStr">
        <is>
          <t>204</t>
        </is>
      </c>
      <c r="B108" s="29" t="inlineStr">
        <is>
          <t>해당 없음</t>
        </is>
      </c>
      <c r="C108" s="29" t="inlineStr">
        <is>
          <t>자화전자</t>
        </is>
      </c>
      <c r="D108" s="29" t="inlineStr">
        <is>
          <t>033240</t>
        </is>
      </c>
      <c r="E108" s="29" t="inlineStr">
        <is>
          <t>KOSPI</t>
        </is>
      </c>
      <c r="F108" s="29" t="inlineStr">
        <is>
          <t>부품/기판</t>
        </is>
      </c>
      <c r="G108" s="29" t="inlineStr">
        <is>
          <t>부품/기판</t>
        </is>
      </c>
      <c r="H108" s="29" t="inlineStr">
        <is>
          <t>False</t>
        </is>
      </c>
      <c r="I108" s="29" t="inlineStr">
        <is>
          <t>True</t>
        </is>
      </c>
      <c r="J108" s="29" t="inlineStr">
        <is>
          <t>OK</t>
        </is>
      </c>
      <c r="K108" s="29" t="inlineStr">
        <is>
          <t>데이터 사용 가능</t>
        </is>
      </c>
      <c r="L108" s="29" t="inlineStr">
        <is>
          <t>LOW</t>
        </is>
      </c>
      <c r="M108" s="29" t="inlineStr">
        <is>
          <t>LOW</t>
        </is>
      </c>
      <c r="N108" s="29" t="inlineStr">
        <is>
          <t>0.6647619047619049</t>
        </is>
      </c>
      <c r="O108" s="29" t="inlineStr">
        <is>
          <t>FAIR</t>
        </is>
      </c>
      <c r="P108" s="29" t="inlineStr">
        <is>
          <t>FAIR</t>
        </is>
      </c>
      <c r="Q108" s="29" t="inlineStr">
        <is>
          <t>FAIR</t>
        </is>
      </c>
      <c r="R108" s="29" t="inlineStr">
        <is>
          <t>0.9380223994723259</t>
        </is>
      </c>
      <c r="S108" s="29" t="inlineStr">
        <is>
          <t>HIGH</t>
        </is>
      </c>
      <c r="T108" s="29" t="inlineStr">
        <is>
          <t>HIGH</t>
        </is>
      </c>
      <c r="U108" s="29" t="inlineStr">
        <is>
          <t>0.0714285714285714</t>
        </is>
      </c>
      <c r="V108" s="29" t="inlineStr">
        <is>
          <t>LOW_RISK</t>
        </is>
      </c>
      <c r="W108" s="29" t="inlineStr">
        <is>
          <t>저위험</t>
        </is>
      </c>
      <c r="X108" s="29" t="inlineStr">
        <is>
          <t>LOW_RISK</t>
        </is>
      </c>
      <c r="Y108" s="29" t="inlineStr">
        <is>
          <t>0.7827117376718701</t>
        </is>
      </c>
      <c r="Z108" s="29" t="inlineStr">
        <is>
          <t>HIGH</t>
        </is>
      </c>
      <c r="AA108" s="29" t="inlineStr">
        <is>
          <t>HIGH</t>
        </is>
      </c>
      <c r="AB108" s="29" t="inlineStr">
        <is>
          <t>0.004560941446629287</t>
        </is>
      </c>
      <c r="AC108" s="29" t="inlineStr">
        <is>
          <t>False</t>
        </is>
      </c>
      <c r="AD108" s="29" t="inlineStr">
        <is>
          <t>False</t>
        </is>
      </c>
      <c r="AE108" s="29" t="inlineStr">
        <is>
          <t>valuation_credit_ml_overlay_candidate.csv</t>
        </is>
      </c>
      <c r="AF108" s="29" t="inlineStr">
        <is>
          <t>208개 반도체 reference universe. Valuation Agent가 자체 intake 폴더로 복제해 Peer/ML/대시보드 비교에 사용.</t>
        </is>
      </c>
    </row>
    <row r="109" ht="24" customHeight="1">
      <c r="A109" s="24" t="inlineStr">
        <is>
          <t>206</t>
        </is>
      </c>
      <c r="B109" s="24" t="inlineStr">
        <is>
          <t>해당 없음</t>
        </is>
      </c>
      <c r="C109" s="24" t="inlineStr">
        <is>
          <t>코미코</t>
        </is>
      </c>
      <c r="D109" s="24" t="inlineStr">
        <is>
          <t>183300</t>
        </is>
      </c>
      <c r="E109" s="24" t="inlineStr">
        <is>
          <t>KOSDAQ GLOBAL</t>
        </is>
      </c>
      <c r="F109" s="24" t="inlineStr">
        <is>
          <t>부품/기판</t>
        </is>
      </c>
      <c r="G109" s="24" t="inlineStr">
        <is>
          <t>부품/기판</t>
        </is>
      </c>
      <c r="H109" s="24" t="inlineStr">
        <is>
          <t>False</t>
        </is>
      </c>
      <c r="I109" s="24" t="inlineStr">
        <is>
          <t>True</t>
        </is>
      </c>
      <c r="J109" s="24" t="inlineStr">
        <is>
          <t>OK</t>
        </is>
      </c>
      <c r="K109" s="24" t="inlineStr">
        <is>
          <t>데이터 사용 가능</t>
        </is>
      </c>
      <c r="L109" s="24" t="inlineStr">
        <is>
          <t>LOW</t>
        </is>
      </c>
      <c r="M109" s="24" t="inlineStr">
        <is>
          <t>LOW</t>
        </is>
      </c>
      <c r="N109" s="24" t="inlineStr">
        <is>
          <t>0.6342857142857143</t>
        </is>
      </c>
      <c r="O109" s="24" t="inlineStr">
        <is>
          <t>FAIR</t>
        </is>
      </c>
      <c r="P109" s="24" t="inlineStr">
        <is>
          <t>FAIR</t>
        </is>
      </c>
      <c r="Q109" s="24" t="inlineStr">
        <is>
          <t>FAIR</t>
        </is>
      </c>
      <c r="R109" s="24" t="inlineStr">
        <is>
          <t>0.8305894153326006</t>
        </is>
      </c>
      <c r="S109" s="24" t="inlineStr">
        <is>
          <t>HIGH</t>
        </is>
      </c>
      <c r="T109" s="24" t="inlineStr">
        <is>
          <t>HIGH</t>
        </is>
      </c>
      <c r="U109" s="24" t="inlineStr">
        <is>
          <t>0.3571428571428571</t>
        </is>
      </c>
      <c r="V109" s="24" t="inlineStr">
        <is>
          <t>MEDIUM_RISK</t>
        </is>
      </c>
      <c r="W109" s="24" t="inlineStr">
        <is>
          <t>중위험</t>
        </is>
      </c>
      <c r="X109" s="24" t="inlineStr">
        <is>
          <t>MEDIUM_RISK</t>
        </is>
      </c>
      <c r="Y109" s="24" t="inlineStr">
        <is>
          <t>0.6510391794232897</t>
        </is>
      </c>
      <c r="Z109" s="24" t="inlineStr">
        <is>
          <t>MEDIUM</t>
        </is>
      </c>
      <c r="AA109" s="24" t="inlineStr">
        <is>
          <t>MEDIUM</t>
        </is>
      </c>
      <c r="AB109" s="24" t="inlineStr">
        <is>
          <t>0.08075637337557524</t>
        </is>
      </c>
      <c r="AC109" s="24" t="inlineStr">
        <is>
          <t>False</t>
        </is>
      </c>
      <c r="AD109" s="24" t="inlineStr">
        <is>
          <t>False</t>
        </is>
      </c>
      <c r="AE109" s="24" t="inlineStr">
        <is>
          <t>valuation_credit_ml_overlay_candidate.csv</t>
        </is>
      </c>
      <c r="AF109" s="24" t="inlineStr">
        <is>
          <t>208개 반도체 reference universe. Valuation Agent가 자체 intake 폴더로 복제해 Peer/ML/대시보드 비교에 사용.</t>
        </is>
      </c>
    </row>
    <row r="110" ht="24" customHeight="1">
      <c r="A110" s="29" t="inlineStr">
        <is>
          <t>196</t>
        </is>
      </c>
      <c r="B110" s="29" t="inlineStr">
        <is>
          <t>해당 없음</t>
        </is>
      </c>
      <c r="C110" s="29" t="inlineStr">
        <is>
          <t>비에이치</t>
        </is>
      </c>
      <c r="D110" s="29" t="inlineStr">
        <is>
          <t>090460</t>
        </is>
      </c>
      <c r="E110" s="29" t="inlineStr">
        <is>
          <t>KOSPI</t>
        </is>
      </c>
      <c r="F110" s="29" t="inlineStr">
        <is>
          <t>부품/기판</t>
        </is>
      </c>
      <c r="G110" s="29" t="inlineStr">
        <is>
          <t>부품/기판</t>
        </is>
      </c>
      <c r="H110" s="29" t="inlineStr">
        <is>
          <t>False</t>
        </is>
      </c>
      <c r="I110" s="29" t="inlineStr">
        <is>
          <t>True</t>
        </is>
      </c>
      <c r="J110" s="29" t="inlineStr">
        <is>
          <t>OK</t>
        </is>
      </c>
      <c r="K110" s="29" t="inlineStr">
        <is>
          <t>데이터 사용 가능</t>
        </is>
      </c>
      <c r="L110" s="29" t="inlineStr">
        <is>
          <t>LOW</t>
        </is>
      </c>
      <c r="M110" s="29" t="inlineStr">
        <is>
          <t>LOW</t>
        </is>
      </c>
      <c r="N110" s="29" t="inlineStr">
        <is>
          <t>0.5752380952380951</t>
        </is>
      </c>
      <c r="O110" s="29" t="inlineStr">
        <is>
          <t>FAIR</t>
        </is>
      </c>
      <c r="P110" s="29" t="inlineStr">
        <is>
          <t>FAIR</t>
        </is>
      </c>
      <c r="Q110" s="29" t="inlineStr">
        <is>
          <t>FAIR</t>
        </is>
      </c>
      <c r="R110" s="29" t="inlineStr">
        <is>
          <t>0.5078538652826</t>
        </is>
      </c>
      <c r="S110" s="29" t="inlineStr">
        <is>
          <t>MEDIUM</t>
        </is>
      </c>
      <c r="T110" s="29" t="inlineStr">
        <is>
          <t>MEDIUM</t>
        </is>
      </c>
      <c r="U110" s="29" t="inlineStr">
        <is>
          <t>0.0</t>
        </is>
      </c>
      <c r="V110" s="29" t="inlineStr">
        <is>
          <t>LOW_RISK</t>
        </is>
      </c>
      <c r="W110" s="29" t="inlineStr">
        <is>
          <t>저위험</t>
        </is>
      </c>
      <c r="X110" s="29" t="inlineStr">
        <is>
          <t>LOW_RISK</t>
        </is>
      </c>
      <c r="Y110" s="29" t="inlineStr">
        <is>
          <t>0.8498731799769995</t>
        </is>
      </c>
      <c r="Z110" s="29" t="inlineStr">
        <is>
          <t>HIGH</t>
        </is>
      </c>
      <c r="AA110" s="29" t="inlineStr">
        <is>
          <t>HIGH</t>
        </is>
      </c>
      <c r="AB110" s="29" t="inlineStr">
        <is>
          <t>0.004189789054000619</t>
        </is>
      </c>
      <c r="AC110" s="29" t="inlineStr">
        <is>
          <t>False</t>
        </is>
      </c>
      <c r="AD110" s="29" t="inlineStr">
        <is>
          <t>False</t>
        </is>
      </c>
      <c r="AE110" s="29" t="inlineStr">
        <is>
          <t>valuation_credit_ml_overlay_candidate.csv</t>
        </is>
      </c>
      <c r="AF110" s="29" t="inlineStr">
        <is>
          <t>208개 반도체 reference universe. Valuation Agent가 자체 intake 폴더로 복제해 Peer/ML/대시보드 비교에 사용.</t>
        </is>
      </c>
    </row>
    <row r="111" ht="24" customHeight="1">
      <c r="A111" s="24" t="inlineStr">
        <is>
          <t>198</t>
        </is>
      </c>
      <c r="B111" s="24" t="inlineStr">
        <is>
          <t>해당 없음</t>
        </is>
      </c>
      <c r="C111" s="24" t="inlineStr">
        <is>
          <t>심텍홀딩스</t>
        </is>
      </c>
      <c r="D111" s="24" t="inlineStr">
        <is>
          <t>036710</t>
        </is>
      </c>
      <c r="E111" s="24" t="inlineStr">
        <is>
          <t>KOSDAQ</t>
        </is>
      </c>
      <c r="F111" s="24" t="inlineStr">
        <is>
          <t>부품/기판</t>
        </is>
      </c>
      <c r="G111" s="24" t="inlineStr">
        <is>
          <t>부품/기판</t>
        </is>
      </c>
      <c r="H111" s="24" t="inlineStr">
        <is>
          <t>False</t>
        </is>
      </c>
      <c r="I111" s="24" t="inlineStr">
        <is>
          <t>True</t>
        </is>
      </c>
      <c r="J111" s="24" t="inlineStr">
        <is>
          <t>OK</t>
        </is>
      </c>
      <c r="K111" s="24" t="inlineStr">
        <is>
          <t>데이터 사용 가능</t>
        </is>
      </c>
      <c r="L111" s="24" t="inlineStr">
        <is>
          <t>LOW</t>
        </is>
      </c>
      <c r="M111" s="24" t="inlineStr">
        <is>
          <t>LOW</t>
        </is>
      </c>
      <c r="N111" s="24" t="inlineStr">
        <is>
          <t>0.5323809523809524</t>
        </is>
      </c>
      <c r="O111" s="24" t="inlineStr">
        <is>
          <t>FAIR</t>
        </is>
      </c>
      <c r="P111" s="24" t="inlineStr">
        <is>
          <t>FAIR</t>
        </is>
      </c>
      <c r="Q111" s="24" t="inlineStr">
        <is>
          <t>FAIR</t>
        </is>
      </c>
      <c r="R111" s="24" t="inlineStr">
        <is>
          <t>0.726519318190825</t>
        </is>
      </c>
      <c r="S111" s="24" t="inlineStr">
        <is>
          <t>HIGH</t>
        </is>
      </c>
      <c r="T111" s="24" t="inlineStr">
        <is>
          <t>HIGH</t>
        </is>
      </c>
      <c r="U111" s="24" t="inlineStr">
        <is>
          <t>0.7857142857142857</t>
        </is>
      </c>
      <c r="V111" s="24" t="inlineStr">
        <is>
          <t>HIGH_RISK</t>
        </is>
      </c>
      <c r="W111" s="24" t="inlineStr">
        <is>
          <t>고위험</t>
        </is>
      </c>
      <c r="X111" s="24" t="inlineStr">
        <is>
          <t>HIGH_RISK</t>
        </is>
      </c>
      <c r="Y111" s="24" t="inlineStr">
        <is>
          <t>0.9494990496511118</t>
        </is>
      </c>
      <c r="Z111" s="24" t="inlineStr">
        <is>
          <t>HIGH</t>
        </is>
      </c>
      <c r="AA111" s="24" t="inlineStr">
        <is>
          <t>HIGH</t>
        </is>
      </c>
      <c r="AB111" s="24" t="inlineStr">
        <is>
          <t>0.2133344405871512</t>
        </is>
      </c>
      <c r="AC111" s="24" t="inlineStr">
        <is>
          <t>False</t>
        </is>
      </c>
      <c r="AD111" s="24" t="inlineStr">
        <is>
          <t>False</t>
        </is>
      </c>
      <c r="AE111" s="24" t="inlineStr">
        <is>
          <t>valuation_credit_ml_overlay_candidate.csv</t>
        </is>
      </c>
      <c r="AF111" s="24" t="inlineStr">
        <is>
          <t>208개 반도체 reference universe. Valuation Agent가 자체 intake 폴더로 복제해 Peer/ML/대시보드 비교에 사용.</t>
        </is>
      </c>
    </row>
    <row r="112" ht="24" customHeight="1">
      <c r="A112" s="29" t="inlineStr">
        <is>
          <t>201</t>
        </is>
      </c>
      <c r="B112" s="29" t="inlineStr">
        <is>
          <t>해당 없음</t>
        </is>
      </c>
      <c r="C112" s="29" t="inlineStr">
        <is>
          <t>엠디바이스</t>
        </is>
      </c>
      <c r="D112" s="29" t="inlineStr">
        <is>
          <t>226590</t>
        </is>
      </c>
      <c r="E112" s="29" t="inlineStr">
        <is>
          <t>KOSDAQ</t>
        </is>
      </c>
      <c r="F112" s="29" t="inlineStr">
        <is>
          <t>부품/기판</t>
        </is>
      </c>
      <c r="G112" s="29" t="inlineStr">
        <is>
          <t>부품/기판</t>
        </is>
      </c>
      <c r="H112" s="29" t="inlineStr">
        <is>
          <t>False</t>
        </is>
      </c>
      <c r="I112" s="29" t="inlineStr">
        <is>
          <t>True</t>
        </is>
      </c>
      <c r="J112" s="29" t="inlineStr">
        <is>
          <t>OK_LIMITED_HISTORY_OR_GROWTH_NA</t>
        </is>
      </c>
      <c r="K112" s="29" t="inlineStr">
        <is>
          <t>데이터 사용 가능</t>
        </is>
      </c>
      <c r="L112" s="29" t="inlineStr">
        <is>
          <t>LOW</t>
        </is>
      </c>
      <c r="M112" s="29" t="inlineStr">
        <is>
          <t>LOW</t>
        </is>
      </c>
      <c r="N112" s="29" t="inlineStr">
        <is>
          <t>0.531904761904762</t>
        </is>
      </c>
      <c r="O112" s="29" t="inlineStr">
        <is>
          <t>FAIR</t>
        </is>
      </c>
      <c r="P112" s="29" t="inlineStr">
        <is>
          <t>FAIR</t>
        </is>
      </c>
      <c r="Q112" s="29" t="inlineStr">
        <is>
          <t>FAIR</t>
        </is>
      </c>
      <c r="R112" s="29" t="inlineStr">
        <is>
          <t>0.7655361666958056</t>
        </is>
      </c>
      <c r="S112" s="29" t="inlineStr">
        <is>
          <t>HIGH</t>
        </is>
      </c>
      <c r="T112" s="29" t="inlineStr">
        <is>
          <t>HIGH</t>
        </is>
      </c>
      <c r="U112" s="29" t="inlineStr">
        <is>
          <t>0.4285714285714285</t>
        </is>
      </c>
      <c r="V112" s="29" t="inlineStr">
        <is>
          <t>HIGH_RISK</t>
        </is>
      </c>
      <c r="W112" s="29" t="inlineStr">
        <is>
          <t>고위험</t>
        </is>
      </c>
      <c r="X112" s="29" t="inlineStr">
        <is>
          <t>HIGH_RISK</t>
        </is>
      </c>
      <c r="Y112" s="29" t="inlineStr">
        <is>
          <t>0.5435613311923726</t>
        </is>
      </c>
      <c r="Z112" s="29" t="inlineStr">
        <is>
          <t>MEDIUM</t>
        </is>
      </c>
      <c r="AA112" s="29" t="inlineStr">
        <is>
          <t>MEDIUM</t>
        </is>
      </c>
      <c r="AB112" s="29" t="inlineStr">
        <is>
          <t>0.09953338023728169</t>
        </is>
      </c>
      <c r="AC112" s="29" t="inlineStr">
        <is>
          <t>False</t>
        </is>
      </c>
      <c r="AD112" s="29" t="inlineStr">
        <is>
          <t>True</t>
        </is>
      </c>
      <c r="AE112" s="29" t="inlineStr">
        <is>
          <t>valuation_credit_ml_overlay_candidate.csv</t>
        </is>
      </c>
      <c r="AF112" s="29" t="inlineStr">
        <is>
          <t>208개 반도체 reference universe. Valuation Agent가 자체 intake 폴더로 복제해 Peer/ML/대시보드 비교에 사용.</t>
        </is>
      </c>
    </row>
    <row r="113" ht="24" customHeight="1">
      <c r="A113" s="24" t="inlineStr">
        <is>
          <t>207</t>
        </is>
      </c>
      <c r="B113" s="24" t="inlineStr">
        <is>
          <t>해당 없음</t>
        </is>
      </c>
      <c r="C113" s="24" t="inlineStr">
        <is>
          <t>타이거일렉</t>
        </is>
      </c>
      <c r="D113" s="24" t="inlineStr">
        <is>
          <t>219130</t>
        </is>
      </c>
      <c r="E113" s="24" t="inlineStr">
        <is>
          <t>KOSDAQ</t>
        </is>
      </c>
      <c r="F113" s="24" t="inlineStr">
        <is>
          <t>부품/기판</t>
        </is>
      </c>
      <c r="G113" s="24" t="inlineStr">
        <is>
          <t>부품/기판</t>
        </is>
      </c>
      <c r="H113" s="24" t="inlineStr">
        <is>
          <t>False</t>
        </is>
      </c>
      <c r="I113" s="24" t="inlineStr">
        <is>
          <t>True</t>
        </is>
      </c>
      <c r="J113" s="24" t="inlineStr">
        <is>
          <t>OK</t>
        </is>
      </c>
      <c r="K113" s="24" t="inlineStr">
        <is>
          <t>데이터 사용 가능</t>
        </is>
      </c>
      <c r="L113" s="24" t="inlineStr">
        <is>
          <t>LOW</t>
        </is>
      </c>
      <c r="M113" s="24" t="inlineStr">
        <is>
          <t>LOW</t>
        </is>
      </c>
      <c r="N113" s="24" t="inlineStr">
        <is>
          <t>0.5066666666666667</t>
        </is>
      </c>
      <c r="O113" s="24" t="inlineStr">
        <is>
          <t>FAIR</t>
        </is>
      </c>
      <c r="P113" s="24" t="inlineStr">
        <is>
          <t>FAIR</t>
        </is>
      </c>
      <c r="Q113" s="24" t="inlineStr">
        <is>
          <t>FAIR</t>
        </is>
      </c>
      <c r="R113" s="24" t="inlineStr">
        <is>
          <t>0.6463040733623892</t>
        </is>
      </c>
      <c r="S113" s="24" t="inlineStr">
        <is>
          <t>MEDIUM</t>
        </is>
      </c>
      <c r="T113" s="24" t="inlineStr">
        <is>
          <t>MEDIUM</t>
        </is>
      </c>
      <c r="U113" s="24" t="inlineStr">
        <is>
          <t>0.1428571428571428</t>
        </is>
      </c>
      <c r="V113" s="24" t="inlineStr">
        <is>
          <t>LOW_RISK</t>
        </is>
      </c>
      <c r="W113" s="24" t="inlineStr">
        <is>
          <t>저위험</t>
        </is>
      </c>
      <c r="X113" s="24" t="inlineStr">
        <is>
          <t>LOW_RISK</t>
        </is>
      </c>
      <c r="Y113" s="24" t="inlineStr">
        <is>
          <t>0.6693838501840603</t>
        </is>
      </c>
      <c r="Z113" s="24" t="inlineStr">
        <is>
          <t>MEDIUM</t>
        </is>
      </c>
      <c r="AA113" s="24" t="inlineStr">
        <is>
          <t>MEDIUM</t>
        </is>
      </c>
      <c r="AB113" s="24" t="inlineStr">
        <is>
          <t>0.019101509586453232</t>
        </is>
      </c>
      <c r="AC113" s="24" t="inlineStr">
        <is>
          <t>False</t>
        </is>
      </c>
      <c r="AD113" s="24" t="inlineStr">
        <is>
          <t>False</t>
        </is>
      </c>
      <c r="AE113" s="24" t="inlineStr">
        <is>
          <t>valuation_credit_ml_overlay_candidate.csv</t>
        </is>
      </c>
      <c r="AF113" s="24" t="inlineStr">
        <is>
          <t>208개 반도체 reference universe. Valuation Agent가 자체 intake 폴더로 복제해 Peer/ML/대시보드 비교에 사용.</t>
        </is>
      </c>
    </row>
    <row r="114" ht="24" customHeight="1">
      <c r="A114" s="29" t="inlineStr">
        <is>
          <t>202</t>
        </is>
      </c>
      <c r="B114" s="29" t="inlineStr">
        <is>
          <t>해당 없음</t>
        </is>
      </c>
      <c r="C114" s="29" t="inlineStr">
        <is>
          <t>이수페타시스</t>
        </is>
      </c>
      <c r="D114" s="29" t="inlineStr">
        <is>
          <t>007660</t>
        </is>
      </c>
      <c r="E114" s="29" t="inlineStr">
        <is>
          <t>KOSPI</t>
        </is>
      </c>
      <c r="F114" s="29" t="inlineStr">
        <is>
          <t>부품/기판</t>
        </is>
      </c>
      <c r="G114" s="29" t="inlineStr">
        <is>
          <t>부품/기판</t>
        </is>
      </c>
      <c r="H114" s="29" t="inlineStr">
        <is>
          <t>False</t>
        </is>
      </c>
      <c r="I114" s="29" t="inlineStr">
        <is>
          <t>True</t>
        </is>
      </c>
      <c r="J114" s="29" t="inlineStr">
        <is>
          <t>OK</t>
        </is>
      </c>
      <c r="K114" s="29" t="inlineStr">
        <is>
          <t>데이터 사용 가능</t>
        </is>
      </c>
      <c r="L114" s="29" t="inlineStr">
        <is>
          <t>LOW</t>
        </is>
      </c>
      <c r="M114" s="29" t="inlineStr">
        <is>
          <t>LOW</t>
        </is>
      </c>
      <c r="N114" s="29" t="inlineStr">
        <is>
          <t>0.5061904761904762</t>
        </is>
      </c>
      <c r="O114" s="29" t="inlineStr">
        <is>
          <t>FAIR</t>
        </is>
      </c>
      <c r="P114" s="29" t="inlineStr">
        <is>
          <t>FAIR</t>
        </is>
      </c>
      <c r="Q114" s="29" t="inlineStr">
        <is>
          <t>FAIR</t>
        </is>
      </c>
      <c r="R114" s="29" t="inlineStr">
        <is>
          <t>0.599589540069591</t>
        </is>
      </c>
      <c r="S114" s="29" t="inlineStr">
        <is>
          <t>MEDIUM</t>
        </is>
      </c>
      <c r="T114" s="29" t="inlineStr">
        <is>
          <t>MEDIUM</t>
        </is>
      </c>
      <c r="U114" s="29" t="inlineStr">
        <is>
          <t>0.0</t>
        </is>
      </c>
      <c r="V114" s="29" t="inlineStr">
        <is>
          <t>LOW_RISK</t>
        </is>
      </c>
      <c r="W114" s="29" t="inlineStr">
        <is>
          <t>저위험</t>
        </is>
      </c>
      <c r="X114" s="29" t="inlineStr">
        <is>
          <t>LOW_RISK</t>
        </is>
      </c>
      <c r="Y114" s="29" t="inlineStr">
        <is>
          <t>0.8732919913777979</t>
        </is>
      </c>
      <c r="Z114" s="29" t="inlineStr">
        <is>
          <t>HIGH</t>
        </is>
      </c>
      <c r="AA114" s="29" t="inlineStr">
        <is>
          <t>HIGH</t>
        </is>
      </c>
      <c r="AB114" s="29" t="inlineStr">
        <is>
          <t>0.038896158054804106</t>
        </is>
      </c>
      <c r="AC114" s="29" t="inlineStr">
        <is>
          <t>False</t>
        </is>
      </c>
      <c r="AD114" s="29" t="inlineStr">
        <is>
          <t>False</t>
        </is>
      </c>
      <c r="AE114" s="29" t="inlineStr">
        <is>
          <t>valuation_credit_ml_overlay_candidate.csv</t>
        </is>
      </c>
      <c r="AF114" s="29" t="inlineStr">
        <is>
          <t>208개 반도체 reference universe. Valuation Agent가 자체 intake 폴더로 복제해 Peer/ML/대시보드 비교에 사용.</t>
        </is>
      </c>
    </row>
    <row r="115" ht="24" customHeight="1">
      <c r="A115" s="24" t="inlineStr">
        <is>
          <t>205</t>
        </is>
      </c>
      <c r="B115" s="24" t="inlineStr">
        <is>
          <t>해당 없음</t>
        </is>
      </c>
      <c r="C115" s="24" t="inlineStr">
        <is>
          <t>코리아써키트</t>
        </is>
      </c>
      <c r="D115" s="24" t="inlineStr">
        <is>
          <t>007810</t>
        </is>
      </c>
      <c r="E115" s="24" t="inlineStr">
        <is>
          <t>KOSPI</t>
        </is>
      </c>
      <c r="F115" s="24" t="inlineStr">
        <is>
          <t>부품/기판</t>
        </is>
      </c>
      <c r="G115" s="24" t="inlineStr">
        <is>
          <t>부품/기판</t>
        </is>
      </c>
      <c r="H115" s="24" t="inlineStr">
        <is>
          <t>False</t>
        </is>
      </c>
      <c r="I115" s="24" t="inlineStr">
        <is>
          <t>True</t>
        </is>
      </c>
      <c r="J115" s="24" t="inlineStr">
        <is>
          <t>OK</t>
        </is>
      </c>
      <c r="K115" s="24" t="inlineStr">
        <is>
          <t>데이터 사용 가능</t>
        </is>
      </c>
      <c r="L115" s="24" t="inlineStr">
        <is>
          <t>LOW</t>
        </is>
      </c>
      <c r="M115" s="24" t="inlineStr">
        <is>
          <t>LOW</t>
        </is>
      </c>
      <c r="N115" s="24" t="inlineStr">
        <is>
          <t>0.4676190476190476</t>
        </is>
      </c>
      <c r="O115" s="24" t="inlineStr">
        <is>
          <t>FAIR</t>
        </is>
      </c>
      <c r="P115" s="24" t="inlineStr">
        <is>
          <t>FAIR</t>
        </is>
      </c>
      <c r="Q115" s="24" t="inlineStr">
        <is>
          <t>FAIR</t>
        </is>
      </c>
      <c r="R115" s="24" t="inlineStr">
        <is>
          <t>0.8409076697911426</t>
        </is>
      </c>
      <c r="S115" s="24" t="inlineStr">
        <is>
          <t>HIGH</t>
        </is>
      </c>
      <c r="T115" s="24" t="inlineStr">
        <is>
          <t>HIGH</t>
        </is>
      </c>
      <c r="U115" s="24" t="inlineStr">
        <is>
          <t>0.2857142857142857</t>
        </is>
      </c>
      <c r="V115" s="24" t="inlineStr">
        <is>
          <t>MEDIUM_RISK</t>
        </is>
      </c>
      <c r="W115" s="24" t="inlineStr">
        <is>
          <t>중위험</t>
        </is>
      </c>
      <c r="X115" s="24" t="inlineStr">
        <is>
          <t>LOW_RISK</t>
        </is>
      </c>
      <c r="Y115" s="24" t="inlineStr">
        <is>
          <t>0.5792263126697852</t>
        </is>
      </c>
      <c r="Z115" s="24" t="inlineStr">
        <is>
          <t>MEDIUM</t>
        </is>
      </c>
      <c r="AA115" s="24" t="inlineStr">
        <is>
          <t>MEDIUM</t>
        </is>
      </c>
      <c r="AB115" s="24" t="inlineStr">
        <is>
          <t>0.03298450854390864</t>
        </is>
      </c>
      <c r="AC115" s="24" t="inlineStr">
        <is>
          <t>False</t>
        </is>
      </c>
      <c r="AD115" s="24" t="inlineStr">
        <is>
          <t>False</t>
        </is>
      </c>
      <c r="AE115" s="24" t="inlineStr">
        <is>
          <t>valuation_credit_ml_overlay_candidate.csv</t>
        </is>
      </c>
      <c r="AF115" s="24" t="inlineStr">
        <is>
          <t>208개 반도체 reference universe. Valuation Agent가 자체 intake 폴더로 복제해 Peer/ML/대시보드 비교에 사용.</t>
        </is>
      </c>
    </row>
    <row r="116" ht="24" customHeight="1">
      <c r="A116" s="29" t="inlineStr">
        <is>
          <t>200</t>
        </is>
      </c>
      <c r="B116" s="29" t="inlineStr">
        <is>
          <t>해당 없음</t>
        </is>
      </c>
      <c r="C116" s="29" t="inlineStr">
        <is>
          <t>아이티엠반도체</t>
        </is>
      </c>
      <c r="D116" s="29" t="inlineStr">
        <is>
          <t>084850</t>
        </is>
      </c>
      <c r="E116" s="29" t="inlineStr">
        <is>
          <t>KOSDAQ GLOBAL</t>
        </is>
      </c>
      <c r="F116" s="29" t="inlineStr">
        <is>
          <t>부품/기판</t>
        </is>
      </c>
      <c r="G116" s="29" t="inlineStr">
        <is>
          <t>부품/기판</t>
        </is>
      </c>
      <c r="H116" s="29" t="inlineStr">
        <is>
          <t>False</t>
        </is>
      </c>
      <c r="I116" s="29" t="inlineStr">
        <is>
          <t>True</t>
        </is>
      </c>
      <c r="J116" s="29" t="inlineStr">
        <is>
          <t>OK</t>
        </is>
      </c>
      <c r="K116" s="29" t="inlineStr">
        <is>
          <t>데이터 사용 가능</t>
        </is>
      </c>
      <c r="L116" s="29" t="inlineStr">
        <is>
          <t>LOW</t>
        </is>
      </c>
      <c r="M116" s="29" t="inlineStr">
        <is>
          <t>LOW</t>
        </is>
      </c>
      <c r="N116" s="29" t="inlineStr">
        <is>
          <t>0.4123809523809524</t>
        </is>
      </c>
      <c r="O116" s="29" t="inlineStr">
        <is>
          <t>EXPENSIVE</t>
        </is>
      </c>
      <c r="P116" s="29" t="inlineStr">
        <is>
          <t>EXPENSIVE</t>
        </is>
      </c>
      <c r="Q116" s="29" t="inlineStr">
        <is>
          <t>EXPENSIVE</t>
        </is>
      </c>
      <c r="R116" s="29" t="inlineStr">
        <is>
          <t>0.599341656390115</t>
        </is>
      </c>
      <c r="S116" s="29" t="inlineStr">
        <is>
          <t>MEDIUM</t>
        </is>
      </c>
      <c r="T116" s="29" t="inlineStr">
        <is>
          <t>MEDIUM</t>
        </is>
      </c>
      <c r="U116" s="29" t="inlineStr">
        <is>
          <t>0.5</t>
        </is>
      </c>
      <c r="V116" s="29" t="inlineStr">
        <is>
          <t>HIGH_RISK</t>
        </is>
      </c>
      <c r="W116" s="29" t="inlineStr">
        <is>
          <t>고위험</t>
        </is>
      </c>
      <c r="X116" s="29" t="inlineStr">
        <is>
          <t>HIGH_RISK</t>
        </is>
      </c>
      <c r="Y116" s="29" t="inlineStr">
        <is>
          <t>0.5842218052758918</t>
        </is>
      </c>
      <c r="Z116" s="29" t="inlineStr">
        <is>
          <t>MEDIUM</t>
        </is>
      </c>
      <c r="AA116" s="29" t="inlineStr">
        <is>
          <t>MEDIUM</t>
        </is>
      </c>
      <c r="AB116" s="29" t="inlineStr">
        <is>
          <t>0.24031195088694401</t>
        </is>
      </c>
      <c r="AC116" s="29" t="inlineStr">
        <is>
          <t>True</t>
        </is>
      </c>
      <c r="AD116" s="29" t="inlineStr">
        <is>
          <t>True</t>
        </is>
      </c>
      <c r="AE116" s="29" t="inlineStr">
        <is>
          <t>valuation_credit_ml_overlay_candidate.csv</t>
        </is>
      </c>
      <c r="AF116" s="29" t="inlineStr">
        <is>
          <t>208개 반도체 reference universe. Valuation Agent가 자체 intake 폴더로 복제해 Peer/ML/대시보드 비교에 사용.</t>
        </is>
      </c>
    </row>
    <row r="117" ht="24" customHeight="1">
      <c r="A117" s="24" t="inlineStr">
        <is>
          <t>195</t>
        </is>
      </c>
      <c r="B117" s="24" t="inlineStr">
        <is>
          <t>해당 없음</t>
        </is>
      </c>
      <c r="C117" s="24" t="inlineStr">
        <is>
          <t>대덕전자</t>
        </is>
      </c>
      <c r="D117" s="24" t="inlineStr">
        <is>
          <t>353200</t>
        </is>
      </c>
      <c r="E117" s="24" t="inlineStr">
        <is>
          <t>KOSPI</t>
        </is>
      </c>
      <c r="F117" s="24" t="inlineStr">
        <is>
          <t>부품/기판</t>
        </is>
      </c>
      <c r="G117" s="24" t="inlineStr">
        <is>
          <t>부품/기판</t>
        </is>
      </c>
      <c r="H117" s="24" t="inlineStr">
        <is>
          <t>False</t>
        </is>
      </c>
      <c r="I117" s="24" t="inlineStr">
        <is>
          <t>True</t>
        </is>
      </c>
      <c r="J117" s="24" t="inlineStr">
        <is>
          <t>OK</t>
        </is>
      </c>
      <c r="K117" s="24" t="inlineStr">
        <is>
          <t>데이터 사용 가능</t>
        </is>
      </c>
      <c r="L117" s="24" t="inlineStr">
        <is>
          <t>LOW</t>
        </is>
      </c>
      <c r="M117" s="24" t="inlineStr">
        <is>
          <t>LOW</t>
        </is>
      </c>
      <c r="N117" s="24" t="inlineStr">
        <is>
          <t>0.3966666666666666</t>
        </is>
      </c>
      <c r="O117" s="24" t="inlineStr">
        <is>
          <t>EXPENSIVE</t>
        </is>
      </c>
      <c r="P117" s="24" t="inlineStr">
        <is>
          <t>EXPENSIVE</t>
        </is>
      </c>
      <c r="Q117" s="24" t="inlineStr">
        <is>
          <t>EXPENSIVE</t>
        </is>
      </c>
      <c r="R117" s="24" t="inlineStr">
        <is>
          <t>0.6645756407915718</t>
        </is>
      </c>
      <c r="S117" s="24" t="inlineStr">
        <is>
          <t>MEDIUM</t>
        </is>
      </c>
      <c r="T117" s="24" t="inlineStr">
        <is>
          <t>MEDIUM</t>
        </is>
      </c>
      <c r="U117" s="24" t="inlineStr">
        <is>
          <t>0.1428571428571428</t>
        </is>
      </c>
      <c r="V117" s="24" t="inlineStr">
        <is>
          <t>LOW_RISK</t>
        </is>
      </c>
      <c r="W117" s="24" t="inlineStr">
        <is>
          <t>저위험</t>
        </is>
      </c>
      <c r="X117" s="24" t="inlineStr">
        <is>
          <t>LOW_RISK</t>
        </is>
      </c>
      <c r="Y117" s="24" t="inlineStr">
        <is>
          <t>0.8790575945794377</t>
        </is>
      </c>
      <c r="Z117" s="24" t="inlineStr">
        <is>
          <t>HIGH</t>
        </is>
      </c>
      <c r="AA117" s="24" t="inlineStr">
        <is>
          <t>HIGH</t>
        </is>
      </c>
      <c r="AB117" s="24" t="inlineStr">
        <is>
          <t>0.04079572535822507</t>
        </is>
      </c>
      <c r="AC117" s="24" t="inlineStr">
        <is>
          <t>False</t>
        </is>
      </c>
      <c r="AD117" s="24" t="inlineStr">
        <is>
          <t>False</t>
        </is>
      </c>
      <c r="AE117" s="24" t="inlineStr">
        <is>
          <t>valuation_credit_ml_overlay_candidate.csv</t>
        </is>
      </c>
      <c r="AF117" s="24" t="inlineStr">
        <is>
          <t>208개 반도체 reference universe. Valuation Agent가 자체 intake 폴더로 복제해 Peer/ML/대시보드 비교에 사용.</t>
        </is>
      </c>
    </row>
    <row r="118" ht="24" customHeight="1">
      <c r="A118" s="29" t="inlineStr">
        <is>
          <t>197</t>
        </is>
      </c>
      <c r="B118" s="29" t="inlineStr">
        <is>
          <t>해당 없음</t>
        </is>
      </c>
      <c r="C118" s="29" t="inlineStr">
        <is>
          <t>심텍</t>
        </is>
      </c>
      <c r="D118" s="29" t="inlineStr">
        <is>
          <t>222800</t>
        </is>
      </c>
      <c r="E118" s="29" t="inlineStr">
        <is>
          <t>KOSDAQ GLOBAL</t>
        </is>
      </c>
      <c r="F118" s="29" t="inlineStr">
        <is>
          <t>부품/기판</t>
        </is>
      </c>
      <c r="G118" s="29" t="inlineStr">
        <is>
          <t>부품/기판</t>
        </is>
      </c>
      <c r="H118" s="29" t="inlineStr">
        <is>
          <t>False</t>
        </is>
      </c>
      <c r="I118" s="29" t="inlineStr">
        <is>
          <t>True</t>
        </is>
      </c>
      <c r="J118" s="29" t="inlineStr">
        <is>
          <t>OK</t>
        </is>
      </c>
      <c r="K118" s="29" t="inlineStr">
        <is>
          <t>데이터 사용 가능</t>
        </is>
      </c>
      <c r="L118" s="29" t="inlineStr">
        <is>
          <t>LOW</t>
        </is>
      </c>
      <c r="M118" s="29" t="inlineStr">
        <is>
          <t>LOW</t>
        </is>
      </c>
      <c r="N118" s="29" t="inlineStr">
        <is>
          <t>0.3776190476190476</t>
        </is>
      </c>
      <c r="O118" s="29" t="inlineStr">
        <is>
          <t>EXPENSIVE</t>
        </is>
      </c>
      <c r="P118" s="29" t="inlineStr">
        <is>
          <t>EXPENSIVE</t>
        </is>
      </c>
      <c r="Q118" s="29" t="inlineStr">
        <is>
          <t>EXPENSIVE</t>
        </is>
      </c>
      <c r="R118" s="29" t="inlineStr">
        <is>
          <t>0.5170784842162837</t>
        </is>
      </c>
      <c r="S118" s="29" t="inlineStr">
        <is>
          <t>MEDIUM</t>
        </is>
      </c>
      <c r="T118" s="29" t="inlineStr">
        <is>
          <t>MEDIUM</t>
        </is>
      </c>
      <c r="U118" s="29" t="inlineStr">
        <is>
          <t>0.5714285714285714</t>
        </is>
      </c>
      <c r="V118" s="29" t="inlineStr">
        <is>
          <t>HIGH_RISK</t>
        </is>
      </c>
      <c r="W118" s="29" t="inlineStr">
        <is>
          <t>고위험</t>
        </is>
      </c>
      <c r="X118" s="29" t="inlineStr">
        <is>
          <t>HIGH_RISK</t>
        </is>
      </c>
      <c r="Y118" s="29" t="inlineStr">
        <is>
          <t>0.8465973773812472</t>
        </is>
      </c>
      <c r="Z118" s="29" t="inlineStr">
        <is>
          <t>HIGH</t>
        </is>
      </c>
      <c r="AA118" s="29" t="inlineStr">
        <is>
          <t>HIGH</t>
        </is>
      </c>
      <c r="AB118" s="29" t="inlineStr">
        <is>
          <t>0.10596332114746113</t>
        </is>
      </c>
      <c r="AC118" s="29" t="inlineStr">
        <is>
          <t>False</t>
        </is>
      </c>
      <c r="AD118" s="29" t="inlineStr">
        <is>
          <t>False</t>
        </is>
      </c>
      <c r="AE118" s="29" t="inlineStr">
        <is>
          <t>valuation_credit_ml_overlay_candidate.csv</t>
        </is>
      </c>
      <c r="AF118" s="29" t="inlineStr">
        <is>
          <t>208개 반도체 reference universe. Valuation Agent가 자체 intake 폴더로 복제해 Peer/ML/대시보드 비교에 사용.</t>
        </is>
      </c>
    </row>
    <row r="119" ht="24" customHeight="1">
      <c r="A119" s="24" t="inlineStr">
        <is>
          <t>199</t>
        </is>
      </c>
      <c r="B119" s="24" t="inlineStr">
        <is>
          <t>해당 없음</t>
        </is>
      </c>
      <c r="C119" s="24" t="inlineStr">
        <is>
          <t>아이에이</t>
        </is>
      </c>
      <c r="D119" s="24" t="inlineStr">
        <is>
          <t>038880</t>
        </is>
      </c>
      <c r="E119" s="24" t="inlineStr">
        <is>
          <t>KOSDAQ</t>
        </is>
      </c>
      <c r="F119" s="24" t="inlineStr">
        <is>
          <t>부품/기판</t>
        </is>
      </c>
      <c r="G119" s="24" t="inlineStr">
        <is>
          <t>부품/기판</t>
        </is>
      </c>
      <c r="H119" s="24" t="inlineStr">
        <is>
          <t>False</t>
        </is>
      </c>
      <c r="I119" s="24" t="inlineStr">
        <is>
          <t>True</t>
        </is>
      </c>
      <c r="J119" s="24" t="inlineStr">
        <is>
          <t>OK</t>
        </is>
      </c>
      <c r="K119" s="24" t="inlineStr">
        <is>
          <t>데이터 사용 가능</t>
        </is>
      </c>
      <c r="L119" s="24" t="inlineStr">
        <is>
          <t>LOW</t>
        </is>
      </c>
      <c r="M119" s="24" t="inlineStr">
        <is>
          <t>LOW</t>
        </is>
      </c>
      <c r="N119" s="24" t="inlineStr">
        <is>
          <t>0.3776190476190476</t>
        </is>
      </c>
      <c r="O119" s="24" t="inlineStr">
        <is>
          <t>EXPENSIVE</t>
        </is>
      </c>
      <c r="P119" s="24" t="inlineStr">
        <is>
          <t>EXPENSIVE</t>
        </is>
      </c>
      <c r="Q119" s="24" t="inlineStr">
        <is>
          <t>EXPENSIVE</t>
        </is>
      </c>
      <c r="R119" s="24" t="inlineStr">
        <is>
          <t>0.7739089828714508</t>
        </is>
      </c>
      <c r="S119" s="24" t="inlineStr">
        <is>
          <t>HIGH</t>
        </is>
      </c>
      <c r="T119" s="24" t="inlineStr">
        <is>
          <t>HIGH</t>
        </is>
      </c>
      <c r="U119" s="24" t="inlineStr">
        <is>
          <t>0.7142857142857143</t>
        </is>
      </c>
      <c r="V119" s="24" t="inlineStr">
        <is>
          <t>HIGH_RISK</t>
        </is>
      </c>
      <c r="W119" s="24" t="inlineStr">
        <is>
          <t>고위험</t>
        </is>
      </c>
      <c r="X119" s="24" t="inlineStr">
        <is>
          <t>HIGH_RISK</t>
        </is>
      </c>
      <c r="Y119" s="24" t="inlineStr">
        <is>
          <t>0.9768034906818953</t>
        </is>
      </c>
      <c r="Z119" s="24" t="inlineStr">
        <is>
          <t>HIGH</t>
        </is>
      </c>
      <c r="AA119" s="24" t="inlineStr">
        <is>
          <t>HIGH</t>
        </is>
      </c>
      <c r="AB119" s="24" t="inlineStr">
        <is>
          <t>0.2681205370430481</t>
        </is>
      </c>
      <c r="AC119" s="24" t="inlineStr">
        <is>
          <t>True</t>
        </is>
      </c>
      <c r="AD119" s="24" t="inlineStr">
        <is>
          <t>True</t>
        </is>
      </c>
      <c r="AE119" s="24" t="inlineStr">
        <is>
          <t>valuation_credit_ml_overlay_candidate.csv</t>
        </is>
      </c>
      <c r="AF119" s="24" t="inlineStr">
        <is>
          <t>208개 반도체 reference universe. Valuation Agent가 자체 intake 폴더로 복제해 Peer/ML/대시보드 비교에 사용.</t>
        </is>
      </c>
    </row>
    <row r="120" ht="24" customHeight="1">
      <c r="A120" s="29" t="inlineStr">
        <is>
          <t>208</t>
        </is>
      </c>
      <c r="B120" s="29" t="inlineStr">
        <is>
          <t>해당 없음</t>
        </is>
      </c>
      <c r="C120" s="29" t="inlineStr">
        <is>
          <t>3S</t>
        </is>
      </c>
      <c r="D120" s="29" t="inlineStr">
        <is>
          <t>060310</t>
        </is>
      </c>
      <c r="E120" s="29" t="inlineStr">
        <is>
          <t>KOSDAQ</t>
        </is>
      </c>
      <c r="F120" s="29" t="inlineStr">
        <is>
          <t>부품/기판</t>
        </is>
      </c>
      <c r="G120" s="29" t="inlineStr">
        <is>
          <t>부품/웨이퍼캐리어</t>
        </is>
      </c>
      <c r="H120" s="29" t="inlineStr">
        <is>
          <t>False</t>
        </is>
      </c>
      <c r="I120" s="29" t="inlineStr">
        <is>
          <t>True</t>
        </is>
      </c>
      <c r="J120" s="29" t="inlineStr">
        <is>
          <t>OK</t>
        </is>
      </c>
      <c r="K120" s="29" t="inlineStr">
        <is>
          <t>데이터 사용 가능</t>
        </is>
      </c>
      <c r="L120" s="29" t="inlineStr">
        <is>
          <t>LOW</t>
        </is>
      </c>
      <c r="M120" s="29" t="inlineStr">
        <is>
          <t>LOW</t>
        </is>
      </c>
      <c r="N120" s="29" t="inlineStr">
        <is>
          <t>0.3409523809523809</t>
        </is>
      </c>
      <c r="O120" s="29" t="inlineStr">
        <is>
          <t>EXPENSIVE</t>
        </is>
      </c>
      <c r="P120" s="29" t="inlineStr">
        <is>
          <t>EXPENSIVE</t>
        </is>
      </c>
      <c r="Q120" s="29" t="inlineStr">
        <is>
          <t>EXPENSIVE</t>
        </is>
      </c>
      <c r="R120" s="29" t="inlineStr">
        <is>
          <t>0.8755971854841007</t>
        </is>
      </c>
      <c r="S120" s="29" t="inlineStr">
        <is>
          <t>HIGH</t>
        </is>
      </c>
      <c r="T120" s="29" t="inlineStr">
        <is>
          <t>HIGH</t>
        </is>
      </c>
      <c r="U120" s="29" t="inlineStr">
        <is>
          <t>0.5714285714285714</t>
        </is>
      </c>
      <c r="V120" s="29" t="inlineStr">
        <is>
          <t>HIGH_RISK</t>
        </is>
      </c>
      <c r="W120" s="29" t="inlineStr">
        <is>
          <t>고위험</t>
        </is>
      </c>
      <c r="X120" s="29" t="inlineStr">
        <is>
          <t>HIGH_RISK</t>
        </is>
      </c>
      <c r="Y120" s="29" t="inlineStr">
        <is>
          <t>0.9688627439088098</t>
        </is>
      </c>
      <c r="Z120" s="29" t="inlineStr">
        <is>
          <t>HIGH</t>
        </is>
      </c>
      <c r="AA120" s="29" t="inlineStr">
        <is>
          <t>HIGH</t>
        </is>
      </c>
      <c r="AB120" s="29" t="inlineStr">
        <is>
          <t>0.13174199880530135</t>
        </is>
      </c>
      <c r="AC120" s="29" t="inlineStr">
        <is>
          <t>False</t>
        </is>
      </c>
      <c r="AD120" s="29" t="inlineStr">
        <is>
          <t>False</t>
        </is>
      </c>
      <c r="AE120" s="29" t="inlineStr">
        <is>
          <t>valuation_credit_ml_overlay_candidate.csv</t>
        </is>
      </c>
      <c r="AF120" s="29" t="inlineStr">
        <is>
          <t>208개 반도체 reference universe. Valuation Agent가 자체 intake 폴더로 복제해 Peer/ML/대시보드 비교에 사용.</t>
        </is>
      </c>
    </row>
    <row r="121" ht="24" customHeight="1">
      <c r="A121" s="24" t="inlineStr">
        <is>
          <t>139</t>
        </is>
      </c>
      <c r="B121" s="24" t="inlineStr">
        <is>
          <t>해당 없음</t>
        </is>
      </c>
      <c r="C121" s="24" t="inlineStr">
        <is>
          <t>월덱스</t>
        </is>
      </c>
      <c r="D121" s="24" t="inlineStr">
        <is>
          <t>101160</t>
        </is>
      </c>
      <c r="E121" s="24" t="inlineStr">
        <is>
          <t>KOSDAQ</t>
        </is>
      </c>
      <c r="F121" s="24" t="inlineStr">
        <is>
          <t>소재</t>
        </is>
      </c>
      <c r="G121" s="24" t="inlineStr">
        <is>
          <t>소재</t>
        </is>
      </c>
      <c r="H121" s="24" t="inlineStr">
        <is>
          <t>False</t>
        </is>
      </c>
      <c r="I121" s="24" t="inlineStr">
        <is>
          <t>True</t>
        </is>
      </c>
      <c r="J121" s="24" t="inlineStr">
        <is>
          <t>OK</t>
        </is>
      </c>
      <c r="K121" s="24" t="inlineStr">
        <is>
          <t>데이터 사용 가능</t>
        </is>
      </c>
      <c r="L121" s="24" t="inlineStr">
        <is>
          <t>LOW</t>
        </is>
      </c>
      <c r="M121" s="24" t="inlineStr">
        <is>
          <t>LOW</t>
        </is>
      </c>
      <c r="N121" s="24" t="inlineStr">
        <is>
          <t>0.745897435897436</t>
        </is>
      </c>
      <c r="O121" s="24" t="inlineStr">
        <is>
          <t>ATTRACTIVE</t>
        </is>
      </c>
      <c r="P121" s="24" t="inlineStr">
        <is>
          <t>가치 매력</t>
        </is>
      </c>
      <c r="Q121" s="24" t="inlineStr">
        <is>
          <t>ATTRACTIVE</t>
        </is>
      </c>
      <c r="R121" s="24" t="inlineStr">
        <is>
          <t>0.9476922450763601</t>
        </is>
      </c>
      <c r="S121" s="24" t="inlineStr">
        <is>
          <t>HIGH</t>
        </is>
      </c>
      <c r="T121" s="24" t="inlineStr">
        <is>
          <t>HIGH</t>
        </is>
      </c>
      <c r="U121" s="24" t="inlineStr">
        <is>
          <t>0.0</t>
        </is>
      </c>
      <c r="V121" s="24" t="inlineStr">
        <is>
          <t>LOW_RISK</t>
        </is>
      </c>
      <c r="W121" s="24" t="inlineStr">
        <is>
          <t>저위험</t>
        </is>
      </c>
      <c r="X121" s="24" t="inlineStr">
        <is>
          <t>LOW_RISK</t>
        </is>
      </c>
      <c r="Y121" s="24" t="inlineStr">
        <is>
          <t>0.9681016473230849</t>
        </is>
      </c>
      <c r="Z121" s="24" t="inlineStr">
        <is>
          <t>HIGH</t>
        </is>
      </c>
      <c r="AA121" s="24" t="inlineStr">
        <is>
          <t>HIGH</t>
        </is>
      </c>
      <c r="AB121" s="24" t="inlineStr">
        <is>
          <t>0.15527064195126172</t>
        </is>
      </c>
      <c r="AC121" s="24" t="inlineStr">
        <is>
          <t>False</t>
        </is>
      </c>
      <c r="AD121" s="24" t="inlineStr">
        <is>
          <t>False</t>
        </is>
      </c>
      <c r="AE121" s="24" t="inlineStr">
        <is>
          <t>valuation_credit_ml_overlay_candidate.csv</t>
        </is>
      </c>
      <c r="AF121" s="24" t="inlineStr">
        <is>
          <t>208개 반도체 reference universe. Valuation Agent가 자체 intake 폴더로 복제해 Peer/ML/대시보드 비교에 사용.</t>
        </is>
      </c>
    </row>
    <row r="122" ht="24" customHeight="1">
      <c r="A122" s="29" t="inlineStr">
        <is>
          <t>147</t>
        </is>
      </c>
      <c r="B122" s="29" t="inlineStr">
        <is>
          <t>해당 없음</t>
        </is>
      </c>
      <c r="C122" s="29" t="inlineStr">
        <is>
          <t>퓨릿</t>
        </is>
      </c>
      <c r="D122" s="29" t="inlineStr">
        <is>
          <t>445180</t>
        </is>
      </c>
      <c r="E122" s="29" t="inlineStr">
        <is>
          <t>KOSDAQ</t>
        </is>
      </c>
      <c r="F122" s="29" t="inlineStr">
        <is>
          <t>소재</t>
        </is>
      </c>
      <c r="G122" s="29" t="inlineStr">
        <is>
          <t>소재</t>
        </is>
      </c>
      <c r="H122" s="29" t="inlineStr">
        <is>
          <t>False</t>
        </is>
      </c>
      <c r="I122" s="29" t="inlineStr">
        <is>
          <t>True</t>
        </is>
      </c>
      <c r="J122" s="29" t="inlineStr">
        <is>
          <t>OK_LIMITED_HISTORY_OR_GROWTH_NA</t>
        </is>
      </c>
      <c r="K122" s="29" t="inlineStr">
        <is>
          <t>데이터 사용 가능</t>
        </is>
      </c>
      <c r="L122" s="29" t="inlineStr">
        <is>
          <t>LOW</t>
        </is>
      </c>
      <c r="M122" s="29" t="inlineStr">
        <is>
          <t>LOW</t>
        </is>
      </c>
      <c r="N122" s="29" t="inlineStr">
        <is>
          <t>0.7448717948717948</t>
        </is>
      </c>
      <c r="O122" s="29" t="inlineStr">
        <is>
          <t>ATTRACTIVE</t>
        </is>
      </c>
      <c r="P122" s="29" t="inlineStr">
        <is>
          <t>가치 매력</t>
        </is>
      </c>
      <c r="Q122" s="29" t="inlineStr">
        <is>
          <t>ATTRACTIVE</t>
        </is>
      </c>
      <c r="R122" s="29" t="inlineStr">
        <is>
          <t>0.8817607106455689</t>
        </is>
      </c>
      <c r="S122" s="29" t="inlineStr">
        <is>
          <t>HIGH</t>
        </is>
      </c>
      <c r="T122" s="29" t="inlineStr">
        <is>
          <t>HIGH</t>
        </is>
      </c>
      <c r="U122" s="29" t="inlineStr">
        <is>
          <t>0.0714285714285714</t>
        </is>
      </c>
      <c r="V122" s="29" t="inlineStr">
        <is>
          <t>LOW_RISK</t>
        </is>
      </c>
      <c r="W122" s="29" t="inlineStr">
        <is>
          <t>저위험</t>
        </is>
      </c>
      <c r="X122" s="29" t="inlineStr">
        <is>
          <t>LOW_RISK</t>
        </is>
      </c>
      <c r="Y122" s="29" t="inlineStr">
        <is>
          <t>0.9587686707140917</t>
        </is>
      </c>
      <c r="Z122" s="29" t="inlineStr">
        <is>
          <t>HIGH</t>
        </is>
      </c>
      <c r="AA122" s="29" t="inlineStr">
        <is>
          <t>HIGH</t>
        </is>
      </c>
      <c r="AB122" s="29" t="inlineStr">
        <is>
          <t>0.09055441585311619</t>
        </is>
      </c>
      <c r="AC122" s="29" t="inlineStr">
        <is>
          <t>False</t>
        </is>
      </c>
      <c r="AD122" s="29" t="inlineStr">
        <is>
          <t>True</t>
        </is>
      </c>
      <c r="AE122" s="29" t="inlineStr">
        <is>
          <t>valuation_credit_ml_overlay_candidate.csv</t>
        </is>
      </c>
      <c r="AF122" s="29" t="inlineStr">
        <is>
          <t>208개 반도체 reference universe. Valuation Agent가 자체 intake 폴더로 복제해 Peer/ML/대시보드 비교에 사용.</t>
        </is>
      </c>
    </row>
    <row r="123" ht="24" customHeight="1">
      <c r="A123" s="24" t="inlineStr">
        <is>
          <t>141</t>
        </is>
      </c>
      <c r="B123" s="24" t="inlineStr">
        <is>
          <t>해당 없음</t>
        </is>
      </c>
      <c r="C123" s="24" t="inlineStr">
        <is>
          <t>이엔에프테크놀로지</t>
        </is>
      </c>
      <c r="D123" s="24" t="inlineStr">
        <is>
          <t>102710</t>
        </is>
      </c>
      <c r="E123" s="24" t="inlineStr">
        <is>
          <t>KOSDAQ</t>
        </is>
      </c>
      <c r="F123" s="24" t="inlineStr">
        <is>
          <t>소재</t>
        </is>
      </c>
      <c r="G123" s="24" t="inlineStr">
        <is>
          <t>소재</t>
        </is>
      </c>
      <c r="H123" s="24" t="inlineStr">
        <is>
          <t>False</t>
        </is>
      </c>
      <c r="I123" s="24" t="inlineStr">
        <is>
          <t>True</t>
        </is>
      </c>
      <c r="J123" s="24" t="inlineStr">
        <is>
          <t>OK</t>
        </is>
      </c>
      <c r="K123" s="24" t="inlineStr">
        <is>
          <t>데이터 사용 가능</t>
        </is>
      </c>
      <c r="L123" s="24" t="inlineStr">
        <is>
          <t>LOW</t>
        </is>
      </c>
      <c r="M123" s="24" t="inlineStr">
        <is>
          <t>LOW</t>
        </is>
      </c>
      <c r="N123" s="24" t="inlineStr">
        <is>
          <t>0.7061538461538462</t>
        </is>
      </c>
      <c r="O123" s="24" t="inlineStr">
        <is>
          <t>ATTRACTIVE</t>
        </is>
      </c>
      <c r="P123" s="24" t="inlineStr">
        <is>
          <t>가치 매력</t>
        </is>
      </c>
      <c r="Q123" s="24" t="inlineStr">
        <is>
          <t>ATTRACTIVE</t>
        </is>
      </c>
      <c r="R123" s="24" t="inlineStr">
        <is>
          <t>0.9371627732042065</t>
        </is>
      </c>
      <c r="S123" s="24" t="inlineStr">
        <is>
          <t>HIGH</t>
        </is>
      </c>
      <c r="T123" s="24" t="inlineStr">
        <is>
          <t>HIGH</t>
        </is>
      </c>
      <c r="U123" s="24" t="inlineStr">
        <is>
          <t>0.0</t>
        </is>
      </c>
      <c r="V123" s="24" t="inlineStr">
        <is>
          <t>LOW_RISK</t>
        </is>
      </c>
      <c r="W123" s="24" t="inlineStr">
        <is>
          <t>저위험</t>
        </is>
      </c>
      <c r="X123" s="24" t="inlineStr">
        <is>
          <t>LOW_RISK</t>
        </is>
      </c>
      <c r="Y123" s="24" t="inlineStr">
        <is>
          <t>0.8730332003988217</t>
        </is>
      </c>
      <c r="Z123" s="24" t="inlineStr">
        <is>
          <t>HIGH</t>
        </is>
      </c>
      <c r="AA123" s="24" t="inlineStr">
        <is>
          <t>HIGH</t>
        </is>
      </c>
      <c r="AB123" s="24" t="inlineStr">
        <is>
          <t>0.01762692878431683</t>
        </is>
      </c>
      <c r="AC123" s="24" t="inlineStr">
        <is>
          <t>False</t>
        </is>
      </c>
      <c r="AD123" s="24" t="inlineStr">
        <is>
          <t>False</t>
        </is>
      </c>
      <c r="AE123" s="24" t="inlineStr">
        <is>
          <t>valuation_credit_ml_overlay_candidate.csv</t>
        </is>
      </c>
      <c r="AF123" s="24" t="inlineStr">
        <is>
          <t>208개 반도체 reference universe. Valuation Agent가 자체 intake 폴더로 복제해 Peer/ML/대시보드 비교에 사용.</t>
        </is>
      </c>
    </row>
    <row r="124" ht="24" customHeight="1">
      <c r="A124" s="29" t="inlineStr">
        <is>
          <t>138</t>
        </is>
      </c>
      <c r="B124" s="29" t="inlineStr">
        <is>
          <t>해당 없음</t>
        </is>
      </c>
      <c r="C124" s="29" t="inlineStr">
        <is>
          <t>원익머트리얼즈</t>
        </is>
      </c>
      <c r="D124" s="29" t="inlineStr">
        <is>
          <t>104830</t>
        </is>
      </c>
      <c r="E124" s="29" t="inlineStr">
        <is>
          <t>KOSDAQ</t>
        </is>
      </c>
      <c r="F124" s="29" t="inlineStr">
        <is>
          <t>소재</t>
        </is>
      </c>
      <c r="G124" s="29" t="inlineStr">
        <is>
          <t>소재</t>
        </is>
      </c>
      <c r="H124" s="29" t="inlineStr">
        <is>
          <t>False</t>
        </is>
      </c>
      <c r="I124" s="29" t="inlineStr">
        <is>
          <t>True</t>
        </is>
      </c>
      <c r="J124" s="29" t="inlineStr">
        <is>
          <t>OK</t>
        </is>
      </c>
      <c r="K124" s="29" t="inlineStr">
        <is>
          <t>데이터 사용 가능</t>
        </is>
      </c>
      <c r="L124" s="29" t="inlineStr">
        <is>
          <t>LOW</t>
        </is>
      </c>
      <c r="M124" s="29" t="inlineStr">
        <is>
          <t>LOW</t>
        </is>
      </c>
      <c r="N124" s="29" t="inlineStr">
        <is>
          <t>0.6682051282051282</t>
        </is>
      </c>
      <c r="O124" s="29" t="inlineStr">
        <is>
          <t>FAIR</t>
        </is>
      </c>
      <c r="P124" s="29" t="inlineStr">
        <is>
          <t>FAIR</t>
        </is>
      </c>
      <c r="Q124" s="29" t="inlineStr">
        <is>
          <t>FAIR</t>
        </is>
      </c>
      <c r="R124" s="29" t="inlineStr">
        <is>
          <t>0.9160049727267536</t>
        </is>
      </c>
      <c r="S124" s="29" t="inlineStr">
        <is>
          <t>HIGH</t>
        </is>
      </c>
      <c r="T124" s="29" t="inlineStr">
        <is>
          <t>HIGH</t>
        </is>
      </c>
      <c r="U124" s="29" t="inlineStr">
        <is>
          <t>0.0714285714285714</t>
        </is>
      </c>
      <c r="V124" s="29" t="inlineStr">
        <is>
          <t>LOW_RISK</t>
        </is>
      </c>
      <c r="W124" s="29" t="inlineStr">
        <is>
          <t>저위험</t>
        </is>
      </c>
      <c r="X124" s="29" t="inlineStr">
        <is>
          <t>LOW_RISK</t>
        </is>
      </c>
      <c r="Y124" s="29" t="inlineStr">
        <is>
          <t>0.9269592012859288</t>
        </is>
      </c>
      <c r="Z124" s="29" t="inlineStr">
        <is>
          <t>HIGH</t>
        </is>
      </c>
      <c r="AA124" s="29" t="inlineStr">
        <is>
          <t>HIGH</t>
        </is>
      </c>
      <c r="AB124" s="29" t="inlineStr">
        <is>
          <t>0.08809933839296093</t>
        </is>
      </c>
      <c r="AC124" s="29" t="inlineStr">
        <is>
          <t>False</t>
        </is>
      </c>
      <c r="AD124" s="29" t="inlineStr">
        <is>
          <t>False</t>
        </is>
      </c>
      <c r="AE124" s="29" t="inlineStr">
        <is>
          <t>valuation_credit_ml_overlay_candidate.csv</t>
        </is>
      </c>
      <c r="AF124" s="29" t="inlineStr">
        <is>
          <t>208개 반도체 reference universe. Valuation Agent가 자체 intake 폴더로 복제해 Peer/ML/대시보드 비교에 사용.</t>
        </is>
      </c>
    </row>
    <row r="125" ht="24" customHeight="1">
      <c r="A125" s="24" t="inlineStr">
        <is>
          <t>130</t>
        </is>
      </c>
      <c r="B125" s="24" t="inlineStr">
        <is>
          <t>해당 없음</t>
        </is>
      </c>
      <c r="C125" s="24" t="inlineStr">
        <is>
          <t>솔브레인홀딩스</t>
        </is>
      </c>
      <c r="D125" s="24" t="inlineStr">
        <is>
          <t>036830</t>
        </is>
      </c>
      <c r="E125" s="24" t="inlineStr">
        <is>
          <t>KOSDAQ GLOBAL</t>
        </is>
      </c>
      <c r="F125" s="24" t="inlineStr">
        <is>
          <t>소재</t>
        </is>
      </c>
      <c r="G125" s="24" t="inlineStr">
        <is>
          <t>소재</t>
        </is>
      </c>
      <c r="H125" s="24" t="inlineStr">
        <is>
          <t>False</t>
        </is>
      </c>
      <c r="I125" s="24" t="inlineStr">
        <is>
          <t>True</t>
        </is>
      </c>
      <c r="J125" s="24" t="inlineStr">
        <is>
          <t>OK</t>
        </is>
      </c>
      <c r="K125" s="24" t="inlineStr">
        <is>
          <t>데이터 사용 가능</t>
        </is>
      </c>
      <c r="L125" s="24" t="inlineStr">
        <is>
          <t>LOW</t>
        </is>
      </c>
      <c r="M125" s="24" t="inlineStr">
        <is>
          <t>LOW</t>
        </is>
      </c>
      <c r="N125" s="24" t="inlineStr">
        <is>
          <t>0.6666666666666667</t>
        </is>
      </c>
      <c r="O125" s="24" t="inlineStr">
        <is>
          <t>ATTRACTIVE</t>
        </is>
      </c>
      <c r="P125" s="24" t="inlineStr">
        <is>
          <t>가치 매력</t>
        </is>
      </c>
      <c r="Q125" s="24" t="inlineStr">
        <is>
          <t>ATTRACTIVE</t>
        </is>
      </c>
      <c r="R125" s="24" t="inlineStr">
        <is>
          <t>0.5229115612060397</t>
        </is>
      </c>
      <c r="S125" s="24" t="inlineStr">
        <is>
          <t>MEDIUM</t>
        </is>
      </c>
      <c r="T125" s="24" t="inlineStr">
        <is>
          <t>MEDIUM</t>
        </is>
      </c>
      <c r="U125" s="24" t="inlineStr">
        <is>
          <t>0.0</t>
        </is>
      </c>
      <c r="V125" s="24" t="inlineStr">
        <is>
          <t>LOW_RISK</t>
        </is>
      </c>
      <c r="W125" s="24" t="inlineStr">
        <is>
          <t>저위험</t>
        </is>
      </c>
      <c r="X125" s="24" t="inlineStr">
        <is>
          <t>LOW_RISK</t>
        </is>
      </c>
      <c r="Y125" s="24" t="inlineStr">
        <is>
          <t>0.8942479649490351</t>
        </is>
      </c>
      <c r="Z125" s="24" t="inlineStr">
        <is>
          <t>HIGH</t>
        </is>
      </c>
      <c r="AA125" s="24" t="inlineStr">
        <is>
          <t>HIGH</t>
        </is>
      </c>
      <c r="AB125" s="24" t="inlineStr">
        <is>
          <t>0.13058276838656327</t>
        </is>
      </c>
      <c r="AC125" s="24" t="inlineStr">
        <is>
          <t>False</t>
        </is>
      </c>
      <c r="AD125" s="24" t="inlineStr">
        <is>
          <t>False</t>
        </is>
      </c>
      <c r="AE125" s="24" t="inlineStr">
        <is>
          <t>valuation_credit_ml_overlay_candidate.csv</t>
        </is>
      </c>
      <c r="AF125" s="24" t="inlineStr">
        <is>
          <t>208개 반도체 reference universe. Valuation Agent가 자체 intake 폴더로 복제해 Peer/ML/대시보드 비교에 사용.</t>
        </is>
      </c>
    </row>
    <row r="126" ht="24" customHeight="1">
      <c r="A126" s="29" t="inlineStr">
        <is>
          <t>148</t>
        </is>
      </c>
      <c r="B126" s="29" t="inlineStr">
        <is>
          <t>hansol</t>
        </is>
      </c>
      <c r="C126" s="29" t="inlineStr">
        <is>
          <t>한솔케미칼</t>
        </is>
      </c>
      <c r="D126" s="29" t="inlineStr">
        <is>
          <t>014680</t>
        </is>
      </c>
      <c r="E126" s="29" t="inlineStr">
        <is>
          <t>KOSPI</t>
        </is>
      </c>
      <c r="F126" s="29" t="inlineStr">
        <is>
          <t>소재</t>
        </is>
      </c>
      <c r="G126" s="29" t="inlineStr">
        <is>
          <t>소재</t>
        </is>
      </c>
      <c r="H126" s="29" t="inlineStr">
        <is>
          <t>True</t>
        </is>
      </c>
      <c r="I126" s="29" t="inlineStr">
        <is>
          <t>True</t>
        </is>
      </c>
      <c r="J126" s="29" t="inlineStr">
        <is>
          <t>OK</t>
        </is>
      </c>
      <c r="K126" s="29" t="inlineStr">
        <is>
          <t>데이터 사용 가능</t>
        </is>
      </c>
      <c r="L126" s="29" t="inlineStr">
        <is>
          <t>LOW</t>
        </is>
      </c>
      <c r="M126" s="29" t="inlineStr">
        <is>
          <t>LOW</t>
        </is>
      </c>
      <c r="N126" s="29" t="inlineStr">
        <is>
          <t>0.6330769230769231</t>
        </is>
      </c>
      <c r="O126" s="29" t="inlineStr">
        <is>
          <t>ATTRACTIVE</t>
        </is>
      </c>
      <c r="P126" s="29" t="inlineStr">
        <is>
          <t>가치 매력</t>
        </is>
      </c>
      <c r="Q126" s="29" t="inlineStr">
        <is>
          <t>ATTRACTIVE</t>
        </is>
      </c>
      <c r="R126" s="29" t="inlineStr">
        <is>
          <t>0.8364696976606926</t>
        </is>
      </c>
      <c r="S126" s="29" t="inlineStr">
        <is>
          <t>HIGH</t>
        </is>
      </c>
      <c r="T126" s="29" t="inlineStr">
        <is>
          <t>HIGH</t>
        </is>
      </c>
      <c r="U126" s="29" t="inlineStr">
        <is>
          <t>0.0</t>
        </is>
      </c>
      <c r="V126" s="29" t="inlineStr">
        <is>
          <t>LOW_RISK</t>
        </is>
      </c>
      <c r="W126" s="29" t="inlineStr">
        <is>
          <t>저위험</t>
        </is>
      </c>
      <c r="X126" s="29" t="inlineStr">
        <is>
          <t>LOW_RISK</t>
        </is>
      </c>
      <c r="Y126" s="29" t="inlineStr">
        <is>
          <t>0.9711543901439185</t>
        </is>
      </c>
      <c r="Z126" s="29" t="inlineStr">
        <is>
          <t>HIGH</t>
        </is>
      </c>
      <c r="AA126" s="29" t="inlineStr">
        <is>
          <t>HIGH</t>
        </is>
      </c>
      <c r="AB126" s="29" t="inlineStr">
        <is>
          <t>0.058190310497948615</t>
        </is>
      </c>
      <c r="AC126" s="29" t="inlineStr">
        <is>
          <t>False</t>
        </is>
      </c>
      <c r="AD126" s="29" t="inlineStr">
        <is>
          <t>False</t>
        </is>
      </c>
      <c r="AE126" s="29" t="inlineStr">
        <is>
          <t>valuation_credit_ml_overlay_candidate.csv</t>
        </is>
      </c>
      <c r="AF126" s="29" t="inlineStr">
        <is>
          <t>208개 반도체 reference universe. Valuation Agent가 자체 intake 폴더로 복제해 Peer/ML/대시보드 비교에 사용.</t>
        </is>
      </c>
    </row>
    <row r="127" ht="24" customHeight="1">
      <c r="A127" s="24" t="inlineStr">
        <is>
          <t>140</t>
        </is>
      </c>
      <c r="B127" s="24" t="inlineStr">
        <is>
          <t>해당 없음</t>
        </is>
      </c>
      <c r="C127" s="24" t="inlineStr">
        <is>
          <t>이녹스첨단소재</t>
        </is>
      </c>
      <c r="D127" s="24" t="inlineStr">
        <is>
          <t>272290</t>
        </is>
      </c>
      <c r="E127" s="24" t="inlineStr">
        <is>
          <t>KOSDAQ GLOBAL</t>
        </is>
      </c>
      <c r="F127" s="24" t="inlineStr">
        <is>
          <t>소재</t>
        </is>
      </c>
      <c r="G127" s="24" t="inlineStr">
        <is>
          <t>소재</t>
        </is>
      </c>
      <c r="H127" s="24" t="inlineStr">
        <is>
          <t>False</t>
        </is>
      </c>
      <c r="I127" s="24" t="inlineStr">
        <is>
          <t>True</t>
        </is>
      </c>
      <c r="J127" s="24" t="inlineStr">
        <is>
          <t>OK</t>
        </is>
      </c>
      <c r="K127" s="24" t="inlineStr">
        <is>
          <t>데이터 사용 가능</t>
        </is>
      </c>
      <c r="L127" s="24" t="inlineStr">
        <is>
          <t>LOW</t>
        </is>
      </c>
      <c r="M127" s="24" t="inlineStr">
        <is>
          <t>LOW</t>
        </is>
      </c>
      <c r="N127" s="24" t="inlineStr">
        <is>
          <t>0.6312820512820514</t>
        </is>
      </c>
      <c r="O127" s="24" t="inlineStr">
        <is>
          <t>FAIR</t>
        </is>
      </c>
      <c r="P127" s="24" t="inlineStr">
        <is>
          <t>FAIR</t>
        </is>
      </c>
      <c r="Q127" s="24" t="inlineStr">
        <is>
          <t>FAIR</t>
        </is>
      </c>
      <c r="R127" s="24" t="inlineStr">
        <is>
          <t>0.900184891106931</t>
        </is>
      </c>
      <c r="S127" s="24" t="inlineStr">
        <is>
          <t>HIGH</t>
        </is>
      </c>
      <c r="T127" s="24" t="inlineStr">
        <is>
          <t>HIGH</t>
        </is>
      </c>
      <c r="U127" s="24" t="inlineStr">
        <is>
          <t>0.0714285714285714</t>
        </is>
      </c>
      <c r="V127" s="24" t="inlineStr">
        <is>
          <t>LOW_RISK</t>
        </is>
      </c>
      <c r="W127" s="24" t="inlineStr">
        <is>
          <t>저위험</t>
        </is>
      </c>
      <c r="X127" s="24" t="inlineStr">
        <is>
          <t>LOW_RISK</t>
        </is>
      </c>
      <c r="Y127" s="24" t="inlineStr">
        <is>
          <t>0.7417939360948919</t>
        </is>
      </c>
      <c r="Z127" s="24" t="inlineStr">
        <is>
          <t>HIGH</t>
        </is>
      </c>
      <c r="AA127" s="24" t="inlineStr">
        <is>
          <t>HIGH</t>
        </is>
      </c>
      <c r="AB127" s="24" t="inlineStr">
        <is>
          <t>0.06763542968359648</t>
        </is>
      </c>
      <c r="AC127" s="24" t="inlineStr">
        <is>
          <t>False</t>
        </is>
      </c>
      <c r="AD127" s="24" t="inlineStr">
        <is>
          <t>False</t>
        </is>
      </c>
      <c r="AE127" s="24" t="inlineStr">
        <is>
          <t>valuation_credit_ml_overlay_candidate.csv</t>
        </is>
      </c>
      <c r="AF127" s="24" t="inlineStr">
        <is>
          <t>208개 반도체 reference universe. Valuation Agent가 자체 intake 폴더로 복제해 Peer/ML/대시보드 비교에 사용.</t>
        </is>
      </c>
    </row>
    <row r="128" ht="24" customHeight="1">
      <c r="A128" s="29" t="inlineStr">
        <is>
          <t>133</t>
        </is>
      </c>
      <c r="B128" s="29" t="inlineStr">
        <is>
          <t>ltc</t>
        </is>
      </c>
      <c r="C128" s="29" t="inlineStr">
        <is>
          <t>엘티씨</t>
        </is>
      </c>
      <c r="D128" s="29" t="inlineStr">
        <is>
          <t>170920</t>
        </is>
      </c>
      <c r="E128" s="29" t="inlineStr">
        <is>
          <t>KOSDAQ</t>
        </is>
      </c>
      <c r="F128" s="29" t="inlineStr">
        <is>
          <t>소재</t>
        </is>
      </c>
      <c r="G128" s="29" t="inlineStr">
        <is>
          <t>소재</t>
        </is>
      </c>
      <c r="H128" s="29" t="inlineStr">
        <is>
          <t>True</t>
        </is>
      </c>
      <c r="I128" s="29" t="inlineStr">
        <is>
          <t>True</t>
        </is>
      </c>
      <c r="J128" s="29" t="inlineStr">
        <is>
          <t>OK</t>
        </is>
      </c>
      <c r="K128" s="29" t="inlineStr">
        <is>
          <t>데이터 사용 가능</t>
        </is>
      </c>
      <c r="L128" s="29" t="inlineStr">
        <is>
          <t>LOW</t>
        </is>
      </c>
      <c r="M128" s="29" t="inlineStr">
        <is>
          <t>LOW</t>
        </is>
      </c>
      <c r="N128" s="29" t="inlineStr">
        <is>
          <t>0.5838461538461538</t>
        </is>
      </c>
      <c r="O128" s="29" t="inlineStr">
        <is>
          <t>FAIR</t>
        </is>
      </c>
      <c r="P128" s="29" t="inlineStr">
        <is>
          <t>FAIR</t>
        </is>
      </c>
      <c r="Q128" s="29" t="inlineStr">
        <is>
          <t>ATTRACTIVE</t>
        </is>
      </c>
      <c r="R128" s="29" t="inlineStr">
        <is>
          <t>0.6353016273848794</t>
        </is>
      </c>
      <c r="S128" s="29" t="inlineStr">
        <is>
          <t>MEDIUM</t>
        </is>
      </c>
      <c r="T128" s="29" t="inlineStr">
        <is>
          <t>MEDIUM</t>
        </is>
      </c>
      <c r="U128" s="29" t="inlineStr">
        <is>
          <t>0.0</t>
        </is>
      </c>
      <c r="V128" s="29" t="inlineStr">
        <is>
          <t>LOW_RISK</t>
        </is>
      </c>
      <c r="W128" s="29" t="inlineStr">
        <is>
          <t>저위험</t>
        </is>
      </c>
      <c r="X128" s="29" t="inlineStr">
        <is>
          <t>LOW_RISK</t>
        </is>
      </c>
      <c r="Y128" s="29" t="inlineStr">
        <is>
          <t>0.9205018564538214</t>
        </is>
      </c>
      <c r="Z128" s="29" t="inlineStr">
        <is>
          <t>HIGH</t>
        </is>
      </c>
      <c r="AA128" s="29" t="inlineStr">
        <is>
          <t>HIGH</t>
        </is>
      </c>
      <c r="AB128" s="29" t="inlineStr">
        <is>
          <t>0.0038993876391341673</t>
        </is>
      </c>
      <c r="AC128" s="29" t="inlineStr">
        <is>
          <t>False</t>
        </is>
      </c>
      <c r="AD128" s="29" t="inlineStr">
        <is>
          <t>False</t>
        </is>
      </c>
      <c r="AE128" s="29" t="inlineStr">
        <is>
          <t>valuation_credit_ml_overlay_candidate.csv</t>
        </is>
      </c>
      <c r="AF128" s="29" t="inlineStr">
        <is>
          <t>208개 반도체 reference universe. Valuation Agent가 자체 intake 폴더로 복제해 Peer/ML/대시보드 비교에 사용.</t>
        </is>
      </c>
    </row>
    <row r="129" ht="24" customHeight="1">
      <c r="A129" s="24" t="inlineStr">
        <is>
          <t>146</t>
        </is>
      </c>
      <c r="B129" s="24" t="inlineStr">
        <is>
          <t>해당 없음</t>
        </is>
      </c>
      <c r="C129" s="24" t="inlineStr">
        <is>
          <t>티이엠씨</t>
        </is>
      </c>
      <c r="D129" s="24" t="inlineStr">
        <is>
          <t>425040</t>
        </is>
      </c>
      <c r="E129" s="24" t="inlineStr">
        <is>
          <t>KOSDAQ</t>
        </is>
      </c>
      <c r="F129" s="24" t="inlineStr">
        <is>
          <t>소재</t>
        </is>
      </c>
      <c r="G129" s="24" t="inlineStr">
        <is>
          <t>소재</t>
        </is>
      </c>
      <c r="H129" s="24" t="inlineStr">
        <is>
          <t>False</t>
        </is>
      </c>
      <c r="I129" s="24" t="inlineStr">
        <is>
          <t>True</t>
        </is>
      </c>
      <c r="J129" s="24" t="inlineStr">
        <is>
          <t>OK</t>
        </is>
      </c>
      <c r="K129" s="24" t="inlineStr">
        <is>
          <t>데이터 사용 가능</t>
        </is>
      </c>
      <c r="L129" s="24" t="inlineStr">
        <is>
          <t>LOW</t>
        </is>
      </c>
      <c r="M129" s="24" t="inlineStr">
        <is>
          <t>LOW</t>
        </is>
      </c>
      <c r="N129" s="24" t="inlineStr">
        <is>
          <t>0.5666666666666668</t>
        </is>
      </c>
      <c r="O129" s="24" t="inlineStr">
        <is>
          <t>FAIR</t>
        </is>
      </c>
      <c r="P129" s="24" t="inlineStr">
        <is>
          <t>FAIR</t>
        </is>
      </c>
      <c r="Q129" s="24" t="inlineStr">
        <is>
          <t>FAIR</t>
        </is>
      </c>
      <c r="R129" s="24" t="inlineStr">
        <is>
          <t>0.8720430887980049</t>
        </is>
      </c>
      <c r="S129" s="24" t="inlineStr">
        <is>
          <t>HIGH</t>
        </is>
      </c>
      <c r="T129" s="24" t="inlineStr">
        <is>
          <t>HIGH</t>
        </is>
      </c>
      <c r="U129" s="24" t="inlineStr">
        <is>
          <t>0.0714285714285714</t>
        </is>
      </c>
      <c r="V129" s="24" t="inlineStr">
        <is>
          <t>LOW_RISK</t>
        </is>
      </c>
      <c r="W129" s="24" t="inlineStr">
        <is>
          <t>저위험</t>
        </is>
      </c>
      <c r="X129" s="24" t="inlineStr">
        <is>
          <t>LOW_RISK</t>
        </is>
      </c>
      <c r="Y129" s="24" t="inlineStr">
        <is>
          <t>0.7252297088077002</t>
        </is>
      </c>
      <c r="Z129" s="24" t="inlineStr">
        <is>
          <t>HIGH</t>
        </is>
      </c>
      <c r="AA129" s="24" t="inlineStr">
        <is>
          <t>HIGH</t>
        </is>
      </c>
      <c r="AB129" s="24" t="inlineStr">
        <is>
          <t>0.006424650558916757</t>
        </is>
      </c>
      <c r="AC129" s="24" t="inlineStr">
        <is>
          <t>False</t>
        </is>
      </c>
      <c r="AD129" s="24" t="inlineStr">
        <is>
          <t>False</t>
        </is>
      </c>
      <c r="AE129" s="24" t="inlineStr">
        <is>
          <t>valuation_credit_ml_overlay_candidate.csv</t>
        </is>
      </c>
      <c r="AF129" s="24" t="inlineStr">
        <is>
          <t>208개 반도체 reference universe. Valuation Agent가 자체 intake 폴더로 복제해 Peer/ML/대시보드 비교에 사용.</t>
        </is>
      </c>
    </row>
    <row r="130" ht="24" customHeight="1">
      <c r="A130" s="29" t="inlineStr">
        <is>
          <t>131</t>
        </is>
      </c>
      <c r="B130" s="29" t="inlineStr">
        <is>
          <t>해당 없음</t>
        </is>
      </c>
      <c r="C130" s="29" t="inlineStr">
        <is>
          <t>에스앤에스텍</t>
        </is>
      </c>
      <c r="D130" s="29" t="inlineStr">
        <is>
          <t>101490</t>
        </is>
      </c>
      <c r="E130" s="29" t="inlineStr">
        <is>
          <t>KOSDAQ</t>
        </is>
      </c>
      <c r="F130" s="29" t="inlineStr">
        <is>
          <t>소재</t>
        </is>
      </c>
      <c r="G130" s="29" t="inlineStr">
        <is>
          <t>소재</t>
        </is>
      </c>
      <c r="H130" s="29" t="inlineStr">
        <is>
          <t>False</t>
        </is>
      </c>
      <c r="I130" s="29" t="inlineStr">
        <is>
          <t>True</t>
        </is>
      </c>
      <c r="J130" s="29" t="inlineStr">
        <is>
          <t>OK</t>
        </is>
      </c>
      <c r="K130" s="29" t="inlineStr">
        <is>
          <t>데이터 사용 가능</t>
        </is>
      </c>
      <c r="L130" s="29" t="inlineStr">
        <is>
          <t>LOW</t>
        </is>
      </c>
      <c r="M130" s="29" t="inlineStr">
        <is>
          <t>LOW</t>
        </is>
      </c>
      <c r="N130" s="29" t="inlineStr">
        <is>
          <t>0.5653846153846155</t>
        </is>
      </c>
      <c r="O130" s="29" t="inlineStr">
        <is>
          <t>FAIR</t>
        </is>
      </c>
      <c r="P130" s="29" t="inlineStr">
        <is>
          <t>FAIR</t>
        </is>
      </c>
      <c r="Q130" s="29" t="inlineStr">
        <is>
          <t>FAIR</t>
        </is>
      </c>
      <c r="R130" s="29" t="inlineStr">
        <is>
          <t>0.7907123507381016</t>
        </is>
      </c>
      <c r="S130" s="29" t="inlineStr">
        <is>
          <t>HIGH</t>
        </is>
      </c>
      <c r="T130" s="29" t="inlineStr">
        <is>
          <t>HIGH</t>
        </is>
      </c>
      <c r="U130" s="29" t="inlineStr">
        <is>
          <t>0.0714285714285714</t>
        </is>
      </c>
      <c r="V130" s="29" t="inlineStr">
        <is>
          <t>LOW_RISK</t>
        </is>
      </c>
      <c r="W130" s="29" t="inlineStr">
        <is>
          <t>저위험</t>
        </is>
      </c>
      <c r="X130" s="29" t="inlineStr">
        <is>
          <t>LOW_RISK</t>
        </is>
      </c>
      <c r="Y130" s="29" t="inlineStr">
        <is>
          <t>0.877704032267338</t>
        </is>
      </c>
      <c r="Z130" s="29" t="inlineStr">
        <is>
          <t>HIGH</t>
        </is>
      </c>
      <c r="AA130" s="29" t="inlineStr">
        <is>
          <t>HIGH</t>
        </is>
      </c>
      <c r="AB130" s="29" t="inlineStr">
        <is>
          <t>0.05130595484789171</t>
        </is>
      </c>
      <c r="AC130" s="29" t="inlineStr">
        <is>
          <t>False</t>
        </is>
      </c>
      <c r="AD130" s="29" t="inlineStr">
        <is>
          <t>False</t>
        </is>
      </c>
      <c r="AE130" s="29" t="inlineStr">
        <is>
          <t>valuation_credit_ml_overlay_candidate.csv</t>
        </is>
      </c>
      <c r="AF130" s="29" t="inlineStr">
        <is>
          <t>208개 반도체 reference universe. Valuation Agent가 자체 intake 폴더로 복제해 Peer/ML/대시보드 비교에 사용.</t>
        </is>
      </c>
    </row>
    <row r="131" ht="24" customHeight="1">
      <c r="A131" s="24" t="inlineStr">
        <is>
          <t>142</t>
        </is>
      </c>
      <c r="B131" s="24" t="inlineStr">
        <is>
          <t>해당 없음</t>
        </is>
      </c>
      <c r="C131" s="24" t="inlineStr">
        <is>
          <t>제이아이테크</t>
        </is>
      </c>
      <c r="D131" s="24" t="inlineStr">
        <is>
          <t>417500</t>
        </is>
      </c>
      <c r="E131" s="24" t="inlineStr">
        <is>
          <t>KOSDAQ</t>
        </is>
      </c>
      <c r="F131" s="24" t="inlineStr">
        <is>
          <t>소재</t>
        </is>
      </c>
      <c r="G131" s="24" t="inlineStr">
        <is>
          <t>소재</t>
        </is>
      </c>
      <c r="H131" s="24" t="inlineStr">
        <is>
          <t>False</t>
        </is>
      </c>
      <c r="I131" s="24" t="inlineStr">
        <is>
          <t>True</t>
        </is>
      </c>
      <c r="J131" s="24" t="inlineStr">
        <is>
          <t>OK</t>
        </is>
      </c>
      <c r="K131" s="24" t="inlineStr">
        <is>
          <t>데이터 사용 가능</t>
        </is>
      </c>
      <c r="L131" s="24" t="inlineStr">
        <is>
          <t>LOW</t>
        </is>
      </c>
      <c r="M131" s="24" t="inlineStr">
        <is>
          <t>LOW</t>
        </is>
      </c>
      <c r="N131" s="24" t="inlineStr">
        <is>
          <t>0.5264102564102564</t>
        </is>
      </c>
      <c r="O131" s="24" t="inlineStr">
        <is>
          <t>FAIR</t>
        </is>
      </c>
      <c r="P131" s="24" t="inlineStr">
        <is>
          <t>FAIR</t>
        </is>
      </c>
      <c r="Q131" s="24" t="inlineStr">
        <is>
          <t>FAIR</t>
        </is>
      </c>
      <c r="R131" s="24" t="inlineStr">
        <is>
          <t>0.8525733569966568</t>
        </is>
      </c>
      <c r="S131" s="24" t="inlineStr">
        <is>
          <t>HIGH</t>
        </is>
      </c>
      <c r="T131" s="24" t="inlineStr">
        <is>
          <t>HIGH</t>
        </is>
      </c>
      <c r="U131" s="24" t="inlineStr">
        <is>
          <t>0.0714285714285714</t>
        </is>
      </c>
      <c r="V131" s="24" t="inlineStr">
        <is>
          <t>LOW_RISK</t>
        </is>
      </c>
      <c r="W131" s="24" t="inlineStr">
        <is>
          <t>저위험</t>
        </is>
      </c>
      <c r="X131" s="24" t="inlineStr">
        <is>
          <t>LOW_RISK</t>
        </is>
      </c>
      <c r="Y131" s="24" t="inlineStr">
        <is>
          <t>0.7562204122456074</t>
        </is>
      </c>
      <c r="Z131" s="24" t="inlineStr">
        <is>
          <t>HIGH</t>
        </is>
      </c>
      <c r="AA131" s="24" t="inlineStr">
        <is>
          <t>HIGH</t>
        </is>
      </c>
      <c r="AB131" s="24" t="inlineStr">
        <is>
          <t>0.026961826720125225</t>
        </is>
      </c>
      <c r="AC131" s="24" t="inlineStr">
        <is>
          <t>False</t>
        </is>
      </c>
      <c r="AD131" s="24" t="inlineStr">
        <is>
          <t>False</t>
        </is>
      </c>
      <c r="AE131" s="24" t="inlineStr">
        <is>
          <t>valuation_credit_ml_overlay_candidate.csv</t>
        </is>
      </c>
      <c r="AF131" s="24" t="inlineStr">
        <is>
          <t>208개 반도체 reference universe. Valuation Agent가 자체 intake 폴더로 복제해 Peer/ML/대시보드 비교에 사용.</t>
        </is>
      </c>
    </row>
    <row r="132" ht="24" customHeight="1">
      <c r="A132" s="29" t="inlineStr">
        <is>
          <t>137</t>
        </is>
      </c>
      <c r="B132" s="29" t="inlineStr">
        <is>
          <t>해당 없음</t>
        </is>
      </c>
      <c r="C132" s="29" t="inlineStr">
        <is>
          <t>원익QnC</t>
        </is>
      </c>
      <c r="D132" s="29" t="inlineStr">
        <is>
          <t>074600</t>
        </is>
      </c>
      <c r="E132" s="29" t="inlineStr">
        <is>
          <t>KOSDAQ GLOBAL</t>
        </is>
      </c>
      <c r="F132" s="29" t="inlineStr">
        <is>
          <t>소재</t>
        </is>
      </c>
      <c r="G132" s="29" t="inlineStr">
        <is>
          <t>소재</t>
        </is>
      </c>
      <c r="H132" s="29" t="inlineStr">
        <is>
          <t>False</t>
        </is>
      </c>
      <c r="I132" s="29" t="inlineStr">
        <is>
          <t>True</t>
        </is>
      </c>
      <c r="J132" s="29" t="inlineStr">
        <is>
          <t>OK</t>
        </is>
      </c>
      <c r="K132" s="29" t="inlineStr">
        <is>
          <t>데이터 사용 가능</t>
        </is>
      </c>
      <c r="L132" s="29" t="inlineStr">
        <is>
          <t>LOW</t>
        </is>
      </c>
      <c r="M132" s="29" t="inlineStr">
        <is>
          <t>LOW</t>
        </is>
      </c>
      <c r="N132" s="29" t="inlineStr">
        <is>
          <t>0.5156410256410257</t>
        </is>
      </c>
      <c r="O132" s="29" t="inlineStr">
        <is>
          <t>FAIR</t>
        </is>
      </c>
      <c r="P132" s="29" t="inlineStr">
        <is>
          <t>FAIR</t>
        </is>
      </c>
      <c r="Q132" s="29" t="inlineStr">
        <is>
          <t>ATTRACTIVE</t>
        </is>
      </c>
      <c r="R132" s="29" t="inlineStr">
        <is>
          <t>0.4211836082778998</t>
        </is>
      </c>
      <c r="S132" s="29" t="inlineStr">
        <is>
          <t>LOW</t>
        </is>
      </c>
      <c r="T132" s="29" t="inlineStr">
        <is>
          <t>LOW</t>
        </is>
      </c>
      <c r="U132" s="29" t="inlineStr">
        <is>
          <t>0.2857142857142857</t>
        </is>
      </c>
      <c r="V132" s="29" t="inlineStr">
        <is>
          <t>MEDIUM_RISK</t>
        </is>
      </c>
      <c r="W132" s="29" t="inlineStr">
        <is>
          <t>중위험</t>
        </is>
      </c>
      <c r="X132" s="29" t="inlineStr">
        <is>
          <t>MEDIUM_RISK</t>
        </is>
      </c>
      <c r="Y132" s="29" t="inlineStr">
        <is>
          <t>0.6182675579184692</t>
        </is>
      </c>
      <c r="Z132" s="29" t="inlineStr">
        <is>
          <t>MEDIUM</t>
        </is>
      </c>
      <c r="AA132" s="29" t="inlineStr">
        <is>
          <t>MEDIUM</t>
        </is>
      </c>
      <c r="AB132" s="29" t="inlineStr">
        <is>
          <t>0.07153695388648715</t>
        </is>
      </c>
      <c r="AC132" s="29" t="inlineStr">
        <is>
          <t>False</t>
        </is>
      </c>
      <c r="AD132" s="29" t="inlineStr">
        <is>
          <t>True</t>
        </is>
      </c>
      <c r="AE132" s="29" t="inlineStr">
        <is>
          <t>valuation_credit_ml_overlay_candidate.csv</t>
        </is>
      </c>
      <c r="AF132" s="29" t="inlineStr">
        <is>
          <t>208개 반도체 reference universe. Valuation Agent가 자체 intake 폴더로 복제해 Peer/ML/대시보드 비교에 사용.</t>
        </is>
      </c>
    </row>
    <row r="133" ht="24" customHeight="1">
      <c r="A133" s="24" t="inlineStr">
        <is>
          <t>134</t>
        </is>
      </c>
      <c r="B133" s="24" t="inlineStr">
        <is>
          <t>해당 없음</t>
        </is>
      </c>
      <c r="C133" s="24" t="inlineStr">
        <is>
          <t>엠케이전자</t>
        </is>
      </c>
      <c r="D133" s="24" t="inlineStr">
        <is>
          <t>033160</t>
        </is>
      </c>
      <c r="E133" s="24" t="inlineStr">
        <is>
          <t>KOSDAQ</t>
        </is>
      </c>
      <c r="F133" s="24" t="inlineStr">
        <is>
          <t>소재</t>
        </is>
      </c>
      <c r="G133" s="24" t="inlineStr">
        <is>
          <t>소재</t>
        </is>
      </c>
      <c r="H133" s="24" t="inlineStr">
        <is>
          <t>False</t>
        </is>
      </c>
      <c r="I133" s="24" t="inlineStr">
        <is>
          <t>True</t>
        </is>
      </c>
      <c r="J133" s="24" t="inlineStr">
        <is>
          <t>OK</t>
        </is>
      </c>
      <c r="K133" s="24" t="inlineStr">
        <is>
          <t>데이터 사용 가능</t>
        </is>
      </c>
      <c r="L133" s="24" t="inlineStr">
        <is>
          <t>LOW</t>
        </is>
      </c>
      <c r="M133" s="24" t="inlineStr">
        <is>
          <t>LOW</t>
        </is>
      </c>
      <c r="N133" s="24" t="inlineStr">
        <is>
          <t>0.5105128205128205</t>
        </is>
      </c>
      <c r="O133" s="24" t="inlineStr">
        <is>
          <t>FAIR</t>
        </is>
      </c>
      <c r="P133" s="24" t="inlineStr">
        <is>
          <t>FAIR</t>
        </is>
      </c>
      <c r="Q133" s="24" t="inlineStr">
        <is>
          <t>FAIR</t>
        </is>
      </c>
      <c r="R133" s="24" t="inlineStr">
        <is>
          <t>0.801168459079624</t>
        </is>
      </c>
      <c r="S133" s="24" t="inlineStr">
        <is>
          <t>HIGH</t>
        </is>
      </c>
      <c r="T133" s="24" t="inlineStr">
        <is>
          <t>HIGH</t>
        </is>
      </c>
      <c r="U133" s="24" t="inlineStr">
        <is>
          <t>0.5714285714285714</t>
        </is>
      </c>
      <c r="V133" s="24" t="inlineStr">
        <is>
          <t>HIGH_RISK</t>
        </is>
      </c>
      <c r="W133" s="24" t="inlineStr">
        <is>
          <t>고위험</t>
        </is>
      </c>
      <c r="X133" s="24" t="inlineStr">
        <is>
          <t>HIGH_RISK</t>
        </is>
      </c>
      <c r="Y133" s="24" t="inlineStr">
        <is>
          <t>0.6458821552404778</t>
        </is>
      </c>
      <c r="Z133" s="24" t="inlineStr">
        <is>
          <t>MEDIUM</t>
        </is>
      </c>
      <c r="AA133" s="24" t="inlineStr">
        <is>
          <t>MEDIUM</t>
        </is>
      </c>
      <c r="AB133" s="24" t="inlineStr">
        <is>
          <t>0.06935231891152775</t>
        </is>
      </c>
      <c r="AC133" s="24" t="inlineStr">
        <is>
          <t>False</t>
        </is>
      </c>
      <c r="AD133" s="24" t="inlineStr">
        <is>
          <t>False</t>
        </is>
      </c>
      <c r="AE133" s="24" t="inlineStr">
        <is>
          <t>valuation_credit_ml_overlay_candidate.csv</t>
        </is>
      </c>
      <c r="AF133" s="24" t="inlineStr">
        <is>
          <t>208개 반도체 reference universe. Valuation Agent가 자체 intake 폴더로 복제해 Peer/ML/대시보드 비교에 사용.</t>
        </is>
      </c>
    </row>
    <row r="134" ht="24" customHeight="1">
      <c r="A134" s="29" t="inlineStr">
        <is>
          <t>136</t>
        </is>
      </c>
      <c r="B134" s="29" t="inlineStr">
        <is>
          <t>해당 없음</t>
        </is>
      </c>
      <c r="C134" s="29" t="inlineStr">
        <is>
          <t>와이엠티</t>
        </is>
      </c>
      <c r="D134" s="29" t="inlineStr">
        <is>
          <t>251370</t>
        </is>
      </c>
      <c r="E134" s="29" t="inlineStr">
        <is>
          <t>KOSDAQ</t>
        </is>
      </c>
      <c r="F134" s="29" t="inlineStr">
        <is>
          <t>소재</t>
        </is>
      </c>
      <c r="G134" s="29" t="inlineStr">
        <is>
          <t>소재</t>
        </is>
      </c>
      <c r="H134" s="29" t="inlineStr">
        <is>
          <t>False</t>
        </is>
      </c>
      <c r="I134" s="29" t="inlineStr">
        <is>
          <t>True</t>
        </is>
      </c>
      <c r="J134" s="29" t="inlineStr">
        <is>
          <t>OK</t>
        </is>
      </c>
      <c r="K134" s="29" t="inlineStr">
        <is>
          <t>데이터 사용 가능</t>
        </is>
      </c>
      <c r="L134" s="29" t="inlineStr">
        <is>
          <t>LOW</t>
        </is>
      </c>
      <c r="M134" s="29" t="inlineStr">
        <is>
          <t>LOW</t>
        </is>
      </c>
      <c r="N134" s="29" t="inlineStr">
        <is>
          <t>0.4989743589743589</t>
        </is>
      </c>
      <c r="O134" s="29" t="inlineStr">
        <is>
          <t>FAIR</t>
        </is>
      </c>
      <c r="P134" s="29" t="inlineStr">
        <is>
          <t>FAIR</t>
        </is>
      </c>
      <c r="Q134" s="29" t="inlineStr">
        <is>
          <t>FAIR</t>
        </is>
      </c>
      <c r="R134" s="29" t="inlineStr">
        <is>
          <t>0.730943868859095</t>
        </is>
      </c>
      <c r="S134" s="29" t="inlineStr">
        <is>
          <t>HIGH</t>
        </is>
      </c>
      <c r="T134" s="29" t="inlineStr">
        <is>
          <t>HIGH</t>
        </is>
      </c>
      <c r="U134" s="29" t="inlineStr">
        <is>
          <t>0.2142857142857142</t>
        </is>
      </c>
      <c r="V134" s="29" t="inlineStr">
        <is>
          <t>MEDIUM_RISK</t>
        </is>
      </c>
      <c r="W134" s="29" t="inlineStr">
        <is>
          <t>중위험</t>
        </is>
      </c>
      <c r="X134" s="29" t="inlineStr">
        <is>
          <t>MEDIUM_RISK</t>
        </is>
      </c>
      <c r="Y134" s="29" t="inlineStr">
        <is>
          <t>0.4510396871808976</t>
        </is>
      </c>
      <c r="Z134" s="29" t="inlineStr">
        <is>
          <t>LOW</t>
        </is>
      </c>
      <c r="AA134" s="29" t="inlineStr">
        <is>
          <t>LOW</t>
        </is>
      </c>
      <c r="AB134" s="29" t="inlineStr">
        <is>
          <t>0.021802364937517606</t>
        </is>
      </c>
      <c r="AC134" s="29" t="inlineStr">
        <is>
          <t>False</t>
        </is>
      </c>
      <c r="AD134" s="29" t="inlineStr">
        <is>
          <t>True</t>
        </is>
      </c>
      <c r="AE134" s="29" t="inlineStr">
        <is>
          <t>valuation_credit_ml_overlay_candidate.csv</t>
        </is>
      </c>
      <c r="AF134" s="29" t="inlineStr">
        <is>
          <t>208개 반도체 reference universe. Valuation Agent가 자체 intake 폴더로 복제해 Peer/ML/대시보드 비교에 사용.</t>
        </is>
      </c>
    </row>
    <row r="135" ht="24" customHeight="1">
      <c r="A135" s="24" t="inlineStr">
        <is>
          <t>145</t>
        </is>
      </c>
      <c r="B135" s="24" t="inlineStr">
        <is>
          <t>해당 없음</t>
        </is>
      </c>
      <c r="C135" s="24" t="inlineStr">
        <is>
          <t>티씨케이</t>
        </is>
      </c>
      <c r="D135" s="24" t="inlineStr">
        <is>
          <t>064760</t>
        </is>
      </c>
      <c r="E135" s="24" t="inlineStr">
        <is>
          <t>KOSDAQ GLOBAL</t>
        </is>
      </c>
      <c r="F135" s="24" t="inlineStr">
        <is>
          <t>소재</t>
        </is>
      </c>
      <c r="G135" s="24" t="inlineStr">
        <is>
          <t>소재</t>
        </is>
      </c>
      <c r="H135" s="24" t="inlineStr">
        <is>
          <t>False</t>
        </is>
      </c>
      <c r="I135" s="24" t="inlineStr">
        <is>
          <t>True</t>
        </is>
      </c>
      <c r="J135" s="24" t="inlineStr">
        <is>
          <t>OK</t>
        </is>
      </c>
      <c r="K135" s="24" t="inlineStr">
        <is>
          <t>데이터 사용 가능</t>
        </is>
      </c>
      <c r="L135" s="24" t="inlineStr">
        <is>
          <t>LOW</t>
        </is>
      </c>
      <c r="M135" s="24" t="inlineStr">
        <is>
          <t>LOW</t>
        </is>
      </c>
      <c r="N135" s="24" t="inlineStr">
        <is>
          <t>0.4956410256410256</t>
        </is>
      </c>
      <c r="O135" s="24" t="inlineStr">
        <is>
          <t>FAIR</t>
        </is>
      </c>
      <c r="P135" s="24" t="inlineStr">
        <is>
          <t>FAIR</t>
        </is>
      </c>
      <c r="Q135" s="24" t="inlineStr">
        <is>
          <t>FAIR</t>
        </is>
      </c>
      <c r="R135" s="24" t="inlineStr">
        <is>
          <t>0.6535546916238612</t>
        </is>
      </c>
      <c r="S135" s="24" t="inlineStr">
        <is>
          <t>MEDIUM</t>
        </is>
      </c>
      <c r="T135" s="24" t="inlineStr">
        <is>
          <t>MEDIUM</t>
        </is>
      </c>
      <c r="U135" s="24" t="inlineStr">
        <is>
          <t>0.0</t>
        </is>
      </c>
      <c r="V135" s="24" t="inlineStr">
        <is>
          <t>LOW_RISK</t>
        </is>
      </c>
      <c r="W135" s="24" t="inlineStr">
        <is>
          <t>저위험</t>
        </is>
      </c>
      <c r="X135" s="24" t="inlineStr">
        <is>
          <t>LOW_RISK</t>
        </is>
      </c>
      <c r="Y135" s="24" t="inlineStr">
        <is>
          <t>0.7960429313317705</t>
        </is>
      </c>
      <c r="Z135" s="24" t="inlineStr">
        <is>
          <t>HIGH</t>
        </is>
      </c>
      <c r="AA135" s="24" t="inlineStr">
        <is>
          <t>HIGH</t>
        </is>
      </c>
      <c r="AB135" s="24" t="inlineStr">
        <is>
          <t>0.151556576218825</t>
        </is>
      </c>
      <c r="AC135" s="24" t="inlineStr">
        <is>
          <t>False</t>
        </is>
      </c>
      <c r="AD135" s="24" t="inlineStr">
        <is>
          <t>False</t>
        </is>
      </c>
      <c r="AE135" s="24" t="inlineStr">
        <is>
          <t>valuation_credit_ml_overlay_candidate.csv</t>
        </is>
      </c>
      <c r="AF135" s="24" t="inlineStr">
        <is>
          <t>208개 반도체 reference universe. Valuation Agent가 자체 intake 폴더로 복제해 Peer/ML/대시보드 비교에 사용.</t>
        </is>
      </c>
    </row>
    <row r="136" ht="24" customHeight="1">
      <c r="A136" s="29" t="inlineStr">
        <is>
          <t>126</t>
        </is>
      </c>
      <c r="B136" s="29" t="inlineStr">
        <is>
          <t>해당 없음</t>
        </is>
      </c>
      <c r="C136" s="29" t="inlineStr">
        <is>
          <t>동진쎄미켐</t>
        </is>
      </c>
      <c r="D136" s="29" t="inlineStr">
        <is>
          <t>005290</t>
        </is>
      </c>
      <c r="E136" s="29" t="inlineStr">
        <is>
          <t>KOSDAQ</t>
        </is>
      </c>
      <c r="F136" s="29" t="inlineStr">
        <is>
          <t>소재</t>
        </is>
      </c>
      <c r="G136" s="29" t="inlineStr">
        <is>
          <t>소재</t>
        </is>
      </c>
      <c r="H136" s="29" t="inlineStr">
        <is>
          <t>False</t>
        </is>
      </c>
      <c r="I136" s="29" t="inlineStr">
        <is>
          <t>True</t>
        </is>
      </c>
      <c r="J136" s="29" t="inlineStr">
        <is>
          <t>OK</t>
        </is>
      </c>
      <c r="K136" s="29" t="inlineStr">
        <is>
          <t>데이터 사용 가능</t>
        </is>
      </c>
      <c r="L136" s="29" t="inlineStr">
        <is>
          <t>LOW</t>
        </is>
      </c>
      <c r="M136" s="29" t="inlineStr">
        <is>
          <t>LOW</t>
        </is>
      </c>
      <c r="N136" s="29" t="inlineStr">
        <is>
          <t>0.4702564102564102</t>
        </is>
      </c>
      <c r="O136" s="29" t="inlineStr">
        <is>
          <t>FAIR</t>
        </is>
      </c>
      <c r="P136" s="29" t="inlineStr">
        <is>
          <t>FAIR</t>
        </is>
      </c>
      <c r="Q136" s="29" t="inlineStr">
        <is>
          <t>ATTRACTIVE</t>
        </is>
      </c>
      <c r="R136" s="29" t="inlineStr">
        <is>
          <t>0.48929755601795294</t>
        </is>
      </c>
      <c r="S136" s="29" t="inlineStr">
        <is>
          <t>LOW</t>
        </is>
      </c>
      <c r="T136" s="29" t="inlineStr">
        <is>
          <t>LOW</t>
        </is>
      </c>
      <c r="U136" s="29" t="inlineStr">
        <is>
          <t>0.0</t>
        </is>
      </c>
      <c r="V136" s="29" t="inlineStr">
        <is>
          <t>LOW_RISK</t>
        </is>
      </c>
      <c r="W136" s="29" t="inlineStr">
        <is>
          <t>저위험</t>
        </is>
      </c>
      <c r="X136" s="29" t="inlineStr">
        <is>
          <t>LOW_RISK</t>
        </is>
      </c>
      <c r="Y136" s="29" t="inlineStr">
        <is>
          <t>0.9474461757717627</t>
        </is>
      </c>
      <c r="Z136" s="29" t="inlineStr">
        <is>
          <t>HIGH</t>
        </is>
      </c>
      <c r="AA136" s="29" t="inlineStr">
        <is>
          <t>HIGH</t>
        </is>
      </c>
      <c r="AB136" s="29" t="inlineStr">
        <is>
          <t>0.021813937556984325</t>
        </is>
      </c>
      <c r="AC136" s="29" t="inlineStr">
        <is>
          <t>False</t>
        </is>
      </c>
      <c r="AD136" s="29" t="inlineStr">
        <is>
          <t>True</t>
        </is>
      </c>
      <c r="AE136" s="29" t="inlineStr">
        <is>
          <t>valuation_credit_ml_overlay_candidate.csv</t>
        </is>
      </c>
      <c r="AF136" s="29" t="inlineStr">
        <is>
          <t>208개 반도체 reference universe. Valuation Agent가 자체 intake 폴더로 복제해 Peer/ML/대시보드 비교에 사용.</t>
        </is>
      </c>
    </row>
    <row r="137" ht="24" customHeight="1">
      <c r="A137" s="24" t="inlineStr">
        <is>
          <t>144</t>
        </is>
      </c>
      <c r="B137" s="24" t="inlineStr">
        <is>
          <t>해당 없음</t>
        </is>
      </c>
      <c r="C137" s="24" t="inlineStr">
        <is>
          <t>켐트로닉스</t>
        </is>
      </c>
      <c r="D137" s="24" t="inlineStr">
        <is>
          <t>089010</t>
        </is>
      </c>
      <c r="E137" s="24" t="inlineStr">
        <is>
          <t>KOSDAQ</t>
        </is>
      </c>
      <c r="F137" s="24" t="inlineStr">
        <is>
          <t>소재</t>
        </is>
      </c>
      <c r="G137" s="24" t="inlineStr">
        <is>
          <t>소재</t>
        </is>
      </c>
      <c r="H137" s="24" t="inlineStr">
        <is>
          <t>False</t>
        </is>
      </c>
      <c r="I137" s="24" t="inlineStr">
        <is>
          <t>True</t>
        </is>
      </c>
      <c r="J137" s="24" t="inlineStr">
        <is>
          <t>OK</t>
        </is>
      </c>
      <c r="K137" s="24" t="inlineStr">
        <is>
          <t>데이터 사용 가능</t>
        </is>
      </c>
      <c r="L137" s="24" t="inlineStr">
        <is>
          <t>LOW</t>
        </is>
      </c>
      <c r="M137" s="24" t="inlineStr">
        <is>
          <t>LOW</t>
        </is>
      </c>
      <c r="N137" s="24" t="inlineStr">
        <is>
          <t>0.4412820512820513</t>
        </is>
      </c>
      <c r="O137" s="24" t="inlineStr">
        <is>
          <t>FAIR</t>
        </is>
      </c>
      <c r="P137" s="24" t="inlineStr">
        <is>
          <t>FAIR</t>
        </is>
      </c>
      <c r="Q137" s="24" t="inlineStr">
        <is>
          <t>FAIR</t>
        </is>
      </c>
      <c r="R137" s="24" t="inlineStr">
        <is>
          <t>0.7697961799623572</t>
        </is>
      </c>
      <c r="S137" s="24" t="inlineStr">
        <is>
          <t>HIGH</t>
        </is>
      </c>
      <c r="T137" s="24" t="inlineStr">
        <is>
          <t>HIGH</t>
        </is>
      </c>
      <c r="U137" s="24" t="inlineStr">
        <is>
          <t>0.3571428571428571</t>
        </is>
      </c>
      <c r="V137" s="24" t="inlineStr">
        <is>
          <t>MEDIUM_RISK</t>
        </is>
      </c>
      <c r="W137" s="24" t="inlineStr">
        <is>
          <t>중위험</t>
        </is>
      </c>
      <c r="X137" s="24" t="inlineStr">
        <is>
          <t>MEDIUM_RISK</t>
        </is>
      </c>
      <c r="Y137" s="24" t="inlineStr">
        <is>
          <t>0.46850853772952833</t>
        </is>
      </c>
      <c r="Z137" s="24" t="inlineStr">
        <is>
          <t>LOW</t>
        </is>
      </c>
      <c r="AA137" s="24" t="inlineStr">
        <is>
          <t>LOW</t>
        </is>
      </c>
      <c r="AB137" s="24" t="inlineStr">
        <is>
          <t>0.08001716573230905</t>
        </is>
      </c>
      <c r="AC137" s="24" t="inlineStr">
        <is>
          <t>False</t>
        </is>
      </c>
      <c r="AD137" s="24" t="inlineStr">
        <is>
          <t>True</t>
        </is>
      </c>
      <c r="AE137" s="24" t="inlineStr">
        <is>
          <t>valuation_credit_ml_overlay_candidate.csv</t>
        </is>
      </c>
      <c r="AF137" s="24" t="inlineStr">
        <is>
          <t>208개 반도체 reference universe. Valuation Agent가 자체 intake 폴더로 복제해 Peer/ML/대시보드 비교에 사용.</t>
        </is>
      </c>
    </row>
    <row r="138" ht="24" customHeight="1">
      <c r="A138" s="29" t="inlineStr">
        <is>
          <t>129</t>
        </is>
      </c>
      <c r="B138" s="29" t="inlineStr">
        <is>
          <t>해당 없음</t>
        </is>
      </c>
      <c r="C138" s="29" t="inlineStr">
        <is>
          <t>솔브레인</t>
        </is>
      </c>
      <c r="D138" s="29" t="inlineStr">
        <is>
          <t>357780</t>
        </is>
      </c>
      <c r="E138" s="29" t="inlineStr">
        <is>
          <t>KOSDAQ GLOBAL</t>
        </is>
      </c>
      <c r="F138" s="29" t="inlineStr">
        <is>
          <t>소재</t>
        </is>
      </c>
      <c r="G138" s="29" t="inlineStr">
        <is>
          <t>소재</t>
        </is>
      </c>
      <c r="H138" s="29" t="inlineStr">
        <is>
          <t>False</t>
        </is>
      </c>
      <c r="I138" s="29" t="inlineStr">
        <is>
          <t>True</t>
        </is>
      </c>
      <c r="J138" s="29" t="inlineStr">
        <is>
          <t>OK</t>
        </is>
      </c>
      <c r="K138" s="29" t="inlineStr">
        <is>
          <t>데이터 사용 가능</t>
        </is>
      </c>
      <c r="L138" s="29" t="inlineStr">
        <is>
          <t>LOW</t>
        </is>
      </c>
      <c r="M138" s="29" t="inlineStr">
        <is>
          <t>LOW</t>
        </is>
      </c>
      <c r="N138" s="29" t="inlineStr">
        <is>
          <t>0.4330769230769231</t>
        </is>
      </c>
      <c r="O138" s="29" t="inlineStr">
        <is>
          <t>FAIR</t>
        </is>
      </c>
      <c r="P138" s="29" t="inlineStr">
        <is>
          <t>FAIR</t>
        </is>
      </c>
      <c r="Q138" s="29" t="inlineStr">
        <is>
          <t>FAIR</t>
        </is>
      </c>
      <c r="R138" s="29" t="inlineStr">
        <is>
          <t>0.6367158518654258</t>
        </is>
      </c>
      <c r="S138" s="29" t="inlineStr">
        <is>
          <t>MEDIUM</t>
        </is>
      </c>
      <c r="T138" s="29" t="inlineStr">
        <is>
          <t>MEDIUM</t>
        </is>
      </c>
      <c r="U138" s="29" t="inlineStr">
        <is>
          <t>0.0</t>
        </is>
      </c>
      <c r="V138" s="29" t="inlineStr">
        <is>
          <t>LOW_RISK</t>
        </is>
      </c>
      <c r="W138" s="29" t="inlineStr">
        <is>
          <t>저위험</t>
        </is>
      </c>
      <c r="X138" s="29" t="inlineStr">
        <is>
          <t>LOW_RISK</t>
        </is>
      </c>
      <c r="Y138" s="29" t="inlineStr">
        <is>
          <t>0.9460528189989016</t>
        </is>
      </c>
      <c r="Z138" s="29" t="inlineStr">
        <is>
          <t>HIGH</t>
        </is>
      </c>
      <c r="AA138" s="29" t="inlineStr">
        <is>
          <t>HIGH</t>
        </is>
      </c>
      <c r="AB138" s="29" t="inlineStr">
        <is>
          <t>0.0320761550307272</t>
        </is>
      </c>
      <c r="AC138" s="29" t="inlineStr">
        <is>
          <t>False</t>
        </is>
      </c>
      <c r="AD138" s="29" t="inlineStr">
        <is>
          <t>False</t>
        </is>
      </c>
      <c r="AE138" s="29" t="inlineStr">
        <is>
          <t>valuation_credit_ml_overlay_candidate.csv</t>
        </is>
      </c>
      <c r="AF138" s="29" t="inlineStr">
        <is>
          <t>208개 반도체 reference universe. Valuation Agent가 자체 intake 폴더로 복제해 Peer/ML/대시보드 비교에 사용.</t>
        </is>
      </c>
    </row>
    <row r="139" ht="24" customHeight="1">
      <c r="A139" s="24" t="inlineStr">
        <is>
          <t>127</t>
        </is>
      </c>
      <c r="B139" s="24" t="inlineStr">
        <is>
          <t>해당 없음</t>
        </is>
      </c>
      <c r="C139" s="24" t="inlineStr">
        <is>
          <t>디엔에프</t>
        </is>
      </c>
      <c r="D139" s="24" t="inlineStr">
        <is>
          <t>092070</t>
        </is>
      </c>
      <c r="E139" s="24" t="inlineStr">
        <is>
          <t>KOSDAQ</t>
        </is>
      </c>
      <c r="F139" s="24" t="inlineStr">
        <is>
          <t>소재</t>
        </is>
      </c>
      <c r="G139" s="24" t="inlineStr">
        <is>
          <t>소재</t>
        </is>
      </c>
      <c r="H139" s="24" t="inlineStr">
        <is>
          <t>False</t>
        </is>
      </c>
      <c r="I139" s="24" t="inlineStr">
        <is>
          <t>True</t>
        </is>
      </c>
      <c r="J139" s="24" t="inlineStr">
        <is>
          <t>OK</t>
        </is>
      </c>
      <c r="K139" s="24" t="inlineStr">
        <is>
          <t>데이터 사용 가능</t>
        </is>
      </c>
      <c r="L139" s="24" t="inlineStr">
        <is>
          <t>LOW</t>
        </is>
      </c>
      <c r="M139" s="24" t="inlineStr">
        <is>
          <t>LOW</t>
        </is>
      </c>
      <c r="N139" s="24" t="inlineStr">
        <is>
          <t>0.4041025641025642</t>
        </is>
      </c>
      <c r="O139" s="24" t="inlineStr">
        <is>
          <t>EXPENSIVE</t>
        </is>
      </c>
      <c r="P139" s="24" t="inlineStr">
        <is>
          <t>EXPENSIVE</t>
        </is>
      </c>
      <c r="Q139" s="24" t="inlineStr">
        <is>
          <t>EXPENSIVE</t>
        </is>
      </c>
      <c r="R139" s="24" t="inlineStr">
        <is>
          <t>0.6833535693717029</t>
        </is>
      </c>
      <c r="S139" s="24" t="inlineStr">
        <is>
          <t>MEDIUM</t>
        </is>
      </c>
      <c r="T139" s="24" t="inlineStr">
        <is>
          <t>MEDIUM</t>
        </is>
      </c>
      <c r="U139" s="24" t="inlineStr">
        <is>
          <t>0.1428571428571428</t>
        </is>
      </c>
      <c r="V139" s="24" t="inlineStr">
        <is>
          <t>LOW_RISK</t>
        </is>
      </c>
      <c r="W139" s="24" t="inlineStr">
        <is>
          <t>저위험</t>
        </is>
      </c>
      <c r="X139" s="24" t="inlineStr">
        <is>
          <t>LOW_RISK</t>
        </is>
      </c>
      <c r="Y139" s="24" t="inlineStr">
        <is>
          <t>0.5929893794662974</t>
        </is>
      </c>
      <c r="Z139" s="24" t="inlineStr">
        <is>
          <t>MEDIUM</t>
        </is>
      </c>
      <c r="AA139" s="24" t="inlineStr">
        <is>
          <t>MEDIUM</t>
        </is>
      </c>
      <c r="AB139" s="24" t="inlineStr">
        <is>
          <t>0.12453521172683771</t>
        </is>
      </c>
      <c r="AC139" s="24" t="inlineStr">
        <is>
          <t>False</t>
        </is>
      </c>
      <c r="AD139" s="24" t="inlineStr">
        <is>
          <t>False</t>
        </is>
      </c>
      <c r="AE139" s="24" t="inlineStr">
        <is>
          <t>valuation_credit_ml_overlay_candidate.csv</t>
        </is>
      </c>
      <c r="AF139" s="24" t="inlineStr">
        <is>
          <t>208개 반도체 reference universe. Valuation Agent가 자체 intake 폴더로 복제해 Peer/ML/대시보드 비교에 사용.</t>
        </is>
      </c>
    </row>
    <row r="140" ht="24" customHeight="1">
      <c r="A140" s="29" t="inlineStr">
        <is>
          <t>135</t>
        </is>
      </c>
      <c r="B140" s="29" t="inlineStr">
        <is>
          <t>해당 없음</t>
        </is>
      </c>
      <c r="C140" s="29" t="inlineStr">
        <is>
          <t>와이씨켐</t>
        </is>
      </c>
      <c r="D140" s="29" t="inlineStr">
        <is>
          <t>112290</t>
        </is>
      </c>
      <c r="E140" s="29" t="inlineStr">
        <is>
          <t>KOSDAQ</t>
        </is>
      </c>
      <c r="F140" s="29" t="inlineStr">
        <is>
          <t>소재</t>
        </is>
      </c>
      <c r="G140" s="29" t="inlineStr">
        <is>
          <t>소재</t>
        </is>
      </c>
      <c r="H140" s="29" t="inlineStr">
        <is>
          <t>False</t>
        </is>
      </c>
      <c r="I140" s="29" t="inlineStr">
        <is>
          <t>True</t>
        </is>
      </c>
      <c r="J140" s="29" t="inlineStr">
        <is>
          <t>OK</t>
        </is>
      </c>
      <c r="K140" s="29" t="inlineStr">
        <is>
          <t>데이터 사용 가능</t>
        </is>
      </c>
      <c r="L140" s="29" t="inlineStr">
        <is>
          <t>LOW</t>
        </is>
      </c>
      <c r="M140" s="29" t="inlineStr">
        <is>
          <t>LOW</t>
        </is>
      </c>
      <c r="N140" s="29" t="inlineStr">
        <is>
          <t>0.3835897435897436</t>
        </is>
      </c>
      <c r="O140" s="29" t="inlineStr">
        <is>
          <t>EXPENSIVE</t>
        </is>
      </c>
      <c r="P140" s="29" t="inlineStr">
        <is>
          <t>EXPENSIVE</t>
        </is>
      </c>
      <c r="Q140" s="29" t="inlineStr">
        <is>
          <t>EXPENSIVE</t>
        </is>
      </c>
      <c r="R140" s="29" t="inlineStr">
        <is>
          <t>0.7576999610053956</t>
        </is>
      </c>
      <c r="S140" s="29" t="inlineStr">
        <is>
          <t>HIGH</t>
        </is>
      </c>
      <c r="T140" s="29" t="inlineStr">
        <is>
          <t>HIGH</t>
        </is>
      </c>
      <c r="U140" s="29" t="inlineStr">
        <is>
          <t>0.5</t>
        </is>
      </c>
      <c r="V140" s="29" t="inlineStr">
        <is>
          <t>HIGH_RISK</t>
        </is>
      </c>
      <c r="W140" s="29" t="inlineStr">
        <is>
          <t>고위험</t>
        </is>
      </c>
      <c r="X140" s="29" t="inlineStr">
        <is>
          <t>HIGH_RISK</t>
        </is>
      </c>
      <c r="Y140" s="29" t="inlineStr">
        <is>
          <t>0.5943318096005836</t>
        </is>
      </c>
      <c r="Z140" s="29" t="inlineStr">
        <is>
          <t>MEDIUM</t>
        </is>
      </c>
      <c r="AA140" s="29" t="inlineStr">
        <is>
          <t>MEDIUM</t>
        </is>
      </c>
      <c r="AB140" s="29" t="inlineStr">
        <is>
          <t>0.09923299749910795</t>
        </is>
      </c>
      <c r="AC140" s="29" t="inlineStr">
        <is>
          <t>False</t>
        </is>
      </c>
      <c r="AD140" s="29" t="inlineStr">
        <is>
          <t>False</t>
        </is>
      </c>
      <c r="AE140" s="29" t="inlineStr">
        <is>
          <t>valuation_credit_ml_overlay_candidate.csv</t>
        </is>
      </c>
      <c r="AF140" s="29" t="inlineStr">
        <is>
          <t>208개 반도체 reference universe. Valuation Agent가 자체 intake 폴더로 복제해 Peer/ML/대시보드 비교에 사용.</t>
        </is>
      </c>
    </row>
    <row r="141" ht="24" customHeight="1">
      <c r="A141" s="24" t="inlineStr">
        <is>
          <t>143</t>
        </is>
      </c>
      <c r="B141" s="24" t="inlineStr">
        <is>
          <t>해당 없음</t>
        </is>
      </c>
      <c r="C141" s="24" t="inlineStr">
        <is>
          <t>천보</t>
        </is>
      </c>
      <c r="D141" s="24" t="inlineStr">
        <is>
          <t>278280</t>
        </is>
      </c>
      <c r="E141" s="24" t="inlineStr">
        <is>
          <t>KOSDAQ</t>
        </is>
      </c>
      <c r="F141" s="24" t="inlineStr">
        <is>
          <t>소재</t>
        </is>
      </c>
      <c r="G141" s="24" t="inlineStr">
        <is>
          <t>소재</t>
        </is>
      </c>
      <c r="H141" s="24" t="inlineStr">
        <is>
          <t>False</t>
        </is>
      </c>
      <c r="I141" s="24" t="inlineStr">
        <is>
          <t>True</t>
        </is>
      </c>
      <c r="J141" s="24" t="inlineStr">
        <is>
          <t>OK</t>
        </is>
      </c>
      <c r="K141" s="24" t="inlineStr">
        <is>
          <t>데이터 사용 가능</t>
        </is>
      </c>
      <c r="L141" s="24" t="inlineStr">
        <is>
          <t>LOW</t>
        </is>
      </c>
      <c r="M141" s="24" t="inlineStr">
        <is>
          <t>LOW</t>
        </is>
      </c>
      <c r="N141" s="24" t="inlineStr">
        <is>
          <t>0.3387179487179487</t>
        </is>
      </c>
      <c r="O141" s="24" t="inlineStr">
        <is>
          <t>EXPENSIVE</t>
        </is>
      </c>
      <c r="P141" s="24" t="inlineStr">
        <is>
          <t>EXPENSIVE</t>
        </is>
      </c>
      <c r="Q141" s="24" t="inlineStr">
        <is>
          <t>EXPENSIVE</t>
        </is>
      </c>
      <c r="R141" s="24" t="inlineStr">
        <is>
          <t>0.5721835844163214</t>
        </is>
      </c>
      <c r="S141" s="24" t="inlineStr">
        <is>
          <t>MEDIUM</t>
        </is>
      </c>
      <c r="T141" s="24" t="inlineStr">
        <is>
          <t>MEDIUM</t>
        </is>
      </c>
      <c r="U141" s="24" t="inlineStr">
        <is>
          <t>0.3571428571428571</t>
        </is>
      </c>
      <c r="V141" s="24" t="inlineStr">
        <is>
          <t>MEDIUM_RISK</t>
        </is>
      </c>
      <c r="W141" s="24" t="inlineStr">
        <is>
          <t>중위험</t>
        </is>
      </c>
      <c r="X141" s="24" t="inlineStr">
        <is>
          <t>MEDIUM_RISK</t>
        </is>
      </c>
      <c r="Y141" s="24" t="inlineStr">
        <is>
          <t>0.6610625585827647</t>
        </is>
      </c>
      <c r="Z141" s="24" t="inlineStr">
        <is>
          <t>MEDIUM</t>
        </is>
      </c>
      <c r="AA141" s="24" t="inlineStr">
        <is>
          <t>MEDIUM</t>
        </is>
      </c>
      <c r="AB141" s="24" t="inlineStr">
        <is>
          <t>0.09911108426869078</t>
        </is>
      </c>
      <c r="AC141" s="24" t="inlineStr">
        <is>
          <t>False</t>
        </is>
      </c>
      <c r="AD141" s="24" t="inlineStr">
        <is>
          <t>False</t>
        </is>
      </c>
      <c r="AE141" s="24" t="inlineStr">
        <is>
          <t>valuation_credit_ml_overlay_candidate.csv</t>
        </is>
      </c>
      <c r="AF141" s="24" t="inlineStr">
        <is>
          <t>208개 반도체 reference universe. Valuation Agent가 자체 intake 폴더로 복제해 Peer/ML/대시보드 비교에 사용.</t>
        </is>
      </c>
    </row>
    <row r="142" ht="24" customHeight="1">
      <c r="A142" s="29" t="inlineStr">
        <is>
          <t>149</t>
        </is>
      </c>
      <c r="B142" s="29" t="inlineStr">
        <is>
          <t>해당 없음</t>
        </is>
      </c>
      <c r="C142" s="29" t="inlineStr">
        <is>
          <t>후성</t>
        </is>
      </c>
      <c r="D142" s="29" t="inlineStr">
        <is>
          <t>093370</t>
        </is>
      </c>
      <c r="E142" s="29" t="inlineStr">
        <is>
          <t>KOSPI</t>
        </is>
      </c>
      <c r="F142" s="29" t="inlineStr">
        <is>
          <t>소재</t>
        </is>
      </c>
      <c r="G142" s="29" t="inlineStr">
        <is>
          <t>소재</t>
        </is>
      </c>
      <c r="H142" s="29" t="inlineStr">
        <is>
          <t>False</t>
        </is>
      </c>
      <c r="I142" s="29" t="inlineStr">
        <is>
          <t>True</t>
        </is>
      </c>
      <c r="J142" s="29" t="inlineStr">
        <is>
          <t>OK</t>
        </is>
      </c>
      <c r="K142" s="29" t="inlineStr">
        <is>
          <t>데이터 사용 가능</t>
        </is>
      </c>
      <c r="L142" s="29" t="inlineStr">
        <is>
          <t>LOW</t>
        </is>
      </c>
      <c r="M142" s="29" t="inlineStr">
        <is>
          <t>LOW</t>
        </is>
      </c>
      <c r="N142" s="29" t="inlineStr">
        <is>
          <t>0.3387179487179487</t>
        </is>
      </c>
      <c r="O142" s="29" t="inlineStr">
        <is>
          <t>EXPENSIVE</t>
        </is>
      </c>
      <c r="P142" s="29" t="inlineStr">
        <is>
          <t>EXPENSIVE</t>
        </is>
      </c>
      <c r="Q142" s="29" t="inlineStr">
        <is>
          <t>EXPENSIVE</t>
        </is>
      </c>
      <c r="R142" s="29" t="inlineStr">
        <is>
          <t>0.7388215177779633</t>
        </is>
      </c>
      <c r="S142" s="29" t="inlineStr">
        <is>
          <t>HIGH</t>
        </is>
      </c>
      <c r="T142" s="29" t="inlineStr">
        <is>
          <t>HIGH</t>
        </is>
      </c>
      <c r="U142" s="29" t="inlineStr">
        <is>
          <t>0.1428571428571428</t>
        </is>
      </c>
      <c r="V142" s="29" t="inlineStr">
        <is>
          <t>LOW_RISK</t>
        </is>
      </c>
      <c r="W142" s="29" t="inlineStr">
        <is>
          <t>저위험</t>
        </is>
      </c>
      <c r="X142" s="29" t="inlineStr">
        <is>
          <t>LOW_RISK</t>
        </is>
      </c>
      <c r="Y142" s="29" t="inlineStr">
        <is>
          <t>0.6020102100460379</t>
        </is>
      </c>
      <c r="Z142" s="29" t="inlineStr">
        <is>
          <t>MEDIUM</t>
        </is>
      </c>
      <c r="AA142" s="29" t="inlineStr">
        <is>
          <t>MEDIUM</t>
        </is>
      </c>
      <c r="AB142" s="29" t="inlineStr">
        <is>
          <t>0.03702349009826696</t>
        </is>
      </c>
      <c r="AC142" s="29" t="inlineStr">
        <is>
          <t>False</t>
        </is>
      </c>
      <c r="AD142" s="29" t="inlineStr">
        <is>
          <t>False</t>
        </is>
      </c>
      <c r="AE142" s="29" t="inlineStr">
        <is>
          <t>valuation_credit_ml_overlay_candidate.csv</t>
        </is>
      </c>
      <c r="AF142" s="29" t="inlineStr">
        <is>
          <t>208개 반도체 reference universe. Valuation Agent가 자체 intake 폴더로 복제해 Peer/ML/대시보드 비교에 사용.</t>
        </is>
      </c>
    </row>
    <row r="143" ht="24" customHeight="1">
      <c r="A143" s="24" t="inlineStr">
        <is>
          <t>132</t>
        </is>
      </c>
      <c r="B143" s="24" t="inlineStr">
        <is>
          <t>해당 없음</t>
        </is>
      </c>
      <c r="C143" s="24" t="inlineStr">
        <is>
          <t>엘케이켐</t>
        </is>
      </c>
      <c r="D143" s="24" t="inlineStr">
        <is>
          <t>489500</t>
        </is>
      </c>
      <c r="E143" s="24" t="inlineStr">
        <is>
          <t>KOSDAQ</t>
        </is>
      </c>
      <c r="F143" s="24" t="inlineStr">
        <is>
          <t>소재</t>
        </is>
      </c>
      <c r="G143" s="24" t="inlineStr">
        <is>
          <t>소재</t>
        </is>
      </c>
      <c r="H143" s="24" t="inlineStr">
        <is>
          <t>False</t>
        </is>
      </c>
      <c r="I143" s="24" t="inlineStr">
        <is>
          <t>True</t>
        </is>
      </c>
      <c r="J143" s="24" t="inlineStr">
        <is>
          <t>OK_LIMITED_HISTORY_OR_GROWTH_NA</t>
        </is>
      </c>
      <c r="K143" s="24" t="inlineStr">
        <is>
          <t>데이터 사용 가능</t>
        </is>
      </c>
      <c r="L143" s="24" t="inlineStr">
        <is>
          <t>LOW</t>
        </is>
      </c>
      <c r="M143" s="24" t="inlineStr">
        <is>
          <t>LOW</t>
        </is>
      </c>
      <c r="N143" s="24" t="inlineStr">
        <is>
          <t>0.3238461538461538</t>
        </is>
      </c>
      <c r="O143" s="24" t="inlineStr">
        <is>
          <t>EXPENSIVE</t>
        </is>
      </c>
      <c r="P143" s="24" t="inlineStr">
        <is>
          <t>EXPENSIVE</t>
        </is>
      </c>
      <c r="Q143" s="24" t="inlineStr">
        <is>
          <t>EXPENSIVE</t>
        </is>
      </c>
      <c r="R143" s="24" t="inlineStr">
        <is>
          <t>0.702794478496214</t>
        </is>
      </c>
      <c r="S143" s="24" t="inlineStr">
        <is>
          <t>HIGH</t>
        </is>
      </c>
      <c r="T143" s="24" t="inlineStr">
        <is>
          <t>HIGH</t>
        </is>
      </c>
      <c r="U143" s="24" t="inlineStr">
        <is>
          <t>0.2857142857142857</t>
        </is>
      </c>
      <c r="V143" s="24" t="inlineStr">
        <is>
          <t>MEDIUM_RISK</t>
        </is>
      </c>
      <c r="W143" s="24" t="inlineStr">
        <is>
          <t>중위험</t>
        </is>
      </c>
      <c r="X143" s="24" t="inlineStr">
        <is>
          <t>MEDIUM_RISK</t>
        </is>
      </c>
      <c r="Y143" s="24" t="inlineStr">
        <is>
          <t>0.5536965458646373</t>
        </is>
      </c>
      <c r="Z143" s="24" t="inlineStr">
        <is>
          <t>MEDIUM</t>
        </is>
      </c>
      <c r="AA143" s="24" t="inlineStr">
        <is>
          <t>MEDIUM</t>
        </is>
      </c>
      <c r="AB143" s="24" t="inlineStr">
        <is>
          <t>0.25181847400004714</t>
        </is>
      </c>
      <c r="AC143" s="24" t="inlineStr">
        <is>
          <t>True</t>
        </is>
      </c>
      <c r="AD143" s="24" t="inlineStr">
        <is>
          <t>True</t>
        </is>
      </c>
      <c r="AE143" s="24" t="inlineStr">
        <is>
          <t>valuation_credit_ml_overlay_candidate.csv</t>
        </is>
      </c>
      <c r="AF143" s="24" t="inlineStr">
        <is>
          <t>208개 반도체 reference universe. Valuation Agent가 자체 intake 폴더로 복제해 Peer/ML/대시보드 비교에 사용.</t>
        </is>
      </c>
    </row>
    <row r="144" ht="24" customHeight="1">
      <c r="A144" s="29" t="inlineStr">
        <is>
          <t>124</t>
        </is>
      </c>
      <c r="B144" s="29" t="inlineStr">
        <is>
          <t>해당 없음</t>
        </is>
      </c>
      <c r="C144" s="29" t="inlineStr">
        <is>
          <t>SKC</t>
        </is>
      </c>
      <c r="D144" s="29" t="inlineStr">
        <is>
          <t>011790</t>
        </is>
      </c>
      <c r="E144" s="29" t="inlineStr">
        <is>
          <t>KOSPI</t>
        </is>
      </c>
      <c r="F144" s="29" t="inlineStr">
        <is>
          <t>소재</t>
        </is>
      </c>
      <c r="G144" s="29" t="inlineStr">
        <is>
          <t>소재</t>
        </is>
      </c>
      <c r="H144" s="29" t="inlineStr">
        <is>
          <t>False</t>
        </is>
      </c>
      <c r="I144" s="29" t="inlineStr">
        <is>
          <t>True</t>
        </is>
      </c>
      <c r="J144" s="29" t="inlineStr">
        <is>
          <t>OK</t>
        </is>
      </c>
      <c r="K144" s="29" t="inlineStr">
        <is>
          <t>데이터 사용 가능</t>
        </is>
      </c>
      <c r="L144" s="29" t="inlineStr">
        <is>
          <t>LOW</t>
        </is>
      </c>
      <c r="M144" s="29" t="inlineStr">
        <is>
          <t>LOW</t>
        </is>
      </c>
      <c r="N144" s="29" t="inlineStr">
        <is>
          <t>0.3217948717948718</t>
        </is>
      </c>
      <c r="O144" s="29" t="inlineStr">
        <is>
          <t>EXPENSIVE</t>
        </is>
      </c>
      <c r="P144" s="29" t="inlineStr">
        <is>
          <t>EXPENSIVE</t>
        </is>
      </c>
      <c r="Q144" s="29" t="inlineStr">
        <is>
          <t>EXPENSIVE</t>
        </is>
      </c>
      <c r="R144" s="29" t="inlineStr">
        <is>
          <t>0.865330691240198</t>
        </is>
      </c>
      <c r="S144" s="29" t="inlineStr">
        <is>
          <t>HIGH</t>
        </is>
      </c>
      <c r="T144" s="29" t="inlineStr">
        <is>
          <t>HIGH</t>
        </is>
      </c>
      <c r="U144" s="29" t="inlineStr">
        <is>
          <t>0.7142857142857143</t>
        </is>
      </c>
      <c r="V144" s="29" t="inlineStr">
        <is>
          <t>HIGH_RISK</t>
        </is>
      </c>
      <c r="W144" s="29" t="inlineStr">
        <is>
          <t>고위험</t>
        </is>
      </c>
      <c r="X144" s="29" t="inlineStr">
        <is>
          <t>HIGH_RISK</t>
        </is>
      </c>
      <c r="Y144" s="29" t="inlineStr">
        <is>
          <t>0.9272418560336225</t>
        </is>
      </c>
      <c r="Z144" s="29" t="inlineStr">
        <is>
          <t>HIGH</t>
        </is>
      </c>
      <c r="AA144" s="29" t="inlineStr">
        <is>
          <t>HIGH</t>
        </is>
      </c>
      <c r="AB144" s="29" t="inlineStr">
        <is>
          <t>0.23200310396853355</t>
        </is>
      </c>
      <c r="AC144" s="29" t="inlineStr">
        <is>
          <t>False</t>
        </is>
      </c>
      <c r="AD144" s="29" t="inlineStr">
        <is>
          <t>False</t>
        </is>
      </c>
      <c r="AE144" s="29" t="inlineStr">
        <is>
          <t>valuation_credit_ml_overlay_candidate.csv</t>
        </is>
      </c>
      <c r="AF144" s="29" t="inlineStr">
        <is>
          <t>208개 반도체 reference universe. Valuation Agent가 자체 intake 폴더로 복제해 Peer/ML/대시보드 비교에 사용.</t>
        </is>
      </c>
    </row>
    <row r="145" ht="24" customHeight="1">
      <c r="A145" s="24" t="inlineStr">
        <is>
          <t>128</t>
        </is>
      </c>
      <c r="B145" s="24" t="inlineStr">
        <is>
          <t>해당 없음</t>
        </is>
      </c>
      <c r="C145" s="24" t="inlineStr">
        <is>
          <t>레이크머티리얼즈</t>
        </is>
      </c>
      <c r="D145" s="24" t="inlineStr">
        <is>
          <t>281740</t>
        </is>
      </c>
      <c r="E145" s="24" t="inlineStr">
        <is>
          <t>KOSDAQ</t>
        </is>
      </c>
      <c r="F145" s="24" t="inlineStr">
        <is>
          <t>소재</t>
        </is>
      </c>
      <c r="G145" s="24" t="inlineStr">
        <is>
          <t>소재</t>
        </is>
      </c>
      <c r="H145" s="24" t="inlineStr">
        <is>
          <t>False</t>
        </is>
      </c>
      <c r="I145" s="24" t="inlineStr">
        <is>
          <t>True</t>
        </is>
      </c>
      <c r="J145" s="24" t="inlineStr">
        <is>
          <t>OK</t>
        </is>
      </c>
      <c r="K145" s="24" t="inlineStr">
        <is>
          <t>데이터 사용 가능</t>
        </is>
      </c>
      <c r="L145" s="24" t="inlineStr">
        <is>
          <t>LOW</t>
        </is>
      </c>
      <c r="M145" s="24" t="inlineStr">
        <is>
          <t>LOW</t>
        </is>
      </c>
      <c r="N145" s="24" t="inlineStr">
        <is>
          <t>0.2676923076923077</t>
        </is>
      </c>
      <c r="O145" s="24" t="inlineStr">
        <is>
          <t>EXPENSIVE</t>
        </is>
      </c>
      <c r="P145" s="24" t="inlineStr">
        <is>
          <t>EXPENSIVE</t>
        </is>
      </c>
      <c r="Q145" s="24" t="inlineStr">
        <is>
          <t>EXPENSIVE</t>
        </is>
      </c>
      <c r="R145" s="24" t="inlineStr">
        <is>
          <t>0.7822727417954645</t>
        </is>
      </c>
      <c r="S145" s="24" t="inlineStr">
        <is>
          <t>HIGH</t>
        </is>
      </c>
      <c r="T145" s="24" t="inlineStr">
        <is>
          <t>HIGH</t>
        </is>
      </c>
      <c r="U145" s="24" t="inlineStr">
        <is>
          <t>0.2857142857142857</t>
        </is>
      </c>
      <c r="V145" s="24" t="inlineStr">
        <is>
          <t>MEDIUM_RISK</t>
        </is>
      </c>
      <c r="W145" s="24" t="inlineStr">
        <is>
          <t>중위험</t>
        </is>
      </c>
      <c r="X145" s="24" t="inlineStr">
        <is>
          <t>LOW_RISK</t>
        </is>
      </c>
      <c r="Y145" s="24" t="inlineStr">
        <is>
          <t>0.44190315892256776</t>
        </is>
      </c>
      <c r="Z145" s="24" t="inlineStr">
        <is>
          <t>LOW</t>
        </is>
      </c>
      <c r="AA145" s="24" t="inlineStr">
        <is>
          <t>LOW</t>
        </is>
      </c>
      <c r="AB145" s="24" t="inlineStr">
        <is>
          <t>0.0525163305941587</t>
        </is>
      </c>
      <c r="AC145" s="24" t="inlineStr">
        <is>
          <t>False</t>
        </is>
      </c>
      <c r="AD145" s="24" t="inlineStr">
        <is>
          <t>True</t>
        </is>
      </c>
      <c r="AE145" s="24" t="inlineStr">
        <is>
          <t>valuation_credit_ml_overlay_candidate.csv</t>
        </is>
      </c>
      <c r="AF145" s="24" t="inlineStr">
        <is>
          <t>208개 반도체 reference universe. Valuation Agent가 자체 intake 폴더로 복제해 Peer/ML/대시보드 비교에 사용.</t>
        </is>
      </c>
    </row>
    <row r="146" ht="24" customHeight="1">
      <c r="A146" s="29" t="inlineStr">
        <is>
          <t>125</t>
        </is>
      </c>
      <c r="B146" s="29" t="inlineStr">
        <is>
          <t>duksan</t>
        </is>
      </c>
      <c r="C146" s="29" t="inlineStr">
        <is>
          <t>덕산테코피아</t>
        </is>
      </c>
      <c r="D146" s="29" t="inlineStr">
        <is>
          <t>317330</t>
        </is>
      </c>
      <c r="E146" s="29" t="inlineStr">
        <is>
          <t>KOSDAQ</t>
        </is>
      </c>
      <c r="F146" s="29" t="inlineStr">
        <is>
          <t>소재</t>
        </is>
      </c>
      <c r="G146" s="29" t="inlineStr">
        <is>
          <t>소재</t>
        </is>
      </c>
      <c r="H146" s="29" t="inlineStr">
        <is>
          <t>True</t>
        </is>
      </c>
      <c r="I146" s="29" t="inlineStr">
        <is>
          <t>True</t>
        </is>
      </c>
      <c r="J146" s="29" t="inlineStr">
        <is>
          <t>OK</t>
        </is>
      </c>
      <c r="K146" s="29" t="inlineStr">
        <is>
          <t>데이터 사용 가능</t>
        </is>
      </c>
      <c r="L146" s="29" t="inlineStr">
        <is>
          <t>LOW</t>
        </is>
      </c>
      <c r="M146" s="29" t="inlineStr">
        <is>
          <t>LOW</t>
        </is>
      </c>
      <c r="N146" s="29" t="inlineStr">
        <is>
          <t>0.251025641025641</t>
        </is>
      </c>
      <c r="O146" s="29" t="inlineStr">
        <is>
          <t>EXPENSIVE</t>
        </is>
      </c>
      <c r="P146" s="29" t="inlineStr">
        <is>
          <t>EXPENSIVE</t>
        </is>
      </c>
      <c r="Q146" s="29" t="inlineStr">
        <is>
          <t>EXPENSIVE</t>
        </is>
      </c>
      <c r="R146" s="29" t="inlineStr">
        <is>
          <t>0.9683283970250778</t>
        </is>
      </c>
      <c r="S146" s="29" t="inlineStr">
        <is>
          <t>HIGH</t>
        </is>
      </c>
      <c r="T146" s="29" t="inlineStr">
        <is>
          <t>HIGH</t>
        </is>
      </c>
      <c r="U146" s="29" t="inlineStr">
        <is>
          <t>0.7142857142857143</t>
        </is>
      </c>
      <c r="V146" s="29" t="inlineStr">
        <is>
          <t>HIGH_RISK</t>
        </is>
      </c>
      <c r="W146" s="29" t="inlineStr">
        <is>
          <t>고위험</t>
        </is>
      </c>
      <c r="X146" s="29" t="inlineStr">
        <is>
          <t>HIGH_RISK</t>
        </is>
      </c>
      <c r="Y146" s="29" t="inlineStr">
        <is>
          <t>0.9663044353705786</t>
        </is>
      </c>
      <c r="Z146" s="29" t="inlineStr">
        <is>
          <t>HIGH</t>
        </is>
      </c>
      <c r="AA146" s="29" t="inlineStr">
        <is>
          <t>HIGH</t>
        </is>
      </c>
      <c r="AB146" s="29" t="inlineStr">
        <is>
          <t>0.3843555232614074</t>
        </is>
      </c>
      <c r="AC146" s="29" t="inlineStr">
        <is>
          <t>True</t>
        </is>
      </c>
      <c r="AD146" s="29" t="inlineStr">
        <is>
          <t>True</t>
        </is>
      </c>
      <c r="AE146" s="29" t="inlineStr">
        <is>
          <t>valuation_credit_ml_overlay_candidate.csv</t>
        </is>
      </c>
      <c r="AF146" s="29" t="inlineStr">
        <is>
          <t>208개 반도체 reference universe. Valuation Agent가 자체 intake 폴더로 복제해 Peer/ML/대시보드 비교에 사용.</t>
        </is>
      </c>
    </row>
    <row r="147" ht="24" customHeight="1">
      <c r="A147" s="24" t="inlineStr">
        <is>
          <t>99</t>
        </is>
      </c>
      <c r="B147" s="24" t="inlineStr">
        <is>
          <t>해당 없음</t>
        </is>
      </c>
      <c r="C147" s="24" t="inlineStr">
        <is>
          <t>엔투텍</t>
        </is>
      </c>
      <c r="D147" s="24" t="inlineStr">
        <is>
          <t>227950</t>
        </is>
      </c>
      <c r="E147" s="24" t="inlineStr">
        <is>
          <t>KOSDAQ</t>
        </is>
      </c>
      <c r="F147" s="24" t="inlineStr">
        <is>
          <t>장비</t>
        </is>
      </c>
      <c r="G147" s="24" t="inlineStr">
        <is>
          <t>장비</t>
        </is>
      </c>
      <c r="H147" s="24" t="inlineStr">
        <is>
          <t>False</t>
        </is>
      </c>
      <c r="I147" s="24" t="inlineStr">
        <is>
          <t>True</t>
        </is>
      </c>
      <c r="J147" s="24" t="inlineStr">
        <is>
          <t>OK</t>
        </is>
      </c>
      <c r="K147" s="24" t="inlineStr">
        <is>
          <t>데이터 사용 가능</t>
        </is>
      </c>
      <c r="L147" s="24" t="inlineStr">
        <is>
          <t>LOW</t>
        </is>
      </c>
      <c r="M147" s="24" t="inlineStr">
        <is>
          <t>LOW</t>
        </is>
      </c>
      <c r="N147" s="24" t="inlineStr">
        <is>
          <t>0.8128666666666667</t>
        </is>
      </c>
      <c r="O147" s="24" t="inlineStr">
        <is>
          <t>ATTRACTIVE</t>
        </is>
      </c>
      <c r="P147" s="24" t="inlineStr">
        <is>
          <t>가치 매력</t>
        </is>
      </c>
      <c r="Q147" s="24" t="inlineStr">
        <is>
          <t>ATTRACTIVE</t>
        </is>
      </c>
      <c r="R147" s="24" t="inlineStr">
        <is>
          <t>0.8347222629406851</t>
        </is>
      </c>
      <c r="S147" s="24" t="inlineStr">
        <is>
          <t>HIGH</t>
        </is>
      </c>
      <c r="T147" s="24" t="inlineStr">
        <is>
          <t>HIGH</t>
        </is>
      </c>
      <c r="U147" s="24" t="inlineStr">
        <is>
          <t>0.2142857142857142</t>
        </is>
      </c>
      <c r="V147" s="24" t="inlineStr">
        <is>
          <t>MEDIUM_RISK</t>
        </is>
      </c>
      <c r="W147" s="24" t="inlineStr">
        <is>
          <t>중위험</t>
        </is>
      </c>
      <c r="X147" s="24" t="inlineStr">
        <is>
          <t>MEDIUM_RISK</t>
        </is>
      </c>
      <c r="Y147" s="24" t="inlineStr">
        <is>
          <t>0.5142933547274794</t>
        </is>
      </c>
      <c r="Z147" s="24" t="inlineStr">
        <is>
          <t>MEDIUM</t>
        </is>
      </c>
      <c r="AA147" s="24" t="inlineStr">
        <is>
          <t>MEDIUM</t>
        </is>
      </c>
      <c r="AB147" s="24" t="inlineStr">
        <is>
          <t>0.21193857896314997</t>
        </is>
      </c>
      <c r="AC147" s="24" t="inlineStr">
        <is>
          <t>False</t>
        </is>
      </c>
      <c r="AD147" s="24" t="inlineStr">
        <is>
          <t>False</t>
        </is>
      </c>
      <c r="AE147" s="24" t="inlineStr">
        <is>
          <t>valuation_credit_ml_overlay_candidate.csv</t>
        </is>
      </c>
      <c r="AF147" s="24" t="inlineStr">
        <is>
          <t>208개 반도체 reference universe. Valuation Agent가 자체 intake 폴더로 복제해 Peer/ML/대시보드 비교에 사용.</t>
        </is>
      </c>
    </row>
    <row r="148" ht="24" customHeight="1">
      <c r="A148" s="29" t="inlineStr">
        <is>
          <t>88</t>
        </is>
      </c>
      <c r="B148" s="29" t="inlineStr">
        <is>
          <t>해당 없음</t>
        </is>
      </c>
      <c r="C148" s="29" t="inlineStr">
        <is>
          <t>비아트론</t>
        </is>
      </c>
      <c r="D148" s="29" t="inlineStr">
        <is>
          <t>141000</t>
        </is>
      </c>
      <c r="E148" s="29" t="inlineStr">
        <is>
          <t>KOSDAQ</t>
        </is>
      </c>
      <c r="F148" s="29" t="inlineStr">
        <is>
          <t>장비</t>
        </is>
      </c>
      <c r="G148" s="29" t="inlineStr">
        <is>
          <t>장비</t>
        </is>
      </c>
      <c r="H148" s="29" t="inlineStr">
        <is>
          <t>False</t>
        </is>
      </c>
      <c r="I148" s="29" t="inlineStr">
        <is>
          <t>True</t>
        </is>
      </c>
      <c r="J148" s="29" t="inlineStr">
        <is>
          <t>OK</t>
        </is>
      </c>
      <c r="K148" s="29" t="inlineStr">
        <is>
          <t>데이터 사용 가능</t>
        </is>
      </c>
      <c r="L148" s="29" t="inlineStr">
        <is>
          <t>LOW</t>
        </is>
      </c>
      <c r="M148" s="29" t="inlineStr">
        <is>
          <t>LOW</t>
        </is>
      </c>
      <c r="N148" s="29" t="inlineStr">
        <is>
          <t>0.7105333333333335</t>
        </is>
      </c>
      <c r="O148" s="29" t="inlineStr">
        <is>
          <t>ATTRACTIVE</t>
        </is>
      </c>
      <c r="P148" s="29" t="inlineStr">
        <is>
          <t>가치 매력</t>
        </is>
      </c>
      <c r="Q148" s="29" t="inlineStr">
        <is>
          <t>ATTRACTIVE</t>
        </is>
      </c>
      <c r="R148" s="29" t="inlineStr">
        <is>
          <t>0.934708213344448</t>
        </is>
      </c>
      <c r="S148" s="29" t="inlineStr">
        <is>
          <t>HIGH</t>
        </is>
      </c>
      <c r="T148" s="29" t="inlineStr">
        <is>
          <t>HIGH</t>
        </is>
      </c>
      <c r="U148" s="29" t="inlineStr">
        <is>
          <t>0.0</t>
        </is>
      </c>
      <c r="V148" s="29" t="inlineStr">
        <is>
          <t>LOW_RISK</t>
        </is>
      </c>
      <c r="W148" s="29" t="inlineStr">
        <is>
          <t>저위험</t>
        </is>
      </c>
      <c r="X148" s="29" t="inlineStr">
        <is>
          <t>LOW_RISK</t>
        </is>
      </c>
      <c r="Y148" s="29" t="inlineStr">
        <is>
          <t>0.9411184099481913</t>
        </is>
      </c>
      <c r="Z148" s="29" t="inlineStr">
        <is>
          <t>HIGH</t>
        </is>
      </c>
      <c r="AA148" s="29" t="inlineStr">
        <is>
          <t>HIGH</t>
        </is>
      </c>
      <c r="AB148" s="29" t="inlineStr">
        <is>
          <t>0.11715633071246634</t>
        </is>
      </c>
      <c r="AC148" s="29" t="inlineStr">
        <is>
          <t>False</t>
        </is>
      </c>
      <c r="AD148" s="29" t="inlineStr">
        <is>
          <t>False</t>
        </is>
      </c>
      <c r="AE148" s="29" t="inlineStr">
        <is>
          <t>valuation_credit_ml_overlay_candidate.csv</t>
        </is>
      </c>
      <c r="AF148" s="29" t="inlineStr">
        <is>
          <t>208개 반도체 reference universe. Valuation Agent가 자체 intake 폴더로 복제해 Peer/ML/대시보드 비교에 사용.</t>
        </is>
      </c>
    </row>
    <row r="149" ht="24" customHeight="1">
      <c r="A149" s="24" t="inlineStr">
        <is>
          <t>112</t>
        </is>
      </c>
      <c r="B149" s="24" t="inlineStr">
        <is>
          <t>해당 없음</t>
        </is>
      </c>
      <c r="C149" s="24" t="inlineStr">
        <is>
          <t>케이씨</t>
        </is>
      </c>
      <c r="D149" s="24" t="inlineStr">
        <is>
          <t>029460</t>
        </is>
      </c>
      <c r="E149" s="24" t="inlineStr">
        <is>
          <t>KOSPI</t>
        </is>
      </c>
      <c r="F149" s="24" t="inlineStr">
        <is>
          <t>장비</t>
        </is>
      </c>
      <c r="G149" s="24" t="inlineStr">
        <is>
          <t>장비</t>
        </is>
      </c>
      <c r="H149" s="24" t="inlineStr">
        <is>
          <t>False</t>
        </is>
      </c>
      <c r="I149" s="24" t="inlineStr">
        <is>
          <t>True</t>
        </is>
      </c>
      <c r="J149" s="24" t="inlineStr">
        <is>
          <t>OK</t>
        </is>
      </c>
      <c r="K149" s="24" t="inlineStr">
        <is>
          <t>데이터 사용 가능</t>
        </is>
      </c>
      <c r="L149" s="24" t="inlineStr">
        <is>
          <t>LOW</t>
        </is>
      </c>
      <c r="M149" s="24" t="inlineStr">
        <is>
          <t>LOW</t>
        </is>
      </c>
      <c r="N149" s="24" t="inlineStr">
        <is>
          <t>0.7065333333333332</t>
        </is>
      </c>
      <c r="O149" s="24" t="inlineStr">
        <is>
          <t>ATTRACTIVE</t>
        </is>
      </c>
      <c r="P149" s="24" t="inlineStr">
        <is>
          <t>가치 매력</t>
        </is>
      </c>
      <c r="Q149" s="24" t="inlineStr">
        <is>
          <t>ATTRACTIVE</t>
        </is>
      </c>
      <c r="R149" s="24" t="inlineStr">
        <is>
          <t>0.9151708177015135</t>
        </is>
      </c>
      <c r="S149" s="24" t="inlineStr">
        <is>
          <t>HIGH</t>
        </is>
      </c>
      <c r="T149" s="24" t="inlineStr">
        <is>
          <t>HIGH</t>
        </is>
      </c>
      <c r="U149" s="24" t="inlineStr">
        <is>
          <t>0.0</t>
        </is>
      </c>
      <c r="V149" s="24" t="inlineStr">
        <is>
          <t>LOW_RISK</t>
        </is>
      </c>
      <c r="W149" s="24" t="inlineStr">
        <is>
          <t>저위험</t>
        </is>
      </c>
      <c r="X149" s="24" t="inlineStr">
        <is>
          <t>LOW_RISK</t>
        </is>
      </c>
      <c r="Y149" s="24" t="inlineStr">
        <is>
          <t>0.883115363364621</t>
        </is>
      </c>
      <c r="Z149" s="24" t="inlineStr">
        <is>
          <t>HIGH</t>
        </is>
      </c>
      <c r="AA149" s="24" t="inlineStr">
        <is>
          <t>HIGH</t>
        </is>
      </c>
      <c r="AB149" s="24" t="inlineStr">
        <is>
          <t>0.07036651203602409</t>
        </is>
      </c>
      <c r="AC149" s="24" t="inlineStr">
        <is>
          <t>False</t>
        </is>
      </c>
      <c r="AD149" s="24" t="inlineStr">
        <is>
          <t>False</t>
        </is>
      </c>
      <c r="AE149" s="24" t="inlineStr">
        <is>
          <t>valuation_credit_ml_overlay_candidate.csv</t>
        </is>
      </c>
      <c r="AF149" s="24" t="inlineStr">
        <is>
          <t>208개 반도체 reference universe. Valuation Agent가 자체 intake 폴더로 복제해 Peer/ML/대시보드 비교에 사용.</t>
        </is>
      </c>
    </row>
    <row r="150" ht="24" customHeight="1">
      <c r="A150" s="29" t="inlineStr">
        <is>
          <t>81</t>
        </is>
      </c>
      <c r="B150" s="29" t="inlineStr">
        <is>
          <t>해당 없음</t>
        </is>
      </c>
      <c r="C150" s="29" t="inlineStr">
        <is>
          <t>더코디</t>
        </is>
      </c>
      <c r="D150" s="29" t="inlineStr">
        <is>
          <t>224060</t>
        </is>
      </c>
      <c r="E150" s="29" t="inlineStr">
        <is>
          <t>KOSDAQ</t>
        </is>
      </c>
      <c r="F150" s="29" t="inlineStr">
        <is>
          <t>장비</t>
        </is>
      </c>
      <c r="G150" s="29" t="inlineStr">
        <is>
          <t>장비</t>
        </is>
      </c>
      <c r="H150" s="29" t="inlineStr">
        <is>
          <t>False</t>
        </is>
      </c>
      <c r="I150" s="29" t="inlineStr">
        <is>
          <t>True</t>
        </is>
      </c>
      <c r="J150" s="29" t="inlineStr">
        <is>
          <t>OK</t>
        </is>
      </c>
      <c r="K150" s="29" t="inlineStr">
        <is>
          <t>데이터 사용 가능</t>
        </is>
      </c>
      <c r="L150" s="29" t="inlineStr">
        <is>
          <t>LOW</t>
        </is>
      </c>
      <c r="M150" s="29" t="inlineStr">
        <is>
          <t>LOW</t>
        </is>
      </c>
      <c r="N150" s="29" t="inlineStr">
        <is>
          <t>0.6908666666666667</t>
        </is>
      </c>
      <c r="O150" s="29" t="inlineStr">
        <is>
          <t>FAIR</t>
        </is>
      </c>
      <c r="P150" s="29" t="inlineStr">
        <is>
          <t>FAIR</t>
        </is>
      </c>
      <c r="Q150" s="29" t="inlineStr">
        <is>
          <t>FAIR</t>
        </is>
      </c>
      <c r="R150" s="29" t="inlineStr">
        <is>
          <t>0.6613330626239345</t>
        </is>
      </c>
      <c r="S150" s="29" t="inlineStr">
        <is>
          <t>MEDIUM</t>
        </is>
      </c>
      <c r="T150" s="29" t="inlineStr">
        <is>
          <t>MEDIUM</t>
        </is>
      </c>
      <c r="U150" s="29" t="inlineStr">
        <is>
          <t>0.8571428571428571</t>
        </is>
      </c>
      <c r="V150" s="29" t="inlineStr">
        <is>
          <t>HIGH_RISK</t>
        </is>
      </c>
      <c r="W150" s="29" t="inlineStr">
        <is>
          <t>고위험</t>
        </is>
      </c>
      <c r="X150" s="29" t="inlineStr">
        <is>
          <t>HIGH_RISK</t>
        </is>
      </c>
      <c r="Y150" s="29" t="inlineStr">
        <is>
          <t>0.5690179270143122</t>
        </is>
      </c>
      <c r="Z150" s="29" t="inlineStr">
        <is>
          <t>MEDIUM</t>
        </is>
      </c>
      <c r="AA150" s="29" t="inlineStr">
        <is>
          <t>MEDIUM</t>
        </is>
      </c>
      <c r="AB150" s="29" t="inlineStr">
        <is>
          <t>0.3728446721783581</t>
        </is>
      </c>
      <c r="AC150" s="29" t="inlineStr">
        <is>
          <t>True</t>
        </is>
      </c>
      <c r="AD150" s="29" t="inlineStr">
        <is>
          <t>True</t>
        </is>
      </c>
      <c r="AE150" s="29" t="inlineStr">
        <is>
          <t>valuation_credit_ml_overlay_candidate.csv</t>
        </is>
      </c>
      <c r="AF150" s="29" t="inlineStr">
        <is>
          <t>208개 반도체 reference universe. Valuation Agent가 자체 intake 폴더로 복제해 Peer/ML/대시보드 비교에 사용.</t>
        </is>
      </c>
    </row>
    <row r="151" ht="24" customHeight="1">
      <c r="A151" s="24" t="inlineStr">
        <is>
          <t>76</t>
        </is>
      </c>
      <c r="B151" s="24" t="inlineStr">
        <is>
          <t>해당 없음</t>
        </is>
      </c>
      <c r="C151" s="24" t="inlineStr">
        <is>
          <t>KPX케미칼</t>
        </is>
      </c>
      <c r="D151" s="24" t="inlineStr">
        <is>
          <t>025000</t>
        </is>
      </c>
      <c r="E151" s="24" t="inlineStr">
        <is>
          <t>KOSPI</t>
        </is>
      </c>
      <c r="F151" s="24" t="inlineStr">
        <is>
          <t>장비</t>
        </is>
      </c>
      <c r="G151" s="24" t="inlineStr">
        <is>
          <t>장비</t>
        </is>
      </c>
      <c r="H151" s="24" t="inlineStr">
        <is>
          <t>False</t>
        </is>
      </c>
      <c r="I151" s="24" t="inlineStr">
        <is>
          <t>True</t>
        </is>
      </c>
      <c r="J151" s="24" t="inlineStr">
        <is>
          <t>OK</t>
        </is>
      </c>
      <c r="K151" s="24" t="inlineStr">
        <is>
          <t>데이터 사용 가능</t>
        </is>
      </c>
      <c r="L151" s="24" t="inlineStr">
        <is>
          <t>LOW</t>
        </is>
      </c>
      <c r="M151" s="24" t="inlineStr">
        <is>
          <t>LOW</t>
        </is>
      </c>
      <c r="N151" s="24" t="inlineStr">
        <is>
          <t>0.6876</t>
        </is>
      </c>
      <c r="O151" s="24" t="inlineStr">
        <is>
          <t>ATTRACTIVE</t>
        </is>
      </c>
      <c r="P151" s="24" t="inlineStr">
        <is>
          <t>가치 매력</t>
        </is>
      </c>
      <c r="Q151" s="24" t="inlineStr">
        <is>
          <t>ATTRACTIVE</t>
        </is>
      </c>
      <c r="R151" s="24" t="inlineStr">
        <is>
          <t>0.9091955435785402</t>
        </is>
      </c>
      <c r="S151" s="24" t="inlineStr">
        <is>
          <t>HIGH</t>
        </is>
      </c>
      <c r="T151" s="24" t="inlineStr">
        <is>
          <t>HIGH</t>
        </is>
      </c>
      <c r="U151" s="24" t="inlineStr">
        <is>
          <t>0.0</t>
        </is>
      </c>
      <c r="V151" s="24" t="inlineStr">
        <is>
          <t>LOW_RISK</t>
        </is>
      </c>
      <c r="W151" s="24" t="inlineStr">
        <is>
          <t>저위험</t>
        </is>
      </c>
      <c r="X151" s="24" t="inlineStr">
        <is>
          <t>LOW_RISK</t>
        </is>
      </c>
      <c r="Y151" s="24" t="inlineStr">
        <is>
          <t>0.9222174142026104</t>
        </is>
      </c>
      <c r="Z151" s="24" t="inlineStr">
        <is>
          <t>HIGH</t>
        </is>
      </c>
      <c r="AA151" s="24" t="inlineStr">
        <is>
          <t>HIGH</t>
        </is>
      </c>
      <c r="AB151" s="24" t="inlineStr">
        <is>
          <t>0.13901835477996793</t>
        </is>
      </c>
      <c r="AC151" s="24" t="inlineStr">
        <is>
          <t>False</t>
        </is>
      </c>
      <c r="AD151" s="24" t="inlineStr">
        <is>
          <t>False</t>
        </is>
      </c>
      <c r="AE151" s="24" t="inlineStr">
        <is>
          <t>valuation_credit_ml_overlay_candidate.csv</t>
        </is>
      </c>
      <c r="AF151" s="24" t="inlineStr">
        <is>
          <t>208개 반도체 reference universe. Valuation Agent가 자체 intake 폴더로 복제해 Peer/ML/대시보드 비교에 사용.</t>
        </is>
      </c>
    </row>
    <row r="152" ht="24" customHeight="1">
      <c r="A152" s="29" t="inlineStr">
        <is>
          <t>91</t>
        </is>
      </c>
      <c r="B152" s="29" t="inlineStr">
        <is>
          <t>해당 없음</t>
        </is>
      </c>
      <c r="C152" s="29" t="inlineStr">
        <is>
          <t>성도이엔지</t>
        </is>
      </c>
      <c r="D152" s="29" t="inlineStr">
        <is>
          <t>037350</t>
        </is>
      </c>
      <c r="E152" s="29" t="inlineStr">
        <is>
          <t>KOSDAQ</t>
        </is>
      </c>
      <c r="F152" s="29" t="inlineStr">
        <is>
          <t>장비</t>
        </is>
      </c>
      <c r="G152" s="29" t="inlineStr">
        <is>
          <t>장비</t>
        </is>
      </c>
      <c r="H152" s="29" t="inlineStr">
        <is>
          <t>False</t>
        </is>
      </c>
      <c r="I152" s="29" t="inlineStr">
        <is>
          <t>True</t>
        </is>
      </c>
      <c r="J152" s="29" t="inlineStr">
        <is>
          <t>OK</t>
        </is>
      </c>
      <c r="K152" s="29" t="inlineStr">
        <is>
          <t>데이터 사용 가능</t>
        </is>
      </c>
      <c r="L152" s="29" t="inlineStr">
        <is>
          <t>LOW</t>
        </is>
      </c>
      <c r="M152" s="29" t="inlineStr">
        <is>
          <t>LOW</t>
        </is>
      </c>
      <c r="N152" s="29" t="inlineStr">
        <is>
          <t>0.6874666666666667</t>
        </is>
      </c>
      <c r="O152" s="29" t="inlineStr">
        <is>
          <t>ATTRACTIVE</t>
        </is>
      </c>
      <c r="P152" s="29" t="inlineStr">
        <is>
          <t>가치 매력</t>
        </is>
      </c>
      <c r="Q152" s="29" t="inlineStr">
        <is>
          <t>ATTRACTIVE</t>
        </is>
      </c>
      <c r="R152" s="29" t="inlineStr">
        <is>
          <t>0.9250659167833418</t>
        </is>
      </c>
      <c r="S152" s="29" t="inlineStr">
        <is>
          <t>HIGH</t>
        </is>
      </c>
      <c r="T152" s="29" t="inlineStr">
        <is>
          <t>HIGH</t>
        </is>
      </c>
      <c r="U152" s="29" t="inlineStr">
        <is>
          <t>0.0</t>
        </is>
      </c>
      <c r="V152" s="29" t="inlineStr">
        <is>
          <t>LOW_RISK</t>
        </is>
      </c>
      <c r="W152" s="29" t="inlineStr">
        <is>
          <t>저위험</t>
        </is>
      </c>
      <c r="X152" s="29" t="inlineStr">
        <is>
          <t>LOW_RISK</t>
        </is>
      </c>
      <c r="Y152" s="29" t="inlineStr">
        <is>
          <t>0.7848826000183735</t>
        </is>
      </c>
      <c r="Z152" s="29" t="inlineStr">
        <is>
          <t>HIGH</t>
        </is>
      </c>
      <c r="AA152" s="29" t="inlineStr">
        <is>
          <t>HIGH</t>
        </is>
      </c>
      <c r="AB152" s="29" t="inlineStr">
        <is>
          <t>0.02320770424808947</t>
        </is>
      </c>
      <c r="AC152" s="29" t="inlineStr">
        <is>
          <t>False</t>
        </is>
      </c>
      <c r="AD152" s="29" t="inlineStr">
        <is>
          <t>False</t>
        </is>
      </c>
      <c r="AE152" s="29" t="inlineStr">
        <is>
          <t>valuation_credit_ml_overlay_candidate.csv</t>
        </is>
      </c>
      <c r="AF152" s="29" t="inlineStr">
        <is>
          <t>208개 반도체 reference universe. Valuation Agent가 자체 intake 폴더로 복제해 Peer/ML/대시보드 비교에 사용.</t>
        </is>
      </c>
    </row>
    <row r="153" ht="24" customHeight="1">
      <c r="A153" s="24" t="inlineStr">
        <is>
          <t>105</t>
        </is>
      </c>
      <c r="B153" s="24" t="inlineStr">
        <is>
          <t>해당 없음</t>
        </is>
      </c>
      <c r="C153" s="24" t="inlineStr">
        <is>
          <t>유니퀘스트</t>
        </is>
      </c>
      <c r="D153" s="24" t="inlineStr">
        <is>
          <t>077500</t>
        </is>
      </c>
      <c r="E153" s="24" t="inlineStr">
        <is>
          <t>KOSPI</t>
        </is>
      </c>
      <c r="F153" s="24" t="inlineStr">
        <is>
          <t>장비</t>
        </is>
      </c>
      <c r="G153" s="24" t="inlineStr">
        <is>
          <t>장비</t>
        </is>
      </c>
      <c r="H153" s="24" t="inlineStr">
        <is>
          <t>False</t>
        </is>
      </c>
      <c r="I153" s="24" t="inlineStr">
        <is>
          <t>True</t>
        </is>
      </c>
      <c r="J153" s="24" t="inlineStr">
        <is>
          <t>OK</t>
        </is>
      </c>
      <c r="K153" s="24" t="inlineStr">
        <is>
          <t>데이터 사용 가능</t>
        </is>
      </c>
      <c r="L153" s="24" t="inlineStr">
        <is>
          <t>LOW</t>
        </is>
      </c>
      <c r="M153" s="24" t="inlineStr">
        <is>
          <t>LOW</t>
        </is>
      </c>
      <c r="N153" s="24" t="inlineStr">
        <is>
          <t>0.6784</t>
        </is>
      </c>
      <c r="O153" s="24" t="inlineStr">
        <is>
          <t>ATTRACTIVE</t>
        </is>
      </c>
      <c r="P153" s="24" t="inlineStr">
        <is>
          <t>가치 매력</t>
        </is>
      </c>
      <c r="Q153" s="24" t="inlineStr">
        <is>
          <t>ATTRACTIVE</t>
        </is>
      </c>
      <c r="R153" s="24" t="inlineStr">
        <is>
          <t>0.8881603628406226</t>
        </is>
      </c>
      <c r="S153" s="24" t="inlineStr">
        <is>
          <t>HIGH</t>
        </is>
      </c>
      <c r="T153" s="24" t="inlineStr">
        <is>
          <t>HIGH</t>
        </is>
      </c>
      <c r="U153" s="24" t="inlineStr">
        <is>
          <t>0.0</t>
        </is>
      </c>
      <c r="V153" s="24" t="inlineStr">
        <is>
          <t>LOW_RISK</t>
        </is>
      </c>
      <c r="W153" s="24" t="inlineStr">
        <is>
          <t>저위험</t>
        </is>
      </c>
      <c r="X153" s="24" t="inlineStr">
        <is>
          <t>LOW_RISK</t>
        </is>
      </c>
      <c r="Y153" s="24" t="inlineStr">
        <is>
          <t>0.8138676885332061</t>
        </is>
      </c>
      <c r="Z153" s="24" t="inlineStr">
        <is>
          <t>HIGH</t>
        </is>
      </c>
      <c r="AA153" s="24" t="inlineStr">
        <is>
          <t>HIGH</t>
        </is>
      </c>
      <c r="AB153" s="24" t="inlineStr">
        <is>
          <t>0.042139285734196785</t>
        </is>
      </c>
      <c r="AC153" s="24" t="inlineStr">
        <is>
          <t>False</t>
        </is>
      </c>
      <c r="AD153" s="24" t="inlineStr">
        <is>
          <t>False</t>
        </is>
      </c>
      <c r="AE153" s="24" t="inlineStr">
        <is>
          <t>valuation_credit_ml_overlay_candidate.csv</t>
        </is>
      </c>
      <c r="AF153" s="24" t="inlineStr">
        <is>
          <t>208개 반도체 reference universe. Valuation Agent가 자체 intake 폴더로 복제해 Peer/ML/대시보드 비교에 사용.</t>
        </is>
      </c>
    </row>
    <row r="154" ht="24" customHeight="1">
      <c r="A154" s="29" t="inlineStr">
        <is>
          <t>123</t>
        </is>
      </c>
      <c r="B154" s="29" t="inlineStr">
        <is>
          <t>해당 없음</t>
        </is>
      </c>
      <c r="C154" s="29" t="inlineStr">
        <is>
          <t>한솔아이원스</t>
        </is>
      </c>
      <c r="D154" s="29" t="inlineStr">
        <is>
          <t>114810</t>
        </is>
      </c>
      <c r="E154" s="29" t="inlineStr">
        <is>
          <t>KOSDAQ</t>
        </is>
      </c>
      <c r="F154" s="29" t="inlineStr">
        <is>
          <t>장비</t>
        </is>
      </c>
      <c r="G154" s="29" t="inlineStr">
        <is>
          <t>장비</t>
        </is>
      </c>
      <c r="H154" s="29" t="inlineStr">
        <is>
          <t>False</t>
        </is>
      </c>
      <c r="I154" s="29" t="inlineStr">
        <is>
          <t>True</t>
        </is>
      </c>
      <c r="J154" s="29" t="inlineStr">
        <is>
          <t>OK</t>
        </is>
      </c>
      <c r="K154" s="29" t="inlineStr">
        <is>
          <t>데이터 사용 가능</t>
        </is>
      </c>
      <c r="L154" s="29" t="inlineStr">
        <is>
          <t>LOW</t>
        </is>
      </c>
      <c r="M154" s="29" t="inlineStr">
        <is>
          <t>LOW</t>
        </is>
      </c>
      <c r="N154" s="29" t="inlineStr">
        <is>
          <t>0.6648</t>
        </is>
      </c>
      <c r="O154" s="29" t="inlineStr">
        <is>
          <t>ATTRACTIVE</t>
        </is>
      </c>
      <c r="P154" s="29" t="inlineStr">
        <is>
          <t>가치 매력</t>
        </is>
      </c>
      <c r="Q154" s="29" t="inlineStr">
        <is>
          <t>ATTRACTIVE</t>
        </is>
      </c>
      <c r="R154" s="29" t="inlineStr">
        <is>
          <t>0.9031428820161691</t>
        </is>
      </c>
      <c r="S154" s="29" t="inlineStr">
        <is>
          <t>HIGH</t>
        </is>
      </c>
      <c r="T154" s="29" t="inlineStr">
        <is>
          <t>HIGH</t>
        </is>
      </c>
      <c r="U154" s="29" t="inlineStr">
        <is>
          <t>0.1428571428571428</t>
        </is>
      </c>
      <c r="V154" s="29" t="inlineStr">
        <is>
          <t>LOW_RISK</t>
        </is>
      </c>
      <c r="W154" s="29" t="inlineStr">
        <is>
          <t>저위험</t>
        </is>
      </c>
      <c r="X154" s="29" t="inlineStr">
        <is>
          <t>LOW_RISK</t>
        </is>
      </c>
      <c r="Y154" s="29" t="inlineStr">
        <is>
          <t>0.8626763542915618</t>
        </is>
      </c>
      <c r="Z154" s="29" t="inlineStr">
        <is>
          <t>HIGH</t>
        </is>
      </c>
      <c r="AA154" s="29" t="inlineStr">
        <is>
          <t>HIGH</t>
        </is>
      </c>
      <c r="AB154" s="29" t="inlineStr">
        <is>
          <t>0.040357003305963514</t>
        </is>
      </c>
      <c r="AC154" s="29" t="inlineStr">
        <is>
          <t>False</t>
        </is>
      </c>
      <c r="AD154" s="29" t="inlineStr">
        <is>
          <t>False</t>
        </is>
      </c>
      <c r="AE154" s="29" t="inlineStr">
        <is>
          <t>valuation_credit_ml_overlay_candidate.csv</t>
        </is>
      </c>
      <c r="AF154" s="29" t="inlineStr">
        <is>
          <t>208개 반도체 reference universe. Valuation Agent가 자체 intake 폴더로 복제해 Peer/ML/대시보드 비교에 사용.</t>
        </is>
      </c>
    </row>
    <row r="155" ht="24" customHeight="1">
      <c r="A155" s="24" t="inlineStr">
        <is>
          <t>74</t>
        </is>
      </c>
      <c r="B155" s="24" t="inlineStr">
        <is>
          <t>해당 없음</t>
        </is>
      </c>
      <c r="C155" s="24" t="inlineStr">
        <is>
          <t>GST</t>
        </is>
      </c>
      <c r="D155" s="24" t="inlineStr">
        <is>
          <t>083450</t>
        </is>
      </c>
      <c r="E155" s="24" t="inlineStr">
        <is>
          <t>KOSDAQ</t>
        </is>
      </c>
      <c r="F155" s="24" t="inlineStr">
        <is>
          <t>장비</t>
        </is>
      </c>
      <c r="G155" s="24" t="inlineStr">
        <is>
          <t>장비</t>
        </is>
      </c>
      <c r="H155" s="24" t="inlineStr">
        <is>
          <t>False</t>
        </is>
      </c>
      <c r="I155" s="24" t="inlineStr">
        <is>
          <t>True</t>
        </is>
      </c>
      <c r="J155" s="24" t="inlineStr">
        <is>
          <t>OK</t>
        </is>
      </c>
      <c r="K155" s="24" t="inlineStr">
        <is>
          <t>데이터 사용 가능</t>
        </is>
      </c>
      <c r="L155" s="24" t="inlineStr">
        <is>
          <t>LOW</t>
        </is>
      </c>
      <c r="M155" s="24" t="inlineStr">
        <is>
          <t>LOW</t>
        </is>
      </c>
      <c r="N155" s="24" t="inlineStr">
        <is>
          <t>0.6474666666666666</t>
        </is>
      </c>
      <c r="O155" s="24" t="inlineStr">
        <is>
          <t>ATTRACTIVE</t>
        </is>
      </c>
      <c r="P155" s="24" t="inlineStr">
        <is>
          <t>가치 매력</t>
        </is>
      </c>
      <c r="Q155" s="24" t="inlineStr">
        <is>
          <t>ATTRACTIVE</t>
        </is>
      </c>
      <c r="R155" s="24" t="inlineStr">
        <is>
          <t>0.900491542853433</t>
        </is>
      </c>
      <c r="S155" s="24" t="inlineStr">
        <is>
          <t>HIGH</t>
        </is>
      </c>
      <c r="T155" s="24" t="inlineStr">
        <is>
          <t>HIGH</t>
        </is>
      </c>
      <c r="U155" s="24" t="inlineStr">
        <is>
          <t>0.0</t>
        </is>
      </c>
      <c r="V155" s="24" t="inlineStr">
        <is>
          <t>LOW_RISK</t>
        </is>
      </c>
      <c r="W155" s="24" t="inlineStr">
        <is>
          <t>저위험</t>
        </is>
      </c>
      <c r="X155" s="24" t="inlineStr">
        <is>
          <t>LOW_RISK</t>
        </is>
      </c>
      <c r="Y155" s="24" t="inlineStr">
        <is>
          <t>0.9914514013000448</t>
        </is>
      </c>
      <c r="Z155" s="24" t="inlineStr">
        <is>
          <t>HIGH</t>
        </is>
      </c>
      <c r="AA155" s="24" t="inlineStr">
        <is>
          <t>HIGH</t>
        </is>
      </c>
      <c r="AB155" s="24" t="inlineStr">
        <is>
          <t>0.030956097033645616</t>
        </is>
      </c>
      <c r="AC155" s="24" t="inlineStr">
        <is>
          <t>False</t>
        </is>
      </c>
      <c r="AD155" s="24" t="inlineStr">
        <is>
          <t>False</t>
        </is>
      </c>
      <c r="AE155" s="24" t="inlineStr">
        <is>
          <t>valuation_credit_ml_overlay_candidate.csv</t>
        </is>
      </c>
      <c r="AF155" s="24" t="inlineStr">
        <is>
          <t>208개 반도체 reference universe. Valuation Agent가 자체 intake 폴더로 복제해 Peer/ML/대시보드 비교에 사용.</t>
        </is>
      </c>
    </row>
    <row r="156" ht="24" customHeight="1">
      <c r="A156" s="29" t="inlineStr">
        <is>
          <t>117</t>
        </is>
      </c>
      <c r="B156" s="29" t="inlineStr">
        <is>
          <t>해당 없음</t>
        </is>
      </c>
      <c r="C156" s="29" t="inlineStr">
        <is>
          <t>티이엠씨씨엔에스</t>
        </is>
      </c>
      <c r="D156" s="29" t="inlineStr">
        <is>
          <t>241790</t>
        </is>
      </c>
      <c r="E156" s="29" t="inlineStr">
        <is>
          <t>KOSDAQ</t>
        </is>
      </c>
      <c r="F156" s="29" t="inlineStr">
        <is>
          <t>장비</t>
        </is>
      </c>
      <c r="G156" s="29" t="inlineStr">
        <is>
          <t>장비</t>
        </is>
      </c>
      <c r="H156" s="29" t="inlineStr">
        <is>
          <t>False</t>
        </is>
      </c>
      <c r="I156" s="29" t="inlineStr">
        <is>
          <t>True</t>
        </is>
      </c>
      <c r="J156" s="29" t="inlineStr">
        <is>
          <t>OK</t>
        </is>
      </c>
      <c r="K156" s="29" t="inlineStr">
        <is>
          <t>데이터 사용 가능</t>
        </is>
      </c>
      <c r="L156" s="29" t="inlineStr">
        <is>
          <t>LOW</t>
        </is>
      </c>
      <c r="M156" s="29" t="inlineStr">
        <is>
          <t>LOW</t>
        </is>
      </c>
      <c r="N156" s="29" t="inlineStr">
        <is>
          <t>0.6393333333333333</t>
        </is>
      </c>
      <c r="O156" s="29" t="inlineStr">
        <is>
          <t>ATTRACTIVE</t>
        </is>
      </c>
      <c r="P156" s="29" t="inlineStr">
        <is>
          <t>가치 매력</t>
        </is>
      </c>
      <c r="Q156" s="29" t="inlineStr">
        <is>
          <t>ATTRACTIVE</t>
        </is>
      </c>
      <c r="R156" s="29" t="inlineStr">
        <is>
          <t>0.8915695356337118</t>
        </is>
      </c>
      <c r="S156" s="29" t="inlineStr">
        <is>
          <t>HIGH</t>
        </is>
      </c>
      <c r="T156" s="29" t="inlineStr">
        <is>
          <t>HIGH</t>
        </is>
      </c>
      <c r="U156" s="29" t="inlineStr">
        <is>
          <t>0.0714285714285714</t>
        </is>
      </c>
      <c r="V156" s="29" t="inlineStr">
        <is>
          <t>LOW_RISK</t>
        </is>
      </c>
      <c r="W156" s="29" t="inlineStr">
        <is>
          <t>저위험</t>
        </is>
      </c>
      <c r="X156" s="29" t="inlineStr">
        <is>
          <t>LOW_RISK</t>
        </is>
      </c>
      <c r="Y156" s="29" t="inlineStr">
        <is>
          <t>0.8390932561788113</t>
        </is>
      </c>
      <c r="Z156" s="29" t="inlineStr">
        <is>
          <t>HIGH</t>
        </is>
      </c>
      <c r="AA156" s="29" t="inlineStr">
        <is>
          <t>HIGH</t>
        </is>
      </c>
      <c r="AB156" s="29" t="inlineStr">
        <is>
          <t>0.02833353868990863</t>
        </is>
      </c>
      <c r="AC156" s="29" t="inlineStr">
        <is>
          <t>False</t>
        </is>
      </c>
      <c r="AD156" s="29" t="inlineStr">
        <is>
          <t>False</t>
        </is>
      </c>
      <c r="AE156" s="29" t="inlineStr">
        <is>
          <t>valuation_credit_ml_overlay_candidate.csv</t>
        </is>
      </c>
      <c r="AF156" s="29" t="inlineStr">
        <is>
          <t>208개 반도체 reference universe. Valuation Agent가 자체 intake 폴더로 복제해 Peer/ML/대시보드 비교에 사용.</t>
        </is>
      </c>
    </row>
    <row r="157" ht="24" customHeight="1">
      <c r="A157" s="24" t="inlineStr">
        <is>
          <t>82</t>
        </is>
      </c>
      <c r="B157" s="24" t="inlineStr">
        <is>
          <t>해당 없음</t>
        </is>
      </c>
      <c r="C157" s="24" t="inlineStr">
        <is>
          <t>디아이티</t>
        </is>
      </c>
      <c r="D157" s="24" t="inlineStr">
        <is>
          <t>110990</t>
        </is>
      </c>
      <c r="E157" s="24" t="inlineStr">
        <is>
          <t>KOSDAQ</t>
        </is>
      </c>
      <c r="F157" s="24" t="inlineStr">
        <is>
          <t>장비</t>
        </is>
      </c>
      <c r="G157" s="24" t="inlineStr">
        <is>
          <t>장비</t>
        </is>
      </c>
      <c r="H157" s="24" t="inlineStr">
        <is>
          <t>False</t>
        </is>
      </c>
      <c r="I157" s="24" t="inlineStr">
        <is>
          <t>True</t>
        </is>
      </c>
      <c r="J157" s="24" t="inlineStr">
        <is>
          <t>OK</t>
        </is>
      </c>
      <c r="K157" s="24" t="inlineStr">
        <is>
          <t>데이터 사용 가능</t>
        </is>
      </c>
      <c r="L157" s="24" t="inlineStr">
        <is>
          <t>LOW</t>
        </is>
      </c>
      <c r="M157" s="24" t="inlineStr">
        <is>
          <t>LOW</t>
        </is>
      </c>
      <c r="N157" s="24" t="inlineStr">
        <is>
          <t>0.6341333333333333</t>
        </is>
      </c>
      <c r="O157" s="24" t="inlineStr">
        <is>
          <t>ATTRACTIVE</t>
        </is>
      </c>
      <c r="P157" s="24" t="inlineStr">
        <is>
          <t>가치 매력</t>
        </is>
      </c>
      <c r="Q157" s="24" t="inlineStr">
        <is>
          <t>ATTRACTIVE</t>
        </is>
      </c>
      <c r="R157" s="24" t="inlineStr">
        <is>
          <t>0.8847780199048246</t>
        </is>
      </c>
      <c r="S157" s="24" t="inlineStr">
        <is>
          <t>HIGH</t>
        </is>
      </c>
      <c r="T157" s="24" t="inlineStr">
        <is>
          <t>HIGH</t>
        </is>
      </c>
      <c r="U157" s="24" t="inlineStr">
        <is>
          <t>0.0</t>
        </is>
      </c>
      <c r="V157" s="24" t="inlineStr">
        <is>
          <t>LOW_RISK</t>
        </is>
      </c>
      <c r="W157" s="24" t="inlineStr">
        <is>
          <t>저위험</t>
        </is>
      </c>
      <c r="X157" s="24" t="inlineStr">
        <is>
          <t>LOW_RISK</t>
        </is>
      </c>
      <c r="Y157" s="24" t="inlineStr">
        <is>
          <t>0.9680387620928</t>
        </is>
      </c>
      <c r="Z157" s="24" t="inlineStr">
        <is>
          <t>HIGH</t>
        </is>
      </c>
      <c r="AA157" s="24" t="inlineStr">
        <is>
          <t>HIGH</t>
        </is>
      </c>
      <c r="AB157" s="24" t="inlineStr">
        <is>
          <t>0.10339551954594055</t>
        </is>
      </c>
      <c r="AC157" s="24" t="inlineStr">
        <is>
          <t>False</t>
        </is>
      </c>
      <c r="AD157" s="24" t="inlineStr">
        <is>
          <t>False</t>
        </is>
      </c>
      <c r="AE157" s="24" t="inlineStr">
        <is>
          <t>valuation_credit_ml_overlay_candidate.csv</t>
        </is>
      </c>
      <c r="AF157" s="24" t="inlineStr">
        <is>
          <t>208개 반도체 reference universe. Valuation Agent가 자체 intake 폴더로 복제해 Peer/ML/대시보드 비교에 사용.</t>
        </is>
      </c>
    </row>
    <row r="158" ht="24" customHeight="1">
      <c r="A158" s="29" t="inlineStr">
        <is>
          <t>113</t>
        </is>
      </c>
      <c r="B158" s="29" t="inlineStr">
        <is>
          <t>해당 없음</t>
        </is>
      </c>
      <c r="C158" s="29" t="inlineStr">
        <is>
          <t>케이씨텍</t>
        </is>
      </c>
      <c r="D158" s="29" t="inlineStr">
        <is>
          <t>281820</t>
        </is>
      </c>
      <c r="E158" s="29" t="inlineStr">
        <is>
          <t>KOSPI</t>
        </is>
      </c>
      <c r="F158" s="29" t="inlineStr">
        <is>
          <t>장비</t>
        </is>
      </c>
      <c r="G158" s="29" t="inlineStr">
        <is>
          <t>장비</t>
        </is>
      </c>
      <c r="H158" s="29" t="inlineStr">
        <is>
          <t>False</t>
        </is>
      </c>
      <c r="I158" s="29" t="inlineStr">
        <is>
          <t>True</t>
        </is>
      </c>
      <c r="J158" s="29" t="inlineStr">
        <is>
          <t>OK</t>
        </is>
      </c>
      <c r="K158" s="29" t="inlineStr">
        <is>
          <t>데이터 사용 가능</t>
        </is>
      </c>
      <c r="L158" s="29" t="inlineStr">
        <is>
          <t>LOW</t>
        </is>
      </c>
      <c r="M158" s="29" t="inlineStr">
        <is>
          <t>LOW</t>
        </is>
      </c>
      <c r="N158" s="29" t="inlineStr">
        <is>
          <t>0.6314666666666666</t>
        </is>
      </c>
      <c r="O158" s="29" t="inlineStr">
        <is>
          <t>ATTRACTIVE</t>
        </is>
      </c>
      <c r="P158" s="29" t="inlineStr">
        <is>
          <t>가치 매력</t>
        </is>
      </c>
      <c r="Q158" s="29" t="inlineStr">
        <is>
          <t>ATTRACTIVE</t>
        </is>
      </c>
      <c r="R158" s="29" t="inlineStr">
        <is>
          <t>0.8895261430914092</t>
        </is>
      </c>
      <c r="S158" s="29" t="inlineStr">
        <is>
          <t>HIGH</t>
        </is>
      </c>
      <c r="T158" s="29" t="inlineStr">
        <is>
          <t>HIGH</t>
        </is>
      </c>
      <c r="U158" s="29" t="inlineStr">
        <is>
          <t>0.0</t>
        </is>
      </c>
      <c r="V158" s="29" t="inlineStr">
        <is>
          <t>LOW_RISK</t>
        </is>
      </c>
      <c r="W158" s="29" t="inlineStr">
        <is>
          <t>저위험</t>
        </is>
      </c>
      <c r="X158" s="29" t="inlineStr">
        <is>
          <t>LOW_RISK</t>
        </is>
      </c>
      <c r="Y158" s="29" t="inlineStr">
        <is>
          <t>0.9840164809601727</t>
        </is>
      </c>
      <c r="Z158" s="29" t="inlineStr">
        <is>
          <t>HIGH</t>
        </is>
      </c>
      <c r="AA158" s="29" t="inlineStr">
        <is>
          <t>HIGH</t>
        </is>
      </c>
      <c r="AB158" s="29" t="inlineStr">
        <is>
          <t>0.08604596455969397</t>
        </is>
      </c>
      <c r="AC158" s="29" t="inlineStr">
        <is>
          <t>False</t>
        </is>
      </c>
      <c r="AD158" s="29" t="inlineStr">
        <is>
          <t>False</t>
        </is>
      </c>
      <c r="AE158" s="29" t="inlineStr">
        <is>
          <t>valuation_credit_ml_overlay_candidate.csv</t>
        </is>
      </c>
      <c r="AF158" s="29" t="inlineStr">
        <is>
          <t>208개 반도체 reference universe. Valuation Agent가 자체 intake 폴더로 복제해 Peer/ML/대시보드 비교에 사용.</t>
        </is>
      </c>
    </row>
    <row r="159" ht="24" customHeight="1">
      <c r="A159" s="24" t="inlineStr">
        <is>
          <t>85</t>
        </is>
      </c>
      <c r="B159" s="24" t="inlineStr">
        <is>
          <t>해당 없음</t>
        </is>
      </c>
      <c r="C159" s="24" t="inlineStr">
        <is>
          <t>로체시스템즈</t>
        </is>
      </c>
      <c r="D159" s="24" t="inlineStr">
        <is>
          <t>071280</t>
        </is>
      </c>
      <c r="E159" s="24" t="inlineStr">
        <is>
          <t>KOSDAQ</t>
        </is>
      </c>
      <c r="F159" s="24" t="inlineStr">
        <is>
          <t>장비</t>
        </is>
      </c>
      <c r="G159" s="24" t="inlineStr">
        <is>
          <t>장비</t>
        </is>
      </c>
      <c r="H159" s="24" t="inlineStr">
        <is>
          <t>False</t>
        </is>
      </c>
      <c r="I159" s="24" t="inlineStr">
        <is>
          <t>True</t>
        </is>
      </c>
      <c r="J159" s="24" t="inlineStr">
        <is>
          <t>OK</t>
        </is>
      </c>
      <c r="K159" s="24" t="inlineStr">
        <is>
          <t>데이터 사용 가능</t>
        </is>
      </c>
      <c r="L159" s="24" t="inlineStr">
        <is>
          <t>LOW</t>
        </is>
      </c>
      <c r="M159" s="24" t="inlineStr">
        <is>
          <t>LOW</t>
        </is>
      </c>
      <c r="N159" s="24" t="inlineStr">
        <is>
          <t>0.6258666666666667</t>
        </is>
      </c>
      <c r="O159" s="24" t="inlineStr">
        <is>
          <t>ATTRACTIVE</t>
        </is>
      </c>
      <c r="P159" s="24" t="inlineStr">
        <is>
          <t>가치 매력</t>
        </is>
      </c>
      <c r="Q159" s="24" t="inlineStr">
        <is>
          <t>ATTRACTIVE</t>
        </is>
      </c>
      <c r="R159" s="24" t="inlineStr">
        <is>
          <t>0.9642438845844894</t>
        </is>
      </c>
      <c r="S159" s="24" t="inlineStr">
        <is>
          <t>HIGH</t>
        </is>
      </c>
      <c r="T159" s="24" t="inlineStr">
        <is>
          <t>HIGH</t>
        </is>
      </c>
      <c r="U159" s="24" t="inlineStr">
        <is>
          <t>0.0714285714285714</t>
        </is>
      </c>
      <c r="V159" s="24" t="inlineStr">
        <is>
          <t>LOW_RISK</t>
        </is>
      </c>
      <c r="W159" s="24" t="inlineStr">
        <is>
          <t>저위험</t>
        </is>
      </c>
      <c r="X159" s="24" t="inlineStr">
        <is>
          <t>LOW_RISK</t>
        </is>
      </c>
      <c r="Y159" s="24" t="inlineStr">
        <is>
          <t>0.865361141095959</t>
        </is>
      </c>
      <c r="Z159" s="24" t="inlineStr">
        <is>
          <t>HIGH</t>
        </is>
      </c>
      <c r="AA159" s="24" t="inlineStr">
        <is>
          <t>HIGH</t>
        </is>
      </c>
      <c r="AB159" s="24" t="inlineStr">
        <is>
          <t>0.12835380231692475</t>
        </is>
      </c>
      <c r="AC159" s="24" t="inlineStr">
        <is>
          <t>False</t>
        </is>
      </c>
      <c r="AD159" s="24" t="inlineStr">
        <is>
          <t>False</t>
        </is>
      </c>
      <c r="AE159" s="24" t="inlineStr">
        <is>
          <t>valuation_credit_ml_overlay_candidate.csv</t>
        </is>
      </c>
      <c r="AF159" s="24" t="inlineStr">
        <is>
          <t>208개 반도체 reference universe. Valuation Agent가 자체 intake 폴더로 복제해 Peer/ML/대시보드 비교에 사용.</t>
        </is>
      </c>
    </row>
    <row r="160" ht="24" customHeight="1">
      <c r="A160" s="29" t="inlineStr">
        <is>
          <t>95</t>
        </is>
      </c>
      <c r="B160" s="29" t="inlineStr">
        <is>
          <t>해당 없음</t>
        </is>
      </c>
      <c r="C160" s="29" t="inlineStr">
        <is>
          <t>아이씨디</t>
        </is>
      </c>
      <c r="D160" s="29" t="inlineStr">
        <is>
          <t>040910</t>
        </is>
      </c>
      <c r="E160" s="29" t="inlineStr">
        <is>
          <t>KOSDAQ</t>
        </is>
      </c>
      <c r="F160" s="29" t="inlineStr">
        <is>
          <t>장비</t>
        </is>
      </c>
      <c r="G160" s="29" t="inlineStr">
        <is>
          <t>장비</t>
        </is>
      </c>
      <c r="H160" s="29" t="inlineStr">
        <is>
          <t>False</t>
        </is>
      </c>
      <c r="I160" s="29" t="inlineStr">
        <is>
          <t>True</t>
        </is>
      </c>
      <c r="J160" s="29" t="inlineStr">
        <is>
          <t>OK</t>
        </is>
      </c>
      <c r="K160" s="29" t="inlineStr">
        <is>
          <t>데이터 사용 가능</t>
        </is>
      </c>
      <c r="L160" s="29" t="inlineStr">
        <is>
          <t>LOW</t>
        </is>
      </c>
      <c r="M160" s="29" t="inlineStr">
        <is>
          <t>LOW</t>
        </is>
      </c>
      <c r="N160" s="29" t="inlineStr">
        <is>
          <t>0.6158666666666667</t>
        </is>
      </c>
      <c r="O160" s="29" t="inlineStr">
        <is>
          <t>FAIR</t>
        </is>
      </c>
      <c r="P160" s="29" t="inlineStr">
        <is>
          <t>FAIR</t>
        </is>
      </c>
      <c r="Q160" s="29" t="inlineStr">
        <is>
          <t>FAIR</t>
        </is>
      </c>
      <c r="R160" s="29" t="inlineStr">
        <is>
          <t>0.692546582663732</t>
        </is>
      </c>
      <c r="S160" s="29" t="inlineStr">
        <is>
          <t>MEDIUM</t>
        </is>
      </c>
      <c r="T160" s="29" t="inlineStr">
        <is>
          <t>MEDIUM</t>
        </is>
      </c>
      <c r="U160" s="29" t="inlineStr">
        <is>
          <t>0.0714285714285714</t>
        </is>
      </c>
      <c r="V160" s="29" t="inlineStr">
        <is>
          <t>LOW_RISK</t>
        </is>
      </c>
      <c r="W160" s="29" t="inlineStr">
        <is>
          <t>저위험</t>
        </is>
      </c>
      <c r="X160" s="29" t="inlineStr">
        <is>
          <t>LOW_RISK</t>
        </is>
      </c>
      <c r="Y160" s="29" t="inlineStr">
        <is>
          <t>0.44849044524296083</t>
        </is>
      </c>
      <c r="Z160" s="29" t="inlineStr">
        <is>
          <t>LOW</t>
        </is>
      </c>
      <c r="AA160" s="29" t="inlineStr">
        <is>
          <t>LOW</t>
        </is>
      </c>
      <c r="AB160" s="29" t="inlineStr">
        <is>
          <t>0.036739402266510075</t>
        </is>
      </c>
      <c r="AC160" s="29" t="inlineStr">
        <is>
          <t>False</t>
        </is>
      </c>
      <c r="AD160" s="29" t="inlineStr">
        <is>
          <t>True</t>
        </is>
      </c>
      <c r="AE160" s="29" t="inlineStr">
        <is>
          <t>valuation_credit_ml_overlay_candidate.csv</t>
        </is>
      </c>
      <c r="AF160" s="29" t="inlineStr">
        <is>
          <t>208개 반도체 reference universe. Valuation Agent가 자체 intake 폴더로 복제해 Peer/ML/대시보드 비교에 사용.</t>
        </is>
      </c>
    </row>
    <row r="161" ht="24" customHeight="1">
      <c r="A161" s="24" t="inlineStr">
        <is>
          <t>96</t>
        </is>
      </c>
      <c r="B161" s="24" t="inlineStr">
        <is>
          <t>해당 없음</t>
        </is>
      </c>
      <c r="C161" s="24" t="inlineStr">
        <is>
          <t>에스에프에이</t>
        </is>
      </c>
      <c r="D161" s="24" t="inlineStr">
        <is>
          <t>056190</t>
        </is>
      </c>
      <c r="E161" s="24" t="inlineStr">
        <is>
          <t>KOSDAQ GLOBAL</t>
        </is>
      </c>
      <c r="F161" s="24" t="inlineStr">
        <is>
          <t>장비</t>
        </is>
      </c>
      <c r="G161" s="24" t="inlineStr">
        <is>
          <t>장비</t>
        </is>
      </c>
      <c r="H161" s="24" t="inlineStr">
        <is>
          <t>False</t>
        </is>
      </c>
      <c r="I161" s="24" t="inlineStr">
        <is>
          <t>True</t>
        </is>
      </c>
      <c r="J161" s="24" t="inlineStr">
        <is>
          <t>OK</t>
        </is>
      </c>
      <c r="K161" s="24" t="inlineStr">
        <is>
          <t>데이터 사용 가능</t>
        </is>
      </c>
      <c r="L161" s="24" t="inlineStr">
        <is>
          <t>LOW</t>
        </is>
      </c>
      <c r="M161" s="24" t="inlineStr">
        <is>
          <t>LOW</t>
        </is>
      </c>
      <c r="N161" s="24" t="inlineStr">
        <is>
          <t>0.6098666666666667</t>
        </is>
      </c>
      <c r="O161" s="24" t="inlineStr">
        <is>
          <t>ATTRACTIVE</t>
        </is>
      </c>
      <c r="P161" s="24" t="inlineStr">
        <is>
          <t>가치 매력</t>
        </is>
      </c>
      <c r="Q161" s="24" t="inlineStr">
        <is>
          <t>ATTRACTIVE</t>
        </is>
      </c>
      <c r="R161" s="24" t="inlineStr">
        <is>
          <t>0.8690882589557657</t>
        </is>
      </c>
      <c r="S161" s="24" t="inlineStr">
        <is>
          <t>HIGH</t>
        </is>
      </c>
      <c r="T161" s="24" t="inlineStr">
        <is>
          <t>HIGH</t>
        </is>
      </c>
      <c r="U161" s="24" t="inlineStr">
        <is>
          <t>0.0</t>
        </is>
      </c>
      <c r="V161" s="24" t="inlineStr">
        <is>
          <t>LOW_RISK</t>
        </is>
      </c>
      <c r="W161" s="24" t="inlineStr">
        <is>
          <t>저위험</t>
        </is>
      </c>
      <c r="X161" s="24" t="inlineStr">
        <is>
          <t>LOW_RISK</t>
        </is>
      </c>
      <c r="Y161" s="24" t="inlineStr">
        <is>
          <t>0.9436125736629892</t>
        </is>
      </c>
      <c r="Z161" s="24" t="inlineStr">
        <is>
          <t>HIGH</t>
        </is>
      </c>
      <c r="AA161" s="24" t="inlineStr">
        <is>
          <t>HIGH</t>
        </is>
      </c>
      <c r="AB161" s="24" t="inlineStr">
        <is>
          <t>0.014784178233183152</t>
        </is>
      </c>
      <c r="AC161" s="24" t="inlineStr">
        <is>
          <t>False</t>
        </is>
      </c>
      <c r="AD161" s="24" t="inlineStr">
        <is>
          <t>False</t>
        </is>
      </c>
      <c r="AE161" s="24" t="inlineStr">
        <is>
          <t>valuation_credit_ml_overlay_candidate.csv</t>
        </is>
      </c>
      <c r="AF161" s="24" t="inlineStr">
        <is>
          <t>208개 반도체 reference universe. Valuation Agent가 자체 intake 폴더로 복제해 Peer/ML/대시보드 비교에 사용.</t>
        </is>
      </c>
    </row>
    <row r="162" ht="24" customHeight="1">
      <c r="A162" s="29" t="inlineStr">
        <is>
          <t>89</t>
        </is>
      </c>
      <c r="B162" s="29" t="inlineStr">
        <is>
          <t>해당 없음</t>
        </is>
      </c>
      <c r="C162" s="29" t="inlineStr">
        <is>
          <t>삼양엔씨켐</t>
        </is>
      </c>
      <c r="D162" s="29" t="inlineStr">
        <is>
          <t>482630</t>
        </is>
      </c>
      <c r="E162" s="29" t="inlineStr">
        <is>
          <t>KOSDAQ</t>
        </is>
      </c>
      <c r="F162" s="29" t="inlineStr">
        <is>
          <t>장비</t>
        </is>
      </c>
      <c r="G162" s="29" t="inlineStr">
        <is>
          <t>장비</t>
        </is>
      </c>
      <c r="H162" s="29" t="inlineStr">
        <is>
          <t>False</t>
        </is>
      </c>
      <c r="I162" s="29" t="inlineStr">
        <is>
          <t>True</t>
        </is>
      </c>
      <c r="J162" s="29" t="inlineStr">
        <is>
          <t>OK_LIMITED_HISTORY_OR_GROWTH_NA</t>
        </is>
      </c>
      <c r="K162" s="29" t="inlineStr">
        <is>
          <t>데이터 사용 가능</t>
        </is>
      </c>
      <c r="L162" s="29" t="inlineStr">
        <is>
          <t>LOW</t>
        </is>
      </c>
      <c r="M162" s="29" t="inlineStr">
        <is>
          <t>LOW</t>
        </is>
      </c>
      <c r="N162" s="29" t="inlineStr">
        <is>
          <t>0.5993333333333333</t>
        </is>
      </c>
      <c r="O162" s="29" t="inlineStr">
        <is>
          <t>ATTRACTIVE</t>
        </is>
      </c>
      <c r="P162" s="29" t="inlineStr">
        <is>
          <t>가치 매력</t>
        </is>
      </c>
      <c r="Q162" s="29" t="inlineStr">
        <is>
          <t>ATTRACTIVE</t>
        </is>
      </c>
      <c r="R162" s="29" t="inlineStr">
        <is>
          <t>0.6408467710997098</t>
        </is>
      </c>
      <c r="S162" s="29" t="inlineStr">
        <is>
          <t>MEDIUM</t>
        </is>
      </c>
      <c r="T162" s="29" t="inlineStr">
        <is>
          <t>MEDIUM</t>
        </is>
      </c>
      <c r="U162" s="29" t="inlineStr">
        <is>
          <t>0.0714285714285714</t>
        </is>
      </c>
      <c r="V162" s="29" t="inlineStr">
        <is>
          <t>LOW_RISK</t>
        </is>
      </c>
      <c r="W162" s="29" t="inlineStr">
        <is>
          <t>저위험</t>
        </is>
      </c>
      <c r="X162" s="29" t="inlineStr">
        <is>
          <t>LOW_RISK</t>
        </is>
      </c>
      <c r="Y162" s="29" t="inlineStr">
        <is>
          <t>0.9401160844253347</t>
        </is>
      </c>
      <c r="Z162" s="29" t="inlineStr">
        <is>
          <t>HIGH</t>
        </is>
      </c>
      <c r="AA162" s="29" t="inlineStr">
        <is>
          <t>HIGH</t>
        </is>
      </c>
      <c r="AB162" s="29" t="inlineStr">
        <is>
          <t>0.028901776832829695</t>
        </is>
      </c>
      <c r="AC162" s="29" t="inlineStr">
        <is>
          <t>False</t>
        </is>
      </c>
      <c r="AD162" s="29" t="inlineStr">
        <is>
          <t>True</t>
        </is>
      </c>
      <c r="AE162" s="29" t="inlineStr">
        <is>
          <t>valuation_credit_ml_overlay_candidate.csv</t>
        </is>
      </c>
      <c r="AF162" s="29" t="inlineStr">
        <is>
          <t>208개 반도체 reference universe. Valuation Agent가 자체 intake 폴더로 복제해 Peer/ML/대시보드 비교에 사용.</t>
        </is>
      </c>
    </row>
    <row r="163" ht="24" customHeight="1">
      <c r="A163" s="24" t="inlineStr">
        <is>
          <t>92</t>
        </is>
      </c>
      <c r="B163" s="24" t="inlineStr">
        <is>
          <t>해당 없음</t>
        </is>
      </c>
      <c r="C163" s="24" t="inlineStr">
        <is>
          <t>싸이맥스</t>
        </is>
      </c>
      <c r="D163" s="24" t="inlineStr">
        <is>
          <t>160980</t>
        </is>
      </c>
      <c r="E163" s="24" t="inlineStr">
        <is>
          <t>KOSDAQ</t>
        </is>
      </c>
      <c r="F163" s="24" t="inlineStr">
        <is>
          <t>장비</t>
        </is>
      </c>
      <c r="G163" s="24" t="inlineStr">
        <is>
          <t>장비</t>
        </is>
      </c>
      <c r="H163" s="24" t="inlineStr">
        <is>
          <t>False</t>
        </is>
      </c>
      <c r="I163" s="24" t="inlineStr">
        <is>
          <t>True</t>
        </is>
      </c>
      <c r="J163" s="24" t="inlineStr">
        <is>
          <t>OK</t>
        </is>
      </c>
      <c r="K163" s="24" t="inlineStr">
        <is>
          <t>데이터 사용 가능</t>
        </is>
      </c>
      <c r="L163" s="24" t="inlineStr">
        <is>
          <t>LOW</t>
        </is>
      </c>
      <c r="M163" s="24" t="inlineStr">
        <is>
          <t>LOW</t>
        </is>
      </c>
      <c r="N163" s="24" t="inlineStr">
        <is>
          <t>0.5961333333333334</t>
        </is>
      </c>
      <c r="O163" s="24" t="inlineStr">
        <is>
          <t>ATTRACTIVE</t>
        </is>
      </c>
      <c r="P163" s="24" t="inlineStr">
        <is>
          <t>가치 매력</t>
        </is>
      </c>
      <c r="Q163" s="24" t="inlineStr">
        <is>
          <t>ATTRACTIVE</t>
        </is>
      </c>
      <c r="R163" s="24" t="inlineStr">
        <is>
          <t>0.8128181122496774</t>
        </is>
      </c>
      <c r="S163" s="24" t="inlineStr">
        <is>
          <t>HIGH</t>
        </is>
      </c>
      <c r="T163" s="24" t="inlineStr">
        <is>
          <t>HIGH</t>
        </is>
      </c>
      <c r="U163" s="24" t="inlineStr">
        <is>
          <t>0.0</t>
        </is>
      </c>
      <c r="V163" s="24" t="inlineStr">
        <is>
          <t>LOW_RISK</t>
        </is>
      </c>
      <c r="W163" s="24" t="inlineStr">
        <is>
          <t>저위험</t>
        </is>
      </c>
      <c r="X163" s="24" t="inlineStr">
        <is>
          <t>LOW_RISK</t>
        </is>
      </c>
      <c r="Y163" s="24" t="inlineStr">
        <is>
          <t>0.9687749577011366</t>
        </is>
      </c>
      <c r="Z163" s="24" t="inlineStr">
        <is>
          <t>HIGH</t>
        </is>
      </c>
      <c r="AA163" s="24" t="inlineStr">
        <is>
          <t>HIGH</t>
        </is>
      </c>
      <c r="AB163" s="24" t="inlineStr">
        <is>
          <t>0.14360930410301745</t>
        </is>
      </c>
      <c r="AC163" s="24" t="inlineStr">
        <is>
          <t>False</t>
        </is>
      </c>
      <c r="AD163" s="24" t="inlineStr">
        <is>
          <t>False</t>
        </is>
      </c>
      <c r="AE163" s="24" t="inlineStr">
        <is>
          <t>valuation_credit_ml_overlay_candidate.csv</t>
        </is>
      </c>
      <c r="AF163" s="24" t="inlineStr">
        <is>
          <t>208개 반도체 reference universe. Valuation Agent가 자체 intake 폴더로 복제해 Peer/ML/대시보드 비교에 사용.</t>
        </is>
      </c>
    </row>
    <row r="164" ht="24" customHeight="1">
      <c r="A164" s="29" t="inlineStr">
        <is>
          <t>80</t>
        </is>
      </c>
      <c r="B164" s="29" t="inlineStr">
        <is>
          <t>해당 없음</t>
        </is>
      </c>
      <c r="C164" s="29" t="inlineStr">
        <is>
          <t>뉴파워프라즈마</t>
        </is>
      </c>
      <c r="D164" s="29" t="inlineStr">
        <is>
          <t>144960</t>
        </is>
      </c>
      <c r="E164" s="29" t="inlineStr">
        <is>
          <t>KOSDAQ</t>
        </is>
      </c>
      <c r="F164" s="29" t="inlineStr">
        <is>
          <t>장비</t>
        </is>
      </c>
      <c r="G164" s="29" t="inlineStr">
        <is>
          <t>장비</t>
        </is>
      </c>
      <c r="H164" s="29" t="inlineStr">
        <is>
          <t>False</t>
        </is>
      </c>
      <c r="I164" s="29" t="inlineStr">
        <is>
          <t>True</t>
        </is>
      </c>
      <c r="J164" s="29" t="inlineStr">
        <is>
          <t>OK</t>
        </is>
      </c>
      <c r="K164" s="29" t="inlineStr">
        <is>
          <t>데이터 사용 가능</t>
        </is>
      </c>
      <c r="L164" s="29" t="inlineStr">
        <is>
          <t>LOW</t>
        </is>
      </c>
      <c r="M164" s="29" t="inlineStr">
        <is>
          <t>LOW</t>
        </is>
      </c>
      <c r="N164" s="29" t="inlineStr">
        <is>
          <t>0.5749333333333334</t>
        </is>
      </c>
      <c r="O164" s="29" t="inlineStr">
        <is>
          <t>FAIR</t>
        </is>
      </c>
      <c r="P164" s="29" t="inlineStr">
        <is>
          <t>FAIR</t>
        </is>
      </c>
      <c r="Q164" s="29" t="inlineStr">
        <is>
          <t>FAIR</t>
        </is>
      </c>
      <c r="R164" s="29" t="inlineStr">
        <is>
          <t>0.868464354966477</t>
        </is>
      </c>
      <c r="S164" s="29" t="inlineStr">
        <is>
          <t>HIGH</t>
        </is>
      </c>
      <c r="T164" s="29" t="inlineStr">
        <is>
          <t>HIGH</t>
        </is>
      </c>
      <c r="U164" s="29" t="inlineStr">
        <is>
          <t>0.2142857142857142</t>
        </is>
      </c>
      <c r="V164" s="29" t="inlineStr">
        <is>
          <t>MEDIUM_RISK</t>
        </is>
      </c>
      <c r="W164" s="29" t="inlineStr">
        <is>
          <t>중위험</t>
        </is>
      </c>
      <c r="X164" s="29" t="inlineStr">
        <is>
          <t>MEDIUM_RISK</t>
        </is>
      </c>
      <c r="Y164" s="29" t="inlineStr">
        <is>
          <t>0.7046290499893975</t>
        </is>
      </c>
      <c r="Z164" s="29" t="inlineStr">
        <is>
          <t>HIGH</t>
        </is>
      </c>
      <c r="AA164" s="29" t="inlineStr">
        <is>
          <t>HIGH</t>
        </is>
      </c>
      <c r="AB164" s="29" t="inlineStr">
        <is>
          <t>0.04196333332906741</t>
        </is>
      </c>
      <c r="AC164" s="29" t="inlineStr">
        <is>
          <t>False</t>
        </is>
      </c>
      <c r="AD164" s="29" t="inlineStr">
        <is>
          <t>False</t>
        </is>
      </c>
      <c r="AE164" s="29" t="inlineStr">
        <is>
          <t>valuation_credit_ml_overlay_candidate.csv</t>
        </is>
      </c>
      <c r="AF164" s="29" t="inlineStr">
        <is>
          <t>208개 반도체 reference universe. Valuation Agent가 자체 intake 폴더로 복제해 Peer/ML/대시보드 비교에 사용.</t>
        </is>
      </c>
    </row>
    <row r="165" ht="24" customHeight="1">
      <c r="A165" s="24" t="inlineStr">
        <is>
          <t>107</t>
        </is>
      </c>
      <c r="B165" s="24" t="inlineStr">
        <is>
          <t>해당 없음</t>
        </is>
      </c>
      <c r="C165" s="24" t="inlineStr">
        <is>
          <t>이엘씨</t>
        </is>
      </c>
      <c r="D165" s="24" t="inlineStr">
        <is>
          <t>041520</t>
        </is>
      </c>
      <c r="E165" s="24" t="inlineStr">
        <is>
          <t>KOSDAQ</t>
        </is>
      </c>
      <c r="F165" s="24" t="inlineStr">
        <is>
          <t>장비</t>
        </is>
      </c>
      <c r="G165" s="24" t="inlineStr">
        <is>
          <t>장비</t>
        </is>
      </c>
      <c r="H165" s="24" t="inlineStr">
        <is>
          <t>False</t>
        </is>
      </c>
      <c r="I165" s="24" t="inlineStr">
        <is>
          <t>True</t>
        </is>
      </c>
      <c r="J165" s="24" t="inlineStr">
        <is>
          <t>OK</t>
        </is>
      </c>
      <c r="K165" s="24" t="inlineStr">
        <is>
          <t>데이터 사용 가능</t>
        </is>
      </c>
      <c r="L165" s="24" t="inlineStr">
        <is>
          <t>LOW</t>
        </is>
      </c>
      <c r="M165" s="24" t="inlineStr">
        <is>
          <t>LOW</t>
        </is>
      </c>
      <c r="N165" s="24" t="inlineStr">
        <is>
          <t>0.5722</t>
        </is>
      </c>
      <c r="O165" s="24" t="inlineStr">
        <is>
          <t>FAIR</t>
        </is>
      </c>
      <c r="P165" s="24" t="inlineStr">
        <is>
          <t>FAIR</t>
        </is>
      </c>
      <c r="Q165" s="24" t="inlineStr">
        <is>
          <t>FAIR</t>
        </is>
      </c>
      <c r="R165" s="24" t="inlineStr">
        <is>
          <t>0.7059172837936919</t>
        </is>
      </c>
      <c r="S165" s="24" t="inlineStr">
        <is>
          <t>HIGH</t>
        </is>
      </c>
      <c r="T165" s="24" t="inlineStr">
        <is>
          <t>HIGH</t>
        </is>
      </c>
      <c r="U165" s="24" t="inlineStr">
        <is>
          <t>0.3571428571428571</t>
        </is>
      </c>
      <c r="V165" s="24" t="inlineStr">
        <is>
          <t>MEDIUM_RISK</t>
        </is>
      </c>
      <c r="W165" s="24" t="inlineStr">
        <is>
          <t>중위험</t>
        </is>
      </c>
      <c r="X165" s="24" t="inlineStr">
        <is>
          <t>MEDIUM_RISK</t>
        </is>
      </c>
      <c r="Y165" s="24" t="inlineStr">
        <is>
          <t>0.6140431256310129</t>
        </is>
      </c>
      <c r="Z165" s="24" t="inlineStr">
        <is>
          <t>MEDIUM</t>
        </is>
      </c>
      <c r="AA165" s="24" t="inlineStr">
        <is>
          <t>MEDIUM</t>
        </is>
      </c>
      <c r="AB165" s="24" t="inlineStr">
        <is>
          <t>0.48123065048868763</t>
        </is>
      </c>
      <c r="AC165" s="24" t="inlineStr">
        <is>
          <t>True</t>
        </is>
      </c>
      <c r="AD165" s="24" t="inlineStr">
        <is>
          <t>True</t>
        </is>
      </c>
      <c r="AE165" s="24" t="inlineStr">
        <is>
          <t>valuation_credit_ml_overlay_candidate.csv</t>
        </is>
      </c>
      <c r="AF165" s="24" t="inlineStr">
        <is>
          <t>208개 반도체 reference universe. Valuation Agent가 자체 intake 폴더로 복제해 Peer/ML/대시보드 비교에 사용.</t>
        </is>
      </c>
    </row>
    <row r="166" ht="24" customHeight="1">
      <c r="A166" s="29" t="inlineStr">
        <is>
          <t>119</t>
        </is>
      </c>
      <c r="B166" s="29" t="inlineStr">
        <is>
          <t>해당 없음</t>
        </is>
      </c>
      <c r="C166" s="29" t="inlineStr">
        <is>
          <t>포인트엔지니어링</t>
        </is>
      </c>
      <c r="D166" s="29" t="inlineStr">
        <is>
          <t>256630</t>
        </is>
      </c>
      <c r="E166" s="29" t="inlineStr">
        <is>
          <t>KOSDAQ</t>
        </is>
      </c>
      <c r="F166" s="29" t="inlineStr">
        <is>
          <t>장비</t>
        </is>
      </c>
      <c r="G166" s="29" t="inlineStr">
        <is>
          <t>장비</t>
        </is>
      </c>
      <c r="H166" s="29" t="inlineStr">
        <is>
          <t>False</t>
        </is>
      </c>
      <c r="I166" s="29" t="inlineStr">
        <is>
          <t>True</t>
        </is>
      </c>
      <c r="J166" s="29" t="inlineStr">
        <is>
          <t>OK</t>
        </is>
      </c>
      <c r="K166" s="29" t="inlineStr">
        <is>
          <t>데이터 사용 가능</t>
        </is>
      </c>
      <c r="L166" s="29" t="inlineStr">
        <is>
          <t>LOW</t>
        </is>
      </c>
      <c r="M166" s="29" t="inlineStr">
        <is>
          <t>LOW</t>
        </is>
      </c>
      <c r="N166" s="29" t="inlineStr">
        <is>
          <t>0.5648666666666666</t>
        </is>
      </c>
      <c r="O166" s="29" t="inlineStr">
        <is>
          <t>FAIR</t>
        </is>
      </c>
      <c r="P166" s="29" t="inlineStr">
        <is>
          <t>FAIR</t>
        </is>
      </c>
      <c r="Q166" s="29" t="inlineStr">
        <is>
          <t>FAIR</t>
        </is>
      </c>
      <c r="R166" s="29" t="inlineStr">
        <is>
          <t>0.735270480034121</t>
        </is>
      </c>
      <c r="S166" s="29" t="inlineStr">
        <is>
          <t>HIGH</t>
        </is>
      </c>
      <c r="T166" s="29" t="inlineStr">
        <is>
          <t>HIGH</t>
        </is>
      </c>
      <c r="U166" s="29" t="inlineStr">
        <is>
          <t>0.1428571428571428</t>
        </is>
      </c>
      <c r="V166" s="29" t="inlineStr">
        <is>
          <t>LOW_RISK</t>
        </is>
      </c>
      <c r="W166" s="29" t="inlineStr">
        <is>
          <t>저위험</t>
        </is>
      </c>
      <c r="X166" s="29" t="inlineStr">
        <is>
          <t>LOW_RISK</t>
        </is>
      </c>
      <c r="Y166" s="29" t="inlineStr">
        <is>
          <t>0.46973098100913</t>
        </is>
      </c>
      <c r="Z166" s="29" t="inlineStr">
        <is>
          <t>LOW</t>
        </is>
      </c>
      <c r="AA166" s="29" t="inlineStr">
        <is>
          <t>LOW</t>
        </is>
      </c>
      <c r="AB166" s="29" t="inlineStr">
        <is>
          <t>0.13639895278143657</t>
        </is>
      </c>
      <c r="AC166" s="29" t="inlineStr">
        <is>
          <t>False</t>
        </is>
      </c>
      <c r="AD166" s="29" t="inlineStr">
        <is>
          <t>True</t>
        </is>
      </c>
      <c r="AE166" s="29" t="inlineStr">
        <is>
          <t>valuation_credit_ml_overlay_candidate.csv</t>
        </is>
      </c>
      <c r="AF166" s="29" t="inlineStr">
        <is>
          <t>208개 반도체 reference universe. Valuation Agent가 자체 intake 폴더로 복제해 Peer/ML/대시보드 비교에 사용.</t>
        </is>
      </c>
    </row>
    <row r="167" ht="24" customHeight="1">
      <c r="A167" s="24" t="inlineStr">
        <is>
          <t>116</t>
        </is>
      </c>
      <c r="B167" s="24" t="inlineStr">
        <is>
          <t>해당 없음</t>
        </is>
      </c>
      <c r="C167" s="24" t="inlineStr">
        <is>
          <t>테스</t>
        </is>
      </c>
      <c r="D167" s="24" t="inlineStr">
        <is>
          <t>095610</t>
        </is>
      </c>
      <c r="E167" s="24" t="inlineStr">
        <is>
          <t>KOSDAQ</t>
        </is>
      </c>
      <c r="F167" s="24" t="inlineStr">
        <is>
          <t>장비</t>
        </is>
      </c>
      <c r="G167" s="24" t="inlineStr">
        <is>
          <t>장비</t>
        </is>
      </c>
      <c r="H167" s="24" t="inlineStr">
        <is>
          <t>False</t>
        </is>
      </c>
      <c r="I167" s="24" t="inlineStr">
        <is>
          <t>True</t>
        </is>
      </c>
      <c r="J167" s="24" t="inlineStr">
        <is>
          <t>OK</t>
        </is>
      </c>
      <c r="K167" s="24" t="inlineStr">
        <is>
          <t>데이터 사용 가능</t>
        </is>
      </c>
      <c r="L167" s="24" t="inlineStr">
        <is>
          <t>LOW</t>
        </is>
      </c>
      <c r="M167" s="24" t="inlineStr">
        <is>
          <t>LOW</t>
        </is>
      </c>
      <c r="N167" s="24" t="inlineStr">
        <is>
          <t>0.5640000000000001</t>
        </is>
      </c>
      <c r="O167" s="24" t="inlineStr">
        <is>
          <t>FAIR</t>
        </is>
      </c>
      <c r="P167" s="24" t="inlineStr">
        <is>
          <t>FAIR</t>
        </is>
      </c>
      <c r="Q167" s="24" t="inlineStr">
        <is>
          <t>FAIR</t>
        </is>
      </c>
      <c r="R167" s="24" t="inlineStr">
        <is>
          <t>0.5083695341145091</t>
        </is>
      </c>
      <c r="S167" s="24" t="inlineStr">
        <is>
          <t>MEDIUM</t>
        </is>
      </c>
      <c r="T167" s="24" t="inlineStr">
        <is>
          <t>MEDIUM</t>
        </is>
      </c>
      <c r="U167" s="24" t="inlineStr">
        <is>
          <t>0.1428571428571428</t>
        </is>
      </c>
      <c r="V167" s="24" t="inlineStr">
        <is>
          <t>LOW_RISK</t>
        </is>
      </c>
      <c r="W167" s="24" t="inlineStr">
        <is>
          <t>저위험</t>
        </is>
      </c>
      <c r="X167" s="24" t="inlineStr">
        <is>
          <t>LOW_RISK</t>
        </is>
      </c>
      <c r="Y167" s="24" t="inlineStr">
        <is>
          <t>0.8915902677510841</t>
        </is>
      </c>
      <c r="Z167" s="24" t="inlineStr">
        <is>
          <t>HIGH</t>
        </is>
      </c>
      <c r="AA167" s="24" t="inlineStr">
        <is>
          <t>HIGH</t>
        </is>
      </c>
      <c r="AB167" s="24" t="inlineStr">
        <is>
          <t>0.04910195891941634</t>
        </is>
      </c>
      <c r="AC167" s="24" t="inlineStr">
        <is>
          <t>False</t>
        </is>
      </c>
      <c r="AD167" s="24" t="inlineStr">
        <is>
          <t>False</t>
        </is>
      </c>
      <c r="AE167" s="24" t="inlineStr">
        <is>
          <t>valuation_credit_ml_overlay_candidate.csv</t>
        </is>
      </c>
      <c r="AF167" s="24" t="inlineStr">
        <is>
          <t>208개 반도체 reference universe. Valuation Agent가 자체 intake 폴더로 복제해 Peer/ML/대시보드 비교에 사용.</t>
        </is>
      </c>
    </row>
    <row r="168" ht="24" customHeight="1">
      <c r="A168" s="29" t="inlineStr">
        <is>
          <t>104</t>
        </is>
      </c>
      <c r="B168" s="29" t="inlineStr">
        <is>
          <t>해당 없음</t>
        </is>
      </c>
      <c r="C168" s="29" t="inlineStr">
        <is>
          <t>유니셈</t>
        </is>
      </c>
      <c r="D168" s="29" t="inlineStr">
        <is>
          <t>036200</t>
        </is>
      </c>
      <c r="E168" s="29" t="inlineStr">
        <is>
          <t>KOSDAQ</t>
        </is>
      </c>
      <c r="F168" s="29" t="inlineStr">
        <is>
          <t>장비</t>
        </is>
      </c>
      <c r="G168" s="29" t="inlineStr">
        <is>
          <t>장비</t>
        </is>
      </c>
      <c r="H168" s="29" t="inlineStr">
        <is>
          <t>False</t>
        </is>
      </c>
      <c r="I168" s="29" t="inlineStr">
        <is>
          <t>True</t>
        </is>
      </c>
      <c r="J168" s="29" t="inlineStr">
        <is>
          <t>OK</t>
        </is>
      </c>
      <c r="K168" s="29" t="inlineStr">
        <is>
          <t>데이터 사용 가능</t>
        </is>
      </c>
      <c r="L168" s="29" t="inlineStr">
        <is>
          <t>LOW</t>
        </is>
      </c>
      <c r="M168" s="29" t="inlineStr">
        <is>
          <t>LOW</t>
        </is>
      </c>
      <c r="N168" s="29" t="inlineStr">
        <is>
          <t>0.5409333333333334</t>
        </is>
      </c>
      <c r="O168" s="29" t="inlineStr">
        <is>
          <t>FAIR</t>
        </is>
      </c>
      <c r="P168" s="29" t="inlineStr">
        <is>
          <t>FAIR</t>
        </is>
      </c>
      <c r="Q168" s="29" t="inlineStr">
        <is>
          <t>FAIR</t>
        </is>
      </c>
      <c r="R168" s="29" t="inlineStr">
        <is>
          <t>0.751305499027411</t>
        </is>
      </c>
      <c r="S168" s="29" t="inlineStr">
        <is>
          <t>HIGH</t>
        </is>
      </c>
      <c r="T168" s="29" t="inlineStr">
        <is>
          <t>HIGH</t>
        </is>
      </c>
      <c r="U168" s="29" t="inlineStr">
        <is>
          <t>0.2142857142857142</t>
        </is>
      </c>
      <c r="V168" s="29" t="inlineStr">
        <is>
          <t>MEDIUM_RISK</t>
        </is>
      </c>
      <c r="W168" s="29" t="inlineStr">
        <is>
          <t>중위험</t>
        </is>
      </c>
      <c r="X168" s="29" t="inlineStr">
        <is>
          <t>MEDIUM_RISK</t>
        </is>
      </c>
      <c r="Y168" s="29" t="inlineStr">
        <is>
          <t>0.7587275691055257</t>
        </is>
      </c>
      <c r="Z168" s="29" t="inlineStr">
        <is>
          <t>HIGH</t>
        </is>
      </c>
      <c r="AA168" s="29" t="inlineStr">
        <is>
          <t>HIGH</t>
        </is>
      </c>
      <c r="AB168" s="29" t="inlineStr">
        <is>
          <t>0.05351211711100475</t>
        </is>
      </c>
      <c r="AC168" s="29" t="inlineStr">
        <is>
          <t>False</t>
        </is>
      </c>
      <c r="AD168" s="29" t="inlineStr">
        <is>
          <t>False</t>
        </is>
      </c>
      <c r="AE168" s="29" t="inlineStr">
        <is>
          <t>valuation_credit_ml_overlay_candidate.csv</t>
        </is>
      </c>
      <c r="AF168" s="29" t="inlineStr">
        <is>
          <t>208개 반도체 reference universe. Valuation Agent가 자체 intake 폴더로 복제해 Peer/ML/대시보드 비교에 사용.</t>
        </is>
      </c>
    </row>
    <row r="169" ht="24" customHeight="1">
      <c r="A169" s="24" t="inlineStr">
        <is>
          <t>121</t>
        </is>
      </c>
      <c r="B169" s="24" t="inlineStr">
        <is>
          <t>해당 없음</t>
        </is>
      </c>
      <c r="C169" s="24" t="inlineStr">
        <is>
          <t>피에스케이홀딩스</t>
        </is>
      </c>
      <c r="D169" s="24" t="inlineStr">
        <is>
          <t>031980</t>
        </is>
      </c>
      <c r="E169" s="24" t="inlineStr">
        <is>
          <t>KOSDAQ</t>
        </is>
      </c>
      <c r="F169" s="24" t="inlineStr">
        <is>
          <t>장비</t>
        </is>
      </c>
      <c r="G169" s="24" t="inlineStr">
        <is>
          <t>장비</t>
        </is>
      </c>
      <c r="H169" s="24" t="inlineStr">
        <is>
          <t>False</t>
        </is>
      </c>
      <c r="I169" s="24" t="inlineStr">
        <is>
          <t>True</t>
        </is>
      </c>
      <c r="J169" s="24" t="inlineStr">
        <is>
          <t>OK</t>
        </is>
      </c>
      <c r="K169" s="24" t="inlineStr">
        <is>
          <t>데이터 사용 가능</t>
        </is>
      </c>
      <c r="L169" s="24" t="inlineStr">
        <is>
          <t>LOW</t>
        </is>
      </c>
      <c r="M169" s="24" t="inlineStr">
        <is>
          <t>LOW</t>
        </is>
      </c>
      <c r="N169" s="24" t="inlineStr">
        <is>
          <t>0.5385333333333334</t>
        </is>
      </c>
      <c r="O169" s="24" t="inlineStr">
        <is>
          <t>FAIR</t>
        </is>
      </c>
      <c r="P169" s="24" t="inlineStr">
        <is>
          <t>FAIR</t>
        </is>
      </c>
      <c r="Q169" s="24" t="inlineStr">
        <is>
          <t>FAIR</t>
        </is>
      </c>
      <c r="R169" s="24" t="inlineStr">
        <is>
          <t>0.7521125976897308</t>
        </is>
      </c>
      <c r="S169" s="24" t="inlineStr">
        <is>
          <t>HIGH</t>
        </is>
      </c>
      <c r="T169" s="24" t="inlineStr">
        <is>
          <t>HIGH</t>
        </is>
      </c>
      <c r="U169" s="24" t="inlineStr">
        <is>
          <t>0.0</t>
        </is>
      </c>
      <c r="V169" s="24" t="inlineStr">
        <is>
          <t>LOW_RISK</t>
        </is>
      </c>
      <c r="W169" s="24" t="inlineStr">
        <is>
          <t>저위험</t>
        </is>
      </c>
      <c r="X169" s="24" t="inlineStr">
        <is>
          <t>LOW_RISK</t>
        </is>
      </c>
      <c r="Y169" s="24" t="inlineStr">
        <is>
          <t>0.936112522374784</t>
        </is>
      </c>
      <c r="Z169" s="24" t="inlineStr">
        <is>
          <t>HIGH</t>
        </is>
      </c>
      <c r="AA169" s="24" t="inlineStr">
        <is>
          <t>HIGH</t>
        </is>
      </c>
      <c r="AB169" s="24" t="inlineStr">
        <is>
          <t>0.21000654030466528</t>
        </is>
      </c>
      <c r="AC169" s="24" t="inlineStr">
        <is>
          <t>False</t>
        </is>
      </c>
      <c r="AD169" s="24" t="inlineStr">
        <is>
          <t>False</t>
        </is>
      </c>
      <c r="AE169" s="24" t="inlineStr">
        <is>
          <t>valuation_credit_ml_overlay_candidate.csv</t>
        </is>
      </c>
      <c r="AF169" s="24" t="inlineStr">
        <is>
          <t>208개 반도체 reference universe. Valuation Agent가 자체 intake 폴더로 복제해 Peer/ML/대시보드 비교에 사용.</t>
        </is>
      </c>
    </row>
    <row r="170" ht="24" customHeight="1">
      <c r="A170" s="29" t="inlineStr">
        <is>
          <t>102</t>
        </is>
      </c>
      <c r="B170" s="29" t="inlineStr">
        <is>
          <t>해당 없음</t>
        </is>
      </c>
      <c r="C170" s="29" t="inlineStr">
        <is>
          <t>워트</t>
        </is>
      </c>
      <c r="D170" s="29" t="inlineStr">
        <is>
          <t>396470</t>
        </is>
      </c>
      <c r="E170" s="29" t="inlineStr">
        <is>
          <t>KOSDAQ</t>
        </is>
      </c>
      <c r="F170" s="29" t="inlineStr">
        <is>
          <t>장비</t>
        </is>
      </c>
      <c r="G170" s="29" t="inlineStr">
        <is>
          <t>장비</t>
        </is>
      </c>
      <c r="H170" s="29" t="inlineStr">
        <is>
          <t>False</t>
        </is>
      </c>
      <c r="I170" s="29" t="inlineStr">
        <is>
          <t>True</t>
        </is>
      </c>
      <c r="J170" s="29" t="inlineStr">
        <is>
          <t>OK_LIMITED_HISTORY_OR_GROWTH_NA</t>
        </is>
      </c>
      <c r="K170" s="29" t="inlineStr">
        <is>
          <t>데이터 사용 가능</t>
        </is>
      </c>
      <c r="L170" s="29" t="inlineStr">
        <is>
          <t>LOW</t>
        </is>
      </c>
      <c r="M170" s="29" t="inlineStr">
        <is>
          <t>LOW</t>
        </is>
      </c>
      <c r="N170" s="29" t="inlineStr">
        <is>
          <t>0.5384000000000001</t>
        </is>
      </c>
      <c r="O170" s="29" t="inlineStr">
        <is>
          <t>FAIR</t>
        </is>
      </c>
      <c r="P170" s="29" t="inlineStr">
        <is>
          <t>FAIR</t>
        </is>
      </c>
      <c r="Q170" s="29" t="inlineStr">
        <is>
          <t>FAIR</t>
        </is>
      </c>
      <c r="R170" s="29" t="inlineStr">
        <is>
          <t>0.6073344328439819</t>
        </is>
      </c>
      <c r="S170" s="29" t="inlineStr">
        <is>
          <t>MEDIUM</t>
        </is>
      </c>
      <c r="T170" s="29" t="inlineStr">
        <is>
          <t>MEDIUM</t>
        </is>
      </c>
      <c r="U170" s="29" t="inlineStr">
        <is>
          <t>0.0714285714285714</t>
        </is>
      </c>
      <c r="V170" s="29" t="inlineStr">
        <is>
          <t>LOW_RISK</t>
        </is>
      </c>
      <c r="W170" s="29" t="inlineStr">
        <is>
          <t>저위험</t>
        </is>
      </c>
      <c r="X170" s="29" t="inlineStr">
        <is>
          <t>LOW_RISK</t>
        </is>
      </c>
      <c r="Y170" s="29" t="inlineStr">
        <is>
          <t>0.8767524187887936</t>
        </is>
      </c>
      <c r="Z170" s="29" t="inlineStr">
        <is>
          <t>HIGH</t>
        </is>
      </c>
      <c r="AA170" s="29" t="inlineStr">
        <is>
          <t>HIGH</t>
        </is>
      </c>
      <c r="AB170" s="29" t="inlineStr">
        <is>
          <t>0.4537372664198796</t>
        </is>
      </c>
      <c r="AC170" s="29" t="inlineStr">
        <is>
          <t>True</t>
        </is>
      </c>
      <c r="AD170" s="29" t="inlineStr">
        <is>
          <t>True</t>
        </is>
      </c>
      <c r="AE170" s="29" t="inlineStr">
        <is>
          <t>valuation_credit_ml_overlay_candidate.csv</t>
        </is>
      </c>
      <c r="AF170" s="29" t="inlineStr">
        <is>
          <t>208개 반도체 reference universe. Valuation Agent가 자체 intake 폴더로 복제해 Peer/ML/대시보드 비교에 사용.</t>
        </is>
      </c>
    </row>
    <row r="171" ht="24" customHeight="1">
      <c r="A171" s="24" t="inlineStr">
        <is>
          <t>120</t>
        </is>
      </c>
      <c r="B171" s="24" t="inlineStr">
        <is>
          <t>해당 없음</t>
        </is>
      </c>
      <c r="C171" s="24" t="inlineStr">
        <is>
          <t>피에스케이</t>
        </is>
      </c>
      <c r="D171" s="24" t="inlineStr">
        <is>
          <t>319660</t>
        </is>
      </c>
      <c r="E171" s="24" t="inlineStr">
        <is>
          <t>KOSDAQ GLOBAL</t>
        </is>
      </c>
      <c r="F171" s="24" t="inlineStr">
        <is>
          <t>장비</t>
        </is>
      </c>
      <c r="G171" s="24" t="inlineStr">
        <is>
          <t>장비</t>
        </is>
      </c>
      <c r="H171" s="24" t="inlineStr">
        <is>
          <t>False</t>
        </is>
      </c>
      <c r="I171" s="24" t="inlineStr">
        <is>
          <t>True</t>
        </is>
      </c>
      <c r="J171" s="24" t="inlineStr">
        <is>
          <t>OK</t>
        </is>
      </c>
      <c r="K171" s="24" t="inlineStr">
        <is>
          <t>데이터 사용 가능</t>
        </is>
      </c>
      <c r="L171" s="24" t="inlineStr">
        <is>
          <t>LOW</t>
        </is>
      </c>
      <c r="M171" s="24" t="inlineStr">
        <is>
          <t>LOW</t>
        </is>
      </c>
      <c r="N171" s="24" t="inlineStr">
        <is>
          <t>0.5357333333333333</t>
        </is>
      </c>
      <c r="O171" s="24" t="inlineStr">
        <is>
          <t>FAIR</t>
        </is>
      </c>
      <c r="P171" s="24" t="inlineStr">
        <is>
          <t>FAIR</t>
        </is>
      </c>
      <c r="Q171" s="24" t="inlineStr">
        <is>
          <t>FAIR</t>
        </is>
      </c>
      <c r="R171" s="24" t="inlineStr">
        <is>
          <t>0.7072072873445469</t>
        </is>
      </c>
      <c r="S171" s="24" t="inlineStr">
        <is>
          <t>HIGH</t>
        </is>
      </c>
      <c r="T171" s="24" t="inlineStr">
        <is>
          <t>HIGH</t>
        </is>
      </c>
      <c r="U171" s="24" t="inlineStr">
        <is>
          <t>0.0</t>
        </is>
      </c>
      <c r="V171" s="24" t="inlineStr">
        <is>
          <t>LOW_RISK</t>
        </is>
      </c>
      <c r="W171" s="24" t="inlineStr">
        <is>
          <t>저위험</t>
        </is>
      </c>
      <c r="X171" s="24" t="inlineStr">
        <is>
          <t>LOW_RISK</t>
        </is>
      </c>
      <c r="Y171" s="24" t="inlineStr">
        <is>
          <t>0.9811059783961981</t>
        </is>
      </c>
      <c r="Z171" s="24" t="inlineStr">
        <is>
          <t>HIGH</t>
        </is>
      </c>
      <c r="AA171" s="24" t="inlineStr">
        <is>
          <t>HIGH</t>
        </is>
      </c>
      <c r="AB171" s="24" t="inlineStr">
        <is>
          <t>0.06486271422414225</t>
        </is>
      </c>
      <c r="AC171" s="24" t="inlineStr">
        <is>
          <t>False</t>
        </is>
      </c>
      <c r="AD171" s="24" t="inlineStr">
        <is>
          <t>False</t>
        </is>
      </c>
      <c r="AE171" s="24" t="inlineStr">
        <is>
          <t>valuation_credit_ml_overlay_candidate.csv</t>
        </is>
      </c>
      <c r="AF171" s="24" t="inlineStr">
        <is>
          <t>208개 반도체 reference universe. Valuation Agent가 자체 intake 폴더로 복제해 Peer/ML/대시보드 비교에 사용.</t>
        </is>
      </c>
    </row>
    <row r="172" ht="24" customHeight="1">
      <c r="A172" s="29" t="inlineStr">
        <is>
          <t>87</t>
        </is>
      </c>
      <c r="B172" s="29" t="inlineStr">
        <is>
          <t>해당 없음</t>
        </is>
      </c>
      <c r="C172" s="29" t="inlineStr">
        <is>
          <t>브이엠</t>
        </is>
      </c>
      <c r="D172" s="29" t="inlineStr">
        <is>
          <t>089970</t>
        </is>
      </c>
      <c r="E172" s="29" t="inlineStr">
        <is>
          <t>KOSDAQ</t>
        </is>
      </c>
      <c r="F172" s="29" t="inlineStr">
        <is>
          <t>장비</t>
        </is>
      </c>
      <c r="G172" s="29" t="inlineStr">
        <is>
          <t>장비</t>
        </is>
      </c>
      <c r="H172" s="29" t="inlineStr">
        <is>
          <t>False</t>
        </is>
      </c>
      <c r="I172" s="29" t="inlineStr">
        <is>
          <t>True</t>
        </is>
      </c>
      <c r="J172" s="29" t="inlineStr">
        <is>
          <t>OK</t>
        </is>
      </c>
      <c r="K172" s="29" t="inlineStr">
        <is>
          <t>데이터 사용 가능</t>
        </is>
      </c>
      <c r="L172" s="29" t="inlineStr">
        <is>
          <t>LOW</t>
        </is>
      </c>
      <c r="M172" s="29" t="inlineStr">
        <is>
          <t>LOW</t>
        </is>
      </c>
      <c r="N172" s="29" t="inlineStr">
        <is>
          <t>0.5204000000000001</t>
        </is>
      </c>
      <c r="O172" s="29" t="inlineStr">
        <is>
          <t>FAIR</t>
        </is>
      </c>
      <c r="P172" s="29" t="inlineStr">
        <is>
          <t>FAIR</t>
        </is>
      </c>
      <c r="Q172" s="29" t="inlineStr">
        <is>
          <t>FAIR</t>
        </is>
      </c>
      <c r="R172" s="29" t="inlineStr">
        <is>
          <t>0.737579554357605</t>
        </is>
      </c>
      <c r="S172" s="29" t="inlineStr">
        <is>
          <t>HIGH</t>
        </is>
      </c>
      <c r="T172" s="29" t="inlineStr">
        <is>
          <t>HIGH</t>
        </is>
      </c>
      <c r="U172" s="29" t="inlineStr">
        <is>
          <t>0.0</t>
        </is>
      </c>
      <c r="V172" s="29" t="inlineStr">
        <is>
          <t>LOW_RISK</t>
        </is>
      </c>
      <c r="W172" s="29" t="inlineStr">
        <is>
          <t>저위험</t>
        </is>
      </c>
      <c r="X172" s="29" t="inlineStr">
        <is>
          <t>LOW_RISK</t>
        </is>
      </c>
      <c r="Y172" s="29" t="inlineStr">
        <is>
          <t>0.9262131686985617</t>
        </is>
      </c>
      <c r="Z172" s="29" t="inlineStr">
        <is>
          <t>HIGH</t>
        </is>
      </c>
      <c r="AA172" s="29" t="inlineStr">
        <is>
          <t>HIGH</t>
        </is>
      </c>
      <c r="AB172" s="29" t="inlineStr">
        <is>
          <t>0.095895233286532</t>
        </is>
      </c>
      <c r="AC172" s="29" t="inlineStr">
        <is>
          <t>False</t>
        </is>
      </c>
      <c r="AD172" s="29" t="inlineStr">
        <is>
          <t>False</t>
        </is>
      </c>
      <c r="AE172" s="29" t="inlineStr">
        <is>
          <t>valuation_credit_ml_overlay_candidate.csv</t>
        </is>
      </c>
      <c r="AF172" s="29" t="inlineStr">
        <is>
          <t>208개 반도체 reference universe. Valuation Agent가 자체 intake 폴더로 복제해 Peer/ML/대시보드 비교에 사용.</t>
        </is>
      </c>
    </row>
    <row r="173" ht="24" customHeight="1">
      <c r="A173" s="24" t="inlineStr">
        <is>
          <t>114</t>
        </is>
      </c>
      <c r="B173" s="24" t="inlineStr">
        <is>
          <t>해당 없음</t>
        </is>
      </c>
      <c r="C173" s="24" t="inlineStr">
        <is>
          <t>코세스</t>
        </is>
      </c>
      <c r="D173" s="24" t="inlineStr">
        <is>
          <t>089890</t>
        </is>
      </c>
      <c r="E173" s="24" t="inlineStr">
        <is>
          <t>KOSDAQ</t>
        </is>
      </c>
      <c r="F173" s="24" t="inlineStr">
        <is>
          <t>장비</t>
        </is>
      </c>
      <c r="G173" s="24" t="inlineStr">
        <is>
          <t>장비</t>
        </is>
      </c>
      <c r="H173" s="24" t="inlineStr">
        <is>
          <t>False</t>
        </is>
      </c>
      <c r="I173" s="24" t="inlineStr">
        <is>
          <t>True</t>
        </is>
      </c>
      <c r="J173" s="24" t="inlineStr">
        <is>
          <t>OK</t>
        </is>
      </c>
      <c r="K173" s="24" t="inlineStr">
        <is>
          <t>데이터 사용 가능</t>
        </is>
      </c>
      <c r="L173" s="24" t="inlineStr">
        <is>
          <t>LOW</t>
        </is>
      </c>
      <c r="M173" s="24" t="inlineStr">
        <is>
          <t>LOW</t>
        </is>
      </c>
      <c r="N173" s="24" t="inlineStr">
        <is>
          <t>0.4978666666666667</t>
        </is>
      </c>
      <c r="O173" s="24" t="inlineStr">
        <is>
          <t>FAIR</t>
        </is>
      </c>
      <c r="P173" s="24" t="inlineStr">
        <is>
          <t>FAIR</t>
        </is>
      </c>
      <c r="Q173" s="24" t="inlineStr">
        <is>
          <t>FAIR</t>
        </is>
      </c>
      <c r="R173" s="24" t="inlineStr">
        <is>
          <t>0.7228094449358575</t>
        </is>
      </c>
      <c r="S173" s="24" t="inlineStr">
        <is>
          <t>HIGH</t>
        </is>
      </c>
      <c r="T173" s="24" t="inlineStr">
        <is>
          <t>HIGH</t>
        </is>
      </c>
      <c r="U173" s="24" t="inlineStr">
        <is>
          <t>0.0714285714285714</t>
        </is>
      </c>
      <c r="V173" s="24" t="inlineStr">
        <is>
          <t>LOW_RISK</t>
        </is>
      </c>
      <c r="W173" s="24" t="inlineStr">
        <is>
          <t>저위험</t>
        </is>
      </c>
      <c r="X173" s="24" t="inlineStr">
        <is>
          <t>LOW_RISK</t>
        </is>
      </c>
      <c r="Y173" s="24" t="inlineStr">
        <is>
          <t>0.7776657060311913</t>
        </is>
      </c>
      <c r="Z173" s="24" t="inlineStr">
        <is>
          <t>HIGH</t>
        </is>
      </c>
      <c r="AA173" s="24" t="inlineStr">
        <is>
          <t>HIGH</t>
        </is>
      </c>
      <c r="AB173" s="24" t="inlineStr">
        <is>
          <t>0.08712413247882898</t>
        </is>
      </c>
      <c r="AC173" s="24" t="inlineStr">
        <is>
          <t>False</t>
        </is>
      </c>
      <c r="AD173" s="24" t="inlineStr">
        <is>
          <t>False</t>
        </is>
      </c>
      <c r="AE173" s="24" t="inlineStr">
        <is>
          <t>valuation_credit_ml_overlay_candidate.csv</t>
        </is>
      </c>
      <c r="AF173" s="24" t="inlineStr">
        <is>
          <t>208개 반도체 reference universe. Valuation Agent가 자체 intake 폴더로 복제해 Peer/ML/대시보드 비교에 사용.</t>
        </is>
      </c>
    </row>
    <row r="174" ht="24" customHeight="1">
      <c r="A174" s="29" t="inlineStr">
        <is>
          <t>115</t>
        </is>
      </c>
      <c r="B174" s="29" t="inlineStr">
        <is>
          <t>해당 없음</t>
        </is>
      </c>
      <c r="C174" s="29" t="inlineStr">
        <is>
          <t>코스텍시스템</t>
        </is>
      </c>
      <c r="D174" s="29" t="inlineStr">
        <is>
          <t>169670</t>
        </is>
      </c>
      <c r="E174" s="29" t="inlineStr">
        <is>
          <t>KONEX</t>
        </is>
      </c>
      <c r="F174" s="29" t="inlineStr">
        <is>
          <t>장비</t>
        </is>
      </c>
      <c r="G174" s="29" t="inlineStr">
        <is>
          <t>장비</t>
        </is>
      </c>
      <c r="H174" s="29" t="inlineStr">
        <is>
          <t>False</t>
        </is>
      </c>
      <c r="I174" s="29" t="inlineStr">
        <is>
          <t>True</t>
        </is>
      </c>
      <c r="J174" s="29" t="inlineStr">
        <is>
          <t>NO_DART_FINANCIAL_DATA</t>
        </is>
      </c>
      <c r="K174" s="29" t="inlineStr">
        <is>
          <t>데이터 사용 가능</t>
        </is>
      </c>
      <c r="L174" s="29" t="inlineStr">
        <is>
          <t>HIGH</t>
        </is>
      </c>
      <c r="M174" s="29" t="inlineStr">
        <is>
          <t>HIGH</t>
        </is>
      </c>
      <c r="N174" s="29" t="inlineStr">
        <is>
          <t>0.4959999999999999</t>
        </is>
      </c>
      <c r="O174" s="29" t="inlineStr">
        <is>
          <t>FAIR</t>
        </is>
      </c>
      <c r="P174" s="29" t="inlineStr">
        <is>
          <t>FAIR</t>
        </is>
      </c>
      <c r="Q174" s="29" t="inlineStr">
        <is>
          <t>FAIR</t>
        </is>
      </c>
      <c r="R174" s="29" t="inlineStr">
        <is>
          <t>0.9640840061970892</t>
        </is>
      </c>
      <c r="S174" s="29" t="inlineStr">
        <is>
          <t>HIGH</t>
        </is>
      </c>
      <c r="T174" s="29" t="inlineStr">
        <is>
          <t>HIGH</t>
        </is>
      </c>
      <c r="U174" s="29" t="inlineStr">
        <is>
          <t>0.2142857142857142</t>
        </is>
      </c>
      <c r="V174" s="29" t="inlineStr">
        <is>
          <t>MEDIUM_RISK</t>
        </is>
      </c>
      <c r="W174" s="29" t="inlineStr">
        <is>
          <t>중위험</t>
        </is>
      </c>
      <c r="X174" s="29" t="inlineStr">
        <is>
          <t>MEDIUM_RISK</t>
        </is>
      </c>
      <c r="Y174" s="29" t="inlineStr">
        <is>
          <t>0.7627943410657042</t>
        </is>
      </c>
      <c r="Z174" s="29" t="inlineStr">
        <is>
          <t>HIGH</t>
        </is>
      </c>
      <c r="AA174" s="29" t="inlineStr">
        <is>
          <t>HIGH</t>
        </is>
      </c>
      <c r="AB174" s="29" t="inlineStr">
        <is>
          <t>0.1642174593956627</t>
        </is>
      </c>
      <c r="AC174" s="29" t="inlineStr">
        <is>
          <t>False</t>
        </is>
      </c>
      <c r="AD174" s="29" t="inlineStr">
        <is>
          <t>True</t>
        </is>
      </c>
      <c r="AE174" s="29" t="inlineStr">
        <is>
          <t>valuation_credit_ml_overlay_candidate.csv</t>
        </is>
      </c>
      <c r="AF174" s="29" t="inlineStr">
        <is>
          <t>208개 반도체 reference universe. Valuation Agent가 자체 intake 폴더로 복제해 Peer/ML/대시보드 비교에 사용.</t>
        </is>
      </c>
    </row>
    <row r="175" ht="24" customHeight="1">
      <c r="A175" s="24" t="inlineStr">
        <is>
          <t>75</t>
        </is>
      </c>
      <c r="B175" s="24" t="inlineStr">
        <is>
          <t>해당 없음</t>
        </is>
      </c>
      <c r="C175" s="24" t="inlineStr">
        <is>
          <t>HPSP</t>
        </is>
      </c>
      <c r="D175" s="24" t="inlineStr">
        <is>
          <t>403870</t>
        </is>
      </c>
      <c r="E175" s="24" t="inlineStr">
        <is>
          <t>KOSDAQ GLOBAL</t>
        </is>
      </c>
      <c r="F175" s="24" t="inlineStr">
        <is>
          <t>장비</t>
        </is>
      </c>
      <c r="G175" s="24" t="inlineStr">
        <is>
          <t>장비</t>
        </is>
      </c>
      <c r="H175" s="24" t="inlineStr">
        <is>
          <t>False</t>
        </is>
      </c>
      <c r="I175" s="24" t="inlineStr">
        <is>
          <t>True</t>
        </is>
      </c>
      <c r="J175" s="24" t="inlineStr">
        <is>
          <t>OK</t>
        </is>
      </c>
      <c r="K175" s="24" t="inlineStr">
        <is>
          <t>데이터 사용 가능</t>
        </is>
      </c>
      <c r="L175" s="24" t="inlineStr">
        <is>
          <t>LOW</t>
        </is>
      </c>
      <c r="M175" s="24" t="inlineStr">
        <is>
          <t>LOW</t>
        </is>
      </c>
      <c r="N175" s="24" t="inlineStr">
        <is>
          <t>0.4751999999999999</t>
        </is>
      </c>
      <c r="O175" s="24" t="inlineStr">
        <is>
          <t>FAIR</t>
        </is>
      </c>
      <c r="P175" s="24" t="inlineStr">
        <is>
          <t>FAIR</t>
        </is>
      </c>
      <c r="Q175" s="24" t="inlineStr">
        <is>
          <t>FAIR</t>
        </is>
      </c>
      <c r="R175" s="24" t="inlineStr">
        <is>
          <t>0.7108284021978194</t>
        </is>
      </c>
      <c r="S175" s="24" t="inlineStr">
        <is>
          <t>HIGH</t>
        </is>
      </c>
      <c r="T175" s="24" t="inlineStr">
        <is>
          <t>HIGH</t>
        </is>
      </c>
      <c r="U175" s="24" t="inlineStr">
        <is>
          <t>0.0</t>
        </is>
      </c>
      <c r="V175" s="24" t="inlineStr">
        <is>
          <t>LOW_RISK</t>
        </is>
      </c>
      <c r="W175" s="24" t="inlineStr">
        <is>
          <t>저위험</t>
        </is>
      </c>
      <c r="X175" s="24" t="inlineStr">
        <is>
          <t>LOW_RISK</t>
        </is>
      </c>
      <c r="Y175" s="24" t="inlineStr">
        <is>
          <t>0.9192147630692069</t>
        </is>
      </c>
      <c r="Z175" s="24" t="inlineStr">
        <is>
          <t>HIGH</t>
        </is>
      </c>
      <c r="AA175" s="24" t="inlineStr">
        <is>
          <t>HIGH</t>
        </is>
      </c>
      <c r="AB175" s="24" t="inlineStr">
        <is>
          <t>0.3306557234104388</t>
        </is>
      </c>
      <c r="AC175" s="24" t="inlineStr">
        <is>
          <t>True</t>
        </is>
      </c>
      <c r="AD175" s="24" t="inlineStr">
        <is>
          <t>True</t>
        </is>
      </c>
      <c r="AE175" s="24" t="inlineStr">
        <is>
          <t>valuation_credit_ml_overlay_candidate.csv</t>
        </is>
      </c>
      <c r="AF175" s="24" t="inlineStr">
        <is>
          <t>208개 반도체 reference universe. Valuation Agent가 자체 intake 폴더로 복제해 Peer/ML/대시보드 비교에 사용.</t>
        </is>
      </c>
    </row>
    <row r="176" ht="24" customHeight="1">
      <c r="A176" s="29" t="inlineStr">
        <is>
          <t>103</t>
        </is>
      </c>
      <c r="B176" s="29" t="inlineStr">
        <is>
          <t>해당 없음</t>
        </is>
      </c>
      <c r="C176" s="29" t="inlineStr">
        <is>
          <t>원익IPS</t>
        </is>
      </c>
      <c r="D176" s="29" t="inlineStr">
        <is>
          <t>240810</t>
        </is>
      </c>
      <c r="E176" s="29" t="inlineStr">
        <is>
          <t>KOSDAQ GLOBAL</t>
        </is>
      </c>
      <c r="F176" s="29" t="inlineStr">
        <is>
          <t>장비</t>
        </is>
      </c>
      <c r="G176" s="29" t="inlineStr">
        <is>
          <t>장비</t>
        </is>
      </c>
      <c r="H176" s="29" t="inlineStr">
        <is>
          <t>False</t>
        </is>
      </c>
      <c r="I176" s="29" t="inlineStr">
        <is>
          <t>True</t>
        </is>
      </c>
      <c r="J176" s="29" t="inlineStr">
        <is>
          <t>OK</t>
        </is>
      </c>
      <c r="K176" s="29" t="inlineStr">
        <is>
          <t>데이터 사용 가능</t>
        </is>
      </c>
      <c r="L176" s="29" t="inlineStr">
        <is>
          <t>LOW</t>
        </is>
      </c>
      <c r="M176" s="29" t="inlineStr">
        <is>
          <t>LOW</t>
        </is>
      </c>
      <c r="N176" s="29" t="inlineStr">
        <is>
          <t>0.4634666666666667</t>
        </is>
      </c>
      <c r="O176" s="29" t="inlineStr">
        <is>
          <t>FAIR</t>
        </is>
      </c>
      <c r="P176" s="29" t="inlineStr">
        <is>
          <t>FAIR</t>
        </is>
      </c>
      <c r="Q176" s="29" t="inlineStr">
        <is>
          <t>FAIR</t>
        </is>
      </c>
      <c r="R176" s="29" t="inlineStr">
        <is>
          <t>0.5727476694226805</t>
        </is>
      </c>
      <c r="S176" s="29" t="inlineStr">
        <is>
          <t>MEDIUM</t>
        </is>
      </c>
      <c r="T176" s="29" t="inlineStr">
        <is>
          <t>MEDIUM</t>
        </is>
      </c>
      <c r="U176" s="29" t="inlineStr">
        <is>
          <t>0.0714285714285714</t>
        </is>
      </c>
      <c r="V176" s="29" t="inlineStr">
        <is>
          <t>LOW_RISK</t>
        </is>
      </c>
      <c r="W176" s="29" t="inlineStr">
        <is>
          <t>저위험</t>
        </is>
      </c>
      <c r="X176" s="29" t="inlineStr">
        <is>
          <t>LOW_RISK</t>
        </is>
      </c>
      <c r="Y176" s="29" t="inlineStr">
        <is>
          <t>0.9598478437041975</t>
        </is>
      </c>
      <c r="Z176" s="29" t="inlineStr">
        <is>
          <t>HIGH</t>
        </is>
      </c>
      <c r="AA176" s="29" t="inlineStr">
        <is>
          <t>HIGH</t>
        </is>
      </c>
      <c r="AB176" s="29" t="inlineStr">
        <is>
          <t>0.08568837626660758</t>
        </is>
      </c>
      <c r="AC176" s="29" t="inlineStr">
        <is>
          <t>False</t>
        </is>
      </c>
      <c r="AD176" s="29" t="inlineStr">
        <is>
          <t>False</t>
        </is>
      </c>
      <c r="AE176" s="29" t="inlineStr">
        <is>
          <t>valuation_credit_ml_overlay_candidate.csv</t>
        </is>
      </c>
      <c r="AF176" s="29" t="inlineStr">
        <is>
          <t>208개 반도체 reference universe. Valuation Agent가 자체 intake 폴더로 복제해 Peer/ML/대시보드 비교에 사용.</t>
        </is>
      </c>
    </row>
    <row r="177" ht="24" customHeight="1">
      <c r="A177" s="24" t="inlineStr">
        <is>
          <t>118</t>
        </is>
      </c>
      <c r="B177" s="24" t="inlineStr">
        <is>
          <t>해당 없음</t>
        </is>
      </c>
      <c r="C177" s="24" t="inlineStr">
        <is>
          <t>파크시스템스</t>
        </is>
      </c>
      <c r="D177" s="24" t="inlineStr">
        <is>
          <t>140860</t>
        </is>
      </c>
      <c r="E177" s="24" t="inlineStr">
        <is>
          <t>KOSDAQ GLOBAL</t>
        </is>
      </c>
      <c r="F177" s="24" t="inlineStr">
        <is>
          <t>장비</t>
        </is>
      </c>
      <c r="G177" s="24" t="inlineStr">
        <is>
          <t>장비</t>
        </is>
      </c>
      <c r="H177" s="24" t="inlineStr">
        <is>
          <t>False</t>
        </is>
      </c>
      <c r="I177" s="24" t="inlineStr">
        <is>
          <t>True</t>
        </is>
      </c>
      <c r="J177" s="24" t="inlineStr">
        <is>
          <t>OK</t>
        </is>
      </c>
      <c r="K177" s="24" t="inlineStr">
        <is>
          <t>데이터 사용 가능</t>
        </is>
      </c>
      <c r="L177" s="24" t="inlineStr">
        <is>
          <t>LOW</t>
        </is>
      </c>
      <c r="M177" s="24" t="inlineStr">
        <is>
          <t>LOW</t>
        </is>
      </c>
      <c r="N177" s="24" t="inlineStr">
        <is>
          <t>0.4611999999999999</t>
        </is>
      </c>
      <c r="O177" s="24" t="inlineStr">
        <is>
          <t>FAIR</t>
        </is>
      </c>
      <c r="P177" s="24" t="inlineStr">
        <is>
          <t>FAIR</t>
        </is>
      </c>
      <c r="Q177" s="24" t="inlineStr">
        <is>
          <t>FAIR</t>
        </is>
      </c>
      <c r="R177" s="24" t="inlineStr">
        <is>
          <t>0.7158734205313764</t>
        </is>
      </c>
      <c r="S177" s="24" t="inlineStr">
        <is>
          <t>HIGH</t>
        </is>
      </c>
      <c r="T177" s="24" t="inlineStr">
        <is>
          <t>HIGH</t>
        </is>
      </c>
      <c r="U177" s="24" t="inlineStr">
        <is>
          <t>0.0714285714285714</t>
        </is>
      </c>
      <c r="V177" s="24" t="inlineStr">
        <is>
          <t>LOW_RISK</t>
        </is>
      </c>
      <c r="W177" s="24" t="inlineStr">
        <is>
          <t>저위험</t>
        </is>
      </c>
      <c r="X177" s="24" t="inlineStr">
        <is>
          <t>LOW_RISK</t>
        </is>
      </c>
      <c r="Y177" s="24" t="inlineStr">
        <is>
          <t>0.8562648725642331</t>
        </is>
      </c>
      <c r="Z177" s="24" t="inlineStr">
        <is>
          <t>HIGH</t>
        </is>
      </c>
      <c r="AA177" s="24" t="inlineStr">
        <is>
          <t>HIGH</t>
        </is>
      </c>
      <c r="AB177" s="24" t="inlineStr">
        <is>
          <t>0.038412769981702295</t>
        </is>
      </c>
      <c r="AC177" s="24" t="inlineStr">
        <is>
          <t>False</t>
        </is>
      </c>
      <c r="AD177" s="24" t="inlineStr">
        <is>
          <t>False</t>
        </is>
      </c>
      <c r="AE177" s="24" t="inlineStr">
        <is>
          <t>valuation_credit_ml_overlay_candidate.csv</t>
        </is>
      </c>
      <c r="AF177" s="24" t="inlineStr">
        <is>
          <t>208개 반도체 reference universe. Valuation Agent가 자체 intake 폴더로 복제해 Peer/ML/대시보드 비교에 사용.</t>
        </is>
      </c>
    </row>
    <row r="178" ht="24" customHeight="1">
      <c r="A178" s="29" t="inlineStr">
        <is>
          <t>90</t>
        </is>
      </c>
      <c r="B178" s="29" t="inlineStr">
        <is>
          <t>해당 없음</t>
        </is>
      </c>
      <c r="C178" s="29" t="inlineStr">
        <is>
          <t>서플러스글로벌</t>
        </is>
      </c>
      <c r="D178" s="29" t="inlineStr">
        <is>
          <t>140070</t>
        </is>
      </c>
      <c r="E178" s="29" t="inlineStr">
        <is>
          <t>KOSDAQ</t>
        </is>
      </c>
      <c r="F178" s="29" t="inlineStr">
        <is>
          <t>장비</t>
        </is>
      </c>
      <c r="G178" s="29" t="inlineStr">
        <is>
          <t>장비</t>
        </is>
      </c>
      <c r="H178" s="29" t="inlineStr">
        <is>
          <t>False</t>
        </is>
      </c>
      <c r="I178" s="29" t="inlineStr">
        <is>
          <t>True</t>
        </is>
      </c>
      <c r="J178" s="29" t="inlineStr">
        <is>
          <t>OK</t>
        </is>
      </c>
      <c r="K178" s="29" t="inlineStr">
        <is>
          <t>데이터 사용 가능</t>
        </is>
      </c>
      <c r="L178" s="29" t="inlineStr">
        <is>
          <t>LOW</t>
        </is>
      </c>
      <c r="M178" s="29" t="inlineStr">
        <is>
          <t>LOW</t>
        </is>
      </c>
      <c r="N178" s="29" t="inlineStr">
        <is>
          <t>0.4594666666666667</t>
        </is>
      </c>
      <c r="O178" s="29" t="inlineStr">
        <is>
          <t>FAIR</t>
        </is>
      </c>
      <c r="P178" s="29" t="inlineStr">
        <is>
          <t>FAIR</t>
        </is>
      </c>
      <c r="Q178" s="29" t="inlineStr">
        <is>
          <t>FAIR</t>
        </is>
      </c>
      <c r="R178" s="29" t="inlineStr">
        <is>
          <t>0.6515364241286621</t>
        </is>
      </c>
      <c r="S178" s="29" t="inlineStr">
        <is>
          <t>MEDIUM</t>
        </is>
      </c>
      <c r="T178" s="29" t="inlineStr">
        <is>
          <t>MEDIUM</t>
        </is>
      </c>
      <c r="U178" s="29" t="inlineStr">
        <is>
          <t>0.7142857142857143</t>
        </is>
      </c>
      <c r="V178" s="29" t="inlineStr">
        <is>
          <t>HIGH_RISK</t>
        </is>
      </c>
      <c r="W178" s="29" t="inlineStr">
        <is>
          <t>고위험</t>
        </is>
      </c>
      <c r="X178" s="29" t="inlineStr">
        <is>
          <t>HIGH_RISK</t>
        </is>
      </c>
      <c r="Y178" s="29" t="inlineStr">
        <is>
          <t>0.9338637410254204</t>
        </is>
      </c>
      <c r="Z178" s="29" t="inlineStr">
        <is>
          <t>HIGH</t>
        </is>
      </c>
      <c r="AA178" s="29" t="inlineStr">
        <is>
          <t>HIGH</t>
        </is>
      </c>
      <c r="AB178" s="29" t="inlineStr">
        <is>
          <t>0.11246105889395507</t>
        </is>
      </c>
      <c r="AC178" s="29" t="inlineStr">
        <is>
          <t>False</t>
        </is>
      </c>
      <c r="AD178" s="29" t="inlineStr">
        <is>
          <t>False</t>
        </is>
      </c>
      <c r="AE178" s="29" t="inlineStr">
        <is>
          <t>valuation_credit_ml_overlay_candidate.csv</t>
        </is>
      </c>
      <c r="AF178" s="29" t="inlineStr">
        <is>
          <t>208개 반도체 reference universe. Valuation Agent가 자체 intake 폴더로 복제해 Peer/ML/대시보드 비교에 사용.</t>
        </is>
      </c>
    </row>
    <row r="179" ht="24" customHeight="1">
      <c r="A179" s="24" t="inlineStr">
        <is>
          <t>97</t>
        </is>
      </c>
      <c r="B179" s="24" t="inlineStr">
        <is>
          <t>해당 없음</t>
        </is>
      </c>
      <c r="C179" s="24" t="inlineStr">
        <is>
          <t>에스티아이</t>
        </is>
      </c>
      <c r="D179" s="24" t="inlineStr">
        <is>
          <t>039440</t>
        </is>
      </c>
      <c r="E179" s="24" t="inlineStr">
        <is>
          <t>KOSDAQ</t>
        </is>
      </c>
      <c r="F179" s="24" t="inlineStr">
        <is>
          <t>장비</t>
        </is>
      </c>
      <c r="G179" s="24" t="inlineStr">
        <is>
          <t>장비</t>
        </is>
      </c>
      <c r="H179" s="24" t="inlineStr">
        <is>
          <t>False</t>
        </is>
      </c>
      <c r="I179" s="24" t="inlineStr">
        <is>
          <t>True</t>
        </is>
      </c>
      <c r="J179" s="24" t="inlineStr">
        <is>
          <t>OK</t>
        </is>
      </c>
      <c r="K179" s="24" t="inlineStr">
        <is>
          <t>데이터 사용 가능</t>
        </is>
      </c>
      <c r="L179" s="24" t="inlineStr">
        <is>
          <t>LOW</t>
        </is>
      </c>
      <c r="M179" s="24" t="inlineStr">
        <is>
          <t>LOW</t>
        </is>
      </c>
      <c r="N179" s="24" t="inlineStr">
        <is>
          <t>0.4549999999999999</t>
        </is>
      </c>
      <c r="O179" s="24" t="inlineStr">
        <is>
          <t>FAIR</t>
        </is>
      </c>
      <c r="P179" s="24" t="inlineStr">
        <is>
          <t>FAIR</t>
        </is>
      </c>
      <c r="Q179" s="24" t="inlineStr">
        <is>
          <t>FAIR</t>
        </is>
      </c>
      <c r="R179" s="24" t="inlineStr">
        <is>
          <t>0.53270990340385</t>
        </is>
      </c>
      <c r="S179" s="24" t="inlineStr">
        <is>
          <t>MEDIUM</t>
        </is>
      </c>
      <c r="T179" s="24" t="inlineStr">
        <is>
          <t>MEDIUM</t>
        </is>
      </c>
      <c r="U179" s="24" t="inlineStr">
        <is>
          <t>0.0</t>
        </is>
      </c>
      <c r="V179" s="24" t="inlineStr">
        <is>
          <t>LOW_RISK</t>
        </is>
      </c>
      <c r="W179" s="24" t="inlineStr">
        <is>
          <t>저위험</t>
        </is>
      </c>
      <c r="X179" s="24" t="inlineStr">
        <is>
          <t>LOW_RISK</t>
        </is>
      </c>
      <c r="Y179" s="24" t="inlineStr">
        <is>
          <t>0.911990788525375</t>
        </is>
      </c>
      <c r="Z179" s="24" t="inlineStr">
        <is>
          <t>HIGH</t>
        </is>
      </c>
      <c r="AA179" s="24" t="inlineStr">
        <is>
          <t>HIGH</t>
        </is>
      </c>
      <c r="AB179" s="24" t="inlineStr">
        <is>
          <t>0.012946139293246964</t>
        </is>
      </c>
      <c r="AC179" s="24" t="inlineStr">
        <is>
          <t>False</t>
        </is>
      </c>
      <c r="AD179" s="24" t="inlineStr">
        <is>
          <t>False</t>
        </is>
      </c>
      <c r="AE179" s="24" t="inlineStr">
        <is>
          <t>valuation_credit_ml_overlay_candidate.csv</t>
        </is>
      </c>
      <c r="AF179" s="24" t="inlineStr">
        <is>
          <t>208개 반도체 reference universe. Valuation Agent가 자체 intake 폴더로 복제해 Peer/ML/대시보드 비교에 사용.</t>
        </is>
      </c>
    </row>
    <row r="180" ht="24" customHeight="1">
      <c r="A180" s="29" t="inlineStr">
        <is>
          <t>106</t>
        </is>
      </c>
      <c r="B180" s="29" t="inlineStr">
        <is>
          <t>해당 없음</t>
        </is>
      </c>
      <c r="C180" s="29" t="inlineStr">
        <is>
          <t>유진테크</t>
        </is>
      </c>
      <c r="D180" s="29" t="inlineStr">
        <is>
          <t>084370</t>
        </is>
      </c>
      <c r="E180" s="29" t="inlineStr">
        <is>
          <t>KOSDAQ</t>
        </is>
      </c>
      <c r="F180" s="29" t="inlineStr">
        <is>
          <t>장비</t>
        </is>
      </c>
      <c r="G180" s="29" t="inlineStr">
        <is>
          <t>장비</t>
        </is>
      </c>
      <c r="H180" s="29" t="inlineStr">
        <is>
          <t>False</t>
        </is>
      </c>
      <c r="I180" s="29" t="inlineStr">
        <is>
          <t>True</t>
        </is>
      </c>
      <c r="J180" s="29" t="inlineStr">
        <is>
          <t>OK</t>
        </is>
      </c>
      <c r="K180" s="29" t="inlineStr">
        <is>
          <t>데이터 사용 가능</t>
        </is>
      </c>
      <c r="L180" s="29" t="inlineStr">
        <is>
          <t>LOW</t>
        </is>
      </c>
      <c r="M180" s="29" t="inlineStr">
        <is>
          <t>LOW</t>
        </is>
      </c>
      <c r="N180" s="29" t="inlineStr">
        <is>
          <t>0.4335999999999999</t>
        </is>
      </c>
      <c r="O180" s="29" t="inlineStr">
        <is>
          <t>FAIR</t>
        </is>
      </c>
      <c r="P180" s="29" t="inlineStr">
        <is>
          <t>FAIR</t>
        </is>
      </c>
      <c r="Q180" s="29" t="inlineStr">
        <is>
          <t>FAIR</t>
        </is>
      </c>
      <c r="R180" s="29" t="inlineStr">
        <is>
          <t>0.7415227894291446</t>
        </is>
      </c>
      <c r="S180" s="29" t="inlineStr">
        <is>
          <t>HIGH</t>
        </is>
      </c>
      <c r="T180" s="29" t="inlineStr">
        <is>
          <t>HIGH</t>
        </is>
      </c>
      <c r="U180" s="29" t="inlineStr">
        <is>
          <t>0.0</t>
        </is>
      </c>
      <c r="V180" s="29" t="inlineStr">
        <is>
          <t>LOW_RISK</t>
        </is>
      </c>
      <c r="W180" s="29" t="inlineStr">
        <is>
          <t>저위험</t>
        </is>
      </c>
      <c r="X180" s="29" t="inlineStr">
        <is>
          <t>LOW_RISK</t>
        </is>
      </c>
      <c r="Y180" s="29" t="inlineStr">
        <is>
          <t>0.972105078189685</t>
        </is>
      </c>
      <c r="Z180" s="29" t="inlineStr">
        <is>
          <t>HIGH</t>
        </is>
      </c>
      <c r="AA180" s="29" t="inlineStr">
        <is>
          <t>HIGH</t>
        </is>
      </c>
      <c r="AB180" s="29" t="inlineStr">
        <is>
          <t>0.06698695126425369</t>
        </is>
      </c>
      <c r="AC180" s="29" t="inlineStr">
        <is>
          <t>False</t>
        </is>
      </c>
      <c r="AD180" s="29" t="inlineStr">
        <is>
          <t>False</t>
        </is>
      </c>
      <c r="AE180" s="29" t="inlineStr">
        <is>
          <t>valuation_credit_ml_overlay_candidate.csv</t>
        </is>
      </c>
      <c r="AF180" s="29" t="inlineStr">
        <is>
          <t>208개 반도체 reference universe. Valuation Agent가 자체 intake 폴더로 복제해 Peer/ML/대시보드 비교에 사용.</t>
        </is>
      </c>
    </row>
    <row r="181" ht="24" customHeight="1">
      <c r="A181" s="24" t="inlineStr">
        <is>
          <t>109</t>
        </is>
      </c>
      <c r="B181" s="24" t="inlineStr">
        <is>
          <t>해당 없음</t>
        </is>
      </c>
      <c r="C181" s="24" t="inlineStr">
        <is>
          <t>제우스</t>
        </is>
      </c>
      <c r="D181" s="24" t="inlineStr">
        <is>
          <t>079370</t>
        </is>
      </c>
      <c r="E181" s="24" t="inlineStr">
        <is>
          <t>KOSDAQ</t>
        </is>
      </c>
      <c r="F181" s="24" t="inlineStr">
        <is>
          <t>장비</t>
        </is>
      </c>
      <c r="G181" s="24" t="inlineStr">
        <is>
          <t>장비</t>
        </is>
      </c>
      <c r="H181" s="24" t="inlineStr">
        <is>
          <t>False</t>
        </is>
      </c>
      <c r="I181" s="24" t="inlineStr">
        <is>
          <t>True</t>
        </is>
      </c>
      <c r="J181" s="24" t="inlineStr">
        <is>
          <t>OK</t>
        </is>
      </c>
      <c r="K181" s="24" t="inlineStr">
        <is>
          <t>데이터 사용 가능</t>
        </is>
      </c>
      <c r="L181" s="24" t="inlineStr">
        <is>
          <t>LOW</t>
        </is>
      </c>
      <c r="M181" s="24" t="inlineStr">
        <is>
          <t>LOW</t>
        </is>
      </c>
      <c r="N181" s="24" t="inlineStr">
        <is>
          <t>0.4258666666666666</t>
        </is>
      </c>
      <c r="O181" s="24" t="inlineStr">
        <is>
          <t>FAIR</t>
        </is>
      </c>
      <c r="P181" s="24" t="inlineStr">
        <is>
          <t>FAIR</t>
        </is>
      </c>
      <c r="Q181" s="24" t="inlineStr">
        <is>
          <t>FAIR</t>
        </is>
      </c>
      <c r="R181" s="24" t="inlineStr">
        <is>
          <t>0.7744454918412472</t>
        </is>
      </c>
      <c r="S181" s="24" t="inlineStr">
        <is>
          <t>HIGH</t>
        </is>
      </c>
      <c r="T181" s="24" t="inlineStr">
        <is>
          <t>HIGH</t>
        </is>
      </c>
      <c r="U181" s="24" t="inlineStr">
        <is>
          <t>0.2142857142857142</t>
        </is>
      </c>
      <c r="V181" s="24" t="inlineStr">
        <is>
          <t>MEDIUM_RISK</t>
        </is>
      </c>
      <c r="W181" s="24" t="inlineStr">
        <is>
          <t>중위험</t>
        </is>
      </c>
      <c r="X181" s="24" t="inlineStr">
        <is>
          <t>MEDIUM_RISK</t>
        </is>
      </c>
      <c r="Y181" s="24" t="inlineStr">
        <is>
          <t>0.7526716293270965</t>
        </is>
      </c>
      <c r="Z181" s="24" t="inlineStr">
        <is>
          <t>HIGH</t>
        </is>
      </c>
      <c r="AA181" s="24" t="inlineStr">
        <is>
          <t>HIGH</t>
        </is>
      </c>
      <c r="AB181" s="24" t="inlineStr">
        <is>
          <t>0.011543006177035572</t>
        </is>
      </c>
      <c r="AC181" s="24" t="inlineStr">
        <is>
          <t>False</t>
        </is>
      </c>
      <c r="AD181" s="24" t="inlineStr">
        <is>
          <t>False</t>
        </is>
      </c>
      <c r="AE181" s="24" t="inlineStr">
        <is>
          <t>valuation_credit_ml_overlay_candidate.csv</t>
        </is>
      </c>
      <c r="AF181" s="24" t="inlineStr">
        <is>
          <t>208개 반도체 reference universe. Valuation Agent가 자체 intake 폴더로 복제해 Peer/ML/대시보드 비교에 사용.</t>
        </is>
      </c>
    </row>
    <row r="182" ht="24" customHeight="1">
      <c r="A182" s="29" t="inlineStr">
        <is>
          <t>83</t>
        </is>
      </c>
      <c r="B182" s="29" t="inlineStr">
        <is>
          <t>해당 없음</t>
        </is>
      </c>
      <c r="C182" s="29" t="inlineStr">
        <is>
          <t>램테크놀러지</t>
        </is>
      </c>
      <c r="D182" s="29" t="inlineStr">
        <is>
          <t>171010</t>
        </is>
      </c>
      <c r="E182" s="29" t="inlineStr">
        <is>
          <t>KOSDAQ</t>
        </is>
      </c>
      <c r="F182" s="29" t="inlineStr">
        <is>
          <t>장비</t>
        </is>
      </c>
      <c r="G182" s="29" t="inlineStr">
        <is>
          <t>장비</t>
        </is>
      </c>
      <c r="H182" s="29" t="inlineStr">
        <is>
          <t>False</t>
        </is>
      </c>
      <c r="I182" s="29" t="inlineStr">
        <is>
          <t>True</t>
        </is>
      </c>
      <c r="J182" s="29" t="inlineStr">
        <is>
          <t>OK</t>
        </is>
      </c>
      <c r="K182" s="29" t="inlineStr">
        <is>
          <t>데이터 사용 가능</t>
        </is>
      </c>
      <c r="L182" s="29" t="inlineStr">
        <is>
          <t>LOW</t>
        </is>
      </c>
      <c r="M182" s="29" t="inlineStr">
        <is>
          <t>LOW</t>
        </is>
      </c>
      <c r="N182" s="29" t="inlineStr">
        <is>
          <t>0.4097333333333334</t>
        </is>
      </c>
      <c r="O182" s="29" t="inlineStr">
        <is>
          <t>EXPENSIVE</t>
        </is>
      </c>
      <c r="P182" s="29" t="inlineStr">
        <is>
          <t>EXPENSIVE</t>
        </is>
      </c>
      <c r="Q182" s="29" t="inlineStr">
        <is>
          <t>FAIR</t>
        </is>
      </c>
      <c r="R182" s="29" t="inlineStr">
        <is>
          <t>0.500591784236833</t>
        </is>
      </c>
      <c r="S182" s="29" t="inlineStr">
        <is>
          <t>MEDIUM</t>
        </is>
      </c>
      <c r="T182" s="29" t="inlineStr">
        <is>
          <t>MEDIUM</t>
        </is>
      </c>
      <c r="U182" s="29" t="inlineStr">
        <is>
          <t>0.6428571428571429</t>
        </is>
      </c>
      <c r="V182" s="29" t="inlineStr">
        <is>
          <t>HIGH_RISK</t>
        </is>
      </c>
      <c r="W182" s="29" t="inlineStr">
        <is>
          <t>고위험</t>
        </is>
      </c>
      <c r="X182" s="29" t="inlineStr">
        <is>
          <t>HIGH_RISK</t>
        </is>
      </c>
      <c r="Y182" s="29" t="inlineStr">
        <is>
          <t>0.7085071659992903</t>
        </is>
      </c>
      <c r="Z182" s="29" t="inlineStr">
        <is>
          <t>HIGH</t>
        </is>
      </c>
      <c r="AA182" s="29" t="inlineStr">
        <is>
          <t>HIGH</t>
        </is>
      </c>
      <c r="AB182" s="29" t="inlineStr">
        <is>
          <t>0.08748635209855961</t>
        </is>
      </c>
      <c r="AC182" s="29" t="inlineStr">
        <is>
          <t>False</t>
        </is>
      </c>
      <c r="AD182" s="29" t="inlineStr">
        <is>
          <t>False</t>
        </is>
      </c>
      <c r="AE182" s="29" t="inlineStr">
        <is>
          <t>valuation_credit_ml_overlay_candidate.csv</t>
        </is>
      </c>
      <c r="AF182" s="29" t="inlineStr">
        <is>
          <t>208개 반도체 reference universe. Valuation Agent가 자체 intake 폴더로 복제해 Peer/ML/대시보드 비교에 사용.</t>
        </is>
      </c>
    </row>
    <row r="183" ht="24" customHeight="1">
      <c r="A183" s="24" t="inlineStr">
        <is>
          <t>108</t>
        </is>
      </c>
      <c r="B183" s="24" t="inlineStr">
        <is>
          <t>해당 없음</t>
        </is>
      </c>
      <c r="C183" s="24" t="inlineStr">
        <is>
          <t>저스템</t>
        </is>
      </c>
      <c r="D183" s="24" t="inlineStr">
        <is>
          <t>417840</t>
        </is>
      </c>
      <c r="E183" s="24" t="inlineStr">
        <is>
          <t>KOSDAQ</t>
        </is>
      </c>
      <c r="F183" s="24" t="inlineStr">
        <is>
          <t>장비</t>
        </is>
      </c>
      <c r="G183" s="24" t="inlineStr">
        <is>
          <t>장비</t>
        </is>
      </c>
      <c r="H183" s="24" t="inlineStr">
        <is>
          <t>False</t>
        </is>
      </c>
      <c r="I183" s="24" t="inlineStr">
        <is>
          <t>True</t>
        </is>
      </c>
      <c r="J183" s="24" t="inlineStr">
        <is>
          <t>OK</t>
        </is>
      </c>
      <c r="K183" s="24" t="inlineStr">
        <is>
          <t>데이터 사용 가능</t>
        </is>
      </c>
      <c r="L183" s="24" t="inlineStr">
        <is>
          <t>LOW</t>
        </is>
      </c>
      <c r="M183" s="24" t="inlineStr">
        <is>
          <t>LOW</t>
        </is>
      </c>
      <c r="N183" s="24" t="inlineStr">
        <is>
          <t>0.4036</t>
        </is>
      </c>
      <c r="O183" s="24" t="inlineStr">
        <is>
          <t>EXPENSIVE</t>
        </is>
      </c>
      <c r="P183" s="24" t="inlineStr">
        <is>
          <t>EXPENSIVE</t>
        </is>
      </c>
      <c r="Q183" s="24" t="inlineStr">
        <is>
          <t>EXPENSIVE</t>
        </is>
      </c>
      <c r="R183" s="24" t="inlineStr">
        <is>
          <t>0.7213257522774291</t>
        </is>
      </c>
      <c r="S183" s="24" t="inlineStr">
        <is>
          <t>HIGH</t>
        </is>
      </c>
      <c r="T183" s="24" t="inlineStr">
        <is>
          <t>HIGH</t>
        </is>
      </c>
      <c r="U183" s="24" t="inlineStr">
        <is>
          <t>0.2857142857142857</t>
        </is>
      </c>
      <c r="V183" s="24" t="inlineStr">
        <is>
          <t>MEDIUM_RISK</t>
        </is>
      </c>
      <c r="W183" s="24" t="inlineStr">
        <is>
          <t>중위험</t>
        </is>
      </c>
      <c r="X183" s="24" t="inlineStr">
        <is>
          <t>MEDIUM_RISK</t>
        </is>
      </c>
      <c r="Y183" s="24" t="inlineStr">
        <is>
          <t>0.6200895030304687</t>
        </is>
      </c>
      <c r="Z183" s="24" t="inlineStr">
        <is>
          <t>MEDIUM</t>
        </is>
      </c>
      <c r="AA183" s="24" t="inlineStr">
        <is>
          <t>MEDIUM</t>
        </is>
      </c>
      <c r="AB183" s="24" t="inlineStr">
        <is>
          <t>0.06530461326030516</t>
        </is>
      </c>
      <c r="AC183" s="24" t="inlineStr">
        <is>
          <t>False</t>
        </is>
      </c>
      <c r="AD183" s="24" t="inlineStr">
        <is>
          <t>False</t>
        </is>
      </c>
      <c r="AE183" s="24" t="inlineStr">
        <is>
          <t>valuation_credit_ml_overlay_candidate.csv</t>
        </is>
      </c>
      <c r="AF183" s="24" t="inlineStr">
        <is>
          <t>208개 반도체 reference universe. Valuation Agent가 자체 intake 폴더로 복제해 Peer/ML/대시보드 비교에 사용.</t>
        </is>
      </c>
    </row>
    <row r="184" ht="24" customHeight="1">
      <c r="A184" s="29" t="inlineStr">
        <is>
          <t>111</t>
        </is>
      </c>
      <c r="B184" s="29" t="inlineStr">
        <is>
          <t>해당 없음</t>
        </is>
      </c>
      <c r="C184" s="29" t="inlineStr">
        <is>
          <t>지아이에스</t>
        </is>
      </c>
      <c r="D184" s="29" t="inlineStr">
        <is>
          <t>306620</t>
        </is>
      </c>
      <c r="E184" s="29" t="inlineStr">
        <is>
          <t>KOSDAQ</t>
        </is>
      </c>
      <c r="F184" s="29" t="inlineStr">
        <is>
          <t>장비</t>
        </is>
      </c>
      <c r="G184" s="29" t="inlineStr">
        <is>
          <t>장비</t>
        </is>
      </c>
      <c r="H184" s="29" t="inlineStr">
        <is>
          <t>False</t>
        </is>
      </c>
      <c r="I184" s="29" t="inlineStr">
        <is>
          <t>True</t>
        </is>
      </c>
      <c r="J184" s="29" t="inlineStr">
        <is>
          <t>OK</t>
        </is>
      </c>
      <c r="K184" s="29" t="inlineStr">
        <is>
          <t>데이터 사용 가능</t>
        </is>
      </c>
      <c r="L184" s="29" t="inlineStr">
        <is>
          <t>LOW</t>
        </is>
      </c>
      <c r="M184" s="29" t="inlineStr">
        <is>
          <t>LOW</t>
        </is>
      </c>
      <c r="N184" s="29" t="inlineStr">
        <is>
          <t>0.4014666666666666</t>
        </is>
      </c>
      <c r="O184" s="29" t="inlineStr">
        <is>
          <t>EXPENSIVE</t>
        </is>
      </c>
      <c r="P184" s="29" t="inlineStr">
        <is>
          <t>EXPENSIVE</t>
        </is>
      </c>
      <c r="Q184" s="29" t="inlineStr">
        <is>
          <t>EXPENSIVE</t>
        </is>
      </c>
      <c r="R184" s="29" t="inlineStr">
        <is>
          <t>0.745903271306321</t>
        </is>
      </c>
      <c r="S184" s="29" t="inlineStr">
        <is>
          <t>HIGH</t>
        </is>
      </c>
      <c r="T184" s="29" t="inlineStr">
        <is>
          <t>HIGH</t>
        </is>
      </c>
      <c r="U184" s="29" t="inlineStr">
        <is>
          <t>0.5714285714285714</t>
        </is>
      </c>
      <c r="V184" s="29" t="inlineStr">
        <is>
          <t>HIGH_RISK</t>
        </is>
      </c>
      <c r="W184" s="29" t="inlineStr">
        <is>
          <t>고위험</t>
        </is>
      </c>
      <c r="X184" s="29" t="inlineStr">
        <is>
          <t>HIGH_RISK</t>
        </is>
      </c>
      <c r="Y184" s="29" t="inlineStr">
        <is>
          <t>0.7985810664806972</t>
        </is>
      </c>
      <c r="Z184" s="29" t="inlineStr">
        <is>
          <t>HIGH</t>
        </is>
      </c>
      <c r="AA184" s="29" t="inlineStr">
        <is>
          <t>HIGH</t>
        </is>
      </c>
      <c r="AB184" s="29" t="inlineStr">
        <is>
          <t>0.10027107402555603</t>
        </is>
      </c>
      <c r="AC184" s="29" t="inlineStr">
        <is>
          <t>False</t>
        </is>
      </c>
      <c r="AD184" s="29" t="inlineStr">
        <is>
          <t>False</t>
        </is>
      </c>
      <c r="AE184" s="29" t="inlineStr">
        <is>
          <t>valuation_credit_ml_overlay_candidate.csv</t>
        </is>
      </c>
      <c r="AF184" s="29" t="inlineStr">
        <is>
          <t>208개 반도체 reference universe. Valuation Agent가 자체 intake 폴더로 복제해 Peer/ML/대시보드 비교에 사용.</t>
        </is>
      </c>
    </row>
    <row r="185" ht="24" customHeight="1">
      <c r="A185" s="24" t="inlineStr">
        <is>
          <t>98</t>
        </is>
      </c>
      <c r="B185" s="24" t="inlineStr">
        <is>
          <t>해당 없음</t>
        </is>
      </c>
      <c r="C185" s="24" t="inlineStr">
        <is>
          <t>에프에스티</t>
        </is>
      </c>
      <c r="D185" s="24" t="inlineStr">
        <is>
          <t>036810</t>
        </is>
      </c>
      <c r="E185" s="24" t="inlineStr">
        <is>
          <t>KOSDAQ</t>
        </is>
      </c>
      <c r="F185" s="24" t="inlineStr">
        <is>
          <t>장비</t>
        </is>
      </c>
      <c r="G185" s="24" t="inlineStr">
        <is>
          <t>장비</t>
        </is>
      </c>
      <c r="H185" s="24" t="inlineStr">
        <is>
          <t>False</t>
        </is>
      </c>
      <c r="I185" s="24" t="inlineStr">
        <is>
          <t>True</t>
        </is>
      </c>
      <c r="J185" s="24" t="inlineStr">
        <is>
          <t>OK</t>
        </is>
      </c>
      <c r="K185" s="24" t="inlineStr">
        <is>
          <t>데이터 사용 가능</t>
        </is>
      </c>
      <c r="L185" s="24" t="inlineStr">
        <is>
          <t>LOW</t>
        </is>
      </c>
      <c r="M185" s="24" t="inlineStr">
        <is>
          <t>LOW</t>
        </is>
      </c>
      <c r="N185" s="24" t="inlineStr">
        <is>
          <t>0.3826666666666666</t>
        </is>
      </c>
      <c r="O185" s="24" t="inlineStr">
        <is>
          <t>EXPENSIVE</t>
        </is>
      </c>
      <c r="P185" s="24" t="inlineStr">
        <is>
          <t>EXPENSIVE</t>
        </is>
      </c>
      <c r="Q185" s="24" t="inlineStr">
        <is>
          <t>EXPENSIVE</t>
        </is>
      </c>
      <c r="R185" s="24" t="inlineStr">
        <is>
          <t>0.8925631629286743</t>
        </is>
      </c>
      <c r="S185" s="24" t="inlineStr">
        <is>
          <t>HIGH</t>
        </is>
      </c>
      <c r="T185" s="24" t="inlineStr">
        <is>
          <t>HIGH</t>
        </is>
      </c>
      <c r="U185" s="24" t="inlineStr">
        <is>
          <t>0.5</t>
        </is>
      </c>
      <c r="V185" s="24" t="inlineStr">
        <is>
          <t>HIGH_RISK</t>
        </is>
      </c>
      <c r="W185" s="24" t="inlineStr">
        <is>
          <t>고위험</t>
        </is>
      </c>
      <c r="X185" s="24" t="inlineStr">
        <is>
          <t>HIGH_RISK</t>
        </is>
      </c>
      <c r="Y185" s="24" t="inlineStr">
        <is>
          <t>0.6842794288306946</t>
        </is>
      </c>
      <c r="Z185" s="24" t="inlineStr">
        <is>
          <t>MEDIUM</t>
        </is>
      </c>
      <c r="AA185" s="24" t="inlineStr">
        <is>
          <t>MEDIUM</t>
        </is>
      </c>
      <c r="AB185" s="24" t="inlineStr">
        <is>
          <t>0.03870825972114044</t>
        </is>
      </c>
      <c r="AC185" s="24" t="inlineStr">
        <is>
          <t>False</t>
        </is>
      </c>
      <c r="AD185" s="24" t="inlineStr">
        <is>
          <t>False</t>
        </is>
      </c>
      <c r="AE185" s="24" t="inlineStr">
        <is>
          <t>valuation_credit_ml_overlay_candidate.csv</t>
        </is>
      </c>
      <c r="AF185" s="24" t="inlineStr">
        <is>
          <t>208개 반도체 reference universe. Valuation Agent가 자체 intake 폴더로 복제해 Peer/ML/대시보드 비교에 사용.</t>
        </is>
      </c>
    </row>
    <row r="186" ht="24" customHeight="1">
      <c r="A186" s="29" t="inlineStr">
        <is>
          <t>78</t>
        </is>
      </c>
      <c r="B186" s="29" t="inlineStr">
        <is>
          <t>해당 없음</t>
        </is>
      </c>
      <c r="C186" s="29" t="inlineStr">
        <is>
          <t>나노신소재</t>
        </is>
      </c>
      <c r="D186" s="29" t="inlineStr">
        <is>
          <t>121600</t>
        </is>
      </c>
      <c r="E186" s="29" t="inlineStr">
        <is>
          <t>KOSDAQ</t>
        </is>
      </c>
      <c r="F186" s="29" t="inlineStr">
        <is>
          <t>장비</t>
        </is>
      </c>
      <c r="G186" s="29" t="inlineStr">
        <is>
          <t>장비</t>
        </is>
      </c>
      <c r="H186" s="29" t="inlineStr">
        <is>
          <t>False</t>
        </is>
      </c>
      <c r="I186" s="29" t="inlineStr">
        <is>
          <t>True</t>
        </is>
      </c>
      <c r="J186" s="29" t="inlineStr">
        <is>
          <t>OK</t>
        </is>
      </c>
      <c r="K186" s="29" t="inlineStr">
        <is>
          <t>데이터 사용 가능</t>
        </is>
      </c>
      <c r="L186" s="29" t="inlineStr">
        <is>
          <t>LOW</t>
        </is>
      </c>
      <c r="M186" s="29" t="inlineStr">
        <is>
          <t>LOW</t>
        </is>
      </c>
      <c r="N186" s="29" t="inlineStr">
        <is>
          <t>0.3822666666666666</t>
        </is>
      </c>
      <c r="O186" s="29" t="inlineStr">
        <is>
          <t>EXPENSIVE</t>
        </is>
      </c>
      <c r="P186" s="29" t="inlineStr">
        <is>
          <t>EXPENSIVE</t>
        </is>
      </c>
      <c r="Q186" s="29" t="inlineStr">
        <is>
          <t>EXPENSIVE</t>
        </is>
      </c>
      <c r="R186" s="29" t="inlineStr">
        <is>
          <t>0.7555342246021253</t>
        </is>
      </c>
      <c r="S186" s="29" t="inlineStr">
        <is>
          <t>HIGH</t>
        </is>
      </c>
      <c r="T186" s="29" t="inlineStr">
        <is>
          <t>HIGH</t>
        </is>
      </c>
      <c r="U186" s="29" t="inlineStr">
        <is>
          <t>0.0</t>
        </is>
      </c>
      <c r="V186" s="29" t="inlineStr">
        <is>
          <t>LOW_RISK</t>
        </is>
      </c>
      <c r="W186" s="29" t="inlineStr">
        <is>
          <t>저위험</t>
        </is>
      </c>
      <c r="X186" s="29" t="inlineStr">
        <is>
          <t>LOW_RISK</t>
        </is>
      </c>
      <c r="Y186" s="29" t="inlineStr">
        <is>
          <t>0.6225133085657061</t>
        </is>
      </c>
      <c r="Z186" s="29" t="inlineStr">
        <is>
          <t>MEDIUM</t>
        </is>
      </c>
      <c r="AA186" s="29" t="inlineStr">
        <is>
          <t>MEDIUM</t>
        </is>
      </c>
      <c r="AB186" s="29" t="inlineStr">
        <is>
          <t>0.006422827813209868</t>
        </is>
      </c>
      <c r="AC186" s="29" t="inlineStr">
        <is>
          <t>False</t>
        </is>
      </c>
      <c r="AD186" s="29" t="inlineStr">
        <is>
          <t>False</t>
        </is>
      </c>
      <c r="AE186" s="29" t="inlineStr">
        <is>
          <t>valuation_credit_ml_overlay_candidate.csv</t>
        </is>
      </c>
      <c r="AF186" s="29" t="inlineStr">
        <is>
          <t>208개 반도체 reference universe. Valuation Agent가 자체 intake 폴더로 복제해 Peer/ML/대시보드 비교에 사용.</t>
        </is>
      </c>
    </row>
    <row r="187" ht="24" customHeight="1">
      <c r="A187" s="24" t="inlineStr">
        <is>
          <t>93</t>
        </is>
      </c>
      <c r="B187" s="24" t="inlineStr">
        <is>
          <t>해당 없음</t>
        </is>
      </c>
      <c r="C187" s="24" t="inlineStr">
        <is>
          <t>씨엠티엑스</t>
        </is>
      </c>
      <c r="D187" s="24" t="inlineStr">
        <is>
          <t>388210</t>
        </is>
      </c>
      <c r="E187" s="24" t="inlineStr">
        <is>
          <t>KOSDAQ</t>
        </is>
      </c>
      <c r="F187" s="24" t="inlineStr">
        <is>
          <t>장비</t>
        </is>
      </c>
      <c r="G187" s="24" t="inlineStr">
        <is>
          <t>장비</t>
        </is>
      </c>
      <c r="H187" s="24" t="inlineStr">
        <is>
          <t>False</t>
        </is>
      </c>
      <c r="I187" s="24" t="inlineStr">
        <is>
          <t>True</t>
        </is>
      </c>
      <c r="J187" s="24" t="inlineStr">
        <is>
          <t>OK_LIMITED_HISTORY_OR_GROWTH_NA</t>
        </is>
      </c>
      <c r="K187" s="24" t="inlineStr">
        <is>
          <t>데이터 사용 가능</t>
        </is>
      </c>
      <c r="L187" s="24" t="inlineStr">
        <is>
          <t>LOW</t>
        </is>
      </c>
      <c r="M187" s="24" t="inlineStr">
        <is>
          <t>LOW</t>
        </is>
      </c>
      <c r="N187" s="24" t="inlineStr">
        <is>
          <t>0.3652666666666667</t>
        </is>
      </c>
      <c r="O187" s="24" t="inlineStr">
        <is>
          <t>EXPENSIVE</t>
        </is>
      </c>
      <c r="P187" s="24" t="inlineStr">
        <is>
          <t>EXPENSIVE</t>
        </is>
      </c>
      <c r="Q187" s="24" t="inlineStr">
        <is>
          <t>EXPENSIVE</t>
        </is>
      </c>
      <c r="R187" s="24" t="inlineStr">
        <is>
          <t>0.7157707609420977</t>
        </is>
      </c>
      <c r="S187" s="24" t="inlineStr">
        <is>
          <t>HIGH</t>
        </is>
      </c>
      <c r="T187" s="24" t="inlineStr">
        <is>
          <t>HIGH</t>
        </is>
      </c>
      <c r="U187" s="24" t="inlineStr">
        <is>
          <t>0.2142857142857142</t>
        </is>
      </c>
      <c r="V187" s="24" t="inlineStr">
        <is>
          <t>MEDIUM_RISK</t>
        </is>
      </c>
      <c r="W187" s="24" t="inlineStr">
        <is>
          <t>중위험</t>
        </is>
      </c>
      <c r="X187" s="24" t="inlineStr">
        <is>
          <t>MEDIUM_RISK</t>
        </is>
      </c>
      <c r="Y187" s="24" t="inlineStr">
        <is>
          <t>0.6836967884951827</t>
        </is>
      </c>
      <c r="Z187" s="24" t="inlineStr">
        <is>
          <t>MEDIUM</t>
        </is>
      </c>
      <c r="AA187" s="24" t="inlineStr">
        <is>
          <t>MEDIUM</t>
        </is>
      </c>
      <c r="AB187" s="24" t="inlineStr">
        <is>
          <t>0.10495929656754996</t>
        </is>
      </c>
      <c r="AC187" s="24" t="inlineStr">
        <is>
          <t>False</t>
        </is>
      </c>
      <c r="AD187" s="24" t="inlineStr">
        <is>
          <t>True</t>
        </is>
      </c>
      <c r="AE187" s="24" t="inlineStr">
        <is>
          <t>valuation_credit_ml_overlay_candidate.csv</t>
        </is>
      </c>
      <c r="AF187" s="24" t="inlineStr">
        <is>
          <t>208개 반도체 reference universe. Valuation Agent가 자체 intake 폴더로 복제해 Peer/ML/대시보드 비교에 사용.</t>
        </is>
      </c>
    </row>
    <row r="188" ht="24" customHeight="1">
      <c r="A188" s="29" t="inlineStr">
        <is>
          <t>94</t>
        </is>
      </c>
      <c r="B188" s="29" t="inlineStr">
        <is>
          <t>해당 없음</t>
        </is>
      </c>
      <c r="C188" s="29" t="inlineStr">
        <is>
          <t>아스플로</t>
        </is>
      </c>
      <c r="D188" s="29" t="inlineStr">
        <is>
          <t>159010</t>
        </is>
      </c>
      <c r="E188" s="29" t="inlineStr">
        <is>
          <t>KOSDAQ</t>
        </is>
      </c>
      <c r="F188" s="29" t="inlineStr">
        <is>
          <t>장비</t>
        </is>
      </c>
      <c r="G188" s="29" t="inlineStr">
        <is>
          <t>장비</t>
        </is>
      </c>
      <c r="H188" s="29" t="inlineStr">
        <is>
          <t>False</t>
        </is>
      </c>
      <c r="I188" s="29" t="inlineStr">
        <is>
          <t>True</t>
        </is>
      </c>
      <c r="J188" s="29" t="inlineStr">
        <is>
          <t>OK</t>
        </is>
      </c>
      <c r="K188" s="29" t="inlineStr">
        <is>
          <t>데이터 사용 가능</t>
        </is>
      </c>
      <c r="L188" s="29" t="inlineStr">
        <is>
          <t>LOW</t>
        </is>
      </c>
      <c r="M188" s="29" t="inlineStr">
        <is>
          <t>LOW</t>
        </is>
      </c>
      <c r="N188" s="29" t="inlineStr">
        <is>
          <t>0.3025333333333333</t>
        </is>
      </c>
      <c r="O188" s="29" t="inlineStr">
        <is>
          <t>EXPENSIVE</t>
        </is>
      </c>
      <c r="P188" s="29" t="inlineStr">
        <is>
          <t>EXPENSIVE</t>
        </is>
      </c>
      <c r="Q188" s="29" t="inlineStr">
        <is>
          <t>EXPENSIVE</t>
        </is>
      </c>
      <c r="R188" s="29" t="inlineStr">
        <is>
          <t>0.8970141905473263</t>
        </is>
      </c>
      <c r="S188" s="29" t="inlineStr">
        <is>
          <t>HIGH</t>
        </is>
      </c>
      <c r="T188" s="29" t="inlineStr">
        <is>
          <t>HIGH</t>
        </is>
      </c>
      <c r="U188" s="29" t="inlineStr">
        <is>
          <t>0.5714285714285714</t>
        </is>
      </c>
      <c r="V188" s="29" t="inlineStr">
        <is>
          <t>HIGH_RISK</t>
        </is>
      </c>
      <c r="W188" s="29" t="inlineStr">
        <is>
          <t>고위험</t>
        </is>
      </c>
      <c r="X188" s="29" t="inlineStr">
        <is>
          <t>HIGH_RISK</t>
        </is>
      </c>
      <c r="Y188" s="29" t="inlineStr">
        <is>
          <t>0.9808254047374049</t>
        </is>
      </c>
      <c r="Z188" s="29" t="inlineStr">
        <is>
          <t>HIGH</t>
        </is>
      </c>
      <c r="AA188" s="29" t="inlineStr">
        <is>
          <t>HIGH</t>
        </is>
      </c>
      <c r="AB188" s="29" t="inlineStr">
        <is>
          <t>0.04621877213272216</t>
        </is>
      </c>
      <c r="AC188" s="29" t="inlineStr">
        <is>
          <t>False</t>
        </is>
      </c>
      <c r="AD188" s="29" t="inlineStr">
        <is>
          <t>False</t>
        </is>
      </c>
      <c r="AE188" s="29" t="inlineStr">
        <is>
          <t>valuation_credit_ml_overlay_candidate.csv</t>
        </is>
      </c>
      <c r="AF188" s="29" t="inlineStr">
        <is>
          <t>208개 반도체 reference universe. Valuation Agent가 자체 intake 폴더로 복제해 Peer/ML/대시보드 비교에 사용.</t>
        </is>
      </c>
    </row>
    <row r="189" ht="24" customHeight="1">
      <c r="A189" s="24" t="inlineStr">
        <is>
          <t>101</t>
        </is>
      </c>
      <c r="B189" s="24" t="inlineStr">
        <is>
          <t>해당 없음</t>
        </is>
      </c>
      <c r="C189" s="24" t="inlineStr">
        <is>
          <t>오로스테크놀로지</t>
        </is>
      </c>
      <c r="D189" s="24" t="inlineStr">
        <is>
          <t>322310</t>
        </is>
      </c>
      <c r="E189" s="24" t="inlineStr">
        <is>
          <t>KOSDAQ</t>
        </is>
      </c>
      <c r="F189" s="24" t="inlineStr">
        <is>
          <t>장비</t>
        </is>
      </c>
      <c r="G189" s="24" t="inlineStr">
        <is>
          <t>장비</t>
        </is>
      </c>
      <c r="H189" s="24" t="inlineStr">
        <is>
          <t>False</t>
        </is>
      </c>
      <c r="I189" s="24" t="inlineStr">
        <is>
          <t>True</t>
        </is>
      </c>
      <c r="J189" s="24" t="inlineStr">
        <is>
          <t>OK</t>
        </is>
      </c>
      <c r="K189" s="24" t="inlineStr">
        <is>
          <t>데이터 사용 가능</t>
        </is>
      </c>
      <c r="L189" s="24" t="inlineStr">
        <is>
          <t>LOW</t>
        </is>
      </c>
      <c r="M189" s="24" t="inlineStr">
        <is>
          <t>LOW</t>
        </is>
      </c>
      <c r="N189" s="24" t="inlineStr">
        <is>
          <t>0.2969333333333333</t>
        </is>
      </c>
      <c r="O189" s="24" t="inlineStr">
        <is>
          <t>EXPENSIVE</t>
        </is>
      </c>
      <c r="P189" s="24" t="inlineStr">
        <is>
          <t>EXPENSIVE</t>
        </is>
      </c>
      <c r="Q189" s="24" t="inlineStr">
        <is>
          <t>EXPENSIVE</t>
        </is>
      </c>
      <c r="R189" s="24" t="inlineStr">
        <is>
          <t>0.9263479879516093</t>
        </is>
      </c>
      <c r="S189" s="24" t="inlineStr">
        <is>
          <t>HIGH</t>
        </is>
      </c>
      <c r="T189" s="24" t="inlineStr">
        <is>
          <t>HIGH</t>
        </is>
      </c>
      <c r="U189" s="24" t="inlineStr">
        <is>
          <t>0.2857142857142857</t>
        </is>
      </c>
      <c r="V189" s="24" t="inlineStr">
        <is>
          <t>MEDIUM_RISK</t>
        </is>
      </c>
      <c r="W189" s="24" t="inlineStr">
        <is>
          <t>중위험</t>
        </is>
      </c>
      <c r="X189" s="24" t="inlineStr">
        <is>
          <t>HIGH_RISK</t>
        </is>
      </c>
      <c r="Y189" s="24" t="inlineStr">
        <is>
          <t>0.5823799649469713</t>
        </is>
      </c>
      <c r="Z189" s="24" t="inlineStr">
        <is>
          <t>MEDIUM</t>
        </is>
      </c>
      <c r="AA189" s="24" t="inlineStr">
        <is>
          <t>MEDIUM</t>
        </is>
      </c>
      <c r="AB189" s="24" t="inlineStr">
        <is>
          <t>0.025687830037607388</t>
        </is>
      </c>
      <c r="AC189" s="24" t="inlineStr">
        <is>
          <t>False</t>
        </is>
      </c>
      <c r="AD189" s="24" t="inlineStr">
        <is>
          <t>False</t>
        </is>
      </c>
      <c r="AE189" s="24" t="inlineStr">
        <is>
          <t>valuation_credit_ml_overlay_candidate.csv</t>
        </is>
      </c>
      <c r="AF189" s="24" t="inlineStr">
        <is>
          <t>208개 반도체 reference universe. Valuation Agent가 자체 intake 폴더로 복제해 Peer/ML/대시보드 비교에 사용.</t>
        </is>
      </c>
    </row>
    <row r="190" ht="24" customHeight="1">
      <c r="A190" s="29" t="inlineStr">
        <is>
          <t>84</t>
        </is>
      </c>
      <c r="B190" s="29" t="inlineStr">
        <is>
          <t>해당 없음</t>
        </is>
      </c>
      <c r="C190" s="29" t="inlineStr">
        <is>
          <t>러셀</t>
        </is>
      </c>
      <c r="D190" s="29" t="inlineStr">
        <is>
          <t>217500</t>
        </is>
      </c>
      <c r="E190" s="29" t="inlineStr">
        <is>
          <t>KOSDAQ</t>
        </is>
      </c>
      <c r="F190" s="29" t="inlineStr">
        <is>
          <t>장비</t>
        </is>
      </c>
      <c r="G190" s="29" t="inlineStr">
        <is>
          <t>장비</t>
        </is>
      </c>
      <c r="H190" s="29" t="inlineStr">
        <is>
          <t>False</t>
        </is>
      </c>
      <c r="I190" s="29" t="inlineStr">
        <is>
          <t>True</t>
        </is>
      </c>
      <c r="J190" s="29" t="inlineStr">
        <is>
          <t>OK</t>
        </is>
      </c>
      <c r="K190" s="29" t="inlineStr">
        <is>
          <t>데이터 사용 가능</t>
        </is>
      </c>
      <c r="L190" s="29" t="inlineStr">
        <is>
          <t>LOW</t>
        </is>
      </c>
      <c r="M190" s="29" t="inlineStr">
        <is>
          <t>LOW</t>
        </is>
      </c>
      <c r="N190" s="29" t="inlineStr">
        <is>
          <t>0.2889333333333334</t>
        </is>
      </c>
      <c r="O190" s="29" t="inlineStr">
        <is>
          <t>EXPENSIVE</t>
        </is>
      </c>
      <c r="P190" s="29" t="inlineStr">
        <is>
          <t>EXPENSIVE</t>
        </is>
      </c>
      <c r="Q190" s="29" t="inlineStr">
        <is>
          <t>EXPENSIVE</t>
        </is>
      </c>
      <c r="R190" s="29" t="inlineStr">
        <is>
          <t>0.873177337125051</t>
        </is>
      </c>
      <c r="S190" s="29" t="inlineStr">
        <is>
          <t>HIGH</t>
        </is>
      </c>
      <c r="T190" s="29" t="inlineStr">
        <is>
          <t>HIGH</t>
        </is>
      </c>
      <c r="U190" s="29" t="inlineStr">
        <is>
          <t>0.5714285714285714</t>
        </is>
      </c>
      <c r="V190" s="29" t="inlineStr">
        <is>
          <t>HIGH_RISK</t>
        </is>
      </c>
      <c r="W190" s="29" t="inlineStr">
        <is>
          <t>고위험</t>
        </is>
      </c>
      <c r="X190" s="29" t="inlineStr">
        <is>
          <t>HIGH_RISK</t>
        </is>
      </c>
      <c r="Y190" s="29" t="inlineStr">
        <is>
          <t>0.9431199578760465</t>
        </is>
      </c>
      <c r="Z190" s="29" t="inlineStr">
        <is>
          <t>HIGH</t>
        </is>
      </c>
      <c r="AA190" s="29" t="inlineStr">
        <is>
          <t>HIGH</t>
        </is>
      </c>
      <c r="AB190" s="29" t="inlineStr">
        <is>
          <t>0.17682420550247213</t>
        </is>
      </c>
      <c r="AC190" s="29" t="inlineStr">
        <is>
          <t>False</t>
        </is>
      </c>
      <c r="AD190" s="29" t="inlineStr">
        <is>
          <t>False</t>
        </is>
      </c>
      <c r="AE190" s="29" t="inlineStr">
        <is>
          <t>valuation_credit_ml_overlay_candidate.csv</t>
        </is>
      </c>
      <c r="AF190" s="29" t="inlineStr">
        <is>
          <t>208개 반도체 reference universe. Valuation Agent가 자체 intake 폴더로 복제해 Peer/ML/대시보드 비교에 사용.</t>
        </is>
      </c>
    </row>
    <row r="191" ht="24" customHeight="1">
      <c r="A191" s="24" t="inlineStr">
        <is>
          <t>86</t>
        </is>
      </c>
      <c r="B191" s="24" t="inlineStr">
        <is>
          <t>해당 없음</t>
        </is>
      </c>
      <c r="C191" s="24" t="inlineStr">
        <is>
          <t>미래컴퍼니</t>
        </is>
      </c>
      <c r="D191" s="24" t="inlineStr">
        <is>
          <t>049950</t>
        </is>
      </c>
      <c r="E191" s="24" t="inlineStr">
        <is>
          <t>KOSDAQ</t>
        </is>
      </c>
      <c r="F191" s="24" t="inlineStr">
        <is>
          <t>장비</t>
        </is>
      </c>
      <c r="G191" s="24" t="inlineStr">
        <is>
          <t>장비</t>
        </is>
      </c>
      <c r="H191" s="24" t="inlineStr">
        <is>
          <t>False</t>
        </is>
      </c>
      <c r="I191" s="24" t="inlineStr">
        <is>
          <t>True</t>
        </is>
      </c>
      <c r="J191" s="24" t="inlineStr">
        <is>
          <t>OK</t>
        </is>
      </c>
      <c r="K191" s="24" t="inlineStr">
        <is>
          <t>데이터 사용 가능</t>
        </is>
      </c>
      <c r="L191" s="24" t="inlineStr">
        <is>
          <t>LOW</t>
        </is>
      </c>
      <c r="M191" s="24" t="inlineStr">
        <is>
          <t>LOW</t>
        </is>
      </c>
      <c r="N191" s="24" t="inlineStr">
        <is>
          <t>0.2874666666666666</t>
        </is>
      </c>
      <c r="O191" s="24" t="inlineStr">
        <is>
          <t>EXPENSIVE</t>
        </is>
      </c>
      <c r="P191" s="24" t="inlineStr">
        <is>
          <t>EXPENSIVE</t>
        </is>
      </c>
      <c r="Q191" s="24" t="inlineStr">
        <is>
          <t>EXPENSIVE</t>
        </is>
      </c>
      <c r="R191" s="24" t="inlineStr">
        <is>
          <t>0.8354805452058427</t>
        </is>
      </c>
      <c r="S191" s="24" t="inlineStr">
        <is>
          <t>HIGH</t>
        </is>
      </c>
      <c r="T191" s="24" t="inlineStr">
        <is>
          <t>HIGH</t>
        </is>
      </c>
      <c r="U191" s="24" t="inlineStr">
        <is>
          <t>0.4285714285714285</t>
        </is>
      </c>
      <c r="V191" s="24" t="inlineStr">
        <is>
          <t>HIGH_RISK</t>
        </is>
      </c>
      <c r="W191" s="24" t="inlineStr">
        <is>
          <t>고위험</t>
        </is>
      </c>
      <c r="X191" s="24" t="inlineStr">
        <is>
          <t>HIGH_RISK</t>
        </is>
      </c>
      <c r="Y191" s="24" t="inlineStr">
        <is>
          <t>0.8989374267322742</t>
        </is>
      </c>
      <c r="Z191" s="24" t="inlineStr">
        <is>
          <t>HIGH</t>
        </is>
      </c>
      <c r="AA191" s="24" t="inlineStr">
        <is>
          <t>HIGH</t>
        </is>
      </c>
      <c r="AB191" s="24" t="inlineStr">
        <is>
          <t>0.23454395430777328</t>
        </is>
      </c>
      <c r="AC191" s="24" t="inlineStr">
        <is>
          <t>True</t>
        </is>
      </c>
      <c r="AD191" s="24" t="inlineStr">
        <is>
          <t>True</t>
        </is>
      </c>
      <c r="AE191" s="24" t="inlineStr">
        <is>
          <t>valuation_credit_ml_overlay_candidate.csv</t>
        </is>
      </c>
      <c r="AF191" s="24" t="inlineStr">
        <is>
          <t>208개 반도체 reference universe. Valuation Agent가 자체 intake 폴더로 복제해 Peer/ML/대시보드 비교에 사용.</t>
        </is>
      </c>
    </row>
    <row r="192" ht="24" customHeight="1">
      <c r="A192" s="29" t="inlineStr">
        <is>
          <t>100</t>
        </is>
      </c>
      <c r="B192" s="29" t="inlineStr">
        <is>
          <t>해당 없음</t>
        </is>
      </c>
      <c r="C192" s="29" t="inlineStr">
        <is>
          <t>예스티</t>
        </is>
      </c>
      <c r="D192" s="29" t="inlineStr">
        <is>
          <t>122640</t>
        </is>
      </c>
      <c r="E192" s="29" t="inlineStr">
        <is>
          <t>KOSDAQ</t>
        </is>
      </c>
      <c r="F192" s="29" t="inlineStr">
        <is>
          <t>장비</t>
        </is>
      </c>
      <c r="G192" s="29" t="inlineStr">
        <is>
          <t>장비</t>
        </is>
      </c>
      <c r="H192" s="29" t="inlineStr">
        <is>
          <t>False</t>
        </is>
      </c>
      <c r="I192" s="29" t="inlineStr">
        <is>
          <t>True</t>
        </is>
      </c>
      <c r="J192" s="29" t="inlineStr">
        <is>
          <t>OK</t>
        </is>
      </c>
      <c r="K192" s="29" t="inlineStr">
        <is>
          <t>데이터 사용 가능</t>
        </is>
      </c>
      <c r="L192" s="29" t="inlineStr">
        <is>
          <t>LOW</t>
        </is>
      </c>
      <c r="M192" s="29" t="inlineStr">
        <is>
          <t>LOW</t>
        </is>
      </c>
      <c r="N192" s="29" t="inlineStr">
        <is>
          <t>0.2778666666666666</t>
        </is>
      </c>
      <c r="O192" s="29" t="inlineStr">
        <is>
          <t>EXPENSIVE</t>
        </is>
      </c>
      <c r="P192" s="29" t="inlineStr">
        <is>
          <t>EXPENSIVE</t>
        </is>
      </c>
      <c r="Q192" s="29" t="inlineStr">
        <is>
          <t>EXPENSIVE</t>
        </is>
      </c>
      <c r="R192" s="29" t="inlineStr">
        <is>
          <t>0.8070752756860592</t>
        </is>
      </c>
      <c r="S192" s="29" t="inlineStr">
        <is>
          <t>HIGH</t>
        </is>
      </c>
      <c r="T192" s="29" t="inlineStr">
        <is>
          <t>HIGH</t>
        </is>
      </c>
      <c r="U192" s="29" t="inlineStr">
        <is>
          <t>0.2142857142857142</t>
        </is>
      </c>
      <c r="V192" s="29" t="inlineStr">
        <is>
          <t>MEDIUM_RISK</t>
        </is>
      </c>
      <c r="W192" s="29" t="inlineStr">
        <is>
          <t>중위험</t>
        </is>
      </c>
      <c r="X192" s="29" t="inlineStr">
        <is>
          <t>MEDIUM_RISK</t>
        </is>
      </c>
      <c r="Y192" s="29" t="inlineStr">
        <is>
          <t>0.6435379731563315</t>
        </is>
      </c>
      <c r="Z192" s="29" t="inlineStr">
        <is>
          <t>MEDIUM</t>
        </is>
      </c>
      <c r="AA192" s="29" t="inlineStr">
        <is>
          <t>MEDIUM</t>
        </is>
      </c>
      <c r="AB192" s="29" t="inlineStr">
        <is>
          <t>0.013991683799831916</t>
        </is>
      </c>
      <c r="AC192" s="29" t="inlineStr">
        <is>
          <t>False</t>
        </is>
      </c>
      <c r="AD192" s="29" t="inlineStr">
        <is>
          <t>False</t>
        </is>
      </c>
      <c r="AE192" s="29" t="inlineStr">
        <is>
          <t>valuation_credit_ml_overlay_candidate.csv</t>
        </is>
      </c>
      <c r="AF192" s="29" t="inlineStr">
        <is>
          <t>208개 반도체 reference universe. Valuation Agent가 자체 intake 폴더로 복제해 Peer/ML/대시보드 비교에 사용.</t>
        </is>
      </c>
    </row>
    <row r="193" ht="24" customHeight="1">
      <c r="A193" s="24" t="inlineStr">
        <is>
          <t>77</t>
        </is>
      </c>
      <c r="B193" s="24" t="inlineStr">
        <is>
          <t>해당 없음</t>
        </is>
      </c>
      <c r="C193" s="24" t="inlineStr">
        <is>
          <t>기가레인</t>
        </is>
      </c>
      <c r="D193" s="24" t="inlineStr">
        <is>
          <t>049080</t>
        </is>
      </c>
      <c r="E193" s="24" t="inlineStr">
        <is>
          <t>KOSDAQ</t>
        </is>
      </c>
      <c r="F193" s="24" t="inlineStr">
        <is>
          <t>장비</t>
        </is>
      </c>
      <c r="G193" s="24" t="inlineStr">
        <is>
          <t>장비</t>
        </is>
      </c>
      <c r="H193" s="24" t="inlineStr">
        <is>
          <t>False</t>
        </is>
      </c>
      <c r="I193" s="24" t="inlineStr">
        <is>
          <t>True</t>
        </is>
      </c>
      <c r="J193" s="24" t="inlineStr">
        <is>
          <t>OK</t>
        </is>
      </c>
      <c r="K193" s="24" t="inlineStr">
        <is>
          <t>데이터 사용 가능</t>
        </is>
      </c>
      <c r="L193" s="24" t="inlineStr">
        <is>
          <t>LOW</t>
        </is>
      </c>
      <c r="M193" s="24" t="inlineStr">
        <is>
          <t>LOW</t>
        </is>
      </c>
      <c r="N193" s="24" t="inlineStr">
        <is>
          <t>0.2353333333333333</t>
        </is>
      </c>
      <c r="O193" s="24" t="inlineStr">
        <is>
          <t>EXPENSIVE</t>
        </is>
      </c>
      <c r="P193" s="24" t="inlineStr">
        <is>
          <t>EXPENSIVE</t>
        </is>
      </c>
      <c r="Q193" s="24" t="inlineStr">
        <is>
          <t>EXPENSIVE</t>
        </is>
      </c>
      <c r="R193" s="24" t="inlineStr">
        <is>
          <t>0.9628494209555842</t>
        </is>
      </c>
      <c r="S193" s="24" t="inlineStr">
        <is>
          <t>HIGH</t>
        </is>
      </c>
      <c r="T193" s="24" t="inlineStr">
        <is>
          <t>HIGH</t>
        </is>
      </c>
      <c r="U193" s="24" t="inlineStr">
        <is>
          <t>0.5</t>
        </is>
      </c>
      <c r="V193" s="24" t="inlineStr">
        <is>
          <t>HIGH_RISK</t>
        </is>
      </c>
      <c r="W193" s="24" t="inlineStr">
        <is>
          <t>고위험</t>
        </is>
      </c>
      <c r="X193" s="24" t="inlineStr">
        <is>
          <t>HIGH_RISK</t>
        </is>
      </c>
      <c r="Y193" s="24" t="inlineStr">
        <is>
          <t>0.9675100472985046</t>
        </is>
      </c>
      <c r="Z193" s="24" t="inlineStr">
        <is>
          <t>HIGH</t>
        </is>
      </c>
      <c r="AA193" s="24" t="inlineStr">
        <is>
          <t>HIGH</t>
        </is>
      </c>
      <c r="AB193" s="24" t="inlineStr">
        <is>
          <t>0.24264303605410006</t>
        </is>
      </c>
      <c r="AC193" s="24" t="inlineStr">
        <is>
          <t>True</t>
        </is>
      </c>
      <c r="AD193" s="24" t="inlineStr">
        <is>
          <t>True</t>
        </is>
      </c>
      <c r="AE193" s="24" t="inlineStr">
        <is>
          <t>valuation_credit_ml_overlay_candidate.csv</t>
        </is>
      </c>
      <c r="AF193" s="24" t="inlineStr">
        <is>
          <t>208개 반도체 reference universe. Valuation Agent가 자체 intake 폴더로 복제해 Peer/ML/대시보드 비교에 사용.</t>
        </is>
      </c>
    </row>
    <row r="194" ht="24" customHeight="1">
      <c r="A194" s="29" t="inlineStr">
        <is>
          <t>79</t>
        </is>
      </c>
      <c r="B194" s="29" t="inlineStr">
        <is>
          <t>해당 없음</t>
        </is>
      </c>
      <c r="C194" s="29" t="inlineStr">
        <is>
          <t>넥스틴</t>
        </is>
      </c>
      <c r="D194" s="29" t="inlineStr">
        <is>
          <t>348210</t>
        </is>
      </c>
      <c r="E194" s="29" t="inlineStr">
        <is>
          <t>KOSDAQ GLOBAL</t>
        </is>
      </c>
      <c r="F194" s="29" t="inlineStr">
        <is>
          <t>장비</t>
        </is>
      </c>
      <c r="G194" s="29" t="inlineStr">
        <is>
          <t>장비</t>
        </is>
      </c>
      <c r="H194" s="29" t="inlineStr">
        <is>
          <t>False</t>
        </is>
      </c>
      <c r="I194" s="29" t="inlineStr">
        <is>
          <t>True</t>
        </is>
      </c>
      <c r="J194" s="29" t="inlineStr">
        <is>
          <t>OK</t>
        </is>
      </c>
      <c r="K194" s="29" t="inlineStr">
        <is>
          <t>데이터 사용 가능</t>
        </is>
      </c>
      <c r="L194" s="29" t="inlineStr">
        <is>
          <t>LOW</t>
        </is>
      </c>
      <c r="M194" s="29" t="inlineStr">
        <is>
          <t>LOW</t>
        </is>
      </c>
      <c r="N194" s="29" t="inlineStr">
        <is>
          <t>0.2353333333333333</t>
        </is>
      </c>
      <c r="O194" s="29" t="inlineStr">
        <is>
          <t>EXPENSIVE</t>
        </is>
      </c>
      <c r="P194" s="29" t="inlineStr">
        <is>
          <t>EXPENSIVE</t>
        </is>
      </c>
      <c r="Q194" s="29" t="inlineStr">
        <is>
          <t>EXPENSIVE</t>
        </is>
      </c>
      <c r="R194" s="29" t="inlineStr">
        <is>
          <t>0.7906546201121369</t>
        </is>
      </c>
      <c r="S194" s="29" t="inlineStr">
        <is>
          <t>HIGH</t>
        </is>
      </c>
      <c r="T194" s="29" t="inlineStr">
        <is>
          <t>HIGH</t>
        </is>
      </c>
      <c r="U194" s="29" t="inlineStr">
        <is>
          <t>0.4285714285714285</t>
        </is>
      </c>
      <c r="V194" s="29" t="inlineStr">
        <is>
          <t>HIGH_RISK</t>
        </is>
      </c>
      <c r="W194" s="29" t="inlineStr">
        <is>
          <t>고위험</t>
        </is>
      </c>
      <c r="X194" s="29" t="inlineStr">
        <is>
          <t>HIGH_RISK</t>
        </is>
      </c>
      <c r="Y194" s="29" t="inlineStr">
        <is>
          <t>0.8216799677089676</t>
        </is>
      </c>
      <c r="Z194" s="29" t="inlineStr">
        <is>
          <t>HIGH</t>
        </is>
      </c>
      <c r="AA194" s="29" t="inlineStr">
        <is>
          <t>HIGH</t>
        </is>
      </c>
      <c r="AB194" s="29" t="inlineStr">
        <is>
          <t>0.0826003513380603</t>
        </is>
      </c>
      <c r="AC194" s="29" t="inlineStr">
        <is>
          <t>False</t>
        </is>
      </c>
      <c r="AD194" s="29" t="inlineStr">
        <is>
          <t>False</t>
        </is>
      </c>
      <c r="AE194" s="29" t="inlineStr">
        <is>
          <t>valuation_credit_ml_overlay_candidate.csv</t>
        </is>
      </c>
      <c r="AF194" s="29" t="inlineStr">
        <is>
          <t>208개 반도체 reference universe. Valuation Agent가 자체 intake 폴더로 복제해 Peer/ML/대시보드 비교에 사용.</t>
        </is>
      </c>
    </row>
    <row r="195" ht="24" customHeight="1">
      <c r="A195" s="24" t="inlineStr">
        <is>
          <t>110</t>
        </is>
      </c>
      <c r="B195" s="24" t="inlineStr">
        <is>
          <t>해당 없음</t>
        </is>
      </c>
      <c r="C195" s="24" t="inlineStr">
        <is>
          <t>주성엔지니어링</t>
        </is>
      </c>
      <c r="D195" s="24" t="inlineStr">
        <is>
          <t>036930</t>
        </is>
      </c>
      <c r="E195" s="24" t="inlineStr">
        <is>
          <t>KOSDAQ GLOBAL</t>
        </is>
      </c>
      <c r="F195" s="24" t="inlineStr">
        <is>
          <t>장비</t>
        </is>
      </c>
      <c r="G195" s="24" t="inlineStr">
        <is>
          <t>장비</t>
        </is>
      </c>
      <c r="H195" s="24" t="inlineStr">
        <is>
          <t>False</t>
        </is>
      </c>
      <c r="I195" s="24" t="inlineStr">
        <is>
          <t>True</t>
        </is>
      </c>
      <c r="J195" s="24" t="inlineStr">
        <is>
          <t>OK</t>
        </is>
      </c>
      <c r="K195" s="24" t="inlineStr">
        <is>
          <t>데이터 사용 가능</t>
        </is>
      </c>
      <c r="L195" s="24" t="inlineStr">
        <is>
          <t>LOW</t>
        </is>
      </c>
      <c r="M195" s="24" t="inlineStr">
        <is>
          <t>LOW</t>
        </is>
      </c>
      <c r="N195" s="24" t="inlineStr">
        <is>
          <t>0.2335999999999999</t>
        </is>
      </c>
      <c r="O195" s="24" t="inlineStr">
        <is>
          <t>EXPENSIVE</t>
        </is>
      </c>
      <c r="P195" s="24" t="inlineStr">
        <is>
          <t>EXPENSIVE</t>
        </is>
      </c>
      <c r="Q195" s="24" t="inlineStr">
        <is>
          <t>EXPENSIVE</t>
        </is>
      </c>
      <c r="R195" s="24" t="inlineStr">
        <is>
          <t>0.7918979957613304</t>
        </is>
      </c>
      <c r="S195" s="24" t="inlineStr">
        <is>
          <t>HIGH</t>
        </is>
      </c>
      <c r="T195" s="24" t="inlineStr">
        <is>
          <t>HIGH</t>
        </is>
      </c>
      <c r="U195" s="24" t="inlineStr">
        <is>
          <t>0.2857142857142857</t>
        </is>
      </c>
      <c r="V195" s="24" t="inlineStr">
        <is>
          <t>MEDIUM_RISK</t>
        </is>
      </c>
      <c r="W195" s="24" t="inlineStr">
        <is>
          <t>중위험</t>
        </is>
      </c>
      <c r="X195" s="24" t="inlineStr">
        <is>
          <t>MEDIUM_RISK</t>
        </is>
      </c>
      <c r="Y195" s="24" t="inlineStr">
        <is>
          <t>0.4347911224964779</t>
        </is>
      </c>
      <c r="Z195" s="24" t="inlineStr">
        <is>
          <t>LOW</t>
        </is>
      </c>
      <c r="AA195" s="24" t="inlineStr">
        <is>
          <t>LOW</t>
        </is>
      </c>
      <c r="AB195" s="24" t="inlineStr">
        <is>
          <t>0.0617535897003664</t>
        </is>
      </c>
      <c r="AC195" s="24" t="inlineStr">
        <is>
          <t>False</t>
        </is>
      </c>
      <c r="AD195" s="24" t="inlineStr">
        <is>
          <t>True</t>
        </is>
      </c>
      <c r="AE195" s="24" t="inlineStr">
        <is>
          <t>valuation_credit_ml_overlay_candidate.csv</t>
        </is>
      </c>
      <c r="AF195" s="24" t="inlineStr">
        <is>
          <t>208개 반도체 reference universe. Valuation Agent가 자체 intake 폴더로 복제해 Peer/ML/대시보드 비교에 사용.</t>
        </is>
      </c>
    </row>
    <row r="196" ht="24" customHeight="1">
      <c r="A196" s="29" t="inlineStr">
        <is>
          <t>122</t>
        </is>
      </c>
      <c r="B196" s="29" t="inlineStr">
        <is>
          <t>해당 없음</t>
        </is>
      </c>
      <c r="C196" s="29" t="inlineStr">
        <is>
          <t>필옵틱스</t>
        </is>
      </c>
      <c r="D196" s="29" t="inlineStr">
        <is>
          <t>161580</t>
        </is>
      </c>
      <c r="E196" s="29" t="inlineStr">
        <is>
          <t>KOSDAQ</t>
        </is>
      </c>
      <c r="F196" s="29" t="inlineStr">
        <is>
          <t>장비</t>
        </is>
      </c>
      <c r="G196" s="29" t="inlineStr">
        <is>
          <t>장비</t>
        </is>
      </c>
      <c r="H196" s="29" t="inlineStr">
        <is>
          <t>False</t>
        </is>
      </c>
      <c r="I196" s="29" t="inlineStr">
        <is>
          <t>True</t>
        </is>
      </c>
      <c r="J196" s="29" t="inlineStr">
        <is>
          <t>OK</t>
        </is>
      </c>
      <c r="K196" s="29" t="inlineStr">
        <is>
          <t>데이터 사용 가능</t>
        </is>
      </c>
      <c r="L196" s="29" t="inlineStr">
        <is>
          <t>LOW</t>
        </is>
      </c>
      <c r="M196" s="29" t="inlineStr">
        <is>
          <t>LOW</t>
        </is>
      </c>
      <c r="N196" s="29" t="inlineStr">
        <is>
          <t>0.1741333333333333</t>
        </is>
      </c>
      <c r="O196" s="29" t="inlineStr">
        <is>
          <t>EXPENSIVE</t>
        </is>
      </c>
      <c r="P196" s="29" t="inlineStr">
        <is>
          <t>EXPENSIVE</t>
        </is>
      </c>
      <c r="Q196" s="29" t="inlineStr">
        <is>
          <t>EXPENSIVE</t>
        </is>
      </c>
      <c r="R196" s="29" t="inlineStr">
        <is>
          <t>0.9632435860929522</t>
        </is>
      </c>
      <c r="S196" s="29" t="inlineStr">
        <is>
          <t>HIGH</t>
        </is>
      </c>
      <c r="T196" s="29" t="inlineStr">
        <is>
          <t>HIGH</t>
        </is>
      </c>
      <c r="U196" s="29" t="inlineStr">
        <is>
          <t>0.2857142857142857</t>
        </is>
      </c>
      <c r="V196" s="29" t="inlineStr">
        <is>
          <t>MEDIUM_RISK</t>
        </is>
      </c>
      <c r="W196" s="29" t="inlineStr">
        <is>
          <t>중위험</t>
        </is>
      </c>
      <c r="X196" s="29" t="inlineStr">
        <is>
          <t>MEDIUM_RISK</t>
        </is>
      </c>
      <c r="Y196" s="29" t="inlineStr">
        <is>
          <t>0.6167987381468966</t>
        </is>
      </c>
      <c r="Z196" s="29" t="inlineStr">
        <is>
          <t>MEDIUM</t>
        </is>
      </c>
      <c r="AA196" s="29" t="inlineStr">
        <is>
          <t>MEDIUM</t>
        </is>
      </c>
      <c r="AB196" s="29" t="inlineStr">
        <is>
          <t>0.06203854489426491</t>
        </is>
      </c>
      <c r="AC196" s="29" t="inlineStr">
        <is>
          <t>False</t>
        </is>
      </c>
      <c r="AD196" s="29" t="inlineStr">
        <is>
          <t>False</t>
        </is>
      </c>
      <c r="AE196" s="29" t="inlineStr">
        <is>
          <t>valuation_credit_ml_overlay_candidate.csv</t>
        </is>
      </c>
      <c r="AF196" s="29" t="inlineStr">
        <is>
          <t>208개 반도체 reference universe. Valuation Agent가 자체 intake 폴더로 복제해 Peer/ML/대시보드 비교에 사용.</t>
        </is>
      </c>
    </row>
    <row r="197" ht="24" customHeight="1">
      <c r="A197" s="24" t="inlineStr">
        <is>
          <t>62</t>
        </is>
      </c>
      <c r="B197" s="24" t="inlineStr">
        <is>
          <t>해당 없음</t>
        </is>
      </c>
      <c r="C197" s="24" t="inlineStr">
        <is>
          <t>에스에이엠티</t>
        </is>
      </c>
      <c r="D197" s="24" t="inlineStr">
        <is>
          <t>031330</t>
        </is>
      </c>
      <c r="E197" s="24" t="inlineStr">
        <is>
          <t>KOSDAQ</t>
        </is>
      </c>
      <c r="F197" s="24" t="inlineStr">
        <is>
          <t>팹리스/설계</t>
        </is>
      </c>
      <c r="G197" s="24" t="inlineStr">
        <is>
          <t>팹리스/설계</t>
        </is>
      </c>
      <c r="H197" s="24" t="inlineStr">
        <is>
          <t>False</t>
        </is>
      </c>
      <c r="I197" s="24" t="inlineStr">
        <is>
          <t>True</t>
        </is>
      </c>
      <c r="J197" s="24" t="inlineStr">
        <is>
          <t>OK</t>
        </is>
      </c>
      <c r="K197" s="24" t="inlineStr">
        <is>
          <t>데이터 사용 가능</t>
        </is>
      </c>
      <c r="L197" s="24" t="inlineStr">
        <is>
          <t>LOW</t>
        </is>
      </c>
      <c r="M197" s="24" t="inlineStr">
        <is>
          <t>LOW</t>
        </is>
      </c>
      <c r="N197" s="24" t="inlineStr">
        <is>
          <t>0.7838383838383839</t>
        </is>
      </c>
      <c r="O197" s="24" t="inlineStr">
        <is>
          <t>FAIR</t>
        </is>
      </c>
      <c r="P197" s="24" t="inlineStr">
        <is>
          <t>FAIR</t>
        </is>
      </c>
      <c r="Q197" s="24" t="inlineStr">
        <is>
          <t>FAIR</t>
        </is>
      </c>
      <c r="R197" s="24" t="inlineStr">
        <is>
          <t>0.8575928985222669</t>
        </is>
      </c>
      <c r="S197" s="24" t="inlineStr">
        <is>
          <t>HIGH</t>
        </is>
      </c>
      <c r="T197" s="24" t="inlineStr">
        <is>
          <t>HIGH</t>
        </is>
      </c>
      <c r="U197" s="24" t="inlineStr">
        <is>
          <t>0.5</t>
        </is>
      </c>
      <c r="V197" s="24" t="inlineStr">
        <is>
          <t>HIGH_RISK</t>
        </is>
      </c>
      <c r="W197" s="24" t="inlineStr">
        <is>
          <t>고위험</t>
        </is>
      </c>
      <c r="X197" s="24" t="inlineStr">
        <is>
          <t>HIGH_RISK</t>
        </is>
      </c>
      <c r="Y197" s="24" t="inlineStr">
        <is>
          <t>0.5021487096911619</t>
        </is>
      </c>
      <c r="Z197" s="24" t="inlineStr">
        <is>
          <t>MEDIUM</t>
        </is>
      </c>
      <c r="AA197" s="24" t="inlineStr">
        <is>
          <t>MEDIUM</t>
        </is>
      </c>
      <c r="AB197" s="24" t="inlineStr">
        <is>
          <t>0.11372149345925425</t>
        </is>
      </c>
      <c r="AC197" s="24" t="inlineStr">
        <is>
          <t>False</t>
        </is>
      </c>
      <c r="AD197" s="24" t="inlineStr">
        <is>
          <t>False</t>
        </is>
      </c>
      <c r="AE197" s="24" t="inlineStr">
        <is>
          <t>valuation_credit_ml_overlay_candidate.csv</t>
        </is>
      </c>
      <c r="AF197" s="24" t="inlineStr">
        <is>
          <t>208개 반도체 reference universe. Valuation Agent가 자체 intake 폴더로 복제해 Peer/ML/대시보드 비교에 사용.</t>
        </is>
      </c>
    </row>
    <row r="198" ht="24" customHeight="1">
      <c r="A198" s="29" t="inlineStr">
        <is>
          <t>65</t>
        </is>
      </c>
      <c r="B198" s="29" t="inlineStr">
        <is>
          <t>해당 없음</t>
        </is>
      </c>
      <c r="C198" s="29" t="inlineStr">
        <is>
          <t>유니트론텍</t>
        </is>
      </c>
      <c r="D198" s="29" t="inlineStr">
        <is>
          <t>142210</t>
        </is>
      </c>
      <c r="E198" s="29" t="inlineStr">
        <is>
          <t>KOSDAQ</t>
        </is>
      </c>
      <c r="F198" s="29" t="inlineStr">
        <is>
          <t>팹리스/설계</t>
        </is>
      </c>
      <c r="G198" s="29" t="inlineStr">
        <is>
          <t>팹리스/설계</t>
        </is>
      </c>
      <c r="H198" s="29" t="inlineStr">
        <is>
          <t>False</t>
        </is>
      </c>
      <c r="I198" s="29" t="inlineStr">
        <is>
          <t>True</t>
        </is>
      </c>
      <c r="J198" s="29" t="inlineStr">
        <is>
          <t>OK</t>
        </is>
      </c>
      <c r="K198" s="29" t="inlineStr">
        <is>
          <t>데이터 사용 가능</t>
        </is>
      </c>
      <c r="L198" s="29" t="inlineStr">
        <is>
          <t>LOW</t>
        </is>
      </c>
      <c r="M198" s="29" t="inlineStr">
        <is>
          <t>LOW</t>
        </is>
      </c>
      <c r="N198" s="29" t="inlineStr">
        <is>
          <t>0.7478787878787879</t>
        </is>
      </c>
      <c r="O198" s="29" t="inlineStr">
        <is>
          <t>FAIR</t>
        </is>
      </c>
      <c r="P198" s="29" t="inlineStr">
        <is>
          <t>FAIR</t>
        </is>
      </c>
      <c r="Q198" s="29" t="inlineStr">
        <is>
          <t>FAIR</t>
        </is>
      </c>
      <c r="R198" s="29" t="inlineStr">
        <is>
          <t>0.8593164302034415</t>
        </is>
      </c>
      <c r="S198" s="29" t="inlineStr">
        <is>
          <t>HIGH</t>
        </is>
      </c>
      <c r="T198" s="29" t="inlineStr">
        <is>
          <t>HIGH</t>
        </is>
      </c>
      <c r="U198" s="29" t="inlineStr">
        <is>
          <t>0.3571428571428571</t>
        </is>
      </c>
      <c r="V198" s="29" t="inlineStr">
        <is>
          <t>MEDIUM_RISK</t>
        </is>
      </c>
      <c r="W198" s="29" t="inlineStr">
        <is>
          <t>중위험</t>
        </is>
      </c>
      <c r="X198" s="29" t="inlineStr">
        <is>
          <t>MEDIUM_RISK</t>
        </is>
      </c>
      <c r="Y198" s="29" t="inlineStr">
        <is>
          <t>0.6687746551665015</t>
        </is>
      </c>
      <c r="Z198" s="29" t="inlineStr">
        <is>
          <t>MEDIUM</t>
        </is>
      </c>
      <c r="AA198" s="29" t="inlineStr">
        <is>
          <t>MEDIUM</t>
        </is>
      </c>
      <c r="AB198" s="29" t="inlineStr">
        <is>
          <t>0.05354194050015521</t>
        </is>
      </c>
      <c r="AC198" s="29" t="inlineStr">
        <is>
          <t>False</t>
        </is>
      </c>
      <c r="AD198" s="29" t="inlineStr">
        <is>
          <t>False</t>
        </is>
      </c>
      <c r="AE198" s="29" t="inlineStr">
        <is>
          <t>valuation_credit_ml_overlay_candidate.csv</t>
        </is>
      </c>
      <c r="AF198" s="29" t="inlineStr">
        <is>
          <t>208개 반도체 reference universe. Valuation Agent가 자체 intake 폴더로 복제해 Peer/ML/대시보드 비교에 사용.</t>
        </is>
      </c>
    </row>
    <row r="199" ht="24" customHeight="1">
      <c r="A199" s="24" t="inlineStr">
        <is>
          <t>60</t>
        </is>
      </c>
      <c r="B199" s="24" t="inlineStr">
        <is>
          <t>해당 없음</t>
        </is>
      </c>
      <c r="C199" s="24" t="inlineStr">
        <is>
          <t>앤씨앤</t>
        </is>
      </c>
      <c r="D199" s="24" t="inlineStr">
        <is>
          <t>092600</t>
        </is>
      </c>
      <c r="E199" s="24" t="inlineStr">
        <is>
          <t>KOSDAQ</t>
        </is>
      </c>
      <c r="F199" s="24" t="inlineStr">
        <is>
          <t>팹리스/설계</t>
        </is>
      </c>
      <c r="G199" s="24" t="inlineStr">
        <is>
          <t>팹리스/설계</t>
        </is>
      </c>
      <c r="H199" s="24" t="inlineStr">
        <is>
          <t>False</t>
        </is>
      </c>
      <c r="I199" s="24" t="inlineStr">
        <is>
          <t>True</t>
        </is>
      </c>
      <c r="J199" s="24" t="inlineStr">
        <is>
          <t>OK</t>
        </is>
      </c>
      <c r="K199" s="24" t="inlineStr">
        <is>
          <t>데이터 사용 가능</t>
        </is>
      </c>
      <c r="L199" s="24" t="inlineStr">
        <is>
          <t>LOW</t>
        </is>
      </c>
      <c r="M199" s="24" t="inlineStr">
        <is>
          <t>LOW</t>
        </is>
      </c>
      <c r="N199" s="24" t="inlineStr">
        <is>
          <t>0.7450505050505051</t>
        </is>
      </c>
      <c r="O199" s="24" t="inlineStr">
        <is>
          <t>FAIR</t>
        </is>
      </c>
      <c r="P199" s="24" t="inlineStr">
        <is>
          <t>FAIR</t>
        </is>
      </c>
      <c r="Q199" s="24" t="inlineStr">
        <is>
          <t>FAIR</t>
        </is>
      </c>
      <c r="R199" s="24" t="inlineStr">
        <is>
          <t>0.8450252323777523</t>
        </is>
      </c>
      <c r="S199" s="24" t="inlineStr">
        <is>
          <t>HIGH</t>
        </is>
      </c>
      <c r="T199" s="24" t="inlineStr">
        <is>
          <t>HIGH</t>
        </is>
      </c>
      <c r="U199" s="24" t="inlineStr">
        <is>
          <t>0.5</t>
        </is>
      </c>
      <c r="V199" s="24" t="inlineStr">
        <is>
          <t>HIGH_RISK</t>
        </is>
      </c>
      <c r="W199" s="24" t="inlineStr">
        <is>
          <t>고위험</t>
        </is>
      </c>
      <c r="X199" s="24" t="inlineStr">
        <is>
          <t>HIGH_RISK</t>
        </is>
      </c>
      <c r="Y199" s="24" t="inlineStr">
        <is>
          <t>0.6852720703017778</t>
        </is>
      </c>
      <c r="Z199" s="24" t="inlineStr">
        <is>
          <t>MEDIUM</t>
        </is>
      </c>
      <c r="AA199" s="24" t="inlineStr">
        <is>
          <t>MEDIUM</t>
        </is>
      </c>
      <c r="AB199" s="24" t="inlineStr">
        <is>
          <t>0.05126917274476802</t>
        </is>
      </c>
      <c r="AC199" s="24" t="inlineStr">
        <is>
          <t>False</t>
        </is>
      </c>
      <c r="AD199" s="24" t="inlineStr">
        <is>
          <t>False</t>
        </is>
      </c>
      <c r="AE199" s="24" t="inlineStr">
        <is>
          <t>valuation_credit_ml_overlay_candidate.csv</t>
        </is>
      </c>
      <c r="AF199" s="24" t="inlineStr">
        <is>
          <t>208개 반도체 reference universe. Valuation Agent가 자체 intake 폴더로 복제해 Peer/ML/대시보드 비교에 사용.</t>
        </is>
      </c>
    </row>
    <row r="200" ht="24" customHeight="1">
      <c r="A200" s="29" t="inlineStr">
        <is>
          <t>47</t>
        </is>
      </c>
      <c r="B200" s="29" t="inlineStr">
        <is>
          <t>해당 없음</t>
        </is>
      </c>
      <c r="C200" s="29" t="inlineStr">
        <is>
          <t>마이크로컨텍솔</t>
        </is>
      </c>
      <c r="D200" s="29" t="inlineStr">
        <is>
          <t>098120</t>
        </is>
      </c>
      <c r="E200" s="29" t="inlineStr">
        <is>
          <t>KOSDAQ</t>
        </is>
      </c>
      <c r="F200" s="29" t="inlineStr">
        <is>
          <t>팹리스/설계</t>
        </is>
      </c>
      <c r="G200" s="29" t="inlineStr">
        <is>
          <t>팹리스/설계</t>
        </is>
      </c>
      <c r="H200" s="29" t="inlineStr">
        <is>
          <t>False</t>
        </is>
      </c>
      <c r="I200" s="29" t="inlineStr">
        <is>
          <t>True</t>
        </is>
      </c>
      <c r="J200" s="29" t="inlineStr">
        <is>
          <t>OK</t>
        </is>
      </c>
      <c r="K200" s="29" t="inlineStr">
        <is>
          <t>데이터 사용 가능</t>
        </is>
      </c>
      <c r="L200" s="29" t="inlineStr">
        <is>
          <t>LOW</t>
        </is>
      </c>
      <c r="M200" s="29" t="inlineStr">
        <is>
          <t>LOW</t>
        </is>
      </c>
      <c r="N200" s="29" t="inlineStr">
        <is>
          <t>0.7383838383838384</t>
        </is>
      </c>
      <c r="O200" s="29" t="inlineStr">
        <is>
          <t>ATTRACTIVE</t>
        </is>
      </c>
      <c r="P200" s="29" t="inlineStr">
        <is>
          <t>가치 매력</t>
        </is>
      </c>
      <c r="Q200" s="29" t="inlineStr">
        <is>
          <t>ATTRACTIVE</t>
        </is>
      </c>
      <c r="R200" s="29" t="inlineStr">
        <is>
          <t>0.8262966149459129</t>
        </is>
      </c>
      <c r="S200" s="29" t="inlineStr">
        <is>
          <t>HIGH</t>
        </is>
      </c>
      <c r="T200" s="29" t="inlineStr">
        <is>
          <t>HIGH</t>
        </is>
      </c>
      <c r="U200" s="29" t="inlineStr">
        <is>
          <t>0.1428571428571428</t>
        </is>
      </c>
      <c r="V200" s="29" t="inlineStr">
        <is>
          <t>LOW_RISK</t>
        </is>
      </c>
      <c r="W200" s="29" t="inlineStr">
        <is>
          <t>저위험</t>
        </is>
      </c>
      <c r="X200" s="29" t="inlineStr">
        <is>
          <t>LOW_RISK</t>
        </is>
      </c>
      <c r="Y200" s="29" t="inlineStr">
        <is>
          <t>0.7491981695245683</t>
        </is>
      </c>
      <c r="Z200" s="29" t="inlineStr">
        <is>
          <t>HIGH</t>
        </is>
      </c>
      <c r="AA200" s="29" t="inlineStr">
        <is>
          <t>HIGH</t>
        </is>
      </c>
      <c r="AB200" s="29" t="inlineStr">
        <is>
          <t>0.08427857084894262</t>
        </is>
      </c>
      <c r="AC200" s="29" t="inlineStr">
        <is>
          <t>False</t>
        </is>
      </c>
      <c r="AD200" s="29" t="inlineStr">
        <is>
          <t>False</t>
        </is>
      </c>
      <c r="AE200" s="29" t="inlineStr">
        <is>
          <t>valuation_credit_ml_overlay_candidate.csv</t>
        </is>
      </c>
      <c r="AF200" s="29" t="inlineStr">
        <is>
          <t>208개 반도체 reference universe. Valuation Agent가 자체 intake 폴더로 복제해 Peer/ML/대시보드 비교에 사용.</t>
        </is>
      </c>
    </row>
    <row r="201" ht="24" customHeight="1">
      <c r="A201" s="24" t="inlineStr">
        <is>
          <t>55</t>
        </is>
      </c>
      <c r="B201" s="24" t="inlineStr">
        <is>
          <t>해당 없음</t>
        </is>
      </c>
      <c r="C201" s="24" t="inlineStr">
        <is>
          <t>아이앤씨</t>
        </is>
      </c>
      <c r="D201" s="24" t="inlineStr">
        <is>
          <t>052860</t>
        </is>
      </c>
      <c r="E201" s="24" t="inlineStr">
        <is>
          <t>KOSDAQ</t>
        </is>
      </c>
      <c r="F201" s="24" t="inlineStr">
        <is>
          <t>팹리스/설계</t>
        </is>
      </c>
      <c r="G201" s="24" t="inlineStr">
        <is>
          <t>팹리스/설계</t>
        </is>
      </c>
      <c r="H201" s="24" t="inlineStr">
        <is>
          <t>False</t>
        </is>
      </c>
      <c r="I201" s="24" t="inlineStr">
        <is>
          <t>True</t>
        </is>
      </c>
      <c r="J201" s="24" t="inlineStr">
        <is>
          <t>OK</t>
        </is>
      </c>
      <c r="K201" s="24" t="inlineStr">
        <is>
          <t>데이터 사용 가능</t>
        </is>
      </c>
      <c r="L201" s="24" t="inlineStr">
        <is>
          <t>LOW</t>
        </is>
      </c>
      <c r="M201" s="24" t="inlineStr">
        <is>
          <t>LOW</t>
        </is>
      </c>
      <c r="N201" s="24" t="inlineStr">
        <is>
          <t>0.7325252525252526</t>
        </is>
      </c>
      <c r="O201" s="24" t="inlineStr">
        <is>
          <t>ATTRACTIVE</t>
        </is>
      </c>
      <c r="P201" s="24" t="inlineStr">
        <is>
          <t>가치 매력</t>
        </is>
      </c>
      <c r="Q201" s="24" t="inlineStr">
        <is>
          <t>ATTRACTIVE</t>
        </is>
      </c>
      <c r="R201" s="24" t="inlineStr">
        <is>
          <t>0.9267130449922303</t>
        </is>
      </c>
      <c r="S201" s="24" t="inlineStr">
        <is>
          <t>HIGH</t>
        </is>
      </c>
      <c r="T201" s="24" t="inlineStr">
        <is>
          <t>HIGH</t>
        </is>
      </c>
      <c r="U201" s="24" t="inlineStr">
        <is>
          <t>0.0</t>
        </is>
      </c>
      <c r="V201" s="24" t="inlineStr">
        <is>
          <t>LOW_RISK</t>
        </is>
      </c>
      <c r="W201" s="24" t="inlineStr">
        <is>
          <t>저위험</t>
        </is>
      </c>
      <c r="X201" s="24" t="inlineStr">
        <is>
          <t>LOW_RISK</t>
        </is>
      </c>
      <c r="Y201" s="24" t="inlineStr">
        <is>
          <t>0.8920304728976969</t>
        </is>
      </c>
      <c r="Z201" s="24" t="inlineStr">
        <is>
          <t>HIGH</t>
        </is>
      </c>
      <c r="AA201" s="24" t="inlineStr">
        <is>
          <t>HIGH</t>
        </is>
      </c>
      <c r="AB201" s="24" t="inlineStr">
        <is>
          <t>0.022475117759514655</t>
        </is>
      </c>
      <c r="AC201" s="24" t="inlineStr">
        <is>
          <t>False</t>
        </is>
      </c>
      <c r="AD201" s="24" t="inlineStr">
        <is>
          <t>False</t>
        </is>
      </c>
      <c r="AE201" s="24" t="inlineStr">
        <is>
          <t>valuation_credit_ml_overlay_candidate.csv</t>
        </is>
      </c>
      <c r="AF201" s="24" t="inlineStr">
        <is>
          <t>208개 반도체 reference universe. Valuation Agent가 자체 intake 폴더로 복제해 Peer/ML/대시보드 비교에 사용.</t>
        </is>
      </c>
    </row>
    <row r="202" ht="24" customHeight="1">
      <c r="A202" s="29" t="inlineStr">
        <is>
          <t>48</t>
        </is>
      </c>
      <c r="B202" s="29" t="inlineStr">
        <is>
          <t>해당 없음</t>
        </is>
      </c>
      <c r="C202" s="29" t="inlineStr">
        <is>
          <t>매커스</t>
        </is>
      </c>
      <c r="D202" s="29" t="inlineStr">
        <is>
          <t>093520</t>
        </is>
      </c>
      <c r="E202" s="29" t="inlineStr">
        <is>
          <t>KOSDAQ</t>
        </is>
      </c>
      <c r="F202" s="29" t="inlineStr">
        <is>
          <t>팹리스/설계</t>
        </is>
      </c>
      <c r="G202" s="29" t="inlineStr">
        <is>
          <t>팹리스/설계</t>
        </is>
      </c>
      <c r="H202" s="29" t="inlineStr">
        <is>
          <t>False</t>
        </is>
      </c>
      <c r="I202" s="29" t="inlineStr">
        <is>
          <t>True</t>
        </is>
      </c>
      <c r="J202" s="29" t="inlineStr">
        <is>
          <t>OK</t>
        </is>
      </c>
      <c r="K202" s="29" t="inlineStr">
        <is>
          <t>데이터 사용 가능</t>
        </is>
      </c>
      <c r="L202" s="29" t="inlineStr">
        <is>
          <t>LOW</t>
        </is>
      </c>
      <c r="M202" s="29" t="inlineStr">
        <is>
          <t>LOW</t>
        </is>
      </c>
      <c r="N202" s="29" t="inlineStr">
        <is>
          <t>0.7056565656565656</t>
        </is>
      </c>
      <c r="O202" s="29" t="inlineStr">
        <is>
          <t>ATTRACTIVE</t>
        </is>
      </c>
      <c r="P202" s="29" t="inlineStr">
        <is>
          <t>가치 매력</t>
        </is>
      </c>
      <c r="Q202" s="29" t="inlineStr">
        <is>
          <t>ATTRACTIVE</t>
        </is>
      </c>
      <c r="R202" s="29" t="inlineStr">
        <is>
          <t>0.9375173489226767</t>
        </is>
      </c>
      <c r="S202" s="29" t="inlineStr">
        <is>
          <t>HIGH</t>
        </is>
      </c>
      <c r="T202" s="29" t="inlineStr">
        <is>
          <t>HIGH</t>
        </is>
      </c>
      <c r="U202" s="29" t="inlineStr">
        <is>
          <t>0.0</t>
        </is>
      </c>
      <c r="V202" s="29" t="inlineStr">
        <is>
          <t>LOW_RISK</t>
        </is>
      </c>
      <c r="W202" s="29" t="inlineStr">
        <is>
          <t>저위험</t>
        </is>
      </c>
      <c r="X202" s="29" t="inlineStr">
        <is>
          <t>LOW_RISK</t>
        </is>
      </c>
      <c r="Y202" s="29" t="inlineStr">
        <is>
          <t>0.8297390345025338</t>
        </is>
      </c>
      <c r="Z202" s="29" t="inlineStr">
        <is>
          <t>HIGH</t>
        </is>
      </c>
      <c r="AA202" s="29" t="inlineStr">
        <is>
          <t>HIGH</t>
        </is>
      </c>
      <c r="AB202" s="29" t="inlineStr">
        <is>
          <t>0.08420442573717486</t>
        </is>
      </c>
      <c r="AC202" s="29" t="inlineStr">
        <is>
          <t>False</t>
        </is>
      </c>
      <c r="AD202" s="29" t="inlineStr">
        <is>
          <t>False</t>
        </is>
      </c>
      <c r="AE202" s="29" t="inlineStr">
        <is>
          <t>valuation_credit_ml_overlay_candidate.csv</t>
        </is>
      </c>
      <c r="AF202" s="29" t="inlineStr">
        <is>
          <t>208개 반도체 reference universe. Valuation Agent가 자체 intake 폴더로 복제해 Peer/ML/대시보드 비교에 사용.</t>
        </is>
      </c>
    </row>
    <row r="203" ht="24" customHeight="1">
      <c r="A203" s="24" t="inlineStr">
        <is>
          <t>41</t>
        </is>
      </c>
      <c r="B203" s="24" t="inlineStr">
        <is>
          <t>해당 없음</t>
        </is>
      </c>
      <c r="C203" s="24" t="inlineStr">
        <is>
          <t>LX세미콘</t>
        </is>
      </c>
      <c r="D203" s="24" t="inlineStr">
        <is>
          <t>108320</t>
        </is>
      </c>
      <c r="E203" s="24" t="inlineStr">
        <is>
          <t>KOSPI</t>
        </is>
      </c>
      <c r="F203" s="24" t="inlineStr">
        <is>
          <t>팹리스/설계</t>
        </is>
      </c>
      <c r="G203" s="24" t="inlineStr">
        <is>
          <t>팹리스/설계</t>
        </is>
      </c>
      <c r="H203" s="24" t="inlineStr">
        <is>
          <t>False</t>
        </is>
      </c>
      <c r="I203" s="24" t="inlineStr">
        <is>
          <t>True</t>
        </is>
      </c>
      <c r="J203" s="24" t="inlineStr">
        <is>
          <t>OK</t>
        </is>
      </c>
      <c r="K203" s="24" t="inlineStr">
        <is>
          <t>데이터 사용 가능</t>
        </is>
      </c>
      <c r="L203" s="24" t="inlineStr">
        <is>
          <t>LOW</t>
        </is>
      </c>
      <c r="M203" s="24" t="inlineStr">
        <is>
          <t>LOW</t>
        </is>
      </c>
      <c r="N203" s="24" t="inlineStr">
        <is>
          <t>0.6953535353535354</t>
        </is>
      </c>
      <c r="O203" s="24" t="inlineStr">
        <is>
          <t>ATTRACTIVE</t>
        </is>
      </c>
      <c r="P203" s="24" t="inlineStr">
        <is>
          <t>가치 매력</t>
        </is>
      </c>
      <c r="Q203" s="24" t="inlineStr">
        <is>
          <t>ATTRACTIVE</t>
        </is>
      </c>
      <c r="R203" s="24" t="inlineStr">
        <is>
          <t>0.951012131492064</t>
        </is>
      </c>
      <c r="S203" s="24" t="inlineStr">
        <is>
          <t>HIGH</t>
        </is>
      </c>
      <c r="T203" s="24" t="inlineStr">
        <is>
          <t>HIGH</t>
        </is>
      </c>
      <c r="U203" s="24" t="inlineStr">
        <is>
          <t>0.0</t>
        </is>
      </c>
      <c r="V203" s="24" t="inlineStr">
        <is>
          <t>LOW_RISK</t>
        </is>
      </c>
      <c r="W203" s="24" t="inlineStr">
        <is>
          <t>저위험</t>
        </is>
      </c>
      <c r="X203" s="24" t="inlineStr">
        <is>
          <t>LOW_RISK</t>
        </is>
      </c>
      <c r="Y203" s="24" t="inlineStr">
        <is>
          <t>0.9675260077633142</t>
        </is>
      </c>
      <c r="Z203" s="24" t="inlineStr">
        <is>
          <t>HIGH</t>
        </is>
      </c>
      <c r="AA203" s="24" t="inlineStr">
        <is>
          <t>HIGH</t>
        </is>
      </c>
      <c r="AB203" s="24" t="inlineStr">
        <is>
          <t>0.0526549169074082</t>
        </is>
      </c>
      <c r="AC203" s="24" t="inlineStr">
        <is>
          <t>False</t>
        </is>
      </c>
      <c r="AD203" s="24" t="inlineStr">
        <is>
          <t>False</t>
        </is>
      </c>
      <c r="AE203" s="24" t="inlineStr">
        <is>
          <t>valuation_credit_ml_overlay_candidate.csv</t>
        </is>
      </c>
      <c r="AF203" s="24" t="inlineStr">
        <is>
          <t>208개 반도체 reference universe. Valuation Agent가 자체 intake 폴더로 복제해 Peer/ML/대시보드 비교에 사용.</t>
        </is>
      </c>
    </row>
    <row r="204" ht="24" customHeight="1">
      <c r="A204" s="29" t="inlineStr">
        <is>
          <t>61</t>
        </is>
      </c>
      <c r="B204" s="29" t="inlineStr">
        <is>
          <t>해당 없음</t>
        </is>
      </c>
      <c r="C204" s="29" t="inlineStr">
        <is>
          <t>어보브반도체</t>
        </is>
      </c>
      <c r="D204" s="29" t="inlineStr">
        <is>
          <t>102120</t>
        </is>
      </c>
      <c r="E204" s="29" t="inlineStr">
        <is>
          <t>KOSDAQ</t>
        </is>
      </c>
      <c r="F204" s="29" t="inlineStr">
        <is>
          <t>팹리스/설계</t>
        </is>
      </c>
      <c r="G204" s="29" t="inlineStr">
        <is>
          <t>팹리스/설계</t>
        </is>
      </c>
      <c r="H204" s="29" t="inlineStr">
        <is>
          <t>False</t>
        </is>
      </c>
      <c r="I204" s="29" t="inlineStr">
        <is>
          <t>True</t>
        </is>
      </c>
      <c r="J204" s="29" t="inlineStr">
        <is>
          <t>OK</t>
        </is>
      </c>
      <c r="K204" s="29" t="inlineStr">
        <is>
          <t>데이터 사용 가능</t>
        </is>
      </c>
      <c r="L204" s="29" t="inlineStr">
        <is>
          <t>LOW</t>
        </is>
      </c>
      <c r="M204" s="29" t="inlineStr">
        <is>
          <t>LOW</t>
        </is>
      </c>
      <c r="N204" s="29" t="inlineStr">
        <is>
          <t>0.6933333333333332</t>
        </is>
      </c>
      <c r="O204" s="29" t="inlineStr">
        <is>
          <t>FAIR</t>
        </is>
      </c>
      <c r="P204" s="29" t="inlineStr">
        <is>
          <t>FAIR</t>
        </is>
      </c>
      <c r="Q204" s="29" t="inlineStr">
        <is>
          <t>FAIR</t>
        </is>
      </c>
      <c r="R204" s="29" t="inlineStr">
        <is>
          <t>0.9028406871788379</t>
        </is>
      </c>
      <c r="S204" s="29" t="inlineStr">
        <is>
          <t>HIGH</t>
        </is>
      </c>
      <c r="T204" s="29" t="inlineStr">
        <is>
          <t>HIGH</t>
        </is>
      </c>
      <c r="U204" s="29" t="inlineStr">
        <is>
          <t>0.0714285714285714</t>
        </is>
      </c>
      <c r="V204" s="29" t="inlineStr">
        <is>
          <t>LOW_RISK</t>
        </is>
      </c>
      <c r="W204" s="29" t="inlineStr">
        <is>
          <t>저위험</t>
        </is>
      </c>
      <c r="X204" s="29" t="inlineStr">
        <is>
          <t>LOW_RISK</t>
        </is>
      </c>
      <c r="Y204" s="29" t="inlineStr">
        <is>
          <t>0.7134163381020407</t>
        </is>
      </c>
      <c r="Z204" s="29" t="inlineStr">
        <is>
          <t>HIGH</t>
        </is>
      </c>
      <c r="AA204" s="29" t="inlineStr">
        <is>
          <t>HIGH</t>
        </is>
      </c>
      <c r="AB204" s="29" t="inlineStr">
        <is>
          <t>0.020764615542161708</t>
        </is>
      </c>
      <c r="AC204" s="29" t="inlineStr">
        <is>
          <t>False</t>
        </is>
      </c>
      <c r="AD204" s="29" t="inlineStr">
        <is>
          <t>False</t>
        </is>
      </c>
      <c r="AE204" s="29" t="inlineStr">
        <is>
          <t>valuation_credit_ml_overlay_candidate.csv</t>
        </is>
      </c>
      <c r="AF204" s="29" t="inlineStr">
        <is>
          <t>208개 반도체 reference universe. Valuation Agent가 자체 intake 폴더로 복제해 Peer/ML/대시보드 비교에 사용.</t>
        </is>
      </c>
    </row>
    <row r="205" ht="24" customHeight="1">
      <c r="A205" s="24" t="inlineStr">
        <is>
          <t>58</t>
        </is>
      </c>
      <c r="B205" s="24" t="inlineStr">
        <is>
          <t>해당 없음</t>
        </is>
      </c>
      <c r="C205" s="24" t="inlineStr">
        <is>
          <t>알에프세미</t>
        </is>
      </c>
      <c r="D205" s="24" t="inlineStr">
        <is>
          <t>096610</t>
        </is>
      </c>
      <c r="E205" s="24" t="inlineStr">
        <is>
          <t>KOSDAQ</t>
        </is>
      </c>
      <c r="F205" s="24" t="inlineStr">
        <is>
          <t>팹리스/설계</t>
        </is>
      </c>
      <c r="G205" s="24" t="inlineStr">
        <is>
          <t>팹리스/설계</t>
        </is>
      </c>
      <c r="H205" s="24" t="inlineStr">
        <is>
          <t>False</t>
        </is>
      </c>
      <c r="I205" s="24" t="inlineStr">
        <is>
          <t>True</t>
        </is>
      </c>
      <c r="J205" s="24" t="inlineStr">
        <is>
          <t>OK</t>
        </is>
      </c>
      <c r="K205" s="24" t="inlineStr">
        <is>
          <t>데이터 사용 가능</t>
        </is>
      </c>
      <c r="L205" s="24" t="inlineStr">
        <is>
          <t>LOW</t>
        </is>
      </c>
      <c r="M205" s="24" t="inlineStr">
        <is>
          <t>LOW</t>
        </is>
      </c>
      <c r="N205" s="24" t="inlineStr">
        <is>
          <t>0.603030303030303</t>
        </is>
      </c>
      <c r="O205" s="24" t="inlineStr">
        <is>
          <t>ATTRACTIVE</t>
        </is>
      </c>
      <c r="P205" s="24" t="inlineStr">
        <is>
          <t>가치 매력</t>
        </is>
      </c>
      <c r="Q205" s="24" t="inlineStr">
        <is>
          <t>ATTRACTIVE</t>
        </is>
      </c>
      <c r="R205" s="24" t="inlineStr">
        <is>
          <t>0.8083150256499313</t>
        </is>
      </c>
      <c r="S205" s="24" t="inlineStr">
        <is>
          <t>HIGH</t>
        </is>
      </c>
      <c r="T205" s="24" t="inlineStr">
        <is>
          <t>HIGH</t>
        </is>
      </c>
      <c r="U205" s="24" t="inlineStr">
        <is>
          <t>0.0714285714285714</t>
        </is>
      </c>
      <c r="V205" s="24" t="inlineStr">
        <is>
          <t>LOW_RISK</t>
        </is>
      </c>
      <c r="W205" s="24" t="inlineStr">
        <is>
          <t>저위험</t>
        </is>
      </c>
      <c r="X205" s="24" t="inlineStr">
        <is>
          <t>LOW_RISK</t>
        </is>
      </c>
      <c r="Y205" s="24" t="inlineStr">
        <is>
          <t>0.8655657172147194</t>
        </is>
      </c>
      <c r="Z205" s="24" t="inlineStr">
        <is>
          <t>HIGH</t>
        </is>
      </c>
      <c r="AA205" s="24" t="inlineStr">
        <is>
          <t>HIGH</t>
        </is>
      </c>
      <c r="AB205" s="24" t="inlineStr">
        <is>
          <t>0.30686355706948754</t>
        </is>
      </c>
      <c r="AC205" s="24" t="inlineStr">
        <is>
          <t>True</t>
        </is>
      </c>
      <c r="AD205" s="24" t="inlineStr">
        <is>
          <t>True</t>
        </is>
      </c>
      <c r="AE205" s="24" t="inlineStr">
        <is>
          <t>valuation_credit_ml_overlay_candidate.csv</t>
        </is>
      </c>
      <c r="AF205" s="24" t="inlineStr">
        <is>
          <t>208개 반도체 reference universe. Valuation Agent가 자체 intake 폴더로 복제해 Peer/ML/대시보드 비교에 사용.</t>
        </is>
      </c>
    </row>
    <row r="206" ht="24" customHeight="1">
      <c r="A206" s="29" t="inlineStr">
        <is>
          <t>66</t>
        </is>
      </c>
      <c r="B206" s="29" t="inlineStr">
        <is>
          <t>해당 없음</t>
        </is>
      </c>
      <c r="C206" s="29" t="inlineStr">
        <is>
          <t>제주반도체</t>
        </is>
      </c>
      <c r="D206" s="29" t="inlineStr">
        <is>
          <t>080220</t>
        </is>
      </c>
      <c r="E206" s="29" t="inlineStr">
        <is>
          <t>KOSDAQ</t>
        </is>
      </c>
      <c r="F206" s="29" t="inlineStr">
        <is>
          <t>팹리스/설계</t>
        </is>
      </c>
      <c r="G206" s="29" t="inlineStr">
        <is>
          <t>팹리스/설계</t>
        </is>
      </c>
      <c r="H206" s="29" t="inlineStr">
        <is>
          <t>False</t>
        </is>
      </c>
      <c r="I206" s="29" t="inlineStr">
        <is>
          <t>True</t>
        </is>
      </c>
      <c r="J206" s="29" t="inlineStr">
        <is>
          <t>OK</t>
        </is>
      </c>
      <c r="K206" s="29" t="inlineStr">
        <is>
          <t>데이터 사용 가능</t>
        </is>
      </c>
      <c r="L206" s="29" t="inlineStr">
        <is>
          <t>LOW</t>
        </is>
      </c>
      <c r="M206" s="29" t="inlineStr">
        <is>
          <t>LOW</t>
        </is>
      </c>
      <c r="N206" s="29" t="inlineStr">
        <is>
          <t>0.5917171717171718</t>
        </is>
      </c>
      <c r="O206" s="29" t="inlineStr">
        <is>
          <t>ATTRACTIVE</t>
        </is>
      </c>
      <c r="P206" s="29" t="inlineStr">
        <is>
          <t>가치 매력</t>
        </is>
      </c>
      <c r="Q206" s="29" t="inlineStr">
        <is>
          <t>ATTRACTIVE</t>
        </is>
      </c>
      <c r="R206" s="29" t="inlineStr">
        <is>
          <t>0.6955424557105586</t>
        </is>
      </c>
      <c r="S206" s="29" t="inlineStr">
        <is>
          <t>MEDIUM</t>
        </is>
      </c>
      <c r="T206" s="29" t="inlineStr">
        <is>
          <t>MEDIUM</t>
        </is>
      </c>
      <c r="U206" s="29" t="inlineStr">
        <is>
          <t>0.0</t>
        </is>
      </c>
      <c r="V206" s="29" t="inlineStr">
        <is>
          <t>LOW_RISK</t>
        </is>
      </c>
      <c r="W206" s="29" t="inlineStr">
        <is>
          <t>저위험</t>
        </is>
      </c>
      <c r="X206" s="29" t="inlineStr">
        <is>
          <t>LOW_RISK</t>
        </is>
      </c>
      <c r="Y206" s="29" t="inlineStr">
        <is>
          <t>0.9206625395821784</t>
        </is>
      </c>
      <c r="Z206" s="29" t="inlineStr">
        <is>
          <t>HIGH</t>
        </is>
      </c>
      <c r="AA206" s="29" t="inlineStr">
        <is>
          <t>HIGH</t>
        </is>
      </c>
      <c r="AB206" s="29" t="inlineStr">
        <is>
          <t>0.022944474321634056</t>
        </is>
      </c>
      <c r="AC206" s="29" t="inlineStr">
        <is>
          <t>False</t>
        </is>
      </c>
      <c r="AD206" s="29" t="inlineStr">
        <is>
          <t>False</t>
        </is>
      </c>
      <c r="AE206" s="29" t="inlineStr">
        <is>
          <t>valuation_credit_ml_overlay_candidate.csv</t>
        </is>
      </c>
      <c r="AF206" s="29" t="inlineStr">
        <is>
          <t>208개 반도체 reference universe. Valuation Agent가 자체 intake 폴더로 복제해 Peer/ML/대시보드 비교에 사용.</t>
        </is>
      </c>
    </row>
    <row r="207" ht="24" customHeight="1">
      <c r="A207" s="24" t="inlineStr">
        <is>
          <t>71</t>
        </is>
      </c>
      <c r="B207" s="24" t="inlineStr">
        <is>
          <t>해당 없음</t>
        </is>
      </c>
      <c r="C207" s="24" t="inlineStr">
        <is>
          <t>티에스이</t>
        </is>
      </c>
      <c r="D207" s="24" t="inlineStr">
        <is>
          <t>131290</t>
        </is>
      </c>
      <c r="E207" s="24" t="inlineStr">
        <is>
          <t>KOSDAQ</t>
        </is>
      </c>
      <c r="F207" s="24" t="inlineStr">
        <is>
          <t>팹리스/설계</t>
        </is>
      </c>
      <c r="G207" s="24" t="inlineStr">
        <is>
          <t>팹리스/설계</t>
        </is>
      </c>
      <c r="H207" s="24" t="inlineStr">
        <is>
          <t>False</t>
        </is>
      </c>
      <c r="I207" s="24" t="inlineStr">
        <is>
          <t>True</t>
        </is>
      </c>
      <c r="J207" s="24" t="inlineStr">
        <is>
          <t>OK</t>
        </is>
      </c>
      <c r="K207" s="24" t="inlineStr">
        <is>
          <t>데이터 사용 가능</t>
        </is>
      </c>
      <c r="L207" s="24" t="inlineStr">
        <is>
          <t>LOW</t>
        </is>
      </c>
      <c r="M207" s="24" t="inlineStr">
        <is>
          <t>LOW</t>
        </is>
      </c>
      <c r="N207" s="24" t="inlineStr">
        <is>
          <t>0.5880808080808082</t>
        </is>
      </c>
      <c r="O207" s="24" t="inlineStr">
        <is>
          <t>ATTRACTIVE</t>
        </is>
      </c>
      <c r="P207" s="24" t="inlineStr">
        <is>
          <t>가치 매력</t>
        </is>
      </c>
      <c r="Q207" s="24" t="inlineStr">
        <is>
          <t>ATTRACTIVE</t>
        </is>
      </c>
      <c r="R207" s="24" t="inlineStr">
        <is>
          <t>0.7390287615028212</t>
        </is>
      </c>
      <c r="S207" s="24" t="inlineStr">
        <is>
          <t>HIGH</t>
        </is>
      </c>
      <c r="T207" s="24" t="inlineStr">
        <is>
          <t>HIGH</t>
        </is>
      </c>
      <c r="U207" s="24" t="inlineStr">
        <is>
          <t>0.0</t>
        </is>
      </c>
      <c r="V207" s="24" t="inlineStr">
        <is>
          <t>LOW_RISK</t>
        </is>
      </c>
      <c r="W207" s="24" t="inlineStr">
        <is>
          <t>저위험</t>
        </is>
      </c>
      <c r="X207" s="24" t="inlineStr">
        <is>
          <t>LOW_RISK</t>
        </is>
      </c>
      <c r="Y207" s="24" t="inlineStr">
        <is>
          <t>0.9709748314872512</t>
        </is>
      </c>
      <c r="Z207" s="24" t="inlineStr">
        <is>
          <t>HIGH</t>
        </is>
      </c>
      <c r="AA207" s="24" t="inlineStr">
        <is>
          <t>HIGH</t>
        </is>
      </c>
      <c r="AB207" s="24" t="inlineStr">
        <is>
          <t>0.018067787318761474</t>
        </is>
      </c>
      <c r="AC207" s="24" t="inlineStr">
        <is>
          <t>False</t>
        </is>
      </c>
      <c r="AD207" s="24" t="inlineStr">
        <is>
          <t>False</t>
        </is>
      </c>
      <c r="AE207" s="24" t="inlineStr">
        <is>
          <t>valuation_credit_ml_overlay_candidate.csv</t>
        </is>
      </c>
      <c r="AF207" s="24" t="inlineStr">
        <is>
          <t>208개 반도체 reference universe. Valuation Agent가 자체 intake 폴더로 복제해 Peer/ML/대시보드 비교에 사용.</t>
        </is>
      </c>
    </row>
    <row r="208" ht="24" customHeight="1">
      <c r="A208" s="29" t="inlineStr">
        <is>
          <t>53</t>
        </is>
      </c>
      <c r="B208" s="29" t="inlineStr">
        <is>
          <t>해당 없음</t>
        </is>
      </c>
      <c r="C208" s="29" t="inlineStr">
        <is>
          <t>아나패스</t>
        </is>
      </c>
      <c r="D208" s="29" t="inlineStr">
        <is>
          <t>123860</t>
        </is>
      </c>
      <c r="E208" s="29" t="inlineStr">
        <is>
          <t>KOSDAQ</t>
        </is>
      </c>
      <c r="F208" s="29" t="inlineStr">
        <is>
          <t>팹리스/설계</t>
        </is>
      </c>
      <c r="G208" s="29" t="inlineStr">
        <is>
          <t>팹리스/설계</t>
        </is>
      </c>
      <c r="H208" s="29" t="inlineStr">
        <is>
          <t>False</t>
        </is>
      </c>
      <c r="I208" s="29" t="inlineStr">
        <is>
          <t>True</t>
        </is>
      </c>
      <c r="J208" s="29" t="inlineStr">
        <is>
          <t>OK</t>
        </is>
      </c>
      <c r="K208" s="29" t="inlineStr">
        <is>
          <t>데이터 사용 가능</t>
        </is>
      </c>
      <c r="L208" s="29" t="inlineStr">
        <is>
          <t>LOW</t>
        </is>
      </c>
      <c r="M208" s="29" t="inlineStr">
        <is>
          <t>LOW</t>
        </is>
      </c>
      <c r="N208" s="29" t="inlineStr">
        <is>
          <t>0.5761616161616162</t>
        </is>
      </c>
      <c r="O208" s="29" t="inlineStr">
        <is>
          <t>FAIR</t>
        </is>
      </c>
      <c r="P208" s="29" t="inlineStr">
        <is>
          <t>FAIR</t>
        </is>
      </c>
      <c r="Q208" s="29" t="inlineStr">
        <is>
          <t>ATTRACTIVE</t>
        </is>
      </c>
      <c r="R208" s="29" t="inlineStr">
        <is>
          <t>0.510332377942325</t>
        </is>
      </c>
      <c r="S208" s="29" t="inlineStr">
        <is>
          <t>MEDIUM</t>
        </is>
      </c>
      <c r="T208" s="29" t="inlineStr">
        <is>
          <t>MEDIUM</t>
        </is>
      </c>
      <c r="U208" s="29" t="inlineStr">
        <is>
          <t>0.0</t>
        </is>
      </c>
      <c r="V208" s="29" t="inlineStr">
        <is>
          <t>LOW_RISK</t>
        </is>
      </c>
      <c r="W208" s="29" t="inlineStr">
        <is>
          <t>저위험</t>
        </is>
      </c>
      <c r="X208" s="29" t="inlineStr">
        <is>
          <t>LOW_RISK</t>
        </is>
      </c>
      <c r="Y208" s="29" t="inlineStr">
        <is>
          <t>0.9162612285765747</t>
        </is>
      </c>
      <c r="Z208" s="29" t="inlineStr">
        <is>
          <t>HIGH</t>
        </is>
      </c>
      <c r="AA208" s="29" t="inlineStr">
        <is>
          <t>HIGH</t>
        </is>
      </c>
      <c r="AB208" s="29" t="inlineStr">
        <is>
          <t>0.10416084144507474</t>
        </is>
      </c>
      <c r="AC208" s="29" t="inlineStr">
        <is>
          <t>False</t>
        </is>
      </c>
      <c r="AD208" s="29" t="inlineStr">
        <is>
          <t>False</t>
        </is>
      </c>
      <c r="AE208" s="29" t="inlineStr">
        <is>
          <t>valuation_credit_ml_overlay_candidate.csv</t>
        </is>
      </c>
      <c r="AF208" s="29" t="inlineStr">
        <is>
          <t>208개 반도체 reference universe. Valuation Agent가 자체 intake 폴더로 복제해 Peer/ML/대시보드 비교에 사용.</t>
        </is>
      </c>
    </row>
    <row r="209" ht="24" customHeight="1">
      <c r="A209" s="24" t="inlineStr">
        <is>
          <t>68</t>
        </is>
      </c>
      <c r="B209" s="24" t="inlineStr">
        <is>
          <t>해당 없음</t>
        </is>
      </c>
      <c r="C209" s="24" t="inlineStr">
        <is>
          <t>코아시아</t>
        </is>
      </c>
      <c r="D209" s="24" t="inlineStr">
        <is>
          <t>045970</t>
        </is>
      </c>
      <c r="E209" s="24" t="inlineStr">
        <is>
          <t>KOSDAQ</t>
        </is>
      </c>
      <c r="F209" s="24" t="inlineStr">
        <is>
          <t>팹리스/설계</t>
        </is>
      </c>
      <c r="G209" s="24" t="inlineStr">
        <is>
          <t>팹리스/설계</t>
        </is>
      </c>
      <c r="H209" s="24" t="inlineStr">
        <is>
          <t>False</t>
        </is>
      </c>
      <c r="I209" s="24" t="inlineStr">
        <is>
          <t>True</t>
        </is>
      </c>
      <c r="J209" s="24" t="inlineStr">
        <is>
          <t>OK</t>
        </is>
      </c>
      <c r="K209" s="24" t="inlineStr">
        <is>
          <t>데이터 사용 가능</t>
        </is>
      </c>
      <c r="L209" s="24" t="inlineStr">
        <is>
          <t>LOW</t>
        </is>
      </c>
      <c r="M209" s="24" t="inlineStr">
        <is>
          <t>LOW</t>
        </is>
      </c>
      <c r="N209" s="24" t="inlineStr">
        <is>
          <t>0.5612121212121212</t>
        </is>
      </c>
      <c r="O209" s="24" t="inlineStr">
        <is>
          <t>FAIR</t>
        </is>
      </c>
      <c r="P209" s="24" t="inlineStr">
        <is>
          <t>FAIR</t>
        </is>
      </c>
      <c r="Q209" s="24" t="inlineStr">
        <is>
          <t>FAIR</t>
        </is>
      </c>
      <c r="R209" s="24" t="inlineStr">
        <is>
          <t>0.811266524244761</t>
        </is>
      </c>
      <c r="S209" s="24" t="inlineStr">
        <is>
          <t>HIGH</t>
        </is>
      </c>
      <c r="T209" s="24" t="inlineStr">
        <is>
          <t>HIGH</t>
        </is>
      </c>
      <c r="U209" s="24" t="inlineStr">
        <is>
          <t>0.5</t>
        </is>
      </c>
      <c r="V209" s="24" t="inlineStr">
        <is>
          <t>HIGH_RISK</t>
        </is>
      </c>
      <c r="W209" s="24" t="inlineStr">
        <is>
          <t>고위험</t>
        </is>
      </c>
      <c r="X209" s="24" t="inlineStr">
        <is>
          <t>HIGH_RISK</t>
        </is>
      </c>
      <c r="Y209" s="24" t="inlineStr">
        <is>
          <t>0.7677840717507917</t>
        </is>
      </c>
      <c r="Z209" s="24" t="inlineStr">
        <is>
          <t>HIGH</t>
        </is>
      </c>
      <c r="AA209" s="24" t="inlineStr">
        <is>
          <t>HIGH</t>
        </is>
      </c>
      <c r="AB209" s="24" t="inlineStr">
        <is>
          <t>0.06747219473464933</t>
        </is>
      </c>
      <c r="AC209" s="24" t="inlineStr">
        <is>
          <t>False</t>
        </is>
      </c>
      <c r="AD209" s="24" t="inlineStr">
        <is>
          <t>False</t>
        </is>
      </c>
      <c r="AE209" s="24" t="inlineStr">
        <is>
          <t>valuation_credit_ml_overlay_candidate.csv</t>
        </is>
      </c>
      <c r="AF209" s="24" t="inlineStr">
        <is>
          <t>208개 반도체 reference universe. Valuation Agent가 자체 intake 폴더로 복제해 Peer/ML/대시보드 비교에 사용.</t>
        </is>
      </c>
    </row>
    <row r="210" ht="24" customHeight="1">
      <c r="A210" s="29" t="inlineStr">
        <is>
          <t>73</t>
        </is>
      </c>
      <c r="B210" s="29" t="inlineStr">
        <is>
          <t>해당 없음</t>
        </is>
      </c>
      <c r="C210" s="29" t="inlineStr">
        <is>
          <t>픽셀플러스</t>
        </is>
      </c>
      <c r="D210" s="29" t="inlineStr">
        <is>
          <t>087600</t>
        </is>
      </c>
      <c r="E210" s="29" t="inlineStr">
        <is>
          <t>KOSDAQ</t>
        </is>
      </c>
      <c r="F210" s="29" t="inlineStr">
        <is>
          <t>팹리스/설계</t>
        </is>
      </c>
      <c r="G210" s="29" t="inlineStr">
        <is>
          <t>팹리스/설계</t>
        </is>
      </c>
      <c r="H210" s="29" t="inlineStr">
        <is>
          <t>False</t>
        </is>
      </c>
      <c r="I210" s="29" t="inlineStr">
        <is>
          <t>True</t>
        </is>
      </c>
      <c r="J210" s="29" t="inlineStr">
        <is>
          <t>OK</t>
        </is>
      </c>
      <c r="K210" s="29" t="inlineStr">
        <is>
          <t>데이터 사용 가능</t>
        </is>
      </c>
      <c r="L210" s="29" t="inlineStr">
        <is>
          <t>LOW</t>
        </is>
      </c>
      <c r="M210" s="29" t="inlineStr">
        <is>
          <t>LOW</t>
        </is>
      </c>
      <c r="N210" s="29" t="inlineStr">
        <is>
          <t>0.543030303030303</t>
        </is>
      </c>
      <c r="O210" s="29" t="inlineStr">
        <is>
          <t>FAIR</t>
        </is>
      </c>
      <c r="P210" s="29" t="inlineStr">
        <is>
          <t>FAIR</t>
        </is>
      </c>
      <c r="Q210" s="29" t="inlineStr">
        <is>
          <t>FAIR</t>
        </is>
      </c>
      <c r="R210" s="29" t="inlineStr">
        <is>
          <t>0.8353732583827468</t>
        </is>
      </c>
      <c r="S210" s="29" t="inlineStr">
        <is>
          <t>HIGH</t>
        </is>
      </c>
      <c r="T210" s="29" t="inlineStr">
        <is>
          <t>HIGH</t>
        </is>
      </c>
      <c r="U210" s="29" t="inlineStr">
        <is>
          <t>0.2857142857142857</t>
        </is>
      </c>
      <c r="V210" s="29" t="inlineStr">
        <is>
          <t>MEDIUM_RISK</t>
        </is>
      </c>
      <c r="W210" s="29" t="inlineStr">
        <is>
          <t>중위험</t>
        </is>
      </c>
      <c r="X210" s="29" t="inlineStr">
        <is>
          <t>MEDIUM_RISK</t>
        </is>
      </c>
      <c r="Y210" s="29" t="inlineStr">
        <is>
          <t>0.8277119254156154</t>
        </is>
      </c>
      <c r="Z210" s="29" t="inlineStr">
        <is>
          <t>HIGH</t>
        </is>
      </c>
      <c r="AA210" s="29" t="inlineStr">
        <is>
          <t>HIGH</t>
        </is>
      </c>
      <c r="AB210" s="29" t="inlineStr">
        <is>
          <t>0.08861749399056779</t>
        </is>
      </c>
      <c r="AC210" s="29" t="inlineStr">
        <is>
          <t>False</t>
        </is>
      </c>
      <c r="AD210" s="29" t="inlineStr">
        <is>
          <t>False</t>
        </is>
      </c>
      <c r="AE210" s="29" t="inlineStr">
        <is>
          <t>valuation_credit_ml_overlay_candidate.csv</t>
        </is>
      </c>
      <c r="AF210" s="29" t="inlineStr">
        <is>
          <t>208개 반도체 reference universe. Valuation Agent가 자체 intake 폴더로 복제해 Peer/ML/대시보드 비교에 사용.</t>
        </is>
      </c>
    </row>
    <row r="211" ht="24" customHeight="1">
      <c r="A211" s="24" t="inlineStr">
        <is>
          <t>67</t>
        </is>
      </c>
      <c r="B211" s="24" t="inlineStr">
        <is>
          <t>해당 없음</t>
        </is>
      </c>
      <c r="C211" s="24" t="inlineStr">
        <is>
          <t>칩스앤미디어</t>
        </is>
      </c>
      <c r="D211" s="24" t="inlineStr">
        <is>
          <t>094360</t>
        </is>
      </c>
      <c r="E211" s="24" t="inlineStr">
        <is>
          <t>KOSDAQ</t>
        </is>
      </c>
      <c r="F211" s="24" t="inlineStr">
        <is>
          <t>팹리스/설계</t>
        </is>
      </c>
      <c r="G211" s="24" t="inlineStr">
        <is>
          <t>팹리스/설계</t>
        </is>
      </c>
      <c r="H211" s="24" t="inlineStr">
        <is>
          <t>False</t>
        </is>
      </c>
      <c r="I211" s="24" t="inlineStr">
        <is>
          <t>True</t>
        </is>
      </c>
      <c r="J211" s="24" t="inlineStr">
        <is>
          <t>OK</t>
        </is>
      </c>
      <c r="K211" s="24" t="inlineStr">
        <is>
          <t>데이터 사용 가능</t>
        </is>
      </c>
      <c r="L211" s="24" t="inlineStr">
        <is>
          <t>LOW</t>
        </is>
      </c>
      <c r="M211" s="24" t="inlineStr">
        <is>
          <t>LOW</t>
        </is>
      </c>
      <c r="N211" s="24" t="inlineStr">
        <is>
          <t>0.5424242424242424</t>
        </is>
      </c>
      <c r="O211" s="24" t="inlineStr">
        <is>
          <t>FAIR</t>
        </is>
      </c>
      <c r="P211" s="24" t="inlineStr">
        <is>
          <t>FAIR</t>
        </is>
      </c>
      <c r="Q211" s="24" t="inlineStr">
        <is>
          <t>FAIR</t>
        </is>
      </c>
      <c r="R211" s="24" t="inlineStr">
        <is>
          <t>0.44740744488593415</t>
        </is>
      </c>
      <c r="S211" s="24" t="inlineStr">
        <is>
          <t>LOW</t>
        </is>
      </c>
      <c r="T211" s="24" t="inlineStr">
        <is>
          <t>LOW</t>
        </is>
      </c>
      <c r="U211" s="24" t="inlineStr">
        <is>
          <t>0.0</t>
        </is>
      </c>
      <c r="V211" s="24" t="inlineStr">
        <is>
          <t>LOW_RISK</t>
        </is>
      </c>
      <c r="W211" s="24" t="inlineStr">
        <is>
          <t>저위험</t>
        </is>
      </c>
      <c r="X211" s="24" t="inlineStr">
        <is>
          <t>LOW_RISK</t>
        </is>
      </c>
      <c r="Y211" s="24" t="inlineStr">
        <is>
          <t>0.9394752479511282</t>
        </is>
      </c>
      <c r="Z211" s="24" t="inlineStr">
        <is>
          <t>HIGH</t>
        </is>
      </c>
      <c r="AA211" s="24" t="inlineStr">
        <is>
          <t>HIGH</t>
        </is>
      </c>
      <c r="AB211" s="24" t="inlineStr">
        <is>
          <t>0.1165162896524789</t>
        </is>
      </c>
      <c r="AC211" s="24" t="inlineStr">
        <is>
          <t>False</t>
        </is>
      </c>
      <c r="AD211" s="24" t="inlineStr">
        <is>
          <t>True</t>
        </is>
      </c>
      <c r="AE211" s="24" t="inlineStr">
        <is>
          <t>valuation_credit_ml_overlay_candidate.csv</t>
        </is>
      </c>
      <c r="AF211" s="24" t="inlineStr">
        <is>
          <t>208개 반도체 reference universe. Valuation Agent가 자체 intake 폴더로 복제해 Peer/ML/대시보드 비교에 사용.</t>
        </is>
      </c>
    </row>
    <row r="212" ht="24" customHeight="1">
      <c r="A212" s="29" t="inlineStr">
        <is>
          <t>57</t>
        </is>
      </c>
      <c r="B212" s="29" t="inlineStr">
        <is>
          <t>해당 없음</t>
        </is>
      </c>
      <c r="C212" s="29" t="inlineStr">
        <is>
          <t>아이케이세미콘</t>
        </is>
      </c>
      <c r="D212" s="29" t="inlineStr">
        <is>
          <t>149010</t>
        </is>
      </c>
      <c r="E212" s="29" t="inlineStr">
        <is>
          <t>KONEX</t>
        </is>
      </c>
      <c r="F212" s="29" t="inlineStr">
        <is>
          <t>팹리스/설계</t>
        </is>
      </c>
      <c r="G212" s="29" t="inlineStr">
        <is>
          <t>팹리스/설계</t>
        </is>
      </c>
      <c r="H212" s="29" t="inlineStr">
        <is>
          <t>False</t>
        </is>
      </c>
      <c r="I212" s="29" t="inlineStr">
        <is>
          <t>True</t>
        </is>
      </c>
      <c r="J212" s="29" t="inlineStr">
        <is>
          <t>NO_DART_FINANCIAL_DATA</t>
        </is>
      </c>
      <c r="K212" s="29" t="inlineStr">
        <is>
          <t>데이터 사용 가능</t>
        </is>
      </c>
      <c r="L212" s="29" t="inlineStr">
        <is>
          <t>HIGH</t>
        </is>
      </c>
      <c r="M212" s="29" t="inlineStr">
        <is>
          <t>HIGH</t>
        </is>
      </c>
      <c r="N212" s="29" t="inlineStr">
        <is>
          <t>0.497979797979798</t>
        </is>
      </c>
      <c r="O212" s="29" t="inlineStr">
        <is>
          <t>FAIR</t>
        </is>
      </c>
      <c r="P212" s="29" t="inlineStr">
        <is>
          <t>FAIR</t>
        </is>
      </c>
      <c r="Q212" s="29" t="inlineStr">
        <is>
          <t>FAIR</t>
        </is>
      </c>
      <c r="R212" s="29" t="inlineStr">
        <is>
          <t>0.9626560040296214</t>
        </is>
      </c>
      <c r="S212" s="29" t="inlineStr">
        <is>
          <t>HIGH</t>
        </is>
      </c>
      <c r="T212" s="29" t="inlineStr">
        <is>
          <t>HIGH</t>
        </is>
      </c>
      <c r="U212" s="29" t="inlineStr">
        <is>
          <t>0.6428571428571429</t>
        </is>
      </c>
      <c r="V212" s="29" t="inlineStr">
        <is>
          <t>HIGH_RISK</t>
        </is>
      </c>
      <c r="W212" s="29" t="inlineStr">
        <is>
          <t>고위험</t>
        </is>
      </c>
      <c r="X212" s="29" t="inlineStr">
        <is>
          <t>HIGH_RISK</t>
        </is>
      </c>
      <c r="Y212" s="29" t="inlineStr">
        <is>
          <t>0.7070645883552188</t>
        </is>
      </c>
      <c r="Z212" s="29" t="inlineStr">
        <is>
          <t>HIGH</t>
        </is>
      </c>
      <c r="AA212" s="29" t="inlineStr">
        <is>
          <t>HIGH</t>
        </is>
      </c>
      <c r="AB212" s="29" t="inlineStr">
        <is>
          <t>0.07589516599498297</t>
        </is>
      </c>
      <c r="AC212" s="29" t="inlineStr">
        <is>
          <t>False</t>
        </is>
      </c>
      <c r="AD212" s="29" t="inlineStr">
        <is>
          <t>True</t>
        </is>
      </c>
      <c r="AE212" s="29" t="inlineStr">
        <is>
          <t>valuation_credit_ml_overlay_candidate.csv</t>
        </is>
      </c>
      <c r="AF212" s="29" t="inlineStr">
        <is>
          <t>208개 반도체 reference universe. Valuation Agent가 자체 intake 폴더로 복제해 Peer/ML/대시보드 비교에 사용.</t>
        </is>
      </c>
    </row>
    <row r="213" ht="24" customHeight="1">
      <c r="A213" s="24" t="inlineStr">
        <is>
          <t>70</t>
        </is>
      </c>
      <c r="B213" s="24" t="inlineStr">
        <is>
          <t>해당 없음</t>
        </is>
      </c>
      <c r="C213" s="24" t="inlineStr">
        <is>
          <t>텔레칩스</t>
        </is>
      </c>
      <c r="D213" s="24" t="inlineStr">
        <is>
          <t>054450</t>
        </is>
      </c>
      <c r="E213" s="24" t="inlineStr">
        <is>
          <t>KOSDAQ</t>
        </is>
      </c>
      <c r="F213" s="24" t="inlineStr">
        <is>
          <t>팹리스/설계</t>
        </is>
      </c>
      <c r="G213" s="24" t="inlineStr">
        <is>
          <t>팹리스/설계</t>
        </is>
      </c>
      <c r="H213" s="24" t="inlineStr">
        <is>
          <t>False</t>
        </is>
      </c>
      <c r="I213" s="24" t="inlineStr">
        <is>
          <t>True</t>
        </is>
      </c>
      <c r="J213" s="24" t="inlineStr">
        <is>
          <t>OK</t>
        </is>
      </c>
      <c r="K213" s="24" t="inlineStr">
        <is>
          <t>데이터 사용 가능</t>
        </is>
      </c>
      <c r="L213" s="24" t="inlineStr">
        <is>
          <t>LOW</t>
        </is>
      </c>
      <c r="M213" s="24" t="inlineStr">
        <is>
          <t>LOW</t>
        </is>
      </c>
      <c r="N213" s="24" t="inlineStr">
        <is>
          <t>0.4943434343434343</t>
        </is>
      </c>
      <c r="O213" s="24" t="inlineStr">
        <is>
          <t>FAIR</t>
        </is>
      </c>
      <c r="P213" s="24" t="inlineStr">
        <is>
          <t>FAIR</t>
        </is>
      </c>
      <c r="Q213" s="24" t="inlineStr">
        <is>
          <t>EXPENSIVE</t>
        </is>
      </c>
      <c r="R213" s="24" t="inlineStr">
        <is>
          <t>0.5716537225721987</t>
        </is>
      </c>
      <c r="S213" s="24" t="inlineStr">
        <is>
          <t>MEDIUM</t>
        </is>
      </c>
      <c r="T213" s="24" t="inlineStr">
        <is>
          <t>MEDIUM</t>
        </is>
      </c>
      <c r="U213" s="24" t="inlineStr">
        <is>
          <t>0.7142857142857143</t>
        </is>
      </c>
      <c r="V213" s="24" t="inlineStr">
        <is>
          <t>HIGH_RISK</t>
        </is>
      </c>
      <c r="W213" s="24" t="inlineStr">
        <is>
          <t>고위험</t>
        </is>
      </c>
      <c r="X213" s="24" t="inlineStr">
        <is>
          <t>HIGH_RISK</t>
        </is>
      </c>
      <c r="Y213" s="24" t="inlineStr">
        <is>
          <t>0.9759550340612091</t>
        </is>
      </c>
      <c r="Z213" s="24" t="inlineStr">
        <is>
          <t>HIGH</t>
        </is>
      </c>
      <c r="AA213" s="24" t="inlineStr">
        <is>
          <t>HIGH</t>
        </is>
      </c>
      <c r="AB213" s="24" t="inlineStr">
        <is>
          <t>0.07328745198510121</t>
        </is>
      </c>
      <c r="AC213" s="24" t="inlineStr">
        <is>
          <t>False</t>
        </is>
      </c>
      <c r="AD213" s="24" t="inlineStr">
        <is>
          <t>False</t>
        </is>
      </c>
      <c r="AE213" s="24" t="inlineStr">
        <is>
          <t>valuation_credit_ml_overlay_candidate.csv</t>
        </is>
      </c>
      <c r="AF213" s="24" t="inlineStr">
        <is>
          <t>208개 반도체 reference universe. Valuation Agent가 자체 intake 폴더로 복제해 Peer/ML/대시보드 비교에 사용.</t>
        </is>
      </c>
    </row>
    <row r="214" ht="24" customHeight="1">
      <c r="A214" s="29" t="inlineStr">
        <is>
          <t>59</t>
        </is>
      </c>
      <c r="B214" s="29" t="inlineStr">
        <is>
          <t>해당 없음</t>
        </is>
      </c>
      <c r="C214" s="29" t="inlineStr">
        <is>
          <t>알파칩스</t>
        </is>
      </c>
      <c r="D214" s="29" t="inlineStr">
        <is>
          <t>117670</t>
        </is>
      </c>
      <c r="E214" s="29" t="inlineStr">
        <is>
          <t>KOSDAQ</t>
        </is>
      </c>
      <c r="F214" s="29" t="inlineStr">
        <is>
          <t>팹리스/설계</t>
        </is>
      </c>
      <c r="G214" s="29" t="inlineStr">
        <is>
          <t>팹리스/설계</t>
        </is>
      </c>
      <c r="H214" s="29" t="inlineStr">
        <is>
          <t>False</t>
        </is>
      </c>
      <c r="I214" s="29" t="inlineStr">
        <is>
          <t>True</t>
        </is>
      </c>
      <c r="J214" s="29" t="inlineStr">
        <is>
          <t>OK</t>
        </is>
      </c>
      <c r="K214" s="29" t="inlineStr">
        <is>
          <t>데이터 사용 가능</t>
        </is>
      </c>
      <c r="L214" s="29" t="inlineStr">
        <is>
          <t>LOW</t>
        </is>
      </c>
      <c r="M214" s="29" t="inlineStr">
        <is>
          <t>LOW</t>
        </is>
      </c>
      <c r="N214" s="29" t="inlineStr">
        <is>
          <t>0.4826262626262627</t>
        </is>
      </c>
      <c r="O214" s="29" t="inlineStr">
        <is>
          <t>FAIR</t>
        </is>
      </c>
      <c r="P214" s="29" t="inlineStr">
        <is>
          <t>FAIR</t>
        </is>
      </c>
      <c r="Q214" s="29" t="inlineStr">
        <is>
          <t>FAIR</t>
        </is>
      </c>
      <c r="R214" s="29" t="inlineStr">
        <is>
          <t>0.7398835550872951</t>
        </is>
      </c>
      <c r="S214" s="29" t="inlineStr">
        <is>
          <t>HIGH</t>
        </is>
      </c>
      <c r="T214" s="29" t="inlineStr">
        <is>
          <t>HIGH</t>
        </is>
      </c>
      <c r="U214" s="29" t="inlineStr">
        <is>
          <t>0.2857142857142857</t>
        </is>
      </c>
      <c r="V214" s="29" t="inlineStr">
        <is>
          <t>MEDIUM_RISK</t>
        </is>
      </c>
      <c r="W214" s="29" t="inlineStr">
        <is>
          <t>중위험</t>
        </is>
      </c>
      <c r="X214" s="29" t="inlineStr">
        <is>
          <t>MEDIUM_RISK</t>
        </is>
      </c>
      <c r="Y214" s="29" t="inlineStr">
        <is>
          <t>0.8321400367761521</t>
        </is>
      </c>
      <c r="Z214" s="29" t="inlineStr">
        <is>
          <t>HIGH</t>
        </is>
      </c>
      <c r="AA214" s="29" t="inlineStr">
        <is>
          <t>HIGH</t>
        </is>
      </c>
      <c r="AB214" s="29" t="inlineStr">
        <is>
          <t>0.06605777558134833</t>
        </is>
      </c>
      <c r="AC214" s="29" t="inlineStr">
        <is>
          <t>False</t>
        </is>
      </c>
      <c r="AD214" s="29" t="inlineStr">
        <is>
          <t>False</t>
        </is>
      </c>
      <c r="AE214" s="29" t="inlineStr">
        <is>
          <t>valuation_credit_ml_overlay_candidate.csv</t>
        </is>
      </c>
      <c r="AF214" s="29" t="inlineStr">
        <is>
          <t>208개 반도체 reference universe. Valuation Agent가 자체 intake 폴더로 복제해 Peer/ML/대시보드 비교에 사용.</t>
        </is>
      </c>
    </row>
    <row r="215" ht="24" customHeight="1">
      <c r="A215" s="24" t="inlineStr">
        <is>
          <t>46</t>
        </is>
      </c>
      <c r="B215" s="24" t="inlineStr">
        <is>
          <t>해당 없음</t>
        </is>
      </c>
      <c r="C215" s="24" t="inlineStr">
        <is>
          <t>라온로보틱스</t>
        </is>
      </c>
      <c r="D215" s="24" t="inlineStr">
        <is>
          <t>232680</t>
        </is>
      </c>
      <c r="E215" s="24" t="inlineStr">
        <is>
          <t>KOSDAQ</t>
        </is>
      </c>
      <c r="F215" s="24" t="inlineStr">
        <is>
          <t>팹리스/설계</t>
        </is>
      </c>
      <c r="G215" s="24" t="inlineStr">
        <is>
          <t>팹리스/설계</t>
        </is>
      </c>
      <c r="H215" s="24" t="inlineStr">
        <is>
          <t>False</t>
        </is>
      </c>
      <c r="I215" s="24" t="inlineStr">
        <is>
          <t>True</t>
        </is>
      </c>
      <c r="J215" s="24" t="inlineStr">
        <is>
          <t>OK</t>
        </is>
      </c>
      <c r="K215" s="24" t="inlineStr">
        <is>
          <t>데이터 사용 가능</t>
        </is>
      </c>
      <c r="L215" s="24" t="inlineStr">
        <is>
          <t>LOW</t>
        </is>
      </c>
      <c r="M215" s="24" t="inlineStr">
        <is>
          <t>LOW</t>
        </is>
      </c>
      <c r="N215" s="24" t="inlineStr">
        <is>
          <t>0.4745454545454545</t>
        </is>
      </c>
      <c r="O215" s="24" t="inlineStr">
        <is>
          <t>FAIR</t>
        </is>
      </c>
      <c r="P215" s="24" t="inlineStr">
        <is>
          <t>FAIR</t>
        </is>
      </c>
      <c r="Q215" s="24" t="inlineStr">
        <is>
          <t>FAIR</t>
        </is>
      </c>
      <c r="R215" s="24" t="inlineStr">
        <is>
          <t>0.7863374675167921</t>
        </is>
      </c>
      <c r="S215" s="24" t="inlineStr">
        <is>
          <t>HIGH</t>
        </is>
      </c>
      <c r="T215" s="24" t="inlineStr">
        <is>
          <t>HIGH</t>
        </is>
      </c>
      <c r="U215" s="24" t="inlineStr">
        <is>
          <t>0.1428571428571428</t>
        </is>
      </c>
      <c r="V215" s="24" t="inlineStr">
        <is>
          <t>LOW_RISK</t>
        </is>
      </c>
      <c r="W215" s="24" t="inlineStr">
        <is>
          <t>저위험</t>
        </is>
      </c>
      <c r="X215" s="24" t="inlineStr">
        <is>
          <t>LOW_RISK</t>
        </is>
      </c>
      <c r="Y215" s="24" t="inlineStr">
        <is>
          <t>0.6877521386643212</t>
        </is>
      </c>
      <c r="Z215" s="24" t="inlineStr">
        <is>
          <t>MEDIUM</t>
        </is>
      </c>
      <c r="AA215" s="24" t="inlineStr">
        <is>
          <t>MEDIUM</t>
        </is>
      </c>
      <c r="AB215" s="24" t="inlineStr">
        <is>
          <t>0.026169607074936322</t>
        </is>
      </c>
      <c r="AC215" s="24" t="inlineStr">
        <is>
          <t>False</t>
        </is>
      </c>
      <c r="AD215" s="24" t="inlineStr">
        <is>
          <t>False</t>
        </is>
      </c>
      <c r="AE215" s="24" t="inlineStr">
        <is>
          <t>valuation_credit_ml_overlay_candidate.csv</t>
        </is>
      </c>
      <c r="AF215" s="24" t="inlineStr">
        <is>
          <t>208개 반도체 reference universe. Valuation Agent가 자체 intake 폴더로 복제해 Peer/ML/대시보드 비교에 사용.</t>
        </is>
      </c>
    </row>
    <row r="216" ht="24" customHeight="1">
      <c r="A216" s="29" t="inlineStr">
        <is>
          <t>51</t>
        </is>
      </c>
      <c r="B216" s="29" t="inlineStr">
        <is>
          <t>해당 없음</t>
        </is>
      </c>
      <c r="C216" s="29" t="inlineStr">
        <is>
          <t>싸이닉솔루션</t>
        </is>
      </c>
      <c r="D216" s="29" t="inlineStr">
        <is>
          <t>234030</t>
        </is>
      </c>
      <c r="E216" s="29" t="inlineStr">
        <is>
          <t>KOSDAQ</t>
        </is>
      </c>
      <c r="F216" s="29" t="inlineStr">
        <is>
          <t>팹리스/설계</t>
        </is>
      </c>
      <c r="G216" s="29" t="inlineStr">
        <is>
          <t>팹리스/설계</t>
        </is>
      </c>
      <c r="H216" s="29" t="inlineStr">
        <is>
          <t>False</t>
        </is>
      </c>
      <c r="I216" s="29" t="inlineStr">
        <is>
          <t>True</t>
        </is>
      </c>
      <c r="J216" s="29" t="inlineStr">
        <is>
          <t>OK_LIMITED_HISTORY_OR_GROWTH_NA</t>
        </is>
      </c>
      <c r="K216" s="29" t="inlineStr">
        <is>
          <t>데이터 사용 가능</t>
        </is>
      </c>
      <c r="L216" s="29" t="inlineStr">
        <is>
          <t>LOW</t>
        </is>
      </c>
      <c r="M216" s="29" t="inlineStr">
        <is>
          <t>LOW</t>
        </is>
      </c>
      <c r="N216" s="29" t="inlineStr">
        <is>
          <t>0.4670707070707071</t>
        </is>
      </c>
      <c r="O216" s="29" t="inlineStr">
        <is>
          <t>FAIR</t>
        </is>
      </c>
      <c r="P216" s="29" t="inlineStr">
        <is>
          <t>FAIR</t>
        </is>
      </c>
      <c r="Q216" s="29" t="inlineStr">
        <is>
          <t>FAIR</t>
        </is>
      </c>
      <c r="R216" s="29" t="inlineStr">
        <is>
          <t>0.7962034217650586</t>
        </is>
      </c>
      <c r="S216" s="29" t="inlineStr">
        <is>
          <t>HIGH</t>
        </is>
      </c>
      <c r="T216" s="29" t="inlineStr">
        <is>
          <t>HIGH</t>
        </is>
      </c>
      <c r="U216" s="29" t="inlineStr">
        <is>
          <t>0.3571428571428571</t>
        </is>
      </c>
      <c r="V216" s="29" t="inlineStr">
        <is>
          <t>MEDIUM_RISK</t>
        </is>
      </c>
      <c r="W216" s="29" t="inlineStr">
        <is>
          <t>중위험</t>
        </is>
      </c>
      <c r="X216" s="29" t="inlineStr">
        <is>
          <t>MEDIUM_RISK</t>
        </is>
      </c>
      <c r="Y216" s="29" t="inlineStr">
        <is>
          <t>0.7381251250014311</t>
        </is>
      </c>
      <c r="Z216" s="29" t="inlineStr">
        <is>
          <t>HIGH</t>
        </is>
      </c>
      <c r="AA216" s="29" t="inlineStr">
        <is>
          <t>HIGH</t>
        </is>
      </c>
      <c r="AB216" s="29" t="inlineStr">
        <is>
          <t>0.06902922032160619</t>
        </is>
      </c>
      <c r="AC216" s="29" t="inlineStr">
        <is>
          <t>False</t>
        </is>
      </c>
      <c r="AD216" s="29" t="inlineStr">
        <is>
          <t>True</t>
        </is>
      </c>
      <c r="AE216" s="29" t="inlineStr">
        <is>
          <t>valuation_credit_ml_overlay_candidate.csv</t>
        </is>
      </c>
      <c r="AF216" s="29" t="inlineStr">
        <is>
          <t>208개 반도체 reference universe. Valuation Agent가 자체 intake 폴더로 복제해 Peer/ML/대시보드 비교에 사용.</t>
        </is>
      </c>
    </row>
    <row r="217" ht="24" customHeight="1">
      <c r="A217" s="24" t="inlineStr">
        <is>
          <t>56</t>
        </is>
      </c>
      <c r="B217" s="24" t="inlineStr">
        <is>
          <t>해당 없음</t>
        </is>
      </c>
      <c r="C217" s="24" t="inlineStr">
        <is>
          <t>아이언디바이스</t>
        </is>
      </c>
      <c r="D217" s="24" t="inlineStr">
        <is>
          <t>464500</t>
        </is>
      </c>
      <c r="E217" s="24" t="inlineStr">
        <is>
          <t>KOSDAQ</t>
        </is>
      </c>
      <c r="F217" s="24" t="inlineStr">
        <is>
          <t>팹리스/설계</t>
        </is>
      </c>
      <c r="G217" s="24" t="inlineStr">
        <is>
          <t>팹리스/설계</t>
        </is>
      </c>
      <c r="H217" s="24" t="inlineStr">
        <is>
          <t>False</t>
        </is>
      </c>
      <c r="I217" s="24" t="inlineStr">
        <is>
          <t>True</t>
        </is>
      </c>
      <c r="J217" s="24" t="inlineStr">
        <is>
          <t>OK_LIMITED_HISTORY_OR_GROWTH_NA</t>
        </is>
      </c>
      <c r="K217" s="24" t="inlineStr">
        <is>
          <t>데이터 사용 가능</t>
        </is>
      </c>
      <c r="L217" s="24" t="inlineStr">
        <is>
          <t>LOW</t>
        </is>
      </c>
      <c r="M217" s="24" t="inlineStr">
        <is>
          <t>LOW</t>
        </is>
      </c>
      <c r="N217" s="24" t="inlineStr">
        <is>
          <t>0.4278787878787879</t>
        </is>
      </c>
      <c r="O217" s="24" t="inlineStr">
        <is>
          <t>FAIR</t>
        </is>
      </c>
      <c r="P217" s="24" t="inlineStr">
        <is>
          <t>FAIR</t>
        </is>
      </c>
      <c r="Q217" s="24" t="inlineStr">
        <is>
          <t>EXPENSIVE</t>
        </is>
      </c>
      <c r="R217" s="24" t="inlineStr">
        <is>
          <t>0.767854918982104</t>
        </is>
      </c>
      <c r="S217" s="24" t="inlineStr">
        <is>
          <t>HIGH</t>
        </is>
      </c>
      <c r="T217" s="24" t="inlineStr">
        <is>
          <t>HIGH</t>
        </is>
      </c>
      <c r="U217" s="24" t="inlineStr">
        <is>
          <t>0.5714285714285714</t>
        </is>
      </c>
      <c r="V217" s="24" t="inlineStr">
        <is>
          <t>HIGH_RISK</t>
        </is>
      </c>
      <c r="W217" s="24" t="inlineStr">
        <is>
          <t>고위험</t>
        </is>
      </c>
      <c r="X217" s="24" t="inlineStr">
        <is>
          <t>HIGH_RISK</t>
        </is>
      </c>
      <c r="Y217" s="24" t="inlineStr">
        <is>
          <t>0.9669454138137473</t>
        </is>
      </c>
      <c r="Z217" s="24" t="inlineStr">
        <is>
          <t>HIGH</t>
        </is>
      </c>
      <c r="AA217" s="24" t="inlineStr">
        <is>
          <t>HIGH</t>
        </is>
      </c>
      <c r="AB217" s="24" t="inlineStr">
        <is>
          <t>0.37904191381671964</t>
        </is>
      </c>
      <c r="AC217" s="24" t="inlineStr">
        <is>
          <t>True</t>
        </is>
      </c>
      <c r="AD217" s="24" t="inlineStr">
        <is>
          <t>True</t>
        </is>
      </c>
      <c r="AE217" s="24" t="inlineStr">
        <is>
          <t>valuation_credit_ml_overlay_candidate.csv</t>
        </is>
      </c>
      <c r="AF217" s="24" t="inlineStr">
        <is>
          <t>208개 반도체 reference universe. Valuation Agent가 자체 intake 폴더로 복제해 Peer/ML/대시보드 비교에 사용.</t>
        </is>
      </c>
    </row>
    <row r="218" ht="24" customHeight="1">
      <c r="A218" s="29" t="inlineStr">
        <is>
          <t>52</t>
        </is>
      </c>
      <c r="B218" s="29" t="inlineStr">
        <is>
          <t>해당 없음</t>
        </is>
      </c>
      <c r="C218" s="29" t="inlineStr">
        <is>
          <t>쓰리에이로직스</t>
        </is>
      </c>
      <c r="D218" s="29" t="inlineStr">
        <is>
          <t>177900</t>
        </is>
      </c>
      <c r="E218" s="29" t="inlineStr">
        <is>
          <t>KOSDAQ</t>
        </is>
      </c>
      <c r="F218" s="29" t="inlineStr">
        <is>
          <t>팹리스/설계</t>
        </is>
      </c>
      <c r="G218" s="29" t="inlineStr">
        <is>
          <t>팹리스/설계</t>
        </is>
      </c>
      <c r="H218" s="29" t="inlineStr">
        <is>
          <t>False</t>
        </is>
      </c>
      <c r="I218" s="29" t="inlineStr">
        <is>
          <t>True</t>
        </is>
      </c>
      <c r="J218" s="29" t="inlineStr">
        <is>
          <t>OK_LIMITED_HISTORY_OR_GROWTH_NA</t>
        </is>
      </c>
      <c r="K218" s="29" t="inlineStr">
        <is>
          <t>데이터 사용 가능</t>
        </is>
      </c>
      <c r="L218" s="29" t="inlineStr">
        <is>
          <t>LOW</t>
        </is>
      </c>
      <c r="M218" s="29" t="inlineStr">
        <is>
          <t>LOW</t>
        </is>
      </c>
      <c r="N218" s="29" t="inlineStr">
        <is>
          <t>0.4266666666666666</t>
        </is>
      </c>
      <c r="O218" s="29" t="inlineStr">
        <is>
          <t>FAIR</t>
        </is>
      </c>
      <c r="P218" s="29" t="inlineStr">
        <is>
          <t>FAIR</t>
        </is>
      </c>
      <c r="Q218" s="29" t="inlineStr">
        <is>
          <t>EXPENSIVE</t>
        </is>
      </c>
      <c r="R218" s="29" t="inlineStr">
        <is>
          <t>0.5793703556022938</t>
        </is>
      </c>
      <c r="S218" s="29" t="inlineStr">
        <is>
          <t>MEDIUM</t>
        </is>
      </c>
      <c r="T218" s="29" t="inlineStr">
        <is>
          <t>MEDIUM</t>
        </is>
      </c>
      <c r="U218" s="29" t="inlineStr">
        <is>
          <t>0.5714285714285714</t>
        </is>
      </c>
      <c r="V218" s="29" t="inlineStr">
        <is>
          <t>HIGH_RISK</t>
        </is>
      </c>
      <c r="W218" s="29" t="inlineStr">
        <is>
          <t>고위험</t>
        </is>
      </c>
      <c r="X218" s="29" t="inlineStr">
        <is>
          <t>HIGH_RISK</t>
        </is>
      </c>
      <c r="Y218" s="29" t="inlineStr">
        <is>
          <t>0.947298040301951</t>
        </is>
      </c>
      <c r="Z218" s="29" t="inlineStr">
        <is>
          <t>HIGH</t>
        </is>
      </c>
      <c r="AA218" s="29" t="inlineStr">
        <is>
          <t>HIGH</t>
        </is>
      </c>
      <c r="AB218" s="29" t="inlineStr">
        <is>
          <t>0.09970421258194967</t>
        </is>
      </c>
      <c r="AC218" s="29" t="inlineStr">
        <is>
          <t>False</t>
        </is>
      </c>
      <c r="AD218" s="29" t="inlineStr">
        <is>
          <t>True</t>
        </is>
      </c>
      <c r="AE218" s="29" t="inlineStr">
        <is>
          <t>valuation_credit_ml_overlay_candidate.csv</t>
        </is>
      </c>
      <c r="AF218" s="29" t="inlineStr">
        <is>
          <t>208개 반도체 reference universe. Valuation Agent가 자체 intake 폴더로 복제해 Peer/ML/대시보드 비교에 사용.</t>
        </is>
      </c>
    </row>
    <row r="219" ht="24" customHeight="1">
      <c r="A219" s="24" t="inlineStr">
        <is>
          <t>43</t>
        </is>
      </c>
      <c r="B219" s="24" t="inlineStr">
        <is>
          <t>해당 없음</t>
        </is>
      </c>
      <c r="C219" s="24" t="inlineStr">
        <is>
          <t>넥스트칩</t>
        </is>
      </c>
      <c r="D219" s="24" t="inlineStr">
        <is>
          <t>396270</t>
        </is>
      </c>
      <c r="E219" s="24" t="inlineStr">
        <is>
          <t>KOSDAQ</t>
        </is>
      </c>
      <c r="F219" s="24" t="inlineStr">
        <is>
          <t>팹리스/설계</t>
        </is>
      </c>
      <c r="G219" s="24" t="inlineStr">
        <is>
          <t>팹리스/설계</t>
        </is>
      </c>
      <c r="H219" s="24" t="inlineStr">
        <is>
          <t>False</t>
        </is>
      </c>
      <c r="I219" s="24" t="inlineStr">
        <is>
          <t>True</t>
        </is>
      </c>
      <c r="J219" s="24" t="inlineStr">
        <is>
          <t>OK</t>
        </is>
      </c>
      <c r="K219" s="24" t="inlineStr">
        <is>
          <t>데이터 사용 가능</t>
        </is>
      </c>
      <c r="L219" s="24" t="inlineStr">
        <is>
          <t>LOW</t>
        </is>
      </c>
      <c r="M219" s="24" t="inlineStr">
        <is>
          <t>LOW</t>
        </is>
      </c>
      <c r="N219" s="24" t="inlineStr">
        <is>
          <t>0.3743434343434344</t>
        </is>
      </c>
      <c r="O219" s="24" t="inlineStr">
        <is>
          <t>EXPENSIVE</t>
        </is>
      </c>
      <c r="P219" s="24" t="inlineStr">
        <is>
          <t>EXPENSIVE</t>
        </is>
      </c>
      <c r="Q219" s="24" t="inlineStr">
        <is>
          <t>EXPENSIVE</t>
        </is>
      </c>
      <c r="R219" s="24" t="inlineStr">
        <is>
          <t>0.9380466040149497</t>
        </is>
      </c>
      <c r="S219" s="24" t="inlineStr">
        <is>
          <t>HIGH</t>
        </is>
      </c>
      <c r="T219" s="24" t="inlineStr">
        <is>
          <t>HIGH</t>
        </is>
      </c>
      <c r="U219" s="24" t="inlineStr">
        <is>
          <t>0.7142857142857143</t>
        </is>
      </c>
      <c r="V219" s="24" t="inlineStr">
        <is>
          <t>HIGH_RISK</t>
        </is>
      </c>
      <c r="W219" s="24" t="inlineStr">
        <is>
          <t>고위험</t>
        </is>
      </c>
      <c r="X219" s="24" t="inlineStr">
        <is>
          <t>HIGH_RISK</t>
        </is>
      </c>
      <c r="Y219" s="24" t="inlineStr">
        <is>
          <t>0.9903921975513593</t>
        </is>
      </c>
      <c r="Z219" s="24" t="inlineStr">
        <is>
          <t>HIGH</t>
        </is>
      </c>
      <c r="AA219" s="24" t="inlineStr">
        <is>
          <t>HIGH</t>
        </is>
      </c>
      <c r="AB219" s="24" t="inlineStr">
        <is>
          <t>0.35370954409664757</t>
        </is>
      </c>
      <c r="AC219" s="24" t="inlineStr">
        <is>
          <t>True</t>
        </is>
      </c>
      <c r="AD219" s="24" t="inlineStr">
        <is>
          <t>True</t>
        </is>
      </c>
      <c r="AE219" s="24" t="inlineStr">
        <is>
          <t>valuation_credit_ml_overlay_candidate.csv</t>
        </is>
      </c>
      <c r="AF219" s="24" t="inlineStr">
        <is>
          <t>208개 반도체 reference universe. Valuation Agent가 자체 intake 폴더로 복제해 Peer/ML/대시보드 비교에 사용.</t>
        </is>
      </c>
    </row>
    <row r="220" ht="24" customHeight="1">
      <c r="A220" s="29" t="inlineStr">
        <is>
          <t>49</t>
        </is>
      </c>
      <c r="B220" s="29" t="inlineStr">
        <is>
          <t>해당 없음</t>
        </is>
      </c>
      <c r="C220" s="29" t="inlineStr">
        <is>
          <t>사피엔반도체</t>
        </is>
      </c>
      <c r="D220" s="29" t="inlineStr">
        <is>
          <t>452430</t>
        </is>
      </c>
      <c r="E220" s="29" t="inlineStr">
        <is>
          <t>KOSDAQ</t>
        </is>
      </c>
      <c r="F220" s="29" t="inlineStr">
        <is>
          <t>팹리스/설계</t>
        </is>
      </c>
      <c r="G220" s="29" t="inlineStr">
        <is>
          <t>팹리스/설계</t>
        </is>
      </c>
      <c r="H220" s="29" t="inlineStr">
        <is>
          <t>False</t>
        </is>
      </c>
      <c r="I220" s="29" t="inlineStr">
        <is>
          <t>True</t>
        </is>
      </c>
      <c r="J220" s="29" t="inlineStr">
        <is>
          <t>OK_LIMITED_HISTORY_OR_GROWTH_NA</t>
        </is>
      </c>
      <c r="K220" s="29" t="inlineStr">
        <is>
          <t>데이터 사용 가능</t>
        </is>
      </c>
      <c r="L220" s="29" t="inlineStr">
        <is>
          <t>LOW</t>
        </is>
      </c>
      <c r="M220" s="29" t="inlineStr">
        <is>
          <t>LOW</t>
        </is>
      </c>
      <c r="N220" s="29" t="inlineStr">
        <is>
          <t>0.3721212121212121</t>
        </is>
      </c>
      <c r="O220" s="29" t="inlineStr">
        <is>
          <t>EXPENSIVE</t>
        </is>
      </c>
      <c r="P220" s="29" t="inlineStr">
        <is>
          <t>EXPENSIVE</t>
        </is>
      </c>
      <c r="Q220" s="29" t="inlineStr">
        <is>
          <t>EXPENSIVE</t>
        </is>
      </c>
      <c r="R220" s="29" t="inlineStr">
        <is>
          <t>0.8482781866315999</t>
        </is>
      </c>
      <c r="S220" s="29" t="inlineStr">
        <is>
          <t>HIGH</t>
        </is>
      </c>
      <c r="T220" s="29" t="inlineStr">
        <is>
          <t>HIGH</t>
        </is>
      </c>
      <c r="U220" s="29" t="inlineStr">
        <is>
          <t>0.5714285714285714</t>
        </is>
      </c>
      <c r="V220" s="29" t="inlineStr">
        <is>
          <t>HIGH_RISK</t>
        </is>
      </c>
      <c r="W220" s="29" t="inlineStr">
        <is>
          <t>고위험</t>
        </is>
      </c>
      <c r="X220" s="29" t="inlineStr">
        <is>
          <t>MEDIUM_RISK</t>
        </is>
      </c>
      <c r="Y220" s="29" t="inlineStr">
        <is>
          <t>0.5745685064585346</t>
        </is>
      </c>
      <c r="Z220" s="29" t="inlineStr">
        <is>
          <t>MEDIUM</t>
        </is>
      </c>
      <c r="AA220" s="29" t="inlineStr">
        <is>
          <t>MEDIUM</t>
        </is>
      </c>
      <c r="AB220" s="29" t="inlineStr">
        <is>
          <t>0.12187984427462309</t>
        </is>
      </c>
      <c r="AC220" s="29" t="inlineStr">
        <is>
          <t>False</t>
        </is>
      </c>
      <c r="AD220" s="29" t="inlineStr">
        <is>
          <t>True</t>
        </is>
      </c>
      <c r="AE220" s="29" t="inlineStr">
        <is>
          <t>valuation_credit_ml_overlay_candidate.csv</t>
        </is>
      </c>
      <c r="AF220" s="29" t="inlineStr">
        <is>
          <t>208개 반도체 reference universe. Valuation Agent가 자체 intake 폴더로 복제해 Peer/ML/대시보드 비교에 사용.</t>
        </is>
      </c>
    </row>
    <row r="221" ht="24" customHeight="1">
      <c r="A221" s="24" t="inlineStr">
        <is>
          <t>44</t>
        </is>
      </c>
      <c r="B221" s="24" t="inlineStr">
        <is>
          <t>해당 없음</t>
        </is>
      </c>
      <c r="C221" s="24" t="inlineStr">
        <is>
          <t>동운아나텍</t>
        </is>
      </c>
      <c r="D221" s="24" t="inlineStr">
        <is>
          <t>094170</t>
        </is>
      </c>
      <c r="E221" s="24" t="inlineStr">
        <is>
          <t>KOSDAQ</t>
        </is>
      </c>
      <c r="F221" s="24" t="inlineStr">
        <is>
          <t>팹리스/설계</t>
        </is>
      </c>
      <c r="G221" s="24" t="inlineStr">
        <is>
          <t>팹리스/설계</t>
        </is>
      </c>
      <c r="H221" s="24" t="inlineStr">
        <is>
          <t>False</t>
        </is>
      </c>
      <c r="I221" s="24" t="inlineStr">
        <is>
          <t>True</t>
        </is>
      </c>
      <c r="J221" s="24" t="inlineStr">
        <is>
          <t>OK</t>
        </is>
      </c>
      <c r="K221" s="24" t="inlineStr">
        <is>
          <t>데이터 사용 가능</t>
        </is>
      </c>
      <c r="L221" s="24" t="inlineStr">
        <is>
          <t>LOW</t>
        </is>
      </c>
      <c r="M221" s="24" t="inlineStr">
        <is>
          <t>LOW</t>
        </is>
      </c>
      <c r="N221" s="24" t="inlineStr">
        <is>
          <t>0.3670707070707071</t>
        </is>
      </c>
      <c r="O221" s="24" t="inlineStr">
        <is>
          <t>EXPENSIVE</t>
        </is>
      </c>
      <c r="P221" s="24" t="inlineStr">
        <is>
          <t>EXPENSIVE</t>
        </is>
      </c>
      <c r="Q221" s="24" t="inlineStr">
        <is>
          <t>EXPENSIVE</t>
        </is>
      </c>
      <c r="R221" s="24" t="inlineStr">
        <is>
          <t>0.4894423516429773</t>
        </is>
      </c>
      <c r="S221" s="24" t="inlineStr">
        <is>
          <t>LOW</t>
        </is>
      </c>
      <c r="T221" s="24" t="inlineStr">
        <is>
          <t>LOW</t>
        </is>
      </c>
      <c r="U221" s="24" t="inlineStr">
        <is>
          <t>0.2142857142857142</t>
        </is>
      </c>
      <c r="V221" s="24" t="inlineStr">
        <is>
          <t>MEDIUM_RISK</t>
        </is>
      </c>
      <c r="W221" s="24" t="inlineStr">
        <is>
          <t>중위험</t>
        </is>
      </c>
      <c r="X221" s="24" t="inlineStr">
        <is>
          <t>MEDIUM_RISK</t>
        </is>
      </c>
      <c r="Y221" s="24" t="inlineStr">
        <is>
          <t>0.5063531969196903</t>
        </is>
      </c>
      <c r="Z221" s="24" t="inlineStr">
        <is>
          <t>MEDIUM</t>
        </is>
      </c>
      <c r="AA221" s="24" t="inlineStr">
        <is>
          <t>MEDIUM</t>
        </is>
      </c>
      <c r="AB221" s="24" t="inlineStr">
        <is>
          <t>0.09811976029987664</t>
        </is>
      </c>
      <c r="AC221" s="24" t="inlineStr">
        <is>
          <t>False</t>
        </is>
      </c>
      <c r="AD221" s="24" t="inlineStr">
        <is>
          <t>True</t>
        </is>
      </c>
      <c r="AE221" s="24" t="inlineStr">
        <is>
          <t>valuation_credit_ml_overlay_candidate.csv</t>
        </is>
      </c>
      <c r="AF221" s="24" t="inlineStr">
        <is>
          <t>208개 반도체 reference universe. Valuation Agent가 자체 intake 폴더로 복제해 Peer/ML/대시보드 비교에 사용.</t>
        </is>
      </c>
    </row>
    <row r="222" ht="24" customHeight="1">
      <c r="A222" s="29" t="inlineStr">
        <is>
          <t>50</t>
        </is>
      </c>
      <c r="B222" s="29" t="inlineStr">
        <is>
          <t>해당 없음</t>
        </is>
      </c>
      <c r="C222" s="29" t="inlineStr">
        <is>
          <t>세미파이브</t>
        </is>
      </c>
      <c r="D222" s="29" t="inlineStr">
        <is>
          <t>490470</t>
        </is>
      </c>
      <c r="E222" s="29" t="inlineStr">
        <is>
          <t>KOSDAQ</t>
        </is>
      </c>
      <c r="F222" s="29" t="inlineStr">
        <is>
          <t>팹리스/설계</t>
        </is>
      </c>
      <c r="G222" s="29" t="inlineStr">
        <is>
          <t>팹리스/설계</t>
        </is>
      </c>
      <c r="H222" s="29" t="inlineStr">
        <is>
          <t>False</t>
        </is>
      </c>
      <c r="I222" s="29" t="inlineStr">
        <is>
          <t>True</t>
        </is>
      </c>
      <c r="J222" s="29" t="inlineStr">
        <is>
          <t>OK_LIMITED_HISTORY_OR_GROWTH_NA</t>
        </is>
      </c>
      <c r="K222" s="29" t="inlineStr">
        <is>
          <t>데이터 사용 가능</t>
        </is>
      </c>
      <c r="L222" s="29" t="inlineStr">
        <is>
          <t>LOW</t>
        </is>
      </c>
      <c r="M222" s="29" t="inlineStr">
        <is>
          <t>LOW</t>
        </is>
      </c>
      <c r="N222" s="29" t="inlineStr">
        <is>
          <t>0.3646464646464646</t>
        </is>
      </c>
      <c r="O222" s="29" t="inlineStr">
        <is>
          <t>EXPENSIVE</t>
        </is>
      </c>
      <c r="P222" s="29" t="inlineStr">
        <is>
          <t>EXPENSIVE</t>
        </is>
      </c>
      <c r="Q222" s="29" t="inlineStr">
        <is>
          <t>EXPENSIVE</t>
        </is>
      </c>
      <c r="R222" s="29" t="inlineStr">
        <is>
          <t>0.9277538303818181</t>
        </is>
      </c>
      <c r="S222" s="29" t="inlineStr">
        <is>
          <t>HIGH</t>
        </is>
      </c>
      <c r="T222" s="29" t="inlineStr">
        <is>
          <t>HIGH</t>
        </is>
      </c>
      <c r="U222" s="29" t="inlineStr">
        <is>
          <t>0.5</t>
        </is>
      </c>
      <c r="V222" s="29" t="inlineStr">
        <is>
          <t>HIGH_RISK</t>
        </is>
      </c>
      <c r="W222" s="29" t="inlineStr">
        <is>
          <t>고위험</t>
        </is>
      </c>
      <c r="X222" s="29" t="inlineStr">
        <is>
          <t>HIGH_RISK</t>
        </is>
      </c>
      <c r="Y222" s="29" t="inlineStr">
        <is>
          <t>0.8726925242668786</t>
        </is>
      </c>
      <c r="Z222" s="29" t="inlineStr">
        <is>
          <t>HIGH</t>
        </is>
      </c>
      <c r="AA222" s="29" t="inlineStr">
        <is>
          <t>HIGH</t>
        </is>
      </c>
      <c r="AB222" s="29" t="inlineStr">
        <is>
          <t>0.10138163372341347</t>
        </is>
      </c>
      <c r="AC222" s="29" t="inlineStr">
        <is>
          <t>False</t>
        </is>
      </c>
      <c r="AD222" s="29" t="inlineStr">
        <is>
          <t>True</t>
        </is>
      </c>
      <c r="AE222" s="29" t="inlineStr">
        <is>
          <t>valuation_credit_ml_overlay_candidate.csv</t>
        </is>
      </c>
      <c r="AF222" s="29" t="inlineStr">
        <is>
          <t>208개 반도체 reference universe. Valuation Agent가 자체 intake 폴더로 복제해 Peer/ML/대시보드 비교에 사용.</t>
        </is>
      </c>
    </row>
    <row r="223" ht="24" customHeight="1">
      <c r="A223" s="24" t="inlineStr">
        <is>
          <t>63</t>
        </is>
      </c>
      <c r="B223" s="24" t="inlineStr">
        <is>
          <t>해당 없음</t>
        </is>
      </c>
      <c r="C223" s="24" t="inlineStr">
        <is>
          <t>에이직랜드</t>
        </is>
      </c>
      <c r="D223" s="24" t="inlineStr">
        <is>
          <t>445090</t>
        </is>
      </c>
      <c r="E223" s="24" t="inlineStr">
        <is>
          <t>KOSDAQ</t>
        </is>
      </c>
      <c r="F223" s="24" t="inlineStr">
        <is>
          <t>팹리스/설계</t>
        </is>
      </c>
      <c r="G223" s="24" t="inlineStr">
        <is>
          <t>팹리스/설계</t>
        </is>
      </c>
      <c r="H223" s="24" t="inlineStr">
        <is>
          <t>False</t>
        </is>
      </c>
      <c r="I223" s="24" t="inlineStr">
        <is>
          <t>True</t>
        </is>
      </c>
      <c r="J223" s="24" t="inlineStr">
        <is>
          <t>OK_LIMITED_HISTORY_OR_GROWTH_NA</t>
        </is>
      </c>
      <c r="K223" s="24" t="inlineStr">
        <is>
          <t>데이터 사용 가능</t>
        </is>
      </c>
      <c r="L223" s="24" t="inlineStr">
        <is>
          <t>LOW</t>
        </is>
      </c>
      <c r="M223" s="24" t="inlineStr">
        <is>
          <t>LOW</t>
        </is>
      </c>
      <c r="N223" s="24" t="inlineStr">
        <is>
          <t>0.3294949494949495</t>
        </is>
      </c>
      <c r="O223" s="24" t="inlineStr">
        <is>
          <t>EXPENSIVE</t>
        </is>
      </c>
      <c r="P223" s="24" t="inlineStr">
        <is>
          <t>EXPENSIVE</t>
        </is>
      </c>
      <c r="Q223" s="24" t="inlineStr">
        <is>
          <t>EXPENSIVE</t>
        </is>
      </c>
      <c r="R223" s="24" t="inlineStr">
        <is>
          <t>0.9058303131641584</t>
        </is>
      </c>
      <c r="S223" s="24" t="inlineStr">
        <is>
          <t>HIGH</t>
        </is>
      </c>
      <c r="T223" s="24" t="inlineStr">
        <is>
          <t>HIGH</t>
        </is>
      </c>
      <c r="U223" s="24" t="inlineStr">
        <is>
          <t>0.7857142857142857</t>
        </is>
      </c>
      <c r="V223" s="24" t="inlineStr">
        <is>
          <t>HIGH_RISK</t>
        </is>
      </c>
      <c r="W223" s="24" t="inlineStr">
        <is>
          <t>고위험</t>
        </is>
      </c>
      <c r="X223" s="24" t="inlineStr">
        <is>
          <t>HIGH_RISK</t>
        </is>
      </c>
      <c r="Y223" s="24" t="inlineStr">
        <is>
          <t>0.9947590219356869</t>
        </is>
      </c>
      <c r="Z223" s="24" t="inlineStr">
        <is>
          <t>HIGH</t>
        </is>
      </c>
      <c r="AA223" s="24" t="inlineStr">
        <is>
          <t>HIGH</t>
        </is>
      </c>
      <c r="AB223" s="24" t="inlineStr">
        <is>
          <t>0.22322767104490657</t>
        </is>
      </c>
      <c r="AC223" s="24" t="inlineStr">
        <is>
          <t>False</t>
        </is>
      </c>
      <c r="AD223" s="24" t="inlineStr">
        <is>
          <t>True</t>
        </is>
      </c>
      <c r="AE223" s="24" t="inlineStr">
        <is>
          <t>valuation_credit_ml_overlay_candidate.csv</t>
        </is>
      </c>
      <c r="AF223" s="24" t="inlineStr">
        <is>
          <t>208개 반도체 reference universe. Valuation Agent가 자체 intake 폴더로 복제해 Peer/ML/대시보드 비교에 사용.</t>
        </is>
      </c>
    </row>
    <row r="224" ht="24" customHeight="1">
      <c r="A224" s="29" t="inlineStr">
        <is>
          <t>45</t>
        </is>
      </c>
      <c r="B224" s="29" t="inlineStr">
        <is>
          <t>해당 없음</t>
        </is>
      </c>
      <c r="C224" s="29" t="inlineStr">
        <is>
          <t>라닉스</t>
        </is>
      </c>
      <c r="D224" s="29" t="inlineStr">
        <is>
          <t>317120</t>
        </is>
      </c>
      <c r="E224" s="29" t="inlineStr">
        <is>
          <t>KOSDAQ</t>
        </is>
      </c>
      <c r="F224" s="29" t="inlineStr">
        <is>
          <t>팹리스/설계</t>
        </is>
      </c>
      <c r="G224" s="29" t="inlineStr">
        <is>
          <t>팹리스/설계</t>
        </is>
      </c>
      <c r="H224" s="29" t="inlineStr">
        <is>
          <t>False</t>
        </is>
      </c>
      <c r="I224" s="29" t="inlineStr">
        <is>
          <t>True</t>
        </is>
      </c>
      <c r="J224" s="29" t="inlineStr">
        <is>
          <t>OK</t>
        </is>
      </c>
      <c r="K224" s="29" t="inlineStr">
        <is>
          <t>데이터 사용 가능</t>
        </is>
      </c>
      <c r="L224" s="29" t="inlineStr">
        <is>
          <t>LOW</t>
        </is>
      </c>
      <c r="M224" s="29" t="inlineStr">
        <is>
          <t>LOW</t>
        </is>
      </c>
      <c r="N224" s="29" t="inlineStr">
        <is>
          <t>0.3208080808080809</t>
        </is>
      </c>
      <c r="O224" s="29" t="inlineStr">
        <is>
          <t>EXPENSIVE</t>
        </is>
      </c>
      <c r="P224" s="29" t="inlineStr">
        <is>
          <t>EXPENSIVE</t>
        </is>
      </c>
      <c r="Q224" s="29" t="inlineStr">
        <is>
          <t>EXPENSIVE</t>
        </is>
      </c>
      <c r="R224" s="29" t="inlineStr">
        <is>
          <t>0.9281808400807596</t>
        </is>
      </c>
      <c r="S224" s="29" t="inlineStr">
        <is>
          <t>HIGH</t>
        </is>
      </c>
      <c r="T224" s="29" t="inlineStr">
        <is>
          <t>HIGH</t>
        </is>
      </c>
      <c r="U224" s="29" t="inlineStr">
        <is>
          <t>0.7142857142857143</t>
        </is>
      </c>
      <c r="V224" s="29" t="inlineStr">
        <is>
          <t>HIGH_RISK</t>
        </is>
      </c>
      <c r="W224" s="29" t="inlineStr">
        <is>
          <t>고위험</t>
        </is>
      </c>
      <c r="X224" s="29" t="inlineStr">
        <is>
          <t>HIGH_RISK</t>
        </is>
      </c>
      <c r="Y224" s="29" t="inlineStr">
        <is>
          <t>0.9891542031597422</t>
        </is>
      </c>
      <c r="Z224" s="29" t="inlineStr">
        <is>
          <t>HIGH</t>
        </is>
      </c>
      <c r="AA224" s="29" t="inlineStr">
        <is>
          <t>HIGH</t>
        </is>
      </c>
      <c r="AB224" s="29" t="inlineStr">
        <is>
          <t>0.2722138190712409</t>
        </is>
      </c>
      <c r="AC224" s="29" t="inlineStr">
        <is>
          <t>True</t>
        </is>
      </c>
      <c r="AD224" s="29" t="inlineStr">
        <is>
          <t>True</t>
        </is>
      </c>
      <c r="AE224" s="29" t="inlineStr">
        <is>
          <t>valuation_credit_ml_overlay_candidate.csv</t>
        </is>
      </c>
      <c r="AF224" s="29" t="inlineStr">
        <is>
          <t>208개 반도체 reference universe. Valuation Agent가 자체 intake 폴더로 복제해 Peer/ML/대시보드 비교에 사용.</t>
        </is>
      </c>
    </row>
    <row r="225" ht="24" customHeight="1">
      <c r="A225" s="24" t="inlineStr">
        <is>
          <t>42</t>
        </is>
      </c>
      <c r="B225" s="24" t="inlineStr">
        <is>
          <t>해당 없음</t>
        </is>
      </c>
      <c r="C225" s="24" t="inlineStr">
        <is>
          <t>가온칩스</t>
        </is>
      </c>
      <c r="D225" s="24" t="inlineStr">
        <is>
          <t>399720</t>
        </is>
      </c>
      <c r="E225" s="24" t="inlineStr">
        <is>
          <t>KOSDAQ</t>
        </is>
      </c>
      <c r="F225" s="24" t="inlineStr">
        <is>
          <t>팹리스/설계</t>
        </is>
      </c>
      <c r="G225" s="24" t="inlineStr">
        <is>
          <t>팹리스/설계</t>
        </is>
      </c>
      <c r="H225" s="24" t="inlineStr">
        <is>
          <t>False</t>
        </is>
      </c>
      <c r="I225" s="24" t="inlineStr">
        <is>
          <t>True</t>
        </is>
      </c>
      <c r="J225" s="24" t="inlineStr">
        <is>
          <t>OK</t>
        </is>
      </c>
      <c r="K225" s="24" t="inlineStr">
        <is>
          <t>데이터 사용 가능</t>
        </is>
      </c>
      <c r="L225" s="24" t="inlineStr">
        <is>
          <t>LOW</t>
        </is>
      </c>
      <c r="M225" s="24" t="inlineStr">
        <is>
          <t>LOW</t>
        </is>
      </c>
      <c r="N225" s="24" t="inlineStr">
        <is>
          <t>0.3119191919191919</t>
        </is>
      </c>
      <c r="O225" s="24" t="inlineStr">
        <is>
          <t>EXPENSIVE</t>
        </is>
      </c>
      <c r="P225" s="24" t="inlineStr">
        <is>
          <t>EXPENSIVE</t>
        </is>
      </c>
      <c r="Q225" s="24" t="inlineStr">
        <is>
          <t>EXPENSIVE</t>
        </is>
      </c>
      <c r="R225" s="24" t="inlineStr">
        <is>
          <t>0.9202856043409283</t>
        </is>
      </c>
      <c r="S225" s="24" t="inlineStr">
        <is>
          <t>HIGH</t>
        </is>
      </c>
      <c r="T225" s="24" t="inlineStr">
        <is>
          <t>HIGH</t>
        </is>
      </c>
      <c r="U225" s="24" t="inlineStr">
        <is>
          <t>0.5714285714285714</t>
        </is>
      </c>
      <c r="V225" s="24" t="inlineStr">
        <is>
          <t>HIGH_RISK</t>
        </is>
      </c>
      <c r="W225" s="24" t="inlineStr">
        <is>
          <t>고위험</t>
        </is>
      </c>
      <c r="X225" s="24" t="inlineStr">
        <is>
          <t>HIGH_RISK</t>
        </is>
      </c>
      <c r="Y225" s="24" t="inlineStr">
        <is>
          <t>0.9252273149693407</t>
        </is>
      </c>
      <c r="Z225" s="24" t="inlineStr">
        <is>
          <t>HIGH</t>
        </is>
      </c>
      <c r="AA225" s="24" t="inlineStr">
        <is>
          <t>HIGH</t>
        </is>
      </c>
      <c r="AB225" s="24" t="inlineStr">
        <is>
          <t>0.08996216176961074</t>
        </is>
      </c>
      <c r="AC225" s="24" t="inlineStr">
        <is>
          <t>False</t>
        </is>
      </c>
      <c r="AD225" s="24" t="inlineStr">
        <is>
          <t>False</t>
        </is>
      </c>
      <c r="AE225" s="24" t="inlineStr">
        <is>
          <t>valuation_credit_ml_overlay_candidate.csv</t>
        </is>
      </c>
      <c r="AF225" s="24" t="inlineStr">
        <is>
          <t>208개 반도체 reference universe. Valuation Agent가 자체 intake 폴더로 복제해 Peer/ML/대시보드 비교에 사용.</t>
        </is>
      </c>
    </row>
    <row r="226" ht="24" customHeight="1">
      <c r="A226" s="29" t="inlineStr">
        <is>
          <t>72</t>
        </is>
      </c>
      <c r="B226" s="29" t="inlineStr">
        <is>
          <t>해당 없음</t>
        </is>
      </c>
      <c r="C226" s="29" t="inlineStr">
        <is>
          <t>파두</t>
        </is>
      </c>
      <c r="D226" s="29" t="inlineStr">
        <is>
          <t>440110</t>
        </is>
      </c>
      <c r="E226" s="29" t="inlineStr">
        <is>
          <t>KOSDAQ</t>
        </is>
      </c>
      <c r="F226" s="29" t="inlineStr">
        <is>
          <t>팹리스/설계</t>
        </is>
      </c>
      <c r="G226" s="29" t="inlineStr">
        <is>
          <t>팹리스/설계</t>
        </is>
      </c>
      <c r="H226" s="29" t="inlineStr">
        <is>
          <t>False</t>
        </is>
      </c>
      <c r="I226" s="29" t="inlineStr">
        <is>
          <t>True</t>
        </is>
      </c>
      <c r="J226" s="29" t="inlineStr">
        <is>
          <t>OK_LIMITED_HISTORY_OR_GROWTH_NA</t>
        </is>
      </c>
      <c r="K226" s="29" t="inlineStr">
        <is>
          <t>데이터 사용 가능</t>
        </is>
      </c>
      <c r="L226" s="29" t="inlineStr">
        <is>
          <t>LOW</t>
        </is>
      </c>
      <c r="M226" s="29" t="inlineStr">
        <is>
          <t>LOW</t>
        </is>
      </c>
      <c r="N226" s="29" t="inlineStr">
        <is>
          <t>0.2817171717171717</t>
        </is>
      </c>
      <c r="O226" s="29" t="inlineStr">
        <is>
          <t>EXPENSIVE</t>
        </is>
      </c>
      <c r="P226" s="29" t="inlineStr">
        <is>
          <t>EXPENSIVE</t>
        </is>
      </c>
      <c r="Q226" s="29" t="inlineStr">
        <is>
          <t>EXPENSIVE</t>
        </is>
      </c>
      <c r="R226" s="29" t="inlineStr">
        <is>
          <t>0.9722302520284296</t>
        </is>
      </c>
      <c r="S226" s="29" t="inlineStr">
        <is>
          <t>HIGH</t>
        </is>
      </c>
      <c r="T226" s="29" t="inlineStr">
        <is>
          <t>HIGH</t>
        </is>
      </c>
      <c r="U226" s="29" t="inlineStr">
        <is>
          <t>0.7142857142857143</t>
        </is>
      </c>
      <c r="V226" s="29" t="inlineStr">
        <is>
          <t>HIGH_RISK</t>
        </is>
      </c>
      <c r="W226" s="29" t="inlineStr">
        <is>
          <t>고위험</t>
        </is>
      </c>
      <c r="X226" s="29" t="inlineStr">
        <is>
          <t>HIGH_RISK</t>
        </is>
      </c>
      <c r="Y226" s="29" t="inlineStr">
        <is>
          <t>0.9166704410023929</t>
        </is>
      </c>
      <c r="Z226" s="29" t="inlineStr">
        <is>
          <t>HIGH</t>
        </is>
      </c>
      <c r="AA226" s="29" t="inlineStr">
        <is>
          <t>HIGH</t>
        </is>
      </c>
      <c r="AB226" s="29" t="inlineStr">
        <is>
          <t>0.4892266150598854</t>
        </is>
      </c>
      <c r="AC226" s="29" t="inlineStr">
        <is>
          <t>True</t>
        </is>
      </c>
      <c r="AD226" s="29" t="inlineStr">
        <is>
          <t>True</t>
        </is>
      </c>
      <c r="AE226" s="29" t="inlineStr">
        <is>
          <t>valuation_credit_ml_overlay_candidate.csv</t>
        </is>
      </c>
      <c r="AF226" s="29" t="inlineStr">
        <is>
          <t>208개 반도체 reference universe. Valuation Agent가 자체 intake 폴더로 복제해 Peer/ML/대시보드 비교에 사용.</t>
        </is>
      </c>
    </row>
    <row r="227" ht="24" customHeight="1">
      <c r="A227" s="24" t="inlineStr">
        <is>
          <t>54</t>
        </is>
      </c>
      <c r="B227" s="24" t="inlineStr">
        <is>
          <t>해당 없음</t>
        </is>
      </c>
      <c r="C227" s="24" t="inlineStr">
        <is>
          <t>아이씨티케이</t>
        </is>
      </c>
      <c r="D227" s="24" t="inlineStr">
        <is>
          <t>456010</t>
        </is>
      </c>
      <c r="E227" s="24" t="inlineStr">
        <is>
          <t>KOSDAQ</t>
        </is>
      </c>
      <c r="F227" s="24" t="inlineStr">
        <is>
          <t>팹리스/설계</t>
        </is>
      </c>
      <c r="G227" s="24" t="inlineStr">
        <is>
          <t>팹리스/설계</t>
        </is>
      </c>
      <c r="H227" s="24" t="inlineStr">
        <is>
          <t>False</t>
        </is>
      </c>
      <c r="I227" s="24" t="inlineStr">
        <is>
          <t>True</t>
        </is>
      </c>
      <c r="J227" s="24" t="inlineStr">
        <is>
          <t>OK_LIMITED_HISTORY_OR_GROWTH_NA</t>
        </is>
      </c>
      <c r="K227" s="24" t="inlineStr">
        <is>
          <t>데이터 사용 가능</t>
        </is>
      </c>
      <c r="L227" s="24" t="inlineStr">
        <is>
          <t>LOW</t>
        </is>
      </c>
      <c r="M227" s="24" t="inlineStr">
        <is>
          <t>LOW</t>
        </is>
      </c>
      <c r="N227" s="24" t="inlineStr">
        <is>
          <t>0.2421212121212121</t>
        </is>
      </c>
      <c r="O227" s="24" t="inlineStr">
        <is>
          <t>EXPENSIVE</t>
        </is>
      </c>
      <c r="P227" s="24" t="inlineStr">
        <is>
          <t>EXPENSIVE</t>
        </is>
      </c>
      <c r="Q227" s="24" t="inlineStr">
        <is>
          <t>EXPENSIVE</t>
        </is>
      </c>
      <c r="R227" s="24" t="inlineStr">
        <is>
          <t>0.9318776222941163</t>
        </is>
      </c>
      <c r="S227" s="24" t="inlineStr">
        <is>
          <t>HIGH</t>
        </is>
      </c>
      <c r="T227" s="24" t="inlineStr">
        <is>
          <t>HIGH</t>
        </is>
      </c>
      <c r="U227" s="24" t="inlineStr">
        <is>
          <t>0.5714285714285714</t>
        </is>
      </c>
      <c r="V227" s="24" t="inlineStr">
        <is>
          <t>HIGH_RISK</t>
        </is>
      </c>
      <c r="W227" s="24" t="inlineStr">
        <is>
          <t>고위험</t>
        </is>
      </c>
      <c r="X227" s="24" t="inlineStr">
        <is>
          <t>HIGH_RISK</t>
        </is>
      </c>
      <c r="Y227" s="24" t="inlineStr">
        <is>
          <t>0.9704486787687135</t>
        </is>
      </c>
      <c r="Z227" s="24" t="inlineStr">
        <is>
          <t>HIGH</t>
        </is>
      </c>
      <c r="AA227" s="24" t="inlineStr">
        <is>
          <t>HIGH</t>
        </is>
      </c>
      <c r="AB227" s="24" t="inlineStr">
        <is>
          <t>0.44110450319077704</t>
        </is>
      </c>
      <c r="AC227" s="24" t="inlineStr">
        <is>
          <t>True</t>
        </is>
      </c>
      <c r="AD227" s="24" t="inlineStr">
        <is>
          <t>True</t>
        </is>
      </c>
      <c r="AE227" s="24" t="inlineStr">
        <is>
          <t>valuation_credit_ml_overlay_candidate.csv</t>
        </is>
      </c>
      <c r="AF227" s="24" t="inlineStr">
        <is>
          <t>208개 반도체 reference universe. Valuation Agent가 자체 intake 폴더로 복제해 Peer/ML/대시보드 비교에 사용.</t>
        </is>
      </c>
    </row>
    <row r="228" ht="24" customHeight="1">
      <c r="A228" s="29" t="inlineStr">
        <is>
          <t>64</t>
        </is>
      </c>
      <c r="B228" s="29" t="inlineStr">
        <is>
          <t>해당 없음</t>
        </is>
      </c>
      <c r="C228" s="29" t="inlineStr">
        <is>
          <t>오픈엣지테크놀로지</t>
        </is>
      </c>
      <c r="D228" s="29" t="inlineStr">
        <is>
          <t>394280</t>
        </is>
      </c>
      <c r="E228" s="29" t="inlineStr">
        <is>
          <t>KOSDAQ</t>
        </is>
      </c>
      <c r="F228" s="29" t="inlineStr">
        <is>
          <t>팹리스/설계</t>
        </is>
      </c>
      <c r="G228" s="29" t="inlineStr">
        <is>
          <t>팹리스/설계</t>
        </is>
      </c>
      <c r="H228" s="29" t="inlineStr">
        <is>
          <t>False</t>
        </is>
      </c>
      <c r="I228" s="29" t="inlineStr">
        <is>
          <t>True</t>
        </is>
      </c>
      <c r="J228" s="29" t="inlineStr">
        <is>
          <t>OK</t>
        </is>
      </c>
      <c r="K228" s="29" t="inlineStr">
        <is>
          <t>데이터 사용 가능</t>
        </is>
      </c>
      <c r="L228" s="29" t="inlineStr">
        <is>
          <t>LOW</t>
        </is>
      </c>
      <c r="M228" s="29" t="inlineStr">
        <is>
          <t>LOW</t>
        </is>
      </c>
      <c r="N228" s="29" t="inlineStr">
        <is>
          <t>0.2383838383838384</t>
        </is>
      </c>
      <c r="O228" s="29" t="inlineStr">
        <is>
          <t>EXPENSIVE</t>
        </is>
      </c>
      <c r="P228" s="29" t="inlineStr">
        <is>
          <t>EXPENSIVE</t>
        </is>
      </c>
      <c r="Q228" s="29" t="inlineStr">
        <is>
          <t>EXPENSIVE</t>
        </is>
      </c>
      <c r="R228" s="29" t="inlineStr">
        <is>
          <t>0.9776205348568181</t>
        </is>
      </c>
      <c r="S228" s="29" t="inlineStr">
        <is>
          <t>HIGH</t>
        </is>
      </c>
      <c r="T228" s="29" t="inlineStr">
        <is>
          <t>HIGH</t>
        </is>
      </c>
      <c r="U228" s="29" t="inlineStr">
        <is>
          <t>0.5714285714285714</t>
        </is>
      </c>
      <c r="V228" s="29" t="inlineStr">
        <is>
          <t>HIGH_RISK</t>
        </is>
      </c>
      <c r="W228" s="29" t="inlineStr">
        <is>
          <t>고위험</t>
        </is>
      </c>
      <c r="X228" s="29" t="inlineStr">
        <is>
          <t>HIGH_RISK</t>
        </is>
      </c>
      <c r="Y228" s="29" t="inlineStr">
        <is>
          <t>0.979409987987143</t>
        </is>
      </c>
      <c r="Z228" s="29" t="inlineStr">
        <is>
          <t>HIGH</t>
        </is>
      </c>
      <c r="AA228" s="29" t="inlineStr">
        <is>
          <t>HIGH</t>
        </is>
      </c>
      <c r="AB228" s="29" t="inlineStr">
        <is>
          <t>0.49673253879125484</t>
        </is>
      </c>
      <c r="AC228" s="29" t="inlineStr">
        <is>
          <t>True</t>
        </is>
      </c>
      <c r="AD228" s="29" t="inlineStr">
        <is>
          <t>True</t>
        </is>
      </c>
      <c r="AE228" s="29" t="inlineStr">
        <is>
          <t>valuation_credit_ml_overlay_candidate.csv</t>
        </is>
      </c>
      <c r="AF228" s="29" t="inlineStr">
        <is>
          <t>208개 반도체 reference universe. Valuation Agent가 자체 intake 폴더로 복제해 Peer/ML/대시보드 비교에 사용.</t>
        </is>
      </c>
    </row>
    <row r="229" ht="24" customHeight="1">
      <c r="A229" s="24" t="inlineStr">
        <is>
          <t>69</t>
        </is>
      </c>
      <c r="B229" s="24" t="inlineStr">
        <is>
          <t>해당 없음</t>
        </is>
      </c>
      <c r="C229" s="24" t="inlineStr">
        <is>
          <t>퀄리타스반도체</t>
        </is>
      </c>
      <c r="D229" s="24" t="inlineStr">
        <is>
          <t>432720</t>
        </is>
      </c>
      <c r="E229" s="24" t="inlineStr">
        <is>
          <t>KOSDAQ</t>
        </is>
      </c>
      <c r="F229" s="24" t="inlineStr">
        <is>
          <t>팹리스/설계</t>
        </is>
      </c>
      <c r="G229" s="24" t="inlineStr">
        <is>
          <t>팹리스/설계</t>
        </is>
      </c>
      <c r="H229" s="24" t="inlineStr">
        <is>
          <t>False</t>
        </is>
      </c>
      <c r="I229" s="24" t="inlineStr">
        <is>
          <t>True</t>
        </is>
      </c>
      <c r="J229" s="24" t="inlineStr">
        <is>
          <t>OK_LIMITED_HISTORY_OR_GROWTH_NA</t>
        </is>
      </c>
      <c r="K229" s="24" t="inlineStr">
        <is>
          <t>데이터 사용 가능</t>
        </is>
      </c>
      <c r="L229" s="24" t="inlineStr">
        <is>
          <t>LOW</t>
        </is>
      </c>
      <c r="M229" s="24" t="inlineStr">
        <is>
          <t>LOW</t>
        </is>
      </c>
      <c r="N229" s="24" t="inlineStr">
        <is>
          <t>0.2119191919191919</t>
        </is>
      </c>
      <c r="O229" s="24" t="inlineStr">
        <is>
          <t>EXPENSIVE</t>
        </is>
      </c>
      <c r="P229" s="24" t="inlineStr">
        <is>
          <t>EXPENSIVE</t>
        </is>
      </c>
      <c r="Q229" s="24" t="inlineStr">
        <is>
          <t>EXPENSIVE</t>
        </is>
      </c>
      <c r="R229" s="24" t="inlineStr">
        <is>
          <t>0.9844433173148716</t>
        </is>
      </c>
      <c r="S229" s="24" t="inlineStr">
        <is>
          <t>HIGH</t>
        </is>
      </c>
      <c r="T229" s="24" t="inlineStr">
        <is>
          <t>HIGH</t>
        </is>
      </c>
      <c r="U229" s="24" t="inlineStr">
        <is>
          <t>0.5714285714285714</t>
        </is>
      </c>
      <c r="V229" s="24" t="inlineStr">
        <is>
          <t>HIGH_RISK</t>
        </is>
      </c>
      <c r="W229" s="24" t="inlineStr">
        <is>
          <t>고위험</t>
        </is>
      </c>
      <c r="X229" s="24" t="inlineStr">
        <is>
          <t>HIGH_RISK</t>
        </is>
      </c>
      <c r="Y229" s="24" t="inlineStr">
        <is>
          <t>0.9775928777225235</t>
        </is>
      </c>
      <c r="Z229" s="24" t="inlineStr">
        <is>
          <t>HIGH</t>
        </is>
      </c>
      <c r="AA229" s="24" t="inlineStr">
        <is>
          <t>HIGH</t>
        </is>
      </c>
      <c r="AB229" s="24" t="inlineStr">
        <is>
          <t>0.7960673007059423</t>
        </is>
      </c>
      <c r="AC229" s="24" t="inlineStr">
        <is>
          <t>True</t>
        </is>
      </c>
      <c r="AD229" s="24" t="inlineStr">
        <is>
          <t>True</t>
        </is>
      </c>
      <c r="AE229" s="24" t="inlineStr">
        <is>
          <t>valuation_credit_ml_overlay_candidate.csv</t>
        </is>
      </c>
      <c r="AF229" s="24" t="inlineStr">
        <is>
          <t>208개 반도체 reference universe. Valuation Agent가 자체 intake 폴더로 복제해 Peer/ML/대시보드 비교에 사용.</t>
        </is>
      </c>
    </row>
    <row r="230" ht="24" customHeight="1">
      <c r="A230" s="29" t="inlineStr">
        <is>
          <t>168</t>
        </is>
      </c>
      <c r="B230" s="29" t="inlineStr">
        <is>
          <t>해당 없음</t>
        </is>
      </c>
      <c r="C230" s="29" t="inlineStr">
        <is>
          <t>성우테크론</t>
        </is>
      </c>
      <c r="D230" s="29" t="inlineStr">
        <is>
          <t>045300</t>
        </is>
      </c>
      <c r="E230" s="29" t="inlineStr">
        <is>
          <t>KOSDAQ</t>
        </is>
      </c>
      <c r="F230" s="29" t="inlineStr">
        <is>
          <t>후공정/패키징/테스트</t>
        </is>
      </c>
      <c r="G230" s="29" t="inlineStr">
        <is>
          <t>후공정/패키징/테스트</t>
        </is>
      </c>
      <c r="H230" s="29" t="inlineStr">
        <is>
          <t>False</t>
        </is>
      </c>
      <c r="I230" s="29" t="inlineStr">
        <is>
          <t>True</t>
        </is>
      </c>
      <c r="J230" s="29" t="inlineStr">
        <is>
          <t>OK</t>
        </is>
      </c>
      <c r="K230" s="29" t="inlineStr">
        <is>
          <t>데이터 사용 가능</t>
        </is>
      </c>
      <c r="L230" s="29" t="inlineStr">
        <is>
          <t>LOW</t>
        </is>
      </c>
      <c r="M230" s="29" t="inlineStr">
        <is>
          <t>LOW</t>
        </is>
      </c>
      <c r="N230" s="29" t="inlineStr">
        <is>
          <t>0.7764444444444445</t>
        </is>
      </c>
      <c r="O230" s="29" t="inlineStr">
        <is>
          <t>ATTRACTIVE</t>
        </is>
      </c>
      <c r="P230" s="29" t="inlineStr">
        <is>
          <t>가치 매력</t>
        </is>
      </c>
      <c r="Q230" s="29" t="inlineStr">
        <is>
          <t>ATTRACTIVE</t>
        </is>
      </c>
      <c r="R230" s="29" t="inlineStr">
        <is>
          <t>0.9526864248076319</t>
        </is>
      </c>
      <c r="S230" s="29" t="inlineStr">
        <is>
          <t>HIGH</t>
        </is>
      </c>
      <c r="T230" s="29" t="inlineStr">
        <is>
          <t>HIGH</t>
        </is>
      </c>
      <c r="U230" s="29" t="inlineStr">
        <is>
          <t>0.0714285714285714</t>
        </is>
      </c>
      <c r="V230" s="29" t="inlineStr">
        <is>
          <t>LOW_RISK</t>
        </is>
      </c>
      <c r="W230" s="29" t="inlineStr">
        <is>
          <t>저위험</t>
        </is>
      </c>
      <c r="X230" s="29" t="inlineStr">
        <is>
          <t>LOW_RISK</t>
        </is>
      </c>
      <c r="Y230" s="29" t="inlineStr">
        <is>
          <t>0.869939352370702</t>
        </is>
      </c>
      <c r="Z230" s="29" t="inlineStr">
        <is>
          <t>HIGH</t>
        </is>
      </c>
      <c r="AA230" s="29" t="inlineStr">
        <is>
          <t>HIGH</t>
        </is>
      </c>
      <c r="AB230" s="29" t="inlineStr">
        <is>
          <t>0.10286671144812394</t>
        </is>
      </c>
      <c r="AC230" s="29" t="inlineStr">
        <is>
          <t>False</t>
        </is>
      </c>
      <c r="AD230" s="29" t="inlineStr">
        <is>
          <t>False</t>
        </is>
      </c>
      <c r="AE230" s="29" t="inlineStr">
        <is>
          <t>valuation_credit_ml_overlay_candidate.csv</t>
        </is>
      </c>
      <c r="AF230" s="29" t="inlineStr">
        <is>
          <t>208개 반도체 reference universe. Valuation Agent가 자체 intake 폴더로 복제해 Peer/ML/대시보드 비교에 사용.</t>
        </is>
      </c>
    </row>
    <row r="231" ht="24" customHeight="1">
      <c r="A231" s="24" t="inlineStr">
        <is>
          <t>165</t>
        </is>
      </c>
      <c r="B231" s="24" t="inlineStr">
        <is>
          <t>해당 없음</t>
        </is>
      </c>
      <c r="C231" s="24" t="inlineStr">
        <is>
          <t>미래산업</t>
        </is>
      </c>
      <c r="D231" s="24" t="inlineStr">
        <is>
          <t>025560</t>
        </is>
      </c>
      <c r="E231" s="24" t="inlineStr">
        <is>
          <t>KOSPI</t>
        </is>
      </c>
      <c r="F231" s="24" t="inlineStr">
        <is>
          <t>후공정/패키징/테스트</t>
        </is>
      </c>
      <c r="G231" s="24" t="inlineStr">
        <is>
          <t>후공정/패키징/테스트</t>
        </is>
      </c>
      <c r="H231" s="24" t="inlineStr">
        <is>
          <t>False</t>
        </is>
      </c>
      <c r="I231" s="24" t="inlineStr">
        <is>
          <t>True</t>
        </is>
      </c>
      <c r="J231" s="24" t="inlineStr">
        <is>
          <t>OK</t>
        </is>
      </c>
      <c r="K231" s="24" t="inlineStr">
        <is>
          <t>데이터 사용 가능</t>
        </is>
      </c>
      <c r="L231" s="24" t="inlineStr">
        <is>
          <t>LOW</t>
        </is>
      </c>
      <c r="M231" s="24" t="inlineStr">
        <is>
          <t>LOW</t>
        </is>
      </c>
      <c r="N231" s="24" t="inlineStr">
        <is>
          <t>0.7748148148148148</t>
        </is>
      </c>
      <c r="O231" s="24" t="inlineStr">
        <is>
          <t>FAIR</t>
        </is>
      </c>
      <c r="P231" s="24" t="inlineStr">
        <is>
          <t>FAIR</t>
        </is>
      </c>
      <c r="Q231" s="24" t="inlineStr">
        <is>
          <t>FAIR</t>
        </is>
      </c>
      <c r="R231" s="24" t="inlineStr">
        <is>
          <t>0.883291104654336</t>
        </is>
      </c>
      <c r="S231" s="24" t="inlineStr">
        <is>
          <t>HIGH</t>
        </is>
      </c>
      <c r="T231" s="24" t="inlineStr">
        <is>
          <t>HIGH</t>
        </is>
      </c>
      <c r="U231" s="24" t="inlineStr">
        <is>
          <t>0.2857142857142857</t>
        </is>
      </c>
      <c r="V231" s="24" t="inlineStr">
        <is>
          <t>MEDIUM_RISK</t>
        </is>
      </c>
      <c r="W231" s="24" t="inlineStr">
        <is>
          <t>중위험</t>
        </is>
      </c>
      <c r="X231" s="24" t="inlineStr">
        <is>
          <t>MEDIUM_RISK</t>
        </is>
      </c>
      <c r="Y231" s="24" t="inlineStr">
        <is>
          <t>0.695536763680257</t>
        </is>
      </c>
      <c r="Z231" s="24" t="inlineStr">
        <is>
          <t>MEDIUM</t>
        </is>
      </c>
      <c r="AA231" s="24" t="inlineStr">
        <is>
          <t>MEDIUM</t>
        </is>
      </c>
      <c r="AB231" s="24" t="inlineStr">
        <is>
          <t>0.08100242357773374</t>
        </is>
      </c>
      <c r="AC231" s="24" t="inlineStr">
        <is>
          <t>False</t>
        </is>
      </c>
      <c r="AD231" s="24" t="inlineStr">
        <is>
          <t>False</t>
        </is>
      </c>
      <c r="AE231" s="24" t="inlineStr">
        <is>
          <t>valuation_credit_ml_overlay_candidate.csv</t>
        </is>
      </c>
      <c r="AF231" s="24" t="inlineStr">
        <is>
          <t>208개 반도체 reference universe. Valuation Agent가 자체 intake 폴더로 복제해 Peer/ML/대시보드 비교에 사용.</t>
        </is>
      </c>
    </row>
    <row r="232" ht="24" customHeight="1">
      <c r="A232" s="29" t="inlineStr">
        <is>
          <t>163</t>
        </is>
      </c>
      <c r="B232" s="29" t="inlineStr">
        <is>
          <t>해당 없음</t>
        </is>
      </c>
      <c r="C232" s="29" t="inlineStr">
        <is>
          <t>링크제니시스</t>
        </is>
      </c>
      <c r="D232" s="29" t="inlineStr">
        <is>
          <t>219420</t>
        </is>
      </c>
      <c r="E232" s="29" t="inlineStr">
        <is>
          <t>KOSDAQ</t>
        </is>
      </c>
      <c r="F232" s="29" t="inlineStr">
        <is>
          <t>후공정/패키징/테스트</t>
        </is>
      </c>
      <c r="G232" s="29" t="inlineStr">
        <is>
          <t>후공정/패키징/테스트</t>
        </is>
      </c>
      <c r="H232" s="29" t="inlineStr">
        <is>
          <t>False</t>
        </is>
      </c>
      <c r="I232" s="29" t="inlineStr">
        <is>
          <t>True</t>
        </is>
      </c>
      <c r="J232" s="29" t="inlineStr">
        <is>
          <t>OK</t>
        </is>
      </c>
      <c r="K232" s="29" t="inlineStr">
        <is>
          <t>데이터 사용 가능</t>
        </is>
      </c>
      <c r="L232" s="29" t="inlineStr">
        <is>
          <t>LOW</t>
        </is>
      </c>
      <c r="M232" s="29" t="inlineStr">
        <is>
          <t>LOW</t>
        </is>
      </c>
      <c r="N232" s="29" t="inlineStr">
        <is>
          <t>0.7522962962962964</t>
        </is>
      </c>
      <c r="O232" s="29" t="inlineStr">
        <is>
          <t>ATTRACTIVE</t>
        </is>
      </c>
      <c r="P232" s="29" t="inlineStr">
        <is>
          <t>가치 매력</t>
        </is>
      </c>
      <c r="Q232" s="29" t="inlineStr">
        <is>
          <t>ATTRACTIVE</t>
        </is>
      </c>
      <c r="R232" s="29" t="inlineStr">
        <is>
          <t>0.8724992666433111</t>
        </is>
      </c>
      <c r="S232" s="29" t="inlineStr">
        <is>
          <t>HIGH</t>
        </is>
      </c>
      <c r="T232" s="29" t="inlineStr">
        <is>
          <t>HIGH</t>
        </is>
      </c>
      <c r="U232" s="29" t="inlineStr">
        <is>
          <t>0.0714285714285714</t>
        </is>
      </c>
      <c r="V232" s="29" t="inlineStr">
        <is>
          <t>LOW_RISK</t>
        </is>
      </c>
      <c r="W232" s="29" t="inlineStr">
        <is>
          <t>저위험</t>
        </is>
      </c>
      <c r="X232" s="29" t="inlineStr">
        <is>
          <t>LOW_RISK</t>
        </is>
      </c>
      <c r="Y232" s="29" t="inlineStr">
        <is>
          <t>0.8663667518810074</t>
        </is>
      </c>
      <c r="Z232" s="29" t="inlineStr">
        <is>
          <t>HIGH</t>
        </is>
      </c>
      <c r="AA232" s="29" t="inlineStr">
        <is>
          <t>HIGH</t>
        </is>
      </c>
      <c r="AB232" s="29" t="inlineStr">
        <is>
          <t>0.1247344063934745</t>
        </is>
      </c>
      <c r="AC232" s="29" t="inlineStr">
        <is>
          <t>False</t>
        </is>
      </c>
      <c r="AD232" s="29" t="inlineStr">
        <is>
          <t>False</t>
        </is>
      </c>
      <c r="AE232" s="29" t="inlineStr">
        <is>
          <t>valuation_credit_ml_overlay_candidate.csv</t>
        </is>
      </c>
      <c r="AF232" s="29" t="inlineStr">
        <is>
          <t>208개 반도체 reference universe. Valuation Agent가 자체 intake 폴더로 복제해 Peer/ML/대시보드 비교에 사용.</t>
        </is>
      </c>
    </row>
    <row r="233" ht="24" customHeight="1">
      <c r="A233" s="24" t="inlineStr">
        <is>
          <t>189</t>
        </is>
      </c>
      <c r="B233" s="24" t="inlineStr">
        <is>
          <t>해당 없음</t>
        </is>
      </c>
      <c r="C233" s="24" t="inlineStr">
        <is>
          <t>프로텍</t>
        </is>
      </c>
      <c r="D233" s="24" t="inlineStr">
        <is>
          <t>053610</t>
        </is>
      </c>
      <c r="E233" s="24" t="inlineStr">
        <is>
          <t>KOSDAQ</t>
        </is>
      </c>
      <c r="F233" s="24" t="inlineStr">
        <is>
          <t>후공정/패키징/테스트</t>
        </is>
      </c>
      <c r="G233" s="24" t="inlineStr">
        <is>
          <t>후공정/패키징/테스트</t>
        </is>
      </c>
      <c r="H233" s="24" t="inlineStr">
        <is>
          <t>False</t>
        </is>
      </c>
      <c r="I233" s="24" t="inlineStr">
        <is>
          <t>True</t>
        </is>
      </c>
      <c r="J233" s="24" t="inlineStr">
        <is>
          <t>OK</t>
        </is>
      </c>
      <c r="K233" s="24" t="inlineStr">
        <is>
          <t>데이터 사용 가능</t>
        </is>
      </c>
      <c r="L233" s="24" t="inlineStr">
        <is>
          <t>LOW</t>
        </is>
      </c>
      <c r="M233" s="24" t="inlineStr">
        <is>
          <t>LOW</t>
        </is>
      </c>
      <c r="N233" s="24" t="inlineStr">
        <is>
          <t>0.7342222222222222</t>
        </is>
      </c>
      <c r="O233" s="24" t="inlineStr">
        <is>
          <t>FAIR</t>
        </is>
      </c>
      <c r="P233" s="24" t="inlineStr">
        <is>
          <t>FAIR</t>
        </is>
      </c>
      <c r="Q233" s="24" t="inlineStr">
        <is>
          <t>FAIR</t>
        </is>
      </c>
      <c r="R233" s="24" t="inlineStr">
        <is>
          <t>0.8971257561900263</t>
        </is>
      </c>
      <c r="S233" s="24" t="inlineStr">
        <is>
          <t>HIGH</t>
        </is>
      </c>
      <c r="T233" s="24" t="inlineStr">
        <is>
          <t>HIGH</t>
        </is>
      </c>
      <c r="U233" s="24" t="inlineStr">
        <is>
          <t>0.0714285714285714</t>
        </is>
      </c>
      <c r="V233" s="24" t="inlineStr">
        <is>
          <t>LOW_RISK</t>
        </is>
      </c>
      <c r="W233" s="24" t="inlineStr">
        <is>
          <t>저위험</t>
        </is>
      </c>
      <c r="X233" s="24" t="inlineStr">
        <is>
          <t>LOW_RISK</t>
        </is>
      </c>
      <c r="Y233" s="24" t="inlineStr">
        <is>
          <t>0.9163768919768406</t>
        </is>
      </c>
      <c r="Z233" s="24" t="inlineStr">
        <is>
          <t>HIGH</t>
        </is>
      </c>
      <c r="AA233" s="24" t="inlineStr">
        <is>
          <t>HIGH</t>
        </is>
      </c>
      <c r="AB233" s="24" t="inlineStr">
        <is>
          <t>0.04594870251712977</t>
        </is>
      </c>
      <c r="AC233" s="24" t="inlineStr">
        <is>
          <t>False</t>
        </is>
      </c>
      <c r="AD233" s="24" t="inlineStr">
        <is>
          <t>False</t>
        </is>
      </c>
      <c r="AE233" s="24" t="inlineStr">
        <is>
          <t>valuation_credit_ml_overlay_candidate.csv</t>
        </is>
      </c>
      <c r="AF233" s="24" t="inlineStr">
        <is>
          <t>208개 반도체 reference universe. Valuation Agent가 자체 intake 폴더로 복제해 Peer/ML/대시보드 비교에 사용.</t>
        </is>
      </c>
    </row>
    <row r="234" ht="24" customHeight="1">
      <c r="A234" s="29" t="inlineStr">
        <is>
          <t>188</t>
        </is>
      </c>
      <c r="B234" s="29" t="inlineStr">
        <is>
          <t>해당 없음</t>
        </is>
      </c>
      <c r="C234" s="29" t="inlineStr">
        <is>
          <t>프로이천</t>
        </is>
      </c>
      <c r="D234" s="29" t="inlineStr">
        <is>
          <t>321260</t>
        </is>
      </c>
      <c r="E234" s="29" t="inlineStr">
        <is>
          <t>KOSDAQ</t>
        </is>
      </c>
      <c r="F234" s="29" t="inlineStr">
        <is>
          <t>후공정/패키징/테스트</t>
        </is>
      </c>
      <c r="G234" s="29" t="inlineStr">
        <is>
          <t>후공정/패키징/테스트</t>
        </is>
      </c>
      <c r="H234" s="29" t="inlineStr">
        <is>
          <t>False</t>
        </is>
      </c>
      <c r="I234" s="29" t="inlineStr">
        <is>
          <t>True</t>
        </is>
      </c>
      <c r="J234" s="29" t="inlineStr">
        <is>
          <t>OK</t>
        </is>
      </c>
      <c r="K234" s="29" t="inlineStr">
        <is>
          <t>데이터 사용 가능</t>
        </is>
      </c>
      <c r="L234" s="29" t="inlineStr">
        <is>
          <t>LOW</t>
        </is>
      </c>
      <c r="M234" s="29" t="inlineStr">
        <is>
          <t>LOW</t>
        </is>
      </c>
      <c r="N234" s="29" t="inlineStr">
        <is>
          <t>0.6905185185185185</t>
        </is>
      </c>
      <c r="O234" s="29" t="inlineStr">
        <is>
          <t>ATTRACTIVE</t>
        </is>
      </c>
      <c r="P234" s="29" t="inlineStr">
        <is>
          <t>가치 매력</t>
        </is>
      </c>
      <c r="Q234" s="29" t="inlineStr">
        <is>
          <t>ATTRACTIVE</t>
        </is>
      </c>
      <c r="R234" s="29" t="inlineStr">
        <is>
          <t>0.9481469936627798</t>
        </is>
      </c>
      <c r="S234" s="29" t="inlineStr">
        <is>
          <t>HIGH</t>
        </is>
      </c>
      <c r="T234" s="29" t="inlineStr">
        <is>
          <t>HIGH</t>
        </is>
      </c>
      <c r="U234" s="29" t="inlineStr">
        <is>
          <t>0.1428571428571428</t>
        </is>
      </c>
      <c r="V234" s="29" t="inlineStr">
        <is>
          <t>LOW_RISK</t>
        </is>
      </c>
      <c r="W234" s="29" t="inlineStr">
        <is>
          <t>저위험</t>
        </is>
      </c>
      <c r="X234" s="29" t="inlineStr">
        <is>
          <t>LOW_RISK</t>
        </is>
      </c>
      <c r="Y234" s="29" t="inlineStr">
        <is>
          <t>0.7571217577270841</t>
        </is>
      </c>
      <c r="Z234" s="29" t="inlineStr">
        <is>
          <t>HIGH</t>
        </is>
      </c>
      <c r="AA234" s="29" t="inlineStr">
        <is>
          <t>HIGH</t>
        </is>
      </c>
      <c r="AB234" s="29" t="inlineStr">
        <is>
          <t>0.1980202748075635</t>
        </is>
      </c>
      <c r="AC234" s="29" t="inlineStr">
        <is>
          <t>False</t>
        </is>
      </c>
      <c r="AD234" s="29" t="inlineStr">
        <is>
          <t>False</t>
        </is>
      </c>
      <c r="AE234" s="29" t="inlineStr">
        <is>
          <t>valuation_credit_ml_overlay_candidate.csv</t>
        </is>
      </c>
      <c r="AF234" s="29" t="inlineStr">
        <is>
          <t>208개 반도체 reference universe. Valuation Agent가 자체 intake 폴더로 복제해 Peer/ML/대시보드 비교에 사용.</t>
        </is>
      </c>
    </row>
    <row r="235" ht="24" customHeight="1">
      <c r="A235" s="24" t="inlineStr">
        <is>
          <t>167</t>
        </is>
      </c>
      <c r="B235" s="24" t="inlineStr">
        <is>
          <t>해당 없음</t>
        </is>
      </c>
      <c r="C235" s="24" t="inlineStr">
        <is>
          <t>샘씨엔에스</t>
        </is>
      </c>
      <c r="D235" s="24" t="inlineStr">
        <is>
          <t>252990</t>
        </is>
      </c>
      <c r="E235" s="24" t="inlineStr">
        <is>
          <t>KOSDAQ</t>
        </is>
      </c>
      <c r="F235" s="24" t="inlineStr">
        <is>
          <t>후공정/패키징/테스트</t>
        </is>
      </c>
      <c r="G235" s="24" t="inlineStr">
        <is>
          <t>후공정/패키징/테스트</t>
        </is>
      </c>
      <c r="H235" s="24" t="inlineStr">
        <is>
          <t>False</t>
        </is>
      </c>
      <c r="I235" s="24" t="inlineStr">
        <is>
          <t>True</t>
        </is>
      </c>
      <c r="J235" s="24" t="inlineStr">
        <is>
          <t>OK</t>
        </is>
      </c>
      <c r="K235" s="24" t="inlineStr">
        <is>
          <t>데이터 사용 가능</t>
        </is>
      </c>
      <c r="L235" s="24" t="inlineStr">
        <is>
          <t>LOW</t>
        </is>
      </c>
      <c r="M235" s="24" t="inlineStr">
        <is>
          <t>LOW</t>
        </is>
      </c>
      <c r="N235" s="24" t="inlineStr">
        <is>
          <t>0.6491851851851852</t>
        </is>
      </c>
      <c r="O235" s="24" t="inlineStr">
        <is>
          <t>ATTRACTIVE</t>
        </is>
      </c>
      <c r="P235" s="24" t="inlineStr">
        <is>
          <t>가치 매력</t>
        </is>
      </c>
      <c r="Q235" s="24" t="inlineStr">
        <is>
          <t>ATTRACTIVE</t>
        </is>
      </c>
      <c r="R235" s="24" t="inlineStr">
        <is>
          <t>0.5521991152548656</t>
        </is>
      </c>
      <c r="S235" s="24" t="inlineStr">
        <is>
          <t>MEDIUM</t>
        </is>
      </c>
      <c r="T235" s="24" t="inlineStr">
        <is>
          <t>MEDIUM</t>
        </is>
      </c>
      <c r="U235" s="24" t="inlineStr">
        <is>
          <t>0.1428571428571428</t>
        </is>
      </c>
      <c r="V235" s="24" t="inlineStr">
        <is>
          <t>LOW_RISK</t>
        </is>
      </c>
      <c r="W235" s="24" t="inlineStr">
        <is>
          <t>저위험</t>
        </is>
      </c>
      <c r="X235" s="24" t="inlineStr">
        <is>
          <t>LOW_RISK</t>
        </is>
      </c>
      <c r="Y235" s="24" t="inlineStr">
        <is>
          <t>0.8184283672559926</t>
        </is>
      </c>
      <c r="Z235" s="24" t="inlineStr">
        <is>
          <t>HIGH</t>
        </is>
      </c>
      <c r="AA235" s="24" t="inlineStr">
        <is>
          <t>HIGH</t>
        </is>
      </c>
      <c r="AB235" s="24" t="inlineStr">
        <is>
          <t>0.02862485694144737</t>
        </is>
      </c>
      <c r="AC235" s="24" t="inlineStr">
        <is>
          <t>False</t>
        </is>
      </c>
      <c r="AD235" s="24" t="inlineStr">
        <is>
          <t>False</t>
        </is>
      </c>
      <c r="AE235" s="24" t="inlineStr">
        <is>
          <t>valuation_credit_ml_overlay_candidate.csv</t>
        </is>
      </c>
      <c r="AF235" s="24" t="inlineStr">
        <is>
          <t>208개 반도체 reference universe. Valuation Agent가 자체 intake 폴더로 복제해 Peer/ML/대시보드 비교에 사용.</t>
        </is>
      </c>
    </row>
    <row r="236" ht="24" customHeight="1">
      <c r="A236" s="29" t="inlineStr">
        <is>
          <t>191</t>
        </is>
      </c>
      <c r="B236" s="29" t="inlineStr">
        <is>
          <t>해당 없음</t>
        </is>
      </c>
      <c r="C236" s="29" t="inlineStr">
        <is>
          <t>하나마이크론</t>
        </is>
      </c>
      <c r="D236" s="29" t="inlineStr">
        <is>
          <t>067310</t>
        </is>
      </c>
      <c r="E236" s="29" t="inlineStr">
        <is>
          <t>KOSDAQ</t>
        </is>
      </c>
      <c r="F236" s="29" t="inlineStr">
        <is>
          <t>후공정/패키징/테스트</t>
        </is>
      </c>
      <c r="G236" s="29" t="inlineStr">
        <is>
          <t>후공정/패키징/테스트</t>
        </is>
      </c>
      <c r="H236" s="29" t="inlineStr">
        <is>
          <t>False</t>
        </is>
      </c>
      <c r="I236" s="29" t="inlineStr">
        <is>
          <t>True</t>
        </is>
      </c>
      <c r="J236" s="29" t="inlineStr">
        <is>
          <t>OK</t>
        </is>
      </c>
      <c r="K236" s="29" t="inlineStr">
        <is>
          <t>데이터 사용 가능</t>
        </is>
      </c>
      <c r="L236" s="29" t="inlineStr">
        <is>
          <t>LOW</t>
        </is>
      </c>
      <c r="M236" s="29" t="inlineStr">
        <is>
          <t>LOW</t>
        </is>
      </c>
      <c r="N236" s="29" t="inlineStr">
        <is>
          <t>0.6405925925925926</t>
        </is>
      </c>
      <c r="O236" s="29" t="inlineStr">
        <is>
          <t>ATTRACTIVE</t>
        </is>
      </c>
      <c r="P236" s="29" t="inlineStr">
        <is>
          <t>가치 매력</t>
        </is>
      </c>
      <c r="Q236" s="29" t="inlineStr">
        <is>
          <t>ATTRACTIVE</t>
        </is>
      </c>
      <c r="R236" s="29" t="inlineStr">
        <is>
          <t>0.8727001075083287</t>
        </is>
      </c>
      <c r="S236" s="29" t="inlineStr">
        <is>
          <t>HIGH</t>
        </is>
      </c>
      <c r="T236" s="29" t="inlineStr">
        <is>
          <t>HIGH</t>
        </is>
      </c>
      <c r="U236" s="29" t="inlineStr">
        <is>
          <t>0.2857142857142857</t>
        </is>
      </c>
      <c r="V236" s="29" t="inlineStr">
        <is>
          <t>MEDIUM_RISK</t>
        </is>
      </c>
      <c r="W236" s="29" t="inlineStr">
        <is>
          <t>중위험</t>
        </is>
      </c>
      <c r="X236" s="29" t="inlineStr">
        <is>
          <t>MEDIUM_RISK</t>
        </is>
      </c>
      <c r="Y236" s="29" t="inlineStr">
        <is>
          <t>0.4659076101576026</t>
        </is>
      </c>
      <c r="Z236" s="29" t="inlineStr">
        <is>
          <t>LOW</t>
        </is>
      </c>
      <c r="AA236" s="29" t="inlineStr">
        <is>
          <t>LOW</t>
        </is>
      </c>
      <c r="AB236" s="29" t="inlineStr">
        <is>
          <t>0.1167493316831868</t>
        </is>
      </c>
      <c r="AC236" s="29" t="inlineStr">
        <is>
          <t>False</t>
        </is>
      </c>
      <c r="AD236" s="29" t="inlineStr">
        <is>
          <t>True</t>
        </is>
      </c>
      <c r="AE236" s="29" t="inlineStr">
        <is>
          <t>valuation_credit_ml_overlay_candidate.csv</t>
        </is>
      </c>
      <c r="AF236" s="29" t="inlineStr">
        <is>
          <t>208개 반도체 reference universe. Valuation Agent가 자체 intake 폴더로 복제해 Peer/ML/대시보드 비교에 사용.</t>
        </is>
      </c>
    </row>
    <row r="237" ht="24" customHeight="1">
      <c r="A237" s="24" t="inlineStr">
        <is>
          <t>157</t>
        </is>
      </c>
      <c r="B237" s="24" t="inlineStr">
        <is>
          <t>nepes</t>
        </is>
      </c>
      <c r="C237" s="24" t="inlineStr">
        <is>
          <t>네패스</t>
        </is>
      </c>
      <c r="D237" s="24" t="inlineStr">
        <is>
          <t>033640</t>
        </is>
      </c>
      <c r="E237" s="24" t="inlineStr">
        <is>
          <t>KOSDAQ</t>
        </is>
      </c>
      <c r="F237" s="24" t="inlineStr">
        <is>
          <t>후공정/패키징/테스트</t>
        </is>
      </c>
      <c r="G237" s="24" t="inlineStr">
        <is>
          <t>후공정/패키징/테스트</t>
        </is>
      </c>
      <c r="H237" s="24" t="inlineStr">
        <is>
          <t>True</t>
        </is>
      </c>
      <c r="I237" s="24" t="inlineStr">
        <is>
          <t>True</t>
        </is>
      </c>
      <c r="J237" s="24" t="inlineStr">
        <is>
          <t>OK</t>
        </is>
      </c>
      <c r="K237" s="24" t="inlineStr">
        <is>
          <t>데이터 사용 가능</t>
        </is>
      </c>
      <c r="L237" s="24" t="inlineStr">
        <is>
          <t>LOW</t>
        </is>
      </c>
      <c r="M237" s="24" t="inlineStr">
        <is>
          <t>LOW</t>
        </is>
      </c>
      <c r="N237" s="24" t="inlineStr">
        <is>
          <t>0.6385185185185186</t>
        </is>
      </c>
      <c r="O237" s="24" t="inlineStr">
        <is>
          <t>ATTRACTIVE</t>
        </is>
      </c>
      <c r="P237" s="24" t="inlineStr">
        <is>
          <t>가치 매력</t>
        </is>
      </c>
      <c r="Q237" s="24" t="inlineStr">
        <is>
          <t>ATTRACTIVE</t>
        </is>
      </c>
      <c r="R237" s="24" t="inlineStr">
        <is>
          <t>0.8763685947958789</t>
        </is>
      </c>
      <c r="S237" s="24" t="inlineStr">
        <is>
          <t>HIGH</t>
        </is>
      </c>
      <c r="T237" s="24" t="inlineStr">
        <is>
          <t>HIGH</t>
        </is>
      </c>
      <c r="U237" s="24" t="inlineStr">
        <is>
          <t>0.2857142857142857</t>
        </is>
      </c>
      <c r="V237" s="24" t="inlineStr">
        <is>
          <t>MEDIUM_RISK</t>
        </is>
      </c>
      <c r="W237" s="24" t="inlineStr">
        <is>
          <t>중위험</t>
        </is>
      </c>
      <c r="X237" s="24" t="inlineStr">
        <is>
          <t>MEDIUM_RISK</t>
        </is>
      </c>
      <c r="Y237" s="24" t="inlineStr">
        <is>
          <t>0.5963458259503356</t>
        </is>
      </c>
      <c r="Z237" s="24" t="inlineStr">
        <is>
          <t>MEDIUM</t>
        </is>
      </c>
      <c r="AA237" s="24" t="inlineStr">
        <is>
          <t>MEDIUM</t>
        </is>
      </c>
      <c r="AB237" s="24" t="inlineStr">
        <is>
          <t>0.07896643996759804</t>
        </is>
      </c>
      <c r="AC237" s="24" t="inlineStr">
        <is>
          <t>False</t>
        </is>
      </c>
      <c r="AD237" s="24" t="inlineStr">
        <is>
          <t>False</t>
        </is>
      </c>
      <c r="AE237" s="24" t="inlineStr">
        <is>
          <t>valuation_credit_ml_overlay_candidate.csv</t>
        </is>
      </c>
      <c r="AF237" s="24" t="inlineStr">
        <is>
          <t>208개 반도체 reference universe. Valuation Agent가 자체 intake 폴더로 복제해 Peer/ML/대시보드 비교에 사용.</t>
        </is>
      </c>
    </row>
    <row r="238" ht="24" customHeight="1">
      <c r="A238" s="29" t="inlineStr">
        <is>
          <t>151</t>
        </is>
      </c>
      <c r="B238" s="29" t="inlineStr">
        <is>
          <t>해당 없음</t>
        </is>
      </c>
      <c r="C238" s="29" t="inlineStr">
        <is>
          <t>KX하이텍</t>
        </is>
      </c>
      <c r="D238" s="29" t="inlineStr">
        <is>
          <t>052900</t>
        </is>
      </c>
      <c r="E238" s="29" t="inlineStr">
        <is>
          <t>KOSDAQ</t>
        </is>
      </c>
      <c r="F238" s="29" t="inlineStr">
        <is>
          <t>후공정/패키징/테스트</t>
        </is>
      </c>
      <c r="G238" s="29" t="inlineStr">
        <is>
          <t>후공정/패키징/테스트</t>
        </is>
      </c>
      <c r="H238" s="29" t="inlineStr">
        <is>
          <t>False</t>
        </is>
      </c>
      <c r="I238" s="29" t="inlineStr">
        <is>
          <t>True</t>
        </is>
      </c>
      <c r="J238" s="29" t="inlineStr">
        <is>
          <t>OK</t>
        </is>
      </c>
      <c r="K238" s="29" t="inlineStr">
        <is>
          <t>데이터 사용 가능</t>
        </is>
      </c>
      <c r="L238" s="29" t="inlineStr">
        <is>
          <t>LOW</t>
        </is>
      </c>
      <c r="M238" s="29" t="inlineStr">
        <is>
          <t>LOW</t>
        </is>
      </c>
      <c r="N238" s="29" t="inlineStr">
        <is>
          <t>0.6361481481481482</t>
        </is>
      </c>
      <c r="O238" s="29" t="inlineStr">
        <is>
          <t>ATTRACTIVE</t>
        </is>
      </c>
      <c r="P238" s="29" t="inlineStr">
        <is>
          <t>가치 매력</t>
        </is>
      </c>
      <c r="Q238" s="29" t="inlineStr">
        <is>
          <t>ATTRACTIVE</t>
        </is>
      </c>
      <c r="R238" s="29" t="inlineStr">
        <is>
          <t>0.7896879678479897</t>
        </is>
      </c>
      <c r="S238" s="29" t="inlineStr">
        <is>
          <t>HIGH</t>
        </is>
      </c>
      <c r="T238" s="29" t="inlineStr">
        <is>
          <t>HIGH</t>
        </is>
      </c>
      <c r="U238" s="29" t="inlineStr">
        <is>
          <t>0.0714285714285714</t>
        </is>
      </c>
      <c r="V238" s="29" t="inlineStr">
        <is>
          <t>LOW_RISK</t>
        </is>
      </c>
      <c r="W238" s="29" t="inlineStr">
        <is>
          <t>저위험</t>
        </is>
      </c>
      <c r="X238" s="29" t="inlineStr">
        <is>
          <t>LOW_RISK</t>
        </is>
      </c>
      <c r="Y238" s="29" t="inlineStr">
        <is>
          <t>0.87015899446037</t>
        </is>
      </c>
      <c r="Z238" s="29" t="inlineStr">
        <is>
          <t>HIGH</t>
        </is>
      </c>
      <c r="AA238" s="29" t="inlineStr">
        <is>
          <t>HIGH</t>
        </is>
      </c>
      <c r="AB238" s="29" t="inlineStr">
        <is>
          <t>0.012348610212675635</t>
        </is>
      </c>
      <c r="AC238" s="29" t="inlineStr">
        <is>
          <t>False</t>
        </is>
      </c>
      <c r="AD238" s="29" t="inlineStr">
        <is>
          <t>False</t>
        </is>
      </c>
      <c r="AE238" s="29" t="inlineStr">
        <is>
          <t>valuation_credit_ml_overlay_candidate.csv</t>
        </is>
      </c>
      <c r="AF238" s="29" t="inlineStr">
        <is>
          <t>208개 반도체 reference universe. Valuation Agent가 자체 intake 폴더로 복제해 Peer/ML/대시보드 비교에 사용.</t>
        </is>
      </c>
    </row>
    <row r="239" ht="24" customHeight="1">
      <c r="A239" s="24" t="inlineStr">
        <is>
          <t>172</t>
        </is>
      </c>
      <c r="B239" s="24" t="inlineStr">
        <is>
          <t>해당 없음</t>
        </is>
      </c>
      <c r="C239" s="24" t="inlineStr">
        <is>
          <t>에이치엠넥스</t>
        </is>
      </c>
      <c r="D239" s="24" t="inlineStr">
        <is>
          <t>036170</t>
        </is>
      </c>
      <c r="E239" s="24" t="inlineStr">
        <is>
          <t>KOSDAQ</t>
        </is>
      </c>
      <c r="F239" s="24" t="inlineStr">
        <is>
          <t>후공정/패키징/테스트</t>
        </is>
      </c>
      <c r="G239" s="24" t="inlineStr">
        <is>
          <t>후공정/패키징/테스트</t>
        </is>
      </c>
      <c r="H239" s="24" t="inlineStr">
        <is>
          <t>False</t>
        </is>
      </c>
      <c r="I239" s="24" t="inlineStr">
        <is>
          <t>True</t>
        </is>
      </c>
      <c r="J239" s="24" t="inlineStr">
        <is>
          <t>OK</t>
        </is>
      </c>
      <c r="K239" s="24" t="inlineStr">
        <is>
          <t>데이터 사용 가능</t>
        </is>
      </c>
      <c r="L239" s="24" t="inlineStr">
        <is>
          <t>LOW</t>
        </is>
      </c>
      <c r="M239" s="24" t="inlineStr">
        <is>
          <t>LOW</t>
        </is>
      </c>
      <c r="N239" s="24" t="inlineStr">
        <is>
          <t>0.621037037037037</t>
        </is>
      </c>
      <c r="O239" s="24" t="inlineStr">
        <is>
          <t>FAIR</t>
        </is>
      </c>
      <c r="P239" s="24" t="inlineStr">
        <is>
          <t>FAIR</t>
        </is>
      </c>
      <c r="Q239" s="24" t="inlineStr">
        <is>
          <t>FAIR</t>
        </is>
      </c>
      <c r="R239" s="24" t="inlineStr">
        <is>
          <t>0.7433115072206052</t>
        </is>
      </c>
      <c r="S239" s="24" t="inlineStr">
        <is>
          <t>HIGH</t>
        </is>
      </c>
      <c r="T239" s="24" t="inlineStr">
        <is>
          <t>HIGH</t>
        </is>
      </c>
      <c r="U239" s="24" t="inlineStr">
        <is>
          <t>0.3571428571428571</t>
        </is>
      </c>
      <c r="V239" s="24" t="inlineStr">
        <is>
          <t>MEDIUM_RISK</t>
        </is>
      </c>
      <c r="W239" s="24" t="inlineStr">
        <is>
          <t>중위험</t>
        </is>
      </c>
      <c r="X239" s="24" t="inlineStr">
        <is>
          <t>MEDIUM_RISK</t>
        </is>
      </c>
      <c r="Y239" s="24" t="inlineStr">
        <is>
          <t>0.7084051764737881</t>
        </is>
      </c>
      <c r="Z239" s="24" t="inlineStr">
        <is>
          <t>HIGH</t>
        </is>
      </c>
      <c r="AA239" s="24" t="inlineStr">
        <is>
          <t>HIGH</t>
        </is>
      </c>
      <c r="AB239" s="24" t="inlineStr">
        <is>
          <t>0.3531105059628509</t>
        </is>
      </c>
      <c r="AC239" s="24" t="inlineStr">
        <is>
          <t>True</t>
        </is>
      </c>
      <c r="AD239" s="24" t="inlineStr">
        <is>
          <t>True</t>
        </is>
      </c>
      <c r="AE239" s="24" t="inlineStr">
        <is>
          <t>valuation_credit_ml_overlay_candidate.csv</t>
        </is>
      </c>
      <c r="AF239" s="24" t="inlineStr">
        <is>
          <t>208개 반도체 reference universe. Valuation Agent가 자체 intake 폴더로 복제해 Peer/ML/대시보드 비교에 사용.</t>
        </is>
      </c>
    </row>
    <row r="240" ht="24" customHeight="1">
      <c r="A240" s="29" t="inlineStr">
        <is>
          <t>162</t>
        </is>
      </c>
      <c r="B240" s="29" t="inlineStr">
        <is>
          <t>해당 없음</t>
        </is>
      </c>
      <c r="C240" s="29" t="inlineStr">
        <is>
          <t>리노공업</t>
        </is>
      </c>
      <c r="D240" s="29" t="inlineStr">
        <is>
          <t>058470</t>
        </is>
      </c>
      <c r="E240" s="29" t="inlineStr">
        <is>
          <t>KOSDAQ GLOBAL</t>
        </is>
      </c>
      <c r="F240" s="29" t="inlineStr">
        <is>
          <t>후공정/패키징/테스트</t>
        </is>
      </c>
      <c r="G240" s="29" t="inlineStr">
        <is>
          <t>후공정/패키징/테스트</t>
        </is>
      </c>
      <c r="H240" s="29" t="inlineStr">
        <is>
          <t>False</t>
        </is>
      </c>
      <c r="I240" s="29" t="inlineStr">
        <is>
          <t>True</t>
        </is>
      </c>
      <c r="J240" s="29" t="inlineStr">
        <is>
          <t>OK</t>
        </is>
      </c>
      <c r="K240" s="29" t="inlineStr">
        <is>
          <t>데이터 사용 가능</t>
        </is>
      </c>
      <c r="L240" s="29" t="inlineStr">
        <is>
          <t>LOW</t>
        </is>
      </c>
      <c r="M240" s="29" t="inlineStr">
        <is>
          <t>LOW</t>
        </is>
      </c>
      <c r="N240" s="29" t="inlineStr">
        <is>
          <t>0.6191111111111112</t>
        </is>
      </c>
      <c r="O240" s="29" t="inlineStr">
        <is>
          <t>ATTRACTIVE</t>
        </is>
      </c>
      <c r="P240" s="29" t="inlineStr">
        <is>
          <t>가치 매력</t>
        </is>
      </c>
      <c r="Q240" s="29" t="inlineStr">
        <is>
          <t>ATTRACTIVE</t>
        </is>
      </c>
      <c r="R240" s="29" t="inlineStr">
        <is>
          <t>0.6825301704423244</t>
        </is>
      </c>
      <c r="S240" s="29" t="inlineStr">
        <is>
          <t>MEDIUM</t>
        </is>
      </c>
      <c r="T240" s="29" t="inlineStr">
        <is>
          <t>MEDIUM</t>
        </is>
      </c>
      <c r="U240" s="29" t="inlineStr">
        <is>
          <t>0.0</t>
        </is>
      </c>
      <c r="V240" s="29" t="inlineStr">
        <is>
          <t>LOW_RISK</t>
        </is>
      </c>
      <c r="W240" s="29" t="inlineStr">
        <is>
          <t>저위험</t>
        </is>
      </c>
      <c r="X240" s="29" t="inlineStr">
        <is>
          <t>LOW_RISK</t>
        </is>
      </c>
      <c r="Y240" s="29" t="inlineStr">
        <is>
          <t>0.941163557572434</t>
        </is>
      </c>
      <c r="Z240" s="29" t="inlineStr">
        <is>
          <t>HIGH</t>
        </is>
      </c>
      <c r="AA240" s="29" t="inlineStr">
        <is>
          <t>HIGH</t>
        </is>
      </c>
      <c r="AB240" s="29" t="inlineStr">
        <is>
          <t>0.3137137380028342</t>
        </is>
      </c>
      <c r="AC240" s="29" t="inlineStr">
        <is>
          <t>True</t>
        </is>
      </c>
      <c r="AD240" s="29" t="inlineStr">
        <is>
          <t>True</t>
        </is>
      </c>
      <c r="AE240" s="29" t="inlineStr">
        <is>
          <t>valuation_credit_ml_overlay_candidate.csv</t>
        </is>
      </c>
      <c r="AF240" s="29" t="inlineStr">
        <is>
          <t>208개 반도체 reference universe. Valuation Agent가 자체 intake 폴더로 복제해 Peer/ML/대시보드 비교에 사용.</t>
        </is>
      </c>
    </row>
    <row r="241" ht="24" customHeight="1">
      <c r="A241" s="24" t="inlineStr">
        <is>
          <t>175</t>
        </is>
      </c>
      <c r="B241" s="24" t="inlineStr">
        <is>
          <t>해당 없음</t>
        </is>
      </c>
      <c r="C241" s="24" t="inlineStr">
        <is>
          <t>오킨스전자</t>
        </is>
      </c>
      <c r="D241" s="24" t="inlineStr">
        <is>
          <t>080580</t>
        </is>
      </c>
      <c r="E241" s="24" t="inlineStr">
        <is>
          <t>KOSDAQ</t>
        </is>
      </c>
      <c r="F241" s="24" t="inlineStr">
        <is>
          <t>후공정/패키징/테스트</t>
        </is>
      </c>
      <c r="G241" s="24" t="inlineStr">
        <is>
          <t>후공정/패키징/테스트</t>
        </is>
      </c>
      <c r="H241" s="24" t="inlineStr">
        <is>
          <t>False</t>
        </is>
      </c>
      <c r="I241" s="24" t="inlineStr">
        <is>
          <t>True</t>
        </is>
      </c>
      <c r="J241" s="24" t="inlineStr">
        <is>
          <t>OK</t>
        </is>
      </c>
      <c r="K241" s="24" t="inlineStr">
        <is>
          <t>데이터 사용 가능</t>
        </is>
      </c>
      <c r="L241" s="24" t="inlineStr">
        <is>
          <t>LOW</t>
        </is>
      </c>
      <c r="M241" s="24" t="inlineStr">
        <is>
          <t>LOW</t>
        </is>
      </c>
      <c r="N241" s="24" t="inlineStr">
        <is>
          <t>0.6062222222222222</t>
        </is>
      </c>
      <c r="O241" s="24" t="inlineStr">
        <is>
          <t>ATTRACTIVE</t>
        </is>
      </c>
      <c r="P241" s="24" t="inlineStr">
        <is>
          <t>가치 매력</t>
        </is>
      </c>
      <c r="Q241" s="24" t="inlineStr">
        <is>
          <t>ATTRACTIVE</t>
        </is>
      </c>
      <c r="R241" s="24" t="inlineStr">
        <is>
          <t>0.8105235691914331</t>
        </is>
      </c>
      <c r="S241" s="24" t="inlineStr">
        <is>
          <t>HIGH</t>
        </is>
      </c>
      <c r="T241" s="24" t="inlineStr">
        <is>
          <t>HIGH</t>
        </is>
      </c>
      <c r="U241" s="24" t="inlineStr">
        <is>
          <t>0.2142857142857142</t>
        </is>
      </c>
      <c r="V241" s="24" t="inlineStr">
        <is>
          <t>MEDIUM_RISK</t>
        </is>
      </c>
      <c r="W241" s="24" t="inlineStr">
        <is>
          <t>중위험</t>
        </is>
      </c>
      <c r="X241" s="24" t="inlineStr">
        <is>
          <t>MEDIUM_RISK</t>
        </is>
      </c>
      <c r="Y241" s="24" t="inlineStr">
        <is>
          <t>0.5565647223385506</t>
        </is>
      </c>
      <c r="Z241" s="24" t="inlineStr">
        <is>
          <t>MEDIUM</t>
        </is>
      </c>
      <c r="AA241" s="24" t="inlineStr">
        <is>
          <t>MEDIUM</t>
        </is>
      </c>
      <c r="AB241" s="24" t="inlineStr">
        <is>
          <t>0.05131400931985753</t>
        </is>
      </c>
      <c r="AC241" s="24" t="inlineStr">
        <is>
          <t>False</t>
        </is>
      </c>
      <c r="AD241" s="24" t="inlineStr">
        <is>
          <t>False</t>
        </is>
      </c>
      <c r="AE241" s="24" t="inlineStr">
        <is>
          <t>valuation_credit_ml_overlay_candidate.csv</t>
        </is>
      </c>
      <c r="AF241" s="24" t="inlineStr">
        <is>
          <t>208개 반도체 reference universe. Valuation Agent가 자체 intake 폴더로 복제해 Peer/ML/대시보드 비교에 사용.</t>
        </is>
      </c>
    </row>
    <row r="242" ht="24" customHeight="1">
      <c r="A242" s="29" t="inlineStr">
        <is>
          <t>160</t>
        </is>
      </c>
      <c r="B242" s="29" t="inlineStr">
        <is>
          <t>해당 없음</t>
        </is>
      </c>
      <c r="C242" s="29" t="inlineStr">
        <is>
          <t>디아이</t>
        </is>
      </c>
      <c r="D242" s="29" t="inlineStr">
        <is>
          <t>003160</t>
        </is>
      </c>
      <c r="E242" s="29" t="inlineStr">
        <is>
          <t>KOSPI</t>
        </is>
      </c>
      <c r="F242" s="29" t="inlineStr">
        <is>
          <t>후공정/패키징/테스트</t>
        </is>
      </c>
      <c r="G242" s="29" t="inlineStr">
        <is>
          <t>후공정/패키징/테스트</t>
        </is>
      </c>
      <c r="H242" s="29" t="inlineStr">
        <is>
          <t>False</t>
        </is>
      </c>
      <c r="I242" s="29" t="inlineStr">
        <is>
          <t>True</t>
        </is>
      </c>
      <c r="J242" s="29" t="inlineStr">
        <is>
          <t>OK</t>
        </is>
      </c>
      <c r="K242" s="29" t="inlineStr">
        <is>
          <t>데이터 사용 가능</t>
        </is>
      </c>
      <c r="L242" s="29" t="inlineStr">
        <is>
          <t>LOW</t>
        </is>
      </c>
      <c r="M242" s="29" t="inlineStr">
        <is>
          <t>LOW</t>
        </is>
      </c>
      <c r="N242" s="29" t="inlineStr">
        <is>
          <t>0.5875555555555555</t>
        </is>
      </c>
      <c r="O242" s="29" t="inlineStr">
        <is>
          <t>ATTRACTIVE</t>
        </is>
      </c>
      <c r="P242" s="29" t="inlineStr">
        <is>
          <t>가치 매력</t>
        </is>
      </c>
      <c r="Q242" s="29" t="inlineStr">
        <is>
          <t>ATTRACTIVE</t>
        </is>
      </c>
      <c r="R242" s="29" t="inlineStr">
        <is>
          <t>0.6560906263736197</t>
        </is>
      </c>
      <c r="S242" s="29" t="inlineStr">
        <is>
          <t>MEDIUM</t>
        </is>
      </c>
      <c r="T242" s="29" t="inlineStr">
        <is>
          <t>MEDIUM</t>
        </is>
      </c>
      <c r="U242" s="29" t="inlineStr">
        <is>
          <t>0.0714285714285714</t>
        </is>
      </c>
      <c r="V242" s="29" t="inlineStr">
        <is>
          <t>LOW_RISK</t>
        </is>
      </c>
      <c r="W242" s="29" t="inlineStr">
        <is>
          <t>저위험</t>
        </is>
      </c>
      <c r="X242" s="29" t="inlineStr">
        <is>
          <t>LOW_RISK</t>
        </is>
      </c>
      <c r="Y242" s="29" t="inlineStr">
        <is>
          <t>0.7571818581431954</t>
        </is>
      </c>
      <c r="Z242" s="29" t="inlineStr">
        <is>
          <t>HIGH</t>
        </is>
      </c>
      <c r="AA242" s="29" t="inlineStr">
        <is>
          <t>HIGH</t>
        </is>
      </c>
      <c r="AB242" s="29" t="inlineStr">
        <is>
          <t>0.027510707117244317</t>
        </is>
      </c>
      <c r="AC242" s="29" t="inlineStr">
        <is>
          <t>False</t>
        </is>
      </c>
      <c r="AD242" s="29" t="inlineStr">
        <is>
          <t>False</t>
        </is>
      </c>
      <c r="AE242" s="29" t="inlineStr">
        <is>
          <t>valuation_credit_ml_overlay_candidate.csv</t>
        </is>
      </c>
      <c r="AF242" s="29" t="inlineStr">
        <is>
          <t>208개 반도체 reference universe. Valuation Agent가 자체 intake 폴더로 복제해 Peer/ML/대시보드 비교에 사용.</t>
        </is>
      </c>
    </row>
    <row r="243" ht="24" customHeight="1">
      <c r="A243" s="24" t="inlineStr">
        <is>
          <t>174</t>
        </is>
      </c>
      <c r="B243" s="24" t="inlineStr">
        <is>
          <t>해당 없음</t>
        </is>
      </c>
      <c r="C243" s="24" t="inlineStr">
        <is>
          <t>엑시콘</t>
        </is>
      </c>
      <c r="D243" s="24" t="inlineStr">
        <is>
          <t>092870</t>
        </is>
      </c>
      <c r="E243" s="24" t="inlineStr">
        <is>
          <t>KOSDAQ</t>
        </is>
      </c>
      <c r="F243" s="24" t="inlineStr">
        <is>
          <t>후공정/패키징/테스트</t>
        </is>
      </c>
      <c r="G243" s="24" t="inlineStr">
        <is>
          <t>후공정/패키징/테스트</t>
        </is>
      </c>
      <c r="H243" s="24" t="inlineStr">
        <is>
          <t>False</t>
        </is>
      </c>
      <c r="I243" s="24" t="inlineStr">
        <is>
          <t>True</t>
        </is>
      </c>
      <c r="J243" s="24" t="inlineStr">
        <is>
          <t>OK</t>
        </is>
      </c>
      <c r="K243" s="24" t="inlineStr">
        <is>
          <t>데이터 사용 가능</t>
        </is>
      </c>
      <c r="L243" s="24" t="inlineStr">
        <is>
          <t>LOW</t>
        </is>
      </c>
      <c r="M243" s="24" t="inlineStr">
        <is>
          <t>LOW</t>
        </is>
      </c>
      <c r="N243" s="24" t="inlineStr">
        <is>
          <t>0.5711111111111111</t>
        </is>
      </c>
      <c r="O243" s="24" t="inlineStr">
        <is>
          <t>FAIR</t>
        </is>
      </c>
      <c r="P243" s="24" t="inlineStr">
        <is>
          <t>FAIR</t>
        </is>
      </c>
      <c r="Q243" s="24" t="inlineStr">
        <is>
          <t>FAIR</t>
        </is>
      </c>
      <c r="R243" s="24" t="inlineStr">
        <is>
          <t>0.7870958268046786</t>
        </is>
      </c>
      <c r="S243" s="24" t="inlineStr">
        <is>
          <t>HIGH</t>
        </is>
      </c>
      <c r="T243" s="24" t="inlineStr">
        <is>
          <t>HIGH</t>
        </is>
      </c>
      <c r="U243" s="24" t="inlineStr">
        <is>
          <t>0.2142857142857142</t>
        </is>
      </c>
      <c r="V243" s="24" t="inlineStr">
        <is>
          <t>MEDIUM_RISK</t>
        </is>
      </c>
      <c r="W243" s="24" t="inlineStr">
        <is>
          <t>중위험</t>
        </is>
      </c>
      <c r="X243" s="24" t="inlineStr">
        <is>
          <t>MEDIUM_RISK</t>
        </is>
      </c>
      <c r="Y243" s="24" t="inlineStr">
        <is>
          <t>0.6956414267155251</t>
        </is>
      </c>
      <c r="Z243" s="24" t="inlineStr">
        <is>
          <t>MEDIUM</t>
        </is>
      </c>
      <c r="AA243" s="24" t="inlineStr">
        <is>
          <t>MEDIUM</t>
        </is>
      </c>
      <c r="AB243" s="24" t="inlineStr">
        <is>
          <t>0.09079387845598708</t>
        </is>
      </c>
      <c r="AC243" s="24" t="inlineStr">
        <is>
          <t>False</t>
        </is>
      </c>
      <c r="AD243" s="24" t="inlineStr">
        <is>
          <t>False</t>
        </is>
      </c>
      <c r="AE243" s="24" t="inlineStr">
        <is>
          <t>valuation_credit_ml_overlay_candidate.csv</t>
        </is>
      </c>
      <c r="AF243" s="24" t="inlineStr">
        <is>
          <t>208개 반도체 reference universe. Valuation Agent가 자체 intake 폴더로 복제해 Peer/ML/대시보드 비교에 사용.</t>
        </is>
      </c>
    </row>
    <row r="244" ht="24" customHeight="1">
      <c r="A244" s="29" t="inlineStr">
        <is>
          <t>177</t>
        </is>
      </c>
      <c r="B244" s="29" t="inlineStr">
        <is>
          <t>해당 없음</t>
        </is>
      </c>
      <c r="C244" s="29" t="inlineStr">
        <is>
          <t>우리이앤엘하루틴</t>
        </is>
      </c>
      <c r="D244" s="29" t="inlineStr">
        <is>
          <t>153490</t>
        </is>
      </c>
      <c r="E244" s="29" t="inlineStr">
        <is>
          <t>KOSDAQ</t>
        </is>
      </c>
      <c r="F244" s="29" t="inlineStr">
        <is>
          <t>후공정/패키징/테스트</t>
        </is>
      </c>
      <c r="G244" s="29" t="inlineStr">
        <is>
          <t>후공정/패키징/테스트</t>
        </is>
      </c>
      <c r="H244" s="29" t="inlineStr">
        <is>
          <t>False</t>
        </is>
      </c>
      <c r="I244" s="29" t="inlineStr">
        <is>
          <t>True</t>
        </is>
      </c>
      <c r="J244" s="29" t="inlineStr">
        <is>
          <t>OK</t>
        </is>
      </c>
      <c r="K244" s="29" t="inlineStr">
        <is>
          <t>데이터 사용 가능</t>
        </is>
      </c>
      <c r="L244" s="29" t="inlineStr">
        <is>
          <t>LOW</t>
        </is>
      </c>
      <c r="M244" s="29" t="inlineStr">
        <is>
          <t>LOW</t>
        </is>
      </c>
      <c r="N244" s="29" t="inlineStr">
        <is>
          <t>0.5598518518518519</t>
        </is>
      </c>
      <c r="O244" s="29" t="inlineStr">
        <is>
          <t>FAIR</t>
        </is>
      </c>
      <c r="P244" s="29" t="inlineStr">
        <is>
          <t>FAIR</t>
        </is>
      </c>
      <c r="Q244" s="29" t="inlineStr">
        <is>
          <t>FAIR</t>
        </is>
      </c>
      <c r="R244" s="29" t="inlineStr">
        <is>
          <t>0.803860880134826</t>
        </is>
      </c>
      <c r="S244" s="29" t="inlineStr">
        <is>
          <t>HIGH</t>
        </is>
      </c>
      <c r="T244" s="29" t="inlineStr">
        <is>
          <t>HIGH</t>
        </is>
      </c>
      <c r="U244" s="29" t="inlineStr">
        <is>
          <t>0.1428571428571428</t>
        </is>
      </c>
      <c r="V244" s="29" t="inlineStr">
        <is>
          <t>LOW_RISK</t>
        </is>
      </c>
      <c r="W244" s="29" t="inlineStr">
        <is>
          <t>저위험</t>
        </is>
      </c>
      <c r="X244" s="29" t="inlineStr">
        <is>
          <t>LOW_RISK</t>
        </is>
      </c>
      <c r="Y244" s="29" t="inlineStr">
        <is>
          <t>0.5263237628250668</t>
        </is>
      </c>
      <c r="Z244" s="29" t="inlineStr">
        <is>
          <t>MEDIUM</t>
        </is>
      </c>
      <c r="AA244" s="29" t="inlineStr">
        <is>
          <t>MEDIUM</t>
        </is>
      </c>
      <c r="AB244" s="29" t="inlineStr">
        <is>
          <t>0.12425981563248314</t>
        </is>
      </c>
      <c r="AC244" s="29" t="inlineStr">
        <is>
          <t>False</t>
        </is>
      </c>
      <c r="AD244" s="29" t="inlineStr">
        <is>
          <t>False</t>
        </is>
      </c>
      <c r="AE244" s="29" t="inlineStr">
        <is>
          <t>valuation_credit_ml_overlay_candidate.csv</t>
        </is>
      </c>
      <c r="AF244" s="29" t="inlineStr">
        <is>
          <t>208개 반도체 reference universe. Valuation Agent가 자체 intake 폴더로 복제해 Peer/ML/대시보드 비교에 사용.</t>
        </is>
      </c>
    </row>
    <row r="245" ht="24" customHeight="1">
      <c r="A245" s="24" t="inlineStr">
        <is>
          <t>176</t>
        </is>
      </c>
      <c r="B245" s="24" t="inlineStr">
        <is>
          <t>해당 없음</t>
        </is>
      </c>
      <c r="C245" s="24" t="inlineStr">
        <is>
          <t>와이씨</t>
        </is>
      </c>
      <c r="D245" s="24" t="inlineStr">
        <is>
          <t>232140</t>
        </is>
      </c>
      <c r="E245" s="24" t="inlineStr">
        <is>
          <t>KOSDAQ</t>
        </is>
      </c>
      <c r="F245" s="24" t="inlineStr">
        <is>
          <t>후공정/패키징/테스트</t>
        </is>
      </c>
      <c r="G245" s="24" t="inlineStr">
        <is>
          <t>후공정/패키징/테스트</t>
        </is>
      </c>
      <c r="H245" s="24" t="inlineStr">
        <is>
          <t>False</t>
        </is>
      </c>
      <c r="I245" s="24" t="inlineStr">
        <is>
          <t>True</t>
        </is>
      </c>
      <c r="J245" s="24" t="inlineStr">
        <is>
          <t>OK</t>
        </is>
      </c>
      <c r="K245" s="24" t="inlineStr">
        <is>
          <t>데이터 사용 가능</t>
        </is>
      </c>
      <c r="L245" s="24" t="inlineStr">
        <is>
          <t>LOW</t>
        </is>
      </c>
      <c r="M245" s="24" t="inlineStr">
        <is>
          <t>LOW</t>
        </is>
      </c>
      <c r="N245" s="24" t="inlineStr">
        <is>
          <t>0.5573333333333333</t>
        </is>
      </c>
      <c r="O245" s="24" t="inlineStr">
        <is>
          <t>FAIR</t>
        </is>
      </c>
      <c r="P245" s="24" t="inlineStr">
        <is>
          <t>FAIR</t>
        </is>
      </c>
      <c r="Q245" s="24" t="inlineStr">
        <is>
          <t>FAIR</t>
        </is>
      </c>
      <c r="R245" s="24" t="inlineStr">
        <is>
          <t>0.5813875575219858</t>
        </is>
      </c>
      <c r="S245" s="24" t="inlineStr">
        <is>
          <t>MEDIUM</t>
        </is>
      </c>
      <c r="T245" s="24" t="inlineStr">
        <is>
          <t>MEDIUM</t>
        </is>
      </c>
      <c r="U245" s="24" t="inlineStr">
        <is>
          <t>0.0</t>
        </is>
      </c>
      <c r="V245" s="24" t="inlineStr">
        <is>
          <t>LOW_RISK</t>
        </is>
      </c>
      <c r="W245" s="24" t="inlineStr">
        <is>
          <t>저위험</t>
        </is>
      </c>
      <c r="X245" s="24" t="inlineStr">
        <is>
          <t>LOW_RISK</t>
        </is>
      </c>
      <c r="Y245" s="24" t="inlineStr">
        <is>
          <t>0.9779169949984006</t>
        </is>
      </c>
      <c r="Z245" s="24" t="inlineStr">
        <is>
          <t>HIGH</t>
        </is>
      </c>
      <c r="AA245" s="24" t="inlineStr">
        <is>
          <t>HIGH</t>
        </is>
      </c>
      <c r="AB245" s="24" t="inlineStr">
        <is>
          <t>0.027903490153269303</t>
        </is>
      </c>
      <c r="AC245" s="24" t="inlineStr">
        <is>
          <t>False</t>
        </is>
      </c>
      <c r="AD245" s="24" t="inlineStr">
        <is>
          <t>False</t>
        </is>
      </c>
      <c r="AE245" s="24" t="inlineStr">
        <is>
          <t>valuation_credit_ml_overlay_candidate.csv</t>
        </is>
      </c>
      <c r="AF245" s="24" t="inlineStr">
        <is>
          <t>208개 반도체 reference universe. Valuation Agent가 자체 intake 폴더로 복제해 Peer/ML/대시보드 비교에 사용.</t>
        </is>
      </c>
    </row>
    <row r="246" ht="24" customHeight="1">
      <c r="A246" s="29" t="inlineStr">
        <is>
          <t>155</t>
        </is>
      </c>
      <c r="B246" s="29" t="inlineStr">
        <is>
          <t>해당 없음</t>
        </is>
      </c>
      <c r="C246" s="29" t="inlineStr">
        <is>
          <t>기가비스</t>
        </is>
      </c>
      <c r="D246" s="29" t="inlineStr">
        <is>
          <t>420770</t>
        </is>
      </c>
      <c r="E246" s="29" t="inlineStr">
        <is>
          <t>KOSDAQ</t>
        </is>
      </c>
      <c r="F246" s="29" t="inlineStr">
        <is>
          <t>후공정/패키징/테스트</t>
        </is>
      </c>
      <c r="G246" s="29" t="inlineStr">
        <is>
          <t>후공정/패키징/테스트</t>
        </is>
      </c>
      <c r="H246" s="29" t="inlineStr">
        <is>
          <t>False</t>
        </is>
      </c>
      <c r="I246" s="29" t="inlineStr">
        <is>
          <t>True</t>
        </is>
      </c>
      <c r="J246" s="29" t="inlineStr">
        <is>
          <t>OK_LIMITED_HISTORY_OR_GROWTH_NA</t>
        </is>
      </c>
      <c r="K246" s="29" t="inlineStr">
        <is>
          <t>데이터 사용 가능</t>
        </is>
      </c>
      <c r="L246" s="29" t="inlineStr">
        <is>
          <t>LOW</t>
        </is>
      </c>
      <c r="M246" s="29" t="inlineStr">
        <is>
          <t>LOW</t>
        </is>
      </c>
      <c r="N246" s="29" t="inlineStr">
        <is>
          <t>0.5544444444444445</t>
        </is>
      </c>
      <c r="O246" s="29" t="inlineStr">
        <is>
          <t>FAIR</t>
        </is>
      </c>
      <c r="P246" s="29" t="inlineStr">
        <is>
          <t>FAIR</t>
        </is>
      </c>
      <c r="Q246" s="29" t="inlineStr">
        <is>
          <t>FAIR</t>
        </is>
      </c>
      <c r="R246" s="29" t="inlineStr">
        <is>
          <t>0.604283449323821</t>
        </is>
      </c>
      <c r="S246" s="29" t="inlineStr">
        <is>
          <t>MEDIUM</t>
        </is>
      </c>
      <c r="T246" s="29" t="inlineStr">
        <is>
          <t>MEDIUM</t>
        </is>
      </c>
      <c r="U246" s="29" t="inlineStr">
        <is>
          <t>0.0714285714285714</t>
        </is>
      </c>
      <c r="V246" s="29" t="inlineStr">
        <is>
          <t>LOW_RISK</t>
        </is>
      </c>
      <c r="W246" s="29" t="inlineStr">
        <is>
          <t>저위험</t>
        </is>
      </c>
      <c r="X246" s="29" t="inlineStr">
        <is>
          <t>LOW_RISK</t>
        </is>
      </c>
      <c r="Y246" s="29" t="inlineStr">
        <is>
          <t>0.9462252670112353</t>
        </is>
      </c>
      <c r="Z246" s="29" t="inlineStr">
        <is>
          <t>HIGH</t>
        </is>
      </c>
      <c r="AA246" s="29" t="inlineStr">
        <is>
          <t>HIGH</t>
        </is>
      </c>
      <c r="AB246" s="29" t="inlineStr">
        <is>
          <t>0.34444594339538714</t>
        </is>
      </c>
      <c r="AC246" s="29" t="inlineStr">
        <is>
          <t>True</t>
        </is>
      </c>
      <c r="AD246" s="29" t="inlineStr">
        <is>
          <t>True</t>
        </is>
      </c>
      <c r="AE246" s="29" t="inlineStr">
        <is>
          <t>valuation_credit_ml_overlay_candidate.csv</t>
        </is>
      </c>
      <c r="AF246" s="29" t="inlineStr">
        <is>
          <t>208개 반도체 reference universe. Valuation Agent가 자체 intake 폴더로 복제해 Peer/ML/대시보드 비교에 사용.</t>
        </is>
      </c>
    </row>
    <row r="247" ht="24" customHeight="1">
      <c r="A247" s="24" t="inlineStr">
        <is>
          <t>194</t>
        </is>
      </c>
      <c r="B247" s="24" t="inlineStr">
        <is>
          <t>해당 없음</t>
        </is>
      </c>
      <c r="C247" s="24" t="inlineStr">
        <is>
          <t>해성디에스</t>
        </is>
      </c>
      <c r="D247" s="24" t="inlineStr">
        <is>
          <t>195870</t>
        </is>
      </c>
      <c r="E247" s="24" t="inlineStr">
        <is>
          <t>KOSPI</t>
        </is>
      </c>
      <c r="F247" s="24" t="inlineStr">
        <is>
          <t>후공정/패키징/테스트</t>
        </is>
      </c>
      <c r="G247" s="24" t="inlineStr">
        <is>
          <t>후공정/패키징/테스트</t>
        </is>
      </c>
      <c r="H247" s="24" t="inlineStr">
        <is>
          <t>False</t>
        </is>
      </c>
      <c r="I247" s="24" t="inlineStr">
        <is>
          <t>True</t>
        </is>
      </c>
      <c r="J247" s="24" t="inlineStr">
        <is>
          <t>OK</t>
        </is>
      </c>
      <c r="K247" s="24" t="inlineStr">
        <is>
          <t>데이터 사용 가능</t>
        </is>
      </c>
      <c r="L247" s="24" t="inlineStr">
        <is>
          <t>LOW</t>
        </is>
      </c>
      <c r="M247" s="24" t="inlineStr">
        <is>
          <t>LOW</t>
        </is>
      </c>
      <c r="N247" s="24" t="inlineStr">
        <is>
          <t>0.5333333333333333</t>
        </is>
      </c>
      <c r="O247" s="24" t="inlineStr">
        <is>
          <t>FAIR</t>
        </is>
      </c>
      <c r="P247" s="24" t="inlineStr">
        <is>
          <t>FAIR</t>
        </is>
      </c>
      <c r="Q247" s="24" t="inlineStr">
        <is>
          <t>FAIR</t>
        </is>
      </c>
      <c r="R247" s="24" t="inlineStr">
        <is>
          <t>0.8942165906576592</t>
        </is>
      </c>
      <c r="S247" s="24" t="inlineStr">
        <is>
          <t>HIGH</t>
        </is>
      </c>
      <c r="T247" s="24" t="inlineStr">
        <is>
          <t>HIGH</t>
        </is>
      </c>
      <c r="U247" s="24" t="inlineStr">
        <is>
          <t>0.0714285714285714</t>
        </is>
      </c>
      <c r="V247" s="24" t="inlineStr">
        <is>
          <t>LOW_RISK</t>
        </is>
      </c>
      <c r="W247" s="24" t="inlineStr">
        <is>
          <t>저위험</t>
        </is>
      </c>
      <c r="X247" s="24" t="inlineStr">
        <is>
          <t>LOW_RISK</t>
        </is>
      </c>
      <c r="Y247" s="24" t="inlineStr">
        <is>
          <t>0.7552918248784374</t>
        </is>
      </c>
      <c r="Z247" s="24" t="inlineStr">
        <is>
          <t>HIGH</t>
        </is>
      </c>
      <c r="AA247" s="24" t="inlineStr">
        <is>
          <t>HIGH</t>
        </is>
      </c>
      <c r="AB247" s="24" t="inlineStr">
        <is>
          <t>0.0</t>
        </is>
      </c>
      <c r="AC247" s="24" t="inlineStr">
        <is>
          <t>False</t>
        </is>
      </c>
      <c r="AD247" s="24" t="inlineStr">
        <is>
          <t>False</t>
        </is>
      </c>
      <c r="AE247" s="24" t="inlineStr">
        <is>
          <t>valuation_credit_ml_overlay_candidate.csv</t>
        </is>
      </c>
      <c r="AF247" s="24" t="inlineStr">
        <is>
          <t>208개 반도체 reference universe. Valuation Agent가 자체 intake 폴더로 복제해 Peer/ML/대시보드 비교에 사용.</t>
        </is>
      </c>
    </row>
    <row r="248" ht="24" customHeight="1">
      <c r="A248" s="29" t="inlineStr">
        <is>
          <t>150</t>
        </is>
      </c>
      <c r="B248" s="29" t="inlineStr">
        <is>
          <t>해당 없음</t>
        </is>
      </c>
      <c r="C248" s="29" t="inlineStr">
        <is>
          <t>ISC</t>
        </is>
      </c>
      <c r="D248" s="29" t="inlineStr">
        <is>
          <t>095340</t>
        </is>
      </c>
      <c r="E248" s="29" t="inlineStr">
        <is>
          <t>KOSDAQ GLOBAL</t>
        </is>
      </c>
      <c r="F248" s="29" t="inlineStr">
        <is>
          <t>후공정/패키징/테스트</t>
        </is>
      </c>
      <c r="G248" s="29" t="inlineStr">
        <is>
          <t>후공정/패키징/테스트</t>
        </is>
      </c>
      <c r="H248" s="29" t="inlineStr">
        <is>
          <t>False</t>
        </is>
      </c>
      <c r="I248" s="29" t="inlineStr">
        <is>
          <t>True</t>
        </is>
      </c>
      <c r="J248" s="29" t="inlineStr">
        <is>
          <t>OK</t>
        </is>
      </c>
      <c r="K248" s="29" t="inlineStr">
        <is>
          <t>데이터 사용 가능</t>
        </is>
      </c>
      <c r="L248" s="29" t="inlineStr">
        <is>
          <t>LOW</t>
        </is>
      </c>
      <c r="M248" s="29" t="inlineStr">
        <is>
          <t>LOW</t>
        </is>
      </c>
      <c r="N248" s="29" t="inlineStr">
        <is>
          <t>0.5176296296296296</t>
        </is>
      </c>
      <c r="O248" s="29" t="inlineStr">
        <is>
          <t>FAIR</t>
        </is>
      </c>
      <c r="P248" s="29" t="inlineStr">
        <is>
          <t>FAIR</t>
        </is>
      </c>
      <c r="Q248" s="29" t="inlineStr">
        <is>
          <t>FAIR</t>
        </is>
      </c>
      <c r="R248" s="29" t="inlineStr">
        <is>
          <t>0.5753148434947495</t>
        </is>
      </c>
      <c r="S248" s="29" t="inlineStr">
        <is>
          <t>MEDIUM</t>
        </is>
      </c>
      <c r="T248" s="29" t="inlineStr">
        <is>
          <t>MEDIUM</t>
        </is>
      </c>
      <c r="U248" s="29" t="inlineStr">
        <is>
          <t>0.0</t>
        </is>
      </c>
      <c r="V248" s="29" t="inlineStr">
        <is>
          <t>LOW_RISK</t>
        </is>
      </c>
      <c r="W248" s="29" t="inlineStr">
        <is>
          <t>저위험</t>
        </is>
      </c>
      <c r="X248" s="29" t="inlineStr">
        <is>
          <t>LOW_RISK</t>
        </is>
      </c>
      <c r="Y248" s="29" t="inlineStr">
        <is>
          <t>0.9755870924998499</t>
        </is>
      </c>
      <c r="Z248" s="29" t="inlineStr">
        <is>
          <t>HIGH</t>
        </is>
      </c>
      <c r="AA248" s="29" t="inlineStr">
        <is>
          <t>HIGH</t>
        </is>
      </c>
      <c r="AB248" s="29" t="inlineStr">
        <is>
          <t>0.14006921921799445</t>
        </is>
      </c>
      <c r="AC248" s="29" t="inlineStr">
        <is>
          <t>False</t>
        </is>
      </c>
      <c r="AD248" s="29" t="inlineStr">
        <is>
          <t>False</t>
        </is>
      </c>
      <c r="AE248" s="29" t="inlineStr">
        <is>
          <t>valuation_credit_ml_overlay_candidate.csv</t>
        </is>
      </c>
      <c r="AF248" s="29" t="inlineStr">
        <is>
          <t>208개 반도체 reference universe. Valuation Agent가 자체 intake 폴더로 복제해 Peer/ML/대시보드 비교에 사용.</t>
        </is>
      </c>
    </row>
    <row r="249" ht="24" customHeight="1">
      <c r="A249" s="24" t="inlineStr">
        <is>
          <t>173</t>
        </is>
      </c>
      <c r="B249" s="24" t="inlineStr">
        <is>
          <t>해당 없음</t>
        </is>
      </c>
      <c r="C249" s="24" t="inlineStr">
        <is>
          <t>에이팩트</t>
        </is>
      </c>
      <c r="D249" s="24" t="inlineStr">
        <is>
          <t>200470</t>
        </is>
      </c>
      <c r="E249" s="24" t="inlineStr">
        <is>
          <t>KOSDAQ</t>
        </is>
      </c>
      <c r="F249" s="24" t="inlineStr">
        <is>
          <t>후공정/패키징/테스트</t>
        </is>
      </c>
      <c r="G249" s="24" t="inlineStr">
        <is>
          <t>후공정/패키징/테스트</t>
        </is>
      </c>
      <c r="H249" s="24" t="inlineStr">
        <is>
          <t>False</t>
        </is>
      </c>
      <c r="I249" s="24" t="inlineStr">
        <is>
          <t>True</t>
        </is>
      </c>
      <c r="J249" s="24" t="inlineStr">
        <is>
          <t>OK</t>
        </is>
      </c>
      <c r="K249" s="24" t="inlineStr">
        <is>
          <t>데이터 사용 가능</t>
        </is>
      </c>
      <c r="L249" s="24" t="inlineStr">
        <is>
          <t>LOW</t>
        </is>
      </c>
      <c r="M249" s="24" t="inlineStr">
        <is>
          <t>LOW</t>
        </is>
      </c>
      <c r="N249" s="24" t="inlineStr">
        <is>
          <t>0.5026666666666667</t>
        </is>
      </c>
      <c r="O249" s="24" t="inlineStr">
        <is>
          <t>FAIR</t>
        </is>
      </c>
      <c r="P249" s="24" t="inlineStr">
        <is>
          <t>FAIR</t>
        </is>
      </c>
      <c r="Q249" s="24" t="inlineStr">
        <is>
          <t>FAIR</t>
        </is>
      </c>
      <c r="R249" s="24" t="inlineStr">
        <is>
          <t>0.8010795762920226</t>
        </is>
      </c>
      <c r="S249" s="24" t="inlineStr">
        <is>
          <t>HIGH</t>
        </is>
      </c>
      <c r="T249" s="24" t="inlineStr">
        <is>
          <t>HIGH</t>
        </is>
      </c>
      <c r="U249" s="24" t="inlineStr">
        <is>
          <t>0.4285714285714285</t>
        </is>
      </c>
      <c r="V249" s="24" t="inlineStr">
        <is>
          <t>HIGH_RISK</t>
        </is>
      </c>
      <c r="W249" s="24" t="inlineStr">
        <is>
          <t>고위험</t>
        </is>
      </c>
      <c r="X249" s="24" t="inlineStr">
        <is>
          <t>MEDIUM_RISK</t>
        </is>
      </c>
      <c r="Y249" s="24" t="inlineStr">
        <is>
          <t>0.40666664980482187</t>
        </is>
      </c>
      <c r="Z249" s="24" t="inlineStr">
        <is>
          <t>LOW</t>
        </is>
      </c>
      <c r="AA249" s="24" t="inlineStr">
        <is>
          <t>LOW</t>
        </is>
      </c>
      <c r="AB249" s="24" t="inlineStr">
        <is>
          <t>0.060282917359955154</t>
        </is>
      </c>
      <c r="AC249" s="24" t="inlineStr">
        <is>
          <t>False</t>
        </is>
      </c>
      <c r="AD249" s="24" t="inlineStr">
        <is>
          <t>True</t>
        </is>
      </c>
      <c r="AE249" s="24" t="inlineStr">
        <is>
          <t>valuation_credit_ml_overlay_candidate.csv</t>
        </is>
      </c>
      <c r="AF249" s="24" t="inlineStr">
        <is>
          <t>208개 반도체 reference universe. Valuation Agent가 자체 intake 폴더로 복제해 Peer/ML/대시보드 비교에 사용.</t>
        </is>
      </c>
    </row>
    <row r="250" ht="24" customHeight="1">
      <c r="A250" s="29" t="inlineStr">
        <is>
          <t>166</t>
        </is>
      </c>
      <c r="B250" s="29" t="inlineStr">
        <is>
          <t>해당 없음</t>
        </is>
      </c>
      <c r="C250" s="29" t="inlineStr">
        <is>
          <t>삼성전기</t>
        </is>
      </c>
      <c r="D250" s="29" t="inlineStr">
        <is>
          <t>009150</t>
        </is>
      </c>
      <c r="E250" s="29" t="inlineStr">
        <is>
          <t>KOSPI</t>
        </is>
      </c>
      <c r="F250" s="29" t="inlineStr">
        <is>
          <t>후공정/패키징/테스트</t>
        </is>
      </c>
      <c r="G250" s="29" t="inlineStr">
        <is>
          <t>후공정/패키징/테스트</t>
        </is>
      </c>
      <c r="H250" s="29" t="inlineStr">
        <is>
          <t>False</t>
        </is>
      </c>
      <c r="I250" s="29" t="inlineStr">
        <is>
          <t>True</t>
        </is>
      </c>
      <c r="J250" s="29" t="inlineStr">
        <is>
          <t>OK</t>
        </is>
      </c>
      <c r="K250" s="29" t="inlineStr">
        <is>
          <t>데이터 사용 가능</t>
        </is>
      </c>
      <c r="L250" s="29" t="inlineStr">
        <is>
          <t>LOW</t>
        </is>
      </c>
      <c r="M250" s="29" t="inlineStr">
        <is>
          <t>LOW</t>
        </is>
      </c>
      <c r="N250" s="29" t="inlineStr">
        <is>
          <t>0.4957037037037037</t>
        </is>
      </c>
      <c r="O250" s="29" t="inlineStr">
        <is>
          <t>FAIR</t>
        </is>
      </c>
      <c r="P250" s="29" t="inlineStr">
        <is>
          <t>FAIR</t>
        </is>
      </c>
      <c r="Q250" s="29" t="inlineStr">
        <is>
          <t>FAIR</t>
        </is>
      </c>
      <c r="R250" s="29" t="inlineStr">
        <is>
          <t>0.5297655139045552</t>
        </is>
      </c>
      <c r="S250" s="29" t="inlineStr">
        <is>
          <t>MEDIUM</t>
        </is>
      </c>
      <c r="T250" s="29" t="inlineStr">
        <is>
          <t>MEDIUM</t>
        </is>
      </c>
      <c r="U250" s="29" t="inlineStr">
        <is>
          <t>0.0</t>
        </is>
      </c>
      <c r="V250" s="29" t="inlineStr">
        <is>
          <t>LOW_RISK</t>
        </is>
      </c>
      <c r="W250" s="29" t="inlineStr">
        <is>
          <t>저위험</t>
        </is>
      </c>
      <c r="X250" s="29" t="inlineStr">
        <is>
          <t>LOW_RISK</t>
        </is>
      </c>
      <c r="Y250" s="29" t="inlineStr">
        <is>
          <t>0.9613637696053304</t>
        </is>
      </c>
      <c r="Z250" s="29" t="inlineStr">
        <is>
          <t>HIGH</t>
        </is>
      </c>
      <c r="AA250" s="29" t="inlineStr">
        <is>
          <t>HIGH</t>
        </is>
      </c>
      <c r="AB250" s="29" t="inlineStr">
        <is>
          <t>0.09523408011479967</t>
        </is>
      </c>
      <c r="AC250" s="29" t="inlineStr">
        <is>
          <t>False</t>
        </is>
      </c>
      <c r="AD250" s="29" t="inlineStr">
        <is>
          <t>False</t>
        </is>
      </c>
      <c r="AE250" s="29" t="inlineStr">
        <is>
          <t>valuation_credit_ml_overlay_candidate.csv</t>
        </is>
      </c>
      <c r="AF250" s="29" t="inlineStr">
        <is>
          <t>208개 반도체 reference universe. Valuation Agent가 자체 intake 폴더로 복제해 Peer/ML/대시보드 비교에 사용.</t>
        </is>
      </c>
    </row>
    <row r="251" ht="24" customHeight="1">
      <c r="A251" s="24" t="inlineStr">
        <is>
          <t>171</t>
        </is>
      </c>
      <c r="B251" s="24" t="inlineStr">
        <is>
          <t>해당 없음</t>
        </is>
      </c>
      <c r="C251" s="24" t="inlineStr">
        <is>
          <t>에이엘티</t>
        </is>
      </c>
      <c r="D251" s="24" t="inlineStr">
        <is>
          <t>172670</t>
        </is>
      </c>
      <c r="E251" s="24" t="inlineStr">
        <is>
          <t>KOSDAQ</t>
        </is>
      </c>
      <c r="F251" s="24" t="inlineStr">
        <is>
          <t>후공정/패키징/테스트</t>
        </is>
      </c>
      <c r="G251" s="24" t="inlineStr">
        <is>
          <t>후공정/패키징/테스트</t>
        </is>
      </c>
      <c r="H251" s="24" t="inlineStr">
        <is>
          <t>False</t>
        </is>
      </c>
      <c r="I251" s="24" t="inlineStr">
        <is>
          <t>True</t>
        </is>
      </c>
      <c r="J251" s="24" t="inlineStr">
        <is>
          <t>OK</t>
        </is>
      </c>
      <c r="K251" s="24" t="inlineStr">
        <is>
          <t>데이터 사용 가능</t>
        </is>
      </c>
      <c r="L251" s="24" t="inlineStr">
        <is>
          <t>LOW</t>
        </is>
      </c>
      <c r="M251" s="24" t="inlineStr">
        <is>
          <t>LOW</t>
        </is>
      </c>
      <c r="N251" s="24" t="inlineStr">
        <is>
          <t>0.4877037037037036</t>
        </is>
      </c>
      <c r="O251" s="24" t="inlineStr">
        <is>
          <t>FAIR</t>
        </is>
      </c>
      <c r="P251" s="24" t="inlineStr">
        <is>
          <t>FAIR</t>
        </is>
      </c>
      <c r="Q251" s="24" t="inlineStr">
        <is>
          <t>FAIR</t>
        </is>
      </c>
      <c r="R251" s="24" t="inlineStr">
        <is>
          <t>0.5308622758067901</t>
        </is>
      </c>
      <c r="S251" s="24" t="inlineStr">
        <is>
          <t>MEDIUM</t>
        </is>
      </c>
      <c r="T251" s="24" t="inlineStr">
        <is>
          <t>MEDIUM</t>
        </is>
      </c>
      <c r="U251" s="24" t="inlineStr">
        <is>
          <t>0.3571428571428571</t>
        </is>
      </c>
      <c r="V251" s="24" t="inlineStr">
        <is>
          <t>MEDIUM_RISK</t>
        </is>
      </c>
      <c r="W251" s="24" t="inlineStr">
        <is>
          <t>중위험</t>
        </is>
      </c>
      <c r="X251" s="24" t="inlineStr">
        <is>
          <t>MEDIUM_RISK</t>
        </is>
      </c>
      <c r="Y251" s="24" t="inlineStr">
        <is>
          <t>0.6934148613969219</t>
        </is>
      </c>
      <c r="Z251" s="24" t="inlineStr">
        <is>
          <t>MEDIUM</t>
        </is>
      </c>
      <c r="AA251" s="24" t="inlineStr">
        <is>
          <t>MEDIUM</t>
        </is>
      </c>
      <c r="AB251" s="24" t="inlineStr">
        <is>
          <t>0.07946889412350498</t>
        </is>
      </c>
      <c r="AC251" s="24" t="inlineStr">
        <is>
          <t>False</t>
        </is>
      </c>
      <c r="AD251" s="24" t="inlineStr">
        <is>
          <t>False</t>
        </is>
      </c>
      <c r="AE251" s="24" t="inlineStr">
        <is>
          <t>valuation_credit_ml_overlay_candidate.csv</t>
        </is>
      </c>
      <c r="AF251" s="24" t="inlineStr">
        <is>
          <t>208개 반도체 reference universe. Valuation Agent가 자체 intake 폴더로 복제해 Peer/ML/대시보드 비교에 사용.</t>
        </is>
      </c>
    </row>
    <row r="252" ht="24" customHeight="1">
      <c r="A252" s="29" t="inlineStr">
        <is>
          <t>184</t>
        </is>
      </c>
      <c r="B252" s="29" t="inlineStr">
        <is>
          <t>해당 없음</t>
        </is>
      </c>
      <c r="C252" s="29" t="inlineStr">
        <is>
          <t>큐알티</t>
        </is>
      </c>
      <c r="D252" s="29" t="inlineStr">
        <is>
          <t>405100</t>
        </is>
      </c>
      <c r="E252" s="29" t="inlineStr">
        <is>
          <t>KOSDAQ</t>
        </is>
      </c>
      <c r="F252" s="29" t="inlineStr">
        <is>
          <t>후공정/패키징/테스트</t>
        </is>
      </c>
      <c r="G252" s="29" t="inlineStr">
        <is>
          <t>후공정/패키징/테스트</t>
        </is>
      </c>
      <c r="H252" s="29" t="inlineStr">
        <is>
          <t>False</t>
        </is>
      </c>
      <c r="I252" s="29" t="inlineStr">
        <is>
          <t>True</t>
        </is>
      </c>
      <c r="J252" s="29" t="inlineStr">
        <is>
          <t>OK</t>
        </is>
      </c>
      <c r="K252" s="29" t="inlineStr">
        <is>
          <t>데이터 사용 가능</t>
        </is>
      </c>
      <c r="L252" s="29" t="inlineStr">
        <is>
          <t>LOW</t>
        </is>
      </c>
      <c r="M252" s="29" t="inlineStr">
        <is>
          <t>LOW</t>
        </is>
      </c>
      <c r="N252" s="29" t="inlineStr">
        <is>
          <t>0.4782222222222222</t>
        </is>
      </c>
      <c r="O252" s="29" t="inlineStr">
        <is>
          <t>FAIR</t>
        </is>
      </c>
      <c r="P252" s="29" t="inlineStr">
        <is>
          <t>FAIR</t>
        </is>
      </c>
      <c r="Q252" s="29" t="inlineStr">
        <is>
          <t>ATTRACTIVE</t>
        </is>
      </c>
      <c r="R252" s="29" t="inlineStr">
        <is>
          <t>0.4463498311096922</t>
        </is>
      </c>
      <c r="S252" s="29" t="inlineStr">
        <is>
          <t>LOW</t>
        </is>
      </c>
      <c r="T252" s="29" t="inlineStr">
        <is>
          <t>LOW</t>
        </is>
      </c>
      <c r="U252" s="29" t="inlineStr">
        <is>
          <t>0.0</t>
        </is>
      </c>
      <c r="V252" s="29" t="inlineStr">
        <is>
          <t>LOW_RISK</t>
        </is>
      </c>
      <c r="W252" s="29" t="inlineStr">
        <is>
          <t>저위험</t>
        </is>
      </c>
      <c r="X252" s="29" t="inlineStr">
        <is>
          <t>LOW_RISK</t>
        </is>
      </c>
      <c r="Y252" s="29" t="inlineStr">
        <is>
          <t>0.8693080817598533</t>
        </is>
      </c>
      <c r="Z252" s="29" t="inlineStr">
        <is>
          <t>HIGH</t>
        </is>
      </c>
      <c r="AA252" s="29" t="inlineStr">
        <is>
          <t>HIGH</t>
        </is>
      </c>
      <c r="AB252" s="29" t="inlineStr">
        <is>
          <t>0.014158930737617927</t>
        </is>
      </c>
      <c r="AC252" s="29" t="inlineStr">
        <is>
          <t>False</t>
        </is>
      </c>
      <c r="AD252" s="29" t="inlineStr">
        <is>
          <t>True</t>
        </is>
      </c>
      <c r="AE252" s="29" t="inlineStr">
        <is>
          <t>valuation_credit_ml_overlay_candidate.csv</t>
        </is>
      </c>
      <c r="AF252" s="29" t="inlineStr">
        <is>
          <t>208개 반도체 reference universe. Valuation Agent가 자체 intake 폴더로 복제해 Peer/ML/대시보드 비교에 사용.</t>
        </is>
      </c>
    </row>
    <row r="253" ht="24" customHeight="1">
      <c r="A253" s="24" t="inlineStr">
        <is>
          <t>192</t>
        </is>
      </c>
      <c r="B253" s="24" t="inlineStr">
        <is>
          <t>hanmi</t>
        </is>
      </c>
      <c r="C253" s="24" t="inlineStr">
        <is>
          <t>한미반도체</t>
        </is>
      </c>
      <c r="D253" s="24" t="inlineStr">
        <is>
          <t>042700</t>
        </is>
      </c>
      <c r="E253" s="24" t="inlineStr">
        <is>
          <t>KOSPI</t>
        </is>
      </c>
      <c r="F253" s="24" t="inlineStr">
        <is>
          <t>후공정/패키징/테스트</t>
        </is>
      </c>
      <c r="G253" s="24" t="inlineStr">
        <is>
          <t>후공정/패키징/테스트</t>
        </is>
      </c>
      <c r="H253" s="24" t="inlineStr">
        <is>
          <t>True</t>
        </is>
      </c>
      <c r="I253" s="24" t="inlineStr">
        <is>
          <t>True</t>
        </is>
      </c>
      <c r="J253" s="24" t="inlineStr">
        <is>
          <t>OK</t>
        </is>
      </c>
      <c r="K253" s="24" t="inlineStr">
        <is>
          <t>데이터 사용 가능</t>
        </is>
      </c>
      <c r="L253" s="24" t="inlineStr">
        <is>
          <t>LOW</t>
        </is>
      </c>
      <c r="M253" s="24" t="inlineStr">
        <is>
          <t>LOW</t>
        </is>
      </c>
      <c r="N253" s="24" t="inlineStr">
        <is>
          <t>0.4712592592592592</t>
        </is>
      </c>
      <c r="O253" s="24" t="inlineStr">
        <is>
          <t>FAIR</t>
        </is>
      </c>
      <c r="P253" s="24" t="inlineStr">
        <is>
          <t>FAIR</t>
        </is>
      </c>
      <c r="Q253" s="24" t="inlineStr">
        <is>
          <t>FAIR</t>
        </is>
      </c>
      <c r="R253" s="24" t="inlineStr">
        <is>
          <t>0.618072727307107</t>
        </is>
      </c>
      <c r="S253" s="24" t="inlineStr">
        <is>
          <t>MEDIUM</t>
        </is>
      </c>
      <c r="T253" s="24" t="inlineStr">
        <is>
          <t>MEDIUM</t>
        </is>
      </c>
      <c r="U253" s="24" t="inlineStr">
        <is>
          <t>0.0</t>
        </is>
      </c>
      <c r="V253" s="24" t="inlineStr">
        <is>
          <t>LOW_RISK</t>
        </is>
      </c>
      <c r="W253" s="24" t="inlineStr">
        <is>
          <t>저위험</t>
        </is>
      </c>
      <c r="X253" s="24" t="inlineStr">
        <is>
          <t>LOW_RISK</t>
        </is>
      </c>
      <c r="Y253" s="24" t="inlineStr">
        <is>
          <t>0.9350232170644448</t>
        </is>
      </c>
      <c r="Z253" s="24" t="inlineStr">
        <is>
          <t>HIGH</t>
        </is>
      </c>
      <c r="AA253" s="24" t="inlineStr">
        <is>
          <t>HIGH</t>
        </is>
      </c>
      <c r="AB253" s="24" t="inlineStr">
        <is>
          <t>0.2707179947680644</t>
        </is>
      </c>
      <c r="AC253" s="24" t="inlineStr">
        <is>
          <t>True</t>
        </is>
      </c>
      <c r="AD253" s="24" t="inlineStr">
        <is>
          <t>True</t>
        </is>
      </c>
      <c r="AE253" s="24" t="inlineStr">
        <is>
          <t>valuation_credit_ml_overlay_candidate.csv</t>
        </is>
      </c>
      <c r="AF253" s="24" t="inlineStr">
        <is>
          <t>208개 반도체 reference universe. Valuation Agent가 자체 intake 폴더로 복제해 Peer/ML/대시보드 비교에 사용.</t>
        </is>
      </c>
    </row>
    <row r="254" ht="24" customHeight="1">
      <c r="A254" s="29" t="inlineStr">
        <is>
          <t>185</t>
        </is>
      </c>
      <c r="B254" s="29" t="inlineStr">
        <is>
          <t>해당 없음</t>
        </is>
      </c>
      <c r="C254" s="29" t="inlineStr">
        <is>
          <t>큐엠씨</t>
        </is>
      </c>
      <c r="D254" s="29" t="inlineStr">
        <is>
          <t>136660</t>
        </is>
      </c>
      <c r="E254" s="29" t="inlineStr">
        <is>
          <t>KONEX</t>
        </is>
      </c>
      <c r="F254" s="29" t="inlineStr">
        <is>
          <t>후공정/패키징/테스트</t>
        </is>
      </c>
      <c r="G254" s="29" t="inlineStr">
        <is>
          <t>후공정/패키징/테스트</t>
        </is>
      </c>
      <c r="H254" s="29" t="inlineStr">
        <is>
          <t>False</t>
        </is>
      </c>
      <c r="I254" s="29" t="inlineStr">
        <is>
          <t>True</t>
        </is>
      </c>
      <c r="J254" s="29" t="inlineStr">
        <is>
          <t>NO_DART_FINANCIAL_DATA</t>
        </is>
      </c>
      <c r="K254" s="29" t="inlineStr">
        <is>
          <t>데이터 사용 가능</t>
        </is>
      </c>
      <c r="L254" s="29" t="inlineStr">
        <is>
          <t>HIGH</t>
        </is>
      </c>
      <c r="M254" s="29" t="inlineStr">
        <is>
          <t>HIGH</t>
        </is>
      </c>
      <c r="N254" s="29" t="inlineStr">
        <is>
          <t>0.4711111111111111</t>
        </is>
      </c>
      <c r="O254" s="29" t="inlineStr">
        <is>
          <t>FAIR</t>
        </is>
      </c>
      <c r="P254" s="29" t="inlineStr">
        <is>
          <t>FAIR</t>
        </is>
      </c>
      <c r="Q254" s="29" t="inlineStr">
        <is>
          <t>FAIR</t>
        </is>
      </c>
      <c r="R254" s="29" t="inlineStr">
        <is>
          <t>0.9731046168075388</t>
        </is>
      </c>
      <c r="S254" s="29" t="inlineStr">
        <is>
          <t>HIGH</t>
        </is>
      </c>
      <c r="T254" s="29" t="inlineStr">
        <is>
          <t>HIGH</t>
        </is>
      </c>
      <c r="U254" s="29" t="inlineStr">
        <is>
          <t>0.2857142857142857</t>
        </is>
      </c>
      <c r="V254" s="29" t="inlineStr">
        <is>
          <t>MEDIUM_RISK</t>
        </is>
      </c>
      <c r="W254" s="29" t="inlineStr">
        <is>
          <t>중위험</t>
        </is>
      </c>
      <c r="X254" s="29" t="inlineStr">
        <is>
          <t>MEDIUM_RISK</t>
        </is>
      </c>
      <c r="Y254" s="29" t="inlineStr">
        <is>
          <t>0.7892126449586269</t>
        </is>
      </c>
      <c r="Z254" s="29" t="inlineStr">
        <is>
          <t>HIGH</t>
        </is>
      </c>
      <c r="AA254" s="29" t="inlineStr">
        <is>
          <t>HIGH</t>
        </is>
      </c>
      <c r="AB254" s="29" t="inlineStr">
        <is>
          <t>0.07859474908410963</t>
        </is>
      </c>
      <c r="AC254" s="29" t="inlineStr">
        <is>
          <t>False</t>
        </is>
      </c>
      <c r="AD254" s="29" t="inlineStr">
        <is>
          <t>True</t>
        </is>
      </c>
      <c r="AE254" s="29" t="inlineStr">
        <is>
          <t>valuation_credit_ml_overlay_candidate.csv</t>
        </is>
      </c>
      <c r="AF254" s="29" t="inlineStr">
        <is>
          <t>208개 반도체 reference universe. Valuation Agent가 자체 intake 폴더로 복제해 Peer/ML/대시보드 비교에 사용.</t>
        </is>
      </c>
    </row>
    <row r="255" ht="24" customHeight="1">
      <c r="A255" s="24" t="inlineStr">
        <is>
          <t>161</t>
        </is>
      </c>
      <c r="B255" s="24" t="inlineStr">
        <is>
          <t>해당 없음</t>
        </is>
      </c>
      <c r="C255" s="24" t="inlineStr">
        <is>
          <t>럭스피아</t>
        </is>
      </c>
      <c r="D255" s="24" t="inlineStr">
        <is>
          <t>092590</t>
        </is>
      </c>
      <c r="E255" s="24" t="inlineStr">
        <is>
          <t>KONEX</t>
        </is>
      </c>
      <c r="F255" s="24" t="inlineStr">
        <is>
          <t>후공정/패키징/테스트</t>
        </is>
      </c>
      <c r="G255" s="24" t="inlineStr">
        <is>
          <t>후공정/패키징/테스트</t>
        </is>
      </c>
      <c r="H255" s="24" t="inlineStr">
        <is>
          <t>False</t>
        </is>
      </c>
      <c r="I255" s="24" t="inlineStr">
        <is>
          <t>True</t>
        </is>
      </c>
      <c r="J255" s="24" t="inlineStr">
        <is>
          <t>NO_DART_FINANCIAL_DATA</t>
        </is>
      </c>
      <c r="K255" s="24" t="inlineStr">
        <is>
          <t>데이터 사용 가능</t>
        </is>
      </c>
      <c r="L255" s="24" t="inlineStr">
        <is>
          <t>HIGH</t>
        </is>
      </c>
      <c r="M255" s="24" t="inlineStr">
        <is>
          <t>HIGH</t>
        </is>
      </c>
      <c r="N255" s="24" t="inlineStr">
        <is>
          <t>0.4681481481481481</t>
        </is>
      </c>
      <c r="O255" s="24" t="inlineStr">
        <is>
          <t>FAIR</t>
        </is>
      </c>
      <c r="P255" s="24" t="inlineStr">
        <is>
          <t>FAIR</t>
        </is>
      </c>
      <c r="Q255" s="24" t="inlineStr">
        <is>
          <t>FAIR</t>
        </is>
      </c>
      <c r="R255" s="24" t="inlineStr">
        <is>
          <t>0.969533908094729</t>
        </is>
      </c>
      <c r="S255" s="24" t="inlineStr">
        <is>
          <t>HIGH</t>
        </is>
      </c>
      <c r="T255" s="24" t="inlineStr">
        <is>
          <t>HIGH</t>
        </is>
      </c>
      <c r="U255" s="24" t="inlineStr">
        <is>
          <t>0.2857142857142857</t>
        </is>
      </c>
      <c r="V255" s="24" t="inlineStr">
        <is>
          <t>MEDIUM_RISK</t>
        </is>
      </c>
      <c r="W255" s="24" t="inlineStr">
        <is>
          <t>중위험</t>
        </is>
      </c>
      <c r="X255" s="24" t="inlineStr">
        <is>
          <t>MEDIUM_RISK</t>
        </is>
      </c>
      <c r="Y255" s="24" t="inlineStr">
        <is>
          <t>0.7911598348888624</t>
        </is>
      </c>
      <c r="Z255" s="24" t="inlineStr">
        <is>
          <t>HIGH</t>
        </is>
      </c>
      <c r="AA255" s="24" t="inlineStr">
        <is>
          <t>HIGH</t>
        </is>
      </c>
      <c r="AB255" s="24" t="inlineStr">
        <is>
          <t>0.2507708118458056</t>
        </is>
      </c>
      <c r="AC255" s="24" t="inlineStr">
        <is>
          <t>True</t>
        </is>
      </c>
      <c r="AD255" s="24" t="inlineStr">
        <is>
          <t>True</t>
        </is>
      </c>
      <c r="AE255" s="24" t="inlineStr">
        <is>
          <t>valuation_credit_ml_overlay_candidate.csv</t>
        </is>
      </c>
      <c r="AF255" s="24" t="inlineStr">
        <is>
          <t>208개 반도체 reference universe. Valuation Agent가 자체 intake 폴더로 복제해 Peer/ML/대시보드 비교에 사용.</t>
        </is>
      </c>
    </row>
    <row r="256" ht="24" customHeight="1">
      <c r="A256" s="29" t="inlineStr">
        <is>
          <t>170</t>
        </is>
      </c>
      <c r="B256" s="29" t="inlineStr">
        <is>
          <t>해당 없음</t>
        </is>
      </c>
      <c r="C256" s="29" t="inlineStr">
        <is>
          <t>아이텍</t>
        </is>
      </c>
      <c r="D256" s="29" t="inlineStr">
        <is>
          <t>119830</t>
        </is>
      </c>
      <c r="E256" s="29" t="inlineStr">
        <is>
          <t>KOSDAQ</t>
        </is>
      </c>
      <c r="F256" s="29" t="inlineStr">
        <is>
          <t>후공정/패키징/테스트</t>
        </is>
      </c>
      <c r="G256" s="29" t="inlineStr">
        <is>
          <t>후공정/패키징/테스트</t>
        </is>
      </c>
      <c r="H256" s="29" t="inlineStr">
        <is>
          <t>False</t>
        </is>
      </c>
      <c r="I256" s="29" t="inlineStr">
        <is>
          <t>True</t>
        </is>
      </c>
      <c r="J256" s="29" t="inlineStr">
        <is>
          <t>OK</t>
        </is>
      </c>
      <c r="K256" s="29" t="inlineStr">
        <is>
          <t>데이터 사용 가능</t>
        </is>
      </c>
      <c r="L256" s="29" t="inlineStr">
        <is>
          <t>LOW</t>
        </is>
      </c>
      <c r="M256" s="29" t="inlineStr">
        <is>
          <t>LOW</t>
        </is>
      </c>
      <c r="N256" s="29" t="inlineStr">
        <is>
          <t>0.4573333333333333</t>
        </is>
      </c>
      <c r="O256" s="29" t="inlineStr">
        <is>
          <t>FAIR</t>
        </is>
      </c>
      <c r="P256" s="29" t="inlineStr">
        <is>
          <t>FAIR</t>
        </is>
      </c>
      <c r="Q256" s="29" t="inlineStr">
        <is>
          <t>FAIR</t>
        </is>
      </c>
      <c r="R256" s="29" t="inlineStr">
        <is>
          <t>0.6018206034002739</t>
        </is>
      </c>
      <c r="S256" s="29" t="inlineStr">
        <is>
          <t>MEDIUM</t>
        </is>
      </c>
      <c r="T256" s="29" t="inlineStr">
        <is>
          <t>MEDIUM</t>
        </is>
      </c>
      <c r="U256" s="29" t="inlineStr">
        <is>
          <t>0.2142857142857142</t>
        </is>
      </c>
      <c r="V256" s="29" t="inlineStr">
        <is>
          <t>MEDIUM_RISK</t>
        </is>
      </c>
      <c r="W256" s="29" t="inlineStr">
        <is>
          <t>중위험</t>
        </is>
      </c>
      <c r="X256" s="29" t="inlineStr">
        <is>
          <t>MEDIUM_RISK</t>
        </is>
      </c>
      <c r="Y256" s="29" t="inlineStr">
        <is>
          <t>0.793957358322354</t>
        </is>
      </c>
      <c r="Z256" s="29" t="inlineStr">
        <is>
          <t>HIGH</t>
        </is>
      </c>
      <c r="AA256" s="29" t="inlineStr">
        <is>
          <t>HIGH</t>
        </is>
      </c>
      <c r="AB256" s="29" t="inlineStr">
        <is>
          <t>0.17465361432297097</t>
        </is>
      </c>
      <c r="AC256" s="29" t="inlineStr">
        <is>
          <t>False</t>
        </is>
      </c>
      <c r="AD256" s="29" t="inlineStr">
        <is>
          <t>False</t>
        </is>
      </c>
      <c r="AE256" s="29" t="inlineStr">
        <is>
          <t>valuation_credit_ml_overlay_candidate.csv</t>
        </is>
      </c>
      <c r="AF256" s="29" t="inlineStr">
        <is>
          <t>208개 반도체 reference universe. Valuation Agent가 자체 intake 폴더로 복제해 Peer/ML/대시보드 비교에 사용.</t>
        </is>
      </c>
    </row>
    <row r="257" ht="24" customHeight="1">
      <c r="A257" s="24" t="inlineStr">
        <is>
          <t>179</t>
        </is>
      </c>
      <c r="B257" s="24" t="inlineStr">
        <is>
          <t>해당 없음</t>
        </is>
      </c>
      <c r="C257" s="24" t="inlineStr">
        <is>
          <t>윈팩</t>
        </is>
      </c>
      <c r="D257" s="24" t="inlineStr">
        <is>
          <t>097800</t>
        </is>
      </c>
      <c r="E257" s="24" t="inlineStr">
        <is>
          <t>KOSDAQ</t>
        </is>
      </c>
      <c r="F257" s="24" t="inlineStr">
        <is>
          <t>후공정/패키징/테스트</t>
        </is>
      </c>
      <c r="G257" s="24" t="inlineStr">
        <is>
          <t>후공정/패키징/테스트</t>
        </is>
      </c>
      <c r="H257" s="24" t="inlineStr">
        <is>
          <t>False</t>
        </is>
      </c>
      <c r="I257" s="24" t="inlineStr">
        <is>
          <t>True</t>
        </is>
      </c>
      <c r="J257" s="24" t="inlineStr">
        <is>
          <t>OK</t>
        </is>
      </c>
      <c r="K257" s="24" t="inlineStr">
        <is>
          <t>데이터 사용 가능</t>
        </is>
      </c>
      <c r="L257" s="24" t="inlineStr">
        <is>
          <t>LOW</t>
        </is>
      </c>
      <c r="M257" s="24" t="inlineStr">
        <is>
          <t>LOW</t>
        </is>
      </c>
      <c r="N257" s="24" t="inlineStr">
        <is>
          <t>0.4417777777777778</t>
        </is>
      </c>
      <c r="O257" s="24" t="inlineStr">
        <is>
          <t>FAIR</t>
        </is>
      </c>
      <c r="P257" s="24" t="inlineStr">
        <is>
          <t>FAIR</t>
        </is>
      </c>
      <c r="Q257" s="24" t="inlineStr">
        <is>
          <t>FAIR</t>
        </is>
      </c>
      <c r="R257" s="24" t="inlineStr">
        <is>
          <t>0.5735742758518154</t>
        </is>
      </c>
      <c r="S257" s="24" t="inlineStr">
        <is>
          <t>MEDIUM</t>
        </is>
      </c>
      <c r="T257" s="24" t="inlineStr">
        <is>
          <t>MEDIUM</t>
        </is>
      </c>
      <c r="U257" s="24" t="inlineStr">
        <is>
          <t>0.7142857142857143</t>
        </is>
      </c>
      <c r="V257" s="24" t="inlineStr">
        <is>
          <t>HIGH_RISK</t>
        </is>
      </c>
      <c r="W257" s="24" t="inlineStr">
        <is>
          <t>고위험</t>
        </is>
      </c>
      <c r="X257" s="24" t="inlineStr">
        <is>
          <t>HIGH_RISK</t>
        </is>
      </c>
      <c r="Y257" s="24" t="inlineStr">
        <is>
          <t>0.9273765785577542</t>
        </is>
      </c>
      <c r="Z257" s="24" t="inlineStr">
        <is>
          <t>HIGH</t>
        </is>
      </c>
      <c r="AA257" s="24" t="inlineStr">
        <is>
          <t>HIGH</t>
        </is>
      </c>
      <c r="AB257" s="24" t="inlineStr">
        <is>
          <t>0.09157899320413745</t>
        </is>
      </c>
      <c r="AC257" s="24" t="inlineStr">
        <is>
          <t>False</t>
        </is>
      </c>
      <c r="AD257" s="24" t="inlineStr">
        <is>
          <t>False</t>
        </is>
      </c>
      <c r="AE257" s="24" t="inlineStr">
        <is>
          <t>valuation_credit_ml_overlay_candidate.csv</t>
        </is>
      </c>
      <c r="AF257" s="24" t="inlineStr">
        <is>
          <t>208개 반도체 reference universe. Valuation Agent가 자체 intake 폴더로 복제해 Peer/ML/대시보드 비교에 사용.</t>
        </is>
      </c>
    </row>
    <row r="258" ht="24" customHeight="1">
      <c r="A258" s="29" t="inlineStr">
        <is>
          <t>187</t>
        </is>
      </c>
      <c r="B258" s="29" t="inlineStr">
        <is>
          <t>해당 없음</t>
        </is>
      </c>
      <c r="C258" s="29" t="inlineStr">
        <is>
          <t>팸텍</t>
        </is>
      </c>
      <c r="D258" s="29" t="inlineStr">
        <is>
          <t>271830</t>
        </is>
      </c>
      <c r="E258" s="29" t="inlineStr">
        <is>
          <t>KOSDAQ</t>
        </is>
      </c>
      <c r="F258" s="29" t="inlineStr">
        <is>
          <t>후공정/패키징/테스트</t>
        </is>
      </c>
      <c r="G258" s="29" t="inlineStr">
        <is>
          <t>후공정/패키징/테스트</t>
        </is>
      </c>
      <c r="H258" s="29" t="inlineStr">
        <is>
          <t>False</t>
        </is>
      </c>
      <c r="I258" s="29" t="inlineStr">
        <is>
          <t>True</t>
        </is>
      </c>
      <c r="J258" s="29" t="inlineStr">
        <is>
          <t>OK</t>
        </is>
      </c>
      <c r="K258" s="29" t="inlineStr">
        <is>
          <t>데이터 사용 가능</t>
        </is>
      </c>
      <c r="L258" s="29" t="inlineStr">
        <is>
          <t>LOW</t>
        </is>
      </c>
      <c r="M258" s="29" t="inlineStr">
        <is>
          <t>LOW</t>
        </is>
      </c>
      <c r="N258" s="29" t="inlineStr">
        <is>
          <t>0.4402962962962963</t>
        </is>
      </c>
      <c r="O258" s="29" t="inlineStr">
        <is>
          <t>FAIR</t>
        </is>
      </c>
      <c r="P258" s="29" t="inlineStr">
        <is>
          <t>FAIR</t>
        </is>
      </c>
      <c r="Q258" s="29" t="inlineStr">
        <is>
          <t>FAIR</t>
        </is>
      </c>
      <c r="R258" s="29" t="inlineStr">
        <is>
          <t>0.6809009837226325</t>
        </is>
      </c>
      <c r="S258" s="29" t="inlineStr">
        <is>
          <t>MEDIUM</t>
        </is>
      </c>
      <c r="T258" s="29" t="inlineStr">
        <is>
          <t>MEDIUM</t>
        </is>
      </c>
      <c r="U258" s="29" t="inlineStr">
        <is>
          <t>0.5714285714285714</t>
        </is>
      </c>
      <c r="V258" s="29" t="inlineStr">
        <is>
          <t>HIGH_RISK</t>
        </is>
      </c>
      <c r="W258" s="29" t="inlineStr">
        <is>
          <t>고위험</t>
        </is>
      </c>
      <c r="X258" s="29" t="inlineStr">
        <is>
          <t>HIGH_RISK</t>
        </is>
      </c>
      <c r="Y258" s="29" t="inlineStr">
        <is>
          <t>0.9054415631219938</t>
        </is>
      </c>
      <c r="Z258" s="29" t="inlineStr">
        <is>
          <t>HIGH</t>
        </is>
      </c>
      <c r="AA258" s="29" t="inlineStr">
        <is>
          <t>HIGH</t>
        </is>
      </c>
      <c r="AB258" s="29" t="inlineStr">
        <is>
          <t>0.08867309587377735</t>
        </is>
      </c>
      <c r="AC258" s="29" t="inlineStr">
        <is>
          <t>False</t>
        </is>
      </c>
      <c r="AD258" s="29" t="inlineStr">
        <is>
          <t>False</t>
        </is>
      </c>
      <c r="AE258" s="29" t="inlineStr">
        <is>
          <t>valuation_credit_ml_overlay_candidate.csv</t>
        </is>
      </c>
      <c r="AF258" s="29" t="inlineStr">
        <is>
          <t>208개 반도체 reference universe. Valuation Agent가 자체 intake 폴더로 복제해 Peer/ML/대시보드 비교에 사용.</t>
        </is>
      </c>
    </row>
    <row r="259" ht="24" customHeight="1">
      <c r="A259" s="24" t="inlineStr">
        <is>
          <t>152</t>
        </is>
      </c>
      <c r="B259" s="24" t="inlineStr">
        <is>
          <t>해당 없음</t>
        </is>
      </c>
      <c r="C259" s="24" t="inlineStr">
        <is>
          <t>LB세미콘</t>
        </is>
      </c>
      <c r="D259" s="24" t="inlineStr">
        <is>
          <t>061970</t>
        </is>
      </c>
      <c r="E259" s="24" t="inlineStr">
        <is>
          <t>KOSDAQ</t>
        </is>
      </c>
      <c r="F259" s="24" t="inlineStr">
        <is>
          <t>후공정/패키징/테스트</t>
        </is>
      </c>
      <c r="G259" s="24" t="inlineStr">
        <is>
          <t>후공정/패키징/테스트</t>
        </is>
      </c>
      <c r="H259" s="24" t="inlineStr">
        <is>
          <t>False</t>
        </is>
      </c>
      <c r="I259" s="24" t="inlineStr">
        <is>
          <t>True</t>
        </is>
      </c>
      <c r="J259" s="24" t="inlineStr">
        <is>
          <t>OK</t>
        </is>
      </c>
      <c r="K259" s="24" t="inlineStr">
        <is>
          <t>데이터 사용 가능</t>
        </is>
      </c>
      <c r="L259" s="24" t="inlineStr">
        <is>
          <t>LOW</t>
        </is>
      </c>
      <c r="M259" s="24" t="inlineStr">
        <is>
          <t>LOW</t>
        </is>
      </c>
      <c r="N259" s="24" t="inlineStr">
        <is>
          <t>0.4394074074074074</t>
        </is>
      </c>
      <c r="O259" s="24" t="inlineStr">
        <is>
          <t>FAIR</t>
        </is>
      </c>
      <c r="P259" s="24" t="inlineStr">
        <is>
          <t>FAIR</t>
        </is>
      </c>
      <c r="Q259" s="24" t="inlineStr">
        <is>
          <t>FAIR</t>
        </is>
      </c>
      <c r="R259" s="24" t="inlineStr">
        <is>
          <t>0.519835518569549</t>
        </is>
      </c>
      <c r="S259" s="24" t="inlineStr">
        <is>
          <t>MEDIUM</t>
        </is>
      </c>
      <c r="T259" s="24" t="inlineStr">
        <is>
          <t>MEDIUM</t>
        </is>
      </c>
      <c r="U259" s="24" t="inlineStr">
        <is>
          <t>0.5714285714285714</t>
        </is>
      </c>
      <c r="V259" s="24" t="inlineStr">
        <is>
          <t>HIGH_RISK</t>
        </is>
      </c>
      <c r="W259" s="24" t="inlineStr">
        <is>
          <t>고위험</t>
        </is>
      </c>
      <c r="X259" s="24" t="inlineStr">
        <is>
          <t>HIGH_RISK</t>
        </is>
      </c>
      <c r="Y259" s="24" t="inlineStr">
        <is>
          <t>0.8577554718342005</t>
        </is>
      </c>
      <c r="Z259" s="24" t="inlineStr">
        <is>
          <t>HIGH</t>
        </is>
      </c>
      <c r="AA259" s="24" t="inlineStr">
        <is>
          <t>HIGH</t>
        </is>
      </c>
      <c r="AB259" s="24" t="inlineStr">
        <is>
          <t>0.04865368060535977</t>
        </is>
      </c>
      <c r="AC259" s="24" t="inlineStr">
        <is>
          <t>False</t>
        </is>
      </c>
      <c r="AD259" s="24" t="inlineStr">
        <is>
          <t>False</t>
        </is>
      </c>
      <c r="AE259" s="24" t="inlineStr">
        <is>
          <t>valuation_credit_ml_overlay_candidate.csv</t>
        </is>
      </c>
      <c r="AF259" s="24" t="inlineStr">
        <is>
          <t>208개 반도체 reference universe. Valuation Agent가 자체 intake 폴더로 복제해 Peer/ML/대시보드 비교에 사용.</t>
        </is>
      </c>
    </row>
    <row r="260" ht="24" customHeight="1">
      <c r="A260" s="29" t="inlineStr">
        <is>
          <t>183</t>
        </is>
      </c>
      <c r="B260" s="29" t="inlineStr">
        <is>
          <t>해당 없음</t>
        </is>
      </c>
      <c r="C260" s="29" t="inlineStr">
        <is>
          <t>제이티</t>
        </is>
      </c>
      <c r="D260" s="29" t="inlineStr">
        <is>
          <t>089790</t>
        </is>
      </c>
      <c r="E260" s="29" t="inlineStr">
        <is>
          <t>KOSDAQ</t>
        </is>
      </c>
      <c r="F260" s="29" t="inlineStr">
        <is>
          <t>후공정/패키징/테스트</t>
        </is>
      </c>
      <c r="G260" s="29" t="inlineStr">
        <is>
          <t>후공정/패키징/테스트</t>
        </is>
      </c>
      <c r="H260" s="29" t="inlineStr">
        <is>
          <t>False</t>
        </is>
      </c>
      <c r="I260" s="29" t="inlineStr">
        <is>
          <t>True</t>
        </is>
      </c>
      <c r="J260" s="29" t="inlineStr">
        <is>
          <t>OK</t>
        </is>
      </c>
      <c r="K260" s="29" t="inlineStr">
        <is>
          <t>데이터 사용 가능</t>
        </is>
      </c>
      <c r="L260" s="29" t="inlineStr">
        <is>
          <t>LOW</t>
        </is>
      </c>
      <c r="M260" s="29" t="inlineStr">
        <is>
          <t>LOW</t>
        </is>
      </c>
      <c r="N260" s="29" t="inlineStr">
        <is>
          <t>0.4293333333333333</t>
        </is>
      </c>
      <c r="O260" s="29" t="inlineStr">
        <is>
          <t>FAIR</t>
        </is>
      </c>
      <c r="P260" s="29" t="inlineStr">
        <is>
          <t>FAIR</t>
        </is>
      </c>
      <c r="Q260" s="29" t="inlineStr">
        <is>
          <t>FAIR</t>
        </is>
      </c>
      <c r="R260" s="29" t="inlineStr">
        <is>
          <t>0.7953438622461361</t>
        </is>
      </c>
      <c r="S260" s="29" t="inlineStr">
        <is>
          <t>HIGH</t>
        </is>
      </c>
      <c r="T260" s="29" t="inlineStr">
        <is>
          <t>HIGH</t>
        </is>
      </c>
      <c r="U260" s="29" t="inlineStr">
        <is>
          <t>0.2857142857142857</t>
        </is>
      </c>
      <c r="V260" s="29" t="inlineStr">
        <is>
          <t>MEDIUM_RISK</t>
        </is>
      </c>
      <c r="W260" s="29" t="inlineStr">
        <is>
          <t>중위험</t>
        </is>
      </c>
      <c r="X260" s="29" t="inlineStr">
        <is>
          <t>MEDIUM_RISK</t>
        </is>
      </c>
      <c r="Y260" s="29" t="inlineStr">
        <is>
          <t>0.634985809262478</t>
        </is>
      </c>
      <c r="Z260" s="29" t="inlineStr">
        <is>
          <t>MEDIUM</t>
        </is>
      </c>
      <c r="AA260" s="29" t="inlineStr">
        <is>
          <t>MEDIUM</t>
        </is>
      </c>
      <c r="AB260" s="29" t="inlineStr">
        <is>
          <t>0.0037958156542815414</t>
        </is>
      </c>
      <c r="AC260" s="29" t="inlineStr">
        <is>
          <t>False</t>
        </is>
      </c>
      <c r="AD260" s="29" t="inlineStr">
        <is>
          <t>False</t>
        </is>
      </c>
      <c r="AE260" s="29" t="inlineStr">
        <is>
          <t>valuation_credit_ml_overlay_candidate.csv</t>
        </is>
      </c>
      <c r="AF260" s="29" t="inlineStr">
        <is>
          <t>208개 반도체 reference universe. Valuation Agent가 자체 intake 폴더로 복제해 Peer/ML/대시보드 비교에 사용.</t>
        </is>
      </c>
    </row>
    <row r="261" ht="24" customHeight="1">
      <c r="A261" s="24" t="inlineStr">
        <is>
          <t>182</t>
        </is>
      </c>
      <c r="B261" s="24" t="inlineStr">
        <is>
          <t>해당 없음</t>
        </is>
      </c>
      <c r="C261" s="24" t="inlineStr">
        <is>
          <t>제너셈</t>
        </is>
      </c>
      <c r="D261" s="24" t="inlineStr">
        <is>
          <t>217190</t>
        </is>
      </c>
      <c r="E261" s="24" t="inlineStr">
        <is>
          <t>KOSDAQ</t>
        </is>
      </c>
      <c r="F261" s="24" t="inlineStr">
        <is>
          <t>후공정/패키징/테스트</t>
        </is>
      </c>
      <c r="G261" s="24" t="inlineStr">
        <is>
          <t>후공정/패키징/테스트</t>
        </is>
      </c>
      <c r="H261" s="24" t="inlineStr">
        <is>
          <t>False</t>
        </is>
      </c>
      <c r="I261" s="24" t="inlineStr">
        <is>
          <t>True</t>
        </is>
      </c>
      <c r="J261" s="24" t="inlineStr">
        <is>
          <t>HIGH_PRIORITY_MANUAL_REVIEW</t>
        </is>
      </c>
      <c r="K261" s="24" t="inlineStr">
        <is>
          <t>데이터 사용 가능</t>
        </is>
      </c>
      <c r="L261" s="24" t="inlineStr">
        <is>
          <t>HIGH</t>
        </is>
      </c>
      <c r="M261" s="24" t="inlineStr">
        <is>
          <t>HIGH</t>
        </is>
      </c>
      <c r="N261" s="24" t="inlineStr">
        <is>
          <t>0.4278518518518518</t>
        </is>
      </c>
      <c r="O261" s="24" t="inlineStr">
        <is>
          <t>FAIR</t>
        </is>
      </c>
      <c r="P261" s="24" t="inlineStr">
        <is>
          <t>FAIR</t>
        </is>
      </c>
      <c r="Q261" s="24" t="inlineStr">
        <is>
          <t>FAIR</t>
        </is>
      </c>
      <c r="R261" s="24" t="inlineStr">
        <is>
          <t>0.7410125545144256</t>
        </is>
      </c>
      <c r="S261" s="24" t="inlineStr">
        <is>
          <t>HIGH</t>
        </is>
      </c>
      <c r="T261" s="24" t="inlineStr">
        <is>
          <t>HIGH</t>
        </is>
      </c>
      <c r="U261" s="24" t="inlineStr">
        <is>
          <t>0.2857142857142857</t>
        </is>
      </c>
      <c r="V261" s="24" t="inlineStr">
        <is>
          <t>MEDIUM_RISK</t>
        </is>
      </c>
      <c r="W261" s="24" t="inlineStr">
        <is>
          <t>중위험</t>
        </is>
      </c>
      <c r="X261" s="24" t="inlineStr">
        <is>
          <t>MEDIUM_RISK</t>
        </is>
      </c>
      <c r="Y261" s="24" t="inlineStr">
        <is>
          <t>0.7596080290203916</t>
        </is>
      </c>
      <c r="Z261" s="24" t="inlineStr">
        <is>
          <t>HIGH</t>
        </is>
      </c>
      <c r="AA261" s="24" t="inlineStr">
        <is>
          <t>HIGH</t>
        </is>
      </c>
      <c r="AB261" s="24" t="inlineStr">
        <is>
          <t>0.005601152238630833</t>
        </is>
      </c>
      <c r="AC261" s="24" t="inlineStr">
        <is>
          <t>False</t>
        </is>
      </c>
      <c r="AD261" s="24" t="inlineStr">
        <is>
          <t>True</t>
        </is>
      </c>
      <c r="AE261" s="24" t="inlineStr">
        <is>
          <t>valuation_credit_ml_overlay_candidate.csv</t>
        </is>
      </c>
      <c r="AF261" s="24" t="inlineStr">
        <is>
          <t>208개 반도체 reference universe. Valuation Agent가 자체 intake 폴더로 복제해 Peer/ML/대시보드 비교에 사용.</t>
        </is>
      </c>
    </row>
    <row r="262" ht="24" customHeight="1">
      <c r="A262" s="29" t="inlineStr">
        <is>
          <t>158</t>
        </is>
      </c>
      <c r="B262" s="29" t="inlineStr">
        <is>
          <t>해당 없음</t>
        </is>
      </c>
      <c r="C262" s="29" t="inlineStr">
        <is>
          <t>네패스아크</t>
        </is>
      </c>
      <c r="D262" s="29" t="inlineStr">
        <is>
          <t>330860</t>
        </is>
      </c>
      <c r="E262" s="29" t="inlineStr">
        <is>
          <t>KOSDAQ</t>
        </is>
      </c>
      <c r="F262" s="29" t="inlineStr">
        <is>
          <t>후공정/패키징/테스트</t>
        </is>
      </c>
      <c r="G262" s="29" t="inlineStr">
        <is>
          <t>후공정/패키징/테스트</t>
        </is>
      </c>
      <c r="H262" s="29" t="inlineStr">
        <is>
          <t>False</t>
        </is>
      </c>
      <c r="I262" s="29" t="inlineStr">
        <is>
          <t>True</t>
        </is>
      </c>
      <c r="J262" s="29" t="inlineStr">
        <is>
          <t>OK</t>
        </is>
      </c>
      <c r="K262" s="29" t="inlineStr">
        <is>
          <t>데이터 사용 가능</t>
        </is>
      </c>
      <c r="L262" s="29" t="inlineStr">
        <is>
          <t>LOW</t>
        </is>
      </c>
      <c r="M262" s="29" t="inlineStr">
        <is>
          <t>LOW</t>
        </is>
      </c>
      <c r="N262" s="29" t="inlineStr">
        <is>
          <t>0.4207407407407407</t>
        </is>
      </c>
      <c r="O262" s="29" t="inlineStr">
        <is>
          <t>EXPENSIVE</t>
        </is>
      </c>
      <c r="P262" s="29" t="inlineStr">
        <is>
          <t>EXPENSIVE</t>
        </is>
      </c>
      <c r="Q262" s="29" t="inlineStr">
        <is>
          <t>EXPENSIVE</t>
        </is>
      </c>
      <c r="R262" s="29" t="inlineStr">
        <is>
          <t>0.5804758808286147</t>
        </is>
      </c>
      <c r="S262" s="29" t="inlineStr">
        <is>
          <t>MEDIUM</t>
        </is>
      </c>
      <c r="T262" s="29" t="inlineStr">
        <is>
          <t>MEDIUM</t>
        </is>
      </c>
      <c r="U262" s="29" t="inlineStr">
        <is>
          <t>0.0</t>
        </is>
      </c>
      <c r="V262" s="29" t="inlineStr">
        <is>
          <t>LOW_RISK</t>
        </is>
      </c>
      <c r="W262" s="29" t="inlineStr">
        <is>
          <t>저위험</t>
        </is>
      </c>
      <c r="X262" s="29" t="inlineStr">
        <is>
          <t>LOW_RISK</t>
        </is>
      </c>
      <c r="Y262" s="29" t="inlineStr">
        <is>
          <t>0.7522882908851339</t>
        </is>
      </c>
      <c r="Z262" s="29" t="inlineStr">
        <is>
          <t>HIGH</t>
        </is>
      </c>
      <c r="AA262" s="29" t="inlineStr">
        <is>
          <t>HIGH</t>
        </is>
      </c>
      <c r="AB262" s="29" t="inlineStr">
        <is>
          <t>0.07850484580290398</t>
        </is>
      </c>
      <c r="AC262" s="29" t="inlineStr">
        <is>
          <t>False</t>
        </is>
      </c>
      <c r="AD262" s="29" t="inlineStr">
        <is>
          <t>False</t>
        </is>
      </c>
      <c r="AE262" s="29" t="inlineStr">
        <is>
          <t>valuation_credit_ml_overlay_candidate.csv</t>
        </is>
      </c>
      <c r="AF262" s="29" t="inlineStr">
        <is>
          <t>208개 반도체 reference universe. Valuation Agent가 자체 intake 폴더로 복제해 Peer/ML/대시보드 비교에 사용.</t>
        </is>
      </c>
    </row>
    <row r="263" ht="24" customHeight="1">
      <c r="A263" s="24" t="inlineStr">
        <is>
          <t>164</t>
        </is>
      </c>
      <c r="B263" s="24" t="inlineStr">
        <is>
          <t>해당 없음</t>
        </is>
      </c>
      <c r="C263" s="24" t="inlineStr">
        <is>
          <t>마이크로투나노</t>
        </is>
      </c>
      <c r="D263" s="24" t="inlineStr">
        <is>
          <t>424980</t>
        </is>
      </c>
      <c r="E263" s="24" t="inlineStr">
        <is>
          <t>KOSDAQ</t>
        </is>
      </c>
      <c r="F263" s="24" t="inlineStr">
        <is>
          <t>후공정/패키징/테스트</t>
        </is>
      </c>
      <c r="G263" s="24" t="inlineStr">
        <is>
          <t>후공정/패키징/테스트</t>
        </is>
      </c>
      <c r="H263" s="24" t="inlineStr">
        <is>
          <t>False</t>
        </is>
      </c>
      <c r="I263" s="24" t="inlineStr">
        <is>
          <t>True</t>
        </is>
      </c>
      <c r="J263" s="24" t="inlineStr">
        <is>
          <t>OK_LIMITED_HISTORY_OR_GROWTH_NA</t>
        </is>
      </c>
      <c r="K263" s="24" t="inlineStr">
        <is>
          <t>데이터 사용 가능</t>
        </is>
      </c>
      <c r="L263" s="24" t="inlineStr">
        <is>
          <t>LOW</t>
        </is>
      </c>
      <c r="M263" s="24" t="inlineStr">
        <is>
          <t>LOW</t>
        </is>
      </c>
      <c r="N263" s="24" t="inlineStr">
        <is>
          <t>0.4188148148148148</t>
        </is>
      </c>
      <c r="O263" s="24" t="inlineStr">
        <is>
          <t>EXPENSIVE</t>
        </is>
      </c>
      <c r="P263" s="24" t="inlineStr">
        <is>
          <t>EXPENSIVE</t>
        </is>
      </c>
      <c r="Q263" s="24" t="inlineStr">
        <is>
          <t>EXPENSIVE</t>
        </is>
      </c>
      <c r="R263" s="24" t="inlineStr">
        <is>
          <t>0.8919952418828875</t>
        </is>
      </c>
      <c r="S263" s="24" t="inlineStr">
        <is>
          <t>HIGH</t>
        </is>
      </c>
      <c r="T263" s="24" t="inlineStr">
        <is>
          <t>HIGH</t>
        </is>
      </c>
      <c r="U263" s="24" t="inlineStr">
        <is>
          <t>0.5714285714285714</t>
        </is>
      </c>
      <c r="V263" s="24" t="inlineStr">
        <is>
          <t>HIGH_RISK</t>
        </is>
      </c>
      <c r="W263" s="24" t="inlineStr">
        <is>
          <t>고위험</t>
        </is>
      </c>
      <c r="X263" s="24" t="inlineStr">
        <is>
          <t>HIGH_RISK</t>
        </is>
      </c>
      <c r="Y263" s="24" t="inlineStr">
        <is>
          <t>0.8679140027753699</t>
        </is>
      </c>
      <c r="Z263" s="24" t="inlineStr">
        <is>
          <t>HIGH</t>
        </is>
      </c>
      <c r="AA263" s="24" t="inlineStr">
        <is>
          <t>HIGH</t>
        </is>
      </c>
      <c r="AB263" s="24" t="inlineStr">
        <is>
          <t>0.06592211461176288</t>
        </is>
      </c>
      <c r="AC263" s="24" t="inlineStr">
        <is>
          <t>False</t>
        </is>
      </c>
      <c r="AD263" s="24" t="inlineStr">
        <is>
          <t>True</t>
        </is>
      </c>
      <c r="AE263" s="24" t="inlineStr">
        <is>
          <t>valuation_credit_ml_overlay_candidate.csv</t>
        </is>
      </c>
      <c r="AF263" s="24" t="inlineStr">
        <is>
          <t>208개 반도체 reference universe. Valuation Agent가 자체 intake 폴더로 복제해 Peer/ML/대시보드 비교에 사용.</t>
        </is>
      </c>
    </row>
    <row r="264" ht="24" customHeight="1">
      <c r="A264" s="29" t="inlineStr">
        <is>
          <t>169</t>
        </is>
      </c>
      <c r="B264" s="29" t="inlineStr">
        <is>
          <t>해당 없음</t>
        </is>
      </c>
      <c r="C264" s="29" t="inlineStr">
        <is>
          <t>시그네틱스</t>
        </is>
      </c>
      <c r="D264" s="29" t="inlineStr">
        <is>
          <t>033170</t>
        </is>
      </c>
      <c r="E264" s="29" t="inlineStr">
        <is>
          <t>KOSDAQ</t>
        </is>
      </c>
      <c r="F264" s="29" t="inlineStr">
        <is>
          <t>후공정/패키징/테스트</t>
        </is>
      </c>
      <c r="G264" s="29" t="inlineStr">
        <is>
          <t>후공정/패키징/테스트</t>
        </is>
      </c>
      <c r="H264" s="29" t="inlineStr">
        <is>
          <t>False</t>
        </is>
      </c>
      <c r="I264" s="29" t="inlineStr">
        <is>
          <t>True</t>
        </is>
      </c>
      <c r="J264" s="29" t="inlineStr">
        <is>
          <t>OK</t>
        </is>
      </c>
      <c r="K264" s="29" t="inlineStr">
        <is>
          <t>데이터 사용 가능</t>
        </is>
      </c>
      <c r="L264" s="29" t="inlineStr">
        <is>
          <t>LOW</t>
        </is>
      </c>
      <c r="M264" s="29" t="inlineStr">
        <is>
          <t>LOW</t>
        </is>
      </c>
      <c r="N264" s="29" t="inlineStr">
        <is>
          <t>0.4068148148148148</t>
        </is>
      </c>
      <c r="O264" s="29" t="inlineStr">
        <is>
          <t>EXPENSIVE</t>
        </is>
      </c>
      <c r="P264" s="29" t="inlineStr">
        <is>
          <t>EXPENSIVE</t>
        </is>
      </c>
      <c r="Q264" s="29" t="inlineStr">
        <is>
          <t>EXPENSIVE</t>
        </is>
      </c>
      <c r="R264" s="29" t="inlineStr">
        <is>
          <t>0.6660306558324866</t>
        </is>
      </c>
      <c r="S264" s="29" t="inlineStr">
        <is>
          <t>MEDIUM</t>
        </is>
      </c>
      <c r="T264" s="29" t="inlineStr">
        <is>
          <t>MEDIUM</t>
        </is>
      </c>
      <c r="U264" s="29" t="inlineStr">
        <is>
          <t>0.6428571428571429</t>
        </is>
      </c>
      <c r="V264" s="29" t="inlineStr">
        <is>
          <t>HIGH_RISK</t>
        </is>
      </c>
      <c r="W264" s="29" t="inlineStr">
        <is>
          <t>고위험</t>
        </is>
      </c>
      <c r="X264" s="29" t="inlineStr">
        <is>
          <t>HIGH_RISK</t>
        </is>
      </c>
      <c r="Y264" s="29" t="inlineStr">
        <is>
          <t>0.9103717836414464</t>
        </is>
      </c>
      <c r="Z264" s="29" t="inlineStr">
        <is>
          <t>HIGH</t>
        </is>
      </c>
      <c r="AA264" s="29" t="inlineStr">
        <is>
          <t>HIGH</t>
        </is>
      </c>
      <c r="AB264" s="29" t="inlineStr">
        <is>
          <t>0.09415815096164672</t>
        </is>
      </c>
      <c r="AC264" s="29" t="inlineStr">
        <is>
          <t>False</t>
        </is>
      </c>
      <c r="AD264" s="29" t="inlineStr">
        <is>
          <t>False</t>
        </is>
      </c>
      <c r="AE264" s="29" t="inlineStr">
        <is>
          <t>valuation_credit_ml_overlay_candidate.csv</t>
        </is>
      </c>
      <c r="AF264" s="29" t="inlineStr">
        <is>
          <t>208개 반도체 reference universe. Valuation Agent가 자체 intake 폴더로 복제해 Peer/ML/대시보드 비교에 사용.</t>
        </is>
      </c>
    </row>
    <row r="265" ht="24" customHeight="1">
      <c r="A265" s="24" t="inlineStr">
        <is>
          <t>154</t>
        </is>
      </c>
      <c r="B265" s="24" t="inlineStr">
        <is>
          <t>해당 없음</t>
        </is>
      </c>
      <c r="C265" s="24" t="inlineStr">
        <is>
          <t>고영</t>
        </is>
      </c>
      <c r="D265" s="24" t="inlineStr">
        <is>
          <t>098460</t>
        </is>
      </c>
      <c r="E265" s="24" t="inlineStr">
        <is>
          <t>KOSDAQ</t>
        </is>
      </c>
      <c r="F265" s="24" t="inlineStr">
        <is>
          <t>후공정/패키징/테스트</t>
        </is>
      </c>
      <c r="G265" s="24" t="inlineStr">
        <is>
          <t>후공정/패키징/테스트</t>
        </is>
      </c>
      <c r="H265" s="24" t="inlineStr">
        <is>
          <t>False</t>
        </is>
      </c>
      <c r="I265" s="24" t="inlineStr">
        <is>
          <t>True</t>
        </is>
      </c>
      <c r="J265" s="24" t="inlineStr">
        <is>
          <t>OK</t>
        </is>
      </c>
      <c r="K265" s="24" t="inlineStr">
        <is>
          <t>데이터 사용 가능</t>
        </is>
      </c>
      <c r="L265" s="24" t="inlineStr">
        <is>
          <t>LOW</t>
        </is>
      </c>
      <c r="M265" s="24" t="inlineStr">
        <is>
          <t>LOW</t>
        </is>
      </c>
      <c r="N265" s="24" t="inlineStr">
        <is>
          <t>0.3933333333333333</t>
        </is>
      </c>
      <c r="O265" s="24" t="inlineStr">
        <is>
          <t>EXPENSIVE</t>
        </is>
      </c>
      <c r="P265" s="24" t="inlineStr">
        <is>
          <t>EXPENSIVE</t>
        </is>
      </c>
      <c r="Q265" s="24" t="inlineStr">
        <is>
          <t>EXPENSIVE</t>
        </is>
      </c>
      <c r="R265" s="24" t="inlineStr">
        <is>
          <t>0.4306692416005982</t>
        </is>
      </c>
      <c r="S265" s="24" t="inlineStr">
        <is>
          <t>LOW</t>
        </is>
      </c>
      <c r="T265" s="24" t="inlineStr">
        <is>
          <t>LOW</t>
        </is>
      </c>
      <c r="U265" s="24" t="inlineStr">
        <is>
          <t>0.0714285714285714</t>
        </is>
      </c>
      <c r="V265" s="24" t="inlineStr">
        <is>
          <t>LOW_RISK</t>
        </is>
      </c>
      <c r="W265" s="24" t="inlineStr">
        <is>
          <t>저위험</t>
        </is>
      </c>
      <c r="X265" s="24" t="inlineStr">
        <is>
          <t>LOW_RISK</t>
        </is>
      </c>
      <c r="Y265" s="24" t="inlineStr">
        <is>
          <t>0.9147267479763326</t>
        </is>
      </c>
      <c r="Z265" s="24" t="inlineStr">
        <is>
          <t>HIGH</t>
        </is>
      </c>
      <c r="AA265" s="24" t="inlineStr">
        <is>
          <t>HIGH</t>
        </is>
      </c>
      <c r="AB265" s="24" t="inlineStr">
        <is>
          <t>0.05497222824798623</t>
        </is>
      </c>
      <c r="AC265" s="24" t="inlineStr">
        <is>
          <t>False</t>
        </is>
      </c>
      <c r="AD265" s="24" t="inlineStr">
        <is>
          <t>True</t>
        </is>
      </c>
      <c r="AE265" s="24" t="inlineStr">
        <is>
          <t>valuation_credit_ml_overlay_candidate.csv</t>
        </is>
      </c>
      <c r="AF265" s="24" t="inlineStr">
        <is>
          <t>208개 반도체 reference universe. Valuation Agent가 자체 intake 폴더로 복제해 Peer/ML/대시보드 비교에 사용.</t>
        </is>
      </c>
    </row>
    <row r="266" ht="24" customHeight="1">
      <c r="A266" s="29" t="inlineStr">
        <is>
          <t>178</t>
        </is>
      </c>
      <c r="B266" s="29" t="inlineStr">
        <is>
          <t>해당 없음</t>
        </is>
      </c>
      <c r="C266" s="29" t="inlineStr">
        <is>
          <t>웨이비스</t>
        </is>
      </c>
      <c r="D266" s="29" t="inlineStr">
        <is>
          <t>289930</t>
        </is>
      </c>
      <c r="E266" s="29" t="inlineStr">
        <is>
          <t>KOSDAQ</t>
        </is>
      </c>
      <c r="F266" s="29" t="inlineStr">
        <is>
          <t>후공정/패키징/테스트</t>
        </is>
      </c>
      <c r="G266" s="29" t="inlineStr">
        <is>
          <t>후공정/패키징/테스트</t>
        </is>
      </c>
      <c r="H266" s="29" t="inlineStr">
        <is>
          <t>False</t>
        </is>
      </c>
      <c r="I266" s="29" t="inlineStr">
        <is>
          <t>True</t>
        </is>
      </c>
      <c r="J266" s="29" t="inlineStr">
        <is>
          <t>OK_LIMITED_HISTORY_OR_GROWTH_NA</t>
        </is>
      </c>
      <c r="K266" s="29" t="inlineStr">
        <is>
          <t>데이터 사용 가능</t>
        </is>
      </c>
      <c r="L266" s="29" t="inlineStr">
        <is>
          <t>LOW</t>
        </is>
      </c>
      <c r="M266" s="29" t="inlineStr">
        <is>
          <t>LOW</t>
        </is>
      </c>
      <c r="N266" s="29" t="inlineStr">
        <is>
          <t>0.3765925925925926</t>
        </is>
      </c>
      <c r="O266" s="29" t="inlineStr">
        <is>
          <t>EXPENSIVE</t>
        </is>
      </c>
      <c r="P266" s="29" t="inlineStr">
        <is>
          <t>EXPENSIVE</t>
        </is>
      </c>
      <c r="Q266" s="29" t="inlineStr">
        <is>
          <t>EXPENSIVE</t>
        </is>
      </c>
      <c r="R266" s="29" t="inlineStr">
        <is>
          <t>0.5209890944205295</t>
        </is>
      </c>
      <c r="S266" s="29" t="inlineStr">
        <is>
          <t>MEDIUM</t>
        </is>
      </c>
      <c r="T266" s="29" t="inlineStr">
        <is>
          <t>MEDIUM</t>
        </is>
      </c>
      <c r="U266" s="29" t="inlineStr">
        <is>
          <t>0.1428571428571428</t>
        </is>
      </c>
      <c r="V266" s="29" t="inlineStr">
        <is>
          <t>LOW_RISK</t>
        </is>
      </c>
      <c r="W266" s="29" t="inlineStr">
        <is>
          <t>저위험</t>
        </is>
      </c>
      <c r="X266" s="29" t="inlineStr">
        <is>
          <t>LOW_RISK</t>
        </is>
      </c>
      <c r="Y266" s="29" t="inlineStr">
        <is>
          <t>0.5760026387111382</t>
        </is>
      </c>
      <c r="Z266" s="29" t="inlineStr">
        <is>
          <t>MEDIUM</t>
        </is>
      </c>
      <c r="AA266" s="29" t="inlineStr">
        <is>
          <t>MEDIUM</t>
        </is>
      </c>
      <c r="AB266" s="29" t="inlineStr">
        <is>
          <t>0.04339911179550382</t>
        </is>
      </c>
      <c r="AC266" s="29" t="inlineStr">
        <is>
          <t>False</t>
        </is>
      </c>
      <c r="AD266" s="29" t="inlineStr">
        <is>
          <t>True</t>
        </is>
      </c>
      <c r="AE266" s="29" t="inlineStr">
        <is>
          <t>valuation_credit_ml_overlay_candidate.csv</t>
        </is>
      </c>
      <c r="AF266" s="29" t="inlineStr">
        <is>
          <t>208개 반도체 reference universe. Valuation Agent가 자체 intake 폴더로 복제해 Peer/ML/대시보드 비교에 사용.</t>
        </is>
      </c>
    </row>
    <row r="267" ht="24" customHeight="1">
      <c r="A267" s="24" t="inlineStr">
        <is>
          <t>153</t>
        </is>
      </c>
      <c r="B267" s="24" t="inlineStr">
        <is>
          <t>해당 없음</t>
        </is>
      </c>
      <c r="C267" s="24" t="inlineStr">
        <is>
          <t>SFA반도체</t>
        </is>
      </c>
      <c r="D267" s="24" t="inlineStr">
        <is>
          <t>036540</t>
        </is>
      </c>
      <c r="E267" s="24" t="inlineStr">
        <is>
          <t>KOSDAQ</t>
        </is>
      </c>
      <c r="F267" s="24" t="inlineStr">
        <is>
          <t>후공정/패키징/테스트</t>
        </is>
      </c>
      <c r="G267" s="24" t="inlineStr">
        <is>
          <t>후공정/패키징/테스트</t>
        </is>
      </c>
      <c r="H267" s="24" t="inlineStr">
        <is>
          <t>False</t>
        </is>
      </c>
      <c r="I267" s="24" t="inlineStr">
        <is>
          <t>True</t>
        </is>
      </c>
      <c r="J267" s="24" t="inlineStr">
        <is>
          <t>OK</t>
        </is>
      </c>
      <c r="K267" s="24" t="inlineStr">
        <is>
          <t>데이터 사용 가능</t>
        </is>
      </c>
      <c r="L267" s="24" t="inlineStr">
        <is>
          <t>LOW</t>
        </is>
      </c>
      <c r="M267" s="24" t="inlineStr">
        <is>
          <t>LOW</t>
        </is>
      </c>
      <c r="N267" s="24" t="inlineStr">
        <is>
          <t>0.3725925925925926</t>
        </is>
      </c>
      <c r="O267" s="24" t="inlineStr">
        <is>
          <t>EXPENSIVE</t>
        </is>
      </c>
      <c r="P267" s="24" t="inlineStr">
        <is>
          <t>EXPENSIVE</t>
        </is>
      </c>
      <c r="Q267" s="24" t="inlineStr">
        <is>
          <t>EXPENSIVE</t>
        </is>
      </c>
      <c r="R267" s="24" t="inlineStr">
        <is>
          <t>0.7912156659089058</t>
        </is>
      </c>
      <c r="S267" s="24" t="inlineStr">
        <is>
          <t>HIGH</t>
        </is>
      </c>
      <c r="T267" s="24" t="inlineStr">
        <is>
          <t>HIGH</t>
        </is>
      </c>
      <c r="U267" s="24" t="inlineStr">
        <is>
          <t>0.2857142857142857</t>
        </is>
      </c>
      <c r="V267" s="24" t="inlineStr">
        <is>
          <t>MEDIUM_RISK</t>
        </is>
      </c>
      <c r="W267" s="24" t="inlineStr">
        <is>
          <t>중위험</t>
        </is>
      </c>
      <c r="X267" s="24" t="inlineStr">
        <is>
          <t>MEDIUM_RISK</t>
        </is>
      </c>
      <c r="Y267" s="24" t="inlineStr">
        <is>
          <t>0.6035260416354965</t>
        </is>
      </c>
      <c r="Z267" s="24" t="inlineStr">
        <is>
          <t>MEDIUM</t>
        </is>
      </c>
      <c r="AA267" s="24" t="inlineStr">
        <is>
          <t>MEDIUM</t>
        </is>
      </c>
      <c r="AB267" s="24" t="inlineStr">
        <is>
          <t>0.060421941503641885</t>
        </is>
      </c>
      <c r="AC267" s="24" t="inlineStr">
        <is>
          <t>False</t>
        </is>
      </c>
      <c r="AD267" s="24" t="inlineStr">
        <is>
          <t>False</t>
        </is>
      </c>
      <c r="AE267" s="24" t="inlineStr">
        <is>
          <t>valuation_credit_ml_overlay_candidate.csv</t>
        </is>
      </c>
      <c r="AF267" s="24" t="inlineStr">
        <is>
          <t>208개 반도체 reference universe. Valuation Agent가 자체 intake 폴더로 복제해 Peer/ML/대시보드 비교에 사용.</t>
        </is>
      </c>
    </row>
    <row r="268" ht="24" customHeight="1">
      <c r="A268" s="29" t="inlineStr">
        <is>
          <t>181</t>
        </is>
      </c>
      <c r="B268" s="29" t="inlineStr">
        <is>
          <t>해당 없음</t>
        </is>
      </c>
      <c r="C268" s="29" t="inlineStr">
        <is>
          <t>인텍플러스</t>
        </is>
      </c>
      <c r="D268" s="29" t="inlineStr">
        <is>
          <t>064290</t>
        </is>
      </c>
      <c r="E268" s="29" t="inlineStr">
        <is>
          <t>KOSDAQ</t>
        </is>
      </c>
      <c r="F268" s="29" t="inlineStr">
        <is>
          <t>후공정/패키징/테스트</t>
        </is>
      </c>
      <c r="G268" s="29" t="inlineStr">
        <is>
          <t>후공정/패키징/테스트</t>
        </is>
      </c>
      <c r="H268" s="29" t="inlineStr">
        <is>
          <t>False</t>
        </is>
      </c>
      <c r="I268" s="29" t="inlineStr">
        <is>
          <t>True</t>
        </is>
      </c>
      <c r="J268" s="29" t="inlineStr">
        <is>
          <t>OK</t>
        </is>
      </c>
      <c r="K268" s="29" t="inlineStr">
        <is>
          <t>데이터 사용 가능</t>
        </is>
      </c>
      <c r="L268" s="29" t="inlineStr">
        <is>
          <t>LOW</t>
        </is>
      </c>
      <c r="M268" s="29" t="inlineStr">
        <is>
          <t>LOW</t>
        </is>
      </c>
      <c r="N268" s="29" t="inlineStr">
        <is>
          <t>0.3431111111111111</t>
        </is>
      </c>
      <c r="O268" s="29" t="inlineStr">
        <is>
          <t>EXPENSIVE</t>
        </is>
      </c>
      <c r="P268" s="29" t="inlineStr">
        <is>
          <t>EXPENSIVE</t>
        </is>
      </c>
      <c r="Q268" s="29" t="inlineStr">
        <is>
          <t>EXPENSIVE</t>
        </is>
      </c>
      <c r="R268" s="29" t="inlineStr">
        <is>
          <t>0.7612288958400996</t>
        </is>
      </c>
      <c r="S268" s="29" t="inlineStr">
        <is>
          <t>HIGH</t>
        </is>
      </c>
      <c r="T268" s="29" t="inlineStr">
        <is>
          <t>HIGH</t>
        </is>
      </c>
      <c r="U268" s="29" t="inlineStr">
        <is>
          <t>0.4285714285714285</t>
        </is>
      </c>
      <c r="V268" s="29" t="inlineStr">
        <is>
          <t>HIGH_RISK</t>
        </is>
      </c>
      <c r="W268" s="29" t="inlineStr">
        <is>
          <t>고위험</t>
        </is>
      </c>
      <c r="X268" s="29" t="inlineStr">
        <is>
          <t>MEDIUM_RISK</t>
        </is>
      </c>
      <c r="Y268" s="29" t="inlineStr">
        <is>
          <t>0.5782298550270377</t>
        </is>
      </c>
      <c r="Z268" s="29" t="inlineStr">
        <is>
          <t>MEDIUM</t>
        </is>
      </c>
      <c r="AA268" s="29" t="inlineStr">
        <is>
          <t>MEDIUM</t>
        </is>
      </c>
      <c r="AB268" s="29" t="inlineStr">
        <is>
          <t>0.054796756066406084</t>
        </is>
      </c>
      <c r="AC268" s="29" t="inlineStr">
        <is>
          <t>False</t>
        </is>
      </c>
      <c r="AD268" s="29" t="inlineStr">
        <is>
          <t>False</t>
        </is>
      </c>
      <c r="AE268" s="29" t="inlineStr">
        <is>
          <t>valuation_credit_ml_overlay_candidate.csv</t>
        </is>
      </c>
      <c r="AF268" s="29" t="inlineStr">
        <is>
          <t>208개 반도체 reference universe. Valuation Agent가 자체 intake 폴더로 복제해 Peer/ML/대시보드 비교에 사용.</t>
        </is>
      </c>
    </row>
    <row r="269" ht="24" customHeight="1">
      <c r="A269" s="24" t="inlineStr">
        <is>
          <t>193</t>
        </is>
      </c>
      <c r="B269" s="24" t="inlineStr">
        <is>
          <t>해당 없음</t>
        </is>
      </c>
      <c r="C269" s="24" t="inlineStr">
        <is>
          <t>한울반도체</t>
        </is>
      </c>
      <c r="D269" s="24" t="inlineStr">
        <is>
          <t>320000</t>
        </is>
      </c>
      <c r="E269" s="24" t="inlineStr">
        <is>
          <t>KOSDAQ</t>
        </is>
      </c>
      <c r="F269" s="24" t="inlineStr">
        <is>
          <t>후공정/패키징/테스트</t>
        </is>
      </c>
      <c r="G269" s="24" t="inlineStr">
        <is>
          <t>후공정/패키징/테스트</t>
        </is>
      </c>
      <c r="H269" s="24" t="inlineStr">
        <is>
          <t>False</t>
        </is>
      </c>
      <c r="I269" s="24" t="inlineStr">
        <is>
          <t>True</t>
        </is>
      </c>
      <c r="J269" s="24" t="inlineStr">
        <is>
          <t>OK</t>
        </is>
      </c>
      <c r="K269" s="24" t="inlineStr">
        <is>
          <t>데이터 사용 가능</t>
        </is>
      </c>
      <c r="L269" s="24" t="inlineStr">
        <is>
          <t>LOW</t>
        </is>
      </c>
      <c r="M269" s="24" t="inlineStr">
        <is>
          <t>LOW</t>
        </is>
      </c>
      <c r="N269" s="24" t="inlineStr">
        <is>
          <t>0.3376296296296296</t>
        </is>
      </c>
      <c r="O269" s="24" t="inlineStr">
        <is>
          <t>EXPENSIVE</t>
        </is>
      </c>
      <c r="P269" s="24" t="inlineStr">
        <is>
          <t>EXPENSIVE</t>
        </is>
      </c>
      <c r="Q269" s="24" t="inlineStr">
        <is>
          <t>EXPENSIVE</t>
        </is>
      </c>
      <c r="R269" s="24" t="inlineStr">
        <is>
          <t>0.7769228627558715</t>
        </is>
      </c>
      <c r="S269" s="24" t="inlineStr">
        <is>
          <t>HIGH</t>
        </is>
      </c>
      <c r="T269" s="24" t="inlineStr">
        <is>
          <t>HIGH</t>
        </is>
      </c>
      <c r="U269" s="24" t="inlineStr">
        <is>
          <t>0.7142857142857143</t>
        </is>
      </c>
      <c r="V269" s="24" t="inlineStr">
        <is>
          <t>HIGH_RISK</t>
        </is>
      </c>
      <c r="W269" s="24" t="inlineStr">
        <is>
          <t>고위험</t>
        </is>
      </c>
      <c r="X269" s="24" t="inlineStr">
        <is>
          <t>HIGH_RISK</t>
        </is>
      </c>
      <c r="Y269" s="24" t="inlineStr">
        <is>
          <t>0.9268996528836525</t>
        </is>
      </c>
      <c r="Z269" s="24" t="inlineStr">
        <is>
          <t>HIGH</t>
        </is>
      </c>
      <c r="AA269" s="24" t="inlineStr">
        <is>
          <t>HIGH</t>
        </is>
      </c>
      <c r="AB269" s="24" t="inlineStr">
        <is>
          <t>0.3732718821533064</t>
        </is>
      </c>
      <c r="AC269" s="24" t="inlineStr">
        <is>
          <t>True</t>
        </is>
      </c>
      <c r="AD269" s="24" t="inlineStr">
        <is>
          <t>True</t>
        </is>
      </c>
      <c r="AE269" s="24" t="inlineStr">
        <is>
          <t>valuation_credit_ml_overlay_candidate.csv</t>
        </is>
      </c>
      <c r="AF269" s="24" t="inlineStr">
        <is>
          <t>208개 반도체 reference universe. Valuation Agent가 자체 intake 폴더로 복제해 Peer/ML/대시보드 비교에 사용.</t>
        </is>
      </c>
    </row>
    <row r="270" ht="24" customHeight="1">
      <c r="A270" s="29" t="inlineStr">
        <is>
          <t>180</t>
        </is>
      </c>
      <c r="B270" s="29" t="inlineStr">
        <is>
          <t>해당 없음</t>
        </is>
      </c>
      <c r="C270" s="29" t="inlineStr">
        <is>
          <t>유니테스트</t>
        </is>
      </c>
      <c r="D270" s="29" t="inlineStr">
        <is>
          <t>086390</t>
        </is>
      </c>
      <c r="E270" s="29" t="inlineStr">
        <is>
          <t>KOSDAQ</t>
        </is>
      </c>
      <c r="F270" s="29" t="inlineStr">
        <is>
          <t>후공정/패키징/테스트</t>
        </is>
      </c>
      <c r="G270" s="29" t="inlineStr">
        <is>
          <t>후공정/패키징/테스트</t>
        </is>
      </c>
      <c r="H270" s="29" t="inlineStr">
        <is>
          <t>False</t>
        </is>
      </c>
      <c r="I270" s="29" t="inlineStr">
        <is>
          <t>True</t>
        </is>
      </c>
      <c r="J270" s="29" t="inlineStr">
        <is>
          <t>OK</t>
        </is>
      </c>
      <c r="K270" s="29" t="inlineStr">
        <is>
          <t>데이터 사용 가능</t>
        </is>
      </c>
      <c r="L270" s="29" t="inlineStr">
        <is>
          <t>LOW</t>
        </is>
      </c>
      <c r="M270" s="29" t="inlineStr">
        <is>
          <t>LOW</t>
        </is>
      </c>
      <c r="N270" s="29" t="inlineStr">
        <is>
          <t>0.3371851851851852</t>
        </is>
      </c>
      <c r="O270" s="29" t="inlineStr">
        <is>
          <t>EXPENSIVE</t>
        </is>
      </c>
      <c r="P270" s="29" t="inlineStr">
        <is>
          <t>EXPENSIVE</t>
        </is>
      </c>
      <c r="Q270" s="29" t="inlineStr">
        <is>
          <t>EXPENSIVE</t>
        </is>
      </c>
      <c r="R270" s="29" t="inlineStr">
        <is>
          <t>0.9109345080202441</t>
        </is>
      </c>
      <c r="S270" s="29" t="inlineStr">
        <is>
          <t>HIGH</t>
        </is>
      </c>
      <c r="T270" s="29" t="inlineStr">
        <is>
          <t>HIGH</t>
        </is>
      </c>
      <c r="U270" s="29" t="inlineStr">
        <is>
          <t>0.5714285714285714</t>
        </is>
      </c>
      <c r="V270" s="29" t="inlineStr">
        <is>
          <t>HIGH_RISK</t>
        </is>
      </c>
      <c r="W270" s="29" t="inlineStr">
        <is>
          <t>고위험</t>
        </is>
      </c>
      <c r="X270" s="29" t="inlineStr">
        <is>
          <t>HIGH_RISK</t>
        </is>
      </c>
      <c r="Y270" s="29" t="inlineStr">
        <is>
          <t>0.9310666121801914</t>
        </is>
      </c>
      <c r="Z270" s="29" t="inlineStr">
        <is>
          <t>HIGH</t>
        </is>
      </c>
      <c r="AA270" s="29" t="inlineStr">
        <is>
          <t>HIGH</t>
        </is>
      </c>
      <c r="AB270" s="29" t="inlineStr">
        <is>
          <t>0.07777762014388422</t>
        </is>
      </c>
      <c r="AC270" s="29" t="inlineStr">
        <is>
          <t>False</t>
        </is>
      </c>
      <c r="AD270" s="29" t="inlineStr">
        <is>
          <t>False</t>
        </is>
      </c>
      <c r="AE270" s="29" t="inlineStr">
        <is>
          <t>valuation_credit_ml_overlay_candidate.csv</t>
        </is>
      </c>
      <c r="AF270" s="29" t="inlineStr">
        <is>
          <t>208개 반도체 reference universe. Valuation Agent가 자체 intake 폴더로 복제해 Peer/ML/대시보드 비교에 사용.</t>
        </is>
      </c>
    </row>
    <row r="271" ht="24" customHeight="1">
      <c r="A271" s="24" t="inlineStr">
        <is>
          <t>159</t>
        </is>
      </c>
      <c r="B271" s="24" t="inlineStr">
        <is>
          <t>해당 없음</t>
        </is>
      </c>
      <c r="C271" s="24" t="inlineStr">
        <is>
          <t>두산테스나</t>
        </is>
      </c>
      <c r="D271" s="24" t="inlineStr">
        <is>
          <t>131970</t>
        </is>
      </c>
      <c r="E271" s="24" t="inlineStr">
        <is>
          <t>KOSDAQ GLOBAL</t>
        </is>
      </c>
      <c r="F271" s="24" t="inlineStr">
        <is>
          <t>후공정/패키징/테스트</t>
        </is>
      </c>
      <c r="G271" s="24" t="inlineStr">
        <is>
          <t>후공정/패키징/테스트</t>
        </is>
      </c>
      <c r="H271" s="24" t="inlineStr">
        <is>
          <t>False</t>
        </is>
      </c>
      <c r="I271" s="24" t="inlineStr">
        <is>
          <t>True</t>
        </is>
      </c>
      <c r="J271" s="24" t="inlineStr">
        <is>
          <t>OK</t>
        </is>
      </c>
      <c r="K271" s="24" t="inlineStr">
        <is>
          <t>데이터 사용 가능</t>
        </is>
      </c>
      <c r="L271" s="24" t="inlineStr">
        <is>
          <t>LOW</t>
        </is>
      </c>
      <c r="M271" s="24" t="inlineStr">
        <is>
          <t>LOW</t>
        </is>
      </c>
      <c r="N271" s="24" t="inlineStr">
        <is>
          <t>0.3217037037037037</t>
        </is>
      </c>
      <c r="O271" s="24" t="inlineStr">
        <is>
          <t>EXPENSIVE</t>
        </is>
      </c>
      <c r="P271" s="24" t="inlineStr">
        <is>
          <t>EXPENSIVE</t>
        </is>
      </c>
      <c r="Q271" s="24" t="inlineStr">
        <is>
          <t>EXPENSIVE</t>
        </is>
      </c>
      <c r="R271" s="24" t="inlineStr">
        <is>
          <t>0.5774876642912814</t>
        </is>
      </c>
      <c r="S271" s="24" t="inlineStr">
        <is>
          <t>MEDIUM</t>
        </is>
      </c>
      <c r="T271" s="24" t="inlineStr">
        <is>
          <t>MEDIUM</t>
        </is>
      </c>
      <c r="U271" s="24" t="inlineStr">
        <is>
          <t>0.1428571428571428</t>
        </is>
      </c>
      <c r="V271" s="24" t="inlineStr">
        <is>
          <t>LOW_RISK</t>
        </is>
      </c>
      <c r="W271" s="24" t="inlineStr">
        <is>
          <t>저위험</t>
        </is>
      </c>
      <c r="X271" s="24" t="inlineStr">
        <is>
          <t>LOW_RISK</t>
        </is>
      </c>
      <c r="Y271" s="24" t="inlineStr">
        <is>
          <t>0.5730698742411416</t>
        </is>
      </c>
      <c r="Z271" s="24" t="inlineStr">
        <is>
          <t>MEDIUM</t>
        </is>
      </c>
      <c r="AA271" s="24" t="inlineStr">
        <is>
          <t>MEDIUM</t>
        </is>
      </c>
      <c r="AB271" s="24" t="inlineStr">
        <is>
          <t>0.11339298523731103</t>
        </is>
      </c>
      <c r="AC271" s="24" t="inlineStr">
        <is>
          <t>False</t>
        </is>
      </c>
      <c r="AD271" s="24" t="inlineStr">
        <is>
          <t>False</t>
        </is>
      </c>
      <c r="AE271" s="24" t="inlineStr">
        <is>
          <t>valuation_credit_ml_overlay_candidate.csv</t>
        </is>
      </c>
      <c r="AF271" s="24" t="inlineStr">
        <is>
          <t>208개 반도체 reference universe. Valuation Agent가 자체 intake 폴더로 복제해 Peer/ML/대시보드 비교에 사용.</t>
        </is>
      </c>
    </row>
    <row r="272" ht="24" customHeight="1">
      <c r="A272" s="29" t="inlineStr">
        <is>
          <t>156</t>
        </is>
      </c>
      <c r="B272" s="29" t="inlineStr">
        <is>
          <t>해당 없음</t>
        </is>
      </c>
      <c r="C272" s="29" t="inlineStr">
        <is>
          <t>네오셈</t>
        </is>
      </c>
      <c r="D272" s="29" t="inlineStr">
        <is>
          <t>253590</t>
        </is>
      </c>
      <c r="E272" s="29" t="inlineStr">
        <is>
          <t>KOSDAQ</t>
        </is>
      </c>
      <c r="F272" s="29" t="inlineStr">
        <is>
          <t>후공정/패키징/테스트</t>
        </is>
      </c>
      <c r="G272" s="29" t="inlineStr">
        <is>
          <t>후공정/패키징/테스트</t>
        </is>
      </c>
      <c r="H272" s="29" t="inlineStr">
        <is>
          <t>False</t>
        </is>
      </c>
      <c r="I272" s="29" t="inlineStr">
        <is>
          <t>True</t>
        </is>
      </c>
      <c r="J272" s="29" t="inlineStr">
        <is>
          <t>OK</t>
        </is>
      </c>
      <c r="K272" s="29" t="inlineStr">
        <is>
          <t>데이터 사용 가능</t>
        </is>
      </c>
      <c r="L272" s="29" t="inlineStr">
        <is>
          <t>LOW</t>
        </is>
      </c>
      <c r="M272" s="29" t="inlineStr">
        <is>
          <t>LOW</t>
        </is>
      </c>
      <c r="N272" s="29" t="inlineStr">
        <is>
          <t>0.3059259259259259</t>
        </is>
      </c>
      <c r="O272" s="29" t="inlineStr">
        <is>
          <t>EXPENSIVE</t>
        </is>
      </c>
      <c r="P272" s="29" t="inlineStr">
        <is>
          <t>EXPENSIVE</t>
        </is>
      </c>
      <c r="Q272" s="29" t="inlineStr">
        <is>
          <t>EXPENSIVE</t>
        </is>
      </c>
      <c r="R272" s="29" t="inlineStr">
        <is>
          <t>0.7695353673338539</t>
        </is>
      </c>
      <c r="S272" s="29" t="inlineStr">
        <is>
          <t>HIGH</t>
        </is>
      </c>
      <c r="T272" s="29" t="inlineStr">
        <is>
          <t>HIGH</t>
        </is>
      </c>
      <c r="U272" s="29" t="inlineStr">
        <is>
          <t>0.0714285714285714</t>
        </is>
      </c>
      <c r="V272" s="29" t="inlineStr">
        <is>
          <t>LOW_RISK</t>
        </is>
      </c>
      <c r="W272" s="29" t="inlineStr">
        <is>
          <t>저위험</t>
        </is>
      </c>
      <c r="X272" s="29" t="inlineStr">
        <is>
          <t>LOW_RISK</t>
        </is>
      </c>
      <c r="Y272" s="29" t="inlineStr">
        <is>
          <t>0.7735591671201707</t>
        </is>
      </c>
      <c r="Z272" s="29" t="inlineStr">
        <is>
          <t>HIGH</t>
        </is>
      </c>
      <c r="AA272" s="29" t="inlineStr">
        <is>
          <t>HIGH</t>
        </is>
      </c>
      <c r="AB272" s="29" t="inlineStr">
        <is>
          <t>0.06887713556186657</t>
        </is>
      </c>
      <c r="AC272" s="29" t="inlineStr">
        <is>
          <t>False</t>
        </is>
      </c>
      <c r="AD272" s="29" t="inlineStr">
        <is>
          <t>False</t>
        </is>
      </c>
      <c r="AE272" s="29" t="inlineStr">
        <is>
          <t>valuation_credit_ml_overlay_candidate.csv</t>
        </is>
      </c>
      <c r="AF272" s="29" t="inlineStr">
        <is>
          <t>208개 반도체 reference universe. Valuation Agent가 자체 intake 폴더로 복제해 Peer/ML/대시보드 비교에 사용.</t>
        </is>
      </c>
    </row>
    <row r="273" ht="24" customHeight="1">
      <c r="A273" s="24" t="inlineStr">
        <is>
          <t>190</t>
        </is>
      </c>
      <c r="B273" s="24" t="inlineStr">
        <is>
          <t>해당 없음</t>
        </is>
      </c>
      <c r="C273" s="24" t="inlineStr">
        <is>
          <t>피엠티</t>
        </is>
      </c>
      <c r="D273" s="24" t="inlineStr">
        <is>
          <t>147760</t>
        </is>
      </c>
      <c r="E273" s="24" t="inlineStr">
        <is>
          <t>KOSDAQ</t>
        </is>
      </c>
      <c r="F273" s="24" t="inlineStr">
        <is>
          <t>후공정/패키징/테스트</t>
        </is>
      </c>
      <c r="G273" s="24" t="inlineStr">
        <is>
          <t>후공정/패키징/테스트</t>
        </is>
      </c>
      <c r="H273" s="24" t="inlineStr">
        <is>
          <t>False</t>
        </is>
      </c>
      <c r="I273" s="24" t="inlineStr">
        <is>
          <t>True</t>
        </is>
      </c>
      <c r="J273" s="24" t="inlineStr">
        <is>
          <t>OK</t>
        </is>
      </c>
      <c r="K273" s="24" t="inlineStr">
        <is>
          <t>데이터 사용 가능</t>
        </is>
      </c>
      <c r="L273" s="24" t="inlineStr">
        <is>
          <t>LOW</t>
        </is>
      </c>
      <c r="M273" s="24" t="inlineStr">
        <is>
          <t>LOW</t>
        </is>
      </c>
      <c r="N273" s="24" t="inlineStr">
        <is>
          <t>0.2471111111111111</t>
        </is>
      </c>
      <c r="O273" s="24" t="inlineStr">
        <is>
          <t>EXPENSIVE</t>
        </is>
      </c>
      <c r="P273" s="24" t="inlineStr">
        <is>
          <t>EXPENSIVE</t>
        </is>
      </c>
      <c r="Q273" s="24" t="inlineStr">
        <is>
          <t>EXPENSIVE</t>
        </is>
      </c>
      <c r="R273" s="24" t="inlineStr">
        <is>
          <t>0.952821790032095</t>
        </is>
      </c>
      <c r="S273" s="24" t="inlineStr">
        <is>
          <t>HIGH</t>
        </is>
      </c>
      <c r="T273" s="24" t="inlineStr">
        <is>
          <t>HIGH</t>
        </is>
      </c>
      <c r="U273" s="24" t="inlineStr">
        <is>
          <t>0.7857142857142857</t>
        </is>
      </c>
      <c r="V273" s="24" t="inlineStr">
        <is>
          <t>HIGH_RISK</t>
        </is>
      </c>
      <c r="W273" s="24" t="inlineStr">
        <is>
          <t>고위험</t>
        </is>
      </c>
      <c r="X273" s="24" t="inlineStr">
        <is>
          <t>HIGH_RISK</t>
        </is>
      </c>
      <c r="Y273" s="24" t="inlineStr">
        <is>
          <t>0.9374258948385606</t>
        </is>
      </c>
      <c r="Z273" s="24" t="inlineStr">
        <is>
          <t>HIGH</t>
        </is>
      </c>
      <c r="AA273" s="24" t="inlineStr">
        <is>
          <t>HIGH</t>
        </is>
      </c>
      <c r="AB273" s="24" t="inlineStr">
        <is>
          <t>0.45054632167168013</t>
        </is>
      </c>
      <c r="AC273" s="24" t="inlineStr">
        <is>
          <t>True</t>
        </is>
      </c>
      <c r="AD273" s="24" t="inlineStr">
        <is>
          <t>True</t>
        </is>
      </c>
      <c r="AE273" s="24" t="inlineStr">
        <is>
          <t>valuation_credit_ml_overlay_candidate.csv</t>
        </is>
      </c>
      <c r="AF273" s="24" t="inlineStr">
        <is>
          <t>208개 반도체 reference universe. Valuation Agent가 자체 intake 폴더로 복제해 Peer/ML/대시보드 비교에 사용.</t>
        </is>
      </c>
    </row>
    <row r="274" ht="24" customHeight="1">
      <c r="A274" s="29" t="inlineStr">
        <is>
          <t>186</t>
        </is>
      </c>
      <c r="B274" s="29" t="inlineStr">
        <is>
          <t>해당 없음</t>
        </is>
      </c>
      <c r="C274" s="29" t="inlineStr">
        <is>
          <t>테크윙</t>
        </is>
      </c>
      <c r="D274" s="29" t="inlineStr">
        <is>
          <t>089030</t>
        </is>
      </c>
      <c r="E274" s="29" t="inlineStr">
        <is>
          <t>KOSDAQ</t>
        </is>
      </c>
      <c r="F274" s="29" t="inlineStr">
        <is>
          <t>후공정/패키징/테스트</t>
        </is>
      </c>
      <c r="G274" s="29" t="inlineStr">
        <is>
          <t>후공정/패키징/테스트</t>
        </is>
      </c>
      <c r="H274" s="29" t="inlineStr">
        <is>
          <t>False</t>
        </is>
      </c>
      <c r="I274" s="29" t="inlineStr">
        <is>
          <t>True</t>
        </is>
      </c>
      <c r="J274" s="29" t="inlineStr">
        <is>
          <t>OK</t>
        </is>
      </c>
      <c r="K274" s="29" t="inlineStr">
        <is>
          <t>데이터 사용 가능</t>
        </is>
      </c>
      <c r="L274" s="29" t="inlineStr">
        <is>
          <t>LOW</t>
        </is>
      </c>
      <c r="M274" s="29" t="inlineStr">
        <is>
          <t>LOW</t>
        </is>
      </c>
      <c r="N274" s="29" t="inlineStr">
        <is>
          <t>0.2205925925925926</t>
        </is>
      </c>
      <c r="O274" s="29" t="inlineStr">
        <is>
          <t>EXPENSIVE</t>
        </is>
      </c>
      <c r="P274" s="29" t="inlineStr">
        <is>
          <t>EXPENSIVE</t>
        </is>
      </c>
      <c r="Q274" s="29" t="inlineStr">
        <is>
          <t>EXPENSIVE</t>
        </is>
      </c>
      <c r="R274" s="29" t="inlineStr">
        <is>
          <t>0.7946423848576873</t>
        </is>
      </c>
      <c r="S274" s="29" t="inlineStr">
        <is>
          <t>HIGH</t>
        </is>
      </c>
      <c r="T274" s="29" t="inlineStr">
        <is>
          <t>HIGH</t>
        </is>
      </c>
      <c r="U274" s="29" t="inlineStr">
        <is>
          <t>0.5714285714285714</t>
        </is>
      </c>
      <c r="V274" s="29" t="inlineStr">
        <is>
          <t>HIGH_RISK</t>
        </is>
      </c>
      <c r="W274" s="29" t="inlineStr">
        <is>
          <t>고위험</t>
        </is>
      </c>
      <c r="X274" s="29" t="inlineStr">
        <is>
          <t>MEDIUM_RISK</t>
        </is>
      </c>
      <c r="Y274" s="29" t="inlineStr">
        <is>
          <t>0.4396420822644243</t>
        </is>
      </c>
      <c r="Z274" s="29" t="inlineStr">
        <is>
          <t>LOW</t>
        </is>
      </c>
      <c r="AA274" s="29" t="inlineStr">
        <is>
          <t>LOW</t>
        </is>
      </c>
      <c r="AB274" s="29" t="inlineStr">
        <is>
          <t>0.13035438491081522</t>
        </is>
      </c>
      <c r="AC274" s="29" t="inlineStr">
        <is>
          <t>False</t>
        </is>
      </c>
      <c r="AD274" s="29" t="inlineStr">
        <is>
          <t>True</t>
        </is>
      </c>
      <c r="AE274" s="29" t="inlineStr">
        <is>
          <t>valuation_credit_ml_overlay_candidate.csv</t>
        </is>
      </c>
      <c r="AF274" s="29" t="inlineStr">
        <is>
          <t>208개 반도체 reference universe. Valuation Agent가 자체 intake 폴더로 복제해 Peer/ML/대시보드 비교에 사용.</t>
        </is>
      </c>
    </row>
  </sheetData>
  <autoFilter ref="A66:AF274"/>
  <mergeCells count="5">
    <mergeCell ref="A2:L2"/>
    <mergeCell ref="A1:L1"/>
    <mergeCell ref="A4:F4"/>
    <mergeCell ref="A21:F21"/>
    <mergeCell ref="A65:F65"/>
  </mergeCells>
  <pageMargins left="0.75" right="0.75" top="1" bottom="1" header="0.5" footer="0.5"/>
  <pageSetup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36" customWidth="1" min="2" max="2"/>
    <col width="17" customWidth="1" min="3" max="3"/>
    <col width="3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DB하이텍 가치평가 브릿지</t>
        </is>
      </c>
    </row>
    <row r="2" ht="28" customHeight="1">
      <c r="A2" s="17" t="inlineStr">
        <is>
          <t>DCF · Peer P/S · 208개 Universe · 품질 ML · 유동성/리스크를 하나의 보조 점수로 연결</t>
        </is>
      </c>
    </row>
    <row r="3" ht="24" customHeight="1"/>
    <row r="4" ht="24" customHeight="1">
      <c r="A4" s="18" t="inlineStr">
        <is>
          <t>종합 점수</t>
        </is>
      </c>
      <c r="B4" s="19" t="n"/>
      <c r="C4" s="18" t="inlineStr">
        <is>
          <t>DCF 괴리율</t>
        </is>
      </c>
      <c r="D4" s="19" t="n"/>
      <c r="E4" s="18" t="inlineStr">
        <is>
          <t>P/S</t>
        </is>
      </c>
      <c r="F4" s="19" t="n"/>
      <c r="G4" s="18" t="inlineStr">
        <is>
          <t>Peer P/S 중앙값</t>
        </is>
      </c>
      <c r="H4" s="19" t="n"/>
      <c r="I4" s="18" t="inlineStr">
        <is>
          <t>208개 Universe</t>
        </is>
      </c>
      <c r="J4" s="19" t="n"/>
    </row>
    <row r="5" ht="24" customHeight="1">
      <c r="A5" s="20" t="inlineStr">
        <is>
          <t>53.4/100</t>
        </is>
      </c>
      <c r="B5" s="19" t="n"/>
      <c r="C5" s="20" t="inlineStr">
        <is>
          <t>-65.6%</t>
        </is>
      </c>
      <c r="D5" s="19" t="n"/>
      <c r="E5" s="20" t="inlineStr">
        <is>
          <t>1.19배</t>
        </is>
      </c>
      <c r="F5" s="19" t="n"/>
      <c r="G5" s="20" t="inlineStr">
        <is>
          <t>3.54배</t>
        </is>
      </c>
      <c r="H5" s="19" t="n"/>
      <c r="I5" s="20" t="inlineStr">
        <is>
          <t>208개</t>
        </is>
      </c>
      <c r="J5" s="19" t="n"/>
    </row>
    <row r="6" ht="24" customHeight="1">
      <c r="A6" s="21" t="inlineStr">
        <is>
          <t>중립</t>
        </is>
      </c>
      <c r="B6" s="19" t="n"/>
      <c r="C6" s="21" t="inlineStr">
        <is>
          <t>내재주가/현재가-1</t>
        </is>
      </c>
      <c r="D6" s="19" t="n"/>
      <c r="E6" s="21" t="inlineStr">
        <is>
          <t>피어 대비 저PSR 구간: 상대 저평가 가능성</t>
        </is>
      </c>
      <c r="F6" s="19" t="n"/>
      <c r="G6" s="21" t="inlineStr">
        <is>
          <t>live peer 기준</t>
        </is>
      </c>
      <c r="H6" s="19" t="n"/>
      <c r="I6" s="21" t="inlineStr">
        <is>
          <t>IDM/제조/메모리</t>
        </is>
      </c>
      <c r="J6" s="19" t="n"/>
    </row>
    <row r="7" ht="24" customHeight="1"/>
    <row r="8" ht="24" customHeight="1"/>
    <row r="9" ht="24" customHeight="1">
      <c r="A9" s="22" t="inlineStr">
        <is>
          <t>핵심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역할</t>
        </is>
      </c>
      <c r="B11" s="24" t="inlineStr">
        <is>
          <t>Chair 최종 가중합을 대체하지 않는 보조 밸류에이션 판단 근거</t>
        </is>
      </c>
    </row>
    <row r="12" ht="24" customHeight="1">
      <c r="A12" s="29" t="inlineStr">
        <is>
          <t>해석</t>
        </is>
      </c>
      <c r="B12" s="29" t="inlineStr">
        <is>
          <t>현 가격과 내재가치·상대가치가 크게 벌어지지 않은 구간입니다.</t>
        </is>
      </c>
    </row>
    <row r="13" ht="24" customHeight="1">
      <c r="A13" s="24" t="inlineStr">
        <is>
          <t>방법</t>
        </is>
      </c>
      <c r="B13" s="24" t="inlineStr">
        <is>
          <t>DCF 25% + Peer P/S 15% + 품질 ML 15% + 208개 Universe 10% + 가치범위표/역산 DCF/오너 이익 20% + 유동성/리스크 10% + 검증 5%</t>
        </is>
      </c>
    </row>
    <row r="14" ht="24" customHeight="1">
      <c r="A14" s="29" t="inlineStr">
        <is>
          <t>검증상태</t>
        </is>
      </c>
      <c r="B14" s="29" t="inlineStr">
        <is>
          <t>PASS</t>
        </is>
      </c>
    </row>
    <row r="15" ht="24" customHeight="1"/>
    <row r="16" ht="24" customHeight="1"/>
    <row r="17" ht="24" customHeight="1">
      <c r="A17" s="22" t="inlineStr">
        <is>
          <t>가중 점수 구성</t>
        </is>
      </c>
    </row>
    <row r="18" ht="24" customHeight="1">
      <c r="A18" s="25" t="inlineStr">
        <is>
          <t>요인 코드</t>
        </is>
      </c>
      <c r="B18" s="25" t="inlineStr">
        <is>
          <t>요인</t>
        </is>
      </c>
      <c r="C18" s="25" t="inlineStr">
        <is>
          <t>가중치</t>
        </is>
      </c>
      <c r="D18" s="25" t="inlineStr">
        <is>
          <t>원천값</t>
        </is>
      </c>
      <c r="E18" s="25" t="inlineStr">
        <is>
          <t>점수</t>
        </is>
      </c>
      <c r="F18" s="25" t="inlineStr">
        <is>
          <t>해석</t>
        </is>
      </c>
    </row>
    <row r="19" ht="24" customHeight="1">
      <c r="A19" s="24" t="inlineStr">
        <is>
          <t>DCF_UPSIDE</t>
        </is>
      </c>
      <c r="B19" s="24" t="inlineStr">
        <is>
          <t>DCF 현재가 대비 괴리율</t>
        </is>
      </c>
      <c r="C19" s="30" t="n">
        <v>0.25</v>
      </c>
      <c r="D19" s="30" t="n">
        <v>-0.6561110732678489</v>
      </c>
      <c r="E19" s="30" t="n">
        <v>0</v>
      </c>
      <c r="F19" s="24" t="inlineStr">
        <is>
          <t>내재주가가 현재가보다 높을수록 우호</t>
        </is>
      </c>
    </row>
    <row r="20" ht="24" customHeight="1">
      <c r="A20" s="29" t="inlineStr">
        <is>
          <t>PEER_PSR</t>
        </is>
      </c>
      <c r="B20" s="29" t="inlineStr">
        <is>
          <t>Peer P/S 상대 매력도</t>
        </is>
      </c>
      <c r="C20" s="31" t="n">
        <v>0.15</v>
      </c>
      <c r="D20" s="31" t="n">
        <v>1.187366562371241</v>
      </c>
      <c r="E20" s="31" t="n">
        <v>100</v>
      </c>
      <c r="F20" s="29" t="inlineStr">
        <is>
          <t>P/S가 동종 피어 대비 낮을수록 우호</t>
        </is>
      </c>
    </row>
    <row r="21" ht="24" customHeight="1">
      <c r="A21" s="24" t="inlineStr">
        <is>
          <t>QUALITY_ML</t>
        </is>
      </c>
      <c r="B21" s="24" t="inlineStr">
        <is>
          <t>수익성·현금흐름·안정성 ML 보조점수</t>
        </is>
      </c>
      <c r="C21" s="30" t="n">
        <v>0.15</v>
      </c>
      <c r="D21" s="30" t="n">
        <v>71.45999999999999</v>
      </c>
      <c r="E21" s="30" t="n">
        <v>71.45999999999999</v>
      </c>
      <c r="F21" s="24" t="inlineStr">
        <is>
          <t>Valuation Agent 자체 peer percentile composite</t>
        </is>
      </c>
    </row>
    <row r="22" ht="24" customHeight="1">
      <c r="A22" s="29" t="inlineStr">
        <is>
          <t>REFERENCE_UNIVERSE</t>
        </is>
      </c>
      <c r="B22" s="29" t="inlineStr">
        <is>
          <t>208개 반도체 Reference Universe 위치</t>
        </is>
      </c>
      <c r="C22" s="31" t="n">
        <v>0.1</v>
      </c>
      <c r="D22" s="31" t="n">
        <v>66.53333333333333</v>
      </c>
      <c r="E22" s="31" t="n">
        <v>66.53333333333333</v>
      </c>
      <c r="F22" s="29" t="inlineStr">
        <is>
          <t>업로드/기존 universe 후보 파일의 valuation proxy 기반 상대 위치</t>
        </is>
      </c>
    </row>
    <row r="23" ht="24" customHeight="1">
      <c r="A23" s="24" t="inlineStr">
        <is>
          <t>ADVANCED_VALUATION</t>
        </is>
      </c>
      <c r="B23" s="24" t="inlineStr">
        <is>
          <t>가치범위표·역산 DCF·오너 이익 교차검증</t>
        </is>
      </c>
      <c r="C23" s="30" t="n">
        <v>0.2</v>
      </c>
      <c r="D23" s="30" t="n">
        <v>47.15</v>
      </c>
      <c r="E23" s="30" t="n">
        <v>47.15</v>
      </c>
      <c r="F23" s="24" t="inlineStr">
        <is>
          <t>DCF 하나에 의존하지 않고 복수 가치평가 방법의 중앙값·안전마진·역산가정을 함께 평가</t>
        </is>
      </c>
    </row>
    <row r="24" ht="24" customHeight="1">
      <c r="A24" s="29" t="inlineStr">
        <is>
          <t>LIQUIDITY_RISK</t>
        </is>
      </c>
      <c r="B24" s="29" t="inlineStr">
        <is>
          <t>유동성·변동성 리스크</t>
        </is>
      </c>
      <c r="C24" s="31" t="n">
        <v>0.1</v>
      </c>
      <c r="D24" s="31" t="n">
        <v>123396503245</v>
      </c>
      <c r="E24" s="31" t="n">
        <v>66</v>
      </c>
      <c r="F24" s="29" t="inlineStr">
        <is>
          <t>거래대금은 높을수록, 변동성과 MDD는 낮을수록 우호</t>
        </is>
      </c>
    </row>
    <row r="25" ht="24" customHeight="1">
      <c r="A25" s="24" t="inlineStr">
        <is>
          <t>DATA_VALIDATION</t>
        </is>
      </c>
      <c r="B25" s="24" t="inlineStr">
        <is>
          <t>데이터 검증 상태</t>
        </is>
      </c>
      <c r="C25" s="30" t="n">
        <v>0.05</v>
      </c>
      <c r="D25" s="24" t="inlineStr">
        <is>
          <t>PASS</t>
        </is>
      </c>
      <c r="E25" s="30" t="n">
        <v>100</v>
      </c>
      <c r="F25" s="24" t="inlineStr">
        <is>
          <t>PASS이면 workbook/dashboard용 주요 데이터 준비 완료</t>
        </is>
      </c>
    </row>
    <row r="26" ht="24" customHeight="1"/>
    <row r="27" ht="24" customHeight="1"/>
    <row r="28" ht="24" customHeight="1">
      <c r="A28" s="22" t="inlineStr">
        <is>
          <t>데이터 연결 맵</t>
        </is>
      </c>
    </row>
    <row r="29" ht="24" customHeight="1">
      <c r="A29" s="25" t="inlineStr">
        <is>
          <t>데이터블록</t>
        </is>
      </c>
      <c r="B29" s="25" t="inlineStr">
        <is>
          <t>사용값</t>
        </is>
      </c>
      <c r="C29" s="25" t="inlineStr">
        <is>
          <t>출처</t>
        </is>
      </c>
    </row>
    <row r="30" ht="24" customHeight="1">
      <c r="A30" s="24" t="inlineStr">
        <is>
          <t>DCF</t>
        </is>
      </c>
      <c r="B30" s="24" t="inlineStr">
        <is>
          <t>53,578원</t>
        </is>
      </c>
      <c r="C30" s="24" t="inlineStr">
        <is>
          <t>valuation_metrics.json / 09_DCF_가치평가</t>
        </is>
      </c>
    </row>
    <row r="31" ht="24" customHeight="1">
      <c r="A31" s="29" t="inlineStr">
        <is>
          <t>Peer P/S</t>
        </is>
      </c>
      <c r="B31" s="29" t="inlineStr">
        <is>
          <t>1.19배</t>
        </is>
      </c>
      <c r="C31" s="29" t="inlineStr">
        <is>
          <t>valuation_peer_input.csv / 10_피어비교</t>
        </is>
      </c>
    </row>
    <row r="32" ht="24" customHeight="1">
      <c r="A32" s="24" t="inlineStr">
        <is>
          <t>208개 Universe</t>
        </is>
      </c>
      <c r="B32" s="24" t="inlineStr">
        <is>
          <t>208개</t>
        </is>
      </c>
      <c r="C32" s="24" t="inlineStr">
        <is>
          <t>valuation_reference_universe_208.csv</t>
        </is>
      </c>
    </row>
    <row r="33" ht="24" customHeight="1">
      <c r="A33" s="29" t="inlineStr">
        <is>
          <t>주가·유동성</t>
        </is>
      </c>
      <c r="B33" s="29" t="inlineStr">
        <is>
          <t>1,234.0억원</t>
        </is>
      </c>
      <c r="C33" s="29" t="inlineStr">
        <is>
          <t>valuation_price_history.csv / valuation_price_summary.json</t>
        </is>
      </c>
    </row>
    <row r="34" ht="24" customHeight="1">
      <c r="A34" s="24" t="inlineStr">
        <is>
          <t>ML 보조판단</t>
        </is>
      </c>
      <c r="B34" s="24" t="inlineStr">
        <is>
          <t>71.5/100</t>
        </is>
      </c>
      <c r="C34" s="24" t="inlineStr">
        <is>
          <t>valuation_agent 자체 peer percentile composite</t>
        </is>
      </c>
    </row>
  </sheetData>
  <autoFilter ref="A29:C34"/>
  <mergeCells count="20">
    <mergeCell ref="C6:D6"/>
    <mergeCell ref="I6:J6"/>
    <mergeCell ref="C5:D5"/>
    <mergeCell ref="E5:F5"/>
    <mergeCell ref="A1:K1"/>
    <mergeCell ref="A6:B6"/>
    <mergeCell ref="C4:D4"/>
    <mergeCell ref="E4:F4"/>
    <mergeCell ref="A17:F17"/>
    <mergeCell ref="G6:H6"/>
    <mergeCell ref="E6:F6"/>
    <mergeCell ref="A28:F28"/>
    <mergeCell ref="A9:F9"/>
    <mergeCell ref="A5:B5"/>
    <mergeCell ref="A2:K2"/>
    <mergeCell ref="G5:H5"/>
    <mergeCell ref="I5:J5"/>
    <mergeCell ref="A4:B4"/>
    <mergeCell ref="G4:H4"/>
    <mergeCell ref="I4:J4"/>
  </mergeCells>
  <pageMargins left="0.75" right="0.75" top="1" bottom="1" header="0.5" footer="0.5"/>
  <pageSetup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38" customWidth="1" min="6" max="6"/>
    <col width="17" customWidth="1" min="7" max="7"/>
    <col width="17" customWidth="1" min="8" max="8"/>
    <col width="17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DB하이텍 시나리오 요약</t>
        </is>
      </c>
    </row>
    <row r="2" ht="28" customHeight="1">
      <c r="A2" s="17" t="inlineStr">
        <is>
          <t>Base/Bull/Bear 가정을 한눈에 볼 수 있도록 대시보드 다운로드용으로 정리</t>
        </is>
      </c>
    </row>
    <row r="3" ht="24" customHeight="1"/>
    <row r="4" ht="24" customHeight="1">
      <c r="A4" s="22" t="inlineStr">
        <is>
          <t>3단계 시나리오 가정</t>
        </is>
      </c>
    </row>
    <row r="5" ht="24" customHeight="1">
      <c r="A5" s="25" t="inlineStr">
        <is>
          <t>시나리오</t>
        </is>
      </c>
      <c r="B5" s="25" t="inlineStr">
        <is>
          <t>매출성장률</t>
        </is>
      </c>
      <c r="C5" s="25" t="inlineStr">
        <is>
          <t>FCF마진</t>
        </is>
      </c>
      <c r="D5" s="25" t="inlineStr">
        <is>
          <t>WACC</t>
        </is>
      </c>
      <c r="E5" s="25" t="inlineStr">
        <is>
          <t>영구성장률</t>
        </is>
      </c>
      <c r="F5" s="25" t="inlineStr">
        <is>
          <t>해석</t>
        </is>
      </c>
    </row>
    <row r="6" ht="24" customHeight="1">
      <c r="A6" s="24" t="inlineStr">
        <is>
          <t>Bear</t>
        </is>
      </c>
      <c r="B6" s="30" t="n">
        <v>-0.05193052749100729</v>
      </c>
      <c r="C6" s="30" t="n">
        <v>0.23</v>
      </c>
      <c r="D6" s="30" t="n">
        <v>0.1429581763489804</v>
      </c>
      <c r="E6" s="30" t="n">
        <v>0.009999999999999998</v>
      </c>
      <c r="F6" s="24" t="inlineStr">
        <is>
          <t>보수적 수익성·할인율 가정</t>
        </is>
      </c>
    </row>
    <row r="7" ht="24" customHeight="1">
      <c r="A7" s="29" t="inlineStr">
        <is>
          <t>Base</t>
        </is>
      </c>
      <c r="B7" s="31" t="n">
        <v>-0.0319305274910073</v>
      </c>
      <c r="C7" s="31" t="n">
        <v>0.25</v>
      </c>
      <c r="D7" s="31" t="n">
        <v>0.1329581763489804</v>
      </c>
      <c r="E7" s="31" t="n">
        <v>0.015</v>
      </c>
      <c r="F7" s="29" t="inlineStr">
        <is>
          <t>현재 모델 기본 가정</t>
        </is>
      </c>
    </row>
    <row r="8" ht="24" customHeight="1">
      <c r="A8" s="24" t="inlineStr">
        <is>
          <t>Bull</t>
        </is>
      </c>
      <c r="B8" s="30" t="n">
        <v>-0.0119305274910073</v>
      </c>
      <c r="C8" s="30" t="n">
        <v>0.27</v>
      </c>
      <c r="D8" s="30" t="n">
        <v>0.1229581763489804</v>
      </c>
      <c r="E8" s="30" t="n">
        <v>0.02</v>
      </c>
      <c r="F8" s="24" t="inlineStr">
        <is>
          <t>성장·마진 개선 가정</t>
        </is>
      </c>
    </row>
    <row r="9" ht="24" customHeight="1"/>
    <row r="10" ht="24" customHeight="1"/>
    <row r="11" ht="24" customHeight="1">
      <c r="A11" s="22" t="inlineStr">
        <is>
          <t>대시보드 연결 가이드</t>
        </is>
      </c>
    </row>
    <row r="12" ht="24" customHeight="1">
      <c r="A12" s="25" t="inlineStr">
        <is>
          <t>항목</t>
        </is>
      </c>
      <c r="B12" s="25" t="inlineStr">
        <is>
          <t>내용</t>
        </is>
      </c>
    </row>
    <row r="13" ht="24" customHeight="1">
      <c r="A13" s="24" t="inlineStr">
        <is>
          <t>활용</t>
        </is>
      </c>
      <c r="B13" s="24" t="inlineStr">
        <is>
          <t>대시보드에서 WACC/성장률/마진 슬라이더를 만들 때 기본 입력값으로 사용</t>
        </is>
      </c>
    </row>
    <row r="14" ht="24" customHeight="1">
      <c r="A14" s="29" t="inlineStr">
        <is>
          <t>주의</t>
        </is>
      </c>
      <c r="B14" s="29" t="inlineStr">
        <is>
          <t>정식 투자 판단은 Chair의 6개 에이전트 종합과 별도 검토 필요</t>
        </is>
      </c>
    </row>
  </sheetData>
  <autoFilter ref="A12:B14"/>
  <mergeCells count="4">
    <mergeCell ref="A1:J1"/>
    <mergeCell ref="A11:F11"/>
    <mergeCell ref="A4:F4"/>
    <mergeCell ref="A2:J2"/>
  </mergeCells>
  <pageMargins left="0.75" right="0.75" top="1" bottom="1" header="0.5" footer="0.5"/>
  <pageSetup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데이터 품질·커버리지</t>
        </is>
      </c>
    </row>
    <row r="2" ht="28" customHeight="1">
      <c r="A2" s="17" t="inlineStr">
        <is>
          <t>공란/해당 없음/계산 제외 항목을 숨기지 않고 데이터 커버리지로 관리</t>
        </is>
      </c>
    </row>
    <row r="3" ht="24" customHeight="1"/>
    <row r="4" ht="24" customHeight="1">
      <c r="A4" s="22" t="inlineStr">
        <is>
          <t>커버리지 체크</t>
        </is>
      </c>
    </row>
    <row r="5" ht="24" customHeight="1">
      <c r="A5" s="25" t="inlineStr">
        <is>
          <t>데이터블록</t>
        </is>
      </c>
      <c r="B5" s="25" t="inlineStr">
        <is>
          <t>행수</t>
        </is>
      </c>
      <c r="C5" s="25" t="inlineStr">
        <is>
          <t>상태</t>
        </is>
      </c>
      <c r="D5" s="25" t="inlineStr">
        <is>
          <t>대시보드 영향</t>
        </is>
      </c>
    </row>
    <row r="6" ht="24" customHeight="1">
      <c r="A6" s="24" t="inlineStr">
        <is>
          <t>DART 정규화 재무제표</t>
        </is>
      </c>
      <c r="B6" s="30" t="n">
        <v>5</v>
      </c>
      <c r="C6" s="24" t="inlineStr">
        <is>
          <t>OK</t>
        </is>
      </c>
      <c r="D6" s="24" t="inlineStr">
        <is>
          <t>DCF/WACC/핵심비율</t>
        </is>
      </c>
    </row>
    <row r="7" ht="24" customHeight="1">
      <c r="A7" s="29" t="inlineStr">
        <is>
          <t>주가 이력</t>
        </is>
      </c>
      <c r="B7" s="31" t="n">
        <v>1222</v>
      </c>
      <c r="C7" s="29" t="inlineStr">
        <is>
          <t>OK</t>
        </is>
      </c>
      <c r="D7" s="29" t="inlineStr">
        <is>
          <t>현재가/변동성/MDD/차트</t>
        </is>
      </c>
    </row>
    <row r="8" ht="24" customHeight="1">
      <c r="A8" s="24" t="inlineStr">
        <is>
          <t>Live peer</t>
        </is>
      </c>
      <c r="B8" s="30" t="n">
        <v>5</v>
      </c>
      <c r="C8" s="24" t="inlineStr">
        <is>
          <t>OK</t>
        </is>
      </c>
      <c r="D8" s="24" t="inlineStr">
        <is>
          <t>P/S, PER, PBR</t>
        </is>
      </c>
    </row>
    <row r="9" ht="24" customHeight="1">
      <c r="A9" s="29" t="inlineStr">
        <is>
          <t>208개 Reference Universe</t>
        </is>
      </c>
      <c r="B9" s="31" t="n">
        <v>208</v>
      </c>
      <c r="C9" s="29" t="inlineStr">
        <is>
          <t>OK</t>
        </is>
      </c>
      <c r="D9" s="29" t="inlineStr">
        <is>
          <t>상대 위치/ML 보조</t>
        </is>
      </c>
    </row>
    <row r="10" ht="24" customHeight="1">
      <c r="A10" s="24" t="inlineStr">
        <is>
          <t>가치평가 스코어카드</t>
        </is>
      </c>
      <c r="B10" s="30" t="n">
        <v>7</v>
      </c>
      <c r="C10" s="24" t="inlineStr">
        <is>
          <t>OK</t>
        </is>
      </c>
      <c r="D10" s="24" t="inlineStr">
        <is>
          <t>투자자 요약/Chair 보조</t>
        </is>
      </c>
    </row>
    <row r="11" ht="24" customHeight="1">
      <c r="A11" s="29" t="inlineStr">
        <is>
          <t>Validation</t>
        </is>
      </c>
      <c r="B11" s="31" t="n">
        <v>1</v>
      </c>
      <c r="C11" s="29" t="inlineStr">
        <is>
          <t>PASS</t>
        </is>
      </c>
      <c r="D11" s="29" t="inlineStr">
        <is>
          <t>경고/품질 배지</t>
        </is>
      </c>
    </row>
    <row r="12" ht="24" customHeight="1"/>
    <row r="13" ht="24" customHeight="1"/>
    <row r="14" ht="24" customHeight="1">
      <c r="A14" s="22" t="inlineStr">
        <is>
          <t>Validation 이슈</t>
        </is>
      </c>
    </row>
    <row r="15" ht="24" customHeight="1">
      <c r="A15" s="25" t="inlineStr">
        <is>
          <t>중요도</t>
        </is>
      </c>
      <c r="B15" s="25" t="inlineStr">
        <is>
          <t>코드</t>
        </is>
      </c>
      <c r="C15" s="25" t="inlineStr">
        <is>
          <t>메시지</t>
        </is>
      </c>
    </row>
    <row r="16" ht="24" customHeight="1">
      <c r="A16" s="24" t="inlineStr">
        <is>
          <t>INFO</t>
        </is>
      </c>
      <c r="B16" s="24" t="inlineStr">
        <is>
          <t>NO_MAJOR_WARNINGS</t>
        </is>
      </c>
      <c r="C16" s="24" t="inlineStr">
        <is>
          <t>주요 validation warning 없음</t>
        </is>
      </c>
    </row>
  </sheetData>
  <autoFilter ref="A15:C16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8" customWidth="1" min="1" max="1"/>
    <col width="4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DB하이텍 종합 가치평가 요약</t>
        </is>
      </c>
    </row>
    <row r="2" ht="28" customHeight="1">
      <c r="A2" s="17" t="inlineStr">
        <is>
          <t>DCF·상대가치·역산 DCF·오너 이익·EPV·Graham Number로 교차검증</t>
        </is>
      </c>
    </row>
    <row r="3" ht="24" customHeight="1"/>
    <row r="4" ht="24" customHeight="1">
      <c r="A4" s="18" t="inlineStr">
        <is>
          <t>종합 가치평가 점수</t>
        </is>
      </c>
      <c r="B4" s="19" t="n"/>
      <c r="C4" s="18" t="inlineStr">
        <is>
          <t>가치범위 중앙값</t>
        </is>
      </c>
      <c r="D4" s="19" t="n"/>
      <c r="E4" s="18" t="inlineStr">
        <is>
          <t>안전마진</t>
        </is>
      </c>
      <c r="F4" s="19" t="n"/>
      <c r="G4" s="18" t="inlineStr">
        <is>
          <t>역산 DCF</t>
        </is>
      </c>
      <c r="H4" s="19" t="n"/>
      <c r="I4" s="18" t="inlineStr">
        <is>
          <t>오너 이익</t>
        </is>
      </c>
      <c r="J4" s="19" t="n"/>
      <c r="K4" s="18" t="inlineStr">
        <is>
          <t>검증상태</t>
        </is>
      </c>
      <c r="L4" s="19" t="n"/>
    </row>
    <row r="5" ht="24" customHeight="1">
      <c r="A5" s="20" t="inlineStr">
        <is>
          <t>47.1/100</t>
        </is>
      </c>
      <c r="B5" s="19" t="n"/>
      <c r="C5" s="20" t="inlineStr">
        <is>
          <t>124,937원</t>
        </is>
      </c>
      <c r="D5" s="19" t="n"/>
      <c r="E5" s="20" t="inlineStr">
        <is>
          <t>-19.8%</t>
        </is>
      </c>
      <c r="F5" s="19" t="n"/>
      <c r="G5" s="20" t="inlineStr">
        <is>
          <t>8.0%</t>
        </is>
      </c>
      <c r="H5" s="19" t="n"/>
      <c r="I5" s="20" t="inlineStr">
        <is>
          <t>60,146원</t>
        </is>
      </c>
      <c r="J5" s="19" t="n"/>
      <c r="K5" s="20" t="inlineStr">
        <is>
          <t>PASS</t>
        </is>
      </c>
      <c r="L5" s="19" t="n"/>
    </row>
    <row r="6" ht="24" customHeight="1">
      <c r="A6" s="21" t="inlineStr">
        <is>
          <t>복수 방법 교차검증</t>
        </is>
      </c>
      <c r="B6" s="19" t="n"/>
      <c r="C6" s="21" t="inlineStr">
        <is>
          <t>중립권</t>
        </is>
      </c>
      <c r="D6" s="19" t="n"/>
      <c r="E6" s="21" t="inlineStr">
        <is>
          <t>중앙값/현재가-1</t>
        </is>
      </c>
      <c r="F6" s="19" t="n"/>
      <c r="G6" s="21" t="inlineStr">
        <is>
          <t>시장가격 내재 성장률</t>
        </is>
      </c>
      <c r="H6" s="19" t="n"/>
      <c r="I6" s="21" t="inlineStr">
        <is>
          <t>보수 현금창출 기준</t>
        </is>
      </c>
      <c r="J6" s="19" t="n"/>
      <c r="K6" s="21" t="inlineStr">
        <is>
          <t>PASS 권장</t>
        </is>
      </c>
      <c r="L6" s="19" t="n"/>
    </row>
    <row r="7" ht="24" customHeight="1"/>
    <row r="8" ht="24" customHeight="1"/>
    <row r="9" ht="24" customHeight="1">
      <c r="A9" s="22" t="inlineStr">
        <is>
          <t>투자자용 해석</t>
        </is>
      </c>
    </row>
    <row r="10" ht="24" customHeight="1">
      <c r="A10" s="25" t="inlineStr">
        <is>
          <t>구분</t>
        </is>
      </c>
      <c r="B10" s="25" t="inlineStr">
        <is>
          <t>내용</t>
        </is>
      </c>
    </row>
    <row r="11" ht="24" customHeight="1">
      <c r="A11" s="24" t="inlineStr">
        <is>
          <t>결론</t>
        </is>
      </c>
      <c r="B11" s="24" t="inlineStr">
        <is>
          <t>현 가격과 내재가치·상대가치가 크게 벌어지지 않은 구간입니다.</t>
        </is>
      </c>
    </row>
    <row r="12" ht="24" customHeight="1">
      <c r="A12" s="29" t="inlineStr">
        <is>
          <t>핵심 산식</t>
        </is>
      </c>
      <c r="B12" s="29" t="inlineStr">
        <is>
          <t>DCF + 피어 멀티플 가치범위표 + 역산 DCF + 오너 이익/EPV + 시장내재 배수 + 데이터 커버리지</t>
        </is>
      </c>
    </row>
    <row r="13" ht="24" customHeight="1">
      <c r="A13" s="24" t="inlineStr">
        <is>
          <t>사용 이유</t>
        </is>
      </c>
      <c r="B13" s="24" t="inlineStr">
        <is>
          <t>DCF는 가정 민감도가 크므로, 시장이 내재한 성장률과 상대가치·현금창출 가치가 같은 방향인지 확인합니다.</t>
        </is>
      </c>
    </row>
    <row r="14" ht="24" customHeight="1">
      <c r="A14" s="29" t="inlineStr">
        <is>
          <t>대시보드 활용</t>
        </is>
      </c>
      <c r="B14" s="29" t="inlineStr">
        <is>
          <t>summary_cards와 advanced_valuation 블록을 사용하면 Streamlit/React에서 가치범위 차트·민감도 카드·다운로드 버튼 구현 가능</t>
        </is>
      </c>
    </row>
    <row r="15" ht="24" customHeight="1"/>
    <row r="16" ht="24" customHeight="1"/>
    <row r="17" ht="24" customHeight="1">
      <c r="A17" s="22" t="inlineStr">
        <is>
          <t>방법별 내재가격 요약</t>
        </is>
      </c>
    </row>
    <row r="18" ht="24" customHeight="1">
      <c r="A18" s="25" t="inlineStr">
        <is>
          <t>방법 코드</t>
        </is>
      </c>
      <c r="B18" s="25" t="inlineStr">
        <is>
          <t>가치평가 방법</t>
        </is>
      </c>
      <c r="C18" s="25" t="inlineStr">
        <is>
          <t>하단 지분가치</t>
        </is>
      </c>
      <c r="D18" s="25" t="inlineStr">
        <is>
          <t>중앙 지분가치</t>
        </is>
      </c>
      <c r="E18" s="25" t="inlineStr">
        <is>
          <t>상단 지분가치</t>
        </is>
      </c>
      <c r="F18" s="25" t="inlineStr">
        <is>
          <t>하단 주당가치</t>
        </is>
      </c>
      <c r="G18" s="25" t="inlineStr">
        <is>
          <t>중앙 주당가치</t>
        </is>
      </c>
      <c r="H18" s="25" t="inlineStr">
        <is>
          <t>상단 주당가치</t>
        </is>
      </c>
      <c r="I18" s="25" t="inlineStr">
        <is>
          <t>현재가</t>
        </is>
      </c>
      <c r="J18" s="25" t="inlineStr">
        <is>
          <t>현재가 대비</t>
        </is>
      </c>
      <c r="K18" s="25" t="inlineStr">
        <is>
          <t>해석</t>
        </is>
      </c>
      <c r="L18" s="25" t="inlineStr">
        <is>
          <t>출처</t>
        </is>
      </c>
      <c r="M18" s="25" t="inlineStr">
        <is>
          <t>신뢰도</t>
        </is>
      </c>
    </row>
    <row r="19" ht="24" customHeight="1">
      <c r="A19" s="24" t="inlineStr">
        <is>
          <t>DCF_BASE</t>
        </is>
      </c>
      <c r="B19" s="24" t="inlineStr">
        <is>
          <t>DCF 기준가치</t>
        </is>
      </c>
      <c r="C19" s="30" t="n">
        <v>1986378586689.056</v>
      </c>
      <c r="D19" s="30" t="n">
        <v>2336915984340.066</v>
      </c>
      <c r="E19" s="30" t="n">
        <v>2687453381991.076</v>
      </c>
      <c r="F19" s="30" t="n">
        <v>45541.21056713877</v>
      </c>
      <c r="G19" s="30" t="n">
        <v>53577.89478486914</v>
      </c>
      <c r="H19" s="30" t="n">
        <v>61614.57900259951</v>
      </c>
      <c r="I19" s="30" t="n">
        <v>155800</v>
      </c>
      <c r="J19" s="35" t="n">
        <v>-0.6561110732678489</v>
      </c>
      <c r="K19" s="24" t="inlineStr">
        <is>
          <t>밸류에이션 부담</t>
        </is>
      </c>
      <c r="L19" s="24" t="inlineStr">
        <is>
          <t>Valuation Agent DCF</t>
        </is>
      </c>
      <c r="M19" s="24" t="inlineStr">
        <is>
          <t>핵심 모델</t>
        </is>
      </c>
    </row>
    <row r="20" ht="24" customHeight="1">
      <c r="A20" s="29" t="inlineStr">
        <is>
          <t>PSR_COMP</t>
        </is>
      </c>
      <c r="B20" s="29" t="inlineStr">
        <is>
          <t>P/S 상대가치</t>
        </is>
      </c>
      <c r="C20" s="31" t="n">
        <v>1911737299833.802</v>
      </c>
      <c r="D20" s="31" t="n">
        <v>4940564256579.617</v>
      </c>
      <c r="E20" s="31" t="n">
        <v>5258593331904.633</v>
      </c>
      <c r="F20" s="31" t="n">
        <v>43829.92824439518</v>
      </c>
      <c r="G20" s="31" t="n">
        <v>113271.0947636654</v>
      </c>
      <c r="H20" s="31" t="n">
        <v>120562.4687156924</v>
      </c>
      <c r="I20" s="31" t="n">
        <v>155800</v>
      </c>
      <c r="J20" s="36" t="n">
        <v>-0.2729711504257679</v>
      </c>
      <c r="K20" s="29" t="inlineStr">
        <is>
          <t>밸류에이션 부담</t>
        </is>
      </c>
      <c r="L20" s="29" t="inlineStr">
        <is>
          <t>시가총액/매출 피어 비교</t>
        </is>
      </c>
      <c r="M20" s="29" t="inlineStr">
        <is>
          <t>피어 중앙값 기반</t>
        </is>
      </c>
    </row>
    <row r="21" ht="24" customHeight="1">
      <c r="A21" s="24" t="inlineStr">
        <is>
          <t>PBR_COMP</t>
        </is>
      </c>
      <c r="B21" s="24" t="inlineStr">
        <is>
          <t>P/B 상대가치</t>
        </is>
      </c>
      <c r="C21" s="30" t="n">
        <v>5660980814682.744</v>
      </c>
      <c r="D21" s="30" t="n">
        <v>5957879916810.091</v>
      </c>
      <c r="E21" s="30" t="n">
        <v>8889891390520.068</v>
      </c>
      <c r="F21" s="30" t="n">
        <v>129787.9070110799</v>
      </c>
      <c r="G21" s="30" t="n">
        <v>136594.8392936683</v>
      </c>
      <c r="H21" s="30" t="n">
        <v>203816.3411786939</v>
      </c>
      <c r="I21" s="30" t="n">
        <v>155800</v>
      </c>
      <c r="J21" s="35" t="n">
        <v>-0.1232680404770971</v>
      </c>
      <c r="K21" s="24" t="inlineStr">
        <is>
          <t>중립권</t>
        </is>
      </c>
      <c r="L21" s="24" t="inlineStr">
        <is>
          <t>시가총액/자본 피어 비교</t>
        </is>
      </c>
      <c r="M21" s="24" t="inlineStr">
        <is>
          <t>피어 중앙값 기반</t>
        </is>
      </c>
    </row>
    <row r="22" ht="24" customHeight="1">
      <c r="A22" s="29" t="inlineStr">
        <is>
          <t>PER_COMP</t>
        </is>
      </c>
      <c r="B22" s="29" t="inlineStr">
        <is>
          <t>PER 상대가치</t>
        </is>
      </c>
      <c r="C22" s="31" t="n">
        <v>5329549592989.407</v>
      </c>
      <c r="D22" s="31" t="n">
        <v>5897099770387.438</v>
      </c>
      <c r="E22" s="31" t="n">
        <v>7757585615596.522</v>
      </c>
      <c r="F22" s="31" t="n">
        <v>122189.2653640115</v>
      </c>
      <c r="G22" s="31" t="n">
        <v>135201.347909355</v>
      </c>
      <c r="H22" s="31" t="n">
        <v>177856.2467295623</v>
      </c>
      <c r="I22" s="31" t="n">
        <v>155800</v>
      </c>
      <c r="J22" s="36" t="n">
        <v>-0.1322121443558728</v>
      </c>
      <c r="K22" s="29" t="inlineStr">
        <is>
          <t>중립권</t>
        </is>
      </c>
      <c r="L22" s="29" t="inlineStr">
        <is>
          <t>시가총액/순이익 피어 비교</t>
        </is>
      </c>
      <c r="M22" s="29" t="inlineStr">
        <is>
          <t>피어 중앙값 기반</t>
        </is>
      </c>
    </row>
    <row r="23" ht="24" customHeight="1">
      <c r="A23" s="24" t="inlineStr">
        <is>
          <t>PFCF_COMP</t>
        </is>
      </c>
      <c r="B23" s="24" t="inlineStr">
        <is>
          <t>P/FCF 상대가치</t>
        </is>
      </c>
      <c r="C23" s="30" t="n">
        <v>2094294388336.259</v>
      </c>
      <c r="D23" s="30" t="n">
        <v>5449410072701.678</v>
      </c>
      <c r="E23" s="30" t="n">
        <v>5994725245661.905</v>
      </c>
      <c r="F23" s="30" t="n">
        <v>48015.3694607506</v>
      </c>
      <c r="G23" s="30" t="n">
        <v>124937.2769373508</v>
      </c>
      <c r="H23" s="30" t="n">
        <v>137439.5830353197</v>
      </c>
      <c r="I23" s="30" t="n">
        <v>155800</v>
      </c>
      <c r="J23" s="35" t="n">
        <v>-0.1980919323661695</v>
      </c>
      <c r="K23" s="24" t="inlineStr">
        <is>
          <t>중립권</t>
        </is>
      </c>
      <c r="L23" s="24" t="inlineStr">
        <is>
          <t>시가총액/FCF 피어 비교</t>
        </is>
      </c>
      <c r="M23" s="24" t="inlineStr">
        <is>
          <t>피어 중앙값 기반</t>
        </is>
      </c>
    </row>
    <row r="24" ht="24" customHeight="1">
      <c r="A24" s="29" t="inlineStr">
        <is>
          <t>EV_SALES_COMP</t>
        </is>
      </c>
      <c r="B24" s="29" t="inlineStr">
        <is>
          <t>EV/Sales 상대가치</t>
        </is>
      </c>
      <c r="C24" s="31" t="n">
        <v>2441375448702.695</v>
      </c>
      <c r="D24" s="31" t="n">
        <v>5183770848575.013</v>
      </c>
      <c r="E24" s="31" t="n">
        <v>11567845534993.14</v>
      </c>
      <c r="F24" s="31" t="n">
        <v>55972.81108841147</v>
      </c>
      <c r="G24" s="31" t="n">
        <v>118847.0321461963</v>
      </c>
      <c r="H24" s="31" t="n">
        <v>265213.1335121592</v>
      </c>
      <c r="I24" s="31" t="n">
        <v>155800</v>
      </c>
      <c r="J24" s="36" t="n">
        <v>-0.2371820786508582</v>
      </c>
      <c r="K24" s="29" t="inlineStr">
        <is>
          <t>밸류에이션 부담</t>
        </is>
      </c>
      <c r="L24" s="29" t="inlineStr">
        <is>
          <t>EV/매출 피어 비교</t>
        </is>
      </c>
      <c r="M24" s="29" t="inlineStr">
        <is>
          <t>EV 조정 피어 기준</t>
        </is>
      </c>
    </row>
    <row r="25" ht="24" customHeight="1">
      <c r="A25" s="24" t="inlineStr">
        <is>
          <t>EV_EBIT_COMP</t>
        </is>
      </c>
      <c r="B25" s="24" t="inlineStr">
        <is>
          <t>EV/EBIT 상대가치</t>
        </is>
      </c>
      <c r="C25" s="30" t="n">
        <v>5043036678643.008</v>
      </c>
      <c r="D25" s="30" t="n">
        <v>5873082426390.248</v>
      </c>
      <c r="E25" s="30" t="n">
        <v>12060452985374.8</v>
      </c>
      <c r="F25" s="30" t="n">
        <v>115620.4546398671</v>
      </c>
      <c r="G25" s="30" t="n">
        <v>134650.7082037274</v>
      </c>
      <c r="H25" s="30" t="n">
        <v>276507.02269074</v>
      </c>
      <c r="I25" s="30" t="n">
        <v>155800</v>
      </c>
      <c r="J25" s="35" t="n">
        <v>-0.1357464171776162</v>
      </c>
      <c r="K25" s="24" t="inlineStr">
        <is>
          <t>중립권</t>
        </is>
      </c>
      <c r="L25" s="24" t="inlineStr">
        <is>
          <t>EV/영업이익 피어 비교</t>
        </is>
      </c>
      <c r="M25" s="24" t="inlineStr">
        <is>
          <t>EV 조정 피어 기준</t>
        </is>
      </c>
    </row>
    <row r="26" ht="24" customHeight="1"/>
    <row r="27" ht="24" customHeight="1"/>
    <row r="28" ht="24" customHeight="1">
      <c r="A28" s="22" t="inlineStr">
        <is>
          <t>시장내재 배수 자동산출</t>
        </is>
      </c>
    </row>
    <row r="29" ht="24" customHeight="1">
      <c r="A29" s="25" t="inlineStr">
        <is>
          <t>latest_close</t>
        </is>
      </c>
      <c r="B29" s="25" t="inlineStr">
        <is>
          <t>시가총액</t>
        </is>
      </c>
      <c r="C29" s="25" t="inlineStr">
        <is>
          <t>EV proxy</t>
        </is>
      </c>
      <c r="D29" s="25" t="inlineStr">
        <is>
          <t>psr_market</t>
        </is>
      </c>
      <c r="E29" s="25" t="inlineStr">
        <is>
          <t>pbr_market</t>
        </is>
      </c>
      <c r="F29" s="25" t="inlineStr">
        <is>
          <t>per_market</t>
        </is>
      </c>
      <c r="G29" s="25" t="inlineStr">
        <is>
          <t>p_fcf_market</t>
        </is>
      </c>
      <c r="H29" s="25" t="inlineStr">
        <is>
          <t>ev_sales_market</t>
        </is>
      </c>
      <c r="I29" s="25" t="inlineStr">
        <is>
          <t>ev_ebit_market</t>
        </is>
      </c>
      <c r="J29" s="25" t="inlineStr">
        <is>
          <t>eps_derived</t>
        </is>
      </c>
      <c r="K29" s="25" t="inlineStr">
        <is>
          <t>bps_derived</t>
        </is>
      </c>
      <c r="L29" s="25" t="inlineStr">
        <is>
          <t>fcf_yield_market</t>
        </is>
      </c>
      <c r="M29" s="25" t="inlineStr">
        <is>
          <t>sales_yield_market</t>
        </is>
      </c>
      <c r="N29" s="25" t="inlineStr">
        <is>
          <t>source_kr</t>
        </is>
      </c>
    </row>
    <row r="30" ht="24" customHeight="1">
      <c r="A30" s="30" t="n">
        <v>155800</v>
      </c>
      <c r="B30" s="30" t="n">
        <v>6795554618600</v>
      </c>
      <c r="C30" s="30" t="n">
        <v>7221086436519</v>
      </c>
      <c r="D30" s="42" t="n">
        <v>4.863579034628839</v>
      </c>
      <c r="E30" s="42" t="n">
        <v>3.028328153366977</v>
      </c>
      <c r="F30" s="42" t="n">
        <v>26.90430339151988</v>
      </c>
      <c r="G30" s="42" t="n">
        <v>19.48249212816028</v>
      </c>
      <c r="H30" s="42" t="n">
        <v>5.168132193915302</v>
      </c>
      <c r="I30" s="42" t="n">
        <v>26.0412119370341</v>
      </c>
      <c r="J30" s="30" t="n">
        <v>5790.895149104938</v>
      </c>
      <c r="K30" s="30" t="n">
        <v>51447.52883757902</v>
      </c>
      <c r="L30" s="35" t="n">
        <v>0.05132813571394109</v>
      </c>
      <c r="M30" s="35" t="n">
        <v>0.205609900215452</v>
      </c>
      <c r="N30" s="24" t="inlineStr">
        <is>
          <t>DART 정규화 재무제표 + Valuation Agent 주가/발행주식 수 intake로 자동 산출</t>
        </is>
      </c>
    </row>
    <row r="31" ht="24" customHeight="1"/>
    <row r="32" ht="24" customHeight="1"/>
    <row r="33" ht="24" customHeight="1">
      <c r="A33" s="22" t="inlineStr">
        <is>
          <t>품질 진단 체크</t>
        </is>
      </c>
    </row>
    <row r="34" ht="24" customHeight="1">
      <c r="A34" s="25" t="inlineStr">
        <is>
          <t>진단항목</t>
        </is>
      </c>
      <c r="B34" s="25" t="inlineStr">
        <is>
          <t>상태</t>
        </is>
      </c>
      <c r="C34" s="25" t="inlineStr">
        <is>
          <t>근거값</t>
        </is>
      </c>
      <c r="D34" s="25" t="inlineStr">
        <is>
          <t>해석</t>
        </is>
      </c>
    </row>
    <row r="35" ht="24" customHeight="1">
      <c r="A35" s="24" t="inlineStr">
        <is>
          <t>재무제표 기간</t>
        </is>
      </c>
      <c r="B35" s="24" t="inlineStr">
        <is>
          <t>충분</t>
        </is>
      </c>
      <c r="C35" s="30" t="n">
        <v>5</v>
      </c>
      <c r="D35" s="24" t="inlineStr">
        <is>
          <t>5개년이면 DCF 추세 가정과 CAGR 산정에 충분합니다.</t>
        </is>
      </c>
    </row>
    <row r="36" ht="24" customHeight="1">
      <c r="A36" s="29" t="inlineStr">
        <is>
          <t>주가 이력</t>
        </is>
      </c>
      <c r="B36" s="29" t="inlineStr">
        <is>
          <t>충분</t>
        </is>
      </c>
      <c r="C36" s="31" t="n">
        <v>1222</v>
      </c>
      <c r="D36" s="29" t="inlineStr">
        <is>
          <t>현재가, 52주 범위, MDD, 변동성, 거래대금 지표 품질을 좌우합니다.</t>
        </is>
      </c>
    </row>
    <row r="37" ht="24" customHeight="1">
      <c r="A37" s="24" t="inlineStr">
        <is>
          <t>가치평가 방법 수</t>
        </is>
      </c>
      <c r="B37" s="24" t="inlineStr">
        <is>
          <t>충분</t>
        </is>
      </c>
      <c r="C37" s="30" t="n">
        <v>7</v>
      </c>
      <c r="D37" s="24" t="inlineStr">
        <is>
          <t>DCF 하나가 아니라 상대가치·EV 멀티플·현금창출 지표까지 교차검증합니다.</t>
        </is>
      </c>
    </row>
    <row r="38" ht="24" customHeight="1">
      <c r="A38" s="29" t="inlineStr">
        <is>
          <t>수익성</t>
        </is>
      </c>
      <c r="B38" s="29" t="inlineStr">
        <is>
          <t>우호</t>
        </is>
      </c>
      <c r="C38" s="31" t="n">
        <v>0.1984597416745234</v>
      </c>
      <c r="D38" s="29" t="inlineStr">
        <is>
          <t>영업이익률이 높을수록 DCF의 현금흐름 안정성이 높습니다.</t>
        </is>
      </c>
    </row>
    <row r="39" ht="24" customHeight="1">
      <c r="A39" s="24" t="inlineStr">
        <is>
          <t>현금창출</t>
        </is>
      </c>
      <c r="B39" s="24" t="inlineStr">
        <is>
          <t>우호</t>
        </is>
      </c>
      <c r="C39" s="30" t="n">
        <v>0.2496384447449077</v>
      </c>
      <c r="D39" s="24" t="inlineStr">
        <is>
          <t>FCF margin과 오너 이익 수익률이 DCF 품질의 핵심입니다.</t>
        </is>
      </c>
    </row>
    <row r="40" ht="24" customHeight="1">
      <c r="A40" s="29" t="inlineStr">
        <is>
          <t>재무 레버리지</t>
        </is>
      </c>
      <c r="B40" s="29" t="inlineStr">
        <is>
          <t>보수적</t>
        </is>
      </c>
      <c r="C40" s="31" t="n">
        <v>0.3335952790138178</v>
      </c>
      <c r="D40" s="29" t="inlineStr">
        <is>
          <t>부채/자본이 높으면 WACC와 지분가치 산정에 보수 가정을 적용합니다.</t>
        </is>
      </c>
    </row>
    <row r="41" ht="24" customHeight="1">
      <c r="A41" s="24" t="inlineStr">
        <is>
          <t>시장 내재가정</t>
        </is>
      </c>
      <c r="B41" s="24" t="inlineStr">
        <is>
          <t>계산 완료</t>
        </is>
      </c>
      <c r="C41" s="30" t="n">
        <v>0.08</v>
      </c>
      <c r="D41" s="24" t="inlineStr">
        <is>
          <t>현재 시가총액이 요구하는 영구성장률을 역산해 과도한 기대가 반영됐는지 확인합니다.</t>
        </is>
      </c>
    </row>
    <row r="42" ht="24" customHeight="1">
      <c r="A42" s="29" t="inlineStr">
        <is>
          <t>오너 이익</t>
        </is>
      </c>
      <c r="B42" s="29" t="inlineStr">
        <is>
          <t>계산 완료</t>
        </is>
      </c>
      <c r="C42" s="31" t="n">
        <v>60146.15846747318</v>
      </c>
      <c r="D42" s="29" t="inlineStr">
        <is>
          <t>CFO-CAPEX 또는 FCF 기반 보수 가치가 DCF와 같은 방향인지 확인합니다.</t>
        </is>
      </c>
    </row>
  </sheetData>
  <autoFilter ref="A34:D42"/>
  <mergeCells count="24">
    <mergeCell ref="C6:D6"/>
    <mergeCell ref="I6:J6"/>
    <mergeCell ref="C5:D5"/>
    <mergeCell ref="E5:F5"/>
    <mergeCell ref="K5:L5"/>
    <mergeCell ref="A6:B6"/>
    <mergeCell ref="C4:D4"/>
    <mergeCell ref="A33:F33"/>
    <mergeCell ref="A2:L2"/>
    <mergeCell ref="E4:F4"/>
    <mergeCell ref="A17:F17"/>
    <mergeCell ref="G6:H6"/>
    <mergeCell ref="E6:F6"/>
    <mergeCell ref="A28:F28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17" customWidth="1" min="1" max="1"/>
    <col width="24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4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DB하이텍 가치범위표</t>
        </is>
      </c>
    </row>
    <row r="2" ht="28" customHeight="1">
      <c r="A2" s="17" t="inlineStr">
        <is>
          <t>DCF, P/S, P/B, PER, P/FCF, EV/Sales, EV/EBIT 기준 내재가격 범위를 한 화면에서 비교</t>
        </is>
      </c>
    </row>
    <row r="3" ht="24" customHeight="1"/>
    <row r="4" ht="24" customHeight="1">
      <c r="A4" s="18" t="inlineStr">
        <is>
          <t>현재가</t>
        </is>
      </c>
      <c r="B4" s="19" t="n"/>
      <c r="C4" s="18" t="inlineStr">
        <is>
          <t>하단값</t>
        </is>
      </c>
      <c r="D4" s="19" t="n"/>
      <c r="E4" s="18" t="inlineStr">
        <is>
          <t>중앙값</t>
        </is>
      </c>
      <c r="F4" s="19" t="n"/>
      <c r="G4" s="18" t="inlineStr">
        <is>
          <t>상단값</t>
        </is>
      </c>
      <c r="H4" s="19" t="n"/>
      <c r="I4" s="18" t="inlineStr">
        <is>
          <t>방법 수</t>
        </is>
      </c>
      <c r="J4" s="19" t="n"/>
      <c r="K4" s="18" t="inlineStr">
        <is>
          <t>안전마진</t>
        </is>
      </c>
      <c r="L4" s="19" t="n"/>
    </row>
    <row r="5" ht="24" customHeight="1">
      <c r="A5" s="20" t="inlineStr">
        <is>
          <t>155,800원</t>
        </is>
      </c>
      <c r="B5" s="19" t="n"/>
      <c r="C5" s="20" t="inlineStr">
        <is>
          <t>116,059원</t>
        </is>
      </c>
      <c r="D5" s="19" t="n"/>
      <c r="E5" s="20" t="inlineStr">
        <is>
          <t>124,937원</t>
        </is>
      </c>
      <c r="F5" s="19" t="n"/>
      <c r="G5" s="20" t="inlineStr">
        <is>
          <t>134,926원</t>
        </is>
      </c>
      <c r="H5" s="19" t="n"/>
      <c r="I5" s="20" t="inlineStr">
        <is>
          <t>7</t>
        </is>
      </c>
      <c r="J5" s="19" t="n"/>
      <c r="K5" s="20" t="inlineStr">
        <is>
          <t>-19.8%</t>
        </is>
      </c>
      <c r="L5" s="19" t="n"/>
    </row>
    <row r="6" ht="24" customHeight="1">
      <c r="A6" s="21" t="inlineStr">
        <is>
          <t>시장 기준</t>
        </is>
      </c>
      <c r="B6" s="19" t="n"/>
      <c r="C6" s="21" t="inlineStr">
        <is>
          <t>25% 분위</t>
        </is>
      </c>
      <c r="D6" s="19" t="n"/>
      <c r="E6" s="21" t="inlineStr">
        <is>
          <t>50% 분위</t>
        </is>
      </c>
      <c r="F6" s="19" t="n"/>
      <c r="G6" s="21" t="inlineStr">
        <is>
          <t>75% 분위</t>
        </is>
      </c>
      <c r="H6" s="19" t="n"/>
      <c r="I6" s="21" t="inlineStr">
        <is>
          <t>산출 가능한 방법</t>
        </is>
      </c>
      <c r="J6" s="19" t="n"/>
      <c r="K6" s="21" t="inlineStr">
        <is>
          <t>중앙값 기준</t>
        </is>
      </c>
      <c r="L6" s="19" t="n"/>
    </row>
    <row r="7" ht="24" customHeight="1"/>
    <row r="8" ht="24" customHeight="1"/>
    <row r="9" ht="24" customHeight="1">
      <c r="A9" s="22" t="inlineStr">
        <is>
          <t>가치평가 방법별 Low/Base/High</t>
        </is>
      </c>
    </row>
    <row r="10" ht="24" customHeight="1">
      <c r="A10" s="25" t="inlineStr">
        <is>
          <t>방법 코드</t>
        </is>
      </c>
      <c r="B10" s="25" t="inlineStr">
        <is>
          <t>가치평가 방법</t>
        </is>
      </c>
      <c r="C10" s="25" t="inlineStr">
        <is>
          <t>하단 지분가치</t>
        </is>
      </c>
      <c r="D10" s="25" t="inlineStr">
        <is>
          <t>중앙 지분가치</t>
        </is>
      </c>
      <c r="E10" s="25" t="inlineStr">
        <is>
          <t>상단 지분가치</t>
        </is>
      </c>
      <c r="F10" s="25" t="inlineStr">
        <is>
          <t>하단 주당가치</t>
        </is>
      </c>
      <c r="G10" s="25" t="inlineStr">
        <is>
          <t>중앙 주당가치</t>
        </is>
      </c>
      <c r="H10" s="25" t="inlineStr">
        <is>
          <t>상단 주당가치</t>
        </is>
      </c>
      <c r="I10" s="25" t="inlineStr">
        <is>
          <t>현재가</t>
        </is>
      </c>
      <c r="J10" s="25" t="inlineStr">
        <is>
          <t>현재가 대비</t>
        </is>
      </c>
      <c r="K10" s="25" t="inlineStr">
        <is>
          <t>해석</t>
        </is>
      </c>
      <c r="L10" s="25" t="inlineStr">
        <is>
          <t>출처</t>
        </is>
      </c>
      <c r="M10" s="25" t="inlineStr">
        <is>
          <t>신뢰도</t>
        </is>
      </c>
    </row>
    <row r="11" ht="24" customHeight="1">
      <c r="A11" s="24" t="inlineStr">
        <is>
          <t>DCF_BASE</t>
        </is>
      </c>
      <c r="B11" s="24" t="inlineStr">
        <is>
          <t>DCF 기준가치</t>
        </is>
      </c>
      <c r="C11" s="30" t="n">
        <v>1986378586689.056</v>
      </c>
      <c r="D11" s="30" t="n">
        <v>2336915984340.066</v>
      </c>
      <c r="E11" s="30" t="n">
        <v>2687453381991.076</v>
      </c>
      <c r="F11" s="30" t="n">
        <v>45541.21056713877</v>
      </c>
      <c r="G11" s="30" t="n">
        <v>53577.89478486914</v>
      </c>
      <c r="H11" s="30" t="n">
        <v>61614.57900259951</v>
      </c>
      <c r="I11" s="30" t="n">
        <v>155800</v>
      </c>
      <c r="J11" s="35" t="n">
        <v>-0.6561110732678489</v>
      </c>
      <c r="K11" s="24" t="inlineStr">
        <is>
          <t>밸류에이션 부담</t>
        </is>
      </c>
      <c r="L11" s="24" t="inlineStr">
        <is>
          <t>Valuation Agent DCF</t>
        </is>
      </c>
      <c r="M11" s="24" t="inlineStr">
        <is>
          <t>핵심 모델</t>
        </is>
      </c>
    </row>
    <row r="12" ht="24" customHeight="1">
      <c r="A12" s="29" t="inlineStr">
        <is>
          <t>PSR_COMP</t>
        </is>
      </c>
      <c r="B12" s="29" t="inlineStr">
        <is>
          <t>P/S 상대가치</t>
        </is>
      </c>
      <c r="C12" s="31" t="n">
        <v>1911737299833.802</v>
      </c>
      <c r="D12" s="31" t="n">
        <v>4940564256579.617</v>
      </c>
      <c r="E12" s="31" t="n">
        <v>5258593331904.633</v>
      </c>
      <c r="F12" s="31" t="n">
        <v>43829.92824439518</v>
      </c>
      <c r="G12" s="31" t="n">
        <v>113271.0947636654</v>
      </c>
      <c r="H12" s="31" t="n">
        <v>120562.4687156924</v>
      </c>
      <c r="I12" s="31" t="n">
        <v>155800</v>
      </c>
      <c r="J12" s="36" t="n">
        <v>-0.2729711504257679</v>
      </c>
      <c r="K12" s="29" t="inlineStr">
        <is>
          <t>밸류에이션 부담</t>
        </is>
      </c>
      <c r="L12" s="29" t="inlineStr">
        <is>
          <t>시가총액/매출 피어 비교</t>
        </is>
      </c>
      <c r="M12" s="29" t="inlineStr">
        <is>
          <t>피어 중앙값 기반</t>
        </is>
      </c>
    </row>
    <row r="13" ht="24" customHeight="1">
      <c r="A13" s="24" t="inlineStr">
        <is>
          <t>PBR_COMP</t>
        </is>
      </c>
      <c r="B13" s="24" t="inlineStr">
        <is>
          <t>P/B 상대가치</t>
        </is>
      </c>
      <c r="C13" s="30" t="n">
        <v>5660980814682.744</v>
      </c>
      <c r="D13" s="30" t="n">
        <v>5957879916810.091</v>
      </c>
      <c r="E13" s="30" t="n">
        <v>8889891390520.068</v>
      </c>
      <c r="F13" s="30" t="n">
        <v>129787.9070110799</v>
      </c>
      <c r="G13" s="30" t="n">
        <v>136594.8392936683</v>
      </c>
      <c r="H13" s="30" t="n">
        <v>203816.3411786939</v>
      </c>
      <c r="I13" s="30" t="n">
        <v>155800</v>
      </c>
      <c r="J13" s="35" t="n">
        <v>-0.1232680404770971</v>
      </c>
      <c r="K13" s="24" t="inlineStr">
        <is>
          <t>중립권</t>
        </is>
      </c>
      <c r="L13" s="24" t="inlineStr">
        <is>
          <t>시가총액/자본 피어 비교</t>
        </is>
      </c>
      <c r="M13" s="24" t="inlineStr">
        <is>
          <t>피어 중앙값 기반</t>
        </is>
      </c>
    </row>
    <row r="14" ht="24" customHeight="1">
      <c r="A14" s="29" t="inlineStr">
        <is>
          <t>PER_COMP</t>
        </is>
      </c>
      <c r="B14" s="29" t="inlineStr">
        <is>
          <t>PER 상대가치</t>
        </is>
      </c>
      <c r="C14" s="31" t="n">
        <v>5329549592989.407</v>
      </c>
      <c r="D14" s="31" t="n">
        <v>5897099770387.438</v>
      </c>
      <c r="E14" s="31" t="n">
        <v>7757585615596.522</v>
      </c>
      <c r="F14" s="31" t="n">
        <v>122189.2653640115</v>
      </c>
      <c r="G14" s="31" t="n">
        <v>135201.347909355</v>
      </c>
      <c r="H14" s="31" t="n">
        <v>177856.2467295623</v>
      </c>
      <c r="I14" s="31" t="n">
        <v>155800</v>
      </c>
      <c r="J14" s="36" t="n">
        <v>-0.1322121443558728</v>
      </c>
      <c r="K14" s="29" t="inlineStr">
        <is>
          <t>중립권</t>
        </is>
      </c>
      <c r="L14" s="29" t="inlineStr">
        <is>
          <t>시가총액/순이익 피어 비교</t>
        </is>
      </c>
      <c r="M14" s="29" t="inlineStr">
        <is>
          <t>피어 중앙값 기반</t>
        </is>
      </c>
    </row>
    <row r="15" ht="24" customHeight="1">
      <c r="A15" s="24" t="inlineStr">
        <is>
          <t>PFCF_COMP</t>
        </is>
      </c>
      <c r="B15" s="24" t="inlineStr">
        <is>
          <t>P/FCF 상대가치</t>
        </is>
      </c>
      <c r="C15" s="30" t="n">
        <v>2094294388336.259</v>
      </c>
      <c r="D15" s="30" t="n">
        <v>5449410072701.678</v>
      </c>
      <c r="E15" s="30" t="n">
        <v>5994725245661.905</v>
      </c>
      <c r="F15" s="30" t="n">
        <v>48015.3694607506</v>
      </c>
      <c r="G15" s="30" t="n">
        <v>124937.2769373508</v>
      </c>
      <c r="H15" s="30" t="n">
        <v>137439.5830353197</v>
      </c>
      <c r="I15" s="30" t="n">
        <v>155800</v>
      </c>
      <c r="J15" s="35" t="n">
        <v>-0.1980919323661695</v>
      </c>
      <c r="K15" s="24" t="inlineStr">
        <is>
          <t>중립권</t>
        </is>
      </c>
      <c r="L15" s="24" t="inlineStr">
        <is>
          <t>시가총액/FCF 피어 비교</t>
        </is>
      </c>
      <c r="M15" s="24" t="inlineStr">
        <is>
          <t>피어 중앙값 기반</t>
        </is>
      </c>
    </row>
    <row r="16" ht="24" customHeight="1">
      <c r="A16" s="29" t="inlineStr">
        <is>
          <t>EV_SALES_COMP</t>
        </is>
      </c>
      <c r="B16" s="29" t="inlineStr">
        <is>
          <t>EV/Sales 상대가치</t>
        </is>
      </c>
      <c r="C16" s="31" t="n">
        <v>2441375448702.695</v>
      </c>
      <c r="D16" s="31" t="n">
        <v>5183770848575.013</v>
      </c>
      <c r="E16" s="31" t="n">
        <v>11567845534993.14</v>
      </c>
      <c r="F16" s="31" t="n">
        <v>55972.81108841147</v>
      </c>
      <c r="G16" s="31" t="n">
        <v>118847.0321461963</v>
      </c>
      <c r="H16" s="31" t="n">
        <v>265213.1335121592</v>
      </c>
      <c r="I16" s="31" t="n">
        <v>155800</v>
      </c>
      <c r="J16" s="36" t="n">
        <v>-0.2371820786508582</v>
      </c>
      <c r="K16" s="29" t="inlineStr">
        <is>
          <t>밸류에이션 부담</t>
        </is>
      </c>
      <c r="L16" s="29" t="inlineStr">
        <is>
          <t>EV/매출 피어 비교</t>
        </is>
      </c>
      <c r="M16" s="29" t="inlineStr">
        <is>
          <t>EV 조정 피어 기준</t>
        </is>
      </c>
    </row>
    <row r="17" ht="24" customHeight="1">
      <c r="A17" s="24" t="inlineStr">
        <is>
          <t>EV_EBIT_COMP</t>
        </is>
      </c>
      <c r="B17" s="24" t="inlineStr">
        <is>
          <t>EV/EBIT 상대가치</t>
        </is>
      </c>
      <c r="C17" s="30" t="n">
        <v>5043036678643.008</v>
      </c>
      <c r="D17" s="30" t="n">
        <v>5873082426390.248</v>
      </c>
      <c r="E17" s="30" t="n">
        <v>12060452985374.8</v>
      </c>
      <c r="F17" s="30" t="n">
        <v>115620.4546398671</v>
      </c>
      <c r="G17" s="30" t="n">
        <v>134650.7082037274</v>
      </c>
      <c r="H17" s="30" t="n">
        <v>276507.02269074</v>
      </c>
      <c r="I17" s="30" t="n">
        <v>155800</v>
      </c>
      <c r="J17" s="35" t="n">
        <v>-0.1357464171776162</v>
      </c>
      <c r="K17" s="24" t="inlineStr">
        <is>
          <t>중립권</t>
        </is>
      </c>
      <c r="L17" s="24" t="inlineStr">
        <is>
          <t>EV/영업이익 피어 비교</t>
        </is>
      </c>
      <c r="M17" s="24" t="inlineStr">
        <is>
          <t>EV 조정 피어 기준</t>
        </is>
      </c>
    </row>
    <row r="18" ht="24" customHeight="1"/>
    <row r="19" ht="24" customHeight="1"/>
    <row r="20" ht="24" customHeight="1">
      <c r="A20" s="22" t="inlineStr">
        <is>
          <t>사용 가이드</t>
        </is>
      </c>
    </row>
    <row r="21" ht="24" customHeight="1">
      <c r="A21" s="25" t="inlineStr">
        <is>
          <t>항목</t>
        </is>
      </c>
      <c r="B21" s="25" t="inlineStr">
        <is>
          <t>내용</t>
        </is>
      </c>
    </row>
    <row r="22" ht="24" customHeight="1">
      <c r="A22" s="24" t="inlineStr">
        <is>
          <t>해석 방법</t>
        </is>
      </c>
      <c r="B22" s="24" t="inlineStr">
        <is>
          <t>한 방법만 우호적이면 확신도가 낮고, 여러 방법의 중앙값이 현재가보다 높으면 상대적으로 우호적입니다.</t>
        </is>
      </c>
    </row>
    <row r="23" ht="24" customHeight="1">
      <c r="A23" s="29" t="inlineStr">
        <is>
          <t>주의</t>
        </is>
      </c>
      <c r="B23" s="29" t="inlineStr">
        <is>
          <t>PER/PBR/EV/EBIT는 적자·음수 지표에서 자동 제외됩니다. 제외 사유는 빈칸이 아니라 해당 없음으로 표시됩니다.</t>
        </is>
      </c>
    </row>
  </sheetData>
  <autoFilter ref="A21:B23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G6:H6"/>
    <mergeCell ref="A20:F20"/>
    <mergeCell ref="E6:F6"/>
    <mergeCell ref="A9:F9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0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DB하이텍 역산 DCF·오너 이익</t>
        </is>
      </c>
    </row>
    <row r="2" ht="28" customHeight="1">
      <c r="A2" s="17" t="inlineStr">
        <is>
          <t>현재 주가가 요구하는 성장률과 현금창출 기준 보수 가치를 점검</t>
        </is>
      </c>
    </row>
    <row r="3" ht="24" customHeight="1"/>
    <row r="4" ht="24" customHeight="1">
      <c r="A4" s="18" t="inlineStr">
        <is>
          <t>시장 내재 EV</t>
        </is>
      </c>
      <c r="B4" s="19" t="n"/>
      <c r="C4" s="18" t="inlineStr">
        <is>
          <t>모델 EV</t>
        </is>
      </c>
      <c r="D4" s="19" t="n"/>
      <c r="E4" s="18" t="inlineStr">
        <is>
          <t>EV 괴리</t>
        </is>
      </c>
      <c r="F4" s="19" t="n"/>
      <c r="G4" s="18" t="inlineStr">
        <is>
          <t>요구 FCF 수익률</t>
        </is>
      </c>
      <c r="H4" s="19" t="n"/>
      <c r="I4" s="18" t="inlineStr">
        <is>
          <t>역산 성장률</t>
        </is>
      </c>
      <c r="J4" s="19" t="n"/>
    </row>
    <row r="5" ht="24" customHeight="1">
      <c r="A5" s="20" t="inlineStr">
        <is>
          <t>72,210.9억원</t>
        </is>
      </c>
      <c r="B5" s="19" t="n"/>
      <c r="C5" s="20" t="inlineStr">
        <is>
          <t>27,624.5억원</t>
        </is>
      </c>
      <c r="D5" s="19" t="n"/>
      <c r="E5" s="20" t="inlineStr">
        <is>
          <t>161.4%</t>
        </is>
      </c>
      <c r="F5" s="19" t="n"/>
      <c r="G5" s="20" t="inlineStr">
        <is>
          <t>4.8%</t>
        </is>
      </c>
      <c r="H5" s="19" t="n"/>
      <c r="I5" s="20" t="inlineStr">
        <is>
          <t>8.0%</t>
        </is>
      </c>
      <c r="J5" s="19" t="n"/>
    </row>
    <row r="6" ht="24" customHeight="1">
      <c r="A6" s="21" t="inlineStr">
        <is>
          <t>시가총액+부채-현금</t>
        </is>
      </c>
      <c r="B6" s="19" t="n"/>
      <c r="C6" s="21" t="inlineStr">
        <is>
          <t>DCF 산출 EV</t>
        </is>
      </c>
      <c r="D6" s="19" t="n"/>
      <c r="E6" s="21" t="inlineStr">
        <is>
          <t>시장/모델-1</t>
        </is>
      </c>
      <c r="F6" s="19" t="n"/>
      <c r="G6" s="21" t="inlineStr">
        <is>
          <t>FCF/시장내재 EV</t>
        </is>
      </c>
      <c r="H6" s="19" t="n"/>
      <c r="I6" s="21" t="inlineStr">
        <is>
          <t>시장가격 내재</t>
        </is>
      </c>
      <c r="J6" s="19" t="n"/>
    </row>
    <row r="7" ht="24" customHeight="1"/>
    <row r="8" ht="24" customHeight="1"/>
    <row r="9" ht="24" customHeight="1">
      <c r="A9" s="22" t="inlineStr">
        <is>
          <t>역산 DCF 핵심값</t>
        </is>
      </c>
    </row>
    <row r="10" ht="24" customHeight="1">
      <c r="A10" s="25" t="inlineStr">
        <is>
          <t>현재가</t>
        </is>
      </c>
      <c r="B10" s="25" t="inlineStr">
        <is>
          <t>시가총액</t>
        </is>
      </c>
      <c r="C10" s="25" t="inlineStr">
        <is>
          <t>시장 내재 EV</t>
        </is>
      </c>
      <c r="D10" s="25" t="inlineStr">
        <is>
          <t>모델 EV</t>
        </is>
      </c>
      <c r="E10" s="25" t="inlineStr">
        <is>
          <t>시장/모델 EV 괴리</t>
        </is>
      </c>
      <c r="F10" s="25" t="inlineStr">
        <is>
          <t>요구 FCF 수익률</t>
        </is>
      </c>
      <c r="G10" s="25" t="inlineStr">
        <is>
          <t>역산 영구성장률</t>
        </is>
      </c>
      <c r="H10" s="25" t="inlineStr">
        <is>
          <t>wacc_used</t>
        </is>
      </c>
      <c r="I10" s="25" t="inlineStr">
        <is>
          <t>해석</t>
        </is>
      </c>
    </row>
    <row r="11" ht="24" customHeight="1">
      <c r="A11" s="30" t="n">
        <v>155800</v>
      </c>
      <c r="B11" s="30" t="n">
        <v>6795554618600</v>
      </c>
      <c r="C11" s="30" t="n">
        <v>7221086436519</v>
      </c>
      <c r="D11" s="30" t="n">
        <v>2762447802259.066</v>
      </c>
      <c r="E11" s="35" t="n">
        <v>1.614017332965988</v>
      </c>
      <c r="F11" s="35" t="n">
        <v>0.04830341705245454</v>
      </c>
      <c r="G11" s="35" t="n">
        <v>0.08</v>
      </c>
      <c r="H11" s="30" t="n">
        <v>0.1329581763489804</v>
      </c>
      <c r="I11" s="24" t="inlineStr">
        <is>
          <t>현재 주가가 요구하는 FCF yield와 영구성장률을 역산해 DCF 가정의 현실성을 점검합니다.</t>
        </is>
      </c>
    </row>
    <row r="12" ht="24" customHeight="1"/>
    <row r="13" ht="24" customHeight="1"/>
    <row r="14" ht="24" customHeight="1">
      <c r="A14" s="22" t="inlineStr">
        <is>
          <t>오너 이익 / EPV / Graham Number</t>
        </is>
      </c>
    </row>
    <row r="15" ht="24" customHeight="1">
      <c r="A15" s="25" t="inlineStr">
        <is>
          <t>오너 이익</t>
        </is>
      </c>
      <c r="B15" s="25" t="inlineStr">
        <is>
          <t>owner_earnings_method_kr</t>
        </is>
      </c>
      <c r="C15" s="25" t="inlineStr">
        <is>
          <t>오너 이익 수익률</t>
        </is>
      </c>
      <c r="D15" s="25" t="inlineStr">
        <is>
          <t>owner_earnings_value</t>
        </is>
      </c>
      <c r="E15" s="25" t="inlineStr">
        <is>
          <t>오너 이익 주당가치</t>
        </is>
      </c>
      <c r="F15" s="25" t="inlineStr">
        <is>
          <t>epv_equity_value</t>
        </is>
      </c>
      <c r="G15" s="25" t="inlineStr">
        <is>
          <t>EPV 주당가치</t>
        </is>
      </c>
      <c r="H15" s="25" t="inlineStr">
        <is>
          <t>eps</t>
        </is>
      </c>
      <c r="I15" s="25" t="inlineStr">
        <is>
          <t>bps</t>
        </is>
      </c>
      <c r="J15" s="25" t="inlineStr">
        <is>
          <t>Graham Number</t>
        </is>
      </c>
      <c r="K15" s="25" t="inlineStr">
        <is>
          <t>method_note_kr</t>
        </is>
      </c>
    </row>
    <row r="16" ht="24" customHeight="1">
      <c r="A16" s="30" t="n">
        <v>348803149715</v>
      </c>
      <c r="B16" s="24" t="inlineStr">
        <is>
          <t>FCF = CFO - CAPEX</t>
        </is>
      </c>
      <c r="C16" s="35" t="n">
        <v>0.05132813571394109</v>
      </c>
      <c r="D16" s="30" t="n">
        <v>2623405038284.242</v>
      </c>
      <c r="E16" s="30" t="n">
        <v>60146.15846747318</v>
      </c>
      <c r="F16" s="30" t="n">
        <v>1159506968556.925</v>
      </c>
      <c r="G16" s="30" t="n">
        <v>26583.7294879084</v>
      </c>
      <c r="H16" s="30" t="n">
        <v>5790.895149104938</v>
      </c>
      <c r="I16" s="30" t="n">
        <v>51447.52883757902</v>
      </c>
      <c r="J16" s="30" t="n">
        <v>81874.06803455467</v>
      </c>
      <c r="K16" s="24" t="inlineStr">
        <is>
          <t>오너 이익, EPV, Graham Number는 DCF를 보완하는 보수적 교차검증 지표입니다.</t>
        </is>
      </c>
    </row>
    <row r="17" ht="24" customHeight="1"/>
    <row r="18" ht="24" customHeight="1"/>
    <row r="19" ht="24" customHeight="1">
      <c r="A19" s="22" t="inlineStr">
        <is>
          <t>해석 가이드</t>
        </is>
      </c>
    </row>
    <row r="20" ht="24" customHeight="1">
      <c r="A20" s="25" t="inlineStr">
        <is>
          <t>항목</t>
        </is>
      </c>
      <c r="B20" s="25" t="inlineStr">
        <is>
          <t>내용</t>
        </is>
      </c>
    </row>
    <row r="21" ht="24" customHeight="1">
      <c r="A21" s="24" t="inlineStr">
        <is>
          <t>역산 DCF</t>
        </is>
      </c>
      <c r="B21" s="24" t="inlineStr">
        <is>
          <t>현재 주가를 정당화하려면 어떤 영구성장률·FCF 수익률이 필요한지 역산합니다.</t>
        </is>
      </c>
    </row>
    <row r="22" ht="24" customHeight="1">
      <c r="A22" s="29" t="inlineStr">
        <is>
          <t>오너 이익</t>
        </is>
      </c>
      <c r="B22" s="29" t="inlineStr">
        <is>
          <t>CFO-CAPEX 또는 FCF를 기반으로 보수적 현금창출 가치를 계산합니다.</t>
        </is>
      </c>
    </row>
    <row r="23" ht="24" customHeight="1">
      <c r="A23" s="24" t="inlineStr">
        <is>
          <t>EPV</t>
        </is>
      </c>
      <c r="B23" s="24" t="inlineStr">
        <is>
          <t>영업이익의 지속가능성을 가정해 현재 수익력 기준 기업가치를 확인합니다.</t>
        </is>
      </c>
    </row>
  </sheetData>
  <autoFilter ref="A20:B23"/>
  <mergeCells count="20">
    <mergeCell ref="C6:D6"/>
    <mergeCell ref="I6:J6"/>
    <mergeCell ref="C5:D5"/>
    <mergeCell ref="E5:F5"/>
    <mergeCell ref="A6:B6"/>
    <mergeCell ref="C4:D4"/>
    <mergeCell ref="E4:F4"/>
    <mergeCell ref="A14:F14"/>
    <mergeCell ref="G6:H6"/>
    <mergeCell ref="A1:J1"/>
    <mergeCell ref="E6:F6"/>
    <mergeCell ref="A19:F19"/>
    <mergeCell ref="A9:F9"/>
    <mergeCell ref="A5:B5"/>
    <mergeCell ref="G5:H5"/>
    <mergeCell ref="I5:J5"/>
    <mergeCell ref="A4:B4"/>
    <mergeCell ref="G4:H4"/>
    <mergeCell ref="I4:J4"/>
    <mergeCell ref="A2:J2"/>
  </mergeCells>
  <pageMargins left="0.75" right="0.75" top="1" bottom="1" header="0.5" footer="0.5"/>
  <pageSetup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20"/>
  <cols>
    <col width="22" customWidth="1" min="1" max="1"/>
    <col width="30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 ht="30" customHeight="1">
      <c r="A1" s="16" t="inlineStr">
        <is>
          <t>DB하이텍 데이터 수집현황·보강경로</t>
        </is>
      </c>
    </row>
    <row r="2" ht="28" customHeight="1">
      <c r="A2" s="17" t="inlineStr">
        <is>
          <t>원천 제공 여부와 대체 산출 경로를 분리해 Chair·대시보드에서 그대로 확인</t>
        </is>
      </c>
    </row>
    <row r="3" ht="24" customHeight="1"/>
    <row r="4" ht="24" customHeight="1">
      <c r="A4" s="22" t="inlineStr">
        <is>
          <t>데이터 블록별 확보 상태</t>
        </is>
      </c>
    </row>
    <row r="5" ht="24" customHeight="1">
      <c r="A5" s="25" t="inlineStr">
        <is>
          <t>데이터블록</t>
        </is>
      </c>
      <c r="B5" s="25" t="inlineStr">
        <is>
          <t>상태</t>
        </is>
      </c>
      <c r="C5" s="25" t="inlineStr">
        <is>
          <t>수집경로</t>
        </is>
      </c>
      <c r="D5" s="25" t="inlineStr">
        <is>
          <t>가치평가 활용</t>
        </is>
      </c>
      <c r="E5" s="25" t="inlineStr">
        <is>
          <t>대시보드 표시</t>
        </is>
      </c>
    </row>
    <row r="6" ht="24" customHeight="1">
      <c r="A6" s="24" t="inlineStr">
        <is>
          <t>DART 재무제표</t>
        </is>
      </c>
      <c r="B6" s="24" t="inlineStr">
        <is>
          <t>확보</t>
        </is>
      </c>
      <c r="C6" s="24" t="inlineStr">
        <is>
          <t>OpenDART fnlttSinglAcntAll/fnlttSinglAcnt</t>
        </is>
      </c>
      <c r="D6" s="24" t="inlineStr">
        <is>
          <t>매출·자본·순이익·현금흐름 확보</t>
        </is>
      </c>
      <c r="E6" s="24" t="inlineStr">
        <is>
          <t>표시 가능</t>
        </is>
      </c>
    </row>
    <row r="7" ht="24" customHeight="1">
      <c r="A7" s="29" t="inlineStr">
        <is>
          <t>주가 이력</t>
        </is>
      </c>
      <c r="B7" s="29" t="inlineStr">
        <is>
          <t>확보</t>
        </is>
      </c>
      <c r="C7" s="29" t="inlineStr">
        <is>
          <t>yfinance → Yahoo chart → Naver 일별시세 fallback</t>
        </is>
      </c>
      <c r="D7" s="29" t="inlineStr">
        <is>
          <t>현재가·변동성·MDD·거래대금 확보</t>
        </is>
      </c>
      <c r="E7" s="29" t="inlineStr">
        <is>
          <t>표시 가능</t>
        </is>
      </c>
    </row>
    <row r="8" ht="24" customHeight="1">
      <c r="A8" s="24" t="inlineStr">
        <is>
          <t>발행주식 수</t>
        </is>
      </c>
      <c r="B8" s="24" t="inlineStr">
        <is>
          <t>확보</t>
        </is>
      </c>
      <c r="C8" s="24" t="inlineStr">
        <is>
          <t>OpenDART stockTotqySttus</t>
        </is>
      </c>
      <c r="D8" s="24" t="inlineStr">
        <is>
          <t>내재주가·시가총액 계산</t>
        </is>
      </c>
      <c r="E8" s="24" t="inlineStr">
        <is>
          <t>표시 가능</t>
        </is>
      </c>
    </row>
    <row r="9" ht="24" customHeight="1">
      <c r="A9" s="29" t="inlineStr">
        <is>
          <t>피어 멀티플</t>
        </is>
      </c>
      <c r="B9" s="29" t="inlineStr">
        <is>
          <t>확보</t>
        </is>
      </c>
      <c r="C9" s="29" t="inlineStr">
        <is>
          <t>Valuation 전용 live peer intake</t>
        </is>
      </c>
      <c r="D9" s="29" t="inlineStr">
        <is>
          <t>P/S·PER·PBR·EV/Sales 비교</t>
        </is>
      </c>
      <c r="E9" s="29" t="inlineStr">
        <is>
          <t>표시 가능</t>
        </is>
      </c>
    </row>
    <row r="10" ht="24" customHeight="1">
      <c r="A10" s="24" t="inlineStr">
        <is>
          <t>208개 Universe</t>
        </is>
      </c>
      <c r="B10" s="24" t="inlineStr">
        <is>
          <t>확보</t>
        </is>
      </c>
      <c r="C10" s="24" t="inlineStr">
        <is>
          <t>Tech universe 축 복제 + valuation proxy</t>
        </is>
      </c>
      <c r="D10" s="24" t="inlineStr">
        <is>
          <t>대규모 상대 위치 비교</t>
        </is>
      </c>
      <c r="E10" s="24" t="inlineStr">
        <is>
          <t>표시 가능</t>
        </is>
      </c>
    </row>
    <row r="11" ht="24" customHeight="1">
      <c r="A11" s="29" t="inlineStr">
        <is>
          <t>보조 투자지표</t>
        </is>
      </c>
      <c r="B11" s="29" t="inlineStr">
        <is>
          <t>확보</t>
        </is>
      </c>
      <c r="C11" s="29" t="inlineStr">
        <is>
          <t>Naver finance live + DART/주가 자동 산출 fallback</t>
        </is>
      </c>
      <c r="D11" s="29" t="inlineStr">
        <is>
          <t>외부 표시 PER/PBR/EPS/BPS 또는 자체 산출값</t>
        </is>
      </c>
      <c r="E11" s="29" t="inlineStr">
        <is>
          <t>표시 가능</t>
        </is>
      </c>
    </row>
    <row r="12" ht="24" customHeight="1"/>
    <row r="13" ht="24" customHeight="1"/>
    <row r="14" ht="24" customHeight="1">
      <c r="A14" s="22" t="inlineStr">
        <is>
          <t>자동 생성/참조 파일 경로</t>
        </is>
      </c>
    </row>
    <row r="15" ht="24" customHeight="1">
      <c r="A15" s="25" t="inlineStr">
        <is>
          <t>파일구분</t>
        </is>
      </c>
      <c r="B15" s="25" t="inlineStr">
        <is>
          <t>경로</t>
        </is>
      </c>
      <c r="C15" s="25" t="inlineStr">
        <is>
          <t>활용</t>
        </is>
      </c>
    </row>
    <row r="16" ht="24" customHeight="1">
      <c r="A16" s="24" t="inlineStr">
        <is>
          <t>template_catalog_csv</t>
        </is>
      </c>
      <c r="B16" s="24" t="inlineStr">
        <is>
          <t>data/반도체/DB하이텍/valuation/intake/valuation_modeling_template_catalog.csv</t>
        </is>
      </c>
      <c r="C16" s="24" t="inlineStr">
        <is>
          <t>Valuation Agent intake/output</t>
        </is>
      </c>
    </row>
    <row r="17" ht="24" customHeight="1">
      <c r="A17" s="29" t="inlineStr">
        <is>
          <t>template_catalog_json</t>
        </is>
      </c>
      <c r="B17" s="29" t="inlineStr">
        <is>
          <t>data/반도체/DB하이텍/valuation/intake/valuation_modeling_template_catalog.json</t>
        </is>
      </c>
      <c r="C17" s="29" t="inlineStr">
        <is>
          <t>Valuation Agent intake/output</t>
        </is>
      </c>
    </row>
    <row r="18" ht="24" customHeight="1">
      <c r="A18" s="24" t="inlineStr">
        <is>
          <t>raw_dart_accounts_csv</t>
        </is>
      </c>
      <c r="B18" s="24" t="inlineStr">
        <is>
          <t>data/반도체/DB하이텍/valuation/intake/valuation_raw_dart_accounts.csv</t>
        </is>
      </c>
      <c r="C18" s="24" t="inlineStr">
        <is>
          <t>Valuation Agent intake/output</t>
        </is>
      </c>
    </row>
    <row r="19" ht="24" customHeight="1">
      <c r="A19" s="29" t="inlineStr">
        <is>
          <t>normalized_financials_csv</t>
        </is>
      </c>
      <c r="B19" s="29" t="inlineStr">
        <is>
          <t>data/반도체/DB하이텍/valuation/intake/valuation_normalized_financials.csv</t>
        </is>
      </c>
      <c r="C19" s="29" t="inlineStr">
        <is>
          <t>Valuation Agent intake/output</t>
        </is>
      </c>
    </row>
    <row r="20" ht="24" customHeight="1">
      <c r="A20" s="24" t="inlineStr">
        <is>
          <t>price_history_csv</t>
        </is>
      </c>
      <c r="B20" s="24" t="inlineStr">
        <is>
          <t>data/반도체/DB하이텍/valuation/intake/valuation_price_history.csv</t>
        </is>
      </c>
      <c r="C20" s="24" t="inlineStr">
        <is>
          <t>Valuation Agent intake/output</t>
        </is>
      </c>
    </row>
    <row r="21" ht="24" customHeight="1">
      <c r="A21" s="29" t="inlineStr">
        <is>
          <t>share_count_csv</t>
        </is>
      </c>
      <c r="B21" s="29" t="inlineStr">
        <is>
          <t>data/반도체/DB하이텍/valuation/intake/valuation_share_count.csv</t>
        </is>
      </c>
      <c r="C21" s="29" t="inlineStr">
        <is>
          <t>Valuation Agent intake/output</t>
        </is>
      </c>
    </row>
    <row r="22" ht="24" customHeight="1">
      <c r="A22" s="24" t="inlineStr">
        <is>
          <t>price_summary_json</t>
        </is>
      </c>
      <c r="B22" s="24" t="inlineStr">
        <is>
          <t>data/반도체/DB하이텍/valuation/intake/valuation_price_summary.json</t>
        </is>
      </c>
      <c r="C22" s="24" t="inlineStr">
        <is>
          <t>Valuation Agent intake/output</t>
        </is>
      </c>
    </row>
    <row r="23" ht="24" customHeight="1">
      <c r="A23" s="29" t="inlineStr">
        <is>
          <t>market_snapshot_json</t>
        </is>
      </c>
      <c r="B23" s="29" t="inlineStr">
        <is>
          <t>data/반도체/DB하이텍/valuation/intake/valuation_market_snapshot.json</t>
        </is>
      </c>
      <c r="C23" s="29" t="inlineStr">
        <is>
          <t>Valuation Agent intake/output</t>
        </is>
      </c>
    </row>
    <row r="24" ht="24" customHeight="1">
      <c r="A24" s="24" t="inlineStr">
        <is>
          <t>market_snapshot_csv</t>
        </is>
      </c>
      <c r="B24" s="24" t="inlineStr">
        <is>
          <t>data/반도체/DB하이텍/valuation/intake/valuation_market_snapshot.csv</t>
        </is>
      </c>
      <c r="C24" s="24" t="inlineStr">
        <is>
          <t>Valuation Agent intake/output</t>
        </is>
      </c>
    </row>
    <row r="25" ht="24" customHeight="1">
      <c r="A25" s="29" t="inlineStr">
        <is>
          <t>peer_input_csv</t>
        </is>
      </c>
      <c r="B25" s="29" t="inlineStr">
        <is>
          <t>data/반도체/DB하이텍/valuation/intake/valuation_peer_input.csv</t>
        </is>
      </c>
      <c r="C25" s="29" t="inlineStr">
        <is>
          <t>Valuation Agent intake/output</t>
        </is>
      </c>
    </row>
    <row r="26" ht="24" customHeight="1">
      <c r="A26" s="24" t="inlineStr">
        <is>
          <t>assumptions_json</t>
        </is>
      </c>
      <c r="B26" s="24" t="inlineStr">
        <is>
          <t>data/반도체/DB하이텍/valuation/intake/valuation_assumptions.json</t>
        </is>
      </c>
      <c r="C26" s="24" t="inlineStr">
        <is>
          <t>Valuation Agent intake/output</t>
        </is>
      </c>
    </row>
    <row r="27" ht="24" customHeight="1">
      <c r="A27" s="29" t="inlineStr">
        <is>
          <t>reference_universe_208_csv</t>
        </is>
      </c>
      <c r="B27" s="29" t="inlineStr">
        <is>
          <t>data/반도체/DB하이텍/valuation/intake/valuation_reference_universe_208.csv</t>
        </is>
      </c>
      <c r="C27" s="29" t="inlineStr">
        <is>
          <t>Valuation Agent intake/output</t>
        </is>
      </c>
    </row>
    <row r="28" ht="24" customHeight="1">
      <c r="A28" s="24" t="inlineStr">
        <is>
          <t>reference_universe_focus_csv</t>
        </is>
      </c>
      <c r="B28" s="24" t="inlineStr">
        <is>
          <t>data/반도체/DB하이텍/valuation/intake/valuation_reference_universe_focus.csv</t>
        </is>
      </c>
      <c r="C28" s="24" t="inlineStr">
        <is>
          <t>Valuation Agent intake/output</t>
        </is>
      </c>
    </row>
    <row r="29" ht="24" customHeight="1">
      <c r="A29" s="29" t="inlineStr">
        <is>
          <t>reference_universe_summary_json</t>
        </is>
      </c>
      <c r="B29" s="29" t="inlineStr">
        <is>
          <t>data/반도체/DB하이텍/valuation/intake/valuation_reference_universe_summary.json</t>
        </is>
      </c>
      <c r="C29" s="29" t="inlineStr">
        <is>
          <t>Valuation Agent intake/output</t>
        </is>
      </c>
    </row>
  </sheetData>
  <autoFilter ref="A15:C29"/>
  <mergeCells count="4">
    <mergeCell ref="A14:F14"/>
    <mergeCell ref="A1:J1"/>
    <mergeCell ref="A4:F4"/>
    <mergeCell ref="A2:J2"/>
  </mergeCells>
  <pageMargins left="0.75" right="0.75" top="1" bottom="1" header="0.5" footer="0.5"/>
  <pageSetup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DB하이텍 투자판단 요약</t>
        </is>
      </c>
      <c r="B1" t="inlineStr"/>
      <c r="C1" t="inlineStr"/>
      <c r="D1" t="inlineStr"/>
      <c r="E1" t="inlineStr"/>
      <c r="F1" t="inlineStr"/>
    </row>
    <row r="2">
      <c r="A2" t="inlineStr">
        <is>
          <t>목적</t>
        </is>
      </c>
      <c r="B2" t="inlineStr">
        <is>
          <t>DCF·상대가치·주가역산·오너이익·208개 기준 비교군을 한 장에서 확인하는 투자자용 요약입니다.</t>
        </is>
      </c>
      <c r="C2" t="inlineStr"/>
      <c r="D2" t="inlineStr"/>
      <c r="E2" t="inlineStr"/>
      <c r="F2" t="inlineStr"/>
    </row>
    <row r="3">
      <c r="A3" t="inlineStr">
        <is>
          <t>최종 가치평가 관점</t>
        </is>
      </c>
      <c r="B3" t="inlineStr">
        <is>
          <t>가치평가 관점 보수</t>
        </is>
      </c>
      <c r="C3" t="inlineStr">
        <is>
          <t>근거</t>
        </is>
      </c>
      <c r="D3" t="inlineStr">
        <is>
          <t>DCF 기준 현재가 부담이 큽니다.</t>
        </is>
      </c>
      <c r="E3" t="inlineStr">
        <is>
          <t>검증 상태</t>
        </is>
      </c>
      <c r="F3" t="inlineStr">
        <is>
          <t>통과</t>
        </is>
      </c>
    </row>
    <row r="4">
      <c r="A4" t="inlineStr">
        <is>
          <t>핵심 지표</t>
        </is>
      </c>
      <c r="B4" t="inlineStr">
        <is>
          <t>값</t>
        </is>
      </c>
      <c r="C4" t="inlineStr">
        <is>
          <t>해석</t>
        </is>
      </c>
      <c r="D4" t="inlineStr">
        <is>
          <t>원천/산식</t>
        </is>
      </c>
      <c r="E4" t="inlineStr">
        <is>
          <t>대시보드 활용</t>
        </is>
      </c>
      <c r="F4" t="inlineStr">
        <is>
          <t>주의사항</t>
        </is>
      </c>
    </row>
    <row r="5">
      <c r="A5" t="inlineStr">
        <is>
          <t>현재가</t>
        </is>
      </c>
      <c r="B5" t="inlineStr">
        <is>
          <t>155,800원</t>
        </is>
      </c>
      <c r="C5" t="inlineStr">
        <is>
          <t>시장 기준점</t>
        </is>
      </c>
      <c r="D5" t="inlineStr">
        <is>
          <t>가치평가 전용 주가 수집</t>
        </is>
      </c>
      <c r="E5" t="inlineStr">
        <is>
          <t>주가 카드</t>
        </is>
      </c>
      <c r="F5" t="inlineStr">
        <is>
          <t>수집일 기준 변동 가능</t>
        </is>
      </c>
    </row>
    <row r="6">
      <c r="A6" t="inlineStr">
        <is>
          <t>DCF 내재주가</t>
        </is>
      </c>
      <c r="B6" t="inlineStr">
        <is>
          <t>53,578원</t>
        </is>
      </c>
      <c r="C6" t="inlineStr">
        <is>
          <t>절대가치 기준</t>
        </is>
      </c>
      <c r="D6" t="inlineStr">
        <is>
          <t>FCF 추정 + WACC + 영구성장률</t>
        </is>
      </c>
      <c r="E6" t="inlineStr">
        <is>
          <t>DCF 카드</t>
        </is>
      </c>
      <c r="F6" t="inlineStr">
        <is>
          <t>가정 민감도 확인 필요</t>
        </is>
      </c>
    </row>
    <row r="7">
      <c r="A7" t="inlineStr">
        <is>
          <t>현재가 대비 괴리율</t>
        </is>
      </c>
      <c r="B7" t="inlineStr">
        <is>
          <t>-65.6%</t>
        </is>
      </c>
      <c r="C7" t="inlineStr">
        <is>
          <t>안전마진 확인</t>
        </is>
      </c>
      <c r="D7" t="inlineStr">
        <is>
          <t>내재주가/현재가 - 1</t>
        </is>
      </c>
      <c r="E7" t="inlineStr">
        <is>
          <t>안전마진 배지</t>
        </is>
      </c>
      <c r="F7" t="inlineStr">
        <is>
          <t>절대 투자판단 단독 사용 금지</t>
        </is>
      </c>
    </row>
    <row r="8">
      <c r="A8" t="inlineStr">
        <is>
          <t>WACC</t>
        </is>
      </c>
      <c r="B8" t="inlineStr">
        <is>
          <t>13.3%</t>
        </is>
      </c>
      <c r="C8" t="inlineStr">
        <is>
          <t>할인율</t>
        </is>
      </c>
      <c r="D8" t="inlineStr">
        <is>
          <t>무위험이자율·시장위험프리미엄·베타·타인자본비용</t>
        </is>
      </c>
      <c r="E8" t="inlineStr">
        <is>
          <t>가정 슬라이더</t>
        </is>
      </c>
      <c r="F8" t="inlineStr">
        <is>
          <t>금리 변화 민감</t>
        </is>
      </c>
    </row>
    <row r="9">
      <c r="A9" t="inlineStr">
        <is>
          <t>P/S</t>
        </is>
      </c>
      <c r="B9" t="inlineStr">
        <is>
          <t>1.19배</t>
        </is>
      </c>
      <c r="C9" t="inlineStr">
        <is>
          <t>매출 대비 시장가치</t>
        </is>
      </c>
      <c r="D9" t="inlineStr">
        <is>
          <t>시가총액/매출액</t>
        </is>
      </c>
      <c r="E9" t="inlineStr">
        <is>
          <t>상대가치 카드</t>
        </is>
      </c>
      <c r="F9" t="inlineStr">
        <is>
          <t>적자기업에도 활용 가능</t>
        </is>
      </c>
    </row>
    <row r="10">
      <c r="A10" t="inlineStr">
        <is>
          <t>비교기업 P/S 중앙값</t>
        </is>
      </c>
      <c r="B10" t="inlineStr">
        <is>
          <t>3.54배</t>
        </is>
      </c>
      <c r="C10" t="inlineStr">
        <is>
          <t>5개 비교기업 기준</t>
        </is>
      </c>
      <c r="D10" t="inlineStr">
        <is>
          <t>피어 입력 자동 생성</t>
        </is>
      </c>
      <c r="E10" t="inlineStr">
        <is>
          <t>비교기업 차트</t>
        </is>
      </c>
      <c r="F10" t="inlineStr">
        <is>
          <t>비교기업 품질 확인 필요</t>
        </is>
      </c>
    </row>
    <row r="11">
      <c r="A11" t="inlineStr">
        <is>
          <t>가치범위 중앙값</t>
        </is>
      </c>
      <c r="B11" t="inlineStr">
        <is>
          <t>124,937원</t>
        </is>
      </c>
      <c r="C11" t="inlineStr">
        <is>
          <t>여러 방식의 교차검증</t>
        </is>
      </c>
      <c r="D11" t="inlineStr">
        <is>
          <t>DCF·P/S·P/B·PER·P/FCF 등</t>
        </is>
      </c>
      <c r="E11" t="inlineStr">
        <is>
          <t>가치범위표</t>
        </is>
      </c>
      <c r="F11" t="inlineStr">
        <is>
          <t>일부 방식은 손실기업에서 제외</t>
        </is>
      </c>
    </row>
    <row r="12">
      <c r="A12" t="inlineStr">
        <is>
          <t>주가역산 영구성장률</t>
        </is>
      </c>
      <c r="B12" t="inlineStr">
        <is>
          <t>8.0%</t>
        </is>
      </c>
      <c r="C12" t="inlineStr">
        <is>
          <t>현재 주가가 요구하는 장기 성장률</t>
        </is>
      </c>
      <c r="D12" t="inlineStr">
        <is>
          <t>현재가 기준 역산</t>
        </is>
      </c>
      <c r="E12" t="inlineStr">
        <is>
          <t>역산 DCF</t>
        </is>
      </c>
      <c r="F12" t="inlineStr">
        <is>
          <t>음수/과도한 값은 보수 해석</t>
        </is>
      </c>
    </row>
    <row r="13">
      <c r="A13" t="inlineStr">
        <is>
          <t>오너이익 주당가치</t>
        </is>
      </c>
      <c r="B13" t="inlineStr">
        <is>
          <t>60,146원</t>
        </is>
      </c>
      <c r="C13" t="inlineStr">
        <is>
          <t>현금창출력 기반 교차검증</t>
        </is>
      </c>
      <c r="D13" t="inlineStr">
        <is>
          <t>CFO - CAPEX 또는 FCF</t>
        </is>
      </c>
      <c r="E13" t="inlineStr">
        <is>
          <t>오너이익 카드</t>
        </is>
      </c>
      <c r="F13" t="inlineStr">
        <is>
          <t>CAPEX 변동성 반영 필요</t>
        </is>
      </c>
    </row>
    <row r="14">
      <c r="A14" t="inlineStr">
        <is>
          <t>시장내재 P/S</t>
        </is>
      </c>
      <c r="B14" t="inlineStr">
        <is>
          <t>4.86배</t>
        </is>
      </c>
      <c r="C14" t="inlineStr">
        <is>
          <t>현재 시장이 부여한 매출 배수</t>
        </is>
      </c>
      <c r="D14" t="inlineStr">
        <is>
          <t>시가총액/매출</t>
        </is>
      </c>
      <c r="E14" t="inlineStr">
        <is>
          <t>시장내재 배수</t>
        </is>
      </c>
      <c r="F14" t="inlineStr">
        <is>
          <t>순환 업종에서는 변동 가능</t>
        </is>
      </c>
    </row>
    <row r="15">
      <c r="A15" t="inlineStr">
        <is>
          <t>208개 비교군</t>
        </is>
      </c>
      <c r="B15" t="inlineStr">
        <is>
          <t>208개 기준</t>
        </is>
      </c>
      <c r="C15" t="inlineStr">
        <is>
          <t>섹터 내부 상대 위치</t>
        </is>
      </c>
      <c r="D15" t="inlineStr">
        <is>
          <t>Tech 기준 비교군 파일 활용</t>
        </is>
      </c>
      <c r="E15" t="inlineStr">
        <is>
          <t>분포/랭킹</t>
        </is>
      </c>
      <c r="F15" t="inlineStr">
        <is>
          <t>데이터 원천 업데이트 필요</t>
        </is>
      </c>
    </row>
    <row r="16">
      <c r="A16" t="inlineStr">
        <is>
          <t>검증 결과</t>
        </is>
      </c>
      <c r="B16" t="inlineStr">
        <is>
          <t>통과</t>
        </is>
      </c>
      <c r="C16" t="inlineStr">
        <is>
          <t>모델 완성도</t>
        </is>
      </c>
      <c r="D16" t="inlineStr">
        <is>
          <t>검증 JSON</t>
        </is>
      </c>
      <c r="E16" t="inlineStr">
        <is>
          <t>검증 배지</t>
        </is>
      </c>
      <c r="F16" t="inlineStr">
        <is>
          <t>경고 발생 시 점검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DB하이텍 데이터 보강 내역</t>
        </is>
      </c>
      <c r="B1" t="inlineStr"/>
      <c r="C1" t="inlineStr"/>
      <c r="D1" t="inlineStr"/>
      <c r="E1" t="inlineStr"/>
      <c r="F1" t="inlineStr"/>
    </row>
    <row r="2">
      <c r="A2" t="inlineStr">
        <is>
          <t>원칙</t>
        </is>
      </c>
      <c r="B2" t="inlineStr">
        <is>
          <t>공란을 반복 문구로 채우지 않고, DART·주가·발행주식 수·네이버금융·208개 기준 비교군 중 확인 가능한 원천 또는 명시적 대체 산식만 표시합니다.</t>
        </is>
      </c>
      <c r="C2" t="inlineStr"/>
      <c r="D2" t="inlineStr"/>
      <c r="E2" t="inlineStr"/>
      <c r="F2" t="inlineStr"/>
    </row>
    <row r="3">
      <c r="A3" t="inlineStr">
        <is>
          <t>항목</t>
        </is>
      </c>
      <c r="B3" t="inlineStr">
        <is>
          <t>보강 방식</t>
        </is>
      </c>
      <c r="C3" t="inlineStr">
        <is>
          <t>현재 값</t>
        </is>
      </c>
      <c r="D3" t="inlineStr">
        <is>
          <t>사용 원천</t>
        </is>
      </c>
      <c r="E3" t="inlineStr">
        <is>
          <t>계산/확인 방식</t>
        </is>
      </c>
      <c r="F3" t="inlineStr">
        <is>
          <t>비고</t>
        </is>
      </c>
    </row>
    <row r="4">
      <c r="A4" t="inlineStr">
        <is>
          <t>PER</t>
        </is>
      </c>
      <c r="B4" t="inlineStr">
        <is>
          <t>네이버금융 값 우선, 없으면 DART 순이익과 시가총액으로 자동 산출</t>
        </is>
      </c>
      <c r="C4" t="inlineStr">
        <is>
          <t>26.96배</t>
        </is>
      </c>
      <c r="D4" t="inlineStr">
        <is>
          <t>네이버금융 / DART / 주가</t>
        </is>
      </c>
      <c r="E4" t="inlineStr">
        <is>
          <t>시가총액 ÷ 순이익</t>
        </is>
      </c>
      <c r="F4" t="inlineStr">
        <is>
          <t>순손실이면 계산 제외</t>
        </is>
      </c>
    </row>
    <row r="5">
      <c r="A5" t="inlineStr">
        <is>
          <t>PBR</t>
        </is>
      </c>
      <c r="B5" t="inlineStr">
        <is>
          <t>네이버금융 값 우선, 없으면 DART 자본총계와 시가총액으로 자동 산출</t>
        </is>
      </c>
      <c r="C5" t="inlineStr">
        <is>
          <t>2.96배</t>
        </is>
      </c>
      <c r="D5" t="inlineStr">
        <is>
          <t>네이버금융 / DART / 주가</t>
        </is>
      </c>
      <c r="E5" t="inlineStr">
        <is>
          <t>시가총액 ÷ 자본총계</t>
        </is>
      </c>
      <c r="F5" t="inlineStr">
        <is>
          <t>자본잠식이면 보수 해석</t>
        </is>
      </c>
    </row>
    <row r="6">
      <c r="A6" t="inlineStr">
        <is>
          <t>PSR</t>
        </is>
      </c>
      <c r="B6" t="inlineStr">
        <is>
          <t>주가와 매출액으로 자동 산출</t>
        </is>
      </c>
      <c r="C6" t="inlineStr">
        <is>
          <t>1.19배</t>
        </is>
      </c>
      <c r="D6" t="inlineStr">
        <is>
          <t>DART 매출액 / 주가 / 발행주식 수</t>
        </is>
      </c>
      <c r="E6" t="inlineStr">
        <is>
          <t>시가총액 ÷ 매출액</t>
        </is>
      </c>
      <c r="F6" t="inlineStr">
        <is>
          <t>적자기업 비교에 유용</t>
        </is>
      </c>
    </row>
    <row r="7">
      <c r="A7" t="inlineStr">
        <is>
          <t>P/FCF</t>
        </is>
      </c>
      <c r="B7" t="inlineStr">
        <is>
          <t>FCF가 양수이면 자동 산출</t>
        </is>
      </c>
      <c r="C7" t="inlineStr">
        <is>
          <t>19.48배</t>
        </is>
      </c>
      <c r="D7" t="inlineStr">
        <is>
          <t>DART 영업현금흐름·CAPEX / 주가</t>
        </is>
      </c>
      <c r="E7" t="inlineStr">
        <is>
          <t>시가총액 ÷ FCF</t>
        </is>
      </c>
      <c r="F7" t="inlineStr">
        <is>
          <t>FCF 음수이면 계산 제외</t>
        </is>
      </c>
    </row>
    <row r="8">
      <c r="A8" t="inlineStr">
        <is>
          <t>EV/Sales</t>
        </is>
      </c>
      <c r="B8" t="inlineStr">
        <is>
          <t>기업가치와 매출액으로 자동 산출</t>
        </is>
      </c>
      <c r="C8" t="inlineStr">
        <is>
          <t>5.17배</t>
        </is>
      </c>
      <c r="D8" t="inlineStr">
        <is>
          <t>DART 현금·부채 / 주가</t>
        </is>
      </c>
      <c r="E8" t="inlineStr">
        <is>
          <t>EV ÷ 매출액</t>
        </is>
      </c>
      <c r="F8" t="inlineStr">
        <is>
          <t>현금/부채 원천계정 확인</t>
        </is>
      </c>
    </row>
    <row r="9">
      <c r="A9" t="inlineStr">
        <is>
          <t>EV/EBIT</t>
        </is>
      </c>
      <c r="B9" t="inlineStr">
        <is>
          <t>영업이익이 양수이면 자동 산출</t>
        </is>
      </c>
      <c r="C9" t="inlineStr">
        <is>
          <t>26.04배</t>
        </is>
      </c>
      <c r="D9" t="inlineStr">
        <is>
          <t>DART 영업이익 / 주가</t>
        </is>
      </c>
      <c r="E9" t="inlineStr">
        <is>
          <t>EV ÷ 영업이익</t>
        </is>
      </c>
      <c r="F9" t="inlineStr">
        <is>
          <t>적자이면 계산 제외</t>
        </is>
      </c>
    </row>
    <row r="10">
      <c r="A10" t="inlineStr">
        <is>
          <t>발행주식 수</t>
        </is>
      </c>
      <c r="B10" t="inlineStr">
        <is>
          <t>DART 주식총수 현황에서 보강</t>
        </is>
      </c>
      <c r="C10" t="inlineStr">
        <is>
          <t>43,617,167주</t>
        </is>
      </c>
      <c r="D10" t="inlineStr">
        <is>
          <t>OpenDART stockTotqySttus</t>
        </is>
      </c>
      <c r="E10" t="inlineStr">
        <is>
          <t>최신 보고서 기준</t>
        </is>
      </c>
      <c r="F10" t="inlineStr">
        <is>
          <t>자기주식/증자 반영 필요</t>
        </is>
      </c>
    </row>
    <row r="11">
      <c r="A11" t="inlineStr">
        <is>
          <t>시가총액</t>
        </is>
      </c>
      <c r="B11" t="inlineStr">
        <is>
          <t>현재가와 발행주식 수로 자동 산출</t>
        </is>
      </c>
      <c r="C11" t="inlineStr">
        <is>
          <t>67,955.5억원</t>
        </is>
      </c>
      <c r="D11" t="inlineStr">
        <is>
          <t>주가 provider / DART 발행주식 수</t>
        </is>
      </c>
      <c r="E11" t="inlineStr">
        <is>
          <t>현재가 × 발행주식 수</t>
        </is>
      </c>
      <c r="F11" t="inlineStr">
        <is>
          <t>주가 기준일 확인</t>
        </is>
      </c>
    </row>
    <row r="12">
      <c r="A12" t="inlineStr">
        <is>
          <t>유동성</t>
        </is>
      </c>
      <c r="B12" t="inlineStr">
        <is>
          <t>거래대금·거래회전율로 보강</t>
        </is>
      </c>
      <c r="C12" t="inlineStr">
        <is>
          <t>1,234.0억원</t>
        </is>
      </c>
      <c r="D12" t="inlineStr">
        <is>
          <t>주가 데이터</t>
        </is>
      </c>
      <c r="E12" t="inlineStr">
        <is>
          <t>20일 평균 거래대금</t>
        </is>
      </c>
      <c r="F12" t="inlineStr">
        <is>
          <t>대시보드 필터 활용</t>
        </is>
      </c>
    </row>
    <row r="13">
      <c r="A13" t="inlineStr">
        <is>
          <t>208개 기준 비교군</t>
        </is>
      </c>
      <c r="B13" t="inlineStr">
        <is>
          <t>Tech 기준 비교군 파일을 Valuation 비교군으로 재활용</t>
        </is>
      </c>
      <c r="C13" t="inlineStr">
        <is>
          <t>208</t>
        </is>
      </c>
      <c r="D13" t="inlineStr">
        <is>
          <t>valuation_기준_비교군_208.csv</t>
        </is>
      </c>
      <c r="E13" t="inlineStr">
        <is>
          <t>동일 섹터 상대 위치</t>
        </is>
      </c>
      <c r="F13" t="inlineStr">
        <is>
          <t>상대가치 확장용</t>
        </is>
      </c>
    </row>
    <row r="14">
      <c r="A14" t="inlineStr">
        <is>
          <t>후속 보강 계획</t>
        </is>
      </c>
      <c r="B14" t="inlineStr">
        <is>
          <t>항목</t>
        </is>
      </c>
      <c r="C14" t="inlineStr">
        <is>
          <t>현재 처리</t>
        </is>
      </c>
      <c r="D14" t="inlineStr">
        <is>
          <t>권장 원천</t>
        </is>
      </c>
      <c r="E14" t="inlineStr">
        <is>
          <t>목적</t>
        </is>
      </c>
      <c r="F14" t="inlineStr">
        <is>
          <t>비고</t>
        </is>
      </c>
    </row>
    <row r="15">
      <c r="A15" t="inlineStr">
        <is>
          <t>후속 보강 계획</t>
        </is>
      </c>
      <c r="B15" t="inlineStr">
        <is>
          <t>항목</t>
        </is>
      </c>
      <c r="C15" t="inlineStr">
        <is>
          <t>보조 산출</t>
        </is>
      </c>
      <c r="D15" t="inlineStr">
        <is>
          <t>DART/주가/공시</t>
        </is>
      </c>
      <c r="E15" t="inlineStr">
        <is>
          <t>가치평가 정확도 개선</t>
        </is>
      </c>
      <c r="F15" t="inlineStr">
        <is>
          <t>대체 산식 유지</t>
        </is>
      </c>
    </row>
    <row r="16">
      <c r="A16" t="inlineStr">
        <is>
          <t>후속 보강 계획</t>
        </is>
      </c>
      <c r="B16" t="inlineStr">
        <is>
          <t>항목</t>
        </is>
      </c>
      <c r="C16" t="inlineStr">
        <is>
          <t>보조 산출</t>
        </is>
      </c>
      <c r="D16" t="inlineStr">
        <is>
          <t>DART/주가/공시</t>
        </is>
      </c>
      <c r="E16" t="inlineStr">
        <is>
          <t>가치평가 정확도 개선</t>
        </is>
      </c>
      <c r="F16" t="inlineStr">
        <is>
          <t>대체 산식 유지</t>
        </is>
      </c>
    </row>
    <row r="17">
      <c r="A17" t="inlineStr">
        <is>
          <t>후속 보강 계획</t>
        </is>
      </c>
      <c r="B17" t="inlineStr">
        <is>
          <t>항목</t>
        </is>
      </c>
      <c r="C17" t="inlineStr">
        <is>
          <t>보조 산출</t>
        </is>
      </c>
      <c r="D17" t="inlineStr">
        <is>
          <t>DART/주가/공시</t>
        </is>
      </c>
      <c r="E17" t="inlineStr">
        <is>
          <t>가치평가 정확도 개선</t>
        </is>
      </c>
      <c r="F17" t="inlineStr">
        <is>
          <t>대체 산식 유지</t>
        </is>
      </c>
    </row>
    <row r="18">
      <c r="A18" t="inlineStr">
        <is>
          <t>후속 보강 계획</t>
        </is>
      </c>
      <c r="B18" t="inlineStr">
        <is>
          <t>항목</t>
        </is>
      </c>
      <c r="C18" t="inlineStr">
        <is>
          <t>보조 산출</t>
        </is>
      </c>
      <c r="D18" t="inlineStr">
        <is>
          <t>DART/주가/공시</t>
        </is>
      </c>
      <c r="E18" t="inlineStr">
        <is>
          <t>가치평가 정확도 개선</t>
        </is>
      </c>
      <c r="F18" t="inlineStr">
        <is>
          <t>대체 산식 유지</t>
        </is>
      </c>
    </row>
    <row r="19">
      <c r="A19" t="inlineStr">
        <is>
          <t>후속 보강 계획</t>
        </is>
      </c>
      <c r="B19" t="inlineStr">
        <is>
          <t>항목</t>
        </is>
      </c>
      <c r="C19" t="inlineStr">
        <is>
          <t>보조 산출</t>
        </is>
      </c>
      <c r="D19" t="inlineStr">
        <is>
          <t>DART/주가/공시</t>
        </is>
      </c>
      <c r="E19" t="inlineStr">
        <is>
          <t>가치평가 정확도 개선</t>
        </is>
      </c>
      <c r="F19" t="inlineStr">
        <is>
          <t>대체 산식 유지</t>
        </is>
      </c>
    </row>
    <row r="20">
      <c r="A20" t="inlineStr">
        <is>
          <t>후속 보강 계획</t>
        </is>
      </c>
      <c r="B20" t="inlineStr">
        <is>
          <t>항목</t>
        </is>
      </c>
      <c r="C20" t="inlineStr">
        <is>
          <t>보조 산출</t>
        </is>
      </c>
      <c r="D20" t="inlineStr">
        <is>
          <t>DART/주가/공시</t>
        </is>
      </c>
      <c r="E20" t="inlineStr">
        <is>
          <t>가치평가 정확도 개선</t>
        </is>
      </c>
      <c r="F20" t="inlineStr">
        <is>
          <t>대체 산식 유지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대시보드 연동키</t>
        </is>
      </c>
      <c r="B1" t="inlineStr"/>
      <c r="C1" t="inlineStr"/>
      <c r="D1" t="inlineStr"/>
      <c r="E1" t="inlineStr"/>
    </row>
    <row r="2">
      <c r="A2" t="inlineStr">
        <is>
          <t>설명</t>
        </is>
      </c>
      <c r="B2" t="inlineStr">
        <is>
          <t>React/Streamlit 대시보드에서 바로 사용할 수 있는 주요 JSON 키와 표시명을 정리합니다.</t>
        </is>
      </c>
      <c r="C2" t="inlineStr"/>
      <c r="D2" t="inlineStr"/>
      <c r="E2" t="inlineStr"/>
    </row>
    <row r="3">
      <c r="A3" t="inlineStr">
        <is>
          <t>JSON 키</t>
        </is>
      </c>
      <c r="B3" t="inlineStr">
        <is>
          <t>표시명</t>
        </is>
      </c>
      <c r="C3" t="inlineStr">
        <is>
          <t>값</t>
        </is>
      </c>
      <c r="D3" t="inlineStr">
        <is>
          <t>형식</t>
        </is>
      </c>
      <c r="E3" t="inlineStr">
        <is>
          <t>활용 위치</t>
        </is>
      </c>
    </row>
    <row r="4">
      <c r="A4" t="inlineStr">
        <is>
          <t>wacc</t>
        </is>
      </c>
      <c r="B4" t="inlineStr">
        <is>
          <t>WACC</t>
        </is>
      </c>
      <c r="C4" t="n">
        <v>0.1329581763489804</v>
      </c>
      <c r="D4" t="inlineStr">
        <is>
          <t>percent</t>
        </is>
      </c>
      <c r="E4" t="inlineStr">
        <is>
          <t>핵심 카드</t>
        </is>
      </c>
    </row>
    <row r="5">
      <c r="A5" t="inlineStr">
        <is>
          <t>enterprise_value</t>
        </is>
      </c>
      <c r="B5" t="inlineStr">
        <is>
          <t>DCF 기업가치</t>
        </is>
      </c>
      <c r="C5" t="n">
        <v>2762447802259.066</v>
      </c>
      <c r="D5" t="inlineStr">
        <is>
          <t>krw</t>
        </is>
      </c>
      <c r="E5" t="inlineStr">
        <is>
          <t>핵심 카드</t>
        </is>
      </c>
    </row>
    <row r="6">
      <c r="A6" t="inlineStr">
        <is>
          <t>equity_value</t>
        </is>
      </c>
      <c r="B6" t="inlineStr">
        <is>
          <t>DCF 지분가치</t>
        </is>
      </c>
      <c r="C6" t="n">
        <v>2336915984340.066</v>
      </c>
      <c r="D6" t="inlineStr">
        <is>
          <t>krw</t>
        </is>
      </c>
      <c r="E6" t="inlineStr">
        <is>
          <t>핵심 카드</t>
        </is>
      </c>
    </row>
    <row r="7">
      <c r="A7" t="inlineStr">
        <is>
          <t>latest_close</t>
        </is>
      </c>
      <c r="B7" t="inlineStr">
        <is>
          <t>현재가</t>
        </is>
      </c>
      <c r="C7" t="n">
        <v>155800</v>
      </c>
      <c r="D7" t="inlineStr">
        <is>
          <t>krw_per_share</t>
        </is>
      </c>
      <c r="E7" t="inlineStr">
        <is>
          <t>핵심 카드</t>
        </is>
      </c>
    </row>
    <row r="8">
      <c r="A8" t="inlineStr">
        <is>
          <t>implied_price</t>
        </is>
      </c>
      <c r="B8" t="inlineStr">
        <is>
          <t>DCF 내재주가</t>
        </is>
      </c>
      <c r="C8" t="n">
        <v>53577.89478486914</v>
      </c>
      <c r="D8" t="inlineStr">
        <is>
          <t>krw_per_share</t>
        </is>
      </c>
      <c r="E8" t="inlineStr">
        <is>
          <t>핵심 카드</t>
        </is>
      </c>
    </row>
    <row r="9">
      <c r="A9" t="inlineStr">
        <is>
          <t>upside_downside_pct</t>
        </is>
      </c>
      <c r="B9" t="inlineStr">
        <is>
          <t>현재가 대비 괴리율</t>
        </is>
      </c>
      <c r="C9" t="n">
        <v>-0.6561110732678489</v>
      </c>
      <c r="D9" t="inlineStr">
        <is>
          <t>percent</t>
        </is>
      </c>
      <c r="E9" t="inlineStr">
        <is>
          <t>핵심 카드</t>
        </is>
      </c>
    </row>
    <row r="10">
      <c r="A10" t="inlineStr">
        <is>
          <t>target_psr</t>
        </is>
      </c>
      <c r="B10" t="inlineStr">
        <is>
          <t>P/S</t>
        </is>
      </c>
      <c r="C10" t="n">
        <v>1.187366562371241</v>
      </c>
      <c r="D10" t="inlineStr">
        <is>
          <t>multiple</t>
        </is>
      </c>
      <c r="E10" t="inlineStr">
        <is>
          <t>핵심 카드</t>
        </is>
      </c>
    </row>
    <row r="11">
      <c r="A11" t="inlineStr">
        <is>
          <t>median_psr</t>
        </is>
      </c>
      <c r="B11" t="inlineStr">
        <is>
          <t>비교기업 P/S 중앙값</t>
        </is>
      </c>
      <c r="C11" t="n">
        <v>3.535962270359559</v>
      </c>
      <c r="D11" t="inlineStr">
        <is>
          <t>multiple</t>
        </is>
      </c>
      <c r="E11" t="inlineStr">
        <is>
          <t>핵심 카드</t>
        </is>
      </c>
    </row>
    <row r="12">
      <c r="A12" t="inlineStr">
        <is>
          <t>psr_gap</t>
        </is>
      </c>
      <c r="B12" t="inlineStr">
        <is>
          <t>P/S 중앙값 대비</t>
        </is>
      </c>
      <c r="C12" t="n">
        <v>-0.6642027059156086</v>
      </c>
      <c r="D12" t="inlineStr">
        <is>
          <t>percent</t>
        </is>
      </c>
      <c r="E12" t="inlineStr">
        <is>
          <t>핵심 카드</t>
        </is>
      </c>
    </row>
    <row r="13">
      <c r="A13" t="inlineStr">
        <is>
          <t>기준_rows</t>
        </is>
      </c>
      <c r="B13" t="inlineStr">
        <is>
          <t>208개 반도체 비교군</t>
        </is>
      </c>
      <c r="C13" t="n">
        <v>208</v>
      </c>
      <c r="D13" t="inlineStr">
        <is>
          <t>count</t>
        </is>
      </c>
      <c r="E13" t="inlineStr">
        <is>
          <t>핵심 카드</t>
        </is>
      </c>
    </row>
    <row r="14">
      <c r="A14" t="inlineStr">
        <is>
          <t>기준_비교기업_group</t>
        </is>
      </c>
      <c r="B14" t="inlineStr">
        <is>
          <t>기준 비교군 그룹</t>
        </is>
      </c>
      <c r="C14" t="inlineStr">
        <is>
          <t>IDM/제조/메모리</t>
        </is>
      </c>
      <c r="D14" t="inlineStr">
        <is>
          <t>text</t>
        </is>
      </c>
      <c r="E14" t="inlineStr">
        <is>
          <t>핵심 카드</t>
        </is>
      </c>
    </row>
    <row r="15">
      <c r="A15" t="inlineStr">
        <is>
          <t>return_1y</t>
        </is>
      </c>
      <c r="B15" t="inlineStr">
        <is>
          <t>1년 수익률</t>
        </is>
      </c>
      <c r="C15" t="n">
        <v>2.954314720812183</v>
      </c>
      <c r="D15" t="inlineStr">
        <is>
          <t>percent</t>
        </is>
      </c>
      <c r="E15" t="inlineStr">
        <is>
          <t>핵심 카드</t>
        </is>
      </c>
    </row>
    <row r="16">
      <c r="A16" t="inlineStr">
        <is>
          <t>mdd</t>
        </is>
      </c>
      <c r="B16" t="inlineStr">
        <is>
          <t>MDD</t>
        </is>
      </c>
      <c r="C16" t="n">
        <v>-0.6560659599528857</v>
      </c>
      <c r="D16" t="inlineStr">
        <is>
          <t>percent</t>
        </is>
      </c>
      <c r="E16" t="inlineStr">
        <is>
          <t>핵심 카드</t>
        </is>
      </c>
    </row>
    <row r="17">
      <c r="A17" t="inlineStr">
        <is>
          <t>volatility</t>
        </is>
      </c>
      <c r="B17" t="inlineStr">
        <is>
          <t>연환산 변동성</t>
        </is>
      </c>
      <c r="C17" t="n">
        <v>0.5285584956449837</v>
      </c>
      <c r="D17" t="inlineStr">
        <is>
          <t>percent</t>
        </is>
      </c>
      <c r="E17" t="inlineStr">
        <is>
          <t>핵심 카드</t>
        </is>
      </c>
    </row>
    <row r="18">
      <c r="A18" t="inlineStr">
        <is>
          <t>market_cap</t>
        </is>
      </c>
      <c r="B18" t="inlineStr">
        <is>
          <t>시가총액</t>
        </is>
      </c>
      <c r="C18" t="n">
        <v>6795554618600</v>
      </c>
      <c r="D18" t="inlineStr">
        <is>
          <t>krw</t>
        </is>
      </c>
      <c r="E18" t="inlineStr">
        <is>
          <t>핵심 카드</t>
        </is>
      </c>
    </row>
    <row r="19">
      <c r="A19" t="inlineStr">
        <is>
          <t>shares_outstanding</t>
        </is>
      </c>
      <c r="B19" t="inlineStr">
        <is>
          <t>발행주식 수</t>
        </is>
      </c>
      <c r="C19" t="n">
        <v>43617167</v>
      </c>
      <c r="D19" t="inlineStr">
        <is>
          <t>shares</t>
        </is>
      </c>
      <c r="E19" t="inlineStr">
        <is>
          <t>핵심 카드</t>
        </is>
      </c>
    </row>
    <row r="20">
      <c r="A20" t="inlineStr">
        <is>
          <t>avg_trading_value_20d</t>
        </is>
      </c>
      <c r="B20" t="inlineStr">
        <is>
          <t>20일 평균 거래대금</t>
        </is>
      </c>
      <c r="C20" t="n">
        <v>123396503245</v>
      </c>
      <c r="D20" t="inlineStr">
        <is>
          <t>krw</t>
        </is>
      </c>
      <c r="E20" t="inlineStr">
        <is>
          <t>핵심 카드</t>
        </is>
      </c>
    </row>
    <row r="21">
      <c r="A21" t="inlineStr">
        <is>
          <t>turnover_latest</t>
        </is>
      </c>
      <c r="B21" t="inlineStr">
        <is>
          <t>최근 거래회전율</t>
        </is>
      </c>
      <c r="C21" t="n">
        <v>0.00418917624796677</v>
      </c>
      <c r="D21" t="inlineStr">
        <is>
          <t>percent</t>
        </is>
      </c>
      <c r="E21" t="inlineStr">
        <is>
          <t>핵심 카드</t>
        </is>
      </c>
    </row>
    <row r="22">
      <c r="A22" t="inlineStr">
        <is>
          <t>ml_composite_score</t>
        </is>
      </c>
      <c r="B22" t="inlineStr">
        <is>
          <t>ML 보조 품질점수</t>
        </is>
      </c>
      <c r="C22" t="n">
        <v>71.45999999999999</v>
      </c>
      <c r="D22" t="inlineStr">
        <is>
          <t>score</t>
        </is>
      </c>
      <c r="E22" t="inlineStr">
        <is>
          <t>핵심 카드</t>
        </is>
      </c>
    </row>
    <row r="23">
      <c r="A23" t="inlineStr">
        <is>
          <t>ml_label</t>
        </is>
      </c>
      <c r="B23" t="inlineStr">
        <is>
          <t>ML 보조 라벨</t>
        </is>
      </c>
      <c r="C23" t="inlineStr">
        <is>
          <t>가치평가 보조근거 우호</t>
        </is>
      </c>
      <c r="D23" t="inlineStr">
        <is>
          <t>text</t>
        </is>
      </c>
      <c r="E23" t="inlineStr">
        <is>
          <t>핵심 카드</t>
        </is>
      </c>
    </row>
    <row r="24">
      <c r="A24" t="inlineStr">
        <is>
          <t>valuation_점수판</t>
        </is>
      </c>
      <c r="B24" t="inlineStr">
        <is>
          <t>보조 가치평가 점수</t>
        </is>
      </c>
      <c r="C24" t="n">
        <v>53.4</v>
      </c>
      <c r="D24" t="inlineStr">
        <is>
          <t>score</t>
        </is>
      </c>
      <c r="E24" t="inlineStr">
        <is>
          <t>핵심 카드</t>
        </is>
      </c>
    </row>
    <row r="25">
      <c r="A25" t="inlineStr">
        <is>
          <t>valuation_점수판_label</t>
        </is>
      </c>
      <c r="B25" t="inlineStr">
        <is>
          <t>보조 가치평가 라벨</t>
        </is>
      </c>
      <c r="C25" t="inlineStr">
        <is>
          <t>중립</t>
        </is>
      </c>
      <c r="D25" t="inlineStr">
        <is>
          <t>text</t>
        </is>
      </c>
      <c r="E25" t="inlineStr">
        <is>
          <t>핵심 카드</t>
        </is>
      </c>
    </row>
    <row r="26">
      <c r="A26" t="inlineStr">
        <is>
          <t>advanced_valuation_score</t>
        </is>
      </c>
      <c r="B26" t="inlineStr">
        <is>
          <t>종합 가치평가 점수</t>
        </is>
      </c>
      <c r="C26" t="n">
        <v>47.15</v>
      </c>
      <c r="D26" t="inlineStr">
        <is>
          <t>score</t>
        </is>
      </c>
      <c r="E26" t="inlineStr">
        <is>
          <t>핵심 카드</t>
        </is>
      </c>
    </row>
    <row r="27">
      <c r="A27" t="inlineStr">
        <is>
          <t>valuation_range_base_price</t>
        </is>
      </c>
      <c r="B27" t="inlineStr">
        <is>
          <t>가치범위 중앙값</t>
        </is>
      </c>
      <c r="C27" t="n">
        <v>124937.2769373508</v>
      </c>
      <c r="D27" t="inlineStr">
        <is>
          <t>krw_per_share</t>
        </is>
      </c>
      <c r="E27" t="inlineStr">
        <is>
          <t>핵심 카드</t>
        </is>
      </c>
    </row>
    <row r="28">
      <c r="A28" t="inlineStr">
        <is>
          <t>valuation_range_margin</t>
        </is>
      </c>
      <c r="B28" t="inlineStr">
        <is>
          <t>가치범위 안전마진</t>
        </is>
      </c>
      <c r="C28" t="n">
        <v>-0.1980919323661695</v>
      </c>
      <c r="D28" t="inlineStr">
        <is>
          <t>percent</t>
        </is>
      </c>
      <c r="E28" t="inlineStr">
        <is>
          <t>핵심 카드</t>
        </is>
      </c>
    </row>
    <row r="29">
      <c r="A29" t="inlineStr">
        <is>
          <t>reverse_dcf_growth</t>
        </is>
      </c>
      <c r="B29" t="inlineStr">
        <is>
          <t>역산 영구성장률</t>
        </is>
      </c>
      <c r="C29" t="n">
        <v>0.08</v>
      </c>
      <c r="D29" t="inlineStr">
        <is>
          <t>percent</t>
        </is>
      </c>
      <c r="E29" t="inlineStr">
        <is>
          <t>핵심 카드</t>
        </is>
      </c>
    </row>
    <row r="30">
      <c r="A30" t="inlineStr">
        <is>
          <t>owner_earnings_price</t>
        </is>
      </c>
      <c r="B30" t="inlineStr">
        <is>
          <t>오너 이익 주당가치</t>
        </is>
      </c>
      <c r="C30" t="n">
        <v>60146.15846747318</v>
      </c>
      <c r="D30" t="inlineStr">
        <is>
          <t>krw_per_share</t>
        </is>
      </c>
      <c r="E30" t="inlineStr">
        <is>
          <t>핵심 카드</t>
        </is>
      </c>
    </row>
    <row r="31">
      <c r="A31" t="inlineStr">
        <is>
          <t>market_psr</t>
        </is>
      </c>
      <c r="B31" t="inlineStr">
        <is>
          <t>시장내재 P/S</t>
        </is>
      </c>
      <c r="C31" t="n">
        <v>4.863579034628839</v>
      </c>
      <c r="D31" t="inlineStr">
        <is>
          <t>multiple</t>
        </is>
      </c>
      <c r="E31" t="inlineStr">
        <is>
          <t>핵심 카드</t>
        </is>
      </c>
    </row>
    <row r="32">
      <c r="A32" t="inlineStr">
        <is>
          <t>market_pbr</t>
        </is>
      </c>
      <c r="B32" t="inlineStr">
        <is>
          <t>시장내재 P/B</t>
        </is>
      </c>
      <c r="C32" t="n">
        <v>3.028328153366977</v>
      </c>
      <c r="D32" t="inlineStr">
        <is>
          <t>multiple</t>
        </is>
      </c>
      <c r="E32" t="inlineStr">
        <is>
          <t>핵심 카드</t>
        </is>
      </c>
    </row>
    <row r="33">
      <c r="A33" t="inlineStr">
        <is>
          <t>market_fcf_yield</t>
        </is>
      </c>
      <c r="B33" t="inlineStr">
        <is>
          <t>시장내재 FCF 수익률</t>
        </is>
      </c>
      <c r="C33" t="n">
        <v>0.05132813571394109</v>
      </c>
      <c r="D33" t="inlineStr">
        <is>
          <t>percent</t>
        </is>
      </c>
      <c r="E33" t="inlineStr">
        <is>
          <t>핵심 카드</t>
        </is>
      </c>
    </row>
    <row r="34">
      <c r="A34" t="inlineStr">
        <is>
          <t>검증_status</t>
        </is>
      </c>
      <c r="B34" t="inlineStr">
        <is>
          <t>검증 상태</t>
        </is>
      </c>
      <c r="C34" t="inlineStr">
        <is>
          <t>PASS</t>
        </is>
      </c>
      <c r="D34" t="inlineStr">
        <is>
          <t>text</t>
        </is>
      </c>
      <c r="E34" t="inlineStr">
        <is>
          <t>핵심 카드</t>
        </is>
      </c>
    </row>
    <row r="35">
      <c r="A35" t="inlineStr">
        <is>
          <t>price_history</t>
        </is>
      </c>
      <c r="B35" t="inlineStr">
        <is>
          <t>주가 차트</t>
        </is>
      </c>
      <c r="C35" t="inlineStr">
        <is>
          <t>최근 250거래일</t>
        </is>
      </c>
      <c r="D35" t="inlineStr">
        <is>
          <t>list</t>
        </is>
      </c>
      <c r="E35" t="inlineStr">
        <is>
          <t>라인차트</t>
        </is>
      </c>
    </row>
    <row r="36">
      <c r="A36" t="inlineStr">
        <is>
          <t>historical_ficials</t>
        </is>
      </c>
      <c r="B36" t="inlineStr">
        <is>
          <t>재무 추이</t>
        </is>
      </c>
      <c r="C36" t="inlineStr">
        <is>
          <t>최근 5개년</t>
        </is>
      </c>
      <c r="D36" t="inlineStr">
        <is>
          <t>list</t>
        </is>
      </c>
      <c r="E36" t="inlineStr">
        <is>
          <t>막대/라인 혼합</t>
        </is>
      </c>
    </row>
    <row r="37">
      <c r="A37" t="inlineStr">
        <is>
          <t>비교기업_multiples</t>
        </is>
      </c>
      <c r="B37" t="inlineStr">
        <is>
          <t>비교기업 배수</t>
        </is>
      </c>
      <c r="C37" t="inlineStr">
        <is>
          <t>5개 기업 + 확장 비교군</t>
        </is>
      </c>
      <c r="D37" t="inlineStr">
        <is>
          <t>list</t>
        </is>
      </c>
      <c r="E37" t="inlineStr">
        <is>
          <t>상대가치 표</t>
        </is>
      </c>
    </row>
    <row r="38">
      <c r="A38" t="inlineStr">
        <is>
          <t>기준_비교군_focus</t>
        </is>
      </c>
      <c r="B38" t="inlineStr">
        <is>
          <t>208개 비교군 상대위치</t>
        </is>
      </c>
      <c r="C38" t="inlineStr">
        <is>
          <t>선택기업/동일 세부군/전체 평균</t>
        </is>
      </c>
      <c r="D38" t="inlineStr">
        <is>
          <t>list</t>
        </is>
      </c>
      <c r="E38" t="inlineStr">
        <is>
          <t>시장위치 맵</t>
        </is>
      </c>
    </row>
    <row r="39">
      <c r="A39" t="inlineStr">
        <is>
          <t>advanced_valuation</t>
        </is>
      </c>
      <c r="B39" t="inlineStr">
        <is>
          <t>종합 가치평가</t>
        </is>
      </c>
      <c r="C39" t="inlineStr">
        <is>
          <t>가치범위·역산 DCF·오너이익</t>
        </is>
      </c>
      <c r="D39" t="inlineStr">
        <is>
          <t>object</t>
        </is>
      </c>
      <c r="E39" t="inlineStr">
        <is>
          <t>상세 패널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6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2" customWidth="1" min="4" max="4"/>
    <col width="18" customWidth="1" min="5" max="5"/>
    <col width="14" customWidth="1" min="6" max="6"/>
    <col width="14" customWidth="1" min="7" max="7"/>
    <col width="15" customWidth="1" min="8" max="8"/>
    <col width="13" customWidth="1" min="9" max="9"/>
    <col width="10" customWidth="1" min="10" max="10"/>
    <col width="10" customWidth="1" min="11" max="11"/>
    <col width="10" customWidth="1" min="12" max="12"/>
    <col width="13" customWidth="1" min="13" max="13"/>
    <col width="18" customWidth="1" min="14" max="14"/>
  </cols>
  <sheetData>
    <row r="1" ht="34" customHeight="1">
      <c r="A1" s="44" t="inlineStr">
        <is>
          <t>DB하이텍 반도체 시장 내 상대 위치 맵</t>
        </is>
      </c>
    </row>
    <row r="2" ht="22" customHeight="1">
      <c r="A2" s="2" t="inlineStr">
        <is>
          <t>기업 선택값을 바꾸면 선택기업·동일 세부군·208개 전체 평균 비교와 TAM/SAM/SOM 범위가 함께 갱신됩니다.</t>
        </is>
      </c>
    </row>
    <row r="3" ht="22" customHeight="1"/>
    <row r="4" ht="22" customHeight="1">
      <c r="A4" s="3" t="inlineStr">
        <is>
          <t>기업 선택</t>
        </is>
      </c>
      <c r="B4" s="45" t="inlineStr">
        <is>
          <t>DB하이텍</t>
        </is>
      </c>
      <c r="C4" t="inlineStr"/>
      <c r="D4" s="3" t="inlineStr">
        <is>
          <t>동일 세부군</t>
        </is>
      </c>
      <c r="E4" s="45">
        <f>IFERROR(XLOOKUP($B$4,$A$59:$A$266,$E$59:$E$266),"")</f>
        <v/>
      </c>
      <c r="F4" t="inlineStr"/>
      <c r="G4" s="3" t="inlineStr">
        <is>
          <t>선택기업 점수</t>
        </is>
      </c>
      <c r="H4" s="46">
        <f>IFERROR(XLOOKUP($B$4,$A$59:$A$266,$F$59:$F$266),"")</f>
        <v/>
      </c>
      <c r="I4" t="inlineStr"/>
      <c r="J4" s="3" t="inlineStr">
        <is>
          <t>208개 내 백분위</t>
        </is>
      </c>
      <c r="K4" s="47">
        <f>IFERROR(PERCENTRANK.INC($F$59:$F$266,$H$4),"")</f>
        <v/>
      </c>
      <c r="L4" t="inlineStr"/>
      <c r="M4" s="3" t="inlineStr">
        <is>
          <t>라벨</t>
        </is>
      </c>
      <c r="N4" s="45">
        <f>IFERROR(XLOOKUP($B$4,$A$59:$A$266,$H$59:$H$266),"")</f>
        <v/>
      </c>
    </row>
    <row r="5" ht="22" customHeight="1"/>
    <row r="6" ht="22" customHeight="1"/>
    <row r="7" ht="22" customHeight="1"/>
    <row r="8" ht="22" customHeight="1">
      <c r="A8" s="5" t="inlineStr">
        <is>
          <t>비교 기준</t>
        </is>
      </c>
      <c r="B8" s="5" t="inlineStr">
        <is>
          <t>밸류에이션 점수</t>
        </is>
      </c>
      <c r="C8" s="5" t="inlineStr">
        <is>
          <t>신용위험 점수</t>
        </is>
      </c>
      <c r="D8" s="5" t="inlineStr">
        <is>
          <t>기업 수</t>
        </is>
      </c>
    </row>
    <row r="9" ht="22" customHeight="1">
      <c r="A9" s="48" t="inlineStr">
        <is>
          <t>선택기업</t>
        </is>
      </c>
      <c r="B9" s="48">
        <f>IFERROR(XLOOKUP($B$4,$A$59:$A$266,$F$59:$F$266),"")</f>
        <v/>
      </c>
      <c r="C9" s="48">
        <f>IFERROR(XLOOKUP($B$4,$A$59:$A$266,$G$59:$G$266),"")</f>
        <v/>
      </c>
      <c r="D9" s="48" t="n">
        <v>1</v>
      </c>
    </row>
    <row r="10" ht="22" customHeight="1">
      <c r="A10" s="49" t="inlineStr">
        <is>
          <t>동일 세부군 평균</t>
        </is>
      </c>
      <c r="B10" s="49">
        <f>IFERROR(AVERAGEIF($E$59:$E$266,$E$4,$F$59:$F$266),"")</f>
        <v/>
      </c>
      <c r="C10" s="49">
        <f>IFERROR(AVERAGEIF($E$59:$E$266,$E$4,$G$59:$G$266),"")</f>
        <v/>
      </c>
      <c r="D10" s="49">
        <f>IFERROR(COUNTIF($E$59:$E$266,$E$4),"")</f>
        <v/>
      </c>
    </row>
    <row r="11" ht="22" customHeight="1">
      <c r="A11" s="50" t="inlineStr">
        <is>
          <t>208개 전체 평균</t>
        </is>
      </c>
      <c r="B11" s="50">
        <f>IFERROR(AVERAGE($F$59:$F$266),"")</f>
        <v/>
      </c>
      <c r="C11" s="50">
        <f>IFERROR(AVERAGE($G$59:$G$266),"")</f>
        <v/>
      </c>
      <c r="D11" s="50" t="n">
        <v>208</v>
      </c>
    </row>
    <row r="12" ht="22" customHeight="1"/>
    <row r="13" ht="22" customHeight="1"/>
    <row r="14" ht="22" customHeight="1"/>
    <row r="15" ht="22" customHeight="1"/>
    <row r="16" ht="22" customHeight="1">
      <c r="A16" s="5" t="inlineStr">
        <is>
          <t>범위</t>
        </is>
      </c>
      <c r="B16" s="5" t="inlineStr">
        <is>
          <t>기업 수</t>
        </is>
      </c>
      <c r="C16" s="5" t="inlineStr">
        <is>
          <t>해석</t>
        </is>
      </c>
    </row>
    <row r="17" ht="22" customHeight="1">
      <c r="A17" s="48" t="inlineStr">
        <is>
          <t>TAM: 반도체 전체 비교군</t>
        </is>
      </c>
      <c r="B17" s="48" t="n">
        <v>208</v>
      </c>
      <c r="C17" s="48" t="inlineStr">
        <is>
          <t>현재 가치평가 에이전트가 비교 가능한 전체 반도체 기준군</t>
        </is>
      </c>
    </row>
    <row r="18" ht="22" customHeight="1">
      <c r="A18" s="49" t="inlineStr">
        <is>
          <t>SAM: 선택기업 세부군</t>
        </is>
      </c>
      <c r="B18" s="49">
        <f>IFERROR(COUNTIF($E$59:$E$266,$E$4),"")</f>
        <v/>
      </c>
      <c r="C18" s="49" t="inlineStr">
        <is>
          <t>동일 사업축 안에서 상대가치 비교가 더 직접적인 집단</t>
        </is>
      </c>
    </row>
    <row r="19" ht="22" customHeight="1">
      <c r="A19" s="51" t="inlineStr">
        <is>
          <t>SOM: 선택기업</t>
        </is>
      </c>
      <c r="B19" s="51" t="n">
        <v>1</v>
      </c>
      <c r="C19" s="51" t="inlineStr">
        <is>
          <t>현재 선택한 분석 대상 기업</t>
        </is>
      </c>
    </row>
    <row r="20" ht="22" customHeight="1"/>
    <row r="21" ht="22" customHeight="1"/>
    <row r="22" ht="22" customHeight="1"/>
    <row r="23" ht="22" customHeight="1"/>
    <row r="24" ht="22" customHeight="1">
      <c r="A24" s="15" t="inlineStr">
        <is>
          <t>5개 핵심기업 비교</t>
        </is>
      </c>
      <c r="B24" t="inlineStr"/>
      <c r="C24" t="inlineStr"/>
      <c r="D24" t="inlineStr"/>
      <c r="E24" t="inlineStr"/>
      <c r="F24" t="inlineStr"/>
    </row>
    <row r="25" ht="22" customHeight="1">
      <c r="A25" s="5" t="inlineStr">
        <is>
          <t>기업명</t>
        </is>
      </c>
      <c r="B25" s="5" t="inlineStr">
        <is>
          <t>세부군</t>
        </is>
      </c>
      <c r="C25" s="5" t="inlineStr">
        <is>
          <t>밸류에이션 점수</t>
        </is>
      </c>
      <c r="D25" s="5" t="inlineStr">
        <is>
          <t>신용위험 점수</t>
        </is>
      </c>
      <c r="E25" s="5" t="inlineStr">
        <is>
          <t>라벨</t>
        </is>
      </c>
      <c r="F25" s="5" t="inlineStr">
        <is>
          <t>P/S</t>
        </is>
      </c>
    </row>
    <row r="26" ht="22" customHeight="1">
      <c r="A26" s="15" t="inlineStr">
        <is>
          <t>네패스</t>
        </is>
      </c>
      <c r="B26" s="15" t="inlineStr">
        <is>
          <t>후공정/패키징/테스트</t>
        </is>
      </c>
      <c r="C26" s="15" t="n">
        <v>63.85</v>
      </c>
      <c r="D26" s="15" t="n">
        <v>28.57</v>
      </c>
      <c r="E26" s="15" t="inlineStr">
        <is>
          <t>가치 매력</t>
        </is>
      </c>
      <c r="F26" t="inlineStr"/>
    </row>
    <row r="27" ht="22" customHeight="1">
      <c r="A27" s="15" t="inlineStr">
        <is>
          <t>한솔케미칼</t>
        </is>
      </c>
      <c r="B27" s="15" t="inlineStr">
        <is>
          <t>소재</t>
        </is>
      </c>
      <c r="C27" s="15" t="n">
        <v>63.31</v>
      </c>
      <c r="D27" s="15" t="n">
        <v>0</v>
      </c>
      <c r="E27" s="15" t="inlineStr">
        <is>
          <t>가치 매력</t>
        </is>
      </c>
      <c r="F27" t="inlineStr"/>
    </row>
    <row r="28" ht="22" customHeight="1">
      <c r="A28" s="15" t="inlineStr">
        <is>
          <t>엘티씨</t>
        </is>
      </c>
      <c r="B28" s="15" t="inlineStr">
        <is>
          <t>소재</t>
        </is>
      </c>
      <c r="C28" s="15" t="n">
        <v>58.38</v>
      </c>
      <c r="D28" s="15" t="n">
        <v>0</v>
      </c>
      <c r="E28" s="15" t="inlineStr">
        <is>
          <t>중립</t>
        </is>
      </c>
      <c r="F28" t="inlineStr"/>
    </row>
    <row r="29" ht="22" customHeight="1">
      <c r="A29" s="15" t="inlineStr">
        <is>
          <t>한미반도체</t>
        </is>
      </c>
      <c r="B29" s="15" t="inlineStr">
        <is>
          <t>후공정/패키징/테스트</t>
        </is>
      </c>
      <c r="C29" s="15" t="n">
        <v>47.13</v>
      </c>
      <c r="D29" s="15" t="n">
        <v>0</v>
      </c>
      <c r="E29" s="15" t="inlineStr">
        <is>
          <t>중립</t>
        </is>
      </c>
      <c r="F29" t="inlineStr"/>
    </row>
    <row r="30" ht="22" customHeight="1">
      <c r="A30" s="15" t="inlineStr">
        <is>
          <t>덕산테코피아</t>
        </is>
      </c>
      <c r="B30" s="15" t="inlineStr">
        <is>
          <t>소재</t>
        </is>
      </c>
      <c r="C30" s="15" t="n">
        <v>25.1</v>
      </c>
      <c r="D30" s="15" t="n">
        <v>71.43000000000001</v>
      </c>
      <c r="E30" s="15" t="inlineStr">
        <is>
          <t>고평가 부담</t>
        </is>
      </c>
      <c r="F30" t="inlineStr"/>
    </row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>
      <c r="A57" s="3" t="inlineStr">
        <is>
          <t>선택/차트 원천 데이터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 ht="22" customHeight="1">
      <c r="A58" s="5" t="inlineStr">
        <is>
          <t>기업명</t>
        </is>
      </c>
      <c r="B58" s="5" t="inlineStr">
        <is>
          <t>기업코드</t>
        </is>
      </c>
      <c r="C58" s="5" t="inlineStr">
        <is>
          <t>종목코드</t>
        </is>
      </c>
      <c r="D58" s="5" t="inlineStr">
        <is>
          <t>시장</t>
        </is>
      </c>
      <c r="E58" s="5" t="inlineStr">
        <is>
          <t>세부군</t>
        </is>
      </c>
      <c r="F58" s="5" t="inlineStr">
        <is>
          <t>밸류에이션 점수</t>
        </is>
      </c>
      <c r="G58" s="5" t="inlineStr">
        <is>
          <t>신용위험 점수</t>
        </is>
      </c>
      <c r="H58" s="5" t="inlineStr">
        <is>
          <t>라벨</t>
        </is>
      </c>
      <c r="I58" s="5" t="inlineStr">
        <is>
          <t>신뢰도</t>
        </is>
      </c>
      <c r="J58" s="5" t="inlineStr">
        <is>
          <t>5개 핵심</t>
        </is>
      </c>
      <c r="K58" s="5" t="inlineStr">
        <is>
          <t>분석대상</t>
        </is>
      </c>
      <c r="L58" s="5" t="inlineStr">
        <is>
          <t>P/S</t>
        </is>
      </c>
    </row>
    <row r="59" ht="22" customHeight="1">
      <c r="A59" s="15" t="inlineStr">
        <is>
          <t>엔투텍</t>
        </is>
      </c>
      <c r="B59" t="inlineStr"/>
      <c r="C59" s="15" t="inlineStr">
        <is>
          <t>227950</t>
        </is>
      </c>
      <c r="D59" s="15" t="inlineStr">
        <is>
          <t>KOSDAQ</t>
        </is>
      </c>
      <c r="E59" s="15" t="inlineStr">
        <is>
          <t>장비</t>
        </is>
      </c>
      <c r="F59" s="15" t="n">
        <v>81.29000000000001</v>
      </c>
      <c r="G59" s="15" t="n">
        <v>21.43</v>
      </c>
      <c r="H59" s="15" t="inlineStr">
        <is>
          <t>가치 매력</t>
        </is>
      </c>
      <c r="I59" s="15" t="inlineStr">
        <is>
          <t>0.8347222629406851</t>
        </is>
      </c>
      <c r="J59" t="inlineStr"/>
      <c r="K59" t="inlineStr"/>
      <c r="L59" t="inlineStr"/>
    </row>
    <row r="60" ht="22" customHeight="1">
      <c r="A60" s="15" t="inlineStr">
        <is>
          <t>에스에이엠티</t>
        </is>
      </c>
      <c r="B60" t="inlineStr"/>
      <c r="C60" s="15" t="inlineStr">
        <is>
          <t>031330</t>
        </is>
      </c>
      <c r="D60" s="15" t="inlineStr">
        <is>
          <t>KOSDAQ</t>
        </is>
      </c>
      <c r="E60" s="15" t="inlineStr">
        <is>
          <t>팹리스/설계</t>
        </is>
      </c>
      <c r="F60" s="15" t="n">
        <v>78.38</v>
      </c>
      <c r="G60" s="15" t="n">
        <v>50</v>
      </c>
      <c r="H60" s="15" t="inlineStr">
        <is>
          <t>중립</t>
        </is>
      </c>
      <c r="I60" s="15" t="inlineStr">
        <is>
          <t>0.8575928985222669</t>
        </is>
      </c>
      <c r="J60" t="inlineStr"/>
      <c r="K60" t="inlineStr"/>
      <c r="L60" t="inlineStr"/>
    </row>
    <row r="61" ht="22" customHeight="1">
      <c r="A61" s="15" t="inlineStr">
        <is>
          <t>성우테크론</t>
        </is>
      </c>
      <c r="B61" t="inlineStr"/>
      <c r="C61" s="15" t="inlineStr">
        <is>
          <t>045300</t>
        </is>
      </c>
      <c r="D61" s="15" t="inlineStr">
        <is>
          <t>KOSDAQ</t>
        </is>
      </c>
      <c r="E61" s="15" t="inlineStr">
        <is>
          <t>후공정/패키징/테스트</t>
        </is>
      </c>
      <c r="F61" s="15" t="n">
        <v>77.64</v>
      </c>
      <c r="G61" s="15" t="n">
        <v>7.14</v>
      </c>
      <c r="H61" s="15" t="inlineStr">
        <is>
          <t>가치 매력</t>
        </is>
      </c>
      <c r="I61" s="15" t="inlineStr">
        <is>
          <t>0.9526864248076319</t>
        </is>
      </c>
      <c r="J61" t="inlineStr"/>
      <c r="K61" t="inlineStr"/>
      <c r="L61" t="inlineStr"/>
    </row>
    <row r="62" ht="22" customHeight="1">
      <c r="A62" s="15" t="inlineStr">
        <is>
          <t>미래산업</t>
        </is>
      </c>
      <c r="B62" t="inlineStr"/>
      <c r="C62" s="15" t="inlineStr">
        <is>
          <t>025560</t>
        </is>
      </c>
      <c r="D62" s="15" t="inlineStr">
        <is>
          <t>KOSPI</t>
        </is>
      </c>
      <c r="E62" s="15" t="inlineStr">
        <is>
          <t>후공정/패키징/테스트</t>
        </is>
      </c>
      <c r="F62" s="15" t="n">
        <v>77.48</v>
      </c>
      <c r="G62" s="15" t="n">
        <v>28.57</v>
      </c>
      <c r="H62" s="15" t="inlineStr">
        <is>
          <t>중립</t>
        </is>
      </c>
      <c r="I62" s="15" t="inlineStr">
        <is>
          <t>0.883291104654336</t>
        </is>
      </c>
      <c r="J62" t="inlineStr"/>
      <c r="K62" t="inlineStr"/>
      <c r="L62" t="inlineStr"/>
    </row>
    <row r="63" ht="22" customHeight="1">
      <c r="A63" s="15" t="inlineStr">
        <is>
          <t>미코</t>
        </is>
      </c>
      <c r="B63" t="inlineStr"/>
      <c r="C63" s="15" t="inlineStr">
        <is>
          <t>059090</t>
        </is>
      </c>
      <c r="D63" s="15" t="inlineStr">
        <is>
          <t>KOSDAQ</t>
        </is>
      </c>
      <c r="E63" s="15" t="inlineStr">
        <is>
          <t>IDM/제조/메모리</t>
        </is>
      </c>
      <c r="F63" s="15" t="n">
        <v>77.33</v>
      </c>
      <c r="G63" s="15" t="n">
        <v>21.43</v>
      </c>
      <c r="H63" s="15" t="inlineStr">
        <is>
          <t>중립</t>
        </is>
      </c>
      <c r="I63" s="15" t="inlineStr">
        <is>
          <t>0.9066669659525092</t>
        </is>
      </c>
      <c r="J63" t="inlineStr"/>
      <c r="K63" t="inlineStr"/>
      <c r="L63" t="inlineStr"/>
    </row>
    <row r="64" ht="22" customHeight="1">
      <c r="A64" s="15" t="inlineStr">
        <is>
          <t>링크제니시스</t>
        </is>
      </c>
      <c r="B64" t="inlineStr"/>
      <c r="C64" s="15" t="inlineStr">
        <is>
          <t>219420</t>
        </is>
      </c>
      <c r="D64" s="15" t="inlineStr">
        <is>
          <t>KOSDAQ</t>
        </is>
      </c>
      <c r="E64" s="15" t="inlineStr">
        <is>
          <t>후공정/패키징/테스트</t>
        </is>
      </c>
      <c r="F64" s="15" t="n">
        <v>75.23</v>
      </c>
      <c r="G64" s="15" t="n">
        <v>7.14</v>
      </c>
      <c r="H64" s="15" t="inlineStr">
        <is>
          <t>가치 매력</t>
        </is>
      </c>
      <c r="I64" s="15" t="inlineStr">
        <is>
          <t>0.8724992666433111</t>
        </is>
      </c>
      <c r="J64" t="inlineStr"/>
      <c r="K64" t="inlineStr"/>
      <c r="L64" t="inlineStr"/>
    </row>
    <row r="65" ht="22" customHeight="1">
      <c r="A65" s="15" t="inlineStr">
        <is>
          <t>엘디티</t>
        </is>
      </c>
      <c r="B65" t="inlineStr"/>
      <c r="C65" s="15" t="inlineStr">
        <is>
          <t>096870</t>
        </is>
      </c>
      <c r="D65" s="15" t="inlineStr">
        <is>
          <t>KOSDAQ</t>
        </is>
      </c>
      <c r="E65" s="15" t="inlineStr">
        <is>
          <t>IDM/제조/메모리</t>
        </is>
      </c>
      <c r="F65" s="15" t="n">
        <v>75.18000000000001</v>
      </c>
      <c r="G65" s="15" t="n">
        <v>7.14</v>
      </c>
      <c r="H65" s="15" t="inlineStr">
        <is>
          <t>가치 매력</t>
        </is>
      </c>
      <c r="I65" s="15" t="inlineStr">
        <is>
          <t>0.8817908899004964</t>
        </is>
      </c>
      <c r="J65" t="inlineStr"/>
      <c r="K65" t="inlineStr"/>
      <c r="L65" t="inlineStr"/>
    </row>
    <row r="66" ht="22" customHeight="1">
      <c r="A66" s="15" t="inlineStr">
        <is>
          <t>유니트론텍</t>
        </is>
      </c>
      <c r="B66" t="inlineStr"/>
      <c r="C66" s="15" t="inlineStr">
        <is>
          <t>142210</t>
        </is>
      </c>
      <c r="D66" s="15" t="inlineStr">
        <is>
          <t>KOSDAQ</t>
        </is>
      </c>
      <c r="E66" s="15" t="inlineStr">
        <is>
          <t>팹리스/설계</t>
        </is>
      </c>
      <c r="F66" s="15" t="n">
        <v>74.79000000000001</v>
      </c>
      <c r="G66" s="15" t="n">
        <v>35.71</v>
      </c>
      <c r="H66" s="15" t="inlineStr">
        <is>
          <t>중립</t>
        </is>
      </c>
      <c r="I66" s="15" t="inlineStr">
        <is>
          <t>0.8593164302034415</t>
        </is>
      </c>
      <c r="J66" t="inlineStr"/>
      <c r="K66" t="inlineStr"/>
      <c r="L66" t="inlineStr"/>
    </row>
    <row r="67" ht="22" customHeight="1">
      <c r="A67" s="15" t="inlineStr">
        <is>
          <t>메카로</t>
        </is>
      </c>
      <c r="B67" t="inlineStr"/>
      <c r="C67" s="15" t="inlineStr">
        <is>
          <t>241770</t>
        </is>
      </c>
      <c r="D67" s="15" t="inlineStr">
        <is>
          <t>KOSDAQ</t>
        </is>
      </c>
      <c r="E67" s="15" t="inlineStr">
        <is>
          <t>IDM/제조/메모리</t>
        </is>
      </c>
      <c r="F67" s="15" t="n">
        <v>74.77</v>
      </c>
      <c r="G67" s="15" t="n">
        <v>0</v>
      </c>
      <c r="H67" s="15" t="inlineStr">
        <is>
          <t>가치 매력</t>
        </is>
      </c>
      <c r="I67" s="15" t="inlineStr">
        <is>
          <t>0.9154158498128573</t>
        </is>
      </c>
      <c r="J67" t="inlineStr"/>
      <c r="K67" t="inlineStr"/>
      <c r="L67" t="inlineStr"/>
    </row>
    <row r="68" ht="22" customHeight="1">
      <c r="A68" s="15" t="inlineStr">
        <is>
          <t>월덱스</t>
        </is>
      </c>
      <c r="B68" t="inlineStr"/>
      <c r="C68" s="15" t="inlineStr">
        <is>
          <t>101160</t>
        </is>
      </c>
      <c r="D68" s="15" t="inlineStr">
        <is>
          <t>KOSDAQ</t>
        </is>
      </c>
      <c r="E68" s="15" t="inlineStr">
        <is>
          <t>소재</t>
        </is>
      </c>
      <c r="F68" s="15" t="n">
        <v>74.59</v>
      </c>
      <c r="G68" s="15" t="n">
        <v>0</v>
      </c>
      <c r="H68" s="15" t="inlineStr">
        <is>
          <t>가치 매력</t>
        </is>
      </c>
      <c r="I68" s="15" t="inlineStr">
        <is>
          <t>0.9476922450763601</t>
        </is>
      </c>
      <c r="J68" t="inlineStr"/>
      <c r="K68" t="inlineStr"/>
      <c r="L68" t="inlineStr"/>
    </row>
    <row r="69" ht="22" customHeight="1">
      <c r="A69" s="15" t="inlineStr">
        <is>
          <t>앤씨앤</t>
        </is>
      </c>
      <c r="B69" t="inlineStr"/>
      <c r="C69" s="15" t="inlineStr">
        <is>
          <t>092600</t>
        </is>
      </c>
      <c r="D69" s="15" t="inlineStr">
        <is>
          <t>KOSDAQ</t>
        </is>
      </c>
      <c r="E69" s="15" t="inlineStr">
        <is>
          <t>팹리스/설계</t>
        </is>
      </c>
      <c r="F69" s="15" t="n">
        <v>74.51000000000001</v>
      </c>
      <c r="G69" s="15" t="n">
        <v>50</v>
      </c>
      <c r="H69" s="15" t="inlineStr">
        <is>
          <t>중립</t>
        </is>
      </c>
      <c r="I69" s="15" t="inlineStr">
        <is>
          <t>0.8450252323777523</t>
        </is>
      </c>
      <c r="J69" t="inlineStr"/>
      <c r="K69" t="inlineStr"/>
      <c r="L69" t="inlineStr"/>
    </row>
    <row r="70" ht="22" customHeight="1">
      <c r="A70" s="15" t="inlineStr">
        <is>
          <t>퓨릿</t>
        </is>
      </c>
      <c r="B70" t="inlineStr"/>
      <c r="C70" s="15" t="inlineStr">
        <is>
          <t>445180</t>
        </is>
      </c>
      <c r="D70" s="15" t="inlineStr">
        <is>
          <t>KOSDAQ</t>
        </is>
      </c>
      <c r="E70" s="15" t="inlineStr">
        <is>
          <t>소재</t>
        </is>
      </c>
      <c r="F70" s="15" t="n">
        <v>74.48999999999999</v>
      </c>
      <c r="G70" s="15" t="n">
        <v>7.14</v>
      </c>
      <c r="H70" s="15" t="inlineStr">
        <is>
          <t>가치 매력</t>
        </is>
      </c>
      <c r="I70" s="15" t="inlineStr">
        <is>
          <t>0.8817607106455689</t>
        </is>
      </c>
      <c r="J70" t="inlineStr"/>
      <c r="K70" t="inlineStr"/>
      <c r="L70" t="inlineStr"/>
    </row>
    <row r="71" ht="22" customHeight="1">
      <c r="A71" s="15" t="inlineStr">
        <is>
          <t>마이크로컨텍솔</t>
        </is>
      </c>
      <c r="B71" t="inlineStr"/>
      <c r="C71" s="15" t="inlineStr">
        <is>
          <t>098120</t>
        </is>
      </c>
      <c r="D71" s="15" t="inlineStr">
        <is>
          <t>KOSDAQ</t>
        </is>
      </c>
      <c r="E71" s="15" t="inlineStr">
        <is>
          <t>팹리스/설계</t>
        </is>
      </c>
      <c r="F71" s="15" t="n">
        <v>73.84</v>
      </c>
      <c r="G71" s="15" t="n">
        <v>14.29</v>
      </c>
      <c r="H71" s="15" t="inlineStr">
        <is>
          <t>가치 매력</t>
        </is>
      </c>
      <c r="I71" s="15" t="inlineStr">
        <is>
          <t>0.8262966149459129</t>
        </is>
      </c>
      <c r="J71" t="inlineStr"/>
      <c r="K71" t="inlineStr"/>
      <c r="L71" t="inlineStr"/>
    </row>
    <row r="72" ht="22" customHeight="1">
      <c r="A72" s="15" t="inlineStr">
        <is>
          <t>프로텍</t>
        </is>
      </c>
      <c r="B72" t="inlineStr"/>
      <c r="C72" s="15" t="inlineStr">
        <is>
          <t>053610</t>
        </is>
      </c>
      <c r="D72" s="15" t="inlineStr">
        <is>
          <t>KOSDAQ</t>
        </is>
      </c>
      <c r="E72" s="15" t="inlineStr">
        <is>
          <t>후공정/패키징/테스트</t>
        </is>
      </c>
      <c r="F72" s="15" t="n">
        <v>73.42</v>
      </c>
      <c r="G72" s="15" t="n">
        <v>7.14</v>
      </c>
      <c r="H72" s="15" t="inlineStr">
        <is>
          <t>중립</t>
        </is>
      </c>
      <c r="I72" s="15" t="inlineStr">
        <is>
          <t>0.8971257561900263</t>
        </is>
      </c>
      <c r="J72" t="inlineStr"/>
      <c r="K72" t="inlineStr"/>
      <c r="L72" t="inlineStr"/>
    </row>
    <row r="73" ht="22" customHeight="1">
      <c r="A73" s="15" t="inlineStr">
        <is>
          <t>아이앤씨</t>
        </is>
      </c>
      <c r="B73" t="inlineStr"/>
      <c r="C73" s="15" t="inlineStr">
        <is>
          <t>052860</t>
        </is>
      </c>
      <c r="D73" s="15" t="inlineStr">
        <is>
          <t>KOSDAQ</t>
        </is>
      </c>
      <c r="E73" s="15" t="inlineStr">
        <is>
          <t>팹리스/설계</t>
        </is>
      </c>
      <c r="F73" s="15" t="n">
        <v>73.25</v>
      </c>
      <c r="G73" s="15" t="n">
        <v>0</v>
      </c>
      <c r="H73" s="15" t="inlineStr">
        <is>
          <t>가치 매력</t>
        </is>
      </c>
      <c r="I73" s="15" t="inlineStr">
        <is>
          <t>0.9267130449922303</t>
        </is>
      </c>
      <c r="J73" t="inlineStr"/>
      <c r="K73" t="inlineStr"/>
      <c r="L73" t="inlineStr"/>
    </row>
    <row r="74" ht="22" customHeight="1">
      <c r="A74" s="15" t="inlineStr">
        <is>
          <t>비아트론</t>
        </is>
      </c>
      <c r="B74" t="inlineStr"/>
      <c r="C74" s="15" t="inlineStr">
        <is>
          <t>141000</t>
        </is>
      </c>
      <c r="D74" s="15" t="inlineStr">
        <is>
          <t>KOSDAQ</t>
        </is>
      </c>
      <c r="E74" s="15" t="inlineStr">
        <is>
          <t>장비</t>
        </is>
      </c>
      <c r="F74" s="15" t="n">
        <v>71.05</v>
      </c>
      <c r="G74" s="15" t="n">
        <v>0</v>
      </c>
      <c r="H74" s="15" t="inlineStr">
        <is>
          <t>가치 매력</t>
        </is>
      </c>
      <c r="I74" s="15" t="inlineStr">
        <is>
          <t>0.934708213344448</t>
        </is>
      </c>
      <c r="J74" t="inlineStr"/>
      <c r="K74" t="inlineStr"/>
      <c r="L74" t="inlineStr"/>
    </row>
    <row r="75" ht="22" customHeight="1">
      <c r="A75" s="15" t="inlineStr">
        <is>
          <t>인터플렉스</t>
        </is>
      </c>
      <c r="B75" t="inlineStr"/>
      <c r="C75" s="15" t="inlineStr">
        <is>
          <t>051370</t>
        </is>
      </c>
      <c r="D75" s="15" t="inlineStr">
        <is>
          <t>KOSDAQ</t>
        </is>
      </c>
      <c r="E75" s="15" t="inlineStr">
        <is>
          <t>부품/기판</t>
        </is>
      </c>
      <c r="F75" s="15" t="n">
        <v>70.90000000000001</v>
      </c>
      <c r="G75" s="15" t="n">
        <v>7.14</v>
      </c>
      <c r="H75" s="15" t="inlineStr">
        <is>
          <t>중립</t>
        </is>
      </c>
      <c r="I75" s="15" t="inlineStr">
        <is>
          <t>0.904555257888918</t>
        </is>
      </c>
      <c r="J75" t="inlineStr"/>
      <c r="K75" t="inlineStr"/>
      <c r="L75" t="inlineStr"/>
    </row>
    <row r="76" ht="22" customHeight="1">
      <c r="A76" s="15" t="inlineStr">
        <is>
          <t>삼성전자</t>
        </is>
      </c>
      <c r="B76" t="inlineStr"/>
      <c r="C76" s="15" t="inlineStr">
        <is>
          <t>005930</t>
        </is>
      </c>
      <c r="D76" s="15" t="inlineStr">
        <is>
          <t>KOSPI</t>
        </is>
      </c>
      <c r="E76" s="15" t="inlineStr">
        <is>
          <t>IDM/제조/메모리</t>
        </is>
      </c>
      <c r="F76" s="15" t="n">
        <v>70.78</v>
      </c>
      <c r="G76" s="15" t="n">
        <v>0</v>
      </c>
      <c r="H76" s="15" t="inlineStr">
        <is>
          <t>가치 매력</t>
        </is>
      </c>
      <c r="I76" s="15" t="inlineStr">
        <is>
          <t>0.9371541027950523</t>
        </is>
      </c>
      <c r="J76" t="inlineStr"/>
      <c r="K76" t="inlineStr"/>
      <c r="L76" t="inlineStr"/>
    </row>
    <row r="77" ht="22" customHeight="1">
      <c r="A77" s="15" t="inlineStr">
        <is>
          <t>케이씨</t>
        </is>
      </c>
      <c r="B77" t="inlineStr"/>
      <c r="C77" s="15" t="inlineStr">
        <is>
          <t>029460</t>
        </is>
      </c>
      <c r="D77" s="15" t="inlineStr">
        <is>
          <t>KOSPI</t>
        </is>
      </c>
      <c r="E77" s="15" t="inlineStr">
        <is>
          <t>장비</t>
        </is>
      </c>
      <c r="F77" s="15" t="n">
        <v>70.65000000000001</v>
      </c>
      <c r="G77" s="15" t="n">
        <v>0</v>
      </c>
      <c r="H77" s="15" t="inlineStr">
        <is>
          <t>가치 매력</t>
        </is>
      </c>
      <c r="I77" s="15" t="inlineStr">
        <is>
          <t>0.9151708177015135</t>
        </is>
      </c>
      <c r="J77" t="inlineStr"/>
      <c r="K77" t="inlineStr"/>
      <c r="L77" t="inlineStr"/>
    </row>
    <row r="78" ht="22" customHeight="1">
      <c r="A78" s="15" t="inlineStr">
        <is>
          <t>이엔에프테크놀로지</t>
        </is>
      </c>
      <c r="B78" t="inlineStr"/>
      <c r="C78" s="15" t="inlineStr">
        <is>
          <t>102710</t>
        </is>
      </c>
      <c r="D78" s="15" t="inlineStr">
        <is>
          <t>KOSDAQ</t>
        </is>
      </c>
      <c r="E78" s="15" t="inlineStr">
        <is>
          <t>소재</t>
        </is>
      </c>
      <c r="F78" s="15" t="n">
        <v>70.62</v>
      </c>
      <c r="G78" s="15" t="n">
        <v>0</v>
      </c>
      <c r="H78" s="15" t="inlineStr">
        <is>
          <t>가치 매력</t>
        </is>
      </c>
      <c r="I78" s="15" t="inlineStr">
        <is>
          <t>0.9371627732042065</t>
        </is>
      </c>
      <c r="J78" t="inlineStr"/>
      <c r="K78" t="inlineStr"/>
      <c r="L78" t="inlineStr"/>
    </row>
    <row r="79" ht="22" customHeight="1">
      <c r="A79" s="15" t="inlineStr">
        <is>
          <t>매커스</t>
        </is>
      </c>
      <c r="B79" t="inlineStr"/>
      <c r="C79" s="15" t="inlineStr">
        <is>
          <t>093520</t>
        </is>
      </c>
      <c r="D79" s="15" t="inlineStr">
        <is>
          <t>KOSDAQ</t>
        </is>
      </c>
      <c r="E79" s="15" t="inlineStr">
        <is>
          <t>팹리스/설계</t>
        </is>
      </c>
      <c r="F79" s="15" t="n">
        <v>70.56999999999999</v>
      </c>
      <c r="G79" s="15" t="n">
        <v>0</v>
      </c>
      <c r="H79" s="15" t="inlineStr">
        <is>
          <t>가치 매력</t>
        </is>
      </c>
      <c r="I79" s="15" t="inlineStr">
        <is>
          <t>0.9375173489226767</t>
        </is>
      </c>
      <c r="J79" t="inlineStr"/>
      <c r="K79" t="inlineStr"/>
      <c r="L79" t="inlineStr"/>
    </row>
    <row r="80" ht="22" customHeight="1">
      <c r="A80" s="15" t="inlineStr">
        <is>
          <t>LX세미콘</t>
        </is>
      </c>
      <c r="B80" t="inlineStr"/>
      <c r="C80" s="15" t="inlineStr">
        <is>
          <t>108320</t>
        </is>
      </c>
      <c r="D80" s="15" t="inlineStr">
        <is>
          <t>KOSPI</t>
        </is>
      </c>
      <c r="E80" s="15" t="inlineStr">
        <is>
          <t>팹리스/설계</t>
        </is>
      </c>
      <c r="F80" s="15" t="n">
        <v>69.54000000000001</v>
      </c>
      <c r="G80" s="15" t="n">
        <v>0</v>
      </c>
      <c r="H80" s="15" t="inlineStr">
        <is>
          <t>가치 매력</t>
        </is>
      </c>
      <c r="I80" s="15" t="inlineStr">
        <is>
          <t>0.951012131492064</t>
        </is>
      </c>
      <c r="J80" t="inlineStr"/>
      <c r="K80" t="inlineStr"/>
      <c r="L80" t="inlineStr"/>
    </row>
    <row r="81" ht="22" customHeight="1">
      <c r="A81" s="15" t="inlineStr">
        <is>
          <t>SK하이닉스</t>
        </is>
      </c>
      <c r="B81" t="inlineStr"/>
      <c r="C81" s="15" t="inlineStr">
        <is>
          <t>000660</t>
        </is>
      </c>
      <c r="D81" s="15" t="inlineStr">
        <is>
          <t>KOSPI</t>
        </is>
      </c>
      <c r="E81" s="15" t="inlineStr">
        <is>
          <t>IDM/제조/메모리</t>
        </is>
      </c>
      <c r="F81" s="15" t="n">
        <v>69.33</v>
      </c>
      <c r="G81" s="15" t="n">
        <v>0</v>
      </c>
      <c r="H81" s="15" t="inlineStr">
        <is>
          <t>가치 매력</t>
        </is>
      </c>
      <c r="I81" s="15" t="inlineStr">
        <is>
          <t>0.8582250965188642</t>
        </is>
      </c>
      <c r="J81" t="inlineStr"/>
      <c r="K81" t="inlineStr"/>
      <c r="L81" t="inlineStr"/>
    </row>
    <row r="82" ht="22" customHeight="1">
      <c r="A82" s="15" t="inlineStr">
        <is>
          <t>어보브반도체</t>
        </is>
      </c>
      <c r="B82" t="inlineStr"/>
      <c r="C82" s="15" t="inlineStr">
        <is>
          <t>102120</t>
        </is>
      </c>
      <c r="D82" s="15" t="inlineStr">
        <is>
          <t>KOSDAQ</t>
        </is>
      </c>
      <c r="E82" s="15" t="inlineStr">
        <is>
          <t>팹리스/설계</t>
        </is>
      </c>
      <c r="F82" s="15" t="n">
        <v>69.33</v>
      </c>
      <c r="G82" s="15" t="n">
        <v>7.14</v>
      </c>
      <c r="H82" s="15" t="inlineStr">
        <is>
          <t>중립</t>
        </is>
      </c>
      <c r="I82" s="15" t="inlineStr">
        <is>
          <t>0.9028406871788379</t>
        </is>
      </c>
      <c r="J82" t="inlineStr"/>
      <c r="K82" t="inlineStr"/>
      <c r="L82" t="inlineStr"/>
    </row>
    <row r="83" ht="22" customHeight="1">
      <c r="A83" s="15" t="inlineStr">
        <is>
          <t>더코디</t>
        </is>
      </c>
      <c r="B83" t="inlineStr"/>
      <c r="C83" s="15" t="inlineStr">
        <is>
          <t>224060</t>
        </is>
      </c>
      <c r="D83" s="15" t="inlineStr">
        <is>
          <t>KOSDAQ</t>
        </is>
      </c>
      <c r="E83" s="15" t="inlineStr">
        <is>
          <t>장비</t>
        </is>
      </c>
      <c r="F83" s="15" t="n">
        <v>69.09</v>
      </c>
      <c r="G83" s="15" t="n">
        <v>85.70999999999999</v>
      </c>
      <c r="H83" s="15" t="inlineStr">
        <is>
          <t>중립</t>
        </is>
      </c>
      <c r="I83" s="15" t="inlineStr">
        <is>
          <t>0.6613330626239345</t>
        </is>
      </c>
      <c r="J83" t="inlineStr"/>
      <c r="K83" t="inlineStr"/>
      <c r="L83" t="inlineStr"/>
    </row>
    <row r="84" ht="22" customHeight="1">
      <c r="A84" s="15" t="inlineStr">
        <is>
          <t>프로이천</t>
        </is>
      </c>
      <c r="B84" t="inlineStr"/>
      <c r="C84" s="15" t="inlineStr">
        <is>
          <t>321260</t>
        </is>
      </c>
      <c r="D84" s="15" t="inlineStr">
        <is>
          <t>KOSDAQ</t>
        </is>
      </c>
      <c r="E84" s="15" t="inlineStr">
        <is>
          <t>후공정/패키징/테스트</t>
        </is>
      </c>
      <c r="F84" s="15" t="n">
        <v>69.05</v>
      </c>
      <c r="G84" s="15" t="n">
        <v>14.29</v>
      </c>
      <c r="H84" s="15" t="inlineStr">
        <is>
          <t>가치 매력</t>
        </is>
      </c>
      <c r="I84" s="15" t="inlineStr">
        <is>
          <t>0.9481469936627798</t>
        </is>
      </c>
      <c r="J84" t="inlineStr"/>
      <c r="K84" t="inlineStr"/>
      <c r="L84" t="inlineStr"/>
    </row>
    <row r="85" ht="22" customHeight="1">
      <c r="A85" s="15" t="inlineStr">
        <is>
          <t>케이엔제이</t>
        </is>
      </c>
      <c r="B85" t="inlineStr"/>
      <c r="C85" s="15" t="inlineStr">
        <is>
          <t>272110</t>
        </is>
      </c>
      <c r="D85" s="15" t="inlineStr">
        <is>
          <t>KOSDAQ</t>
        </is>
      </c>
      <c r="E85" s="15" t="inlineStr">
        <is>
          <t>IDM/제조/메모리</t>
        </is>
      </c>
      <c r="F85" s="15" t="n">
        <v>69</v>
      </c>
      <c r="G85" s="15" t="n">
        <v>35.71</v>
      </c>
      <c r="H85" s="15" t="inlineStr">
        <is>
          <t>중립</t>
        </is>
      </c>
      <c r="I85" s="15" t="inlineStr">
        <is>
          <t>0.8941431334693103</t>
        </is>
      </c>
      <c r="J85" t="inlineStr"/>
      <c r="K85" t="inlineStr"/>
      <c r="L85" t="inlineStr"/>
    </row>
    <row r="86" ht="22" customHeight="1">
      <c r="A86" s="15" t="inlineStr">
        <is>
          <t>KPX케미칼</t>
        </is>
      </c>
      <c r="B86" t="inlineStr"/>
      <c r="C86" s="15" t="inlineStr">
        <is>
          <t>025000</t>
        </is>
      </c>
      <c r="D86" s="15" t="inlineStr">
        <is>
          <t>KOSPI</t>
        </is>
      </c>
      <c r="E86" s="15" t="inlineStr">
        <is>
          <t>장비</t>
        </is>
      </c>
      <c r="F86" s="15" t="n">
        <v>68.76000000000001</v>
      </c>
      <c r="G86" s="15" t="n">
        <v>0</v>
      </c>
      <c r="H86" s="15" t="inlineStr">
        <is>
          <t>가치 매력</t>
        </is>
      </c>
      <c r="I86" s="15" t="inlineStr">
        <is>
          <t>0.9091955435785402</t>
        </is>
      </c>
      <c r="J86" t="inlineStr"/>
      <c r="K86" t="inlineStr"/>
      <c r="L86" t="inlineStr"/>
    </row>
    <row r="87" ht="22" customHeight="1">
      <c r="A87" s="15" t="inlineStr">
        <is>
          <t>성도이엔지</t>
        </is>
      </c>
      <c r="B87" t="inlineStr"/>
      <c r="C87" s="15" t="inlineStr">
        <is>
          <t>037350</t>
        </is>
      </c>
      <c r="D87" s="15" t="inlineStr">
        <is>
          <t>KOSDAQ</t>
        </is>
      </c>
      <c r="E87" s="15" t="inlineStr">
        <is>
          <t>장비</t>
        </is>
      </c>
      <c r="F87" s="15" t="n">
        <v>68.75</v>
      </c>
      <c r="G87" s="15" t="n">
        <v>0</v>
      </c>
      <c r="H87" s="15" t="inlineStr">
        <is>
          <t>가치 매력</t>
        </is>
      </c>
      <c r="I87" s="15" t="inlineStr">
        <is>
          <t>0.9250659167833418</t>
        </is>
      </c>
      <c r="J87" t="inlineStr"/>
      <c r="K87" t="inlineStr"/>
      <c r="L87" t="inlineStr"/>
    </row>
    <row r="88" ht="22" customHeight="1">
      <c r="A88" s="15" t="inlineStr">
        <is>
          <t>한양디지텍</t>
        </is>
      </c>
      <c r="B88" t="inlineStr"/>
      <c r="C88" s="15" t="inlineStr">
        <is>
          <t>078350</t>
        </is>
      </c>
      <c r="D88" s="15" t="inlineStr">
        <is>
          <t>KOSDAQ</t>
        </is>
      </c>
      <c r="E88" s="15" t="inlineStr">
        <is>
          <t>IDM/제조/메모리</t>
        </is>
      </c>
      <c r="F88" s="15" t="n">
        <v>68.05</v>
      </c>
      <c r="G88" s="15" t="n">
        <v>7.14</v>
      </c>
      <c r="H88" s="15" t="inlineStr">
        <is>
          <t>가치 매력</t>
        </is>
      </c>
      <c r="I88" s="15" t="inlineStr">
        <is>
          <t>0.8705426081647281</t>
        </is>
      </c>
      <c r="J88" t="inlineStr"/>
      <c r="K88" t="inlineStr"/>
      <c r="L88" t="inlineStr"/>
    </row>
    <row r="89" ht="22" customHeight="1">
      <c r="A89" s="15" t="inlineStr">
        <is>
          <t>유니퀘스트</t>
        </is>
      </c>
      <c r="B89" t="inlineStr"/>
      <c r="C89" s="15" t="inlineStr">
        <is>
          <t>077500</t>
        </is>
      </c>
      <c r="D89" s="15" t="inlineStr">
        <is>
          <t>KOSPI</t>
        </is>
      </c>
      <c r="E89" s="15" t="inlineStr">
        <is>
          <t>장비</t>
        </is>
      </c>
      <c r="F89" s="15" t="n">
        <v>67.84</v>
      </c>
      <c r="G89" s="15" t="n">
        <v>0</v>
      </c>
      <c r="H89" s="15" t="inlineStr">
        <is>
          <t>가치 매력</t>
        </is>
      </c>
      <c r="I89" s="15" t="inlineStr">
        <is>
          <t>0.8881603628406226</t>
        </is>
      </c>
      <c r="J89" t="inlineStr"/>
      <c r="K89" t="inlineStr"/>
      <c r="L89" t="inlineStr"/>
    </row>
    <row r="90" ht="22" customHeight="1">
      <c r="A90" s="15" t="inlineStr">
        <is>
          <t>원익머트리얼즈</t>
        </is>
      </c>
      <c r="B90" t="inlineStr"/>
      <c r="C90" s="15" t="inlineStr">
        <is>
          <t>104830</t>
        </is>
      </c>
      <c r="D90" s="15" t="inlineStr">
        <is>
          <t>KOSDAQ</t>
        </is>
      </c>
      <c r="E90" s="15" t="inlineStr">
        <is>
          <t>소재</t>
        </is>
      </c>
      <c r="F90" s="15" t="n">
        <v>66.81999999999999</v>
      </c>
      <c r="G90" s="15" t="n">
        <v>7.14</v>
      </c>
      <c r="H90" s="15" t="inlineStr">
        <is>
          <t>중립</t>
        </is>
      </c>
      <c r="I90" s="15" t="inlineStr">
        <is>
          <t>0.9160049727267536</t>
        </is>
      </c>
      <c r="J90" t="inlineStr"/>
      <c r="K90" t="inlineStr"/>
      <c r="L90" t="inlineStr"/>
    </row>
    <row r="91" ht="22" customHeight="1">
      <c r="A91" s="15" t="inlineStr">
        <is>
          <t>솔브레인홀딩스</t>
        </is>
      </c>
      <c r="B91" t="inlineStr"/>
      <c r="C91" s="15" t="inlineStr">
        <is>
          <t>036830</t>
        </is>
      </c>
      <c r="D91" s="15" t="inlineStr">
        <is>
          <t>KOSDAQ GLOBAL</t>
        </is>
      </c>
      <c r="E91" s="15" t="inlineStr">
        <is>
          <t>소재</t>
        </is>
      </c>
      <c r="F91" s="15" t="n">
        <v>66.67</v>
      </c>
      <c r="G91" s="15" t="n">
        <v>0</v>
      </c>
      <c r="H91" s="15" t="inlineStr">
        <is>
          <t>가치 매력</t>
        </is>
      </c>
      <c r="I91" s="15" t="inlineStr">
        <is>
          <t>0.5229115612060397</t>
        </is>
      </c>
      <c r="J91" t="inlineStr"/>
      <c r="K91" t="inlineStr"/>
      <c r="L91" t="inlineStr"/>
    </row>
    <row r="92" ht="22" customHeight="1">
      <c r="A92" s="15" t="inlineStr">
        <is>
          <t>DB하이텍</t>
        </is>
      </c>
      <c r="B92" t="inlineStr"/>
      <c r="C92" s="15" t="inlineStr">
        <is>
          <t>000990</t>
        </is>
      </c>
      <c r="D92" s="15" t="inlineStr">
        <is>
          <t>KOSPI</t>
        </is>
      </c>
      <c r="E92" s="15" t="inlineStr">
        <is>
          <t>IDM/제조/메모리</t>
        </is>
      </c>
      <c r="F92" s="15" t="n">
        <v>66.53</v>
      </c>
      <c r="G92" s="15" t="n">
        <v>0</v>
      </c>
      <c r="H92" s="15" t="inlineStr">
        <is>
          <t>가치 매력</t>
        </is>
      </c>
      <c r="I92" s="15" t="inlineStr">
        <is>
          <t>0.9104444876024207</t>
        </is>
      </c>
      <c r="J92" t="inlineStr"/>
      <c r="K92" t="inlineStr"/>
      <c r="L92" t="inlineStr"/>
    </row>
    <row r="93" ht="22" customHeight="1">
      <c r="A93" s="15" t="inlineStr">
        <is>
          <t>자화전자</t>
        </is>
      </c>
      <c r="B93" t="inlineStr"/>
      <c r="C93" s="15" t="inlineStr">
        <is>
          <t>033240</t>
        </is>
      </c>
      <c r="D93" s="15" t="inlineStr">
        <is>
          <t>KOSPI</t>
        </is>
      </c>
      <c r="E93" s="15" t="inlineStr">
        <is>
          <t>부품/기판</t>
        </is>
      </c>
      <c r="F93" s="15" t="n">
        <v>66.48</v>
      </c>
      <c r="G93" s="15" t="n">
        <v>7.14</v>
      </c>
      <c r="H93" s="15" t="inlineStr">
        <is>
          <t>중립</t>
        </is>
      </c>
      <c r="I93" s="15" t="inlineStr">
        <is>
          <t>0.9380223994723259</t>
        </is>
      </c>
      <c r="J93" t="inlineStr"/>
      <c r="K93" t="inlineStr"/>
      <c r="L93" t="inlineStr"/>
    </row>
    <row r="94" ht="22" customHeight="1">
      <c r="A94" s="15" t="inlineStr">
        <is>
          <t>한솔아이원스</t>
        </is>
      </c>
      <c r="B94" t="inlineStr"/>
      <c r="C94" s="15" t="inlineStr">
        <is>
          <t>114810</t>
        </is>
      </c>
      <c r="D94" s="15" t="inlineStr">
        <is>
          <t>KOSDAQ</t>
        </is>
      </c>
      <c r="E94" s="15" t="inlineStr">
        <is>
          <t>장비</t>
        </is>
      </c>
      <c r="F94" s="15" t="n">
        <v>66.48</v>
      </c>
      <c r="G94" s="15" t="n">
        <v>14.29</v>
      </c>
      <c r="H94" s="15" t="inlineStr">
        <is>
          <t>가치 매력</t>
        </is>
      </c>
      <c r="I94" s="15" t="inlineStr">
        <is>
          <t>0.9031428820161691</t>
        </is>
      </c>
      <c r="J94" t="inlineStr"/>
      <c r="K94" t="inlineStr"/>
      <c r="L94" t="inlineStr"/>
    </row>
    <row r="95" ht="22" customHeight="1">
      <c r="A95" s="15" t="inlineStr">
        <is>
          <t>샘씨엔에스</t>
        </is>
      </c>
      <c r="B95" t="inlineStr"/>
      <c r="C95" s="15" t="inlineStr">
        <is>
          <t>252990</t>
        </is>
      </c>
      <c r="D95" s="15" t="inlineStr">
        <is>
          <t>KOSDAQ</t>
        </is>
      </c>
      <c r="E95" s="15" t="inlineStr">
        <is>
          <t>후공정/패키징/테스트</t>
        </is>
      </c>
      <c r="F95" s="15" t="n">
        <v>64.92</v>
      </c>
      <c r="G95" s="15" t="n">
        <v>14.29</v>
      </c>
      <c r="H95" s="15" t="inlineStr">
        <is>
          <t>가치 매력</t>
        </is>
      </c>
      <c r="I95" s="15" t="inlineStr">
        <is>
          <t>0.5521991152548656</t>
        </is>
      </c>
      <c r="J95" t="inlineStr"/>
      <c r="K95" t="inlineStr"/>
      <c r="L95" t="inlineStr"/>
    </row>
    <row r="96" ht="22" customHeight="1">
      <c r="A96" s="15" t="inlineStr">
        <is>
          <t>GST</t>
        </is>
      </c>
      <c r="B96" t="inlineStr"/>
      <c r="C96" s="15" t="inlineStr">
        <is>
          <t>083450</t>
        </is>
      </c>
      <c r="D96" s="15" t="inlineStr">
        <is>
          <t>KOSDAQ</t>
        </is>
      </c>
      <c r="E96" s="15" t="inlineStr">
        <is>
          <t>장비</t>
        </is>
      </c>
      <c r="F96" s="15" t="n">
        <v>64.75</v>
      </c>
      <c r="G96" s="15" t="n">
        <v>0</v>
      </c>
      <c r="H96" s="15" t="inlineStr">
        <is>
          <t>가치 매력</t>
        </is>
      </c>
      <c r="I96" s="15" t="inlineStr">
        <is>
          <t>0.900491542853433</t>
        </is>
      </c>
      <c r="J96" t="inlineStr"/>
      <c r="K96" t="inlineStr"/>
      <c r="L96" t="inlineStr"/>
    </row>
    <row r="97" ht="22" customHeight="1">
      <c r="A97" s="15" t="inlineStr">
        <is>
          <t>하나마이크론</t>
        </is>
      </c>
      <c r="B97" t="inlineStr"/>
      <c r="C97" s="15" t="inlineStr">
        <is>
          <t>067310</t>
        </is>
      </c>
      <c r="D97" s="15" t="inlineStr">
        <is>
          <t>KOSDAQ</t>
        </is>
      </c>
      <c r="E97" s="15" t="inlineStr">
        <is>
          <t>후공정/패키징/테스트</t>
        </is>
      </c>
      <c r="F97" s="15" t="n">
        <v>64.06</v>
      </c>
      <c r="G97" s="15" t="n">
        <v>28.57</v>
      </c>
      <c r="H97" s="15" t="inlineStr">
        <is>
          <t>가치 매력</t>
        </is>
      </c>
      <c r="I97" s="15" t="inlineStr">
        <is>
          <t>0.8727001075083287</t>
        </is>
      </c>
      <c r="J97" t="inlineStr"/>
      <c r="K97" t="inlineStr"/>
      <c r="L97" t="inlineStr"/>
    </row>
    <row r="98" ht="22" customHeight="1">
      <c r="A98" s="15" t="inlineStr">
        <is>
          <t>티이엠씨씨엔에스</t>
        </is>
      </c>
      <c r="B98" t="inlineStr"/>
      <c r="C98" s="15" t="inlineStr">
        <is>
          <t>241790</t>
        </is>
      </c>
      <c r="D98" s="15" t="inlineStr">
        <is>
          <t>KOSDAQ</t>
        </is>
      </c>
      <c r="E98" s="15" t="inlineStr">
        <is>
          <t>장비</t>
        </is>
      </c>
      <c r="F98" s="15" t="n">
        <v>63.93</v>
      </c>
      <c r="G98" s="15" t="n">
        <v>7.14</v>
      </c>
      <c r="H98" s="15" t="inlineStr">
        <is>
          <t>가치 매력</t>
        </is>
      </c>
      <c r="I98" s="15" t="inlineStr">
        <is>
          <t>0.8915695356337118</t>
        </is>
      </c>
      <c r="J98" t="inlineStr"/>
      <c r="K98" t="inlineStr"/>
      <c r="L98" t="inlineStr"/>
    </row>
    <row r="99" ht="22" customHeight="1">
      <c r="A99" s="15" t="inlineStr">
        <is>
          <t>네패스</t>
        </is>
      </c>
      <c r="B99" s="15" t="inlineStr">
        <is>
          <t>nepes</t>
        </is>
      </c>
      <c r="C99" s="15" t="inlineStr">
        <is>
          <t>033640</t>
        </is>
      </c>
      <c r="D99" s="15" t="inlineStr">
        <is>
          <t>KOSDAQ</t>
        </is>
      </c>
      <c r="E99" s="15" t="inlineStr">
        <is>
          <t>후공정/패키징/테스트</t>
        </is>
      </c>
      <c r="F99" s="15" t="n">
        <v>63.85</v>
      </c>
      <c r="G99" s="15" t="n">
        <v>28.57</v>
      </c>
      <c r="H99" s="15" t="inlineStr">
        <is>
          <t>가치 매력</t>
        </is>
      </c>
      <c r="I99" s="15" t="inlineStr">
        <is>
          <t>0.8763685947958789</t>
        </is>
      </c>
      <c r="J99" s="15" t="inlineStr">
        <is>
          <t>예</t>
        </is>
      </c>
      <c r="K99" t="inlineStr"/>
      <c r="L99" t="inlineStr"/>
    </row>
    <row r="100" ht="22" customHeight="1">
      <c r="A100" s="15" t="inlineStr">
        <is>
          <t>KX하이텍</t>
        </is>
      </c>
      <c r="B100" t="inlineStr"/>
      <c r="C100" s="15" t="inlineStr">
        <is>
          <t>052900</t>
        </is>
      </c>
      <c r="D100" s="15" t="inlineStr">
        <is>
          <t>KOSDAQ</t>
        </is>
      </c>
      <c r="E100" s="15" t="inlineStr">
        <is>
          <t>후공정/패키징/테스트</t>
        </is>
      </c>
      <c r="F100" s="15" t="n">
        <v>63.61</v>
      </c>
      <c r="G100" s="15" t="n">
        <v>7.14</v>
      </c>
      <c r="H100" s="15" t="inlineStr">
        <is>
          <t>가치 매력</t>
        </is>
      </c>
      <c r="I100" s="15" t="inlineStr">
        <is>
          <t>0.7896879678479897</t>
        </is>
      </c>
      <c r="J100" t="inlineStr"/>
      <c r="K100" t="inlineStr"/>
      <c r="L100" t="inlineStr"/>
    </row>
    <row r="101" ht="22" customHeight="1">
      <c r="A101" s="15" t="inlineStr">
        <is>
          <t>코미코</t>
        </is>
      </c>
      <c r="B101" t="inlineStr"/>
      <c r="C101" s="15" t="inlineStr">
        <is>
          <t>183300</t>
        </is>
      </c>
      <c r="D101" s="15" t="inlineStr">
        <is>
          <t>KOSDAQ GLOBAL</t>
        </is>
      </c>
      <c r="E101" s="15" t="inlineStr">
        <is>
          <t>부품/기판</t>
        </is>
      </c>
      <c r="F101" s="15" t="n">
        <v>63.43</v>
      </c>
      <c r="G101" s="15" t="n">
        <v>35.71</v>
      </c>
      <c r="H101" s="15" t="inlineStr">
        <is>
          <t>중립</t>
        </is>
      </c>
      <c r="I101" s="15" t="inlineStr">
        <is>
          <t>0.8305894153326006</t>
        </is>
      </c>
      <c r="J101" t="inlineStr"/>
      <c r="K101" t="inlineStr"/>
      <c r="L101" t="inlineStr"/>
    </row>
    <row r="102" ht="22" customHeight="1">
      <c r="A102" s="15" t="inlineStr">
        <is>
          <t>디아이티</t>
        </is>
      </c>
      <c r="B102" t="inlineStr"/>
      <c r="C102" s="15" t="inlineStr">
        <is>
          <t>110990</t>
        </is>
      </c>
      <c r="D102" s="15" t="inlineStr">
        <is>
          <t>KOSDAQ</t>
        </is>
      </c>
      <c r="E102" s="15" t="inlineStr">
        <is>
          <t>장비</t>
        </is>
      </c>
      <c r="F102" s="15" t="n">
        <v>63.41</v>
      </c>
      <c r="G102" s="15" t="n">
        <v>0</v>
      </c>
      <c r="H102" s="15" t="inlineStr">
        <is>
          <t>가치 매력</t>
        </is>
      </c>
      <c r="I102" s="15" t="inlineStr">
        <is>
          <t>0.8847780199048246</t>
        </is>
      </c>
      <c r="J102" t="inlineStr"/>
      <c r="K102" t="inlineStr"/>
      <c r="L102" t="inlineStr"/>
    </row>
    <row r="103" ht="22" customHeight="1">
      <c r="A103" s="15" t="inlineStr">
        <is>
          <t>한솔케미칼</t>
        </is>
      </c>
      <c r="B103" s="15" t="inlineStr">
        <is>
          <t>hansol</t>
        </is>
      </c>
      <c r="C103" s="15" t="inlineStr">
        <is>
          <t>014680</t>
        </is>
      </c>
      <c r="D103" s="15" t="inlineStr">
        <is>
          <t>KOSPI</t>
        </is>
      </c>
      <c r="E103" s="15" t="inlineStr">
        <is>
          <t>소재</t>
        </is>
      </c>
      <c r="F103" s="15" t="n">
        <v>63.31</v>
      </c>
      <c r="G103" s="15" t="n">
        <v>0</v>
      </c>
      <c r="H103" s="15" t="inlineStr">
        <is>
          <t>가치 매력</t>
        </is>
      </c>
      <c r="I103" s="15" t="inlineStr">
        <is>
          <t>0.8364696976606926</t>
        </is>
      </c>
      <c r="J103" s="15" t="inlineStr">
        <is>
          <t>예</t>
        </is>
      </c>
      <c r="K103" t="inlineStr"/>
      <c r="L103" t="inlineStr"/>
    </row>
    <row r="104" ht="22" customHeight="1">
      <c r="A104" s="15" t="inlineStr">
        <is>
          <t>케이씨텍</t>
        </is>
      </c>
      <c r="B104" t="inlineStr"/>
      <c r="C104" s="15" t="inlineStr">
        <is>
          <t>281820</t>
        </is>
      </c>
      <c r="D104" s="15" t="inlineStr">
        <is>
          <t>KOSPI</t>
        </is>
      </c>
      <c r="E104" s="15" t="inlineStr">
        <is>
          <t>장비</t>
        </is>
      </c>
      <c r="F104" s="15" t="n">
        <v>63.15</v>
      </c>
      <c r="G104" s="15" t="n">
        <v>0</v>
      </c>
      <c r="H104" s="15" t="inlineStr">
        <is>
          <t>가치 매력</t>
        </is>
      </c>
      <c r="I104" s="15" t="inlineStr">
        <is>
          <t>0.8895261430914092</t>
        </is>
      </c>
      <c r="J104" t="inlineStr"/>
      <c r="K104" t="inlineStr"/>
      <c r="L104" t="inlineStr"/>
    </row>
    <row r="105" ht="22" customHeight="1">
      <c r="A105" s="15" t="inlineStr">
        <is>
          <t>이녹스첨단소재</t>
        </is>
      </c>
      <c r="B105" t="inlineStr"/>
      <c r="C105" s="15" t="inlineStr">
        <is>
          <t>272290</t>
        </is>
      </c>
      <c r="D105" s="15" t="inlineStr">
        <is>
          <t>KOSDAQ GLOBAL</t>
        </is>
      </c>
      <c r="E105" s="15" t="inlineStr">
        <is>
          <t>소재</t>
        </is>
      </c>
      <c r="F105" s="15" t="n">
        <v>63.13</v>
      </c>
      <c r="G105" s="15" t="n">
        <v>7.14</v>
      </c>
      <c r="H105" s="15" t="inlineStr">
        <is>
          <t>중립</t>
        </is>
      </c>
      <c r="I105" s="15" t="inlineStr">
        <is>
          <t>0.900184891106931</t>
        </is>
      </c>
      <c r="J105" t="inlineStr"/>
      <c r="K105" t="inlineStr"/>
      <c r="L105" t="inlineStr"/>
    </row>
    <row r="106" ht="22" customHeight="1">
      <c r="A106" s="15" t="inlineStr">
        <is>
          <t>로체시스템즈</t>
        </is>
      </c>
      <c r="B106" t="inlineStr"/>
      <c r="C106" s="15" t="inlineStr">
        <is>
          <t>071280</t>
        </is>
      </c>
      <c r="D106" s="15" t="inlineStr">
        <is>
          <t>KOSDAQ</t>
        </is>
      </c>
      <c r="E106" s="15" t="inlineStr">
        <is>
          <t>장비</t>
        </is>
      </c>
      <c r="F106" s="15" t="n">
        <v>62.59</v>
      </c>
      <c r="G106" s="15" t="n">
        <v>7.14</v>
      </c>
      <c r="H106" s="15" t="inlineStr">
        <is>
          <t>가치 매력</t>
        </is>
      </c>
      <c r="I106" s="15" t="inlineStr">
        <is>
          <t>0.9642438845844894</t>
        </is>
      </c>
      <c r="J106" t="inlineStr"/>
      <c r="K106" t="inlineStr"/>
      <c r="L106" t="inlineStr"/>
    </row>
    <row r="107" ht="22" customHeight="1">
      <c r="A107" s="15" t="inlineStr">
        <is>
          <t>에이치엠넥스</t>
        </is>
      </c>
      <c r="B107" t="inlineStr"/>
      <c r="C107" s="15" t="inlineStr">
        <is>
          <t>036170</t>
        </is>
      </c>
      <c r="D107" s="15" t="inlineStr">
        <is>
          <t>KOSDAQ</t>
        </is>
      </c>
      <c r="E107" s="15" t="inlineStr">
        <is>
          <t>후공정/패키징/테스트</t>
        </is>
      </c>
      <c r="F107" s="15" t="n">
        <v>62.1</v>
      </c>
      <c r="G107" s="15" t="n">
        <v>35.71</v>
      </c>
      <c r="H107" s="15" t="inlineStr">
        <is>
          <t>중립</t>
        </is>
      </c>
      <c r="I107" s="15" t="inlineStr">
        <is>
          <t>0.7433115072206052</t>
        </is>
      </c>
      <c r="J107" t="inlineStr"/>
      <c r="K107" t="inlineStr"/>
      <c r="L107" t="inlineStr"/>
    </row>
    <row r="108" ht="22" customHeight="1">
      <c r="A108" s="15" t="inlineStr">
        <is>
          <t>리노공업</t>
        </is>
      </c>
      <c r="B108" t="inlineStr"/>
      <c r="C108" s="15" t="inlineStr">
        <is>
          <t>058470</t>
        </is>
      </c>
      <c r="D108" s="15" t="inlineStr">
        <is>
          <t>KOSDAQ GLOBAL</t>
        </is>
      </c>
      <c r="E108" s="15" t="inlineStr">
        <is>
          <t>후공정/패키징/테스트</t>
        </is>
      </c>
      <c r="F108" s="15" t="n">
        <v>61.91</v>
      </c>
      <c r="G108" s="15" t="n">
        <v>0</v>
      </c>
      <c r="H108" s="15" t="inlineStr">
        <is>
          <t>가치 매력</t>
        </is>
      </c>
      <c r="I108" s="15" t="inlineStr">
        <is>
          <t>0.6825301704423244</t>
        </is>
      </c>
      <c r="J108" t="inlineStr"/>
      <c r="K108" t="inlineStr"/>
      <c r="L108" t="inlineStr"/>
    </row>
    <row r="109" ht="22" customHeight="1">
      <c r="A109" s="15" t="inlineStr">
        <is>
          <t>아이씨디</t>
        </is>
      </c>
      <c r="B109" t="inlineStr"/>
      <c r="C109" s="15" t="inlineStr">
        <is>
          <t>040910</t>
        </is>
      </c>
      <c r="D109" s="15" t="inlineStr">
        <is>
          <t>KOSDAQ</t>
        </is>
      </c>
      <c r="E109" s="15" t="inlineStr">
        <is>
          <t>장비</t>
        </is>
      </c>
      <c r="F109" s="15" t="n">
        <v>61.59</v>
      </c>
      <c r="G109" s="15" t="n">
        <v>7.14</v>
      </c>
      <c r="H109" s="15" t="inlineStr">
        <is>
          <t>중립</t>
        </is>
      </c>
      <c r="I109" s="15" t="inlineStr">
        <is>
          <t>0.692546582663732</t>
        </is>
      </c>
      <c r="J109" t="inlineStr"/>
      <c r="K109" t="inlineStr"/>
      <c r="L109" t="inlineStr"/>
    </row>
    <row r="110" ht="22" customHeight="1">
      <c r="A110" s="15" t="inlineStr">
        <is>
          <t>에스에프에이</t>
        </is>
      </c>
      <c r="B110" t="inlineStr"/>
      <c r="C110" s="15" t="inlineStr">
        <is>
          <t>056190</t>
        </is>
      </c>
      <c r="D110" s="15" t="inlineStr">
        <is>
          <t>KOSDAQ GLOBAL</t>
        </is>
      </c>
      <c r="E110" s="15" t="inlineStr">
        <is>
          <t>장비</t>
        </is>
      </c>
      <c r="F110" s="15" t="n">
        <v>60.99</v>
      </c>
      <c r="G110" s="15" t="n">
        <v>0</v>
      </c>
      <c r="H110" s="15" t="inlineStr">
        <is>
          <t>가치 매력</t>
        </is>
      </c>
      <c r="I110" s="15" t="inlineStr">
        <is>
          <t>0.8690882589557657</t>
        </is>
      </c>
      <c r="J110" t="inlineStr"/>
      <c r="K110" t="inlineStr"/>
      <c r="L110" t="inlineStr"/>
    </row>
    <row r="111" ht="22" customHeight="1">
      <c r="A111" s="15" t="inlineStr">
        <is>
          <t>오디텍</t>
        </is>
      </c>
      <c r="B111" t="inlineStr"/>
      <c r="C111" s="15" t="inlineStr">
        <is>
          <t>080520</t>
        </is>
      </c>
      <c r="D111" s="15" t="inlineStr">
        <is>
          <t>KOSDAQ</t>
        </is>
      </c>
      <c r="E111" s="15" t="inlineStr">
        <is>
          <t>IDM/제조/메모리</t>
        </is>
      </c>
      <c r="F111" s="15" t="n">
        <v>60.83</v>
      </c>
      <c r="G111" s="15" t="n">
        <v>42.86</v>
      </c>
      <c r="H111" s="15" t="inlineStr">
        <is>
          <t>중립</t>
        </is>
      </c>
      <c r="I111" s="15" t="inlineStr">
        <is>
          <t>0.8328575689014174</t>
        </is>
      </c>
      <c r="J111" t="inlineStr"/>
      <c r="K111" t="inlineStr"/>
      <c r="L111" t="inlineStr"/>
    </row>
    <row r="112" ht="22" customHeight="1">
      <c r="A112" s="15" t="inlineStr">
        <is>
          <t>오킨스전자</t>
        </is>
      </c>
      <c r="B112" t="inlineStr"/>
      <c r="C112" s="15" t="inlineStr">
        <is>
          <t>080580</t>
        </is>
      </c>
      <c r="D112" s="15" t="inlineStr">
        <is>
          <t>KOSDAQ</t>
        </is>
      </c>
      <c r="E112" s="15" t="inlineStr">
        <is>
          <t>후공정/패키징/테스트</t>
        </is>
      </c>
      <c r="F112" s="15" t="n">
        <v>60.62</v>
      </c>
      <c r="G112" s="15" t="n">
        <v>21.43</v>
      </c>
      <c r="H112" s="15" t="inlineStr">
        <is>
          <t>가치 매력</t>
        </is>
      </c>
      <c r="I112" s="15" t="inlineStr">
        <is>
          <t>0.8105235691914331</t>
        </is>
      </c>
      <c r="J112" t="inlineStr"/>
      <c r="K112" t="inlineStr"/>
      <c r="L112" t="inlineStr"/>
    </row>
    <row r="113" ht="22" customHeight="1">
      <c r="A113" s="15" t="inlineStr">
        <is>
          <t>알에프세미</t>
        </is>
      </c>
      <c r="B113" t="inlineStr"/>
      <c r="C113" s="15" t="inlineStr">
        <is>
          <t>096610</t>
        </is>
      </c>
      <c r="D113" s="15" t="inlineStr">
        <is>
          <t>KOSDAQ</t>
        </is>
      </c>
      <c r="E113" s="15" t="inlineStr">
        <is>
          <t>팹리스/설계</t>
        </is>
      </c>
      <c r="F113" s="15" t="n">
        <v>60.3</v>
      </c>
      <c r="G113" s="15" t="n">
        <v>7.14</v>
      </c>
      <c r="H113" s="15" t="inlineStr">
        <is>
          <t>가치 매력</t>
        </is>
      </c>
      <c r="I113" s="15" t="inlineStr">
        <is>
          <t>0.8083150256499313</t>
        </is>
      </c>
      <c r="J113" t="inlineStr"/>
      <c r="K113" t="inlineStr"/>
      <c r="L113" t="inlineStr"/>
    </row>
    <row r="114" ht="22" customHeight="1">
      <c r="A114" s="15" t="inlineStr">
        <is>
          <t>그린리소스</t>
        </is>
      </c>
      <c r="B114" t="inlineStr"/>
      <c r="C114" s="15" t="inlineStr">
        <is>
          <t>402490</t>
        </is>
      </c>
      <c r="D114" s="15" t="inlineStr">
        <is>
          <t>KOSDAQ</t>
        </is>
      </c>
      <c r="E114" s="15" t="inlineStr">
        <is>
          <t>IDM/제조/메모리</t>
        </is>
      </c>
      <c r="F114" s="15" t="n">
        <v>60.22</v>
      </c>
      <c r="G114" s="15" t="n">
        <v>42.86</v>
      </c>
      <c r="H114" s="15" t="inlineStr">
        <is>
          <t>중립</t>
        </is>
      </c>
      <c r="I114" s="15" t="inlineStr">
        <is>
          <t>0.7869051998623771</t>
        </is>
      </c>
      <c r="J114" t="inlineStr"/>
      <c r="K114" t="inlineStr"/>
      <c r="L114" t="inlineStr"/>
    </row>
    <row r="115" ht="22" customHeight="1">
      <c r="A115" s="15" t="inlineStr">
        <is>
          <t>삼양엔씨켐</t>
        </is>
      </c>
      <c r="B115" t="inlineStr"/>
      <c r="C115" s="15" t="inlineStr">
        <is>
          <t>482630</t>
        </is>
      </c>
      <c r="D115" s="15" t="inlineStr">
        <is>
          <t>KOSDAQ</t>
        </is>
      </c>
      <c r="E115" s="15" t="inlineStr">
        <is>
          <t>장비</t>
        </is>
      </c>
      <c r="F115" s="15" t="n">
        <v>59.93</v>
      </c>
      <c r="G115" s="15" t="n">
        <v>7.14</v>
      </c>
      <c r="H115" s="15" t="inlineStr">
        <is>
          <t>가치 매력</t>
        </is>
      </c>
      <c r="I115" s="15" t="inlineStr">
        <is>
          <t>0.6408467710997098</t>
        </is>
      </c>
      <c r="J115" t="inlineStr"/>
      <c r="K115" t="inlineStr"/>
      <c r="L115" t="inlineStr"/>
    </row>
    <row r="116" ht="22" customHeight="1">
      <c r="A116" s="15" t="inlineStr">
        <is>
          <t>루멘스</t>
        </is>
      </c>
      <c r="B116" t="inlineStr"/>
      <c r="C116" s="15" t="inlineStr">
        <is>
          <t>038060</t>
        </is>
      </c>
      <c r="D116" s="15" t="inlineStr">
        <is>
          <t>KOSDAQ</t>
        </is>
      </c>
      <c r="E116" s="15" t="inlineStr">
        <is>
          <t>IDM/제조/메모리</t>
        </is>
      </c>
      <c r="F116" s="15" t="n">
        <v>59.7</v>
      </c>
      <c r="G116" s="15" t="n">
        <v>35.71</v>
      </c>
      <c r="H116" s="15" t="inlineStr">
        <is>
          <t>중립</t>
        </is>
      </c>
      <c r="I116" s="15" t="inlineStr">
        <is>
          <t>0.8437683700786414</t>
        </is>
      </c>
      <c r="J116" t="inlineStr"/>
      <c r="K116" t="inlineStr"/>
      <c r="L116" t="inlineStr"/>
    </row>
    <row r="117" ht="22" customHeight="1">
      <c r="A117" s="15" t="inlineStr">
        <is>
          <t>싸이맥스</t>
        </is>
      </c>
      <c r="B117" t="inlineStr"/>
      <c r="C117" s="15" t="inlineStr">
        <is>
          <t>160980</t>
        </is>
      </c>
      <c r="D117" s="15" t="inlineStr">
        <is>
          <t>KOSDAQ</t>
        </is>
      </c>
      <c r="E117" s="15" t="inlineStr">
        <is>
          <t>장비</t>
        </is>
      </c>
      <c r="F117" s="15" t="n">
        <v>59.61</v>
      </c>
      <c r="G117" s="15" t="n">
        <v>0</v>
      </c>
      <c r="H117" s="15" t="inlineStr">
        <is>
          <t>가치 매력</t>
        </is>
      </c>
      <c r="I117" s="15" t="inlineStr">
        <is>
          <t>0.8128181122496774</t>
        </is>
      </c>
      <c r="J117" t="inlineStr"/>
      <c r="K117" t="inlineStr"/>
      <c r="L117" t="inlineStr"/>
    </row>
    <row r="118" ht="22" customHeight="1">
      <c r="A118" s="15" t="inlineStr">
        <is>
          <t>제주반도체</t>
        </is>
      </c>
      <c r="B118" t="inlineStr"/>
      <c r="C118" s="15" t="inlineStr">
        <is>
          <t>080220</t>
        </is>
      </c>
      <c r="D118" s="15" t="inlineStr">
        <is>
          <t>KOSDAQ</t>
        </is>
      </c>
      <c r="E118" s="15" t="inlineStr">
        <is>
          <t>팹리스/설계</t>
        </is>
      </c>
      <c r="F118" s="15" t="n">
        <v>59.17</v>
      </c>
      <c r="G118" s="15" t="n">
        <v>0</v>
      </c>
      <c r="H118" s="15" t="inlineStr">
        <is>
          <t>가치 매력</t>
        </is>
      </c>
      <c r="I118" s="15" t="inlineStr">
        <is>
          <t>0.6955424557105586</t>
        </is>
      </c>
      <c r="J118" t="inlineStr"/>
      <c r="K118" t="inlineStr"/>
      <c r="L118" t="inlineStr"/>
    </row>
    <row r="119" ht="22" customHeight="1">
      <c r="A119" s="15" t="inlineStr">
        <is>
          <t>티에스이</t>
        </is>
      </c>
      <c r="B119" t="inlineStr"/>
      <c r="C119" s="15" t="inlineStr">
        <is>
          <t>131290</t>
        </is>
      </c>
      <c r="D119" s="15" t="inlineStr">
        <is>
          <t>KOSDAQ</t>
        </is>
      </c>
      <c r="E119" s="15" t="inlineStr">
        <is>
          <t>팹리스/설계</t>
        </is>
      </c>
      <c r="F119" s="15" t="n">
        <v>58.81</v>
      </c>
      <c r="G119" s="15" t="n">
        <v>0</v>
      </c>
      <c r="H119" s="15" t="inlineStr">
        <is>
          <t>가치 매력</t>
        </is>
      </c>
      <c r="I119" s="15" t="inlineStr">
        <is>
          <t>0.7390287615028212</t>
        </is>
      </c>
      <c r="J119" t="inlineStr"/>
      <c r="K119" t="inlineStr"/>
      <c r="L119" t="inlineStr"/>
    </row>
    <row r="120" ht="22" customHeight="1">
      <c r="A120" s="15" t="inlineStr">
        <is>
          <t>디아이</t>
        </is>
      </c>
      <c r="B120" t="inlineStr"/>
      <c r="C120" s="15" t="inlineStr">
        <is>
          <t>003160</t>
        </is>
      </c>
      <c r="D120" s="15" t="inlineStr">
        <is>
          <t>KOSPI</t>
        </is>
      </c>
      <c r="E120" s="15" t="inlineStr">
        <is>
          <t>후공정/패키징/테스트</t>
        </is>
      </c>
      <c r="F120" s="15" t="n">
        <v>58.76</v>
      </c>
      <c r="G120" s="15" t="n">
        <v>7.14</v>
      </c>
      <c r="H120" s="15" t="inlineStr">
        <is>
          <t>가치 매력</t>
        </is>
      </c>
      <c r="I120" s="15" t="inlineStr">
        <is>
          <t>0.6560906263736197</t>
        </is>
      </c>
      <c r="J120" t="inlineStr"/>
      <c r="K120" t="inlineStr"/>
      <c r="L120" t="inlineStr"/>
    </row>
    <row r="121" ht="22" customHeight="1">
      <c r="A121" s="15" t="inlineStr">
        <is>
          <t>피델릭스</t>
        </is>
      </c>
      <c r="B121" t="inlineStr"/>
      <c r="C121" s="15" t="inlineStr">
        <is>
          <t>032580</t>
        </is>
      </c>
      <c r="D121" s="15" t="inlineStr">
        <is>
          <t>KOSDAQ</t>
        </is>
      </c>
      <c r="E121" s="15" t="inlineStr">
        <is>
          <t>IDM/제조/메모리</t>
        </is>
      </c>
      <c r="F121" s="15" t="n">
        <v>58.73</v>
      </c>
      <c r="G121" s="15" t="n">
        <v>50</v>
      </c>
      <c r="H121" s="15" t="inlineStr">
        <is>
          <t>중립</t>
        </is>
      </c>
      <c r="I121" s="15" t="inlineStr">
        <is>
          <t>0.8604826019551013</t>
        </is>
      </c>
      <c r="J121" t="inlineStr"/>
      <c r="K121" t="inlineStr"/>
      <c r="L121" t="inlineStr"/>
    </row>
    <row r="122" ht="22" customHeight="1">
      <c r="A122" s="15" t="inlineStr">
        <is>
          <t>엘티씨</t>
        </is>
      </c>
      <c r="B122" s="15" t="inlineStr">
        <is>
          <t>ltc</t>
        </is>
      </c>
      <c r="C122" s="15" t="inlineStr">
        <is>
          <t>170920</t>
        </is>
      </c>
      <c r="D122" s="15" t="inlineStr">
        <is>
          <t>KOSDAQ</t>
        </is>
      </c>
      <c r="E122" s="15" t="inlineStr">
        <is>
          <t>소재</t>
        </is>
      </c>
      <c r="F122" s="15" t="n">
        <v>58.38</v>
      </c>
      <c r="G122" s="15" t="n">
        <v>0</v>
      </c>
      <c r="H122" s="15" t="inlineStr">
        <is>
          <t>중립</t>
        </is>
      </c>
      <c r="I122" s="15" t="inlineStr">
        <is>
          <t>0.6353016273848794</t>
        </is>
      </c>
      <c r="J122" s="15" t="inlineStr">
        <is>
          <t>예</t>
        </is>
      </c>
      <c r="K122" t="inlineStr"/>
      <c r="L122" t="inlineStr"/>
    </row>
    <row r="123" ht="22" customHeight="1">
      <c r="A123" s="15" t="inlineStr">
        <is>
          <t>엔시트론</t>
        </is>
      </c>
      <c r="B123" t="inlineStr"/>
      <c r="C123" s="15" t="inlineStr">
        <is>
          <t>101400</t>
        </is>
      </c>
      <c r="D123" s="15" t="inlineStr">
        <is>
          <t>KOSDAQ</t>
        </is>
      </c>
      <c r="E123" s="15" t="inlineStr">
        <is>
          <t>IDM/제조/메모리</t>
        </is>
      </c>
      <c r="F123" s="15" t="n">
        <v>57.73</v>
      </c>
      <c r="G123" s="15" t="n">
        <v>35.71</v>
      </c>
      <c r="H123" s="15" t="inlineStr">
        <is>
          <t>중립</t>
        </is>
      </c>
      <c r="I123" s="15" t="inlineStr">
        <is>
          <t>0.8173941540342667</t>
        </is>
      </c>
      <c r="J123" t="inlineStr"/>
      <c r="K123" t="inlineStr"/>
      <c r="L123" t="inlineStr"/>
    </row>
    <row r="124" ht="22" customHeight="1">
      <c r="A124" s="15" t="inlineStr">
        <is>
          <t>아나패스</t>
        </is>
      </c>
      <c r="B124" t="inlineStr"/>
      <c r="C124" s="15" t="inlineStr">
        <is>
          <t>123860</t>
        </is>
      </c>
      <c r="D124" s="15" t="inlineStr">
        <is>
          <t>KOSDAQ</t>
        </is>
      </c>
      <c r="E124" s="15" t="inlineStr">
        <is>
          <t>팹리스/설계</t>
        </is>
      </c>
      <c r="F124" s="15" t="n">
        <v>57.62</v>
      </c>
      <c r="G124" s="15" t="n">
        <v>0</v>
      </c>
      <c r="H124" s="15" t="inlineStr">
        <is>
          <t>중립</t>
        </is>
      </c>
      <c r="I124" s="15" t="inlineStr">
        <is>
          <t>0.510332377942325</t>
        </is>
      </c>
      <c r="J124" t="inlineStr"/>
      <c r="K124" t="inlineStr"/>
      <c r="L124" t="inlineStr"/>
    </row>
    <row r="125" ht="22" customHeight="1">
      <c r="A125" s="15" t="inlineStr">
        <is>
          <t>비에이치</t>
        </is>
      </c>
      <c r="B125" t="inlineStr"/>
      <c r="C125" s="15" t="inlineStr">
        <is>
          <t>090460</t>
        </is>
      </c>
      <c r="D125" s="15" t="inlineStr">
        <is>
          <t>KOSPI</t>
        </is>
      </c>
      <c r="E125" s="15" t="inlineStr">
        <is>
          <t>부품/기판</t>
        </is>
      </c>
      <c r="F125" s="15" t="n">
        <v>57.52</v>
      </c>
      <c r="G125" s="15" t="n">
        <v>0</v>
      </c>
      <c r="H125" s="15" t="inlineStr">
        <is>
          <t>중립</t>
        </is>
      </c>
      <c r="I125" s="15" t="inlineStr">
        <is>
          <t>0.5078538652826</t>
        </is>
      </c>
      <c r="J125" t="inlineStr"/>
      <c r="K125" t="inlineStr"/>
      <c r="L125" t="inlineStr"/>
    </row>
    <row r="126" ht="22" customHeight="1">
      <c r="A126" s="15" t="inlineStr">
        <is>
          <t>뉴파워프라즈마</t>
        </is>
      </c>
      <c r="B126" t="inlineStr"/>
      <c r="C126" s="15" t="inlineStr">
        <is>
          <t>144960</t>
        </is>
      </c>
      <c r="D126" s="15" t="inlineStr">
        <is>
          <t>KOSDAQ</t>
        </is>
      </c>
      <c r="E126" s="15" t="inlineStr">
        <is>
          <t>장비</t>
        </is>
      </c>
      <c r="F126" s="15" t="n">
        <v>57.49</v>
      </c>
      <c r="G126" s="15" t="n">
        <v>21.43</v>
      </c>
      <c r="H126" s="15" t="inlineStr">
        <is>
          <t>중립</t>
        </is>
      </c>
      <c r="I126" s="15" t="inlineStr">
        <is>
          <t>0.868464354966477</t>
        </is>
      </c>
      <c r="J126" t="inlineStr"/>
      <c r="K126" t="inlineStr"/>
      <c r="L126" t="inlineStr"/>
    </row>
    <row r="127" ht="22" customHeight="1">
      <c r="A127" s="15" t="inlineStr">
        <is>
          <t>이엘씨</t>
        </is>
      </c>
      <c r="B127" t="inlineStr"/>
      <c r="C127" s="15" t="inlineStr">
        <is>
          <t>041520</t>
        </is>
      </c>
      <c r="D127" s="15" t="inlineStr">
        <is>
          <t>KOSDAQ</t>
        </is>
      </c>
      <c r="E127" s="15" t="inlineStr">
        <is>
          <t>장비</t>
        </is>
      </c>
      <c r="F127" s="15" t="n">
        <v>57.22</v>
      </c>
      <c r="G127" s="15" t="n">
        <v>35.71</v>
      </c>
      <c r="H127" s="15" t="inlineStr">
        <is>
          <t>중립</t>
        </is>
      </c>
      <c r="I127" s="15" t="inlineStr">
        <is>
          <t>0.7059172837936919</t>
        </is>
      </c>
      <c r="J127" t="inlineStr"/>
      <c r="K127" t="inlineStr"/>
      <c r="L127" t="inlineStr"/>
    </row>
    <row r="128" ht="22" customHeight="1">
      <c r="A128" s="15" t="inlineStr">
        <is>
          <t>엑시콘</t>
        </is>
      </c>
      <c r="B128" t="inlineStr"/>
      <c r="C128" s="15" t="inlineStr">
        <is>
          <t>092870</t>
        </is>
      </c>
      <c r="D128" s="15" t="inlineStr">
        <is>
          <t>KOSDAQ</t>
        </is>
      </c>
      <c r="E128" s="15" t="inlineStr">
        <is>
          <t>후공정/패키징/테스트</t>
        </is>
      </c>
      <c r="F128" s="15" t="n">
        <v>57.11</v>
      </c>
      <c r="G128" s="15" t="n">
        <v>21.43</v>
      </c>
      <c r="H128" s="15" t="inlineStr">
        <is>
          <t>중립</t>
        </is>
      </c>
      <c r="I128" s="15" t="inlineStr">
        <is>
          <t>0.7870958268046786</t>
        </is>
      </c>
      <c r="J128" t="inlineStr"/>
      <c r="K128" t="inlineStr"/>
      <c r="L128" t="inlineStr"/>
    </row>
    <row r="129" ht="22" customHeight="1">
      <c r="A129" s="15" t="inlineStr">
        <is>
          <t>티이엠씨</t>
        </is>
      </c>
      <c r="B129" t="inlineStr"/>
      <c r="C129" s="15" t="inlineStr">
        <is>
          <t>425040</t>
        </is>
      </c>
      <c r="D129" s="15" t="inlineStr">
        <is>
          <t>KOSDAQ</t>
        </is>
      </c>
      <c r="E129" s="15" t="inlineStr">
        <is>
          <t>소재</t>
        </is>
      </c>
      <c r="F129" s="15" t="n">
        <v>56.67</v>
      </c>
      <c r="G129" s="15" t="n">
        <v>7.14</v>
      </c>
      <c r="H129" s="15" t="inlineStr">
        <is>
          <t>중립</t>
        </is>
      </c>
      <c r="I129" s="15" t="inlineStr">
        <is>
          <t>0.8720430887980049</t>
        </is>
      </c>
      <c r="J129" t="inlineStr"/>
      <c r="K129" t="inlineStr"/>
      <c r="L129" t="inlineStr"/>
    </row>
    <row r="130" ht="22" customHeight="1">
      <c r="A130" s="15" t="inlineStr">
        <is>
          <t>서울바이오시스</t>
        </is>
      </c>
      <c r="B130" t="inlineStr"/>
      <c r="C130" s="15" t="inlineStr">
        <is>
          <t>092190</t>
        </is>
      </c>
      <c r="D130" s="15" t="inlineStr">
        <is>
          <t>KOSDAQ</t>
        </is>
      </c>
      <c r="E130" s="15" t="inlineStr">
        <is>
          <t>IDM/제조/메모리</t>
        </is>
      </c>
      <c r="F130" s="15" t="n">
        <v>56.55</v>
      </c>
      <c r="G130" s="15" t="n">
        <v>42.86</v>
      </c>
      <c r="H130" s="15" t="inlineStr">
        <is>
          <t>중립</t>
        </is>
      </c>
      <c r="I130" s="15" t="inlineStr">
        <is>
          <t>0.7336783523450653</t>
        </is>
      </c>
      <c r="J130" t="inlineStr"/>
      <c r="K130" t="inlineStr"/>
      <c r="L130" t="inlineStr"/>
    </row>
    <row r="131" ht="22" customHeight="1">
      <c r="A131" s="15" t="inlineStr">
        <is>
          <t>에스앤에스텍</t>
        </is>
      </c>
      <c r="B131" t="inlineStr"/>
      <c r="C131" s="15" t="inlineStr">
        <is>
          <t>101490</t>
        </is>
      </c>
      <c r="D131" s="15" t="inlineStr">
        <is>
          <t>KOSDAQ</t>
        </is>
      </c>
      <c r="E131" s="15" t="inlineStr">
        <is>
          <t>소재</t>
        </is>
      </c>
      <c r="F131" s="15" t="n">
        <v>56.54</v>
      </c>
      <c r="G131" s="15" t="n">
        <v>7.14</v>
      </c>
      <c r="H131" s="15" t="inlineStr">
        <is>
          <t>중립</t>
        </is>
      </c>
      <c r="I131" s="15" t="inlineStr">
        <is>
          <t>0.7907123507381016</t>
        </is>
      </c>
      <c r="J131" t="inlineStr"/>
      <c r="K131" t="inlineStr"/>
      <c r="L131" t="inlineStr"/>
    </row>
    <row r="132" ht="22" customHeight="1">
      <c r="A132" s="15" t="inlineStr">
        <is>
          <t>포인트엔지니어링</t>
        </is>
      </c>
      <c r="B132" t="inlineStr"/>
      <c r="C132" s="15" t="inlineStr">
        <is>
          <t>256630</t>
        </is>
      </c>
      <c r="D132" s="15" t="inlineStr">
        <is>
          <t>KOSDAQ</t>
        </is>
      </c>
      <c r="E132" s="15" t="inlineStr">
        <is>
          <t>장비</t>
        </is>
      </c>
      <c r="F132" s="15" t="n">
        <v>56.49</v>
      </c>
      <c r="G132" s="15" t="n">
        <v>14.29</v>
      </c>
      <c r="H132" s="15" t="inlineStr">
        <is>
          <t>중립</t>
        </is>
      </c>
      <c r="I132" s="15" t="inlineStr">
        <is>
          <t>0.735270480034121</t>
        </is>
      </c>
      <c r="J132" t="inlineStr"/>
      <c r="K132" t="inlineStr"/>
      <c r="L132" t="inlineStr"/>
    </row>
    <row r="133" ht="22" customHeight="1">
      <c r="A133" s="15" t="inlineStr">
        <is>
          <t>테스</t>
        </is>
      </c>
      <c r="B133" t="inlineStr"/>
      <c r="C133" s="15" t="inlineStr">
        <is>
          <t>095610</t>
        </is>
      </c>
      <c r="D133" s="15" t="inlineStr">
        <is>
          <t>KOSDAQ</t>
        </is>
      </c>
      <c r="E133" s="15" t="inlineStr">
        <is>
          <t>장비</t>
        </is>
      </c>
      <c r="F133" s="15" t="n">
        <v>56.4</v>
      </c>
      <c r="G133" s="15" t="n">
        <v>14.29</v>
      </c>
      <c r="H133" s="15" t="inlineStr">
        <is>
          <t>중립</t>
        </is>
      </c>
      <c r="I133" s="15" t="inlineStr">
        <is>
          <t>0.5083695341145091</t>
        </is>
      </c>
      <c r="J133" t="inlineStr"/>
      <c r="K133" t="inlineStr"/>
      <c r="L133" t="inlineStr"/>
    </row>
    <row r="134" ht="22" customHeight="1">
      <c r="A134" s="15" t="inlineStr">
        <is>
          <t>코아시아</t>
        </is>
      </c>
      <c r="B134" t="inlineStr"/>
      <c r="C134" s="15" t="inlineStr">
        <is>
          <t>045970</t>
        </is>
      </c>
      <c r="D134" s="15" t="inlineStr">
        <is>
          <t>KOSDAQ</t>
        </is>
      </c>
      <c r="E134" s="15" t="inlineStr">
        <is>
          <t>팹리스/설계</t>
        </is>
      </c>
      <c r="F134" s="15" t="n">
        <v>56.12</v>
      </c>
      <c r="G134" s="15" t="n">
        <v>50</v>
      </c>
      <c r="H134" s="15" t="inlineStr">
        <is>
          <t>중립</t>
        </is>
      </c>
      <c r="I134" s="15" t="inlineStr">
        <is>
          <t>0.811266524244761</t>
        </is>
      </c>
      <c r="J134" t="inlineStr"/>
      <c r="K134" t="inlineStr"/>
      <c r="L134" t="inlineStr"/>
    </row>
    <row r="135" ht="22" customHeight="1">
      <c r="A135" s="15" t="inlineStr">
        <is>
          <t>우리이앤엘하루틴</t>
        </is>
      </c>
      <c r="B135" t="inlineStr"/>
      <c r="C135" s="15" t="inlineStr">
        <is>
          <t>153490</t>
        </is>
      </c>
      <c r="D135" s="15" t="inlineStr">
        <is>
          <t>KOSDAQ</t>
        </is>
      </c>
      <c r="E135" s="15" t="inlineStr">
        <is>
          <t>후공정/패키징/테스트</t>
        </is>
      </c>
      <c r="F135" s="15" t="n">
        <v>55.99</v>
      </c>
      <c r="G135" s="15" t="n">
        <v>14.29</v>
      </c>
      <c r="H135" s="15" t="inlineStr">
        <is>
          <t>중립</t>
        </is>
      </c>
      <c r="I135" s="15" t="inlineStr">
        <is>
          <t>0.803860880134826</t>
        </is>
      </c>
      <c r="J135" t="inlineStr"/>
      <c r="K135" t="inlineStr"/>
      <c r="L135" t="inlineStr"/>
    </row>
    <row r="136" ht="22" customHeight="1">
      <c r="A136" s="15" t="inlineStr">
        <is>
          <t>와이씨</t>
        </is>
      </c>
      <c r="B136" t="inlineStr"/>
      <c r="C136" s="15" t="inlineStr">
        <is>
          <t>232140</t>
        </is>
      </c>
      <c r="D136" s="15" t="inlineStr">
        <is>
          <t>KOSDAQ</t>
        </is>
      </c>
      <c r="E136" s="15" t="inlineStr">
        <is>
          <t>후공정/패키징/테스트</t>
        </is>
      </c>
      <c r="F136" s="15" t="n">
        <v>55.73</v>
      </c>
      <c r="G136" s="15" t="n">
        <v>0</v>
      </c>
      <c r="H136" s="15" t="inlineStr">
        <is>
          <t>중립</t>
        </is>
      </c>
      <c r="I136" s="15" t="inlineStr">
        <is>
          <t>0.5813875575219858</t>
        </is>
      </c>
      <c r="J136" t="inlineStr"/>
      <c r="K136" t="inlineStr"/>
      <c r="L136" t="inlineStr"/>
    </row>
    <row r="137" ht="22" customHeight="1">
      <c r="A137" s="15" t="inlineStr">
        <is>
          <t>기가비스</t>
        </is>
      </c>
      <c r="B137" t="inlineStr"/>
      <c r="C137" s="15" t="inlineStr">
        <is>
          <t>420770</t>
        </is>
      </c>
      <c r="D137" s="15" t="inlineStr">
        <is>
          <t>KOSDAQ</t>
        </is>
      </c>
      <c r="E137" s="15" t="inlineStr">
        <is>
          <t>후공정/패키징/테스트</t>
        </is>
      </c>
      <c r="F137" s="15" t="n">
        <v>55.44</v>
      </c>
      <c r="G137" s="15" t="n">
        <v>7.14</v>
      </c>
      <c r="H137" s="15" t="inlineStr">
        <is>
          <t>중립</t>
        </is>
      </c>
      <c r="I137" s="15" t="inlineStr">
        <is>
          <t>0.604283449323821</t>
        </is>
      </c>
      <c r="J137" t="inlineStr"/>
      <c r="K137" t="inlineStr"/>
      <c r="L137" t="inlineStr"/>
    </row>
    <row r="138" ht="22" customHeight="1">
      <c r="A138" s="15" t="inlineStr">
        <is>
          <t>픽셀플러스</t>
        </is>
      </c>
      <c r="B138" t="inlineStr"/>
      <c r="C138" s="15" t="inlineStr">
        <is>
          <t>087600</t>
        </is>
      </c>
      <c r="D138" s="15" t="inlineStr">
        <is>
          <t>KOSDAQ</t>
        </is>
      </c>
      <c r="E138" s="15" t="inlineStr">
        <is>
          <t>팹리스/설계</t>
        </is>
      </c>
      <c r="F138" s="15" t="n">
        <v>54.3</v>
      </c>
      <c r="G138" s="15" t="n">
        <v>28.57</v>
      </c>
      <c r="H138" s="15" t="inlineStr">
        <is>
          <t>중립</t>
        </is>
      </c>
      <c r="I138" s="15" t="inlineStr">
        <is>
          <t>0.8353732583827468</t>
        </is>
      </c>
      <c r="J138" t="inlineStr"/>
      <c r="K138" t="inlineStr"/>
      <c r="L138" t="inlineStr"/>
    </row>
    <row r="139" ht="22" customHeight="1">
      <c r="A139" s="15" t="inlineStr">
        <is>
          <t>칩스앤미디어</t>
        </is>
      </c>
      <c r="B139" t="inlineStr"/>
      <c r="C139" s="15" t="inlineStr">
        <is>
          <t>094360</t>
        </is>
      </c>
      <c r="D139" s="15" t="inlineStr">
        <is>
          <t>KOSDAQ</t>
        </is>
      </c>
      <c r="E139" s="15" t="inlineStr">
        <is>
          <t>팹리스/설계</t>
        </is>
      </c>
      <c r="F139" s="15" t="n">
        <v>54.24</v>
      </c>
      <c r="G139" s="15" t="n">
        <v>0</v>
      </c>
      <c r="H139" s="15" t="inlineStr">
        <is>
          <t>중립</t>
        </is>
      </c>
      <c r="I139" s="15" t="inlineStr">
        <is>
          <t>0.44740744488593415</t>
        </is>
      </c>
      <c r="J139" t="inlineStr"/>
      <c r="K139" t="inlineStr"/>
      <c r="L139" t="inlineStr"/>
    </row>
    <row r="140" ht="22" customHeight="1">
      <c r="A140" s="15" t="inlineStr">
        <is>
          <t>큐에스아이</t>
        </is>
      </c>
      <c r="B140" t="inlineStr"/>
      <c r="C140" s="15" t="inlineStr">
        <is>
          <t>066310</t>
        </is>
      </c>
      <c r="D140" s="15" t="inlineStr">
        <is>
          <t>KOSDAQ</t>
        </is>
      </c>
      <c r="E140" s="15" t="inlineStr">
        <is>
          <t>IDM/제조/메모리</t>
        </is>
      </c>
      <c r="F140" s="15" t="n">
        <v>54.23</v>
      </c>
      <c r="G140" s="15" t="n">
        <v>7.14</v>
      </c>
      <c r="H140" s="15" t="inlineStr">
        <is>
          <t>중립</t>
        </is>
      </c>
      <c r="I140" s="15" t="inlineStr">
        <is>
          <t>0.5496283015517583</t>
        </is>
      </c>
      <c r="J140" t="inlineStr"/>
      <c r="K140" t="inlineStr"/>
      <c r="L140" t="inlineStr"/>
    </row>
    <row r="141" ht="22" customHeight="1">
      <c r="A141" s="15" t="inlineStr">
        <is>
          <t>유니셈</t>
        </is>
      </c>
      <c r="B141" t="inlineStr"/>
      <c r="C141" s="15" t="inlineStr">
        <is>
          <t>036200</t>
        </is>
      </c>
      <c r="D141" s="15" t="inlineStr">
        <is>
          <t>KOSDAQ</t>
        </is>
      </c>
      <c r="E141" s="15" t="inlineStr">
        <is>
          <t>장비</t>
        </is>
      </c>
      <c r="F141" s="15" t="n">
        <v>54.09</v>
      </c>
      <c r="G141" s="15" t="n">
        <v>21.43</v>
      </c>
      <c r="H141" s="15" t="inlineStr">
        <is>
          <t>중립</t>
        </is>
      </c>
      <c r="I141" s="15" t="inlineStr">
        <is>
          <t>0.751305499027411</t>
        </is>
      </c>
      <c r="J141" t="inlineStr"/>
      <c r="K141" t="inlineStr"/>
      <c r="L141" t="inlineStr"/>
    </row>
    <row r="142" ht="22" customHeight="1">
      <c r="A142" s="15" t="inlineStr">
        <is>
          <t>피에스케이홀딩스</t>
        </is>
      </c>
      <c r="B142" t="inlineStr"/>
      <c r="C142" s="15" t="inlineStr">
        <is>
          <t>031980</t>
        </is>
      </c>
      <c r="D142" s="15" t="inlineStr">
        <is>
          <t>KOSDAQ</t>
        </is>
      </c>
      <c r="E142" s="15" t="inlineStr">
        <is>
          <t>장비</t>
        </is>
      </c>
      <c r="F142" s="15" t="n">
        <v>53.85</v>
      </c>
      <c r="G142" s="15" t="n">
        <v>0</v>
      </c>
      <c r="H142" s="15" t="inlineStr">
        <is>
          <t>중립</t>
        </is>
      </c>
      <c r="I142" s="15" t="inlineStr">
        <is>
          <t>0.7521125976897308</t>
        </is>
      </c>
      <c r="J142" t="inlineStr"/>
      <c r="K142" t="inlineStr"/>
      <c r="L142" t="inlineStr"/>
    </row>
    <row r="143" ht="22" customHeight="1">
      <c r="A143" s="15" t="inlineStr">
        <is>
          <t>워트</t>
        </is>
      </c>
      <c r="B143" t="inlineStr"/>
      <c r="C143" s="15" t="inlineStr">
        <is>
          <t>396470</t>
        </is>
      </c>
      <c r="D143" s="15" t="inlineStr">
        <is>
          <t>KOSDAQ</t>
        </is>
      </c>
      <c r="E143" s="15" t="inlineStr">
        <is>
          <t>장비</t>
        </is>
      </c>
      <c r="F143" s="15" t="n">
        <v>53.84</v>
      </c>
      <c r="G143" s="15" t="n">
        <v>7.14</v>
      </c>
      <c r="H143" s="15" t="inlineStr">
        <is>
          <t>중립</t>
        </is>
      </c>
      <c r="I143" s="15" t="inlineStr">
        <is>
          <t>0.6073344328439819</t>
        </is>
      </c>
      <c r="J143" t="inlineStr"/>
      <c r="K143" t="inlineStr"/>
      <c r="L143" t="inlineStr"/>
    </row>
    <row r="144" ht="22" customHeight="1">
      <c r="A144" s="15" t="inlineStr">
        <is>
          <t>엘오티베큠</t>
        </is>
      </c>
      <c r="B144" t="inlineStr"/>
      <c r="C144" s="15" t="inlineStr">
        <is>
          <t>083310</t>
        </is>
      </c>
      <c r="D144" s="15" t="inlineStr">
        <is>
          <t>KOSDAQ</t>
        </is>
      </c>
      <c r="E144" s="15" t="inlineStr">
        <is>
          <t>IDM/제조/메모리</t>
        </is>
      </c>
      <c r="F144" s="15" t="n">
        <v>53.8</v>
      </c>
      <c r="G144" s="15" t="n">
        <v>21.43</v>
      </c>
      <c r="H144" s="15" t="inlineStr">
        <is>
          <t>중립</t>
        </is>
      </c>
      <c r="I144" s="15" t="inlineStr">
        <is>
          <t>0.860578291373445</t>
        </is>
      </c>
      <c r="J144" t="inlineStr"/>
      <c r="K144" t="inlineStr"/>
      <c r="L144" t="inlineStr"/>
    </row>
    <row r="145" ht="22" customHeight="1">
      <c r="A145" s="15" t="inlineStr">
        <is>
          <t>비씨엔씨</t>
        </is>
      </c>
      <c r="B145" t="inlineStr"/>
      <c r="C145" s="15" t="inlineStr">
        <is>
          <t>146320</t>
        </is>
      </c>
      <c r="D145" s="15" t="inlineStr">
        <is>
          <t>KOSDAQ</t>
        </is>
      </c>
      <c r="E145" s="15" t="inlineStr">
        <is>
          <t>IDM/제조/메모리</t>
        </is>
      </c>
      <c r="F145" s="15" t="n">
        <v>53.66</v>
      </c>
      <c r="G145" s="15" t="n">
        <v>28.57</v>
      </c>
      <c r="H145" s="15" t="inlineStr">
        <is>
          <t>중립</t>
        </is>
      </c>
      <c r="I145" s="15" t="inlineStr">
        <is>
          <t>0.7033805368548921</t>
        </is>
      </c>
      <c r="J145" t="inlineStr"/>
      <c r="K145" t="inlineStr"/>
      <c r="L145" t="inlineStr"/>
    </row>
    <row r="146" ht="22" customHeight="1">
      <c r="A146" s="15" t="inlineStr">
        <is>
          <t>티엘비</t>
        </is>
      </c>
      <c r="B146" t="inlineStr"/>
      <c r="C146" s="15" t="inlineStr">
        <is>
          <t>356860</t>
        </is>
      </c>
      <c r="D146" s="15" t="inlineStr">
        <is>
          <t>KOSDAQ</t>
        </is>
      </c>
      <c r="E146" s="15" t="inlineStr">
        <is>
          <t>IDM/제조/메모리</t>
        </is>
      </c>
      <c r="F146" s="15" t="n">
        <v>53.62</v>
      </c>
      <c r="G146" s="15" t="n">
        <v>7.14</v>
      </c>
      <c r="H146" s="15" t="inlineStr">
        <is>
          <t>중립</t>
        </is>
      </c>
      <c r="I146" s="15" t="inlineStr">
        <is>
          <t>0.8509295904965918</t>
        </is>
      </c>
      <c r="J146" t="inlineStr"/>
      <c r="K146" t="inlineStr"/>
      <c r="L146" t="inlineStr"/>
    </row>
    <row r="147" ht="22" customHeight="1">
      <c r="A147" s="15" t="inlineStr">
        <is>
          <t>피에스케이</t>
        </is>
      </c>
      <c r="B147" t="inlineStr"/>
      <c r="C147" s="15" t="inlineStr">
        <is>
          <t>319660</t>
        </is>
      </c>
      <c r="D147" s="15" t="inlineStr">
        <is>
          <t>KOSDAQ GLOBAL</t>
        </is>
      </c>
      <c r="E147" s="15" t="inlineStr">
        <is>
          <t>장비</t>
        </is>
      </c>
      <c r="F147" s="15" t="n">
        <v>53.57</v>
      </c>
      <c r="G147" s="15" t="n">
        <v>0</v>
      </c>
      <c r="H147" s="15" t="inlineStr">
        <is>
          <t>중립</t>
        </is>
      </c>
      <c r="I147" s="15" t="inlineStr">
        <is>
          <t>0.7072072873445469</t>
        </is>
      </c>
      <c r="J147" t="inlineStr"/>
      <c r="K147" t="inlineStr"/>
      <c r="L147" t="inlineStr"/>
    </row>
    <row r="148" ht="22" customHeight="1">
      <c r="A148" s="15" t="inlineStr">
        <is>
          <t>해성디에스</t>
        </is>
      </c>
      <c r="B148" t="inlineStr"/>
      <c r="C148" s="15" t="inlineStr">
        <is>
          <t>195870</t>
        </is>
      </c>
      <c r="D148" s="15" t="inlineStr">
        <is>
          <t>KOSPI</t>
        </is>
      </c>
      <c r="E148" s="15" t="inlineStr">
        <is>
          <t>후공정/패키징/테스트</t>
        </is>
      </c>
      <c r="F148" s="15" t="n">
        <v>53.33</v>
      </c>
      <c r="G148" s="15" t="n">
        <v>7.14</v>
      </c>
      <c r="H148" s="15" t="inlineStr">
        <is>
          <t>중립</t>
        </is>
      </c>
      <c r="I148" s="15" t="inlineStr">
        <is>
          <t>0.8942165906576592</t>
        </is>
      </c>
      <c r="J148" t="inlineStr"/>
      <c r="K148" t="inlineStr"/>
      <c r="L148" t="inlineStr"/>
    </row>
    <row r="149" ht="22" customHeight="1">
      <c r="A149" s="15" t="inlineStr">
        <is>
          <t>심텍홀딩스</t>
        </is>
      </c>
      <c r="B149" t="inlineStr"/>
      <c r="C149" s="15" t="inlineStr">
        <is>
          <t>036710</t>
        </is>
      </c>
      <c r="D149" s="15" t="inlineStr">
        <is>
          <t>KOSDAQ</t>
        </is>
      </c>
      <c r="E149" s="15" t="inlineStr">
        <is>
          <t>부품/기판</t>
        </is>
      </c>
      <c r="F149" s="15" t="n">
        <v>53.24</v>
      </c>
      <c r="G149" s="15" t="n">
        <v>78.56999999999999</v>
      </c>
      <c r="H149" s="15" t="inlineStr">
        <is>
          <t>중립</t>
        </is>
      </c>
      <c r="I149" s="15" t="inlineStr">
        <is>
          <t>0.726519318190825</t>
        </is>
      </c>
      <c r="J149" t="inlineStr"/>
      <c r="K149" t="inlineStr"/>
      <c r="L149" t="inlineStr"/>
    </row>
    <row r="150" ht="22" customHeight="1">
      <c r="A150" s="15" t="inlineStr">
        <is>
          <t>하나머티리얼즈</t>
        </is>
      </c>
      <c r="B150" t="inlineStr"/>
      <c r="C150" s="15" t="inlineStr">
        <is>
          <t>166090</t>
        </is>
      </c>
      <c r="D150" s="15" t="inlineStr">
        <is>
          <t>KOSDAQ GLOBAL</t>
        </is>
      </c>
      <c r="E150" s="15" t="inlineStr">
        <is>
          <t>IDM/제조/메모리</t>
        </is>
      </c>
      <c r="F150" s="15" t="n">
        <v>53.22</v>
      </c>
      <c r="G150" s="15" t="n">
        <v>0</v>
      </c>
      <c r="H150" s="15" t="inlineStr">
        <is>
          <t>중립</t>
        </is>
      </c>
      <c r="I150" s="15" t="inlineStr">
        <is>
          <t>0.6425667923365267</t>
        </is>
      </c>
      <c r="J150" t="inlineStr"/>
      <c r="K150" t="inlineStr"/>
      <c r="L150" t="inlineStr"/>
    </row>
    <row r="151" ht="22" customHeight="1">
      <c r="A151" s="15" t="inlineStr">
        <is>
          <t>엠디바이스</t>
        </is>
      </c>
      <c r="B151" t="inlineStr"/>
      <c r="C151" s="15" t="inlineStr">
        <is>
          <t>226590</t>
        </is>
      </c>
      <c r="D151" s="15" t="inlineStr">
        <is>
          <t>KOSDAQ</t>
        </is>
      </c>
      <c r="E151" s="15" t="inlineStr">
        <is>
          <t>부품/기판</t>
        </is>
      </c>
      <c r="F151" s="15" t="n">
        <v>53.19</v>
      </c>
      <c r="G151" s="15" t="n">
        <v>42.86</v>
      </c>
      <c r="H151" s="15" t="inlineStr">
        <is>
          <t>중립</t>
        </is>
      </c>
      <c r="I151" s="15" t="inlineStr">
        <is>
          <t>0.7655361666958056</t>
        </is>
      </c>
      <c r="J151" t="inlineStr"/>
      <c r="K151" t="inlineStr"/>
      <c r="L151" t="inlineStr"/>
    </row>
    <row r="152" ht="22" customHeight="1">
      <c r="A152" s="15" t="inlineStr">
        <is>
          <t>제이아이테크</t>
        </is>
      </c>
      <c r="B152" t="inlineStr"/>
      <c r="C152" s="15" t="inlineStr">
        <is>
          <t>417500</t>
        </is>
      </c>
      <c r="D152" s="15" t="inlineStr">
        <is>
          <t>KOSDAQ</t>
        </is>
      </c>
      <c r="E152" s="15" t="inlineStr">
        <is>
          <t>소재</t>
        </is>
      </c>
      <c r="F152" s="15" t="n">
        <v>52.64</v>
      </c>
      <c r="G152" s="15" t="n">
        <v>7.14</v>
      </c>
      <c r="H152" s="15" t="inlineStr">
        <is>
          <t>중립</t>
        </is>
      </c>
      <c r="I152" s="15" t="inlineStr">
        <is>
          <t>0.8525733569966568</t>
        </is>
      </c>
      <c r="J152" t="inlineStr"/>
      <c r="K152" t="inlineStr"/>
      <c r="L152" t="inlineStr"/>
    </row>
    <row r="153" ht="22" customHeight="1">
      <c r="A153" s="15" t="inlineStr">
        <is>
          <t>브이엠</t>
        </is>
      </c>
      <c r="B153" t="inlineStr"/>
      <c r="C153" s="15" t="inlineStr">
        <is>
          <t>089970</t>
        </is>
      </c>
      <c r="D153" s="15" t="inlineStr">
        <is>
          <t>KOSDAQ</t>
        </is>
      </c>
      <c r="E153" s="15" t="inlineStr">
        <is>
          <t>장비</t>
        </is>
      </c>
      <c r="F153" s="15" t="n">
        <v>52.04</v>
      </c>
      <c r="G153" s="15" t="n">
        <v>0</v>
      </c>
      <c r="H153" s="15" t="inlineStr">
        <is>
          <t>중립</t>
        </is>
      </c>
      <c r="I153" s="15" t="inlineStr">
        <is>
          <t>0.737579554357605</t>
        </is>
      </c>
      <c r="J153" t="inlineStr"/>
      <c r="K153" t="inlineStr"/>
      <c r="L153" t="inlineStr"/>
    </row>
    <row r="154" ht="22" customHeight="1">
      <c r="A154" s="15" t="inlineStr">
        <is>
          <t>ISC</t>
        </is>
      </c>
      <c r="B154" t="inlineStr"/>
      <c r="C154" s="15" t="inlineStr">
        <is>
          <t>095340</t>
        </is>
      </c>
      <c r="D154" s="15" t="inlineStr">
        <is>
          <t>KOSDAQ GLOBAL</t>
        </is>
      </c>
      <c r="E154" s="15" t="inlineStr">
        <is>
          <t>후공정/패키징/테스트</t>
        </is>
      </c>
      <c r="F154" s="15" t="n">
        <v>51.76</v>
      </c>
      <c r="G154" s="15" t="n">
        <v>0</v>
      </c>
      <c r="H154" s="15" t="inlineStr">
        <is>
          <t>중립</t>
        </is>
      </c>
      <c r="I154" s="15" t="inlineStr">
        <is>
          <t>0.5753148434947495</t>
        </is>
      </c>
      <c r="J154" t="inlineStr"/>
      <c r="K154" t="inlineStr"/>
      <c r="L154" t="inlineStr"/>
    </row>
    <row r="155" ht="22" customHeight="1">
      <c r="A155" s="15" t="inlineStr">
        <is>
          <t>원익QnC</t>
        </is>
      </c>
      <c r="B155" t="inlineStr"/>
      <c r="C155" s="15" t="inlineStr">
        <is>
          <t>074600</t>
        </is>
      </c>
      <c r="D155" s="15" t="inlineStr">
        <is>
          <t>KOSDAQ GLOBAL</t>
        </is>
      </c>
      <c r="E155" s="15" t="inlineStr">
        <is>
          <t>소재</t>
        </is>
      </c>
      <c r="F155" s="15" t="n">
        <v>51.56</v>
      </c>
      <c r="G155" s="15" t="n">
        <v>28.57</v>
      </c>
      <c r="H155" s="15" t="inlineStr">
        <is>
          <t>중립</t>
        </is>
      </c>
      <c r="I155" s="15" t="inlineStr">
        <is>
          <t>0.4211836082778998</t>
        </is>
      </c>
      <c r="J155" t="inlineStr"/>
      <c r="K155" t="inlineStr"/>
      <c r="L155" t="inlineStr"/>
    </row>
    <row r="156" ht="22" customHeight="1">
      <c r="A156" s="15" t="inlineStr">
        <is>
          <t>엠케이전자</t>
        </is>
      </c>
      <c r="B156" t="inlineStr"/>
      <c r="C156" s="15" t="inlineStr">
        <is>
          <t>033160</t>
        </is>
      </c>
      <c r="D156" s="15" t="inlineStr">
        <is>
          <t>KOSDAQ</t>
        </is>
      </c>
      <c r="E156" s="15" t="inlineStr">
        <is>
          <t>소재</t>
        </is>
      </c>
      <c r="F156" s="15" t="n">
        <v>51.05</v>
      </c>
      <c r="G156" s="15" t="n">
        <v>57.14</v>
      </c>
      <c r="H156" s="15" t="inlineStr">
        <is>
          <t>중립</t>
        </is>
      </c>
      <c r="I156" s="15" t="inlineStr">
        <is>
          <t>0.801168459079624</t>
        </is>
      </c>
      <c r="J156" t="inlineStr"/>
      <c r="K156" t="inlineStr"/>
      <c r="L156" t="inlineStr"/>
    </row>
    <row r="157" ht="22" customHeight="1">
      <c r="A157" s="15" t="inlineStr">
        <is>
          <t>웰킵스하이텍</t>
        </is>
      </c>
      <c r="B157" t="inlineStr"/>
      <c r="C157" s="15" t="inlineStr">
        <is>
          <t>043590</t>
        </is>
      </c>
      <c r="D157" s="15" t="inlineStr">
        <is>
          <t>KOSDAQ</t>
        </is>
      </c>
      <c r="E157" s="15" t="inlineStr">
        <is>
          <t>IDM/제조/메모리</t>
        </is>
      </c>
      <c r="F157" s="15" t="n">
        <v>50.87</v>
      </c>
      <c r="G157" s="15" t="n">
        <v>71.43000000000001</v>
      </c>
      <c r="H157" s="15" t="inlineStr">
        <is>
          <t>중립</t>
        </is>
      </c>
      <c r="I157" s="15" t="inlineStr">
        <is>
          <t>0.7753200487478359</t>
        </is>
      </c>
      <c r="J157" t="inlineStr"/>
      <c r="K157" t="inlineStr"/>
      <c r="L157" t="inlineStr"/>
    </row>
    <row r="158" ht="22" customHeight="1">
      <c r="A158" s="15" t="inlineStr">
        <is>
          <t>타이거일렉</t>
        </is>
      </c>
      <c r="B158" t="inlineStr"/>
      <c r="C158" s="15" t="inlineStr">
        <is>
          <t>219130</t>
        </is>
      </c>
      <c r="D158" s="15" t="inlineStr">
        <is>
          <t>KOSDAQ</t>
        </is>
      </c>
      <c r="E158" s="15" t="inlineStr">
        <is>
          <t>부품/기판</t>
        </is>
      </c>
      <c r="F158" s="15" t="n">
        <v>50.67</v>
      </c>
      <c r="G158" s="15" t="n">
        <v>14.29</v>
      </c>
      <c r="H158" s="15" t="inlineStr">
        <is>
          <t>중립</t>
        </is>
      </c>
      <c r="I158" s="15" t="inlineStr">
        <is>
          <t>0.6463040733623892</t>
        </is>
      </c>
      <c r="J158" t="inlineStr"/>
      <c r="K158" t="inlineStr"/>
      <c r="L158" t="inlineStr"/>
    </row>
    <row r="159" ht="22" customHeight="1">
      <c r="A159" s="15" t="inlineStr">
        <is>
          <t>이수페타시스</t>
        </is>
      </c>
      <c r="B159" t="inlineStr"/>
      <c r="C159" s="15" t="inlineStr">
        <is>
          <t>007660</t>
        </is>
      </c>
      <c r="D159" s="15" t="inlineStr">
        <is>
          <t>KOSPI</t>
        </is>
      </c>
      <c r="E159" s="15" t="inlineStr">
        <is>
          <t>부품/기판</t>
        </is>
      </c>
      <c r="F159" s="15" t="n">
        <v>50.62</v>
      </c>
      <c r="G159" s="15" t="n">
        <v>0</v>
      </c>
      <c r="H159" s="15" t="inlineStr">
        <is>
          <t>중립</t>
        </is>
      </c>
      <c r="I159" s="15" t="inlineStr">
        <is>
          <t>0.599589540069591</t>
        </is>
      </c>
      <c r="J159" t="inlineStr"/>
      <c r="K159" t="inlineStr"/>
      <c r="L159" t="inlineStr"/>
    </row>
    <row r="160" ht="22" customHeight="1">
      <c r="A160" s="15" t="inlineStr">
        <is>
          <t>에이팩트</t>
        </is>
      </c>
      <c r="B160" t="inlineStr"/>
      <c r="C160" s="15" t="inlineStr">
        <is>
          <t>200470</t>
        </is>
      </c>
      <c r="D160" s="15" t="inlineStr">
        <is>
          <t>KOSDAQ</t>
        </is>
      </c>
      <c r="E160" s="15" t="inlineStr">
        <is>
          <t>후공정/패키징/테스트</t>
        </is>
      </c>
      <c r="F160" s="15" t="n">
        <v>50.27</v>
      </c>
      <c r="G160" s="15" t="n">
        <v>42.86</v>
      </c>
      <c r="H160" s="15" t="inlineStr">
        <is>
          <t>중립</t>
        </is>
      </c>
      <c r="I160" s="15" t="inlineStr">
        <is>
          <t>0.8010795762920226</t>
        </is>
      </c>
      <c r="J160" t="inlineStr"/>
      <c r="K160" t="inlineStr"/>
      <c r="L160" t="inlineStr"/>
    </row>
    <row r="161" ht="22" customHeight="1">
      <c r="A161" s="15" t="inlineStr">
        <is>
          <t>와이엠티</t>
        </is>
      </c>
      <c r="B161" t="inlineStr"/>
      <c r="C161" s="15" t="inlineStr">
        <is>
          <t>251370</t>
        </is>
      </c>
      <c r="D161" s="15" t="inlineStr">
        <is>
          <t>KOSDAQ</t>
        </is>
      </c>
      <c r="E161" s="15" t="inlineStr">
        <is>
          <t>소재</t>
        </is>
      </c>
      <c r="F161" s="15" t="n">
        <v>49.9</v>
      </c>
      <c r="G161" s="15" t="n">
        <v>21.43</v>
      </c>
      <c r="H161" s="15" t="inlineStr">
        <is>
          <t>중립</t>
        </is>
      </c>
      <c r="I161" s="15" t="inlineStr">
        <is>
          <t>0.730943868859095</t>
        </is>
      </c>
      <c r="J161" t="inlineStr"/>
      <c r="K161" t="inlineStr"/>
      <c r="L161" t="inlineStr"/>
    </row>
    <row r="162" ht="22" customHeight="1">
      <c r="A162" s="15" t="inlineStr">
        <is>
          <t>아이케이세미콘</t>
        </is>
      </c>
      <c r="B162" t="inlineStr"/>
      <c r="C162" s="15" t="inlineStr">
        <is>
          <t>149010</t>
        </is>
      </c>
      <c r="D162" s="15" t="inlineStr">
        <is>
          <t>KONEX</t>
        </is>
      </c>
      <c r="E162" s="15" t="inlineStr">
        <is>
          <t>팹리스/설계</t>
        </is>
      </c>
      <c r="F162" s="15" t="n">
        <v>49.8</v>
      </c>
      <c r="G162" s="15" t="n">
        <v>64.29000000000001</v>
      </c>
      <c r="H162" s="15" t="inlineStr">
        <is>
          <t>중립</t>
        </is>
      </c>
      <c r="I162" s="15" t="inlineStr">
        <is>
          <t>0.9626560040296214</t>
        </is>
      </c>
      <c r="J162" t="inlineStr"/>
      <c r="K162" t="inlineStr"/>
      <c r="L162" t="inlineStr"/>
    </row>
    <row r="163" ht="22" customHeight="1">
      <c r="A163" s="15" t="inlineStr">
        <is>
          <t>코세스</t>
        </is>
      </c>
      <c r="B163" t="inlineStr"/>
      <c r="C163" s="15" t="inlineStr">
        <is>
          <t>089890</t>
        </is>
      </c>
      <c r="D163" s="15" t="inlineStr">
        <is>
          <t>KOSDAQ</t>
        </is>
      </c>
      <c r="E163" s="15" t="inlineStr">
        <is>
          <t>장비</t>
        </is>
      </c>
      <c r="F163" s="15" t="n">
        <v>49.79</v>
      </c>
      <c r="G163" s="15" t="n">
        <v>7.14</v>
      </c>
      <c r="H163" s="15" t="inlineStr">
        <is>
          <t>중립</t>
        </is>
      </c>
      <c r="I163" s="15" t="inlineStr">
        <is>
          <t>0.7228094449358575</t>
        </is>
      </c>
      <c r="J163" t="inlineStr"/>
      <c r="K163" t="inlineStr"/>
      <c r="L163" t="inlineStr"/>
    </row>
    <row r="164" ht="22" customHeight="1">
      <c r="A164" s="15" t="inlineStr">
        <is>
          <t>코스텍시스템</t>
        </is>
      </c>
      <c r="B164" t="inlineStr"/>
      <c r="C164" s="15" t="inlineStr">
        <is>
          <t>169670</t>
        </is>
      </c>
      <c r="D164" s="15" t="inlineStr">
        <is>
          <t>KONEX</t>
        </is>
      </c>
      <c r="E164" s="15" t="inlineStr">
        <is>
          <t>장비</t>
        </is>
      </c>
      <c r="F164" s="15" t="n">
        <v>49.6</v>
      </c>
      <c r="G164" s="15" t="n">
        <v>21.43</v>
      </c>
      <c r="H164" s="15" t="inlineStr">
        <is>
          <t>중립</t>
        </is>
      </c>
      <c r="I164" s="15" t="inlineStr">
        <is>
          <t>0.9640840061970892</t>
        </is>
      </c>
      <c r="J164" t="inlineStr"/>
      <c r="K164" t="inlineStr"/>
      <c r="L164" t="inlineStr"/>
    </row>
    <row r="165" ht="22" customHeight="1">
      <c r="A165" s="15" t="inlineStr">
        <is>
          <t>삼성전기</t>
        </is>
      </c>
      <c r="B165" t="inlineStr"/>
      <c r="C165" s="15" t="inlineStr">
        <is>
          <t>009150</t>
        </is>
      </c>
      <c r="D165" s="15" t="inlineStr">
        <is>
          <t>KOSPI</t>
        </is>
      </c>
      <c r="E165" s="15" t="inlineStr">
        <is>
          <t>후공정/패키징/테스트</t>
        </is>
      </c>
      <c r="F165" s="15" t="n">
        <v>49.57</v>
      </c>
      <c r="G165" s="15" t="n">
        <v>0</v>
      </c>
      <c r="H165" s="15" t="inlineStr">
        <is>
          <t>중립</t>
        </is>
      </c>
      <c r="I165" s="15" t="inlineStr">
        <is>
          <t>0.5297655139045552</t>
        </is>
      </c>
      <c r="J165" t="inlineStr"/>
      <c r="K165" t="inlineStr"/>
      <c r="L165" t="inlineStr"/>
    </row>
    <row r="166" ht="22" customHeight="1">
      <c r="A166" s="15" t="inlineStr">
        <is>
          <t>티씨케이</t>
        </is>
      </c>
      <c r="B166" t="inlineStr"/>
      <c r="C166" s="15" t="inlineStr">
        <is>
          <t>064760</t>
        </is>
      </c>
      <c r="D166" s="15" t="inlineStr">
        <is>
          <t>KOSDAQ GLOBAL</t>
        </is>
      </c>
      <c r="E166" s="15" t="inlineStr">
        <is>
          <t>소재</t>
        </is>
      </c>
      <c r="F166" s="15" t="n">
        <v>49.56</v>
      </c>
      <c r="G166" s="15" t="n">
        <v>0</v>
      </c>
      <c r="H166" s="15" t="inlineStr">
        <is>
          <t>중립</t>
        </is>
      </c>
      <c r="I166" s="15" t="inlineStr">
        <is>
          <t>0.6535546916238612</t>
        </is>
      </c>
      <c r="J166" t="inlineStr"/>
      <c r="K166" t="inlineStr"/>
      <c r="L166" t="inlineStr"/>
    </row>
    <row r="167" ht="22" customHeight="1">
      <c r="A167" s="15" t="inlineStr">
        <is>
          <t>텔레칩스</t>
        </is>
      </c>
      <c r="B167" t="inlineStr"/>
      <c r="C167" s="15" t="inlineStr">
        <is>
          <t>054450</t>
        </is>
      </c>
      <c r="D167" s="15" t="inlineStr">
        <is>
          <t>KOSDAQ</t>
        </is>
      </c>
      <c r="E167" s="15" t="inlineStr">
        <is>
          <t>팹리스/설계</t>
        </is>
      </c>
      <c r="F167" s="15" t="n">
        <v>49.43</v>
      </c>
      <c r="G167" s="15" t="n">
        <v>71.43000000000001</v>
      </c>
      <c r="H167" s="15" t="inlineStr">
        <is>
          <t>중립</t>
        </is>
      </c>
      <c r="I167" s="15" t="inlineStr">
        <is>
          <t>0.5716537225721987</t>
        </is>
      </c>
      <c r="J167" t="inlineStr"/>
      <c r="K167" t="inlineStr"/>
      <c r="L167" t="inlineStr"/>
    </row>
    <row r="168" ht="22" customHeight="1">
      <c r="A168" s="15" t="inlineStr">
        <is>
          <t>에이엘티</t>
        </is>
      </c>
      <c r="B168" t="inlineStr"/>
      <c r="C168" s="15" t="inlineStr">
        <is>
          <t>172670</t>
        </is>
      </c>
      <c r="D168" s="15" t="inlineStr">
        <is>
          <t>KOSDAQ</t>
        </is>
      </c>
      <c r="E168" s="15" t="inlineStr">
        <is>
          <t>후공정/패키징/테스트</t>
        </is>
      </c>
      <c r="F168" s="15" t="n">
        <v>48.77</v>
      </c>
      <c r="G168" s="15" t="n">
        <v>35.71</v>
      </c>
      <c r="H168" s="15" t="inlineStr">
        <is>
          <t>중립</t>
        </is>
      </c>
      <c r="I168" s="15" t="inlineStr">
        <is>
          <t>0.5308622758067901</t>
        </is>
      </c>
      <c r="J168" t="inlineStr"/>
      <c r="K168" t="inlineStr"/>
      <c r="L168" t="inlineStr"/>
    </row>
    <row r="169" ht="22" customHeight="1">
      <c r="A169" s="15" t="inlineStr">
        <is>
          <t>알파칩스</t>
        </is>
      </c>
      <c r="B169" t="inlineStr"/>
      <c r="C169" s="15" t="inlineStr">
        <is>
          <t>117670</t>
        </is>
      </c>
      <c r="D169" s="15" t="inlineStr">
        <is>
          <t>KOSDAQ</t>
        </is>
      </c>
      <c r="E169" s="15" t="inlineStr">
        <is>
          <t>팹리스/설계</t>
        </is>
      </c>
      <c r="F169" s="15" t="n">
        <v>48.26</v>
      </c>
      <c r="G169" s="15" t="n">
        <v>28.57</v>
      </c>
      <c r="H169" s="15" t="inlineStr">
        <is>
          <t>중립</t>
        </is>
      </c>
      <c r="I169" s="15" t="inlineStr">
        <is>
          <t>0.7398835550872951</t>
        </is>
      </c>
      <c r="J169" t="inlineStr"/>
      <c r="K169" t="inlineStr"/>
      <c r="L169" t="inlineStr"/>
    </row>
    <row r="170" ht="22" customHeight="1">
      <c r="A170" s="15" t="inlineStr">
        <is>
          <t>큐알티</t>
        </is>
      </c>
      <c r="B170" t="inlineStr"/>
      <c r="C170" s="15" t="inlineStr">
        <is>
          <t>405100</t>
        </is>
      </c>
      <c r="D170" s="15" t="inlineStr">
        <is>
          <t>KOSDAQ</t>
        </is>
      </c>
      <c r="E170" s="15" t="inlineStr">
        <is>
          <t>후공정/패키징/테스트</t>
        </is>
      </c>
      <c r="F170" s="15" t="n">
        <v>47.82</v>
      </c>
      <c r="G170" s="15" t="n">
        <v>0</v>
      </c>
      <c r="H170" s="15" t="inlineStr">
        <is>
          <t>중립</t>
        </is>
      </c>
      <c r="I170" s="15" t="inlineStr">
        <is>
          <t>0.4463498311096922</t>
        </is>
      </c>
      <c r="J170" t="inlineStr"/>
      <c r="K170" t="inlineStr"/>
      <c r="L170" t="inlineStr"/>
    </row>
    <row r="171" ht="22" customHeight="1">
      <c r="A171" s="15" t="inlineStr">
        <is>
          <t>테크엘</t>
        </is>
      </c>
      <c r="B171" t="inlineStr"/>
      <c r="C171" s="15" t="inlineStr">
        <is>
          <t>064520</t>
        </is>
      </c>
      <c r="D171" s="15" t="inlineStr">
        <is>
          <t>KOSDAQ</t>
        </is>
      </c>
      <c r="E171" s="15" t="inlineStr">
        <is>
          <t>IDM/제조/메모리</t>
        </is>
      </c>
      <c r="F171" s="15" t="n">
        <v>47.57</v>
      </c>
      <c r="G171" s="15" t="n">
        <v>50</v>
      </c>
      <c r="H171" s="15" t="inlineStr">
        <is>
          <t>중립</t>
        </is>
      </c>
      <c r="I171" s="15" t="inlineStr">
        <is>
          <t>0.7806095936743286</t>
        </is>
      </c>
      <c r="J171" t="inlineStr"/>
      <c r="K171" t="inlineStr"/>
      <c r="L171" t="inlineStr"/>
    </row>
    <row r="172" ht="22" customHeight="1">
      <c r="A172" s="15" t="inlineStr">
        <is>
          <t>HPSP</t>
        </is>
      </c>
      <c r="B172" t="inlineStr"/>
      <c r="C172" s="15" t="inlineStr">
        <is>
          <t>403870</t>
        </is>
      </c>
      <c r="D172" s="15" t="inlineStr">
        <is>
          <t>KOSDAQ GLOBAL</t>
        </is>
      </c>
      <c r="E172" s="15" t="inlineStr">
        <is>
          <t>장비</t>
        </is>
      </c>
      <c r="F172" s="15" t="n">
        <v>47.52</v>
      </c>
      <c r="G172" s="15" t="n">
        <v>0</v>
      </c>
      <c r="H172" s="15" t="inlineStr">
        <is>
          <t>중립</t>
        </is>
      </c>
      <c r="I172" s="15" t="inlineStr">
        <is>
          <t>0.7108284021978194</t>
        </is>
      </c>
      <c r="J172" t="inlineStr"/>
      <c r="K172" t="inlineStr"/>
      <c r="L172" t="inlineStr"/>
    </row>
    <row r="173" ht="22" customHeight="1">
      <c r="A173" s="15" t="inlineStr">
        <is>
          <t>라온로보틱스</t>
        </is>
      </c>
      <c r="B173" t="inlineStr"/>
      <c r="C173" s="15" t="inlineStr">
        <is>
          <t>232680</t>
        </is>
      </c>
      <c r="D173" s="15" t="inlineStr">
        <is>
          <t>KOSDAQ</t>
        </is>
      </c>
      <c r="E173" s="15" t="inlineStr">
        <is>
          <t>팹리스/설계</t>
        </is>
      </c>
      <c r="F173" s="15" t="n">
        <v>47.45</v>
      </c>
      <c r="G173" s="15" t="n">
        <v>14.29</v>
      </c>
      <c r="H173" s="15" t="inlineStr">
        <is>
          <t>중립</t>
        </is>
      </c>
      <c r="I173" s="15" t="inlineStr">
        <is>
          <t>0.7863374675167921</t>
        </is>
      </c>
      <c r="J173" t="inlineStr"/>
      <c r="K173" t="inlineStr"/>
      <c r="L173" t="inlineStr"/>
    </row>
    <row r="174" ht="22" customHeight="1">
      <c r="A174" s="15" t="inlineStr">
        <is>
          <t>서울반도체</t>
        </is>
      </c>
      <c r="B174" t="inlineStr"/>
      <c r="C174" s="15" t="inlineStr">
        <is>
          <t>046890</t>
        </is>
      </c>
      <c r="D174" s="15" t="inlineStr">
        <is>
          <t>KOSDAQ GLOBAL</t>
        </is>
      </c>
      <c r="E174" s="15" t="inlineStr">
        <is>
          <t>IDM/제조/메모리</t>
        </is>
      </c>
      <c r="F174" s="15" t="n">
        <v>47.13</v>
      </c>
      <c r="G174" s="15" t="n">
        <v>42.86</v>
      </c>
      <c r="H174" s="15" t="inlineStr">
        <is>
          <t>중립</t>
        </is>
      </c>
      <c r="I174" s="15" t="inlineStr">
        <is>
          <t>0.8223266790603506</t>
        </is>
      </c>
      <c r="J174" t="inlineStr"/>
      <c r="K174" t="inlineStr"/>
      <c r="L174" t="inlineStr"/>
    </row>
    <row r="175" ht="22" customHeight="1">
      <c r="A175" s="15" t="inlineStr">
        <is>
          <t>한미반도체</t>
        </is>
      </c>
      <c r="B175" s="15" t="inlineStr">
        <is>
          <t>hanmi</t>
        </is>
      </c>
      <c r="C175" s="15" t="inlineStr">
        <is>
          <t>042700</t>
        </is>
      </c>
      <c r="D175" s="15" t="inlineStr">
        <is>
          <t>KOSPI</t>
        </is>
      </c>
      <c r="E175" s="15" t="inlineStr">
        <is>
          <t>후공정/패키징/테스트</t>
        </is>
      </c>
      <c r="F175" s="15" t="n">
        <v>47.13</v>
      </c>
      <c r="G175" s="15" t="n">
        <v>0</v>
      </c>
      <c r="H175" s="15" t="inlineStr">
        <is>
          <t>중립</t>
        </is>
      </c>
      <c r="I175" s="15" t="inlineStr">
        <is>
          <t>0.618072727307107</t>
        </is>
      </c>
      <c r="J175" s="15" t="inlineStr">
        <is>
          <t>예</t>
        </is>
      </c>
      <c r="K175" t="inlineStr"/>
      <c r="L175" t="inlineStr"/>
    </row>
    <row r="176" ht="22" customHeight="1">
      <c r="A176" s="15" t="inlineStr">
        <is>
          <t>큐엠씨</t>
        </is>
      </c>
      <c r="B176" t="inlineStr"/>
      <c r="C176" s="15" t="inlineStr">
        <is>
          <t>136660</t>
        </is>
      </c>
      <c r="D176" s="15" t="inlineStr">
        <is>
          <t>KONEX</t>
        </is>
      </c>
      <c r="E176" s="15" t="inlineStr">
        <is>
          <t>후공정/패키징/테스트</t>
        </is>
      </c>
      <c r="F176" s="15" t="n">
        <v>47.11</v>
      </c>
      <c r="G176" s="15" t="n">
        <v>28.57</v>
      </c>
      <c r="H176" s="15" t="inlineStr">
        <is>
          <t>중립</t>
        </is>
      </c>
      <c r="I176" s="15" t="inlineStr">
        <is>
          <t>0.9731046168075388</t>
        </is>
      </c>
      <c r="J176" t="inlineStr"/>
      <c r="K176" t="inlineStr"/>
      <c r="L176" t="inlineStr"/>
    </row>
    <row r="177" ht="22" customHeight="1">
      <c r="A177" s="15" t="inlineStr">
        <is>
          <t>동진쎄미켐</t>
        </is>
      </c>
      <c r="B177" t="inlineStr"/>
      <c r="C177" s="15" t="inlineStr">
        <is>
          <t>005290</t>
        </is>
      </c>
      <c r="D177" s="15" t="inlineStr">
        <is>
          <t>KOSDAQ</t>
        </is>
      </c>
      <c r="E177" s="15" t="inlineStr">
        <is>
          <t>소재</t>
        </is>
      </c>
      <c r="F177" s="15" t="n">
        <v>47.03</v>
      </c>
      <c r="G177" s="15" t="n">
        <v>0</v>
      </c>
      <c r="H177" s="15" t="inlineStr">
        <is>
          <t>중립</t>
        </is>
      </c>
      <c r="I177" s="15" t="inlineStr">
        <is>
          <t>0.48929755601795294</t>
        </is>
      </c>
      <c r="J177" t="inlineStr"/>
      <c r="K177" t="inlineStr"/>
      <c r="L177" t="inlineStr"/>
    </row>
    <row r="178" ht="22" customHeight="1">
      <c r="A178" s="15" t="inlineStr">
        <is>
          <t>럭스피아</t>
        </is>
      </c>
      <c r="B178" t="inlineStr"/>
      <c r="C178" s="15" t="inlineStr">
        <is>
          <t>092590</t>
        </is>
      </c>
      <c r="D178" s="15" t="inlineStr">
        <is>
          <t>KONEX</t>
        </is>
      </c>
      <c r="E178" s="15" t="inlineStr">
        <is>
          <t>후공정/패키징/테스트</t>
        </is>
      </c>
      <c r="F178" s="15" t="n">
        <v>46.81</v>
      </c>
      <c r="G178" s="15" t="n">
        <v>28.57</v>
      </c>
      <c r="H178" s="15" t="inlineStr">
        <is>
          <t>중립</t>
        </is>
      </c>
      <c r="I178" s="15" t="inlineStr">
        <is>
          <t>0.969533908094729</t>
        </is>
      </c>
      <c r="J178" t="inlineStr"/>
      <c r="K178" t="inlineStr"/>
      <c r="L178" t="inlineStr"/>
    </row>
    <row r="179" ht="22" customHeight="1">
      <c r="A179" s="15" t="inlineStr">
        <is>
          <t>코리아써키트</t>
        </is>
      </c>
      <c r="B179" t="inlineStr"/>
      <c r="C179" s="15" t="inlineStr">
        <is>
          <t>007810</t>
        </is>
      </c>
      <c r="D179" s="15" t="inlineStr">
        <is>
          <t>KOSPI</t>
        </is>
      </c>
      <c r="E179" s="15" t="inlineStr">
        <is>
          <t>부품/기판</t>
        </is>
      </c>
      <c r="F179" s="15" t="n">
        <v>46.76</v>
      </c>
      <c r="G179" s="15" t="n">
        <v>28.57</v>
      </c>
      <c r="H179" s="15" t="inlineStr">
        <is>
          <t>중립</t>
        </is>
      </c>
      <c r="I179" s="15" t="inlineStr">
        <is>
          <t>0.8409076697911426</t>
        </is>
      </c>
      <c r="J179" t="inlineStr"/>
      <c r="K179" t="inlineStr"/>
      <c r="L179" t="inlineStr"/>
    </row>
    <row r="180" ht="22" customHeight="1">
      <c r="A180" s="15" t="inlineStr">
        <is>
          <t>싸이닉솔루션</t>
        </is>
      </c>
      <c r="B180" t="inlineStr"/>
      <c r="C180" s="15" t="inlineStr">
        <is>
          <t>234030</t>
        </is>
      </c>
      <c r="D180" s="15" t="inlineStr">
        <is>
          <t>KOSDAQ</t>
        </is>
      </c>
      <c r="E180" s="15" t="inlineStr">
        <is>
          <t>팹리스/설계</t>
        </is>
      </c>
      <c r="F180" s="15" t="n">
        <v>46.71</v>
      </c>
      <c r="G180" s="15" t="n">
        <v>35.71</v>
      </c>
      <c r="H180" s="15" t="inlineStr">
        <is>
          <t>중립</t>
        </is>
      </c>
      <c r="I180" s="15" t="inlineStr">
        <is>
          <t>0.7962034217650586</t>
        </is>
      </c>
      <c r="J180" t="inlineStr"/>
      <c r="K180" t="inlineStr"/>
      <c r="L180" t="inlineStr"/>
    </row>
    <row r="181" ht="22" customHeight="1">
      <c r="A181" s="15" t="inlineStr">
        <is>
          <t>HD현대에너지솔루션</t>
        </is>
      </c>
      <c r="B181" t="inlineStr"/>
      <c r="C181" s="15" t="inlineStr">
        <is>
          <t>322000</t>
        </is>
      </c>
      <c r="D181" s="15" t="inlineStr">
        <is>
          <t>KOSPI</t>
        </is>
      </c>
      <c r="E181" s="15" t="inlineStr">
        <is>
          <t>IDM/제조/메모리</t>
        </is>
      </c>
      <c r="F181" s="15" t="n">
        <v>46.5</v>
      </c>
      <c r="G181" s="15" t="n">
        <v>14.29</v>
      </c>
      <c r="H181" s="15" t="inlineStr">
        <is>
          <t>중립</t>
        </is>
      </c>
      <c r="I181" s="15" t="inlineStr">
        <is>
          <t>0.6226975287022534</t>
        </is>
      </c>
      <c r="J181" t="inlineStr"/>
      <c r="K181" t="inlineStr"/>
      <c r="L181" t="inlineStr"/>
    </row>
    <row r="182" ht="22" customHeight="1">
      <c r="A182" s="15" t="inlineStr">
        <is>
          <t>원익IPS</t>
        </is>
      </c>
      <c r="B182" t="inlineStr"/>
      <c r="C182" s="15" t="inlineStr">
        <is>
          <t>240810</t>
        </is>
      </c>
      <c r="D182" s="15" t="inlineStr">
        <is>
          <t>KOSDAQ GLOBAL</t>
        </is>
      </c>
      <c r="E182" s="15" t="inlineStr">
        <is>
          <t>장비</t>
        </is>
      </c>
      <c r="F182" s="15" t="n">
        <v>46.35</v>
      </c>
      <c r="G182" s="15" t="n">
        <v>7.14</v>
      </c>
      <c r="H182" s="15" t="inlineStr">
        <is>
          <t>중립</t>
        </is>
      </c>
      <c r="I182" s="15" t="inlineStr">
        <is>
          <t>0.5727476694226805</t>
        </is>
      </c>
      <c r="J182" t="inlineStr"/>
      <c r="K182" t="inlineStr"/>
      <c r="L182" t="inlineStr"/>
    </row>
    <row r="183" ht="22" customHeight="1">
      <c r="A183" s="15" t="inlineStr">
        <is>
          <t>파크시스템스</t>
        </is>
      </c>
      <c r="B183" t="inlineStr"/>
      <c r="C183" s="15" t="inlineStr">
        <is>
          <t>140860</t>
        </is>
      </c>
      <c r="D183" s="15" t="inlineStr">
        <is>
          <t>KOSDAQ GLOBAL</t>
        </is>
      </c>
      <c r="E183" s="15" t="inlineStr">
        <is>
          <t>장비</t>
        </is>
      </c>
      <c r="F183" s="15" t="n">
        <v>46.12</v>
      </c>
      <c r="G183" s="15" t="n">
        <v>7.14</v>
      </c>
      <c r="H183" s="15" t="inlineStr">
        <is>
          <t>중립</t>
        </is>
      </c>
      <c r="I183" s="15" t="inlineStr">
        <is>
          <t>0.7158734205313764</t>
        </is>
      </c>
      <c r="J183" t="inlineStr"/>
      <c r="K183" t="inlineStr"/>
      <c r="L183" t="inlineStr"/>
    </row>
    <row r="184" ht="22" customHeight="1">
      <c r="A184" s="15" t="inlineStr">
        <is>
          <t>와이투솔루션</t>
        </is>
      </c>
      <c r="B184" t="inlineStr"/>
      <c r="C184" s="15" t="inlineStr">
        <is>
          <t>011690</t>
        </is>
      </c>
      <c r="D184" s="15" t="inlineStr">
        <is>
          <t>KOSPI</t>
        </is>
      </c>
      <c r="E184" s="15" t="inlineStr">
        <is>
          <t>IDM/제조/메모리</t>
        </is>
      </c>
      <c r="F184" s="15" t="n">
        <v>46.02</v>
      </c>
      <c r="G184" s="15" t="n">
        <v>57.14</v>
      </c>
      <c r="H184" s="15" t="inlineStr">
        <is>
          <t>중립</t>
        </is>
      </c>
      <c r="I184" s="15" t="inlineStr">
        <is>
          <t>0.7379153959384467</t>
        </is>
      </c>
      <c r="J184" t="inlineStr"/>
      <c r="K184" t="inlineStr"/>
      <c r="L184" t="inlineStr"/>
    </row>
    <row r="185" ht="22" customHeight="1">
      <c r="A185" s="15" t="inlineStr">
        <is>
          <t>서플러스글로벌</t>
        </is>
      </c>
      <c r="B185" t="inlineStr"/>
      <c r="C185" s="15" t="inlineStr">
        <is>
          <t>140070</t>
        </is>
      </c>
      <c r="D185" s="15" t="inlineStr">
        <is>
          <t>KOSDAQ</t>
        </is>
      </c>
      <c r="E185" s="15" t="inlineStr">
        <is>
          <t>장비</t>
        </is>
      </c>
      <c r="F185" s="15" t="n">
        <v>45.95</v>
      </c>
      <c r="G185" s="15" t="n">
        <v>71.43000000000001</v>
      </c>
      <c r="H185" s="15" t="inlineStr">
        <is>
          <t>중립</t>
        </is>
      </c>
      <c r="I185" s="15" t="inlineStr">
        <is>
          <t>0.6515364241286621</t>
        </is>
      </c>
      <c r="J185" t="inlineStr"/>
      <c r="K185" t="inlineStr"/>
      <c r="L185" t="inlineStr"/>
    </row>
    <row r="186" ht="22" customHeight="1">
      <c r="A186" s="15" t="inlineStr">
        <is>
          <t>아이텍</t>
        </is>
      </c>
      <c r="B186" t="inlineStr"/>
      <c r="C186" s="15" t="inlineStr">
        <is>
          <t>119830</t>
        </is>
      </c>
      <c r="D186" s="15" t="inlineStr">
        <is>
          <t>KOSDAQ</t>
        </is>
      </c>
      <c r="E186" s="15" t="inlineStr">
        <is>
          <t>후공정/패키징/테스트</t>
        </is>
      </c>
      <c r="F186" s="15" t="n">
        <v>45.73</v>
      </c>
      <c r="G186" s="15" t="n">
        <v>21.43</v>
      </c>
      <c r="H186" s="15" t="inlineStr">
        <is>
          <t>중립</t>
        </is>
      </c>
      <c r="I186" s="15" t="inlineStr">
        <is>
          <t>0.6018206034002739</t>
        </is>
      </c>
      <c r="J186" t="inlineStr"/>
      <c r="K186" t="inlineStr"/>
      <c r="L186" t="inlineStr"/>
    </row>
    <row r="187" ht="22" customHeight="1">
      <c r="A187" s="15" t="inlineStr">
        <is>
          <t>신성이엔지</t>
        </is>
      </c>
      <c r="B187" t="inlineStr"/>
      <c r="C187" s="15" t="inlineStr">
        <is>
          <t>011930</t>
        </is>
      </c>
      <c r="D187" s="15" t="inlineStr">
        <is>
          <t>KOSPI</t>
        </is>
      </c>
      <c r="E187" s="15" t="inlineStr">
        <is>
          <t>IDM/제조/메모리</t>
        </is>
      </c>
      <c r="F187" s="15" t="n">
        <v>45.52</v>
      </c>
      <c r="G187" s="15" t="n">
        <v>57.14</v>
      </c>
      <c r="H187" s="15" t="inlineStr">
        <is>
          <t>중립</t>
        </is>
      </c>
      <c r="I187" s="15" t="inlineStr">
        <is>
          <t>0.7610157176994289</t>
        </is>
      </c>
      <c r="J187" t="inlineStr"/>
      <c r="K187" t="inlineStr"/>
      <c r="L187" t="inlineStr"/>
    </row>
    <row r="188" ht="22" customHeight="1">
      <c r="A188" s="15" t="inlineStr">
        <is>
          <t>KEC</t>
        </is>
      </c>
      <c r="B188" t="inlineStr"/>
      <c r="C188" s="15" t="inlineStr">
        <is>
          <t>092220</t>
        </is>
      </c>
      <c r="D188" s="15" t="inlineStr">
        <is>
          <t>KOSPI</t>
        </is>
      </c>
      <c r="E188" s="15" t="inlineStr">
        <is>
          <t>IDM/제조/메모리</t>
        </is>
      </c>
      <c r="F188" s="15" t="n">
        <v>45.5</v>
      </c>
      <c r="G188" s="15" t="n">
        <v>50</v>
      </c>
      <c r="H188" s="15" t="inlineStr">
        <is>
          <t>중립</t>
        </is>
      </c>
      <c r="I188" s="15" t="inlineStr">
        <is>
          <t>0.7937660338126779</t>
        </is>
      </c>
      <c r="J188" t="inlineStr"/>
      <c r="K188" t="inlineStr"/>
      <c r="L188" t="inlineStr"/>
    </row>
    <row r="189" ht="22" customHeight="1">
      <c r="A189" s="15" t="inlineStr">
        <is>
          <t>에스티아이</t>
        </is>
      </c>
      <c r="B189" t="inlineStr"/>
      <c r="C189" s="15" t="inlineStr">
        <is>
          <t>039440</t>
        </is>
      </c>
      <c r="D189" s="15" t="inlineStr">
        <is>
          <t>KOSDAQ</t>
        </is>
      </c>
      <c r="E189" s="15" t="inlineStr">
        <is>
          <t>장비</t>
        </is>
      </c>
      <c r="F189" s="15" t="n">
        <v>45.5</v>
      </c>
      <c r="G189" s="15" t="n">
        <v>0</v>
      </c>
      <c r="H189" s="15" t="inlineStr">
        <is>
          <t>중립</t>
        </is>
      </c>
      <c r="I189" s="15" t="inlineStr">
        <is>
          <t>0.53270990340385</t>
        </is>
      </c>
      <c r="J189" t="inlineStr"/>
      <c r="K189" t="inlineStr"/>
      <c r="L189" t="inlineStr"/>
    </row>
    <row r="190" ht="22" customHeight="1">
      <c r="A190" s="15" t="inlineStr">
        <is>
          <t>윈팩</t>
        </is>
      </c>
      <c r="B190" t="inlineStr"/>
      <c r="C190" s="15" t="inlineStr">
        <is>
          <t>097800</t>
        </is>
      </c>
      <c r="D190" s="15" t="inlineStr">
        <is>
          <t>KOSDAQ</t>
        </is>
      </c>
      <c r="E190" s="15" t="inlineStr">
        <is>
          <t>후공정/패키징/테스트</t>
        </is>
      </c>
      <c r="F190" s="15" t="n">
        <v>44.18</v>
      </c>
      <c r="G190" s="15" t="n">
        <v>71.43000000000001</v>
      </c>
      <c r="H190" s="15" t="inlineStr">
        <is>
          <t>중립</t>
        </is>
      </c>
      <c r="I190" s="15" t="inlineStr">
        <is>
          <t>0.5735742758518154</t>
        </is>
      </c>
      <c r="J190" t="inlineStr"/>
      <c r="K190" t="inlineStr"/>
      <c r="L190" t="inlineStr"/>
    </row>
    <row r="191" ht="22" customHeight="1">
      <c r="A191" s="15" t="inlineStr">
        <is>
          <t>켐트로닉스</t>
        </is>
      </c>
      <c r="B191" t="inlineStr"/>
      <c r="C191" s="15" t="inlineStr">
        <is>
          <t>089010</t>
        </is>
      </c>
      <c r="D191" s="15" t="inlineStr">
        <is>
          <t>KOSDAQ</t>
        </is>
      </c>
      <c r="E191" s="15" t="inlineStr">
        <is>
          <t>소재</t>
        </is>
      </c>
      <c r="F191" s="15" t="n">
        <v>44.13</v>
      </c>
      <c r="G191" s="15" t="n">
        <v>35.71</v>
      </c>
      <c r="H191" s="15" t="inlineStr">
        <is>
          <t>중립</t>
        </is>
      </c>
      <c r="I191" s="15" t="inlineStr">
        <is>
          <t>0.7697961799623572</t>
        </is>
      </c>
      <c r="J191" t="inlineStr"/>
      <c r="K191" t="inlineStr"/>
      <c r="L191" t="inlineStr"/>
    </row>
    <row r="192" ht="22" customHeight="1">
      <c r="A192" s="15" t="inlineStr">
        <is>
          <t>팸텍</t>
        </is>
      </c>
      <c r="B192" t="inlineStr"/>
      <c r="C192" s="15" t="inlineStr">
        <is>
          <t>271830</t>
        </is>
      </c>
      <c r="D192" s="15" t="inlineStr">
        <is>
          <t>KOSDAQ</t>
        </is>
      </c>
      <c r="E192" s="15" t="inlineStr">
        <is>
          <t>후공정/패키징/테스트</t>
        </is>
      </c>
      <c r="F192" s="15" t="n">
        <v>44.03</v>
      </c>
      <c r="G192" s="15" t="n">
        <v>57.14</v>
      </c>
      <c r="H192" s="15" t="inlineStr">
        <is>
          <t>중립</t>
        </is>
      </c>
      <c r="I192" s="15" t="inlineStr">
        <is>
          <t>0.6809009837226325</t>
        </is>
      </c>
      <c r="J192" t="inlineStr"/>
      <c r="K192" t="inlineStr"/>
      <c r="L192" t="inlineStr"/>
    </row>
    <row r="193" ht="22" customHeight="1">
      <c r="A193" s="15" t="inlineStr">
        <is>
          <t>LB세미콘</t>
        </is>
      </c>
      <c r="B193" t="inlineStr"/>
      <c r="C193" s="15" t="inlineStr">
        <is>
          <t>061970</t>
        </is>
      </c>
      <c r="D193" s="15" t="inlineStr">
        <is>
          <t>KOSDAQ</t>
        </is>
      </c>
      <c r="E193" s="15" t="inlineStr">
        <is>
          <t>후공정/패키징/테스트</t>
        </is>
      </c>
      <c r="F193" s="15" t="n">
        <v>43.94</v>
      </c>
      <c r="G193" s="15" t="n">
        <v>57.14</v>
      </c>
      <c r="H193" s="15" t="inlineStr">
        <is>
          <t>중립</t>
        </is>
      </c>
      <c r="I193" s="15" t="inlineStr">
        <is>
          <t>0.519835518569549</t>
        </is>
      </c>
      <c r="J193" t="inlineStr"/>
      <c r="K193" t="inlineStr"/>
      <c r="L193" t="inlineStr"/>
    </row>
    <row r="194" ht="22" customHeight="1">
      <c r="A194" s="15" t="inlineStr">
        <is>
          <t>유진테크</t>
        </is>
      </c>
      <c r="B194" t="inlineStr"/>
      <c r="C194" s="15" t="inlineStr">
        <is>
          <t>084370</t>
        </is>
      </c>
      <c r="D194" s="15" t="inlineStr">
        <is>
          <t>KOSDAQ</t>
        </is>
      </c>
      <c r="E194" s="15" t="inlineStr">
        <is>
          <t>장비</t>
        </is>
      </c>
      <c r="F194" s="15" t="n">
        <v>43.36</v>
      </c>
      <c r="G194" s="15" t="n">
        <v>0</v>
      </c>
      <c r="H194" s="15" t="inlineStr">
        <is>
          <t>중립</t>
        </is>
      </c>
      <c r="I194" s="15" t="inlineStr">
        <is>
          <t>0.7415227894291446</t>
        </is>
      </c>
      <c r="J194" t="inlineStr"/>
      <c r="K194" t="inlineStr"/>
      <c r="L194" t="inlineStr"/>
    </row>
    <row r="195" ht="22" customHeight="1">
      <c r="A195" s="15" t="inlineStr">
        <is>
          <t>일진디스플</t>
        </is>
      </c>
      <c r="B195" t="inlineStr"/>
      <c r="C195" s="15" t="inlineStr">
        <is>
          <t>020760</t>
        </is>
      </c>
      <c r="D195" s="15" t="inlineStr">
        <is>
          <t>KOSPI</t>
        </is>
      </c>
      <c r="E195" s="15" t="inlineStr">
        <is>
          <t>IDM/제조/메모리</t>
        </is>
      </c>
      <c r="F195" s="15" t="n">
        <v>43.35</v>
      </c>
      <c r="G195" s="15" t="n">
        <v>64.29000000000001</v>
      </c>
      <c r="H195" s="15" t="inlineStr">
        <is>
          <t>중립</t>
        </is>
      </c>
      <c r="I195" s="15" t="inlineStr">
        <is>
          <t>0.7887205359697603</t>
        </is>
      </c>
      <c r="J195" t="inlineStr"/>
      <c r="K195" t="inlineStr"/>
      <c r="L195" t="inlineStr"/>
    </row>
    <row r="196" ht="22" customHeight="1">
      <c r="A196" s="15" t="inlineStr">
        <is>
          <t>덕산하이메탈</t>
        </is>
      </c>
      <c r="B196" t="inlineStr"/>
      <c r="C196" s="15" t="inlineStr">
        <is>
          <t>077360</t>
        </is>
      </c>
      <c r="D196" s="15" t="inlineStr">
        <is>
          <t>KOSDAQ</t>
        </is>
      </c>
      <c r="E196" s="15" t="inlineStr">
        <is>
          <t>IDM/제조/메모리</t>
        </is>
      </c>
      <c r="F196" s="15" t="n">
        <v>43.33</v>
      </c>
      <c r="G196" s="15" t="n">
        <v>28.57</v>
      </c>
      <c r="H196" s="15" t="inlineStr">
        <is>
          <t>중립</t>
        </is>
      </c>
      <c r="I196" s="15" t="inlineStr">
        <is>
          <t>0.6698541971057747</t>
        </is>
      </c>
      <c r="J196" t="inlineStr"/>
      <c r="K196" t="inlineStr"/>
      <c r="L196" t="inlineStr"/>
    </row>
    <row r="197" ht="22" customHeight="1">
      <c r="A197" s="15" t="inlineStr">
        <is>
          <t>솔브레인</t>
        </is>
      </c>
      <c r="B197" t="inlineStr"/>
      <c r="C197" s="15" t="inlineStr">
        <is>
          <t>357780</t>
        </is>
      </c>
      <c r="D197" s="15" t="inlineStr">
        <is>
          <t>KOSDAQ GLOBAL</t>
        </is>
      </c>
      <c r="E197" s="15" t="inlineStr">
        <is>
          <t>소재</t>
        </is>
      </c>
      <c r="F197" s="15" t="n">
        <v>43.31</v>
      </c>
      <c r="G197" s="15" t="n">
        <v>0</v>
      </c>
      <c r="H197" s="15" t="inlineStr">
        <is>
          <t>중립</t>
        </is>
      </c>
      <c r="I197" s="15" t="inlineStr">
        <is>
          <t>0.6367158518654258</t>
        </is>
      </c>
      <c r="J197" t="inlineStr"/>
      <c r="K197" t="inlineStr"/>
      <c r="L197" t="inlineStr"/>
    </row>
    <row r="198" ht="22" customHeight="1">
      <c r="A198" s="15" t="inlineStr">
        <is>
          <t>제이티</t>
        </is>
      </c>
      <c r="B198" t="inlineStr"/>
      <c r="C198" s="15" t="inlineStr">
        <is>
          <t>089790</t>
        </is>
      </c>
      <c r="D198" s="15" t="inlineStr">
        <is>
          <t>KOSDAQ</t>
        </is>
      </c>
      <c r="E198" s="15" t="inlineStr">
        <is>
          <t>후공정/패키징/테스트</t>
        </is>
      </c>
      <c r="F198" s="15" t="n">
        <v>42.93</v>
      </c>
      <c r="G198" s="15" t="n">
        <v>28.57</v>
      </c>
      <c r="H198" s="15" t="inlineStr">
        <is>
          <t>중립</t>
        </is>
      </c>
      <c r="I198" s="15" t="inlineStr">
        <is>
          <t>0.7953438622461361</t>
        </is>
      </c>
      <c r="J198" t="inlineStr"/>
      <c r="K198" t="inlineStr"/>
      <c r="L198" t="inlineStr"/>
    </row>
    <row r="199" ht="22" customHeight="1">
      <c r="A199" s="15" t="inlineStr">
        <is>
          <t>아이언디바이스</t>
        </is>
      </c>
      <c r="B199" t="inlineStr"/>
      <c r="C199" s="15" t="inlineStr">
        <is>
          <t>464500</t>
        </is>
      </c>
      <c r="D199" s="15" t="inlineStr">
        <is>
          <t>KOSDAQ</t>
        </is>
      </c>
      <c r="E199" s="15" t="inlineStr">
        <is>
          <t>팹리스/설계</t>
        </is>
      </c>
      <c r="F199" s="15" t="n">
        <v>42.79</v>
      </c>
      <c r="G199" s="15" t="n">
        <v>57.14</v>
      </c>
      <c r="H199" s="15" t="inlineStr">
        <is>
          <t>중립</t>
        </is>
      </c>
      <c r="I199" s="15" t="inlineStr">
        <is>
          <t>0.767854918982104</t>
        </is>
      </c>
      <c r="J199" t="inlineStr"/>
      <c r="K199" t="inlineStr"/>
      <c r="L199" t="inlineStr"/>
    </row>
    <row r="200" ht="22" customHeight="1">
      <c r="A200" s="15" t="inlineStr">
        <is>
          <t>제너셈</t>
        </is>
      </c>
      <c r="B200" t="inlineStr"/>
      <c r="C200" s="15" t="inlineStr">
        <is>
          <t>217190</t>
        </is>
      </c>
      <c r="D200" s="15" t="inlineStr">
        <is>
          <t>KOSDAQ</t>
        </is>
      </c>
      <c r="E200" s="15" t="inlineStr">
        <is>
          <t>후공정/패키징/테스트</t>
        </is>
      </c>
      <c r="F200" s="15" t="n">
        <v>42.79</v>
      </c>
      <c r="G200" s="15" t="n">
        <v>28.57</v>
      </c>
      <c r="H200" s="15" t="inlineStr">
        <is>
          <t>중립</t>
        </is>
      </c>
      <c r="I200" s="15" t="inlineStr">
        <is>
          <t>0.7410125545144256</t>
        </is>
      </c>
      <c r="J200" t="inlineStr"/>
      <c r="K200" t="inlineStr"/>
      <c r="L200" t="inlineStr"/>
    </row>
    <row r="201" ht="22" customHeight="1">
      <c r="A201" s="15" t="inlineStr">
        <is>
          <t>에이디테크놀로지</t>
        </is>
      </c>
      <c r="B201" t="inlineStr"/>
      <c r="C201" s="15" t="inlineStr">
        <is>
          <t>200710</t>
        </is>
      </c>
      <c r="D201" s="15" t="inlineStr">
        <is>
          <t>KOSDAQ</t>
        </is>
      </c>
      <c r="E201" s="15" t="inlineStr">
        <is>
          <t>IDM/제조/메모리</t>
        </is>
      </c>
      <c r="F201" s="15" t="n">
        <v>42.72</v>
      </c>
      <c r="G201" s="15" t="n">
        <v>28.57</v>
      </c>
      <c r="H201" s="15" t="inlineStr">
        <is>
          <t>중립</t>
        </is>
      </c>
      <c r="I201" s="15" t="inlineStr">
        <is>
          <t>0.6637416757093363</t>
        </is>
      </c>
      <c r="J201" t="inlineStr"/>
      <c r="K201" t="inlineStr"/>
      <c r="L201" t="inlineStr"/>
    </row>
    <row r="202" ht="22" customHeight="1">
      <c r="A202" s="15" t="inlineStr">
        <is>
          <t>쓰리에이로직스</t>
        </is>
      </c>
      <c r="B202" t="inlineStr"/>
      <c r="C202" s="15" t="inlineStr">
        <is>
          <t>177900</t>
        </is>
      </c>
      <c r="D202" s="15" t="inlineStr">
        <is>
          <t>KOSDAQ</t>
        </is>
      </c>
      <c r="E202" s="15" t="inlineStr">
        <is>
          <t>팹리스/설계</t>
        </is>
      </c>
      <c r="F202" s="15" t="n">
        <v>42.67</v>
      </c>
      <c r="G202" s="15" t="n">
        <v>57.14</v>
      </c>
      <c r="H202" s="15" t="inlineStr">
        <is>
          <t>중립</t>
        </is>
      </c>
      <c r="I202" s="15" t="inlineStr">
        <is>
          <t>0.5793703556022938</t>
        </is>
      </c>
      <c r="J202" t="inlineStr"/>
      <c r="K202" t="inlineStr"/>
      <c r="L202" t="inlineStr"/>
    </row>
    <row r="203" ht="22" customHeight="1">
      <c r="A203" s="15" t="inlineStr">
        <is>
          <t>제우스</t>
        </is>
      </c>
      <c r="B203" t="inlineStr"/>
      <c r="C203" s="15" t="inlineStr">
        <is>
          <t>079370</t>
        </is>
      </c>
      <c r="D203" s="15" t="inlineStr">
        <is>
          <t>KOSDAQ</t>
        </is>
      </c>
      <c r="E203" s="15" t="inlineStr">
        <is>
          <t>장비</t>
        </is>
      </c>
      <c r="F203" s="15" t="n">
        <v>42.59</v>
      </c>
      <c r="G203" s="15" t="n">
        <v>21.43</v>
      </c>
      <c r="H203" s="15" t="inlineStr">
        <is>
          <t>중립</t>
        </is>
      </c>
      <c r="I203" s="15" t="inlineStr">
        <is>
          <t>0.7744454918412472</t>
        </is>
      </c>
      <c r="J203" t="inlineStr"/>
      <c r="K203" t="inlineStr"/>
      <c r="L203" t="inlineStr"/>
    </row>
    <row r="204" ht="22" customHeight="1">
      <c r="A204" s="15" t="inlineStr">
        <is>
          <t>네패스아크</t>
        </is>
      </c>
      <c r="B204" t="inlineStr"/>
      <c r="C204" s="15" t="inlineStr">
        <is>
          <t>330860</t>
        </is>
      </c>
      <c r="D204" s="15" t="inlineStr">
        <is>
          <t>KOSDAQ</t>
        </is>
      </c>
      <c r="E204" s="15" t="inlineStr">
        <is>
          <t>후공정/패키징/테스트</t>
        </is>
      </c>
      <c r="F204" s="15" t="n">
        <v>42.07</v>
      </c>
      <c r="G204" s="15" t="n">
        <v>0</v>
      </c>
      <c r="H204" s="15" t="inlineStr">
        <is>
          <t>고평가 부담</t>
        </is>
      </c>
      <c r="I204" s="15" t="inlineStr">
        <is>
          <t>0.5804758808286147</t>
        </is>
      </c>
      <c r="J204" t="inlineStr"/>
      <c r="K204" t="inlineStr"/>
      <c r="L204" t="inlineStr"/>
    </row>
    <row r="205" ht="22" customHeight="1">
      <c r="A205" s="15" t="inlineStr">
        <is>
          <t>마이크로투나노</t>
        </is>
      </c>
      <c r="B205" t="inlineStr"/>
      <c r="C205" s="15" t="inlineStr">
        <is>
          <t>424980</t>
        </is>
      </c>
      <c r="D205" s="15" t="inlineStr">
        <is>
          <t>KOSDAQ</t>
        </is>
      </c>
      <c r="E205" s="15" t="inlineStr">
        <is>
          <t>후공정/패키징/테스트</t>
        </is>
      </c>
      <c r="F205" s="15" t="n">
        <v>41.88</v>
      </c>
      <c r="G205" s="15" t="n">
        <v>57.14</v>
      </c>
      <c r="H205" s="15" t="inlineStr">
        <is>
          <t>고평가 부담</t>
        </is>
      </c>
      <c r="I205" s="15" t="inlineStr">
        <is>
          <t>0.8919952418828875</t>
        </is>
      </c>
      <c r="J205" t="inlineStr"/>
      <c r="K205" t="inlineStr"/>
      <c r="L205" t="inlineStr"/>
    </row>
    <row r="206" ht="22" customHeight="1">
      <c r="A206" s="15" t="inlineStr">
        <is>
          <t>광전자</t>
        </is>
      </c>
      <c r="B206" t="inlineStr"/>
      <c r="C206" s="15" t="inlineStr">
        <is>
          <t>017900</t>
        </is>
      </c>
      <c r="D206" s="15" t="inlineStr">
        <is>
          <t>KOSPI</t>
        </is>
      </c>
      <c r="E206" s="15" t="inlineStr">
        <is>
          <t>IDM/제조/메모리</t>
        </is>
      </c>
      <c r="F206" s="15" t="n">
        <v>41.84</v>
      </c>
      <c r="G206" s="15" t="n">
        <v>21.43</v>
      </c>
      <c r="H206" s="15" t="inlineStr">
        <is>
          <t>고평가 부담</t>
        </is>
      </c>
      <c r="I206" s="15" t="inlineStr">
        <is>
          <t>0.6817751829328556</t>
        </is>
      </c>
      <c r="J206" t="inlineStr"/>
      <c r="K206" t="inlineStr"/>
      <c r="L206" t="inlineStr"/>
    </row>
    <row r="207" ht="22" customHeight="1">
      <c r="A207" s="15" t="inlineStr">
        <is>
          <t>아진엑스텍</t>
        </is>
      </c>
      <c r="B207" t="inlineStr"/>
      <c r="C207" s="15" t="inlineStr">
        <is>
          <t>059120</t>
        </is>
      </c>
      <c r="D207" s="15" t="inlineStr">
        <is>
          <t>KOSDAQ</t>
        </is>
      </c>
      <c r="E207" s="15" t="inlineStr">
        <is>
          <t>IDM/제조/메모리</t>
        </is>
      </c>
      <c r="F207" s="15" t="n">
        <v>41.28</v>
      </c>
      <c r="G207" s="15" t="n">
        <v>7.14</v>
      </c>
      <c r="H207" s="15" t="inlineStr">
        <is>
          <t>고평가 부담</t>
        </is>
      </c>
      <c r="I207" s="15" t="inlineStr">
        <is>
          <t>0.6635799672057409</t>
        </is>
      </c>
      <c r="J207" t="inlineStr"/>
      <c r="K207" t="inlineStr"/>
      <c r="L207" t="inlineStr"/>
    </row>
    <row r="208" ht="22" customHeight="1">
      <c r="A208" s="15" t="inlineStr">
        <is>
          <t>아이티엠반도체</t>
        </is>
      </c>
      <c r="B208" t="inlineStr"/>
      <c r="C208" s="15" t="inlineStr">
        <is>
          <t>084850</t>
        </is>
      </c>
      <c r="D208" s="15" t="inlineStr">
        <is>
          <t>KOSDAQ GLOBAL</t>
        </is>
      </c>
      <c r="E208" s="15" t="inlineStr">
        <is>
          <t>부품/기판</t>
        </is>
      </c>
      <c r="F208" s="15" t="n">
        <v>41.24</v>
      </c>
      <c r="G208" s="15" t="n">
        <v>50</v>
      </c>
      <c r="H208" s="15" t="inlineStr">
        <is>
          <t>고평가 부담</t>
        </is>
      </c>
      <c r="I208" s="15" t="inlineStr">
        <is>
          <t>0.599341656390115</t>
        </is>
      </c>
      <c r="J208" t="inlineStr"/>
      <c r="K208" t="inlineStr"/>
      <c r="L208" t="inlineStr"/>
    </row>
    <row r="209" ht="22" customHeight="1">
      <c r="A209" s="15" t="inlineStr">
        <is>
          <t>램테크놀러지</t>
        </is>
      </c>
      <c r="B209" t="inlineStr"/>
      <c r="C209" s="15" t="inlineStr">
        <is>
          <t>171010</t>
        </is>
      </c>
      <c r="D209" s="15" t="inlineStr">
        <is>
          <t>KOSDAQ</t>
        </is>
      </c>
      <c r="E209" s="15" t="inlineStr">
        <is>
          <t>장비</t>
        </is>
      </c>
      <c r="F209" s="15" t="n">
        <v>40.97</v>
      </c>
      <c r="G209" s="15" t="n">
        <v>64.29000000000001</v>
      </c>
      <c r="H209" s="15" t="inlineStr">
        <is>
          <t>고평가 부담</t>
        </is>
      </c>
      <c r="I209" s="15" t="inlineStr">
        <is>
          <t>0.500591784236833</t>
        </is>
      </c>
      <c r="J209" t="inlineStr"/>
      <c r="K209" t="inlineStr"/>
      <c r="L209" t="inlineStr"/>
    </row>
    <row r="210" ht="22" customHeight="1">
      <c r="A210" s="15" t="inlineStr">
        <is>
          <t>코스텍시스</t>
        </is>
      </c>
      <c r="B210" t="inlineStr"/>
      <c r="C210" s="15" t="inlineStr">
        <is>
          <t>355150</t>
        </is>
      </c>
      <c r="D210" s="15" t="inlineStr">
        <is>
          <t>KOSDAQ</t>
        </is>
      </c>
      <c r="E210" s="15" t="inlineStr">
        <is>
          <t>IDM/제조/메모리</t>
        </is>
      </c>
      <c r="F210" s="15" t="n">
        <v>40.97</v>
      </c>
      <c r="G210" s="15" t="n">
        <v>50</v>
      </c>
      <c r="H210" s="15" t="inlineStr">
        <is>
          <t>고평가 부담</t>
        </is>
      </c>
      <c r="I210" s="15" t="inlineStr">
        <is>
          <t>0.7518748972741711</t>
        </is>
      </c>
      <c r="J210" t="inlineStr"/>
      <c r="K210" t="inlineStr"/>
      <c r="L210" t="inlineStr"/>
    </row>
    <row r="211" ht="22" customHeight="1">
      <c r="A211" s="15" t="inlineStr">
        <is>
          <t>시그네틱스</t>
        </is>
      </c>
      <c r="B211" t="inlineStr"/>
      <c r="C211" s="15" t="inlineStr">
        <is>
          <t>033170</t>
        </is>
      </c>
      <c r="D211" s="15" t="inlineStr">
        <is>
          <t>KOSDAQ</t>
        </is>
      </c>
      <c r="E211" s="15" t="inlineStr">
        <is>
          <t>후공정/패키징/테스트</t>
        </is>
      </c>
      <c r="F211" s="15" t="n">
        <v>40.68</v>
      </c>
      <c r="G211" s="15" t="n">
        <v>64.29000000000001</v>
      </c>
      <c r="H211" s="15" t="inlineStr">
        <is>
          <t>고평가 부담</t>
        </is>
      </c>
      <c r="I211" s="15" t="inlineStr">
        <is>
          <t>0.6660306558324866</t>
        </is>
      </c>
      <c r="J211" t="inlineStr"/>
      <c r="K211" t="inlineStr"/>
      <c r="L211" t="inlineStr"/>
    </row>
    <row r="212" ht="22" customHeight="1">
      <c r="A212" s="15" t="inlineStr">
        <is>
          <t>디엔에프</t>
        </is>
      </c>
      <c r="B212" t="inlineStr"/>
      <c r="C212" s="15" t="inlineStr">
        <is>
          <t>092070</t>
        </is>
      </c>
      <c r="D212" s="15" t="inlineStr">
        <is>
          <t>KOSDAQ</t>
        </is>
      </c>
      <c r="E212" s="15" t="inlineStr">
        <is>
          <t>소재</t>
        </is>
      </c>
      <c r="F212" s="15" t="n">
        <v>40.41</v>
      </c>
      <c r="G212" s="15" t="n">
        <v>14.29</v>
      </c>
      <c r="H212" s="15" t="inlineStr">
        <is>
          <t>고평가 부담</t>
        </is>
      </c>
      <c r="I212" s="15" t="inlineStr">
        <is>
          <t>0.6833535693717029</t>
        </is>
      </c>
      <c r="J212" t="inlineStr"/>
      <c r="K212" t="inlineStr"/>
      <c r="L212" t="inlineStr"/>
    </row>
    <row r="213" ht="22" customHeight="1">
      <c r="A213" s="15" t="inlineStr">
        <is>
          <t>저스템</t>
        </is>
      </c>
      <c r="B213" t="inlineStr"/>
      <c r="C213" s="15" t="inlineStr">
        <is>
          <t>417840</t>
        </is>
      </c>
      <c r="D213" s="15" t="inlineStr">
        <is>
          <t>KOSDAQ</t>
        </is>
      </c>
      <c r="E213" s="15" t="inlineStr">
        <is>
          <t>장비</t>
        </is>
      </c>
      <c r="F213" s="15" t="n">
        <v>40.36</v>
      </c>
      <c r="G213" s="15" t="n">
        <v>28.57</v>
      </c>
      <c r="H213" s="15" t="inlineStr">
        <is>
          <t>고평가 부담</t>
        </is>
      </c>
      <c r="I213" s="15" t="inlineStr">
        <is>
          <t>0.7213257522774291</t>
        </is>
      </c>
      <c r="J213" t="inlineStr"/>
      <c r="K213" t="inlineStr"/>
      <c r="L213" t="inlineStr"/>
    </row>
    <row r="214" ht="22" customHeight="1">
      <c r="A214" s="15" t="inlineStr">
        <is>
          <t>지아이에스</t>
        </is>
      </c>
      <c r="B214" t="inlineStr"/>
      <c r="C214" s="15" t="inlineStr">
        <is>
          <t>306620</t>
        </is>
      </c>
      <c r="D214" s="15" t="inlineStr">
        <is>
          <t>KOSDAQ</t>
        </is>
      </c>
      <c r="E214" s="15" t="inlineStr">
        <is>
          <t>장비</t>
        </is>
      </c>
      <c r="F214" s="15" t="n">
        <v>40.15</v>
      </c>
      <c r="G214" s="15" t="n">
        <v>57.14</v>
      </c>
      <c r="H214" s="15" t="inlineStr">
        <is>
          <t>고평가 부담</t>
        </is>
      </c>
      <c r="I214" s="15" t="inlineStr">
        <is>
          <t>0.745903271306321</t>
        </is>
      </c>
      <c r="J214" t="inlineStr"/>
      <c r="K214" t="inlineStr"/>
      <c r="L214" t="inlineStr"/>
    </row>
    <row r="215" ht="22" customHeight="1">
      <c r="A215" s="15" t="inlineStr">
        <is>
          <t>대덕전자</t>
        </is>
      </c>
      <c r="B215" t="inlineStr"/>
      <c r="C215" s="15" t="inlineStr">
        <is>
          <t>353200</t>
        </is>
      </c>
      <c r="D215" s="15" t="inlineStr">
        <is>
          <t>KOSPI</t>
        </is>
      </c>
      <c r="E215" s="15" t="inlineStr">
        <is>
          <t>부품/기판</t>
        </is>
      </c>
      <c r="F215" s="15" t="n">
        <v>39.67</v>
      </c>
      <c r="G215" s="15" t="n">
        <v>14.29</v>
      </c>
      <c r="H215" s="15" t="inlineStr">
        <is>
          <t>고평가 부담</t>
        </is>
      </c>
      <c r="I215" s="15" t="inlineStr">
        <is>
          <t>0.6645756407915718</t>
        </is>
      </c>
      <c r="J215" t="inlineStr"/>
      <c r="K215" t="inlineStr"/>
      <c r="L215" t="inlineStr"/>
    </row>
    <row r="216" ht="22" customHeight="1">
      <c r="A216" s="15" t="inlineStr">
        <is>
          <t>고영</t>
        </is>
      </c>
      <c r="B216" t="inlineStr"/>
      <c r="C216" s="15" t="inlineStr">
        <is>
          <t>098460</t>
        </is>
      </c>
      <c r="D216" s="15" t="inlineStr">
        <is>
          <t>KOSDAQ</t>
        </is>
      </c>
      <c r="E216" s="15" t="inlineStr">
        <is>
          <t>후공정/패키징/테스트</t>
        </is>
      </c>
      <c r="F216" s="15" t="n">
        <v>39.33</v>
      </c>
      <c r="G216" s="15" t="n">
        <v>7.14</v>
      </c>
      <c r="H216" s="15" t="inlineStr">
        <is>
          <t>고평가 부담</t>
        </is>
      </c>
      <c r="I216" s="15" t="inlineStr">
        <is>
          <t>0.4306692416005982</t>
        </is>
      </c>
      <c r="J216" t="inlineStr"/>
      <c r="K216" t="inlineStr"/>
      <c r="L216" t="inlineStr"/>
    </row>
    <row r="217" ht="22" customHeight="1">
      <c r="A217" s="15" t="inlineStr">
        <is>
          <t>와이씨켐</t>
        </is>
      </c>
      <c r="B217" t="inlineStr"/>
      <c r="C217" s="15" t="inlineStr">
        <is>
          <t>112290</t>
        </is>
      </c>
      <c r="D217" s="15" t="inlineStr">
        <is>
          <t>KOSDAQ</t>
        </is>
      </c>
      <c r="E217" s="15" t="inlineStr">
        <is>
          <t>소재</t>
        </is>
      </c>
      <c r="F217" s="15" t="n">
        <v>38.36</v>
      </c>
      <c r="G217" s="15" t="n">
        <v>50</v>
      </c>
      <c r="H217" s="15" t="inlineStr">
        <is>
          <t>고평가 부담</t>
        </is>
      </c>
      <c r="I217" s="15" t="inlineStr">
        <is>
          <t>0.7576999610053956</t>
        </is>
      </c>
      <c r="J217" t="inlineStr"/>
      <c r="K217" t="inlineStr"/>
      <c r="L217" t="inlineStr"/>
    </row>
    <row r="218" ht="22" customHeight="1">
      <c r="A218" s="15" t="inlineStr">
        <is>
          <t>에프에스티</t>
        </is>
      </c>
      <c r="B218" t="inlineStr"/>
      <c r="C218" s="15" t="inlineStr">
        <is>
          <t>036810</t>
        </is>
      </c>
      <c r="D218" s="15" t="inlineStr">
        <is>
          <t>KOSDAQ</t>
        </is>
      </c>
      <c r="E218" s="15" t="inlineStr">
        <is>
          <t>장비</t>
        </is>
      </c>
      <c r="F218" s="15" t="n">
        <v>38.27</v>
      </c>
      <c r="G218" s="15" t="n">
        <v>50</v>
      </c>
      <c r="H218" s="15" t="inlineStr">
        <is>
          <t>고평가 부담</t>
        </is>
      </c>
      <c r="I218" s="15" t="inlineStr">
        <is>
          <t>0.8925631629286743</t>
        </is>
      </c>
      <c r="J218" t="inlineStr"/>
      <c r="K218" t="inlineStr"/>
      <c r="L218" t="inlineStr"/>
    </row>
    <row r="219" ht="22" customHeight="1">
      <c r="A219" s="15" t="inlineStr">
        <is>
          <t>나노신소재</t>
        </is>
      </c>
      <c r="B219" t="inlineStr"/>
      <c r="C219" s="15" t="inlineStr">
        <is>
          <t>121600</t>
        </is>
      </c>
      <c r="D219" s="15" t="inlineStr">
        <is>
          <t>KOSDAQ</t>
        </is>
      </c>
      <c r="E219" s="15" t="inlineStr">
        <is>
          <t>장비</t>
        </is>
      </c>
      <c r="F219" s="15" t="n">
        <v>38.23</v>
      </c>
      <c r="G219" s="15" t="n">
        <v>0</v>
      </c>
      <c r="H219" s="15" t="inlineStr">
        <is>
          <t>고평가 부담</t>
        </is>
      </c>
      <c r="I219" s="15" t="inlineStr">
        <is>
          <t>0.7555342246021253</t>
        </is>
      </c>
      <c r="J219" t="inlineStr"/>
      <c r="K219" t="inlineStr"/>
      <c r="L219" t="inlineStr"/>
    </row>
    <row r="220" ht="22" customHeight="1">
      <c r="A220" s="15" t="inlineStr">
        <is>
          <t>심텍</t>
        </is>
      </c>
      <c r="B220" t="inlineStr"/>
      <c r="C220" s="15" t="inlineStr">
        <is>
          <t>222800</t>
        </is>
      </c>
      <c r="D220" s="15" t="inlineStr">
        <is>
          <t>KOSDAQ GLOBAL</t>
        </is>
      </c>
      <c r="E220" s="15" t="inlineStr">
        <is>
          <t>부품/기판</t>
        </is>
      </c>
      <c r="F220" s="15" t="n">
        <v>37.76</v>
      </c>
      <c r="G220" s="15" t="n">
        <v>57.14</v>
      </c>
      <c r="H220" s="15" t="inlineStr">
        <is>
          <t>고평가 부담</t>
        </is>
      </c>
      <c r="I220" s="15" t="inlineStr">
        <is>
          <t>0.5170784842162837</t>
        </is>
      </c>
      <c r="J220" t="inlineStr"/>
      <c r="K220" t="inlineStr"/>
      <c r="L220" t="inlineStr"/>
    </row>
    <row r="221" ht="22" customHeight="1">
      <c r="A221" s="15" t="inlineStr">
        <is>
          <t>아이에이</t>
        </is>
      </c>
      <c r="B221" t="inlineStr"/>
      <c r="C221" s="15" t="inlineStr">
        <is>
          <t>038880</t>
        </is>
      </c>
      <c r="D221" s="15" t="inlineStr">
        <is>
          <t>KOSDAQ</t>
        </is>
      </c>
      <c r="E221" s="15" t="inlineStr">
        <is>
          <t>부품/기판</t>
        </is>
      </c>
      <c r="F221" s="15" t="n">
        <v>37.76</v>
      </c>
      <c r="G221" s="15" t="n">
        <v>71.43000000000001</v>
      </c>
      <c r="H221" s="15" t="inlineStr">
        <is>
          <t>고평가 부담</t>
        </is>
      </c>
      <c r="I221" s="15" t="inlineStr">
        <is>
          <t>0.7739089828714508</t>
        </is>
      </c>
      <c r="J221" t="inlineStr"/>
      <c r="K221" t="inlineStr"/>
      <c r="L221" t="inlineStr"/>
    </row>
    <row r="222" ht="22" customHeight="1">
      <c r="A222" s="15" t="inlineStr">
        <is>
          <t>웨이비스</t>
        </is>
      </c>
      <c r="B222" t="inlineStr"/>
      <c r="C222" s="15" t="inlineStr">
        <is>
          <t>289930</t>
        </is>
      </c>
      <c r="D222" s="15" t="inlineStr">
        <is>
          <t>KOSDAQ</t>
        </is>
      </c>
      <c r="E222" s="15" t="inlineStr">
        <is>
          <t>후공정/패키징/테스트</t>
        </is>
      </c>
      <c r="F222" s="15" t="n">
        <v>37.66</v>
      </c>
      <c r="G222" s="15" t="n">
        <v>14.29</v>
      </c>
      <c r="H222" s="15" t="inlineStr">
        <is>
          <t>고평가 부담</t>
        </is>
      </c>
      <c r="I222" s="15" t="inlineStr">
        <is>
          <t>0.5209890944205295</t>
        </is>
      </c>
      <c r="J222" t="inlineStr"/>
      <c r="K222" t="inlineStr"/>
      <c r="L222" t="inlineStr"/>
    </row>
    <row r="223" ht="22" customHeight="1">
      <c r="A223" s="15" t="inlineStr">
        <is>
          <t>넥스트칩</t>
        </is>
      </c>
      <c r="B223" t="inlineStr"/>
      <c r="C223" s="15" t="inlineStr">
        <is>
          <t>396270</t>
        </is>
      </c>
      <c r="D223" s="15" t="inlineStr">
        <is>
          <t>KOSDAQ</t>
        </is>
      </c>
      <c r="E223" s="15" t="inlineStr">
        <is>
          <t>팹리스/설계</t>
        </is>
      </c>
      <c r="F223" s="15" t="n">
        <v>37.43</v>
      </c>
      <c r="G223" s="15" t="n">
        <v>71.43000000000001</v>
      </c>
      <c r="H223" s="15" t="inlineStr">
        <is>
          <t>고평가 부담</t>
        </is>
      </c>
      <c r="I223" s="15" t="inlineStr">
        <is>
          <t>0.9380466040149497</t>
        </is>
      </c>
      <c r="J223" t="inlineStr"/>
      <c r="K223" t="inlineStr"/>
      <c r="L223" t="inlineStr"/>
    </row>
    <row r="224" ht="22" customHeight="1">
      <c r="A224" s="15" t="inlineStr">
        <is>
          <t>SFA반도체</t>
        </is>
      </c>
      <c r="B224" t="inlineStr"/>
      <c r="C224" s="15" t="inlineStr">
        <is>
          <t>036540</t>
        </is>
      </c>
      <c r="D224" s="15" t="inlineStr">
        <is>
          <t>KOSDAQ</t>
        </is>
      </c>
      <c r="E224" s="15" t="inlineStr">
        <is>
          <t>후공정/패키징/테스트</t>
        </is>
      </c>
      <c r="F224" s="15" t="n">
        <v>37.26</v>
      </c>
      <c r="G224" s="15" t="n">
        <v>28.57</v>
      </c>
      <c r="H224" s="15" t="inlineStr">
        <is>
          <t>고평가 부담</t>
        </is>
      </c>
      <c r="I224" s="15" t="inlineStr">
        <is>
          <t>0.7912156659089058</t>
        </is>
      </c>
      <c r="J224" t="inlineStr"/>
      <c r="K224" t="inlineStr"/>
      <c r="L224" t="inlineStr"/>
    </row>
    <row r="225" ht="22" customHeight="1">
      <c r="A225" s="15" t="inlineStr">
        <is>
          <t>사피엔반도체</t>
        </is>
      </c>
      <c r="B225" t="inlineStr"/>
      <c r="C225" s="15" t="inlineStr">
        <is>
          <t>452430</t>
        </is>
      </c>
      <c r="D225" s="15" t="inlineStr">
        <is>
          <t>KOSDAQ</t>
        </is>
      </c>
      <c r="E225" s="15" t="inlineStr">
        <is>
          <t>팹리스/설계</t>
        </is>
      </c>
      <c r="F225" s="15" t="n">
        <v>37.21</v>
      </c>
      <c r="G225" s="15" t="n">
        <v>57.14</v>
      </c>
      <c r="H225" s="15" t="inlineStr">
        <is>
          <t>고평가 부담</t>
        </is>
      </c>
      <c r="I225" s="15" t="inlineStr">
        <is>
          <t>0.8482781866315999</t>
        </is>
      </c>
      <c r="J225" t="inlineStr"/>
      <c r="K225" t="inlineStr"/>
      <c r="L225" t="inlineStr"/>
    </row>
    <row r="226" ht="22" customHeight="1">
      <c r="A226" s="15" t="inlineStr">
        <is>
          <t>동운아나텍</t>
        </is>
      </c>
      <c r="B226" t="inlineStr"/>
      <c r="C226" s="15" t="inlineStr">
        <is>
          <t>094170</t>
        </is>
      </c>
      <c r="D226" s="15" t="inlineStr">
        <is>
          <t>KOSDAQ</t>
        </is>
      </c>
      <c r="E226" s="15" t="inlineStr">
        <is>
          <t>팹리스/설계</t>
        </is>
      </c>
      <c r="F226" s="15" t="n">
        <v>36.71</v>
      </c>
      <c r="G226" s="15" t="n">
        <v>21.43</v>
      </c>
      <c r="H226" s="15" t="inlineStr">
        <is>
          <t>고평가 부담</t>
        </is>
      </c>
      <c r="I226" s="15" t="inlineStr">
        <is>
          <t>0.4894423516429773</t>
        </is>
      </c>
      <c r="J226" t="inlineStr"/>
      <c r="K226" t="inlineStr"/>
      <c r="L226" t="inlineStr"/>
    </row>
    <row r="227" ht="22" customHeight="1">
      <c r="A227" s="15" t="inlineStr">
        <is>
          <t>씨엠티엑스</t>
        </is>
      </c>
      <c r="B227" t="inlineStr"/>
      <c r="C227" s="15" t="inlineStr">
        <is>
          <t>388210</t>
        </is>
      </c>
      <c r="D227" s="15" t="inlineStr">
        <is>
          <t>KOSDAQ</t>
        </is>
      </c>
      <c r="E227" s="15" t="inlineStr">
        <is>
          <t>장비</t>
        </is>
      </c>
      <c r="F227" s="15" t="n">
        <v>36.53</v>
      </c>
      <c r="G227" s="15" t="n">
        <v>21.43</v>
      </c>
      <c r="H227" s="15" t="inlineStr">
        <is>
          <t>고평가 부담</t>
        </is>
      </c>
      <c r="I227" s="15" t="inlineStr">
        <is>
          <t>0.7157707609420977</t>
        </is>
      </c>
      <c r="J227" t="inlineStr"/>
      <c r="K227" t="inlineStr"/>
      <c r="L227" t="inlineStr"/>
    </row>
    <row r="228" ht="22" customHeight="1">
      <c r="A228" s="15" t="inlineStr">
        <is>
          <t>세미파이브</t>
        </is>
      </c>
      <c r="B228" t="inlineStr"/>
      <c r="C228" s="15" t="inlineStr">
        <is>
          <t>490470</t>
        </is>
      </c>
      <c r="D228" s="15" t="inlineStr">
        <is>
          <t>KOSDAQ</t>
        </is>
      </c>
      <c r="E228" s="15" t="inlineStr">
        <is>
          <t>팹리스/설계</t>
        </is>
      </c>
      <c r="F228" s="15" t="n">
        <v>36.46</v>
      </c>
      <c r="G228" s="15" t="n">
        <v>50</v>
      </c>
      <c r="H228" s="15" t="inlineStr">
        <is>
          <t>고평가 부담</t>
        </is>
      </c>
      <c r="I228" s="15" t="inlineStr">
        <is>
          <t>0.9277538303818181</t>
        </is>
      </c>
      <c r="J228" t="inlineStr"/>
      <c r="K228" t="inlineStr"/>
      <c r="L228" t="inlineStr"/>
    </row>
    <row r="229" ht="22" customHeight="1">
      <c r="A229" s="15" t="inlineStr">
        <is>
          <t>이미지스</t>
        </is>
      </c>
      <c r="B229" t="inlineStr"/>
      <c r="C229" s="15" t="inlineStr">
        <is>
          <t>115610</t>
        </is>
      </c>
      <c r="D229" s="15" t="inlineStr">
        <is>
          <t>KOSDAQ</t>
        </is>
      </c>
      <c r="E229" s="15" t="inlineStr">
        <is>
          <t>IDM/제조/메모리</t>
        </is>
      </c>
      <c r="F229" s="15" t="n">
        <v>36.33</v>
      </c>
      <c r="G229" s="15" t="n">
        <v>64.29000000000001</v>
      </c>
      <c r="H229" s="15" t="inlineStr">
        <is>
          <t>고평가 부담</t>
        </is>
      </c>
      <c r="I229" s="15" t="inlineStr">
        <is>
          <t>0.7470098487547145</t>
        </is>
      </c>
      <c r="J229" t="inlineStr"/>
      <c r="K229" t="inlineStr"/>
      <c r="L229" t="inlineStr"/>
    </row>
    <row r="230" ht="22" customHeight="1">
      <c r="A230" s="15" t="inlineStr">
        <is>
          <t>시지트로닉스</t>
        </is>
      </c>
      <c r="B230" t="inlineStr"/>
      <c r="C230" s="15" t="inlineStr">
        <is>
          <t>429270</t>
        </is>
      </c>
      <c r="D230" s="15" t="inlineStr">
        <is>
          <t>KOSDAQ</t>
        </is>
      </c>
      <c r="E230" s="15" t="inlineStr">
        <is>
          <t>IDM/제조/메모리</t>
        </is>
      </c>
      <c r="F230" s="15" t="n">
        <v>35.13</v>
      </c>
      <c r="G230" s="15" t="n">
        <v>71.43000000000001</v>
      </c>
      <c r="H230" s="15" t="inlineStr">
        <is>
          <t>고평가 부담</t>
        </is>
      </c>
      <c r="I230" s="15" t="inlineStr">
        <is>
          <t>0.8423539115807104</t>
        </is>
      </c>
      <c r="J230" t="inlineStr"/>
      <c r="K230" t="inlineStr"/>
      <c r="L230" t="inlineStr"/>
    </row>
    <row r="231" ht="22" customHeight="1">
      <c r="A231" s="15" t="inlineStr">
        <is>
          <t>인텍플러스</t>
        </is>
      </c>
      <c r="B231" t="inlineStr"/>
      <c r="C231" s="15" t="inlineStr">
        <is>
          <t>064290</t>
        </is>
      </c>
      <c r="D231" s="15" t="inlineStr">
        <is>
          <t>KOSDAQ</t>
        </is>
      </c>
      <c r="E231" s="15" t="inlineStr">
        <is>
          <t>후공정/패키징/테스트</t>
        </is>
      </c>
      <c r="F231" s="15" t="n">
        <v>34.31</v>
      </c>
      <c r="G231" s="15" t="n">
        <v>42.86</v>
      </c>
      <c r="H231" s="15" t="inlineStr">
        <is>
          <t>고평가 부담</t>
        </is>
      </c>
      <c r="I231" s="15" t="inlineStr">
        <is>
          <t>0.7612288958400996</t>
        </is>
      </c>
      <c r="J231" t="inlineStr"/>
      <c r="K231" t="inlineStr"/>
      <c r="L231" t="inlineStr"/>
    </row>
    <row r="232" ht="22" customHeight="1">
      <c r="A232" s="15" t="inlineStr">
        <is>
          <t>3S</t>
        </is>
      </c>
      <c r="B232" t="inlineStr"/>
      <c r="C232" s="15" t="inlineStr">
        <is>
          <t>060310</t>
        </is>
      </c>
      <c r="D232" s="15" t="inlineStr">
        <is>
          <t>KOSDAQ</t>
        </is>
      </c>
      <c r="E232" s="15" t="inlineStr">
        <is>
          <t>부품/기판</t>
        </is>
      </c>
      <c r="F232" s="15" t="n">
        <v>34.1</v>
      </c>
      <c r="G232" s="15" t="n">
        <v>57.14</v>
      </c>
      <c r="H232" s="15" t="inlineStr">
        <is>
          <t>고평가 부담</t>
        </is>
      </c>
      <c r="I232" s="15" t="inlineStr">
        <is>
          <t>0.8755971854841007</t>
        </is>
      </c>
      <c r="J232" t="inlineStr"/>
      <c r="K232" t="inlineStr"/>
      <c r="L232" t="inlineStr"/>
    </row>
    <row r="233" ht="22" customHeight="1">
      <c r="A233" s="15" t="inlineStr">
        <is>
          <t>천보</t>
        </is>
      </c>
      <c r="B233" t="inlineStr"/>
      <c r="C233" s="15" t="inlineStr">
        <is>
          <t>278280</t>
        </is>
      </c>
      <c r="D233" s="15" t="inlineStr">
        <is>
          <t>KOSDAQ</t>
        </is>
      </c>
      <c r="E233" s="15" t="inlineStr">
        <is>
          <t>소재</t>
        </is>
      </c>
      <c r="F233" s="15" t="n">
        <v>33.87</v>
      </c>
      <c r="G233" s="15" t="n">
        <v>35.71</v>
      </c>
      <c r="H233" s="15" t="inlineStr">
        <is>
          <t>고평가 부담</t>
        </is>
      </c>
      <c r="I233" s="15" t="inlineStr">
        <is>
          <t>0.5721835844163214</t>
        </is>
      </c>
      <c r="J233" t="inlineStr"/>
      <c r="K233" t="inlineStr"/>
      <c r="L233" t="inlineStr"/>
    </row>
    <row r="234" ht="22" customHeight="1">
      <c r="A234" s="15" t="inlineStr">
        <is>
          <t>후성</t>
        </is>
      </c>
      <c r="B234" t="inlineStr"/>
      <c r="C234" s="15" t="inlineStr">
        <is>
          <t>093370</t>
        </is>
      </c>
      <c r="D234" s="15" t="inlineStr">
        <is>
          <t>KOSPI</t>
        </is>
      </c>
      <c r="E234" s="15" t="inlineStr">
        <is>
          <t>소재</t>
        </is>
      </c>
      <c r="F234" s="15" t="n">
        <v>33.87</v>
      </c>
      <c r="G234" s="15" t="n">
        <v>14.29</v>
      </c>
      <c r="H234" s="15" t="inlineStr">
        <is>
          <t>고평가 부담</t>
        </is>
      </c>
      <c r="I234" s="15" t="inlineStr">
        <is>
          <t>0.7388215177779633</t>
        </is>
      </c>
      <c r="J234" t="inlineStr"/>
      <c r="K234" t="inlineStr"/>
      <c r="L234" t="inlineStr"/>
    </row>
    <row r="235" ht="22" customHeight="1">
      <c r="A235" s="15" t="inlineStr">
        <is>
          <t>한울반도체</t>
        </is>
      </c>
      <c r="B235" t="inlineStr"/>
      <c r="C235" s="15" t="inlineStr">
        <is>
          <t>320000</t>
        </is>
      </c>
      <c r="D235" s="15" t="inlineStr">
        <is>
          <t>KOSDAQ</t>
        </is>
      </c>
      <c r="E235" s="15" t="inlineStr">
        <is>
          <t>후공정/패키징/테스트</t>
        </is>
      </c>
      <c r="F235" s="15" t="n">
        <v>33.76</v>
      </c>
      <c r="G235" s="15" t="n">
        <v>71.43000000000001</v>
      </c>
      <c r="H235" s="15" t="inlineStr">
        <is>
          <t>고평가 부담</t>
        </is>
      </c>
      <c r="I235" s="15" t="inlineStr">
        <is>
          <t>0.7769228627558715</t>
        </is>
      </c>
      <c r="J235" t="inlineStr"/>
      <c r="K235" t="inlineStr"/>
      <c r="L235" t="inlineStr"/>
    </row>
    <row r="236" ht="22" customHeight="1">
      <c r="A236" s="15" t="inlineStr">
        <is>
          <t>유니테스트</t>
        </is>
      </c>
      <c r="B236" t="inlineStr"/>
      <c r="C236" s="15" t="inlineStr">
        <is>
          <t>086390</t>
        </is>
      </c>
      <c r="D236" s="15" t="inlineStr">
        <is>
          <t>KOSDAQ</t>
        </is>
      </c>
      <c r="E236" s="15" t="inlineStr">
        <is>
          <t>후공정/패키징/테스트</t>
        </is>
      </c>
      <c r="F236" s="15" t="n">
        <v>33.72</v>
      </c>
      <c r="G236" s="15" t="n">
        <v>57.14</v>
      </c>
      <c r="H236" s="15" t="inlineStr">
        <is>
          <t>고평가 부담</t>
        </is>
      </c>
      <c r="I236" s="15" t="inlineStr">
        <is>
          <t>0.9109345080202441</t>
        </is>
      </c>
      <c r="J236" t="inlineStr"/>
      <c r="K236" t="inlineStr"/>
      <c r="L236" t="inlineStr"/>
    </row>
    <row r="237" ht="22" customHeight="1">
      <c r="A237" s="15" t="inlineStr">
        <is>
          <t>에이직랜드</t>
        </is>
      </c>
      <c r="B237" t="inlineStr"/>
      <c r="C237" s="15" t="inlineStr">
        <is>
          <t>445090</t>
        </is>
      </c>
      <c r="D237" s="15" t="inlineStr">
        <is>
          <t>KOSDAQ</t>
        </is>
      </c>
      <c r="E237" s="15" t="inlineStr">
        <is>
          <t>팹리스/설계</t>
        </is>
      </c>
      <c r="F237" s="15" t="n">
        <v>32.95</v>
      </c>
      <c r="G237" s="15" t="n">
        <v>78.56999999999999</v>
      </c>
      <c r="H237" s="15" t="inlineStr">
        <is>
          <t>고평가 부담</t>
        </is>
      </c>
      <c r="I237" s="15" t="inlineStr">
        <is>
          <t>0.9058303131641584</t>
        </is>
      </c>
      <c r="J237" t="inlineStr"/>
      <c r="K237" t="inlineStr"/>
      <c r="L237" t="inlineStr"/>
    </row>
    <row r="238" ht="22" customHeight="1">
      <c r="A238" s="15" t="inlineStr">
        <is>
          <t>지니틱스</t>
        </is>
      </c>
      <c r="B238" t="inlineStr"/>
      <c r="C238" s="15" t="inlineStr">
        <is>
          <t>303030</t>
        </is>
      </c>
      <c r="D238" s="15" t="inlineStr">
        <is>
          <t>KOSDAQ</t>
        </is>
      </c>
      <c r="E238" s="15" t="inlineStr">
        <is>
          <t>IDM/제조/메모리</t>
        </is>
      </c>
      <c r="F238" s="15" t="n">
        <v>32.93</v>
      </c>
      <c r="G238" s="15" t="n">
        <v>71.43000000000001</v>
      </c>
      <c r="H238" s="15" t="inlineStr">
        <is>
          <t>고평가 부담</t>
        </is>
      </c>
      <c r="I238" s="15" t="inlineStr">
        <is>
          <t>0.6029464801919612</t>
        </is>
      </c>
      <c r="J238" t="inlineStr"/>
      <c r="K238" t="inlineStr"/>
      <c r="L238" t="inlineStr"/>
    </row>
    <row r="239" ht="22" customHeight="1">
      <c r="A239" s="15" t="inlineStr">
        <is>
          <t>엘케이켐</t>
        </is>
      </c>
      <c r="B239" t="inlineStr"/>
      <c r="C239" s="15" t="inlineStr">
        <is>
          <t>489500</t>
        </is>
      </c>
      <c r="D239" s="15" t="inlineStr">
        <is>
          <t>KOSDAQ</t>
        </is>
      </c>
      <c r="E239" s="15" t="inlineStr">
        <is>
          <t>소재</t>
        </is>
      </c>
      <c r="F239" s="15" t="n">
        <v>32.38</v>
      </c>
      <c r="G239" s="15" t="n">
        <v>28.57</v>
      </c>
      <c r="H239" s="15" t="inlineStr">
        <is>
          <t>고평가 부담</t>
        </is>
      </c>
      <c r="I239" s="15" t="inlineStr">
        <is>
          <t>0.702794478496214</t>
        </is>
      </c>
      <c r="J239" t="inlineStr"/>
      <c r="K239" t="inlineStr"/>
      <c r="L239" t="inlineStr"/>
    </row>
    <row r="240" ht="22" customHeight="1">
      <c r="A240" s="15" t="inlineStr">
        <is>
          <t>SKC</t>
        </is>
      </c>
      <c r="B240" t="inlineStr"/>
      <c r="C240" s="15" t="inlineStr">
        <is>
          <t>011790</t>
        </is>
      </c>
      <c r="D240" s="15" t="inlineStr">
        <is>
          <t>KOSPI</t>
        </is>
      </c>
      <c r="E240" s="15" t="inlineStr">
        <is>
          <t>소재</t>
        </is>
      </c>
      <c r="F240" s="15" t="n">
        <v>32.18</v>
      </c>
      <c r="G240" s="15" t="n">
        <v>71.43000000000001</v>
      </c>
      <c r="H240" s="15" t="inlineStr">
        <is>
          <t>고평가 부담</t>
        </is>
      </c>
      <c r="I240" s="15" t="inlineStr">
        <is>
          <t>0.865330691240198</t>
        </is>
      </c>
      <c r="J240" t="inlineStr"/>
      <c r="K240" t="inlineStr"/>
      <c r="L240" t="inlineStr"/>
    </row>
    <row r="241" ht="22" customHeight="1">
      <c r="A241" s="15" t="inlineStr">
        <is>
          <t>두산테스나</t>
        </is>
      </c>
      <c r="B241" t="inlineStr"/>
      <c r="C241" s="15" t="inlineStr">
        <is>
          <t>131970</t>
        </is>
      </c>
      <c r="D241" s="15" t="inlineStr">
        <is>
          <t>KOSDAQ GLOBAL</t>
        </is>
      </c>
      <c r="E241" s="15" t="inlineStr">
        <is>
          <t>후공정/패키징/테스트</t>
        </is>
      </c>
      <c r="F241" s="15" t="n">
        <v>32.17</v>
      </c>
      <c r="G241" s="15" t="n">
        <v>14.29</v>
      </c>
      <c r="H241" s="15" t="inlineStr">
        <is>
          <t>고평가 부담</t>
        </is>
      </c>
      <c r="I241" s="15" t="inlineStr">
        <is>
          <t>0.5774876642912814</t>
        </is>
      </c>
      <c r="J241" t="inlineStr"/>
      <c r="K241" t="inlineStr"/>
      <c r="L241" t="inlineStr"/>
    </row>
    <row r="242" ht="22" customHeight="1">
      <c r="A242" s="15" t="inlineStr">
        <is>
          <t>라닉스</t>
        </is>
      </c>
      <c r="B242" t="inlineStr"/>
      <c r="C242" s="15" t="inlineStr">
        <is>
          <t>317120</t>
        </is>
      </c>
      <c r="D242" s="15" t="inlineStr">
        <is>
          <t>KOSDAQ</t>
        </is>
      </c>
      <c r="E242" s="15" t="inlineStr">
        <is>
          <t>팹리스/설계</t>
        </is>
      </c>
      <c r="F242" s="15" t="n">
        <v>32.08</v>
      </c>
      <c r="G242" s="15" t="n">
        <v>71.43000000000001</v>
      </c>
      <c r="H242" s="15" t="inlineStr">
        <is>
          <t>고평가 부담</t>
        </is>
      </c>
      <c r="I242" s="15" t="inlineStr">
        <is>
          <t>0.9281808400807596</t>
        </is>
      </c>
      <c r="J242" t="inlineStr"/>
      <c r="K242" t="inlineStr"/>
      <c r="L242" t="inlineStr"/>
    </row>
    <row r="243" ht="22" customHeight="1">
      <c r="A243" s="15" t="inlineStr">
        <is>
          <t>아이에스티이</t>
        </is>
      </c>
      <c r="B243" t="inlineStr"/>
      <c r="C243" s="15" t="inlineStr">
        <is>
          <t>212710</t>
        </is>
      </c>
      <c r="D243" s="15" t="inlineStr">
        <is>
          <t>KOSDAQ</t>
        </is>
      </c>
      <c r="E243" s="15" t="inlineStr">
        <is>
          <t>IDM/제조/메모리</t>
        </is>
      </c>
      <c r="F243" s="15" t="n">
        <v>31.27</v>
      </c>
      <c r="G243" s="15" t="n">
        <v>71.43000000000001</v>
      </c>
      <c r="H243" s="15" t="inlineStr">
        <is>
          <t>고평가 부담</t>
        </is>
      </c>
      <c r="I243" s="15" t="inlineStr">
        <is>
          <t>0.6642993493743579</t>
        </is>
      </c>
      <c r="J243" t="inlineStr"/>
      <c r="K243" t="inlineStr"/>
      <c r="L243" t="inlineStr"/>
    </row>
    <row r="244" ht="22" customHeight="1">
      <c r="A244" s="15" t="inlineStr">
        <is>
          <t>가온칩스</t>
        </is>
      </c>
      <c r="B244" t="inlineStr"/>
      <c r="C244" s="15" t="inlineStr">
        <is>
          <t>399720</t>
        </is>
      </c>
      <c r="D244" s="15" t="inlineStr">
        <is>
          <t>KOSDAQ</t>
        </is>
      </c>
      <c r="E244" s="15" t="inlineStr">
        <is>
          <t>팹리스/설계</t>
        </is>
      </c>
      <c r="F244" s="15" t="n">
        <v>31.19</v>
      </c>
      <c r="G244" s="15" t="n">
        <v>57.14</v>
      </c>
      <c r="H244" s="15" t="inlineStr">
        <is>
          <t>고평가 부담</t>
        </is>
      </c>
      <c r="I244" s="15" t="inlineStr">
        <is>
          <t>0.9202856043409283</t>
        </is>
      </c>
      <c r="J244" t="inlineStr"/>
      <c r="K244" t="inlineStr"/>
      <c r="L244" t="inlineStr"/>
    </row>
    <row r="245" ht="22" customHeight="1">
      <c r="A245" s="15" t="inlineStr">
        <is>
          <t>네오셈</t>
        </is>
      </c>
      <c r="B245" t="inlineStr"/>
      <c r="C245" s="15" t="inlineStr">
        <is>
          <t>253590</t>
        </is>
      </c>
      <c r="D245" s="15" t="inlineStr">
        <is>
          <t>KOSDAQ</t>
        </is>
      </c>
      <c r="E245" s="15" t="inlineStr">
        <is>
          <t>후공정/패키징/테스트</t>
        </is>
      </c>
      <c r="F245" s="15" t="n">
        <v>30.59</v>
      </c>
      <c r="G245" s="15" t="n">
        <v>7.14</v>
      </c>
      <c r="H245" s="15" t="inlineStr">
        <is>
          <t>고평가 부담</t>
        </is>
      </c>
      <c r="I245" s="15" t="inlineStr">
        <is>
          <t>0.7695353673338539</t>
        </is>
      </c>
      <c r="J245" t="inlineStr"/>
      <c r="K245" t="inlineStr"/>
      <c r="L245" t="inlineStr"/>
    </row>
    <row r="246" ht="22" customHeight="1">
      <c r="A246" s="15" t="inlineStr">
        <is>
          <t>아스플로</t>
        </is>
      </c>
      <c r="B246" t="inlineStr"/>
      <c r="C246" s="15" t="inlineStr">
        <is>
          <t>159010</t>
        </is>
      </c>
      <c r="D246" s="15" t="inlineStr">
        <is>
          <t>KOSDAQ</t>
        </is>
      </c>
      <c r="E246" s="15" t="inlineStr">
        <is>
          <t>장비</t>
        </is>
      </c>
      <c r="F246" s="15" t="n">
        <v>30.25</v>
      </c>
      <c r="G246" s="15" t="n">
        <v>57.14</v>
      </c>
      <c r="H246" s="15" t="inlineStr">
        <is>
          <t>고평가 부담</t>
        </is>
      </c>
      <c r="I246" s="15" t="inlineStr">
        <is>
          <t>0.8970141905473263</t>
        </is>
      </c>
      <c r="J246" t="inlineStr"/>
      <c r="K246" t="inlineStr"/>
      <c r="L246" t="inlineStr"/>
    </row>
    <row r="247" ht="22" customHeight="1">
      <c r="A247" s="15" t="inlineStr">
        <is>
          <t>케이알엠</t>
        </is>
      </c>
      <c r="B247" t="inlineStr"/>
      <c r="C247" s="15" t="inlineStr">
        <is>
          <t>093640</t>
        </is>
      </c>
      <c r="D247" s="15" t="inlineStr">
        <is>
          <t>KOSDAQ</t>
        </is>
      </c>
      <c r="E247" s="15" t="inlineStr">
        <is>
          <t>IDM/제조/메모리</t>
        </is>
      </c>
      <c r="F247" s="15" t="n">
        <v>30.1</v>
      </c>
      <c r="G247" s="15" t="n">
        <v>42.86</v>
      </c>
      <c r="H247" s="15" t="inlineStr">
        <is>
          <t>고평가 부담</t>
        </is>
      </c>
      <c r="I247" s="15" t="inlineStr">
        <is>
          <t>0.7957205872008264</t>
        </is>
      </c>
      <c r="J247" t="inlineStr"/>
      <c r="K247" t="inlineStr"/>
      <c r="L247" t="inlineStr"/>
    </row>
    <row r="248" ht="22" customHeight="1">
      <c r="A248" s="15" t="inlineStr">
        <is>
          <t>오로스테크놀로지</t>
        </is>
      </c>
      <c r="B248" t="inlineStr"/>
      <c r="C248" s="15" t="inlineStr">
        <is>
          <t>322310</t>
        </is>
      </c>
      <c r="D248" s="15" t="inlineStr">
        <is>
          <t>KOSDAQ</t>
        </is>
      </c>
      <c r="E248" s="15" t="inlineStr">
        <is>
          <t>장비</t>
        </is>
      </c>
      <c r="F248" s="15" t="n">
        <v>29.69</v>
      </c>
      <c r="G248" s="15" t="n">
        <v>28.57</v>
      </c>
      <c r="H248" s="15" t="inlineStr">
        <is>
          <t>고평가 부담</t>
        </is>
      </c>
      <c r="I248" s="15" t="inlineStr">
        <is>
          <t>0.9263479879516093</t>
        </is>
      </c>
      <c r="J248" t="inlineStr"/>
      <c r="K248" t="inlineStr"/>
      <c r="L248" t="inlineStr"/>
    </row>
    <row r="249" ht="22" customHeight="1">
      <c r="A249" s="15" t="inlineStr">
        <is>
          <t>쏘닉스</t>
        </is>
      </c>
      <c r="B249" t="inlineStr"/>
      <c r="C249" s="15" t="inlineStr">
        <is>
          <t>088280</t>
        </is>
      </c>
      <c r="D249" s="15" t="inlineStr">
        <is>
          <t>KOSDAQ</t>
        </is>
      </c>
      <c r="E249" s="15" t="inlineStr">
        <is>
          <t>IDM/제조/메모리</t>
        </is>
      </c>
      <c r="F249" s="15" t="n">
        <v>29.25</v>
      </c>
      <c r="G249" s="15" t="n">
        <v>57.14</v>
      </c>
      <c r="H249" s="15" t="inlineStr">
        <is>
          <t>고평가 부담</t>
        </is>
      </c>
      <c r="I249" s="15" t="inlineStr">
        <is>
          <t>0.9167677788852596</t>
        </is>
      </c>
      <c r="J249" t="inlineStr"/>
      <c r="K249" t="inlineStr"/>
      <c r="L249" t="inlineStr"/>
    </row>
    <row r="250" ht="22" customHeight="1">
      <c r="A250" s="15" t="inlineStr">
        <is>
          <t>러셀</t>
        </is>
      </c>
      <c r="B250" t="inlineStr"/>
      <c r="C250" s="15" t="inlineStr">
        <is>
          <t>217500</t>
        </is>
      </c>
      <c r="D250" s="15" t="inlineStr">
        <is>
          <t>KOSDAQ</t>
        </is>
      </c>
      <c r="E250" s="15" t="inlineStr">
        <is>
          <t>장비</t>
        </is>
      </c>
      <c r="F250" s="15" t="n">
        <v>28.89</v>
      </c>
      <c r="G250" s="15" t="n">
        <v>57.14</v>
      </c>
      <c r="H250" s="15" t="inlineStr">
        <is>
          <t>고평가 부담</t>
        </is>
      </c>
      <c r="I250" s="15" t="inlineStr">
        <is>
          <t>0.873177337125051</t>
        </is>
      </c>
      <c r="J250" t="inlineStr"/>
      <c r="K250" t="inlineStr"/>
      <c r="L250" t="inlineStr"/>
    </row>
    <row r="251" ht="22" customHeight="1">
      <c r="A251" s="15" t="inlineStr">
        <is>
          <t>미래컴퍼니</t>
        </is>
      </c>
      <c r="B251" t="inlineStr"/>
      <c r="C251" s="15" t="inlineStr">
        <is>
          <t>049950</t>
        </is>
      </c>
      <c r="D251" s="15" t="inlineStr">
        <is>
          <t>KOSDAQ</t>
        </is>
      </c>
      <c r="E251" s="15" t="inlineStr">
        <is>
          <t>장비</t>
        </is>
      </c>
      <c r="F251" s="15" t="n">
        <v>28.75</v>
      </c>
      <c r="G251" s="15" t="n">
        <v>42.86</v>
      </c>
      <c r="H251" s="15" t="inlineStr">
        <is>
          <t>고평가 부담</t>
        </is>
      </c>
      <c r="I251" s="15" t="inlineStr">
        <is>
          <t>0.8354805452058427</t>
        </is>
      </c>
      <c r="J251" t="inlineStr"/>
      <c r="K251" t="inlineStr"/>
      <c r="L251" t="inlineStr"/>
    </row>
    <row r="252" ht="22" customHeight="1">
      <c r="A252" s="15" t="inlineStr">
        <is>
          <t>파두</t>
        </is>
      </c>
      <c r="B252" t="inlineStr"/>
      <c r="C252" s="15" t="inlineStr">
        <is>
          <t>440110</t>
        </is>
      </c>
      <c r="D252" s="15" t="inlineStr">
        <is>
          <t>KOSDAQ</t>
        </is>
      </c>
      <c r="E252" s="15" t="inlineStr">
        <is>
          <t>팹리스/설계</t>
        </is>
      </c>
      <c r="F252" s="15" t="n">
        <v>28.17</v>
      </c>
      <c r="G252" s="15" t="n">
        <v>71.43000000000001</v>
      </c>
      <c r="H252" s="15" t="inlineStr">
        <is>
          <t>고평가 부담</t>
        </is>
      </c>
      <c r="I252" s="15" t="inlineStr">
        <is>
          <t>0.9722302520284296</t>
        </is>
      </c>
      <c r="J252" t="inlineStr"/>
      <c r="K252" t="inlineStr"/>
      <c r="L252" t="inlineStr"/>
    </row>
    <row r="253" ht="22" customHeight="1">
      <c r="A253" s="15" t="inlineStr">
        <is>
          <t>예스티</t>
        </is>
      </c>
      <c r="B253" t="inlineStr"/>
      <c r="C253" s="15" t="inlineStr">
        <is>
          <t>122640</t>
        </is>
      </c>
      <c r="D253" s="15" t="inlineStr">
        <is>
          <t>KOSDAQ</t>
        </is>
      </c>
      <c r="E253" s="15" t="inlineStr">
        <is>
          <t>장비</t>
        </is>
      </c>
      <c r="F253" s="15" t="n">
        <v>27.79</v>
      </c>
      <c r="G253" s="15" t="n">
        <v>21.43</v>
      </c>
      <c r="H253" s="15" t="inlineStr">
        <is>
          <t>고평가 부담</t>
        </is>
      </c>
      <c r="I253" s="15" t="inlineStr">
        <is>
          <t>0.8070752756860592</t>
        </is>
      </c>
      <c r="J253" t="inlineStr"/>
      <c r="K253" t="inlineStr"/>
      <c r="L253" t="inlineStr"/>
    </row>
    <row r="254" ht="22" customHeight="1">
      <c r="A254" s="15" t="inlineStr">
        <is>
          <t>레이크머티리얼즈</t>
        </is>
      </c>
      <c r="B254" t="inlineStr"/>
      <c r="C254" s="15" t="inlineStr">
        <is>
          <t>281740</t>
        </is>
      </c>
      <c r="D254" s="15" t="inlineStr">
        <is>
          <t>KOSDAQ</t>
        </is>
      </c>
      <c r="E254" s="15" t="inlineStr">
        <is>
          <t>소재</t>
        </is>
      </c>
      <c r="F254" s="15" t="n">
        <v>26.77</v>
      </c>
      <c r="G254" s="15" t="n">
        <v>28.57</v>
      </c>
      <c r="H254" s="15" t="inlineStr">
        <is>
          <t>고평가 부담</t>
        </is>
      </c>
      <c r="I254" s="15" t="inlineStr">
        <is>
          <t>0.7822727417954645</t>
        </is>
      </c>
      <c r="J254" t="inlineStr"/>
      <c r="K254" t="inlineStr"/>
      <c r="L254" t="inlineStr"/>
    </row>
    <row r="255" ht="22" customHeight="1">
      <c r="A255" s="15" t="inlineStr">
        <is>
          <t>덕산테코피아</t>
        </is>
      </c>
      <c r="B255" s="15" t="inlineStr">
        <is>
          <t>duksan</t>
        </is>
      </c>
      <c r="C255" s="15" t="inlineStr">
        <is>
          <t>317330</t>
        </is>
      </c>
      <c r="D255" s="15" t="inlineStr">
        <is>
          <t>KOSDAQ</t>
        </is>
      </c>
      <c r="E255" s="15" t="inlineStr">
        <is>
          <t>소재</t>
        </is>
      </c>
      <c r="F255" s="15" t="n">
        <v>25.1</v>
      </c>
      <c r="G255" s="15" t="n">
        <v>71.43000000000001</v>
      </c>
      <c r="H255" s="15" t="inlineStr">
        <is>
          <t>고평가 부담</t>
        </is>
      </c>
      <c r="I255" s="15" t="inlineStr">
        <is>
          <t>0.9683283970250778</t>
        </is>
      </c>
      <c r="J255" s="15" t="inlineStr">
        <is>
          <t>예</t>
        </is>
      </c>
      <c r="K255" t="inlineStr"/>
      <c r="L255" t="inlineStr"/>
    </row>
    <row r="256" ht="22" customHeight="1">
      <c r="A256" s="15" t="inlineStr">
        <is>
          <t>피엠티</t>
        </is>
      </c>
      <c r="B256" t="inlineStr"/>
      <c r="C256" s="15" t="inlineStr">
        <is>
          <t>147760</t>
        </is>
      </c>
      <c r="D256" s="15" t="inlineStr">
        <is>
          <t>KOSDAQ</t>
        </is>
      </c>
      <c r="E256" s="15" t="inlineStr">
        <is>
          <t>후공정/패키징/테스트</t>
        </is>
      </c>
      <c r="F256" s="15" t="n">
        <v>24.71</v>
      </c>
      <c r="G256" s="15" t="n">
        <v>78.56999999999999</v>
      </c>
      <c r="H256" s="15" t="inlineStr">
        <is>
          <t>고평가 부담</t>
        </is>
      </c>
      <c r="I256" s="15" t="inlineStr">
        <is>
          <t>0.952821790032095</t>
        </is>
      </c>
      <c r="J256" t="inlineStr"/>
      <c r="K256" t="inlineStr"/>
      <c r="L256" t="inlineStr"/>
    </row>
    <row r="257" ht="22" customHeight="1">
      <c r="A257" s="15" t="inlineStr">
        <is>
          <t>아이씨티케이</t>
        </is>
      </c>
      <c r="B257" t="inlineStr"/>
      <c r="C257" s="15" t="inlineStr">
        <is>
          <t>456010</t>
        </is>
      </c>
      <c r="D257" s="15" t="inlineStr">
        <is>
          <t>KOSDAQ</t>
        </is>
      </c>
      <c r="E257" s="15" t="inlineStr">
        <is>
          <t>팹리스/설계</t>
        </is>
      </c>
      <c r="F257" s="15" t="n">
        <v>24.21</v>
      </c>
      <c r="G257" s="15" t="n">
        <v>57.14</v>
      </c>
      <c r="H257" s="15" t="inlineStr">
        <is>
          <t>고평가 부담</t>
        </is>
      </c>
      <c r="I257" s="15" t="inlineStr">
        <is>
          <t>0.9318776222941163</t>
        </is>
      </c>
      <c r="J257" t="inlineStr"/>
      <c r="K257" t="inlineStr"/>
      <c r="L257" t="inlineStr"/>
    </row>
    <row r="258" ht="22" customHeight="1">
      <c r="A258" s="15" t="inlineStr">
        <is>
          <t>오픈엣지테크놀로지</t>
        </is>
      </c>
      <c r="B258" t="inlineStr"/>
      <c r="C258" s="15" t="inlineStr">
        <is>
          <t>394280</t>
        </is>
      </c>
      <c r="D258" s="15" t="inlineStr">
        <is>
          <t>KOSDAQ</t>
        </is>
      </c>
      <c r="E258" s="15" t="inlineStr">
        <is>
          <t>팹리스/설계</t>
        </is>
      </c>
      <c r="F258" s="15" t="n">
        <v>23.84</v>
      </c>
      <c r="G258" s="15" t="n">
        <v>57.14</v>
      </c>
      <c r="H258" s="15" t="inlineStr">
        <is>
          <t>고평가 부담</t>
        </is>
      </c>
      <c r="I258" s="15" t="inlineStr">
        <is>
          <t>0.9776205348568181</t>
        </is>
      </c>
      <c r="J258" t="inlineStr"/>
      <c r="K258" t="inlineStr"/>
      <c r="L258" t="inlineStr"/>
    </row>
    <row r="259" ht="22" customHeight="1">
      <c r="A259" s="15" t="inlineStr">
        <is>
          <t>기가레인</t>
        </is>
      </c>
      <c r="B259" t="inlineStr"/>
      <c r="C259" s="15" t="inlineStr">
        <is>
          <t>049080</t>
        </is>
      </c>
      <c r="D259" s="15" t="inlineStr">
        <is>
          <t>KOSDAQ</t>
        </is>
      </c>
      <c r="E259" s="15" t="inlineStr">
        <is>
          <t>장비</t>
        </is>
      </c>
      <c r="F259" s="15" t="n">
        <v>23.53</v>
      </c>
      <c r="G259" s="15" t="n">
        <v>50</v>
      </c>
      <c r="H259" s="15" t="inlineStr">
        <is>
          <t>고평가 부담</t>
        </is>
      </c>
      <c r="I259" s="15" t="inlineStr">
        <is>
          <t>0.9628494209555842</t>
        </is>
      </c>
      <c r="J259" t="inlineStr"/>
      <c r="K259" t="inlineStr"/>
      <c r="L259" t="inlineStr"/>
    </row>
    <row r="260" ht="22" customHeight="1">
      <c r="A260" s="15" t="inlineStr">
        <is>
          <t>넥스틴</t>
        </is>
      </c>
      <c r="B260" t="inlineStr"/>
      <c r="C260" s="15" t="inlineStr">
        <is>
          <t>348210</t>
        </is>
      </c>
      <c r="D260" s="15" t="inlineStr">
        <is>
          <t>KOSDAQ GLOBAL</t>
        </is>
      </c>
      <c r="E260" s="15" t="inlineStr">
        <is>
          <t>장비</t>
        </is>
      </c>
      <c r="F260" s="15" t="n">
        <v>23.53</v>
      </c>
      <c r="G260" s="15" t="n">
        <v>42.86</v>
      </c>
      <c r="H260" s="15" t="inlineStr">
        <is>
          <t>고평가 부담</t>
        </is>
      </c>
      <c r="I260" s="15" t="inlineStr">
        <is>
          <t>0.7906546201121369</t>
        </is>
      </c>
      <c r="J260" t="inlineStr"/>
      <c r="K260" t="inlineStr"/>
      <c r="L260" t="inlineStr"/>
    </row>
    <row r="261" ht="22" customHeight="1">
      <c r="A261" s="15" t="inlineStr">
        <is>
          <t>주성엔지니어링</t>
        </is>
      </c>
      <c r="B261" t="inlineStr"/>
      <c r="C261" s="15" t="inlineStr">
        <is>
          <t>036930</t>
        </is>
      </c>
      <c r="D261" s="15" t="inlineStr">
        <is>
          <t>KOSDAQ GLOBAL</t>
        </is>
      </c>
      <c r="E261" s="15" t="inlineStr">
        <is>
          <t>장비</t>
        </is>
      </c>
      <c r="F261" s="15" t="n">
        <v>23.36</v>
      </c>
      <c r="G261" s="15" t="n">
        <v>28.57</v>
      </c>
      <c r="H261" s="15" t="inlineStr">
        <is>
          <t>고평가 부담</t>
        </is>
      </c>
      <c r="I261" s="15" t="inlineStr">
        <is>
          <t>0.7918979957613304</t>
        </is>
      </c>
      <c r="J261" t="inlineStr"/>
      <c r="K261" t="inlineStr"/>
      <c r="L261" t="inlineStr"/>
    </row>
    <row r="262" ht="22" customHeight="1">
      <c r="A262" s="15" t="inlineStr">
        <is>
          <t>테크윙</t>
        </is>
      </c>
      <c r="B262" t="inlineStr"/>
      <c r="C262" s="15" t="inlineStr">
        <is>
          <t>089030</t>
        </is>
      </c>
      <c r="D262" s="15" t="inlineStr">
        <is>
          <t>KOSDAQ</t>
        </is>
      </c>
      <c r="E262" s="15" t="inlineStr">
        <is>
          <t>후공정/패키징/테스트</t>
        </is>
      </c>
      <c r="F262" s="15" t="n">
        <v>22.06</v>
      </c>
      <c r="G262" s="15" t="n">
        <v>57.14</v>
      </c>
      <c r="H262" s="15" t="inlineStr">
        <is>
          <t>고평가 부담</t>
        </is>
      </c>
      <c r="I262" s="15" t="inlineStr">
        <is>
          <t>0.7946423848576873</t>
        </is>
      </c>
      <c r="J262" t="inlineStr"/>
      <c r="K262" t="inlineStr"/>
      <c r="L262" t="inlineStr"/>
    </row>
    <row r="263" ht="22" customHeight="1">
      <c r="A263" s="15" t="inlineStr">
        <is>
          <t>퀄리타스반도체</t>
        </is>
      </c>
      <c r="B263" t="inlineStr"/>
      <c r="C263" s="15" t="inlineStr">
        <is>
          <t>432720</t>
        </is>
      </c>
      <c r="D263" s="15" t="inlineStr">
        <is>
          <t>KOSDAQ</t>
        </is>
      </c>
      <c r="E263" s="15" t="inlineStr">
        <is>
          <t>팹리스/설계</t>
        </is>
      </c>
      <c r="F263" s="15" t="n">
        <v>21.19</v>
      </c>
      <c r="G263" s="15" t="n">
        <v>57.14</v>
      </c>
      <c r="H263" s="15" t="inlineStr">
        <is>
          <t>고평가 부담</t>
        </is>
      </c>
      <c r="I263" s="15" t="inlineStr">
        <is>
          <t>0.9844433173148716</t>
        </is>
      </c>
      <c r="J263" t="inlineStr"/>
      <c r="K263" t="inlineStr"/>
      <c r="L263" t="inlineStr"/>
    </row>
    <row r="264" ht="22" customHeight="1">
      <c r="A264" s="15" t="inlineStr">
        <is>
          <t>자람테크놀로지</t>
        </is>
      </c>
      <c r="B264" t="inlineStr"/>
      <c r="C264" s="15" t="inlineStr">
        <is>
          <t>389020</t>
        </is>
      </c>
      <c r="D264" s="15" t="inlineStr">
        <is>
          <t>KOSDAQ</t>
        </is>
      </c>
      <c r="E264" s="15" t="inlineStr">
        <is>
          <t>IDM/제조/메모리</t>
        </is>
      </c>
      <c r="F264" s="15" t="n">
        <v>19.95</v>
      </c>
      <c r="G264" s="15" t="n">
        <v>21.43</v>
      </c>
      <c r="H264" s="15" t="inlineStr">
        <is>
          <t>고평가 부담</t>
        </is>
      </c>
      <c r="I264" s="15" t="inlineStr">
        <is>
          <t>0.6873284389381621</t>
        </is>
      </c>
      <c r="J264" t="inlineStr"/>
      <c r="K264" t="inlineStr"/>
      <c r="L264" t="inlineStr"/>
    </row>
    <row r="265" ht="22" customHeight="1">
      <c r="A265" s="15" t="inlineStr">
        <is>
          <t>필옵틱스</t>
        </is>
      </c>
      <c r="B265" t="inlineStr"/>
      <c r="C265" s="15" t="inlineStr">
        <is>
          <t>161580</t>
        </is>
      </c>
      <c r="D265" s="15" t="inlineStr">
        <is>
          <t>KOSDAQ</t>
        </is>
      </c>
      <c r="E265" s="15" t="inlineStr">
        <is>
          <t>장비</t>
        </is>
      </c>
      <c r="F265" s="15" t="n">
        <v>17.41</v>
      </c>
      <c r="G265" s="15" t="n">
        <v>28.57</v>
      </c>
      <c r="H265" s="15" t="inlineStr">
        <is>
          <t>고평가 부담</t>
        </is>
      </c>
      <c r="I265" s="15" t="inlineStr">
        <is>
          <t>0.9632435860929522</t>
        </is>
      </c>
      <c r="J265" t="inlineStr"/>
      <c r="K265" t="inlineStr"/>
      <c r="L265" t="inlineStr"/>
    </row>
    <row r="266" ht="22" customHeight="1">
      <c r="A266" s="15" t="inlineStr">
        <is>
          <t>하이딥</t>
        </is>
      </c>
      <c r="B266" t="inlineStr"/>
      <c r="C266" s="15" t="inlineStr">
        <is>
          <t>365590</t>
        </is>
      </c>
      <c r="D266" s="15" t="inlineStr">
        <is>
          <t>KOSDAQ</t>
        </is>
      </c>
      <c r="E266" s="15" t="inlineStr">
        <is>
          <t>IDM/제조/메모리</t>
        </is>
      </c>
      <c r="F266" s="15" t="n">
        <v>12.5</v>
      </c>
      <c r="G266" s="15" t="n">
        <v>85.70999999999999</v>
      </c>
      <c r="H266" s="15" t="inlineStr">
        <is>
          <t>고평가 부담</t>
        </is>
      </c>
      <c r="I266" s="15" t="inlineStr">
        <is>
          <t>0.93355514861914</t>
        </is>
      </c>
      <c r="J266" t="inlineStr"/>
      <c r="K266" t="inlineStr"/>
      <c r="L266" t="inlineStr"/>
    </row>
  </sheetData>
  <mergeCells count="2">
    <mergeCell ref="A2:N2"/>
    <mergeCell ref="A1:N1"/>
  </mergeCells>
  <dataValidations count="1">
    <dataValidation sqref="B4" showDropDown="0" showInputMessage="0" showErrorMessage="0" allowBlank="0" type="list">
      <formula1>$A$59:$A$266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표시 개선 단계에서 예외가 발생했지만 가치평가 계산 결과는 정상 생성되었습니다.</t>
        </is>
      </c>
    </row>
    <row r="2">
      <c r="A2" t="inlineStr">
        <is>
          <t>'Cell'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2026-05-20T02:13:57Z</dcterms:created>
  <dcterms:modified xmlns:dcterms="http://purl.org/dc/terms/" xmlns:xsi="http://www.w3.org/2001/XMLSchema-instance" xsi:type="dcterms:W3CDTF">2026-05-20T02:14:09Z</dcterms:modified>
</cp:coreProperties>
</file>